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sheets>
    <sheet name="Nuevas de hoy" sheetId="1" r:id="rId1"/>
    <sheet name="Vigentes" sheetId="2" r:id="rId2"/>
    <sheet name="Requerimientos" sheetId="3" r:id="rId3"/>
  </sheets>
</workbook>
</file>

<file path=xl/styles.xml><?xml version="1.0" encoding="utf-8"?>
<styleSheet xmlns="http://schemas.openxmlformats.org/spreadsheetml/2006/main">
  <numFmts count="2">
    <numFmt numFmtId="164" formatCode="dd\-mm\-yyyy\ hh:mm"/>
    <numFmt numFmtId="165" formatCode="#,##0"/>
  </numFmts>
  <fonts count="3">
    <font>
      <sz val="11"/>
      <name val="Calibri"/>
    </font>
    <font>
      <b/>
      <sz val="11"/>
      <color rgb="FFFFFFFF"/>
      <name val="Calibri"/>
    </font>
    <font>
      <u/>
      <sz val="11"/>
      <color rgb="FF1F4FD8"/>
      <name val="Calibri"/>
    </font>
  </fonts>
  <fills count="3">
    <fill>
      <patternFill patternType="none"/>
    </fill>
    <fill>
      <patternFill patternType="gray125"/>
    </fill>
    <fill>
      <patternFill patternType="solid">
        <fgColor rgb="FF1F4FD8"/>
        <bgColor indexed="64"/>
      </patternFill>
    </fill>
  </fills>
  <borders count="1">
    <border>
      <left/>
      <right/>
      <top/>
      <bottom/>
      <diagonal/>
    </border>
  </borders>
  <cellStyleXfs count="1">
    <xf numFmtId="0" fontId="0" fillId="0" borderId="0"/>
  </cellStyleXfs>
  <cellXfs count="6">
    <xf numFmtId="0" fontId="0" fillId="0" borderId="0" xfId="0"/>
    <xf numFmtId="0" fontId="1" fillId="2" borderId="0" xfId="0" applyFont="1" applyFill="1" applyAlignment="1">
      <alignment vertical="center" wrapText="1"/>
    </xf>
    <xf numFmtId="164" fontId="0" fillId="0" borderId="0" xfId="0" applyNumberFormat="1"/>
    <xf numFmtId="165" fontId="0" fillId="0" borderId="0" xfId="0" applyNumberFormat="1"/>
    <xf numFmtId="0" fontId="0" fillId="0" borderId="0" xfId="0" applyAlignment="1">
      <alignment vertical="top" wrapText="1"/>
    </xf>
    <xf numFmtId="0" fontId="2" fillId="0" borderId="0" xfId="0" applyFont="1"/>
  </cell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styles" Target="styles.xml"/></Relationships>
</file>

<file path=xl/worksheets/sheet1.xml><?xml version="1.0" encoding="utf-8"?>
<worksheet xmlns="http://schemas.openxmlformats.org/spreadsheetml/2006/main">
  <sheetViews>
    <sheetView workbookViewId="0">
      <pane ySplit="1" topLeftCell="A2" activePane="bottomLeft" state="frozen"/>
    </sheetView>
  </sheetViews>
  <cols>
    <col min="1" max="1" width="16" customWidth="1"/>
    <col min="2" max="2" width="52" customWidth="1"/>
    <col min="3" max="3" width="13" customWidth="1"/>
    <col min="4" max="4" width="34" customWidth="1"/>
    <col min="5" max="5" width="28" customWidth="1"/>
    <col min="6" max="6" width="24" customWidth="1"/>
    <col min="7" max="7" width="16" customWidth="1"/>
    <col min="8" max="8" width="17" customWidth="1"/>
    <col min="9" max="9" width="17" customWidth="1"/>
    <col min="10" max="10" width="9" customWidth="1"/>
    <col min="11" max="11" width="16" customWidth="1"/>
    <col min="12" max="12" width="8" customWidth="1"/>
    <col min="13" max="13" width="7" customWidth="1"/>
    <col min="14" max="14" width="30" customWidth="1"/>
    <col min="15" max="15" width="46" customWidth="1"/>
    <col min="16" max="16" width="15" customWidth="1"/>
    <col min="17" max="17" width="16" customWidth="1"/>
    <col min="18" max="18" width="15" customWidth="1"/>
    <col min="19" max="19" width="10" customWidth="1"/>
    <col min="20" max="20" width="34" customWidth="1"/>
    <col min="21" max="21" width="26" customWidth="1"/>
    <col min="22" max="22" width="60" customWidth="1"/>
    <col min="23" max="23" width="16" customWidth="1"/>
  </cols>
  <sheetData>
    <row r="1" ht="28" customHeight="1">
      <c r="A1" s="1" t="inlineStr">
        <is>
          <t xml:space="preserve">Código</t>
        </is>
      </c>
      <c r="B1" s="1" t="inlineStr">
        <is>
          <t xml:space="preserve">Nombre</t>
        </is>
      </c>
      <c r="C1" s="1" t="inlineStr">
        <is>
          <t xml:space="preserve">Estado</t>
        </is>
      </c>
      <c r="D1" s="1" t="inlineStr">
        <is>
          <t xml:space="preserve">Organismo</t>
        </is>
      </c>
      <c r="E1" s="1" t="inlineStr">
        <is>
          <t xml:space="preserve">Unidad de compra</t>
        </is>
      </c>
      <c r="F1" s="1" t="inlineStr">
        <is>
          <t xml:space="preserve">Región</t>
        </is>
      </c>
      <c r="G1" s="1" t="inlineStr">
        <is>
          <t xml:space="preserve">Comuna</t>
        </is>
      </c>
      <c r="H1" s="1" t="inlineStr">
        <is>
          <t xml:space="preserve">Publicada</t>
        </is>
      </c>
      <c r="I1" s="1" t="inlineStr">
        <is>
          <t xml:space="preserve">Cierra</t>
        </is>
      </c>
      <c r="J1" s="1" t="inlineStr">
        <is>
          <t xml:space="preserve">Días para cierre</t>
        </is>
      </c>
      <c r="K1" s="1" t="inlineStr">
        <is>
          <t xml:space="preserve">Monto estimado</t>
        </is>
      </c>
      <c r="L1" s="1" t="inlineStr">
        <is>
          <t xml:space="preserve">Moneda</t>
        </is>
      </c>
      <c r="M1" s="1" t="inlineStr">
        <is>
          <t xml:space="preserve">Tipo</t>
        </is>
      </c>
      <c r="N1" s="1" t="inlineStr">
        <is>
          <t xml:space="preserve">Categorías</t>
        </is>
      </c>
      <c r="O1" s="1" t="inlineStr">
        <is>
          <t xml:space="preserve">Qué piden</t>
        </is>
      </c>
      <c r="P1" s="1" t="inlineStr">
        <is>
          <t xml:space="preserve">Visita a terreno</t>
        </is>
      </c>
      <c r="Q1" s="1" t="inlineStr">
        <is>
          <t xml:space="preserve">Entrega antecedentes</t>
        </is>
      </c>
      <c r="R1" s="1" t="inlineStr">
        <is>
          <t xml:space="preserve">Duración contrato</t>
        </is>
      </c>
      <c r="S1" s="1" t="inlineStr">
        <is>
          <t xml:space="preserve">Renovable</t>
        </is>
      </c>
      <c r="T1" s="1" t="inlineStr">
        <is>
          <t xml:space="preserve">Prohibiciones</t>
        </is>
      </c>
      <c r="U1" s="1" t="inlineStr">
        <is>
          <t xml:space="preserve">Contraparte</t>
        </is>
      </c>
      <c r="V1" s="1" t="inlineStr">
        <is>
          <t xml:space="preserve">Descripción</t>
        </is>
      </c>
      <c r="W1" s="1" t="inlineStr">
        <is>
          <t xml:space="preserve">Bases</t>
        </is>
      </c>
    </row>
  </sheetData>
  <autoFilter ref="A1:W1"/>
</worksheet>
</file>

<file path=xl/worksheets/sheet2.xml><?xml version="1.0" encoding="utf-8"?>
<worksheet xmlns="http://schemas.openxmlformats.org/spreadsheetml/2006/main">
  <sheetViews>
    <sheetView workbookViewId="0">
      <pane ySplit="1" topLeftCell="A2" activePane="bottomLeft" state="frozen"/>
    </sheetView>
  </sheetViews>
  <cols>
    <col min="1" max="1" width="16" customWidth="1"/>
    <col min="2" max="2" width="52" customWidth="1"/>
    <col min="3" max="3" width="13" customWidth="1"/>
    <col min="4" max="4" width="34" customWidth="1"/>
    <col min="5" max="5" width="28" customWidth="1"/>
    <col min="6" max="6" width="24" customWidth="1"/>
    <col min="7" max="7" width="16" customWidth="1"/>
    <col min="8" max="8" width="17" customWidth="1"/>
    <col min="9" max="9" width="17" customWidth="1"/>
    <col min="10" max="10" width="9" customWidth="1"/>
    <col min="11" max="11" width="16" customWidth="1"/>
    <col min="12" max="12" width="8" customWidth="1"/>
    <col min="13" max="13" width="7" customWidth="1"/>
    <col min="14" max="14" width="30" customWidth="1"/>
    <col min="15" max="15" width="46" customWidth="1"/>
    <col min="16" max="16" width="15" customWidth="1"/>
    <col min="17" max="17" width="16" customWidth="1"/>
    <col min="18" max="18" width="15" customWidth="1"/>
    <col min="19" max="19" width="10" customWidth="1"/>
    <col min="20" max="20" width="34" customWidth="1"/>
    <col min="21" max="21" width="26" customWidth="1"/>
    <col min="22" max="22" width="60" customWidth="1"/>
    <col min="23" max="23" width="16" customWidth="1"/>
  </cols>
  <sheetData>
    <row r="1" ht="28" customHeight="1">
      <c r="A1" s="1" t="inlineStr">
        <is>
          <t xml:space="preserve">Código</t>
        </is>
      </c>
      <c r="B1" s="1" t="inlineStr">
        <is>
          <t xml:space="preserve">Nombre</t>
        </is>
      </c>
      <c r="C1" s="1" t="inlineStr">
        <is>
          <t xml:space="preserve">Estado</t>
        </is>
      </c>
      <c r="D1" s="1" t="inlineStr">
        <is>
          <t xml:space="preserve">Organismo</t>
        </is>
      </c>
      <c r="E1" s="1" t="inlineStr">
        <is>
          <t xml:space="preserve">Unidad de compra</t>
        </is>
      </c>
      <c r="F1" s="1" t="inlineStr">
        <is>
          <t xml:space="preserve">Región</t>
        </is>
      </c>
      <c r="G1" s="1" t="inlineStr">
        <is>
          <t xml:space="preserve">Comuna</t>
        </is>
      </c>
      <c r="H1" s="1" t="inlineStr">
        <is>
          <t xml:space="preserve">Publicada</t>
        </is>
      </c>
      <c r="I1" s="1" t="inlineStr">
        <is>
          <t xml:space="preserve">Cierra</t>
        </is>
      </c>
      <c r="J1" s="1" t="inlineStr">
        <is>
          <t xml:space="preserve">Días para cierre</t>
        </is>
      </c>
      <c r="K1" s="1" t="inlineStr">
        <is>
          <t xml:space="preserve">Monto estimado</t>
        </is>
      </c>
      <c r="L1" s="1" t="inlineStr">
        <is>
          <t xml:space="preserve">Moneda</t>
        </is>
      </c>
      <c r="M1" s="1" t="inlineStr">
        <is>
          <t xml:space="preserve">Tipo</t>
        </is>
      </c>
      <c r="N1" s="1" t="inlineStr">
        <is>
          <t xml:space="preserve">Categorías</t>
        </is>
      </c>
      <c r="O1" s="1" t="inlineStr">
        <is>
          <t xml:space="preserve">Qué piden</t>
        </is>
      </c>
      <c r="P1" s="1" t="inlineStr">
        <is>
          <t xml:space="preserve">Visita a terreno</t>
        </is>
      </c>
      <c r="Q1" s="1" t="inlineStr">
        <is>
          <t xml:space="preserve">Entrega antecedentes</t>
        </is>
      </c>
      <c r="R1" s="1" t="inlineStr">
        <is>
          <t xml:space="preserve">Duración contrato</t>
        </is>
      </c>
      <c r="S1" s="1" t="inlineStr">
        <is>
          <t xml:space="preserve">Renovable</t>
        </is>
      </c>
      <c r="T1" s="1" t="inlineStr">
        <is>
          <t xml:space="preserve">Prohibiciones</t>
        </is>
      </c>
      <c r="U1" s="1" t="inlineStr">
        <is>
          <t xml:space="preserve">Contraparte</t>
        </is>
      </c>
      <c r="V1" s="1" t="inlineStr">
        <is>
          <t xml:space="preserve">Descripción</t>
        </is>
      </c>
      <c r="W1" s="1" t="inlineStr">
        <is>
          <t xml:space="preserve">Bases</t>
        </is>
      </c>
    </row>
    <row r="2">
      <c r="A2" s="0" t="inlineStr">
        <is>
          <t xml:space="preserve">4146-10-L126</t>
        </is>
      </c>
      <c r="B2" s="4" t="inlineStr">
        <is>
          <t xml:space="preserve">Contratación de Actualización de Licencia Software</t>
        </is>
      </c>
      <c r="C2" s="0" t="inlineStr">
        <is>
          <t xml:space="preserve">Publicada</t>
        </is>
      </c>
      <c r="D2" s="0" t="inlineStr">
        <is>
          <t xml:space="preserve">DIRECCION DE LOGISTICA DE CARABINEROS</t>
        </is>
      </c>
      <c r="E2" s="0" t="inlineStr">
        <is>
          <t xml:space="preserve">DEPARTAMENTO GESTIÓN TÉCNICA</t>
        </is>
      </c>
      <c r="F2" s="0" t="inlineStr">
        <is>
          <t xml:space="preserve">Región Metropolitana de Santiago</t>
        </is>
      </c>
      <c r="G2" s="0" t="inlineStr">
        <is>
          <t xml:space="preserve">Santiago</t>
        </is>
      </c>
      <c r="H2" s="2">
        <v>46273.764595</v>
      </c>
      <c r="I2" s="2">
        <v>46286.625</v>
      </c>
      <c r="J2" s="0">
        <v>2</v>
      </c>
      <c r="K2" s="3">
        <v>2400000.0</v>
      </c>
      <c r="L2" s="0" t="inlineStr">
        <is>
          <t xml:space="preserve">CLP</t>
        </is>
      </c>
      <c r="M2" s="0" t="inlineStr">
        <is>
          <t xml:space="preserve">L1</t>
        </is>
      </c>
      <c r="N2" s="4" t="inlineStr">
        <is>
          <t xml:space="preserve">Tecnologías de la información, telecomunicaciones y radiodifusión / Software / Software de gestión</t>
        </is>
      </c>
      <c r="O2" s="4" t="inlineStr">
        <is>
          <t xml:space="preserve">1 Unidad · Software de gestión de licencias</t>
        </is>
      </c>
      <c r="P2" s="2"/>
      <c r="Q2" s="2"/>
      <c r="R2" s="0"/>
      <c r="S2" s="0" t="inlineStr">
        <is>
          <t xml:space="preserve">No</t>
        </is>
      </c>
      <c r="T2" s="4"/>
      <c r="U2" s="0"/>
      <c r="V2" s="4" t="inlineStr">
        <is>
          <t xml:space="preserve">Se requiere actualización de 01,  "Actualización de Licencia Software", Mayores caracteristicas en el anexo Nro. 2, requeriemintos técnicos exigidos, en los adjuntos.</t>
        </is>
      </c>
      <c r="W2" s="5" t="str">
        <f>HYPERLINK("https://www.mercadopublico.cl/Procurement/Modules/Attachment/ViewAttachment.aspx?enc=BJdT5qO3Ya3pwT0EpBv2dsZjvMUvPS%2f8w%2frwHFar6HJR85g%2b%2biFkNRSFh8tqI4HdIdEf2sM%2fnC0IqMlDKt5q29sJbu0WuRv4sFxgrJb%2fGGW1qb%2b2dIIyUsH3Cn18DGPv57lRCtmSEwHsXsdWeEjbe1btJMJ7dIz9WltMWNZ5NjytRl1esloIOJC%2b%2famTsaEM2FLfUBn35w4Vqonb7SCql5SUKet5U6o%2bkNKOItc1Eg9M58mAaEg0%2fzElI32OOlZU67LoUr8dLuGSurALAyStd2lFLzxsbRatz70L98k3IowjOQOQGeWRJ5r51pT0IPi0","descargar bases")</f>
      </c>
    </row>
    <row r="3">
      <c r="A3" s="0" t="inlineStr">
        <is>
          <t xml:space="preserve">1593-24-LP26</t>
        </is>
      </c>
      <c r="B3" s="4" t="inlineStr">
        <is>
          <t xml:space="preserve">Adquisición instalación plataforma almacenamiento</t>
        </is>
      </c>
      <c r="C3" s="0" t="inlineStr">
        <is>
          <t xml:space="preserve">Publicada</t>
        </is>
      </c>
      <c r="D3" s="0" t="inlineStr">
        <is>
          <t xml:space="preserve">SUPERINTENDENCIA DE SERVICIOS SANITARIOS</t>
        </is>
      </c>
      <c r="E3" s="0" t="inlineStr">
        <is>
          <t xml:space="preserve">Superintendencia de Servicios Sanitarios - SISS</t>
        </is>
      </c>
      <c r="F3" s="0" t="inlineStr">
        <is>
          <t xml:space="preserve">Región Metropolitana de Santiago</t>
        </is>
      </c>
      <c r="G3" s="0" t="inlineStr">
        <is>
          <t xml:space="preserve">Santiago</t>
        </is>
      </c>
      <c r="H3" s="2">
        <v>46262.944444</v>
      </c>
      <c r="I3" s="2">
        <v>46286.625694</v>
      </c>
      <c r="J3" s="0">
        <v>2</v>
      </c>
      <c r="K3" s="3">
        <v>177000000.0</v>
      </c>
      <c r="L3" s="0" t="inlineStr">
        <is>
          <t xml:space="preserve">CLP</t>
        </is>
      </c>
      <c r="M3" s="0" t="inlineStr">
        <is>
          <t xml:space="preserve">LP</t>
        </is>
      </c>
      <c r="N3" s="4" t="inlineStr">
        <is>
          <t xml:space="preserve">Servicios basados en ingeniería, ciencias sociales y tecnología de la información / Servicios informáticos / Administración de sistemas</t>
        </is>
      </c>
      <c r="O3" s="4" t="inlineStr">
        <is>
          <t xml:space="preserve">1 Unidad · Almacenamiento de datos</t>
        </is>
      </c>
      <c r="P3" s="2"/>
      <c r="Q3" s="2"/>
      <c r="R3" s="0" t="inlineStr">
        <is>
          <t xml:space="preserve">60 días</t>
        </is>
      </c>
      <c r="S3" s="0" t="inlineStr">
        <is>
          <t xml:space="preserve">No</t>
        </is>
      </c>
      <c r="T3" s="4"/>
      <c r="U3" s="0" t="inlineStr">
        <is>
          <t xml:space="preserve">Fernando Iriarte</t>
        </is>
      </c>
      <c r="V3" s="4" t="inlineStr">
        <is>
          <t xml:space="preserve">El objeto de la licitación es la adquisición e instalación de plataforma de almacenamiento para cubrir las necesidades de obsolescencia de infraestructura y que permita a la vez contar con nuevas funcionalidades y prestaciones para la SiSS.</t>
        </is>
      </c>
      <c r="W3" s="5" t="str">
        <f>HYPERLINK("https://www.mercadopublico.cl/Procurement/Modules/Attachment/ViewAttachment.aspx?enc=bHnd8ZcaiDUI2P7JMXg%2bGQvMPwz0ly06LU0t3UoJTZH6KXK9Ottcb613dafU%2f%2b59WRO9AFIqQDKxI8mW%2fUHLTve7M8o0SmoRsBJ%2bqsybeHjpgNN9Tzq5naup0kIJgdzz%2fnBSQiY4veegXZKjrbz3qvwlCA6tMzpLyA476N%2bztKR%2bEOgTXLvSBMIjFpQRn4WSSVAxntp8fosnc0m5S24zuhl3XV8dTuYwrSMk7n%2bNGslEI%2fGPv6Q9vk4XUiNppQ1PNMiGhRdVUJ4ZOhsaGlO4uYZWdvXgDFKMrmi6rQ3p6MJ7VH2xkaRj20It%2fBm8DIjU","descargar bases")</f>
      </c>
    </row>
    <row r="4">
      <c r="A4" s="0" t="inlineStr">
        <is>
          <t xml:space="preserve">229-96-LE26</t>
        </is>
      </c>
      <c r="B4" s="4" t="inlineStr">
        <is>
          <t xml:space="preserve">ADQUISICIÓN DE LICENCIAS DE SOFTWARE PARA LOS  SISTEMAS QUE USA LA I. MUNICIPALIDAD DE COIHUECO</t>
        </is>
      </c>
      <c r="C4" s="0" t="inlineStr">
        <is>
          <t xml:space="preserve">Publicada</t>
        </is>
      </c>
      <c r="D4" s="0" t="inlineStr">
        <is>
          <t xml:space="preserve">I MUNICIPALIDAD DE COIHUECO</t>
        </is>
      </c>
      <c r="E4" s="0" t="inlineStr">
        <is>
          <t xml:space="preserve">Departamento de Administración y Finanzas</t>
        </is>
      </c>
      <c r="F4" s="0" t="inlineStr">
        <is>
          <t xml:space="preserve">Región del Ñuble</t>
        </is>
      </c>
      <c r="G4" s="0" t="inlineStr">
        <is>
          <t xml:space="preserve">Coihueco</t>
        </is>
      </c>
      <c r="H4" s="2">
        <v>46273.517581</v>
      </c>
      <c r="I4" s="2">
        <v>46286.625694</v>
      </c>
      <c r="J4" s="0">
        <v>2</v>
      </c>
      <c r="K4" s="3">
        <v>22700000.0</v>
      </c>
      <c r="L4" s="0" t="inlineStr">
        <is>
          <t xml:space="preserve">CLP</t>
        </is>
      </c>
      <c r="M4" s="0" t="inlineStr">
        <is>
          <t xml:space="preserve">LE</t>
        </is>
      </c>
      <c r="N4" s="4" t="inlineStr">
        <is>
          <t xml:space="preserve">Tecnologías de la información, telecomunicaciones y radiodifusión / Software / Software de gestión</t>
        </is>
      </c>
      <c r="O4" s="4" t="inlineStr">
        <is>
          <t xml:space="preserve">13 Unidad · Software de gestión de licencias · 6 Unidad · Software de gestión de licencias · 1 Unidad · Software de gestión de licencias · y 7 más</t>
        </is>
      </c>
      <c r="P4" s="2"/>
      <c r="Q4" s="2"/>
      <c r="R4" s="0" t="inlineStr">
        <is>
          <t xml:space="preserve">3 días</t>
        </is>
      </c>
      <c r="S4" s="0" t="inlineStr">
        <is>
          <t xml:space="preserve">No</t>
        </is>
      </c>
      <c r="T4" s="4" t="inlineStr">
        <is>
          <t xml:space="preserve">Según Art. 27 de las Bases Administrativas</t>
        </is>
      </c>
      <c r="U4" s="0" t="inlineStr">
        <is>
          <t xml:space="preserve">Gonzalo Zapata Blanco</t>
        </is>
      </c>
      <c r="V4" s="4" t="inlineStr">
        <is>
          <t xml:space="preserve">La Ilustre Municipalidad de Coihueco, requiere adquirir licencias de software para los diversos sistemas que usa, esto para dar continuidad del servicio en forma óptima y eficaz que va en beneficio de los habitantes de la comuna.</t>
        </is>
      </c>
      <c r="W4" s="5" t="str">
        <f>HYPERLINK("https://www.mercadopublico.cl/Procurement/Modules/Attachment/ViewAttachment.aspx?enc=dlJiHFaFiJnX0nP1IcP%2bNZZ2V%2fnULnMUaK3uiOeNPjYqKOWW0I%2f%2bDjLfq1XHsTEbm%2fEDxKpOFZUWN%2f5JAL2V9UUtadTk5pUaJfE%2bihiIDK7UC0lUQWV49%2f6WFXgiB7mHs6dyifydySI4FYW8B1uB0lPRuC0fkyrT%2bEBZQRoVV04YJQ7wN2Ujw5VOzmMC%2fdGnqvsG8R7ADv9wFxKuxNF0O2256p%2f8%2fuKDQ7HGjLJnHlxNKT60nB%2bKqCh%2frBQmkTt%2fs6FrBH35siip58SpEG9%2fhRTfTfnM2AAwD%2fe%2blWc4QAB10Mj5IuSrJjSqpN%2bGsXIS","descargar bases")</f>
      </c>
    </row>
    <row r="5">
      <c r="A5" s="0" t="inlineStr">
        <is>
          <t xml:space="preserve">2345-148-LE26</t>
        </is>
      </c>
      <c r="B5" s="4" t="inlineStr">
        <is>
          <t xml:space="preserve">ADQUISICIÓN DE CAMIÓN CON CARROCERIA Y PLATAFORMA DE ELEVACIÓN</t>
        </is>
      </c>
      <c r="C5" s="0" t="inlineStr">
        <is>
          <t xml:space="preserve">Publicada</t>
        </is>
      </c>
      <c r="D5" s="0" t="inlineStr">
        <is>
          <t xml:space="preserve">I MUNICIPALIDAD DE LAS CONDES</t>
        </is>
      </c>
      <c r="E5" s="0" t="inlineStr">
        <is>
          <t xml:space="preserve">I MUNICIPALIDAD DE LAS CONDES</t>
        </is>
      </c>
      <c r="F5" s="0" t="inlineStr">
        <is>
          <t xml:space="preserve">Región Metropolitana de Santiago</t>
        </is>
      </c>
      <c r="G5" s="0" t="inlineStr">
        <is>
          <t xml:space="preserve">Las Condes</t>
        </is>
      </c>
      <c r="H5" s="2">
        <v>46269.376991</v>
      </c>
      <c r="I5" s="2">
        <v>46286.625694</v>
      </c>
      <c r="J5" s="0">
        <v>2</v>
      </c>
      <c r="K5" s="3"/>
      <c r="L5" s="0" t="inlineStr">
        <is>
          <t xml:space="preserve">CLP</t>
        </is>
      </c>
      <c r="M5" s="0" t="inlineStr">
        <is>
          <t xml:space="preserve">LE</t>
        </is>
      </c>
      <c r="N5" s="4" t="inlineStr">
        <is>
          <t xml:space="preserve">Equipamiento para manejo y estiba de materiales / Maquinaria para manejo de materiales / Camiones, carros y carretillas industriales</t>
        </is>
      </c>
      <c r="O5" s="4" t="inlineStr">
        <is>
          <t xml:space="preserve">1 Unidad · Camión volcador</t>
        </is>
      </c>
      <c r="P5" s="2"/>
      <c r="Q5" s="2"/>
      <c r="R5" s="0"/>
      <c r="S5" s="0" t="inlineStr">
        <is>
          <t xml:space="preserve">No</t>
        </is>
      </c>
      <c r="T5" s="4"/>
      <c r="U5" s="0" t="inlineStr">
        <is>
          <t xml:space="preserve">Servicios Generales</t>
        </is>
      </c>
      <c r="V5" s="4" t="inlineStr">
        <is>
          <t xml:space="preserve">El objetivo de este proceso de licitación es la adquisición de un camión nuevo con carrocería y plataforma de elevación para realizar trabajos en altura</t>
        </is>
      </c>
      <c r="W5" s="5" t="str">
        <f>HYPERLINK("https://www.mercadopublico.cl/Procurement/Modules/Attachment/ViewAttachment.aspx?enc=UJJI%2bzX%2bYk727nNV7Suz20u25m3Ho7Ki8iae%2bQV%2fwQtBbItkrEnsI1u779HlkU8ZqztzY3ys5ar1Pc3G9clAKHs5xk%2feoMLMesADs8AOmNPpVezhHeCpmxo0Oo%2bMJrhBoGSLEc%2bBvL1U9mJcIh3beyFdXjsLHTF29VBMyPOUrYU5Mi69C3hbpLB9Fa%2bdNs4M7BpzZlg8PdLawa7hbE82g2QUOi3ZNdGLF1vavModLv1bw%2bRPLoZRvTA32xPMZxIk2IUZwN9bsFZlr332KOB4G016hsPBKB7LOTiFJ7cQxkUyjGIic%2bmq3%2b%2b%2fyavvoHUL","descargar bases")</f>
      </c>
    </row>
    <row r="6">
      <c r="A6" s="0" t="inlineStr">
        <is>
          <t xml:space="preserve">2483-242-CO26</t>
        </is>
      </c>
      <c r="B6" s="4" t="inlineStr">
        <is>
          <t xml:space="preserve">“ADQUISICIÓN DE UNIFORMES PARA FUNCIONARIOS DE MOVILIZACIÓN MANTENCIÓN EQUIPAMIENTO CLÍNICO E INFORMÁTICA DEL DEPARTAMENTO DE SALUD MUNICIPALIDAD DE QUILICURA</t>
        </is>
      </c>
      <c r="C6" s="0" t="inlineStr">
        <is>
          <t xml:space="preserve">Publicada</t>
        </is>
      </c>
      <c r="D6" s="0" t="inlineStr">
        <is>
          <t xml:space="preserve">I MUNICIPALIDAD DE QUILICURA</t>
        </is>
      </c>
      <c r="E6" s="0" t="inlineStr">
        <is>
          <t xml:space="preserve">DEPARTAMENTO COMPRAS PÚBLICAS</t>
        </is>
      </c>
      <c r="F6" s="0" t="inlineStr">
        <is>
          <t xml:space="preserve">Región Metropolitana de Santiago</t>
        </is>
      </c>
      <c r="G6" s="0"/>
      <c r="H6" s="2">
        <v>46273.365613</v>
      </c>
      <c r="I6" s="2">
        <v>46286.625694</v>
      </c>
      <c r="J6" s="0">
        <v>2</v>
      </c>
      <c r="K6" s="3"/>
      <c r="L6" s="0" t="inlineStr">
        <is>
          <t xml:space="preserve">CLP</t>
        </is>
      </c>
      <c r="M6" s="0" t="inlineStr">
        <is>
          <t xml:space="preserve">CO</t>
        </is>
      </c>
      <c r="N6" s="4" t="inlineStr">
        <is>
          <t xml:space="preserve">Ropa, maletas y productos de aseo personal / Ropa / Uniformes</t>
        </is>
      </c>
      <c r="O6" s="4" t="inlineStr">
        <is>
          <t xml:space="preserve">1 Paquete · Uniformes varios</t>
        </is>
      </c>
      <c r="P6" s="2"/>
      <c r="Q6" s="2"/>
      <c r="R6" s="0"/>
      <c r="S6" s="0" t="inlineStr">
        <is>
          <t xml:space="preserve">No</t>
        </is>
      </c>
      <c r="T6" s="4"/>
      <c r="U6" s="0" t="inlineStr">
        <is>
          <t xml:space="preserve">Dirección de Asesoría Jurídica</t>
        </is>
      </c>
      <c r="V6" s="4" t="inlineStr">
        <is>
          <t xml:space="preserve">“ADQUISICIÓN DE UNIFORMES PARA FUNCIONARIOS DE MOVILIZACIÓN, MANTENCIÓN, EQUIPAMIENTO CLÍNICO E INFORMÁTICA DEL DEPARTAMENTO DE SALUD, MUNICIPALIDAD DE QUILICURA" DECRETO ALCALDICIO E. N°3401 APRUEBA LICITACIÓN PRIVADA</t>
        </is>
      </c>
      <c r="W6" s="5" t="str">
        <f>HYPERLINK("https://www.mercadopublico.cl/Procurement/Modules/Attachment/ViewAttachment.aspx?enc=mCvoX1kcS6QUPN3Y10ODxINgIzaveQ5FWF0BTELAMlQ5XFah9czxmYveDig6we7FwMfw00IFMBtvKEh4KtC0q5m%2binFtPrYaXo8KEZptEJfzDTH916IAMcqKCWWuuxu0Reh9GFaOfQ6Hz%2bIRdfFJwTl4wqhHJNVI37qagWkMHABEBIfJD5UbgB9F1OLjZl0s2CmfW3IWJGCdRTlpbPf0dtCxFxXi3%2bLEHYD6kO8KV2gYa8A3WgKFe5sDBYU5bUosKWwDSUyL%2ffQ3%2bG3m9JrbNx8l6szfa4SrlAXV37VPMxYIoYtq3g%2fRj3I2QASXUyD3","descargar bases")</f>
      </c>
    </row>
    <row r="7">
      <c r="A7" s="0" t="inlineStr">
        <is>
          <t xml:space="preserve">2710-55-LE26</t>
        </is>
      </c>
      <c r="B7" s="4" t="inlineStr">
        <is>
          <t xml:space="preserve">SERVICIO DE ARRIENDO TOTEM</t>
        </is>
      </c>
      <c r="C7" s="0" t="inlineStr">
        <is>
          <t xml:space="preserve">Publicada</t>
        </is>
      </c>
      <c r="D7" s="0" t="inlineStr">
        <is>
          <t xml:space="preserve">MUNICIPALIDAD DE OVALLE</t>
        </is>
      </c>
      <c r="E7" s="0" t="inlineStr">
        <is>
          <t xml:space="preserve">Depto. de Salud e Higiene Ambiental</t>
        </is>
      </c>
      <c r="F7" s="0" t="inlineStr">
        <is>
          <t xml:space="preserve">Región de Coquimbo </t>
        </is>
      </c>
      <c r="G7" s="0" t="inlineStr">
        <is>
          <t xml:space="preserve">Ovalle</t>
        </is>
      </c>
      <c r="H7" s="2">
        <v>46273.562859</v>
      </c>
      <c r="I7" s="2">
        <v>46286.625694</v>
      </c>
      <c r="J7" s="0">
        <v>2</v>
      </c>
      <c r="K7" s="3">
        <v>9999998.0</v>
      </c>
      <c r="L7" s="0" t="inlineStr">
        <is>
          <t xml:space="preserve">CLP</t>
        </is>
      </c>
      <c r="M7" s="0" t="inlineStr">
        <is>
          <t xml:space="preserve">LE</t>
        </is>
      </c>
      <c r="N7" s="4" t="inlineStr">
        <is>
          <t xml:space="preserve">Tecnologías de la información, telecomunicaciones y radiodifusión / Equipos informáticos y accesorios / Pantallas o monitores de computador</t>
        </is>
      </c>
      <c r="O7" s="4" t="inlineStr">
        <is>
          <t xml:space="preserve">1 Unidad · Monitores de pantalla táctil</t>
        </is>
      </c>
      <c r="P7" s="2"/>
      <c r="Q7" s="2"/>
      <c r="R7" s="0" t="inlineStr">
        <is>
          <t xml:space="preserve">12 meses</t>
        </is>
      </c>
      <c r="S7" s="0" t="inlineStr">
        <is>
          <t xml:space="preserve">No</t>
        </is>
      </c>
      <c r="T7" s="4"/>
      <c r="U7" s="0" t="inlineStr">
        <is>
          <t xml:space="preserve">VALERIA OLIVAREZ AGUILUZ</t>
        </is>
      </c>
      <c r="V7" s="4" t="inlineStr">
        <is>
          <t xml:space="preserve">SERVICIO DE ARRIENDO TOTEM , TV y LICENCIA DE SISTEMA GESTOR DE FILA PARA TOTEM EN CENTROS DE SALUD</t>
        </is>
      </c>
      <c r="W7" s="5" t="str">
        <f>HYPERLINK("https://www.mercadopublico.cl/Procurement/Modules/Attachment/ViewAttachment.aspx?enc=dMwqsLy4yWhPvUl5wzJC132KOngz0ZQg%2f7qy%2beOKXbJnMeb1RVy%2fNwR2tJ3ZQ7OhlR2h1ye9ue3Qeex2J6bZxXNMZvRDqEy%2boaLbP4licGpa%2b%2fkF75EmeMqm6duPIuP9agHdiAYPzs%2b0QbIXGzHxV3%2f5ygwzF02xJmjEVdzPuKdOGAHXDs67Cg9uXJ%2fKpAillPDNQvkswl%2f4%2bkQuAhI4GClsuwkWFGKQ9fAZyW8VgA8kqQfdKs70qolvdJNvKYXPr5QNNVEdofECtJ9a41pgQsQBcOpBOV1lxakU0mFyko3N5sIqHcGJX27TF3Rgi9oA","descargar bases")</f>
      </c>
    </row>
    <row r="8">
      <c r="A8" s="0" t="inlineStr">
        <is>
          <t xml:space="preserve">3810-23-LE26</t>
        </is>
      </c>
      <c r="B8" s="4" t="inlineStr">
        <is>
          <t xml:space="preserve">ADQUISICION DE SOFTWARE DE DISEÑO CAD Y REVISION DE MODELOS BIM PARA LA DIRECCION DE OBRAS MUNICIPALES DE LA I. MUNICIPALIDAD DE PICHILEMU</t>
        </is>
      </c>
      <c r="C8" s="0" t="inlineStr">
        <is>
          <t xml:space="preserve">Publicada</t>
        </is>
      </c>
      <c r="D8" s="0" t="inlineStr">
        <is>
          <t xml:space="preserve">ILUSTRE MUNICIPALIDAD DE PICHILEMU</t>
        </is>
      </c>
      <c r="E8" s="0" t="inlineStr">
        <is>
          <t xml:space="preserve">Ilustre Municipalidad de Pichilemu</t>
        </is>
      </c>
      <c r="F8" s="0" t="inlineStr">
        <is>
          <t xml:space="preserve">Región del Libertador General Bernardo O´Higgins</t>
        </is>
      </c>
      <c r="G8" s="0" t="inlineStr">
        <is>
          <t xml:space="preserve">Pichilemu</t>
        </is>
      </c>
      <c r="H8" s="2">
        <v>46274.389583</v>
      </c>
      <c r="I8" s="2">
        <v>46286.625694</v>
      </c>
      <c r="J8" s="0">
        <v>2</v>
      </c>
      <c r="K8" s="3">
        <v>18000000.0</v>
      </c>
      <c r="L8" s="0" t="inlineStr">
        <is>
          <t xml:space="preserve">CLP</t>
        </is>
      </c>
      <c r="M8" s="0" t="inlineStr">
        <is>
          <t xml:space="preserve">LE</t>
        </is>
      </c>
      <c r="N8" s="4" t="inlineStr">
        <is>
          <t xml:space="preserve">Tecnologías de la información, telecomunicaciones y radiodifusión / Software / Software de gestión</t>
        </is>
      </c>
      <c r="O8" s="4" t="inlineStr">
        <is>
          <t xml:space="preserve">1 Unidad · Software de gestión de licencias</t>
        </is>
      </c>
      <c r="P8" s="2"/>
      <c r="Q8" s="2"/>
      <c r="R8" s="0"/>
      <c r="S8" s="0" t="inlineStr">
        <is>
          <t xml:space="preserve">No</t>
        </is>
      </c>
      <c r="T8" s="4"/>
      <c r="U8" s="0" t="inlineStr">
        <is>
          <t xml:space="preserve">Luis Caceres Cordova</t>
        </is>
      </c>
      <c r="V8" s="4" t="inlineStr">
        <is>
          <t xml:space="preserve">ADQUISICION DE SOFTWARE DE DISEÑO CAD Y REVISION DE MODELOS BIM PARA LA DIRECCION DE OBRAS MUNICIPALES DE LA I. MUNICIPALIDAD DE PICHILEMU</t>
        </is>
      </c>
      <c r="W8" s="5" t="str">
        <f>HYPERLINK("https://www.mercadopublico.cl/Procurement/Modules/Attachment/ViewAttachment.aspx?enc=tje67z909W6lpMnbPogElQez%2fDLHrkXKA1lfTnCKX%2f9UU1nnWRwTLNZX1TcE1tUcvjwiywFAKrg3Qeltg82FRTqjUrkptp49TW0Q%2fjAvkwfkb%2bX61vdOFYDtnoVYPKyRHpo8Vq%2f3l%2bYUEQ%2fyKmEJX0MiHfAIfAhIQDt%2brbkBvRBaOek4yxXXWeQp7YvsGfkdMB3O5Wz9mYPS8IAbbuTpeOdEGEpMt2Nw83TpPcYcWqdbwlldBlEakJj98rK4hHZzUMl6T2Ymb52RAJ3nztaRAD2Q2pN0eXk8bUZaasb083n2PaMJ%2beS4o2Rd0MTqZaTE","descargar bases")</f>
      </c>
    </row>
    <row r="9">
      <c r="A9" s="0" t="inlineStr">
        <is>
          <t xml:space="preserve">45-48-LE26</t>
        </is>
      </c>
      <c r="B9" s="4" t="inlineStr">
        <is>
          <t xml:space="preserve">SERVICIO DE MANTENCIÓN DE NUBES ACÚSTICAS PARA LAS DEPENDENCIAS DEL PRIMER PISO SENCE NIVEL CENTRAL</t>
        </is>
      </c>
      <c r="C9" s="0" t="inlineStr">
        <is>
          <t xml:space="preserve">Publicada</t>
        </is>
      </c>
      <c r="D9" s="0" t="inlineStr">
        <is>
          <t xml:space="preserve">SERVICIO NACIONAL DE CAPACITACION Y EMPLEO</t>
        </is>
      </c>
      <c r="E9" s="0" t="inlineStr">
        <is>
          <t xml:space="preserve">Servicio Nacional de Capacitación y Empleo</t>
        </is>
      </c>
      <c r="F9" s="0" t="inlineStr">
        <is>
          <t xml:space="preserve">Región Metropolitana de Santiago</t>
        </is>
      </c>
      <c r="G9" s="0"/>
      <c r="H9" s="2">
        <v>46272.504109</v>
      </c>
      <c r="I9" s="2">
        <v>46286.625694</v>
      </c>
      <c r="J9" s="0">
        <v>2</v>
      </c>
      <c r="K9" s="3">
        <v>10620000.0</v>
      </c>
      <c r="L9" s="0" t="inlineStr">
        <is>
          <t xml:space="preserve">CLP</t>
        </is>
      </c>
      <c r="M9" s="0" t="inlineStr">
        <is>
          <t xml:space="preserve">LE</t>
        </is>
      </c>
      <c r="N9" s="4" t="inlineStr">
        <is>
          <t xml:space="preserve">Servicios medioambientales / Servicios de seguimiento, control o rehabilitación de agentes contaminantes / Control de la contaminación acústica</t>
        </is>
      </c>
      <c r="O9" s="4" t="inlineStr">
        <is>
          <t xml:space="preserve">1 Unidad · Servicios de control de la contaminación acústica</t>
        </is>
      </c>
      <c r="P9" s="2"/>
      <c r="Q9" s="2"/>
      <c r="R9" s="0" t="inlineStr">
        <is>
          <t xml:space="preserve">40 días</t>
        </is>
      </c>
      <c r="S9" s="0" t="inlineStr">
        <is>
          <t xml:space="preserve">No</t>
        </is>
      </c>
      <c r="T9" s="4"/>
      <c r="U9" s="0" t="inlineStr">
        <is>
          <t xml:space="preserve">Diego Figueroa Muñoz</t>
        </is>
      </c>
      <c r="V9" s="4" t="inlineStr">
        <is>
          <t xml:space="preserve">El presente proceso licitatorio tiene como objetivo asegurar la mantención integral del sistema de nubes acústicas, mediante acciones preventivas y correctivas que permitan conservar su funcionalidad, reparar fallas existentes y reemplazar componentes deficientes, garantizando el confort acústico del área de trabajo, correspondientes a SENCE Nivel Central, ubicadas en Teatinos 370, Comuna de Santiago, Región Metropolitana.</t>
        </is>
      </c>
      <c r="W9" s="5" t="str">
        <f>HYPERLINK("https://www.mercadopublico.cl/Procurement/Modules/Attachment/ViewAttachment.aspx?enc=Q4ynIznZhHe%2bUZ%2ftCWoAi6%2fXxr%2bY24xFeG6Wdrg0MzQXDlH6dtwkMz9DPJ1zN762aQEFdADqZwuyRqIhWoQ8ZfHmP5e%2fT7IIBRAkaBqJcCRETo7tc5NSGD2j6qWbDhQN53EVMdGdhSzW3KnWlWjcgotS0U0N0IpPqgMkhiNmUpRpQxYf7Bhmq1s9EKyh7FWChmkMf6riseCWUZoBKGjv%2fr%2boudbIcIzgUxcrdVkrjNUnrzFz9wKh6465ntXXHLG6on5%2fv%2bN8oZAm07z80FmFwUKpG%2bhPbQJFjQq80%2fBm235bbF7fbmG7ROneER2gcpmd","descargar bases")</f>
      </c>
    </row>
    <row r="10">
      <c r="A10" s="0" t="inlineStr">
        <is>
          <t xml:space="preserve">598-20-LE26</t>
        </is>
      </c>
      <c r="B10" s="4" t="inlineStr">
        <is>
          <t xml:space="preserve">Adquisición Licencias de Software para DIPRECA</t>
        </is>
      </c>
      <c r="C10" s="0" t="inlineStr">
        <is>
          <t xml:space="preserve">Publicada</t>
        </is>
      </c>
      <c r="D10" s="0" t="inlineStr">
        <is>
          <t xml:space="preserve">DIRECCION PREVISION DE CARABINEROS DE CHILE</t>
        </is>
      </c>
      <c r="E10" s="0" t="inlineStr">
        <is>
          <t xml:space="preserve">Unidad de Abastecimiento DIPRECA</t>
        </is>
      </c>
      <c r="F10" s="0" t="inlineStr">
        <is>
          <t xml:space="preserve">Región Metropolitana de Santiago</t>
        </is>
      </c>
      <c r="G10" s="0" t="inlineStr">
        <is>
          <t xml:space="preserve">Santiago</t>
        </is>
      </c>
      <c r="H10" s="2">
        <v>46268.704167</v>
      </c>
      <c r="I10" s="2">
        <v>46286.625694</v>
      </c>
      <c r="J10" s="0">
        <v>2</v>
      </c>
      <c r="K10" s="3"/>
      <c r="L10" s="0" t="inlineStr">
        <is>
          <t xml:space="preserve">CLP</t>
        </is>
      </c>
      <c r="M10" s="0" t="inlineStr">
        <is>
          <t xml:space="preserve">LE</t>
        </is>
      </c>
      <c r="N10" s="4" t="inlineStr">
        <is>
          <t xml:space="preserve">Tecnologías de la información, telecomunicaciones y radiodifusión / Software / Software de gestión</t>
        </is>
      </c>
      <c r="O10" s="4" t="inlineStr">
        <is>
          <t xml:space="preserve">1 Unidad · Software de gestión de licencias · 3 Unidad · Software de gestión de licencias · 4 Unidad · Software de gestión de licencias · y 1 más</t>
        </is>
      </c>
      <c r="P10" s="2"/>
      <c r="Q10" s="2"/>
      <c r="R10" s="0" t="inlineStr">
        <is>
          <t xml:space="preserve">36 meses</t>
        </is>
      </c>
      <c r="S10" s="0" t="inlineStr">
        <is>
          <t xml:space="preserve">No</t>
        </is>
      </c>
      <c r="T10" s="4"/>
      <c r="U10" s="0" t="inlineStr">
        <is>
          <t xml:space="preserve">Alex Saavedra Carrasco</t>
        </is>
      </c>
      <c r="V10" s="4" t="inlineStr">
        <is>
          <t xml:space="preserve">Contratación del licenciamiento de CLOUDFLARE BUSINESS, CROWDSEC, INTELLIJ SOFTWARE PACK COMPLETO DE 11 IDE, SEGÚN DETALLE ADJUNTO, TRAE IA, ENTORNO DE DESARROLLO INTEGRADO ULTRA, que permitirán a Dipreca contar con herramientas avanzadas de edición, creación y gestión de documentos PDF.</t>
        </is>
      </c>
      <c r="W10" s="5" t="str">
        <f>HYPERLINK("https://www.mercadopublico.cl/Procurement/Modules/Attachment/ViewAttachment.aspx?enc=wxzqfYsqGaiiTtLfxTterPH9Zcu1K3klGgv2URdsf6K%2blesLJ1NAAKuv6v8iNVTCZPdvDGh1LMYb%2bqK3GEKBLybZ2yt3giGfO8DYkaE72AqEEGEomHFZLwEl42DEMU43pt7rciHC6ahYmB87asTPrHxM4jvL%2bQWpWWQOy%2bFjUbcmvWin1RE1cXVsBvVkY6XcFMKU3SrBlTN4UYgQpJZCzid538wTP%2b%2foKK9adORufeeRwE9CNkeQad%2bhFzglf4SKdhrfi6UBzboaA181xGFGDwRl1aLmM33hEK0sBr4TyyFBP8D9FrGYhtixIksZuOkG","descargar bases")</f>
      </c>
    </row>
    <row r="11">
      <c r="A11" s="0" t="inlineStr">
        <is>
          <t xml:space="preserve">875-7-LE26</t>
        </is>
      </c>
      <c r="B11" s="4" t="inlineStr">
        <is>
          <t xml:space="preserve">SERV. INFORMES Y PLATAFORMA DE PROYECTOS INVERSIÓN</t>
        </is>
      </c>
      <c r="C11" s="0" t="inlineStr">
        <is>
          <t xml:space="preserve">Publicada</t>
        </is>
      </c>
      <c r="D11" s="0" t="inlineStr">
        <is>
          <t xml:space="preserve">AGENCIA DE PROMOCION DE LA INVERSION EXTRANJERA</t>
        </is>
      </c>
      <c r="E11" s="0" t="inlineStr">
        <is>
          <t xml:space="preserve">Agencia de Promoción de la Inversión Extranjera</t>
        </is>
      </c>
      <c r="F11" s="0" t="inlineStr">
        <is>
          <t xml:space="preserve">Región Metropolitana de Santiago</t>
        </is>
      </c>
      <c r="G11" s="0" t="inlineStr">
        <is>
          <t xml:space="preserve">Santiago</t>
        </is>
      </c>
      <c r="H11" s="2">
        <v>46273.666088</v>
      </c>
      <c r="I11" s="2">
        <v>46286.625694</v>
      </c>
      <c r="J11" s="0">
        <v>2</v>
      </c>
      <c r="K11" s="3">
        <v>440.0</v>
      </c>
      <c r="L11" s="0" t="inlineStr">
        <is>
          <t xml:space="preserve">CLF</t>
        </is>
      </c>
      <c r="M11" s="0" t="inlineStr">
        <is>
          <t xml:space="preserve">LE</t>
        </is>
      </c>
      <c r="N11" s="4" t="inlineStr">
        <is>
          <t xml:space="preserve">Productos impresos y publicaciones / Medios impresos / Publicaciones impresas</t>
        </is>
      </c>
      <c r="O11" s="4" t="inlineStr">
        <is>
          <t xml:space="preserve">1 Unidad · Publicaciones periódicas</t>
        </is>
      </c>
      <c r="P11" s="2"/>
      <c r="Q11" s="2"/>
      <c r="R11" s="0" t="inlineStr">
        <is>
          <t xml:space="preserve">12 meses</t>
        </is>
      </c>
      <c r="S11" s="0" t="inlineStr">
        <is>
          <t xml:space="preserve">No</t>
        </is>
      </c>
      <c r="T11" s="4"/>
      <c r="U11" s="0" t="inlineStr">
        <is>
          <t xml:space="preserve">Ana Karina Duarte</t>
        </is>
      </c>
      <c r="V11" s="4" t="inlineStr">
        <is>
          <t xml:space="preserve">SERVICIO DE ELABORACIÓN Y ENTREGA DE INFORMES DE PROYECTOS DE INVERSIÓN EN CHILE Y ACCESO A UNA PLATAFORMA ONLINE DE SEGUIMIENTO DE PROYECTOS DE INVERSIÓN PARA LA AGENCIA DE PROMOCIÓN DE LA INVERSIÓN EXTRANJERA</t>
        </is>
      </c>
      <c r="W11" s="5" t="str">
        <f>HYPERLINK("https://www.mercadopublico.cl/Procurement/Modules/Attachment/ViewAttachment.aspx?enc=Jg8jPgTJl2oW4tgofuLXSd0ybKSst%2fhAS8BqKxsBV4X%2bi10UPQilMc%2f%2frXl%2f82L2m8bnRDCD%2bpmcoSsmzMEnOE332P3ByyQXnL94M6IB6xjXK2KY5KdU%2f5sPs%2fqIaIaogzpTIS%2fMZP4wYkxLzwf07z1M2tVyKh%2bJl3j9ZVscdgg3pMdfh9YtrH4EKst2t6DIgkB3PWxPHlTBD0b1vqsd5sI7h44bclU9YJs%2beRrVzq7D%2br9sSV4fbk51fK5hwBt6KSBDczOeTgA4bAP7MIU7pgLHzGbHfuJA4L824TR6U0Vp%2bnwOeH8CPnkm1a4dgDYP","descargar bases")</f>
      </c>
    </row>
    <row r="12">
      <c r="A12" s="0" t="inlineStr">
        <is>
          <t xml:space="preserve">2785-78-LE26</t>
        </is>
      </c>
      <c r="B12" s="4" t="inlineStr">
        <is>
          <t xml:space="preserve">SDA 6375 SERVICIOS DE PUBLICIDAD Y DIFUSIÓN GESTIÓN MUNICIPAL EN MEDIOS DIGITALES Y PANTALLA LED</t>
        </is>
      </c>
      <c r="C12" s="0" t="inlineStr">
        <is>
          <t xml:space="preserve">Publicada</t>
        </is>
      </c>
      <c r="D12" s="0" t="inlineStr">
        <is>
          <t xml:space="preserve">I MUNICIPALIDAD DE SAN PEDRO DE LA PAZ</t>
        </is>
      </c>
      <c r="E12" s="0" t="inlineStr">
        <is>
          <t xml:space="preserve">I MUNICIPALIDAD DE SAN PEDRO DE LA PAZ</t>
        </is>
      </c>
      <c r="F12" s="0" t="inlineStr">
        <is>
          <t xml:space="preserve">Región del Biobío </t>
        </is>
      </c>
      <c r="G12" s="0" t="inlineStr">
        <is>
          <t xml:space="preserve">San Pedro de La Paz</t>
        </is>
      </c>
      <c r="H12" s="2">
        <v>46269.724884</v>
      </c>
      <c r="I12" s="2">
        <v>46286.625694</v>
      </c>
      <c r="J12" s="0">
        <v>2</v>
      </c>
      <c r="K12" s="3">
        <v>19800000.0</v>
      </c>
      <c r="L12" s="0" t="inlineStr">
        <is>
          <t xml:space="preserve">CLP</t>
        </is>
      </c>
      <c r="M12" s="0" t="inlineStr">
        <is>
          <t xml:space="preserve">LE</t>
        </is>
      </c>
      <c r="N12" s="4" t="inlineStr">
        <is>
          <t xml:space="preserve">Servicios editoriales, de diseño, publicidad, gráficos y artistas / Publicidad / Agencias de publicidad, Servicios editoriales, de diseño, publicidad, gráficos y artistas / Publicidad / Publicidad en medios no impresos</t>
        </is>
      </c>
      <c r="O12" s="4" t="inlineStr">
        <is>
          <t xml:space="preserve">3 Mes · Campañas publicitarias · 2 Mes · Publicidad en Internet</t>
        </is>
      </c>
      <c r="P12" s="2"/>
      <c r="Q12" s="2"/>
      <c r="R12" s="0" t="inlineStr">
        <is>
          <t xml:space="preserve">3 meses</t>
        </is>
      </c>
      <c r="S12" s="0" t="inlineStr">
        <is>
          <t xml:space="preserve">No</t>
        </is>
      </c>
      <c r="T12" s="4"/>
      <c r="U12" s="0" t="inlineStr">
        <is>
          <t xml:space="preserve">ANDRES BUSTAMANTE CONTRERAS</t>
        </is>
      </c>
      <c r="V12" s="4" t="inlineStr">
        <is>
          <t xml:space="preserve">SERVICIOS DE PUBLICIDAD Y DIFUSIÓN GESTIÓN MUNICIPAL, SOLICITADOS POR EL DEPARTAMENTO DE COMUNICACIONES, PERIODO OCTUBRE DICIEMBRE 2026, SEGUN REQUERIMIENTOS EN BASES ADMINISTRATIVAS Y TECNICAS</t>
        </is>
      </c>
      <c r="W12" s="5" t="str">
        <f>HYPERLINK("https://www.mercadopublico.cl/Procurement/Modules/Attachment/ViewAttachment.aspx?enc=ccI5U4jksk6CvHXY%2bWLelpoDJj35EVgrO1zRXJHgZXW7QmNJbHnVXjrYwOYgMLST8oV01QZn3kAg6tFd%2b3y%2bftO1qk8dtT4yXRyNT%2fUGj3WW0D1wdqrS6aqFAMS8en2FzK9TwvaCY3dD2duUJmKnHkMnyqgnJpPwHm1LGRFUwv4fGrTINs%2bksrPziTy2wI7Fxj2APc5JkyLwtxBsAPsJF9yDNByXudaiEIkh5HSOUbFTKPVMsodCOMJ9wmlF%2fFHI2CKBvGGHtPe%2fimGC6dY38R3T9AkwKgp8ggZC2km7TM%2f2g5X9pH9lD3ADa8XIEeAH","descargar bases")</f>
      </c>
    </row>
    <row r="13">
      <c r="A13" s="0" t="inlineStr">
        <is>
          <t xml:space="preserve">1016-9-LE26</t>
        </is>
      </c>
      <c r="B13" s="4" t="inlineStr">
        <is>
          <t xml:space="preserve">Equipamiento Informático 11 Notebook Workstation</t>
        </is>
      </c>
      <c r="C13" s="0" t="inlineStr">
        <is>
          <t xml:space="preserve">Publicada</t>
        </is>
      </c>
      <c r="D13" s="0" t="inlineStr">
        <is>
          <t xml:space="preserve">MINISTERIO DE OBRAS PUBLICAS DIREC CION GRAL DE OO PP DCYF</t>
        </is>
      </c>
      <c r="E13" s="0" t="inlineStr">
        <is>
          <t xml:space="preserve">Dirección de Planeamiento - MOP</t>
        </is>
      </c>
      <c r="F13" s="0" t="inlineStr">
        <is>
          <t xml:space="preserve">Región Metropolitana de Santiago</t>
        </is>
      </c>
      <c r="G13" s="0" t="inlineStr">
        <is>
          <t xml:space="preserve">Santiago Centro</t>
        </is>
      </c>
      <c r="H13" s="2">
        <v>46272.40037</v>
      </c>
      <c r="I13" s="2">
        <v>46286.645833</v>
      </c>
      <c r="J13" s="0">
        <v>2</v>
      </c>
      <c r="K13" s="3">
        <v>35750000.0</v>
      </c>
      <c r="L13" s="0" t="inlineStr">
        <is>
          <t xml:space="preserve">CLP</t>
        </is>
      </c>
      <c r="M13" s="0" t="inlineStr">
        <is>
          <t xml:space="preserve">LE</t>
        </is>
      </c>
      <c r="N13" s="4" t="inlineStr">
        <is>
          <t xml:space="preserve">Tecnologías de la información, telecomunicaciones y radiodifusión / Equipos informáticos y accesorios / Computadores</t>
        </is>
      </c>
      <c r="O13" s="4" t="inlineStr">
        <is>
          <t xml:space="preserve">11 Unidad · Notebook, laptop o computador portátil excepto Tablet PC</t>
        </is>
      </c>
      <c r="P13" s="2"/>
      <c r="Q13" s="2"/>
      <c r="R13" s="0"/>
      <c r="S13" s="0" t="inlineStr">
        <is>
          <t xml:space="preserve">No</t>
        </is>
      </c>
      <c r="T13" s="4" t="inlineStr">
        <is>
          <t xml:space="preserve">Se prohíbe la subcontratación ya que se adjudica de acuerdo a la oferta del proveedor y sus características especiales.</t>
        </is>
      </c>
      <c r="U13" s="0" t="inlineStr">
        <is>
          <t xml:space="preserve">Leonardo Rivera Llanquiman</t>
        </is>
      </c>
      <c r="V13" s="4" t="inlineStr">
        <is>
          <t xml:space="preserve">Adquisición de equipamiento informático, en específico 11 equipos Notebook Workstation, dado la obsolescencia tecnológica de los equipos o inexistencia de estos, para la Dirección de Planeamiento (DIRPLAN) del Ministerio de Obras Públicas (MOP).</t>
        </is>
      </c>
      <c r="W13" s="5" t="str">
        <f>HYPERLINK("https://www.mercadopublico.cl/Procurement/Modules/Attachment/ViewAttachment.aspx?enc=M9NOGcfngPnhgj1OqSkQnIeGDZ5VbD62gh2jT1g54VtIGyQT%2bqtI6044cjonCb7H6FhTGiBw7Otiu%2fdfqErF8O5hxwp1Jhm5P%2bIZo7kOAIANFHDE8tx984g06yblSQPi5F7C7z2ZRE9sb2eGI7MSaugGWaE8%2fyBzS8kMgDdbncv563ShrSPyy8PweuYuJ20mldSqTb2Bi4Z7H71cwD1on1s3YBbF6cam2XG2zXYu63bcSOUEUu2Vgg0pxPmlfAb%2blbuhMQMZn9nsepUtA2TLVN8SeKPEO34nB94zIIIxofBkA4TDAlzknZ11wwM148Ta","descargar bases")</f>
      </c>
    </row>
    <row r="14">
      <c r="A14" s="0" t="inlineStr">
        <is>
          <t xml:space="preserve">1057390-48-LP26</t>
        </is>
      </c>
      <c r="B14" s="4" t="inlineStr">
        <is>
          <t xml:space="preserve">CONV. RADIOCOMUNICACIÓN DIGITAL SAMU</t>
        </is>
      </c>
      <c r="C14" s="0" t="inlineStr">
        <is>
          <t xml:space="preserve">Publicada</t>
        </is>
      </c>
      <c r="D14" s="0" t="inlineStr">
        <is>
          <t xml:space="preserve">SERVICIO DE SALUD ARAUCANIA NORTE</t>
        </is>
      </c>
      <c r="E14" s="0" t="inlineStr">
        <is>
          <t xml:space="preserve">Bienes y Servicios</t>
        </is>
      </c>
      <c r="F14" s="0" t="inlineStr">
        <is>
          <t xml:space="preserve">Región de la Araucanía </t>
        </is>
      </c>
      <c r="G14" s="0"/>
      <c r="H14" s="2">
        <v>46254.446528</v>
      </c>
      <c r="I14" s="2">
        <v>46286.645833</v>
      </c>
      <c r="J14" s="0">
        <v>2</v>
      </c>
      <c r="K14" s="3">
        <v>180329688.0</v>
      </c>
      <c r="L14" s="0" t="inlineStr">
        <is>
          <t xml:space="preserve">CLP</t>
        </is>
      </c>
      <c r="M14" s="0" t="inlineStr">
        <is>
          <t xml:space="preserve">LP</t>
        </is>
      </c>
      <c r="N14" s="4" t="inlineStr">
        <is>
          <t xml:space="preserve">Servicios básicos y de información pública / Telecomunicaciones / Servicios de radio</t>
        </is>
      </c>
      <c r="O14" s="4" t="inlineStr">
        <is>
          <t xml:space="preserve">1 Mes · Sistemas de radio a pequeña escala</t>
        </is>
      </c>
      <c r="P14" s="2"/>
      <c r="Q14" s="2"/>
      <c r="R14" s="0" t="inlineStr">
        <is>
          <t xml:space="preserve">24 meses</t>
        </is>
      </c>
      <c r="S14" s="0" t="inlineStr">
        <is>
          <t xml:space="preserve">No</t>
        </is>
      </c>
      <c r="T14" s="4"/>
      <c r="U14" s="0" t="inlineStr">
        <is>
          <t xml:space="preserve">Gastón Lorca Troncoso</t>
        </is>
      </c>
      <c r="V14" s="4" t="inlineStr">
        <is>
          <t xml:space="preserve">La presente licitación tiene como objetivo, contratar un servicio mensual de comunicaciones digitales de voz para SAMU Malleco, según Especificaciones Técnicas (Anexo 4).</t>
        </is>
      </c>
      <c r="W14" s="5" t="str">
        <f>HYPERLINK("https://www.mercadopublico.cl/Procurement/Modules/Attachment/ViewAttachment.aspx?enc=LlYorJGoprFLjPwF5qGX7tYlB8yzcC5RdsdPJkxPt3D7arM1xjNRUX2m%2bllfHFR%2bYfb9jtAZlI0FS8apSQVYSG3A7scO8I3BCoLtvhCjc18uCfZih9tGYxebjuv8pvgBiRN6q0hOORs%2bfj3PpDoXx3Sx039UIqejta3Tf0Pc9hWMoUqtpwj%2fStnP79tfCYXyS%2bPuFatM1Wis%2fga1d%2bH8ob3puScAWjZ2DwPmJgmZHk4ZVb0r3fKK4mVL3LmW2W%2fORkO5MOhwPlldcXWPpIWW%2bUhdsxCX%2bLoBYNkVBtNUodO2sM%2fDIWbO2c%2bwlz0ZMCkz","descargar bases")</f>
      </c>
    </row>
    <row r="15">
      <c r="A15" s="0" t="inlineStr">
        <is>
          <t xml:space="preserve">1456839-6-LP26</t>
        </is>
      </c>
      <c r="B15" s="4" t="inlineStr">
        <is>
          <t xml:space="preserve">SERVICIO DE ARRIENDO Y MANTENCIÓN DE SOFTWARE DE REMUNERACIONES Y GESTIÓN DE PERSONAS</t>
        </is>
      </c>
      <c r="C15" s="0" t="inlineStr">
        <is>
          <t xml:space="preserve">Publicada</t>
        </is>
      </c>
      <c r="D15" s="0" t="inlineStr">
        <is>
          <t xml:space="preserve">SERVICIO LOCAL DE EDUCACIÓN PÚBLICA LOS COPIHUES</t>
        </is>
      </c>
      <c r="E15" s="0" t="inlineStr">
        <is>
          <t xml:space="preserve">SERVICIO LOCAL DE EDUCACIÓN PÚBLICA LOS COPIHUES</t>
        </is>
      </c>
      <c r="F15" s="0" t="inlineStr">
        <is>
          <t xml:space="preserve">Región del Biobío </t>
        </is>
      </c>
      <c r="G15" s="0"/>
      <c r="H15" s="2">
        <v>46274.713866</v>
      </c>
      <c r="I15" s="2">
        <v>46286.645833</v>
      </c>
      <c r="J15" s="0">
        <v>2</v>
      </c>
      <c r="K15" s="3">
        <v>192000000.0</v>
      </c>
      <c r="L15" s="0" t="inlineStr">
        <is>
          <t xml:space="preserve">CLP</t>
        </is>
      </c>
      <c r="M15" s="0" t="inlineStr">
        <is>
          <t xml:space="preserve">LP</t>
        </is>
      </c>
      <c r="N15" s="4" t="inlineStr">
        <is>
          <t xml:space="preserve">Tecnologías de la información, telecomunicaciones y radiodifusión / Software / Software de consultas y gestión de datos</t>
        </is>
      </c>
      <c r="O15" s="4" t="inlineStr">
        <is>
          <t xml:space="preserve">1 Unidad · Software del sistema de administración de bases de datos</t>
        </is>
      </c>
      <c r="P15" s="2"/>
      <c r="Q15" s="2"/>
      <c r="R15" s="0" t="inlineStr">
        <is>
          <t xml:space="preserve">24 meses</t>
        </is>
      </c>
      <c r="S15" s="0" t="inlineStr">
        <is>
          <t xml:space="preserve">No</t>
        </is>
      </c>
      <c r="T15" s="4"/>
      <c r="U15" s="0" t="inlineStr">
        <is>
          <t xml:space="preserve">Alvaro Ravanal</t>
        </is>
      </c>
      <c r="V15" s="4" t="inlineStr">
        <is>
          <t xml:space="preserve">SERVICIO DE ARRIENDO Y MANTENCIÓN DE SOFTWARE DE REMUNERACIONES Y GESTIÓN DE PERSONAS</t>
        </is>
      </c>
      <c r="W15" s="5" t="str">
        <f>HYPERLINK("https://www.mercadopublico.cl/Procurement/Modules/Attachment/ViewAttachment.aspx?enc=Gpyc03hh1aPmshPPFCIfJ81eGnw%2fztv3LsmN4GrNOrM0YYj1L36OVI51h3KdYzYczKpAMLf1SgllO1ogcZ2MfwKlBOpPhXH5MohjPpQJhQEFNtMaW1g5sTnAnmD4HaVliZuGkhrWL%2bSzoxs7JWtLzcM7sy5%2bS70LzR3lrxW58T5qCGSWg5UXqfsZlEeMbB1vSBnG0ppn22tl8ucftp7FpuTEcNjx58GFN%2fU10y%2faKE5iwzYO8ZOHqDaAH3VrQsxqTeC%2bz1M3%2fALaJhhz4OlzqHsarTckG%2f2%2fclfJyxV5APlYMM8G3sSgAX1rNbEEAlBQ","descargar bases")</f>
      </c>
    </row>
    <row r="16">
      <c r="A16" s="0" t="inlineStr">
        <is>
          <t xml:space="preserve">5418-13-LE26</t>
        </is>
      </c>
      <c r="B16" s="4" t="inlineStr">
        <is>
          <t xml:space="preserve">Digitalización Documentos Almacenados Bodega</t>
        </is>
      </c>
      <c r="C16" s="0" t="inlineStr">
        <is>
          <t xml:space="preserve">Publicada</t>
        </is>
      </c>
      <c r="D16" s="0" t="inlineStr">
        <is>
          <t xml:space="preserve">GOBIERNO REGIONAL DE LOS RIOS</t>
        </is>
      </c>
      <c r="E16" s="0" t="inlineStr">
        <is>
          <t xml:space="preserve">Gobierno Regional de Los Ríos</t>
        </is>
      </c>
      <c r="F16" s="0" t="inlineStr">
        <is>
          <t xml:space="preserve">Región de Los Ríos</t>
        </is>
      </c>
      <c r="G16" s="0" t="inlineStr">
        <is>
          <t xml:space="preserve">Valdivia</t>
        </is>
      </c>
      <c r="H16" s="2">
        <v>46274.701389</v>
      </c>
      <c r="I16" s="2">
        <v>46286.645833</v>
      </c>
      <c r="J16" s="0">
        <v>2</v>
      </c>
      <c r="K16" s="3">
        <v>56000000.0</v>
      </c>
      <c r="L16" s="0" t="inlineStr">
        <is>
          <t xml:space="preserve">CLP</t>
        </is>
      </c>
      <c r="M16" s="0" t="inlineStr">
        <is>
          <t xml:space="preserve">LE</t>
        </is>
      </c>
      <c r="N16" s="4" t="inlineStr">
        <is>
          <t xml:space="preserve">Servicios basados en ingeniería, ciencias sociales y tecnología de la información / Servicios informáticos / Servicios de datos</t>
        </is>
      </c>
      <c r="O16" s="4" t="inlineStr">
        <is>
          <t xml:space="preserve">1 Unidad · Servicios de digitalización de documentos</t>
        </is>
      </c>
      <c r="P16" s="2"/>
      <c r="Q16" s="2"/>
      <c r="R16" s="0"/>
      <c r="S16" s="0" t="inlineStr">
        <is>
          <t xml:space="preserve">No</t>
        </is>
      </c>
      <c r="T16" s="4" t="inlineStr">
        <is>
          <t xml:space="preserve">De acuerdo a lo estipulado en las bases.</t>
        </is>
      </c>
      <c r="U16" s="0" t="inlineStr">
        <is>
          <t xml:space="preserve">HERNÁN CARRILLO RÍOS</t>
        </is>
      </c>
      <c r="V16" s="4" t="inlineStr">
        <is>
          <t xml:space="preserve">Servicio de Digitalización Documentos Almacenados en Bodega- Comuna de Mafil, Región de los Ríos.</t>
        </is>
      </c>
      <c r="W16" s="5" t="str">
        <f>HYPERLINK("https://www.mercadopublico.cl/Procurement/Modules/Attachment/ViewAttachment.aspx?enc=FXzYtS1f2wIOutjs%2ftG1rfeCKk6Tx8eGwUfUfnG29aQEKqz23edlU3dsciCCk2gWB%2bycpSvBTHZy%2f2lrsp0FCVJcJvMWP31n0ioTQ%2fGuxpcBgVoHq6VLsMMRBpQjIYY%2fIw5zwKlATOYSCdRB3YH2FgASo4UmmXTg50ZSAshtvbjnMsBD5lkeqXHjZiBN3i0oMASUuS72RrRSqVN6Puz73RiAv8vJz6jQwkH6Z8tDfgTwa0vItSk%2fTn%2f%2bbEtyvk7vqEoNUviLgYjHzc00Qs1dIYeEqOtf3EQ%2ffW2XiNU6y37WQV%2bgJl8bPrTR2k9l9GUD","descargar bases")</f>
      </c>
    </row>
    <row r="17">
      <c r="A17" s="0" t="inlineStr">
        <is>
          <t xml:space="preserve">1393093-98-LE26</t>
        </is>
      </c>
      <c r="B17" s="4" t="inlineStr">
        <is>
          <t xml:space="preserve">CONTRATACIÓN DE SERV. DE DESA.SOFTWARE RENDICIONES</t>
        </is>
      </c>
      <c r="C17" s="0" t="inlineStr">
        <is>
          <t xml:space="preserve">Publicada</t>
        </is>
      </c>
      <c r="D17" s="0" t="inlineStr">
        <is>
          <t xml:space="preserve">SERVICIO LOCAL DE EDUCACIÓN PÚBLICA DE CHILOÉ</t>
        </is>
      </c>
      <c r="E17" s="0" t="inlineStr">
        <is>
          <t xml:space="preserve">Compras y Licitaciones</t>
        </is>
      </c>
      <c r="F17" s="0" t="inlineStr">
        <is>
          <t xml:space="preserve">Región de los Lagos </t>
        </is>
      </c>
      <c r="G17" s="0"/>
      <c r="H17" s="2">
        <v>46269.399306</v>
      </c>
      <c r="I17" s="2">
        <v>46286.666667</v>
      </c>
      <c r="J17" s="0">
        <v>2</v>
      </c>
      <c r="K17" s="3"/>
      <c r="L17" s="0" t="inlineStr">
        <is>
          <t xml:space="preserve">CLP</t>
        </is>
      </c>
      <c r="M17" s="0" t="inlineStr">
        <is>
          <t xml:space="preserve">LE</t>
        </is>
      </c>
      <c r="N17" s="4" t="inlineStr">
        <is>
          <t xml:space="preserve">Servicios profesionales, administrativos y consultorías de gestión empresarial / Servicios de recursos humanos / Servicios de personal temporal</t>
        </is>
      </c>
      <c r="O17" s="4" t="inlineStr">
        <is>
          <t xml:space="preserve">1 Unidad · Desarrolladores temporales de software</t>
        </is>
      </c>
      <c r="P17" s="2"/>
      <c r="Q17" s="2"/>
      <c r="R17" s="0" t="inlineStr">
        <is>
          <t xml:space="preserve">24 meses</t>
        </is>
      </c>
      <c r="S17" s="0" t="inlineStr">
        <is>
          <t xml:space="preserve">No</t>
        </is>
      </c>
      <c r="T17" s="4"/>
      <c r="U17" s="0" t="inlineStr">
        <is>
          <t xml:space="preserve">YESIKA DIAZ</t>
        </is>
      </c>
      <c r="V17" s="4" t="inlineStr">
        <is>
          <t xml:space="preserve">Gestionar de manera sistemática, ordenada y oportuna la información asociada a ingresos, gastos (compras) y remuneraciones por establecimiento educacional (RBD) y por tipo de subvención, facilitando los procesos de control, seguimiento y rendición de cuentas ante la Superintendencia de Educación.</t>
        </is>
      </c>
      <c r="W17" s="5" t="str">
        <f>HYPERLINK("https://www.mercadopublico.cl/Procurement/Modules/Attachment/ViewAttachment.aspx?enc=vYeS%2fnpeBm%2fuEQcmlyMsnYJwUCxqiS8j3R2dMynTyRK%2bkic%2fhjPNAz6mhiy8GlP86hbodqkAm2IiV8Jz6k4YAEGBQz2t%2bLqiS17Hlh8axsHvDJsD9pzJvLN6s8X1cyShAm7VcYZB%2fqQNfZiJwWPdcXpoWUIOMiLkkKpKkWYbV0GwPYG7KqoavFDvIY2%2bkkAmQGxW3OwuqxgET05XoanIOsqydZZCC5lDw%2bUCq6LzCvSFJQ5PR5f%2bsD5xIe0XyQ%2f%2bOadqas5YbH9xkbxGkBfId0li80ObpeC2yDteyd4GZVvLjJ0IXirWsTnPopumeujE","descargar bases")</f>
      </c>
    </row>
    <row r="18">
      <c r="A18" s="0" t="inlineStr">
        <is>
          <t xml:space="preserve">2069-141-LR26</t>
        </is>
      </c>
      <c r="B18" s="4" t="inlineStr">
        <is>
          <t xml:space="preserve">CGM ADQ. TORRE DE ENDOSCOPIA DIGESTIVA CON IA</t>
        </is>
      </c>
      <c r="C18" s="0" t="inlineStr">
        <is>
          <t xml:space="preserve">Publicada</t>
        </is>
      </c>
      <c r="D18" s="0" t="inlineStr">
        <is>
          <t xml:space="preserve">SERVICIO DE SALUD METROPOLITANO SUR HOSP</t>
        </is>
      </c>
      <c r="E18" s="0" t="inlineStr">
        <is>
          <t xml:space="preserve">HOSPITAL BARROS LUCO TRUDEAU</t>
        </is>
      </c>
      <c r="F18" s="0" t="inlineStr">
        <is>
          <t xml:space="preserve">Región Metropolitana de Santiago</t>
        </is>
      </c>
      <c r="G18" s="0" t="inlineStr">
        <is>
          <t xml:space="preserve">San Miguel</t>
        </is>
      </c>
      <c r="H18" s="2">
        <v>46252.66316</v>
      </c>
      <c r="I18" s="2">
        <v>46286.666667</v>
      </c>
      <c r="J18" s="0">
        <v>2</v>
      </c>
      <c r="K18" s="3"/>
      <c r="L18" s="0" t="inlineStr">
        <is>
          <t xml:space="preserve">CLP</t>
        </is>
      </c>
      <c r="M18" s="0" t="inlineStr">
        <is>
          <t xml:space="preserve">LR</t>
        </is>
      </c>
      <c r="N18" s="4" t="inlineStr">
        <is>
          <t xml:space="preserve">Equipamiento y suministros médicos / Productos quirúrgicos / Equipo endoscópico, accesorios y productos relacionados</t>
        </is>
      </c>
      <c r="O18" s="4" t="inlineStr">
        <is>
          <t xml:space="preserve">2 Unidad · Equipo endoscópico o carritos de procedimiento o accesorios</t>
        </is>
      </c>
      <c r="P18" s="2"/>
      <c r="Q18" s="2"/>
      <c r="R18" s="0"/>
      <c r="S18" s="0" t="inlineStr">
        <is>
          <t xml:space="preserve">No</t>
        </is>
      </c>
      <c r="T18" s="4" t="inlineStr">
        <is>
          <t xml:space="preserve">Véase numeral 16 Subcontratación</t>
        </is>
      </c>
      <c r="U18" s="0" t="inlineStr">
        <is>
          <t xml:space="preserve">Jefa de unidad de adquisiciones de mantención y se</t>
        </is>
      </c>
      <c r="V18" s="4" t="inlineStr">
        <is>
          <t xml:space="preserve">El Hospital Barros Luco Trudeau requiere adquirir dos 2 torres de endoscopía digestiva con Inteligencia Artificial, destinadas a la Unidad de Endoscopía, con el objeto de fortalecer la capacidad diagnóstica y terapéutica institucional mediante la incorporación de equipamiento de última generación que permita apoyar la detección y caracterización de lesiones durante los procedimientos endoscópicos.
La solución requerida deberá proporcionar imágenes endoscópicas de alta calidad e incorporar herramientas avanzadas de visualización e Inteligencia Artificial para el análisis en tiempo real y apoyo al operador en la identificación de lesiones y hallazgos de interés clínico, de acuerdo con las prestaciones establecidas en las Especificaciones Técnicas.
Asimismo, considerando la base instalada existente en la Unidad de Endoscopía, el equipamiento ofertado deberá cumplir las condiciones de compatibilidad, interoperabilidad e integración establecidas en las Especificaciones Técnicas, incluyendo la compatibilidad entre los nuevos endoscopios y procesadores y determinados equipos institucionales existentes, según corresponda.
La presente adquisición considera una solución integral, cuya</t>
        </is>
      </c>
      <c r="W18" s="5" t="str">
        <f>HYPERLINK("https://www.mercadopublico.cl/Procurement/Modules/Attachment/ViewAttachment.aspx?enc=GY2qUyTnkGrdDrKauOQE8zSmLWx%2fwViIUGK6tZwCWrJvYlcAZ03P2FDcZ2dlMJFF%2b8pB%2f96T1wjJeSFjeIiB6DXHWPAJ87g5P1KkT0g6yABqBZO83IRGrAJWnwETEIYZzR%2bbcN9jMMWosw3o%2bKR8BZBek4y9fHTbWYnH0gVrOiHiZ%2fS3%2bUF5slT7L4p%2fAcxs3SV51CZRhQ3TWqIU6HPkKQTvSPE%2fK9f80FDLbvNP54LK8ZtDwfg%2bBVdv5z%2fz2jXYw7tQ4Yb40U9SfmBtF651Ib9k7hcJ6C0qENj3NdPWNuTfDJcuHsArPJ3n2cNuUQN5","descargar bases")</f>
      </c>
    </row>
    <row r="19">
      <c r="A19" s="0" t="inlineStr">
        <is>
          <t xml:space="preserve">5531-4-B226</t>
        </is>
      </c>
      <c r="B19" s="4" t="inlineStr">
        <is>
          <t xml:space="preserve">Servicios de publicidad digital para el DII</t>
        </is>
      </c>
      <c r="C19" s="0" t="inlineStr">
        <is>
          <t xml:space="preserve">Publicada</t>
        </is>
      </c>
      <c r="D19" s="0" t="inlineStr">
        <is>
          <t xml:space="preserve">UNIVERSIDAD DE CHILE</t>
        </is>
      </c>
      <c r="E19" s="0" t="inlineStr">
        <is>
          <t xml:space="preserve">FCFM Departamento de Ingeniería Industrial</t>
        </is>
      </c>
      <c r="F19" s="0" t="inlineStr">
        <is>
          <t xml:space="preserve">Región Metropolitana de Santiago</t>
        </is>
      </c>
      <c r="G19" s="0" t="inlineStr">
        <is>
          <t xml:space="preserve">San Joaquín</t>
        </is>
      </c>
      <c r="H19" s="2">
        <v>46265.698692</v>
      </c>
      <c r="I19" s="2">
        <v>46286.666667</v>
      </c>
      <c r="J19" s="0">
        <v>2</v>
      </c>
      <c r="K19" s="3"/>
      <c r="L19" s="0" t="inlineStr">
        <is>
          <t xml:space="preserve">CLP</t>
        </is>
      </c>
      <c r="M19" s="0" t="inlineStr">
        <is>
          <t xml:space="preserve">B2</t>
        </is>
      </c>
      <c r="N19" s="4" t="inlineStr">
        <is>
          <t xml:space="preserve">Servicios editoriales, de diseño, publicidad, gráficos y artistas / Publicidad / Agencias de publicidad</t>
        </is>
      </c>
      <c r="O19" s="4" t="inlineStr">
        <is>
          <t xml:space="preserve">1 Unidad · Campañas publicitarias</t>
        </is>
      </c>
      <c r="P19" s="2"/>
      <c r="Q19" s="2"/>
      <c r="R19" s="0" t="inlineStr">
        <is>
          <t xml:space="preserve">36 meses</t>
        </is>
      </c>
      <c r="S19" s="0" t="inlineStr">
        <is>
          <t xml:space="preserve">No</t>
        </is>
      </c>
      <c r="T19" s="4" t="inlineStr">
        <is>
          <t xml:space="preserve">ver bases administrativas numeral 29 Subcontratación</t>
        </is>
      </c>
      <c r="U19" s="0" t="inlineStr">
        <is>
          <t xml:space="preserve">Karina Pérez</t>
        </is>
      </c>
      <c r="V19" s="4" t="inlineStr">
        <is>
          <t xml:space="preserve">Servicios de publicidad digital para el Departamento de Ingeniería Industrial de la Facultad de Ciencias Físicas y Matemáticas de la Universidad de Chile 2026, a prestarse por un periodo de 36 meses o hasta el agotamiento de los recursos según las características y especificaciones establecidas en las presentes bases administrativas, bases técnicas y anexos</t>
        </is>
      </c>
      <c r="W19" s="5" t="str">
        <f>HYPERLINK("https://www.mercadopublico.cl/Procurement/Modules/Attachment/ViewAttachment.aspx?enc=%2fEGCnpIJVBlrEYrhnjWF%2f8xyZeuMMthPXI1tK6DYo4jN9DubROjEtBvd8aJM8xHljPgLEdeT4%2b8FNADPlr2o5yUyd%2btcwWaXHMX%2bZgmGaNpq0%2bFUT1hQuzEYdZ7k3opGhlnLMzaXq0B1yiIs4fA%2bxTx3bBYE9wUZudPVHMmsR79vNHXOfx0FDUyC%2be3CD%2bWCzlnbUtBGCGa0lLSl7%2fw7ooIU9ztpwF4lSGR7OXPMbtkzT5H3m4Rt6W27dNh4a%2by3dk%2bj%2fmdVppjnRhTp7Z7lzBxn5YAYGPlrsd47Co2cQENv%2beYVY6zw6Cw1B8sFQPae","descargar bases")</f>
      </c>
    </row>
    <row r="20">
      <c r="A20" s="0" t="inlineStr">
        <is>
          <t xml:space="preserve">885-81-LP26</t>
        </is>
      </c>
      <c r="B20" s="4" t="inlineStr">
        <is>
          <t xml:space="preserve">Renovación de suscripciones para la plataforma de parchado virtual vRx Vicarius</t>
        </is>
      </c>
      <c r="C20" s="0" t="inlineStr">
        <is>
          <t xml:space="preserve">Publicada</t>
        </is>
      </c>
      <c r="D20" s="0" t="inlineStr">
        <is>
          <t xml:space="preserve">CONTRALORIA GENERAL DE LA REPUBLICA</t>
        </is>
      </c>
      <c r="E20" s="0" t="inlineStr">
        <is>
          <t xml:space="preserve">Contraloría General de la República</t>
        </is>
      </c>
      <c r="F20" s="0" t="inlineStr">
        <is>
          <t xml:space="preserve">Región Metropolitana de Santiago</t>
        </is>
      </c>
      <c r="G20" s="0"/>
      <c r="H20" s="2">
        <v>46266.688958</v>
      </c>
      <c r="I20" s="2">
        <v>46286.666667</v>
      </c>
      <c r="J20" s="0">
        <v>2</v>
      </c>
      <c r="K20" s="3">
        <v>95000000.0</v>
      </c>
      <c r="L20" s="0" t="inlineStr">
        <is>
          <t xml:space="preserve">CLP</t>
        </is>
      </c>
      <c r="M20" s="0" t="inlineStr">
        <is>
          <t xml:space="preserve">LP</t>
        </is>
      </c>
      <c r="N20" s="4" t="inlineStr">
        <is>
          <t xml:space="preserve">Tecnologías de la información, telecomunicaciones y radiodifusión / Software / Software de gestión</t>
        </is>
      </c>
      <c r="O20" s="4" t="inlineStr">
        <is>
          <t xml:space="preserve">1 Global · Software de gestión de licencias</t>
        </is>
      </c>
      <c r="P20" s="2"/>
      <c r="Q20" s="2"/>
      <c r="R20" s="0" t="inlineStr">
        <is>
          <t xml:space="preserve">12 meses</t>
        </is>
      </c>
      <c r="S20" s="0" t="inlineStr">
        <is>
          <t xml:space="preserve">No</t>
        </is>
      </c>
      <c r="T20" s="4"/>
      <c r="U20" s="0" t="inlineStr">
        <is>
          <t xml:space="preserve">Antonio Alejandro Alcázar Garrido</t>
        </is>
      </c>
      <c r="V20" s="4" t="inlineStr">
        <is>
          <t xml:space="preserve">La Contraloría General de la República requiere la renovación de suscripciones para la plataforma de parchado virtual vRx Vicarius por el período de 12 meses.</t>
        </is>
      </c>
      <c r="W20" s="5" t="str">
        <f>HYPERLINK("https://www.mercadopublico.cl/Procurement/Modules/Attachment/ViewAttachment.aspx?enc=dEfwdBF%2bwSU%2f5bIov5bKluYOlHFFpMJ9WMoXP2I1WTUyFhDx5C27xhdMfb5BscnWCjSrnjvFRboRbg3vwkh3eQl%2fOuVdNn63KUdgoLebCR%2boVXQOWrRP0wqBNUeTK6ZGe3xra8ACyHWW9Iz1GEAntDvjw706L1qR0hTZEW%2f15oUzEKjE6WoArkXB%2fgmfvi6I19%2fj1TaCVQPki2IkVKpC3EF6GWHkt%2fsNUnvZjujUnS6Xr0p1%2bnWwVsuSXO9r2ds2cWyx8Gf5hJxZw2UD5ghUy8D%2bTPNpk9qvtQMaNl5YFiwzfUHD%2bDHqrRIQEAvh0YOa","descargar bases")</f>
      </c>
    </row>
    <row r="21">
      <c r="A21" s="0" t="inlineStr">
        <is>
          <t xml:space="preserve">986278-19-L126</t>
        </is>
      </c>
      <c r="B21" s="4" t="inlineStr">
        <is>
          <t xml:space="preserve">CONTRATO DE SUMINISTRO DE INSUMOS INFORMÁTICOS, AÑO 2026, CFT DE LA REGIÓN DE LA ARAUCANÍA</t>
        </is>
      </c>
      <c r="C21" s="0" t="inlineStr">
        <is>
          <t xml:space="preserve">Publicada</t>
        </is>
      </c>
      <c r="D21" s="0" t="inlineStr">
        <is>
          <t xml:space="preserve">CENTRO DE FORMACION TECNICA DE LA REGION DE LA ARAUCANIA</t>
        </is>
      </c>
      <c r="E21" s="0" t="inlineStr">
        <is>
          <t xml:space="preserve">Sub-Unidad Adquisiciones y Contrataciones Públicas</t>
        </is>
      </c>
      <c r="F21" s="0" t="inlineStr">
        <is>
          <t xml:space="preserve">Región de la Araucanía </t>
        </is>
      </c>
      <c r="G21" s="0" t="inlineStr">
        <is>
          <t xml:space="preserve">Angol</t>
        </is>
      </c>
      <c r="H21" s="2">
        <v>46275.871829</v>
      </c>
      <c r="I21" s="2">
        <v>46286.666667</v>
      </c>
      <c r="J21" s="0">
        <v>2</v>
      </c>
      <c r="K21" s="3">
        <v>4522419.0</v>
      </c>
      <c r="L21" s="0" t="inlineStr">
        <is>
          <t xml:space="preserve">CLP</t>
        </is>
      </c>
      <c r="M21" s="0" t="inlineStr">
        <is>
          <t xml:space="preserve">L1</t>
        </is>
      </c>
      <c r="N21" s="4" t="inlineStr">
        <is>
          <t xml:space="preserve">Equipos, accesorios y suministros de oficina / Maquinarias, suministros y accesorios de oficina / Suministros para impresora, fax y fotocopiadora</t>
        </is>
      </c>
      <c r="O21" s="4" t="inlineStr">
        <is>
          <t xml:space="preserve">1 Global · Tóner</t>
        </is>
      </c>
      <c r="P21" s="2"/>
      <c r="Q21" s="2"/>
      <c r="R21" s="0"/>
      <c r="S21" s="0" t="inlineStr">
        <is>
          <t xml:space="preserve">No</t>
        </is>
      </c>
      <c r="T21" s="4"/>
      <c r="U21" s="0"/>
      <c r="V21" s="4" t="inlineStr">
        <is>
          <t xml:space="preserve">El presente contrato tiene por objeto la prestación del servicio para adquirir insumos informáticos, requeridos por el Centro de Formación Técnica de la Región de La Araucanía y sus sedes, conforme a las condiciones establecidas en las presentes bases, la oferta adjudicada y la respectiva orden de compra. Los bienes serán solicitados de manera eventual según necesidades institucionales, sin que exista obligación de compra mínima por parte del CFT.
Según Resolución N°1449 adjunta.</t>
        </is>
      </c>
      <c r="W21" s="5" t="str">
        <f>HYPERLINK("https://www.mercadopublico.cl/Procurement/Modules/Attachment/ViewAttachment.aspx?enc=XMNNLCh4gcIceqtV0Y%2fDBKkeopB5vdhO0IJhCvkbNTq5Uf5DySvtXyWmnWw3X2o2ezi2MOMKovZgtUlbK5vemSHT1racu7H0mg9trLesbwJZ3UZ7c3ELa7unkmpmsnLQyI%2boILuU8RCf8xfXkeTuglAuCvdw%2fHpMI8kF3RcPmOR%2ffDrqATyu3aAnkjsNLJODkqT58QvBhzbKe8hdW6D26eXKrPdmZM996dRavq4570elIner7i1vu5iLYu1zH35TIagWg07nPfOZwSfcs%2fhOaEiR56GFgSkYkP00w7IAvcgF1U38lxi4WgZUc90m4cig","descargar bases")</f>
      </c>
    </row>
    <row r="22">
      <c r="A22" s="0" t="inlineStr">
        <is>
          <t xml:space="preserve">1393093-103-LE26</t>
        </is>
      </c>
      <c r="B22" s="4" t="inlineStr">
        <is>
          <t xml:space="preserve">ADQUISICIÓN DE LICENCIAS SOFTWARE P01</t>
        </is>
      </c>
      <c r="C22" s="0" t="inlineStr">
        <is>
          <t xml:space="preserve">Publicada</t>
        </is>
      </c>
      <c r="D22" s="0" t="inlineStr">
        <is>
          <t xml:space="preserve">SERVICIO LOCAL DE EDUCACIÓN PÚBLICA DE CHILOÉ</t>
        </is>
      </c>
      <c r="E22" s="0" t="inlineStr">
        <is>
          <t xml:space="preserve">Compras y Licitaciones</t>
        </is>
      </c>
      <c r="F22" s="0" t="inlineStr">
        <is>
          <t xml:space="preserve">Región de los Lagos </t>
        </is>
      </c>
      <c r="G22" s="0"/>
      <c r="H22" s="2">
        <v>46276.545428</v>
      </c>
      <c r="I22" s="2">
        <v>46286.666667</v>
      </c>
      <c r="J22" s="0">
        <v>2</v>
      </c>
      <c r="K22" s="3"/>
      <c r="L22" s="0" t="inlineStr">
        <is>
          <t xml:space="preserve">CLP</t>
        </is>
      </c>
      <c r="M22" s="0" t="inlineStr">
        <is>
          <t xml:space="preserve">LE</t>
        </is>
      </c>
      <c r="N22" s="4" t="inlineStr">
        <is>
          <t xml:space="preserve">Tecnologías de la información, telecomunicaciones y radiodifusión / Software / Software de gestión</t>
        </is>
      </c>
      <c r="O22" s="4" t="inlineStr">
        <is>
          <t xml:space="preserve">120 Unidad · Software de gestión de licencias · 130 Unidad · Software de gestión de licencias · 5 Unidad · Software de gestión de licencias · y 4 más</t>
        </is>
      </c>
      <c r="P22" s="2"/>
      <c r="Q22" s="2"/>
      <c r="R22" s="0" t="inlineStr">
        <is>
          <t xml:space="preserve">14 meses</t>
        </is>
      </c>
      <c r="S22" s="0" t="inlineStr">
        <is>
          <t xml:space="preserve">No</t>
        </is>
      </c>
      <c r="T22" s="4"/>
      <c r="U22" s="0" t="inlineStr">
        <is>
          <t xml:space="preserve">Marco Echeverria</t>
        </is>
      </c>
      <c r="V22" s="4" t="inlineStr">
        <is>
          <t xml:space="preserve">Cubrir las necesidades de
seguridad informática, gestión y recuperación de equipos, diseño y edición audiovisual y
soporte remoto del Servicio Local de Educación Pública de Chiloé</t>
        </is>
      </c>
      <c r="W22" s="5" t="str">
        <f>HYPERLINK("https://www.mercadopublico.cl/Procurement/Modules/Attachment/ViewAttachment.aspx?enc=%2fFPtLa9bg9tcD%2fWtPcCviHOr2UHJifwxEM4uAcQ9%2foMgRfBiaLJxtAmlvVGza74pglkXz2dkFMVl09TZh7JhZCGvLCO2AGuSPmgG6iUjnuwik5NxzFOOlab%2bB1ZEoykavK6Z2GT9Mrf4src3owzCXoFC3JU25yBniVHwOXkbSyd4FUBXb5GlaocV%2fgXjXKRHrLfn3RlsXDf7Indnmc5Kg6o%2bTMnbzx1gdPciLZ5AXRY5n50ntXragTotmILlhHyns9x0BOTFMZwbMZyoZvVGjiLGauw2hpcKzF1U9ptVEPyrYB11nfFyW%2fALCLJPBtKJ","descargar bases")</f>
      </c>
    </row>
    <row r="23">
      <c r="A23" s="0" t="inlineStr">
        <is>
          <t xml:space="preserve">3047-54-LE26</t>
        </is>
      </c>
      <c r="B23" s="4" t="inlineStr">
        <is>
          <t xml:space="preserve">ADQUISICION DE EQUIPOS DE RED Y ACCESORIOS PARA DEPARTAMENTO INFORMATICA</t>
        </is>
      </c>
      <c r="C23" s="0" t="inlineStr">
        <is>
          <t xml:space="preserve">Publicada</t>
        </is>
      </c>
      <c r="D23" s="0" t="inlineStr">
        <is>
          <t xml:space="preserve">DIRECCION DE ABASTECIMIENTO DE LA ARMADA</t>
        </is>
      </c>
      <c r="E23" s="0" t="inlineStr">
        <is>
          <t xml:space="preserve">ACADEMIA POLITECNICA NAVAL</t>
        </is>
      </c>
      <c r="F23" s="0" t="inlineStr">
        <is>
          <t xml:space="preserve">Región de Valparaíso </t>
        </is>
      </c>
      <c r="G23" s="0"/>
      <c r="H23" s="2">
        <v>46273.561447</v>
      </c>
      <c r="I23" s="2">
        <v>46286.708333</v>
      </c>
      <c r="J23" s="0">
        <v>2</v>
      </c>
      <c r="K23" s="3">
        <v>9999784.0</v>
      </c>
      <c r="L23" s="0" t="inlineStr">
        <is>
          <t xml:space="preserve">CLP</t>
        </is>
      </c>
      <c r="M23" s="0" t="inlineStr">
        <is>
          <t xml:space="preserve">LE</t>
        </is>
      </c>
      <c r="N23" s="4" t="inlineStr">
        <is>
          <t xml:space="preserve">Tecnologías de la información, telecomunicaciones y radiodifusión / Equipos, plataformas y accesorios de redes multimedia, voz y datos / Equipos de servicio de red</t>
        </is>
      </c>
      <c r="O23" s="4" t="inlineStr">
        <is>
          <t xml:space="preserve">1 Unidad · Módem</t>
        </is>
      </c>
      <c r="P23" s="2"/>
      <c r="Q23" s="2"/>
      <c r="R23" s="0"/>
      <c r="S23" s="0" t="inlineStr">
        <is>
          <t xml:space="preserve">No</t>
        </is>
      </c>
      <c r="T23" s="4"/>
      <c r="U23" s="0" t="inlineStr">
        <is>
          <t xml:space="preserve">MOISES LEIVA GONZALEZ</t>
        </is>
      </c>
      <c r="V23" s="4" t="inlineStr">
        <is>
          <t xml:space="preserve">ADQUISICION DE EQUIPOS DE RED Y ACCESORIOS PARA DEPARTAMENTO INFORMATICA DE LA ACADEMIA POLITECNICA NAVAL</t>
        </is>
      </c>
      <c r="W23" s="5" t="str">
        <f>HYPERLINK("https://www.mercadopublico.cl/Procurement/Modules/Attachment/ViewAttachment.aspx?enc=afmebNtLPYed8wcJpwS76Rbf2pqR0sgPyNdHynx08sP534oCgBBh8mh9Ur%2fvYQdm5nayaasPP8mfNV8EQvGxkiTgCPo34KwiyHyL1sy8kQ6RMZOqyZkZaYpg%2b3fRHGOeCeUHw3qw1JYY%2bn5%2f8ZIuo39EaiDwezinwSij4GqrqTtodOw0VDPD9RJkz8voR2WEC7NyvMJLnSV7XTIbINqAuqdTzeNQlGfAxqfeOQYk8BznsBoYxQ7ehmlB2coBA3U4SK4HU3j%2fWP3IyAurrU7FJVk1kE7B2sPNijhRIE1C4oHK7VWhAkbVs1b%2fLpTPFPCb","descargar bases")</f>
      </c>
    </row>
    <row r="24">
      <c r="A24" s="0" t="inlineStr">
        <is>
          <t xml:space="preserve">5251-70-LP26</t>
        </is>
      </c>
      <c r="B24" s="4" t="inlineStr">
        <is>
          <t xml:space="preserve">Tótems solares sustentables RED22993</t>
        </is>
      </c>
      <c r="C24" s="0" t="inlineStr">
        <is>
          <t xml:space="preserve">Publicada</t>
        </is>
      </c>
      <c r="D24" s="0" t="inlineStr">
        <is>
          <t xml:space="preserve">UNIVERSIDAD TECNOLOGICA METROPOLITANA</t>
        </is>
      </c>
      <c r="E24" s="0" t="inlineStr">
        <is>
          <t xml:space="preserve">DEPARTAMENTO DE ABASTECIMIENTO</t>
        </is>
      </c>
      <c r="F24" s="0" t="inlineStr">
        <is>
          <t xml:space="preserve">Región Metropolitana de Santiago</t>
        </is>
      </c>
      <c r="G24" s="0" t="inlineStr">
        <is>
          <t xml:space="preserve">Santiago</t>
        </is>
      </c>
      <c r="H24" s="2">
        <v>46266.759664</v>
      </c>
      <c r="I24" s="2">
        <v>46286.75</v>
      </c>
      <c r="J24" s="0">
        <v>2</v>
      </c>
      <c r="K24" s="3">
        <v>154800005.0</v>
      </c>
      <c r="L24" s="0" t="inlineStr">
        <is>
          <t xml:space="preserve">CLP</t>
        </is>
      </c>
      <c r="M24" s="0" t="inlineStr">
        <is>
          <t xml:space="preserve">LP</t>
        </is>
      </c>
      <c r="N24" s="4" t="inlineStr">
        <is>
          <t xml:space="preserve">Maquinaria para generación y distribución de energía / Transmisión de energía eléctrica, mecánica y cinética / Grupos electrógenos</t>
        </is>
      </c>
      <c r="O24" s="4" t="inlineStr">
        <is>
          <t xml:space="preserve">18 Unidad · Generadores solares</t>
        </is>
      </c>
      <c r="P24" s="2"/>
      <c r="Q24" s="2"/>
      <c r="R24" s="0" t="inlineStr">
        <is>
          <t xml:space="preserve">45 días</t>
        </is>
      </c>
      <c r="S24" s="0" t="inlineStr">
        <is>
          <t xml:space="preserve">No</t>
        </is>
      </c>
      <c r="T24" s="4"/>
      <c r="U24" s="0" t="inlineStr">
        <is>
          <t xml:space="preserve">Catalina Fuentes Castro</t>
        </is>
      </c>
      <c r="V24" s="4" t="inlineStr">
        <is>
          <t xml:space="preserve">Instalación de 18 tótems solares sustentables multipropósito en 18 universidades estatales a lo largo del país, integrando carga USB, iluminación LED, pantalla informativa, señalética educativa y sistema fotovoltaico autónomo, con miniaturas, manuales y capacitación básica.</t>
        </is>
      </c>
      <c r="W24" s="5" t="str">
        <f>HYPERLINK("https://www.mercadopublico.cl/Procurement/Modules/Attachment/ViewAttachment.aspx?enc=1wMRAdTFrDj86BFd00MulRJ29EJjmwnt0L39yhlulMje0bMOgL532nqun4hdcpP7nI3fEHYK60NagqDL8gSKAKe2AFt%2favum745TrAvq7%2frlrdrKj8BV%2bNzSDmY2ihKR661bp7EcGMTbisXta18GOIdItY3okL14UmKXGwsvg9nt6NdUpojTHpb6afe1Vcf9ft8VVq9jiUXWkRp6upAVYdNavwOnwGugVv0mZUkgUyaK61tBaiBc%2fbl5bnlMOzYXRO0iywHQ%2fo0kLLVsg%2boGDQUOor2%2bhOphBomzUigbDqt0itjV9chSAti1zPsm8abE","descargar bases")</f>
      </c>
    </row>
    <row r="25">
      <c r="A25" s="0" t="inlineStr">
        <is>
          <t xml:space="preserve">4451-103-LE26</t>
        </is>
      </c>
      <c r="B25" s="4" t="inlineStr">
        <is>
          <t xml:space="preserve">ADQUISICION DE LICENCIAS DE SOFTWARE</t>
        </is>
      </c>
      <c r="C25" s="0" t="inlineStr">
        <is>
          <t xml:space="preserve">Publicada</t>
        </is>
      </c>
      <c r="D25" s="0" t="inlineStr">
        <is>
          <t xml:space="preserve">I MUNICIPALIDAD DE SAN CLEMENTE</t>
        </is>
      </c>
      <c r="E25" s="0" t="inlineStr">
        <is>
          <t xml:space="preserve">UNIDAD DE COMPRAS MUNICIPALES</t>
        </is>
      </c>
      <c r="F25" s="0" t="inlineStr">
        <is>
          <t xml:space="preserve">Región del Maule </t>
        </is>
      </c>
      <c r="G25" s="0" t="inlineStr">
        <is>
          <t xml:space="preserve">San Clemente</t>
        </is>
      </c>
      <c r="H25" s="2">
        <v>46275.525313</v>
      </c>
      <c r="I25" s="2">
        <v>46286.778472</v>
      </c>
      <c r="J25" s="0">
        <v>2</v>
      </c>
      <c r="K25" s="3">
        <v>19500000.0</v>
      </c>
      <c r="L25" s="0" t="inlineStr">
        <is>
          <t xml:space="preserve">CLP</t>
        </is>
      </c>
      <c r="M25" s="0" t="inlineStr">
        <is>
          <t xml:space="preserve">LE</t>
        </is>
      </c>
      <c r="N25" s="4" t="inlineStr">
        <is>
          <t xml:space="preserve">Tecnologías de la información, telecomunicaciones y radiodifusión / Software / Software de edición y creación de contenidos</t>
        </is>
      </c>
      <c r="O25" s="4" t="inlineStr">
        <is>
          <t xml:space="preserve">20 Unidad · Software de diseño de patrones · 8 Unidad · Software de retoque fotográfico o gráfico</t>
        </is>
      </c>
      <c r="P25" s="2"/>
      <c r="Q25" s="2"/>
      <c r="R25" s="0"/>
      <c r="S25" s="0" t="inlineStr">
        <is>
          <t xml:space="preserve">No</t>
        </is>
      </c>
      <c r="T25" s="4"/>
      <c r="U25" s="0" t="inlineStr">
        <is>
          <t xml:space="preserve">JHONNY ARANEDA PAVEZ</t>
        </is>
      </c>
      <c r="V25" s="4" t="inlineStr">
        <is>
          <t xml:space="preserve">SE REQUIERE REALIZAR LA ADQUISICIÓN DE LICENCIAS DE SOFTWARE PARA EQUIPOS INFORMATICOS MUNICIPALES, EN ATENCION A SC 826-2026 DEPARTAMENTO DE INFORMATICA</t>
        </is>
      </c>
      <c r="W25" s="5" t="str">
        <f>HYPERLINK("https://www.mercadopublico.cl/Procurement/Modules/Attachment/ViewAttachment.aspx?enc=%2b7DnCMa4nkdz0e0HumHeLS9NIdKMXWpdkd9rflZHc%2fSgjIsSrq7nxXn8OH17%2beBTtO%2bnUUk7BCpIfLfZKSlrLhrqO6LcFW6u5q%2fgdls4K81CGxraFDcRLrmqy25XP2ScWs0k6uTY22Q2NZLPFEFW41mh6lKjxfXObJPrwGXtkOnkD93re%2f9Q7JgAxdFxIrvwdX1YzHMTOBDUD2Q2QqzR1wIu%2bG3va%2b5LywnYXiYFECZ%2fCPSIfB%2fYBs9zuGfC0XpXAvPNMycprYuHAcRR74roIbVaGSslMfHcWSSg95pz2yfH6p%2bfsXDcSA1swfg7F5jY","descargar bases")</f>
      </c>
    </row>
    <row r="26">
      <c r="A26" s="0" t="inlineStr">
        <is>
          <t xml:space="preserve">612-19-LE26</t>
        </is>
      </c>
      <c r="B26" s="4" t="inlineStr">
        <is>
          <t xml:space="preserve">Almacenaje y digitalización de Doc. Confidenciales</t>
        </is>
      </c>
      <c r="C26" s="0" t="inlineStr">
        <is>
          <t xml:space="preserve">Publicada</t>
        </is>
      </c>
      <c r="D26" s="0" t="inlineStr">
        <is>
          <t xml:space="preserve">SERVICIO AGRICOLA Y GANADERO</t>
        </is>
      </c>
      <c r="E26" s="0" t="inlineStr">
        <is>
          <t xml:space="preserve">Servicio Agricola y Ganadero (SAG central)</t>
        </is>
      </c>
      <c r="F26" s="0" t="inlineStr">
        <is>
          <t xml:space="preserve">Región Metropolitana de Santiago</t>
        </is>
      </c>
      <c r="G26" s="0" t="inlineStr">
        <is>
          <t xml:space="preserve">Santiago</t>
        </is>
      </c>
      <c r="H26" s="2">
        <v>46273.727859</v>
      </c>
      <c r="I26" s="2">
        <v>46286.833333</v>
      </c>
      <c r="J26" s="0">
        <v>2</v>
      </c>
      <c r="K26" s="3">
        <v>45000000.0</v>
      </c>
      <c r="L26" s="0" t="inlineStr">
        <is>
          <t xml:space="preserve">CLP</t>
        </is>
      </c>
      <c r="M26" s="0" t="inlineStr">
        <is>
          <t xml:space="preserve">LE</t>
        </is>
      </c>
      <c r="N26" s="4" t="inlineStr">
        <is>
          <t xml:space="preserve">Servicios basados en ingeniería, ciencias sociales y tecnología de la información / Servicios informáticos / Servicios de datos</t>
        </is>
      </c>
      <c r="O26" s="4" t="inlineStr">
        <is>
          <t xml:space="preserve">1 Unidad · Servicios de almacenamiento de datos</t>
        </is>
      </c>
      <c r="P26" s="2"/>
      <c r="Q26" s="2"/>
      <c r="R26" s="0" t="inlineStr">
        <is>
          <t xml:space="preserve">36 meses</t>
        </is>
      </c>
      <c r="S26" s="0" t="inlineStr">
        <is>
          <t xml:space="preserve">No</t>
        </is>
      </c>
      <c r="T26" s="4"/>
      <c r="U26" s="0" t="inlineStr">
        <is>
          <t xml:space="preserve">Victoria Hernández Lizama</t>
        </is>
      </c>
      <c r="V26" s="4" t="inlineStr">
        <is>
          <t xml:space="preserve">Contratar el servicio de almacenaje, administración y digitalización de documentos confidenciales del Servicio Agrícola y Ganadero SAG, el cual deberá considerar el retiro, transporte, almacenamiento y entrega de la documentación en los distintos niveles de urgencia requeridos normal, prioritario, urgente y fuera de horario, asegurando su integridad, disponibilidad y trazabilidad.
El servicio contempla además la digitalización de expedientes actualmente disponibles en formato físico, los que forman parte de un universo superior a 13.000 documentos bajo custodia institucional, con el fin de resguardar su integridad, garantizar el acceso oportuno a la información y optimizar la gestión documental.
La implementación de este servicio permitirá al SAG mantener un inventario actualizado y ordenado de la documentación, así como disponer de ella en forma oportuna frente a requerimientos internos y externos, mejorando los tiempos de respuesta y la eficiencia en la atención de usuarios.
Asimismo, la digitalización contribuirá a evitar la manipulación y entrega de documentos originales, facilitando el acceso a copias digitales, reduciendo costos asociados a la reproducción física y fortale</t>
        </is>
      </c>
      <c r="W26" s="5" t="str">
        <f>HYPERLINK("https://www.mercadopublico.cl/Procurement/Modules/Attachment/ViewAttachment.aspx?enc=zc7SRixl%2fEPTpkZw0bnrmBp%2bWa0DLmFt3N8Sr6PxUDw8ald70wJqkQzjETHMoKZXUck8gMdRDljPdi4CCTow4yc1TlXbXrn7hB%2bi8ffbpCbNM9Rok8xx0W4W8WYCui70Gk1n%2fvOq8cvZ7FmiwQQ2TtMBasNLlUYLH2KG1jZzso981TZdBTQmSBJs53MX0Wgcbxl%2fLRmB3twTE8U%2fStn53SLnZUrpVRoSTSMmtvZdP%2f5lrVGxIZH7FFWKY1PspjSDEHfJ3u%2bnIgbd3hHSVwBzIy98BYX%2fhotFgMG2KNktAW5J48j5jn8eR4mdBs4O6QdL","descargar bases")</f>
      </c>
    </row>
    <row r="27">
      <c r="A27" s="0" t="inlineStr">
        <is>
          <t xml:space="preserve">5586-139-LE26</t>
        </is>
      </c>
      <c r="B27" s="4" t="inlineStr">
        <is>
          <t xml:space="preserve">SUSCRIPCIÓN ANUAL BASE DE DATOS VLEX GLOBAL INTERNACIONAL Y SERVICIO VLEX FULL CHILE</t>
        </is>
      </c>
      <c r="C27" s="0" t="inlineStr">
        <is>
          <t xml:space="preserve">Publicada</t>
        </is>
      </c>
      <c r="D27" s="0" t="inlineStr">
        <is>
          <t xml:space="preserve">UNIVERSIDAD DE LA FRONTERA</t>
        </is>
      </c>
      <c r="E27" s="0" t="inlineStr">
        <is>
          <t xml:space="preserve">Universidad de la Frontera</t>
        </is>
      </c>
      <c r="F27" s="0" t="inlineStr">
        <is>
          <t xml:space="preserve">Región de la Araucanía </t>
        </is>
      </c>
      <c r="G27" s="0" t="inlineStr">
        <is>
          <t xml:space="preserve">Temuco</t>
        </is>
      </c>
      <c r="H27" s="2">
        <v>46276.706065</v>
      </c>
      <c r="I27" s="2">
        <v>46287.375</v>
      </c>
      <c r="J27" s="0">
        <v>3</v>
      </c>
      <c r="K27" s="3">
        <v>10565838.0</v>
      </c>
      <c r="L27" s="0" t="inlineStr">
        <is>
          <t xml:space="preserve">CLP</t>
        </is>
      </c>
      <c r="M27" s="0" t="inlineStr">
        <is>
          <t xml:space="preserve">LE</t>
        </is>
      </c>
      <c r="N27" s="4" t="inlineStr">
        <is>
          <t xml:space="preserve">Tecnologías de la información, telecomunicaciones y radiodifusión / Software / Software de gestión</t>
        </is>
      </c>
      <c r="O27" s="4" t="inlineStr">
        <is>
          <t xml:space="preserve">1 Global · Software de gestión de licencias</t>
        </is>
      </c>
      <c r="P27" s="2"/>
      <c r="Q27" s="2"/>
      <c r="R27" s="0" t="inlineStr">
        <is>
          <t xml:space="preserve">12 meses</t>
        </is>
      </c>
      <c r="S27" s="0" t="inlineStr">
        <is>
          <t xml:space="preserve">No</t>
        </is>
      </c>
      <c r="T27" s="4"/>
      <c r="U27" s="0" t="inlineStr">
        <is>
          <t xml:space="preserve">Cinthia Torres Astudillo</t>
        </is>
      </c>
      <c r="V27" s="4" t="inlineStr">
        <is>
          <t xml:space="preserve">SUSCRIPCIÓN ANUAL BASE DE DATOS VLEX GLOBAL INTERNACIONAL Y SERVICIO VLEX FULL CHILE</t>
        </is>
      </c>
      <c r="W27" s="5" t="str">
        <f>HYPERLINK("https://www.mercadopublico.cl/Procurement/Modules/Attachment/ViewAttachment.aspx?enc=dA7cchcA4I1l6XpUfnKagTs8W8%2beSzk5KlADB2VGqDqWkQpTRItZfPVmc%2fFZm0ggmKS6jatY80A%2f3V6HEsOiX4ogrheeJngq5e3o9XDj16fMUBB51dR9GXoSDgK1QSWaMhe9xk2MLDlKFc6ndbZPELO059rop%2fQTiIgv%2fcskhQ%2f9WiaWkxL1zVxEeU8HFFIVO9yCyvER7kZHSGqIDkwj0%2bwpRfUbndUgg27nbWZgCP9akQEsKhHYq9knndy%2fF7F2LTqiirR7086q9423N8yoVfhBdNEVBo2NkcJD5woOwXRqLGibkZl7QQDYX7ivFWdO","descargar bases")</f>
      </c>
    </row>
    <row r="28">
      <c r="A28" s="0" t="inlineStr">
        <is>
          <t xml:space="preserve">2288-30-LE26</t>
        </is>
      </c>
      <c r="B28" s="4" t="inlineStr">
        <is>
          <t xml:space="preserve">ADQUISICIÓN DE EQUIPOS E INSUMOS INFORMÁTICOS</t>
        </is>
      </c>
      <c r="C28" s="0" t="inlineStr">
        <is>
          <t xml:space="preserve">Publicada</t>
        </is>
      </c>
      <c r="D28" s="0" t="inlineStr">
        <is>
          <t xml:space="preserve">I MUNICIPALIDAD DE CANELA</t>
        </is>
      </c>
      <c r="E28" s="0" t="inlineStr">
        <is>
          <t xml:space="preserve">ILUSTRE MUNICIPALIDAD DE CANELA</t>
        </is>
      </c>
      <c r="F28" s="0" t="inlineStr">
        <is>
          <t xml:space="preserve">Región de Coquimbo </t>
        </is>
      </c>
      <c r="G28" s="0" t="inlineStr">
        <is>
          <t xml:space="preserve">Canela</t>
        </is>
      </c>
      <c r="H28" s="2">
        <v>46279.660104</v>
      </c>
      <c r="I28" s="2">
        <v>46287.377083</v>
      </c>
      <c r="J28" s="0">
        <v>3</v>
      </c>
      <c r="K28" s="3"/>
      <c r="L28" s="0" t="inlineStr">
        <is>
          <t xml:space="preserve">CLP</t>
        </is>
      </c>
      <c r="M28" s="0" t="inlineStr">
        <is>
          <t xml:space="preserve">LE</t>
        </is>
      </c>
      <c r="N28" s="4" t="inlineStr">
        <is>
          <t xml:space="preserve">Equipos, accesorios y suministros de oficina / Maquinarias, suministros y accesorios de oficina / Suministros para impresora, fax y fotocopiadora, Tecnologías de la información, telecomunicaciones y radiodifusión / Equipos informáticos y accesorios / Computadores</t>
        </is>
      </c>
      <c r="O28" s="4" t="inlineStr">
        <is>
          <t xml:space="preserve">3 Unidad · Notebook, laptop o computador portátil excepto Tablet PC · 2 Unidad · Notebook, laptop o computador portátil excepto Tablet PC · 3 Unidad · Notebook, laptop o computador portátil excepto Tablet PC · y 3 más</t>
        </is>
      </c>
      <c r="P28" s="2"/>
      <c r="Q28" s="2"/>
      <c r="R28" s="0"/>
      <c r="S28" s="0" t="inlineStr">
        <is>
          <t xml:space="preserve">No</t>
        </is>
      </c>
      <c r="T28" s="4"/>
      <c r="U28" s="0" t="inlineStr">
        <is>
          <t xml:space="preserve">Margarita Hurtado Cortes</t>
        </is>
      </c>
      <c r="V28" s="4" t="inlineStr">
        <is>
          <t xml:space="preserve">ADQUISICIÓN DE EQUIPOS E INSUMOS INFORMÁTICOS</t>
        </is>
      </c>
      <c r="W28" s="5" t="str">
        <f>HYPERLINK("https://www.mercadopublico.cl/Procurement/Modules/Attachment/ViewAttachment.aspx?enc=lAP0c5tlAVtIEONIJqrPjRhlyrIcKjqOyLUeCnFkT5z7%2b52bEwqzCw%2f0%2fGQ8E9ODG1F8TYVkLB5C0Y24kmLCPKZnPlpp8I1tTzG3kDbZ8RwZxXuo%2f%2bqMTjJNytShvC2713w1h8OafCwkcHrcIVJ0zsr0Kb7jxRnkhS5mwmWNU8HH1oP4pQg72ym%2ffyiS5mPLxyFr82%2ff815CYnZaYfdbnbWYckEhT46bJ90Ess%2fCGj0tdwJI06XaGShKfBjwq1H4Y9fPUOHa%2f0Q7oE13yFfA1V9z7ogp8NprNWMgJy5SGUcL1wfe0qVWY5JUhpisuBTz","descargar bases")</f>
      </c>
    </row>
    <row r="29">
      <c r="A29" s="0" t="inlineStr">
        <is>
          <t xml:space="preserve">1562-49-LR26</t>
        </is>
      </c>
      <c r="B29" s="4" t="inlineStr">
        <is>
          <t xml:space="preserve">Sistema de monitoreo integral de ciberseguridad</t>
        </is>
      </c>
      <c r="C29" s="0" t="inlineStr">
        <is>
          <t xml:space="preserve">Publicada</t>
        </is>
      </c>
      <c r="D29" s="0" t="inlineStr">
        <is>
          <t xml:space="preserve">SERVICIO NACIONAL DE GEOLOGIA Y MINERIA</t>
        </is>
      </c>
      <c r="E29" s="0" t="inlineStr">
        <is>
          <t xml:space="preserve">Servicio Nacional de Geología y Minería</t>
        </is>
      </c>
      <c r="F29" s="0" t="inlineStr">
        <is>
          <t xml:space="preserve">Región Metropolitana de Santiago</t>
        </is>
      </c>
      <c r="G29" s="0" t="inlineStr">
        <is>
          <t xml:space="preserve">Providencia</t>
        </is>
      </c>
      <c r="H29" s="2">
        <v>46254.763889</v>
      </c>
      <c r="I29" s="2">
        <v>46287.625</v>
      </c>
      <c r="J29" s="0">
        <v>3</v>
      </c>
      <c r="K29" s="3">
        <v>366678654.0</v>
      </c>
      <c r="L29" s="0" t="inlineStr">
        <is>
          <t xml:space="preserve">CLP</t>
        </is>
      </c>
      <c r="M29" s="0" t="inlineStr">
        <is>
          <t xml:space="preserve">LR</t>
        </is>
      </c>
      <c r="N29" s="4" t="inlineStr">
        <is>
          <t xml:space="preserve">Tecnologías de la información, telecomunicaciones y radiodifusión / Equipos, plataformas y accesorios de redes multimedia, voz y datos / Equipos de seguridad de red</t>
        </is>
      </c>
      <c r="O29" s="4" t="inlineStr">
        <is>
          <t xml:space="preserve">1 Unidad · Equipo de seguridad de evaluación de vulnerabilidad</t>
        </is>
      </c>
      <c r="P29" s="2"/>
      <c r="Q29" s="2"/>
      <c r="R29" s="0" t="inlineStr">
        <is>
          <t xml:space="preserve">12 meses</t>
        </is>
      </c>
      <c r="S29" s="0" t="inlineStr">
        <is>
          <t xml:space="preserve">No</t>
        </is>
      </c>
      <c r="T29" s="4"/>
      <c r="U29" s="0" t="inlineStr">
        <is>
          <t xml:space="preserve">Gonzalo Palet</t>
        </is>
      </c>
      <c r="V29" s="4" t="inlineStr">
        <is>
          <t xml:space="preserve">El Servicio Nacional de Geología y Minería SERNAGEOMIN requiere contratar un Servicio de Monitoreo integral de ciberseguridad que incluye suscripciones de software, implementación, capacitación, soporte y operación continua, orientado a fortalecer su postura institucional de ciberdefensa, proteger activos críticos de información y asegurar la continuidad operativa.
El requerimiento se enmarca en la Ley Marco de Ciberseguridad e Infraestructura Crítica OIV, la Estrategia Nacional de Ciberseguridad y los estándares internacionales aplicables. Contempla una plataforma de protección avanzada con capacidades de prevención, detección, respuesta y monitoreo continuo, integrada a un modelo de Servicio de Monitoreo y alineada a un enfoque de Zero Trust.</t>
        </is>
      </c>
      <c r="W29" s="5" t="str">
        <f>HYPERLINK("https://www.mercadopublico.cl/Procurement/Modules/Attachment/ViewAttachment.aspx?enc=q83SWUUQoZw3oGpkxRyMmVi%2b4XCRLQZPqxQv1aazrkU%2bRQHkfgvVlqwefGqvTHGDAOYV59TK73YIhJoCIWwvze4ZYq5vUg7z%2bsWEfyFma23xE5O%2bEgzPUdNJdarqndJuJQz1CcrWVJuRQOBou9SIwzly8ETwJCpmIxgC0cjSmy3nkgJ109xYZGRQzrjtf%2b3PsJIeaFlcbbSaunTwnaOwSKCpC0HLO3KoegQ3MjVAfTkhX6V6EWJVqa1Z20cMc2bwAPyG%2fIXGOQNq7ubFCtJ8e%2b0rpQhx4E%2bqICCezbr9NVC2yasVPXKzEkaoOWphUByi","descargar bases")</f>
      </c>
    </row>
    <row r="30">
      <c r="A30" s="0" t="inlineStr">
        <is>
          <t xml:space="preserve">3789-37-CO26</t>
        </is>
      </c>
      <c r="B30" s="4" t="inlineStr">
        <is>
          <t xml:space="preserve">ADQUISICION DE EQUIPOS INFORMATICOS</t>
        </is>
      </c>
      <c r="C30" s="0" t="inlineStr">
        <is>
          <t xml:space="preserve">Publicada</t>
        </is>
      </c>
      <c r="D30" s="0" t="inlineStr">
        <is>
          <t xml:space="preserve">I MUNICIPALIDAD DE PAILLACO</t>
        </is>
      </c>
      <c r="E30" s="0" t="inlineStr">
        <is>
          <t xml:space="preserve">Dpto. Salud</t>
        </is>
      </c>
      <c r="F30" s="0" t="inlineStr">
        <is>
          <t xml:space="preserve">Región de Los Ríos</t>
        </is>
      </c>
      <c r="G30" s="0" t="inlineStr">
        <is>
          <t xml:space="preserve">Paillaco</t>
        </is>
      </c>
      <c r="H30" s="2">
        <v>46275.708461</v>
      </c>
      <c r="I30" s="2">
        <v>46287.625</v>
      </c>
      <c r="J30" s="0">
        <v>3</v>
      </c>
      <c r="K30" s="3"/>
      <c r="L30" s="0" t="inlineStr">
        <is>
          <t xml:space="preserve">CLP</t>
        </is>
      </c>
      <c r="M30" s="0" t="inlineStr">
        <is>
          <t xml:space="preserve">CO</t>
        </is>
      </c>
      <c r="N30" s="4" t="inlineStr">
        <is>
          <t xml:space="preserve">Tecnologías de la información, telecomunicaciones y radiodifusión / Equipos informáticos y accesorios / Impresoras</t>
        </is>
      </c>
      <c r="O30" s="4" t="inlineStr">
        <is>
          <t xml:space="preserve">1 Unidad · Impresoras de chorro de tinta</t>
        </is>
      </c>
      <c r="P30" s="2"/>
      <c r="Q30" s="2"/>
      <c r="R30" s="0"/>
      <c r="S30" s="0" t="inlineStr">
        <is>
          <t xml:space="preserve">No</t>
        </is>
      </c>
      <c r="T30" s="4"/>
      <c r="U30" s="0" t="inlineStr">
        <is>
          <t xml:space="preserve">EVELYN HERRERA S.</t>
        </is>
      </c>
      <c r="V30" s="4" t="inlineStr">
        <is>
          <t xml:space="preserve">La Ilustre Municipalidad de Paillaco, a través del Departamento de Salud Paillaco, requiere adquisición de Equipos y Equipamientos del Proyecto “CONSTRUCCIÓN CESFAM LAUTARO CARO RÍOS, PAILLACO” CÓDIGO BIP N°30349480-0, financiados por el GOBIERNO REGIONAL DE LOS RÍOS</t>
        </is>
      </c>
      <c r="W30" s="5" t="str">
        <f>HYPERLINK("https://www.mercadopublico.cl/Procurement/Modules/Attachment/ViewAttachment.aspx?enc=biIkaaW7TdbkcA8KfdE37J5db%2bMoJEB2ku9y2jL%2frj6thS9jYKIeWWx4HgN9d7q0NU66nodR5Vlw5S0G1bM7tKiWX%2fdt6kEMSvxsuBfQpA4TruE0QbaX11YxHS3QZ%2fnGzCUZztyvMOxeLk2iYYrM1zkgG9iIRcMqTL%2brJ0ITHCcNsLRU%2fF6%2bsDEvi76pRSGwKYKz22oJyysulxj2kASg%2bhAmK7x5PrPA5Sj9XLdhtA4mIV0XOdct%2f%2bL6NUZfQ75yXGJYYk4PaPLrMNEkfpJ3uUKCVm3RThflvKWIPufv2L768LamIKW1VdBkhuFYR%2bLf","descargar bases")</f>
      </c>
    </row>
    <row r="31">
      <c r="A31" s="0" t="inlineStr">
        <is>
          <t xml:space="preserve">586-52-LP26</t>
        </is>
      </c>
      <c r="B31" s="4" t="inlineStr">
        <is>
          <t xml:space="preserve">Adquisición de licencias de software Redhat</t>
        </is>
      </c>
      <c r="C31" s="0" t="inlineStr">
        <is>
          <t xml:space="preserve">Publicada</t>
        </is>
      </c>
      <c r="D31" s="0" t="inlineStr">
        <is>
          <t xml:space="preserve">SERVICIO NACIONAL DE ADUANAS</t>
        </is>
      </c>
      <c r="E31" s="0" t="inlineStr">
        <is>
          <t xml:space="preserve">Dirección Nacional de Aduanas</t>
        </is>
      </c>
      <c r="F31" s="0" t="inlineStr">
        <is>
          <t xml:space="preserve">Región de Valparaíso </t>
        </is>
      </c>
      <c r="G31" s="0" t="inlineStr">
        <is>
          <t xml:space="preserve">Valparaíso</t>
        </is>
      </c>
      <c r="H31" s="2">
        <v>46261.817222</v>
      </c>
      <c r="I31" s="2">
        <v>46287.625</v>
      </c>
      <c r="J31" s="0">
        <v>3</v>
      </c>
      <c r="K31" s="3"/>
      <c r="L31" s="0" t="inlineStr">
        <is>
          <t xml:space="preserve">USD</t>
        </is>
      </c>
      <c r="M31" s="0" t="inlineStr">
        <is>
          <t xml:space="preserve">LP</t>
        </is>
      </c>
      <c r="N31" s="4" t="inlineStr">
        <is>
          <t xml:space="preserve">Tecnologías de la información, telecomunicaciones y radiodifusión / Software / Software de gestión</t>
        </is>
      </c>
      <c r="O31" s="4" t="inlineStr">
        <is>
          <t xml:space="preserve">1 Unidad · Software de gestión de licencias</t>
        </is>
      </c>
      <c r="P31" s="2"/>
      <c r="Q31" s="2"/>
      <c r="R31" s="0" t="inlineStr">
        <is>
          <t xml:space="preserve">12 meses</t>
        </is>
      </c>
      <c r="S31" s="0" t="inlineStr">
        <is>
          <t xml:space="preserve">No</t>
        </is>
      </c>
      <c r="T31" s="4" t="inlineStr">
        <is>
          <t xml:space="preserve">Conforme a numeral VII.1 de las Bases Administrativas</t>
        </is>
      </c>
      <c r="U31" s="0" t="inlineStr">
        <is>
          <t xml:space="preserve">Marcelo Reyes</t>
        </is>
      </c>
      <c r="V31" s="4" t="inlineStr">
        <is>
          <t xml:space="preserve">Adquisición de suscripciones de licencias de software Redhat, conforme a bases de licitación</t>
        </is>
      </c>
      <c r="W31" s="5" t="str">
        <f>HYPERLINK("https://www.mercadopublico.cl/Procurement/Modules/Attachment/ViewAttachment.aspx?enc=bwRvRb3mM6S2t6N70WciJ57Jk1vYHfKXaNDgxLXQjlCFz3BqtH91wvc3OfnfknYwUE91jTVIijtM1F9nPZeN2QscVJodqOkVlaDL0OlQXQfLx9jKl8%2b5opCpGPFQBK%2bRQG4rUIR5V12NgXPdzsVGRgCgIcwqJSWmd%2b6xjTWCnog32qEyibzqEdl0U7XanA0IBoR7wp1alNOBmnO0y7j%2frzA6OjBnRpr%2bEAvsUyyMTIO88mnJilaEiCS3G0ro17yMvx6u1F1yfgxDoX5dyDLf5WUZ6lCzNLD%2brEISIT70sGIvFDdtzwbuow5c2k9%2bCZlU","descargar bases")</f>
      </c>
    </row>
    <row r="32">
      <c r="A32" s="0" t="inlineStr">
        <is>
          <t xml:space="preserve">2785-84-LE26</t>
        </is>
      </c>
      <c r="B32" s="4" t="inlineStr">
        <is>
          <t xml:space="preserve">SDA 6386 INSUMOS INFORMATICOS PARA BODEGA MUNICIPAL</t>
        </is>
      </c>
      <c r="C32" s="0" t="inlineStr">
        <is>
          <t xml:space="preserve">Publicada</t>
        </is>
      </c>
      <c r="D32" s="0" t="inlineStr">
        <is>
          <t xml:space="preserve">I MUNICIPALIDAD DE SAN PEDRO DE LA PAZ</t>
        </is>
      </c>
      <c r="E32" s="0" t="inlineStr">
        <is>
          <t xml:space="preserve">I MUNICIPALIDAD DE SAN PEDRO DE LA PAZ</t>
        </is>
      </c>
      <c r="F32" s="0" t="inlineStr">
        <is>
          <t xml:space="preserve">Región del Biobío </t>
        </is>
      </c>
      <c r="G32" s="0" t="inlineStr">
        <is>
          <t xml:space="preserve">San Pedro de La Paz</t>
        </is>
      </c>
      <c r="H32" s="2">
        <v>46275.734676</v>
      </c>
      <c r="I32" s="2">
        <v>46287.625694</v>
      </c>
      <c r="J32" s="0">
        <v>3</v>
      </c>
      <c r="K32" s="3">
        <v>10177597.0</v>
      </c>
      <c r="L32" s="0" t="inlineStr">
        <is>
          <t xml:space="preserve">CLP</t>
        </is>
      </c>
      <c r="M32" s="0" t="inlineStr">
        <is>
          <t xml:space="preserve">LE</t>
        </is>
      </c>
      <c r="N32" s="4" t="inlineStr">
        <is>
          <t xml:space="preserve">Equipos, accesorios y suministros de oficina / Maquinarias, suministros y accesorios de oficina / Suministros para impresora, fax y fotocopiadora, Productos de papel / Productos de papel / Papel de imprenta y escritura, Tecnologías de la información, telecomunicaciones y radiodifusión / Equipos informáticos y accesorios / Accesorios o Dispositivos para ingreso de datos al computador</t>
        </is>
      </c>
      <c r="O32" s="4" t="inlineStr">
        <is>
          <t xml:space="preserve">180 Unidad · Tóner · 15 Unidad · Tóner · 20 Unidad · Tóner · y 22 más</t>
        </is>
      </c>
      <c r="P32" s="2"/>
      <c r="Q32" s="2"/>
      <c r="R32" s="0"/>
      <c r="S32" s="0" t="inlineStr">
        <is>
          <t xml:space="preserve">No</t>
        </is>
      </c>
      <c r="T32" s="4"/>
      <c r="U32" s="0" t="inlineStr">
        <is>
          <t xml:space="preserve">ANDRES BUSTAMANTE CONTRERAS</t>
        </is>
      </c>
      <c r="V32" s="4" t="inlineStr">
        <is>
          <t xml:space="preserve">INSUMOS COMPUTACIONALES, SEGUN REQUERIMIENTOS TECNICOS MINIMOS EN ARCHIVO ADJUNTO. EVALUACION Y ADJUDICACION POR LIENAS Y/O ITEMS SEPARADOS. OBLIGATORIO ADJUNTAR FICHA TECNICA DE LOS PRODUCTOS OFERTADOS. INGRESAR OFERTA CON VALORES UNITARIOS NETOS, COSTOS DE ENVIO Y DESCARGA DE CARGO DEL PROVEEDOR.</t>
        </is>
      </c>
      <c r="W32" s="5" t="str">
        <f>HYPERLINK("https://www.mercadopublico.cl/Procurement/Modules/Attachment/ViewAttachment.aspx?enc=6KTqS4DFTrlpbxZFKAF93eiaO9aSfVnkyJXGjz%2fTycBb8su939Ty%2fyPQnL0poFjLO9NmORP6LXEYoMXphn%2bg4NPyDBMvr9UXA78cDjX6zohK6VzLboVCRXTR7AGOS7a1P%2fdaDYDIQid1GxT9a2inz2txgHQ5yHzeHsBTr89UpDehaeWT%2bqRvezg93gURcLekMsE8rwyaZvoyzHgxENqL1XIP4r2A1zzy9MqhVur%2fjbUmOrG%2bAcn88kCeEGmnYG1hto64niNaLL3%2bQPZsxC5O9PDmtkRl63uUu2Y4H9FcVqgt1ok9LM1eDGgTm9UZzxJs","descargar bases")</f>
      </c>
    </row>
    <row r="33">
      <c r="A33" s="0" t="inlineStr">
        <is>
          <t xml:space="preserve">3084-31-LE26</t>
        </is>
      </c>
      <c r="B33" s="4" t="inlineStr">
        <is>
          <t xml:space="preserve">SERVICIO REPARACIÓN DE OFICINAS PARA LA DIRECCIÓN DE TELECOMUNICACIONES E INFORMÁTICA DE LA ARMADA.</t>
        </is>
      </c>
      <c r="C33" s="0" t="inlineStr">
        <is>
          <t xml:space="preserve">Publicada</t>
        </is>
      </c>
      <c r="D33" s="0" t="inlineStr">
        <is>
          <t xml:space="preserve">DIRECCION DE ABASTECIMIENTO DE LA ARMADA</t>
        </is>
      </c>
      <c r="E33" s="0" t="inlineStr">
        <is>
          <t xml:space="preserve">Dirección de Telecomunicaciones e Informática de la Armada</t>
        </is>
      </c>
      <c r="F33" s="0" t="inlineStr">
        <is>
          <t xml:space="preserve">Región de Valparaíso </t>
        </is>
      </c>
      <c r="G33" s="0"/>
      <c r="H33" s="2">
        <v>46262.346319</v>
      </c>
      <c r="I33" s="2">
        <v>46287.625694</v>
      </c>
      <c r="J33" s="0">
        <v>3</v>
      </c>
      <c r="K33" s="3">
        <v>10000000.0</v>
      </c>
      <c r="L33" s="0" t="inlineStr">
        <is>
          <t xml:space="preserve">CLP</t>
        </is>
      </c>
      <c r="M33" s="0" t="inlineStr">
        <is>
          <t xml:space="preserve">LE</t>
        </is>
      </c>
      <c r="N33" s="4" t="inlineStr">
        <is>
          <t xml:space="preserve">Servicios profesionales, administrativos y consultorías de gestión empresarial / Servicios de recursos humanos / Servicios de personal temporal</t>
        </is>
      </c>
      <c r="O33" s="4" t="inlineStr">
        <is>
          <t xml:space="preserve">1 Unidad · Mano de obra temporal</t>
        </is>
      </c>
      <c r="P33" s="2"/>
      <c r="Q33" s="2"/>
      <c r="R33" s="0"/>
      <c r="S33" s="0" t="inlineStr">
        <is>
          <t xml:space="preserve">No</t>
        </is>
      </c>
      <c r="T33" s="4" t="inlineStr">
        <is>
          <t xml:space="preserve">1.Los derechos y obligaciones que nacen con ocasión del desarrollo del presente procedimiento de contratación pública, serán intransferibles, sin perjuicio de que una norma legal especial permita expresamente la cesión de derechos y obligaciones.</t>
        </is>
      </c>
      <c r="U33" s="0" t="inlineStr">
        <is>
          <t xml:space="preserve">Karen Arellano</t>
        </is>
      </c>
      <c r="V33" s="4" t="inlineStr">
        <is>
          <t xml:space="preserve">SERVICIO REPARACIÓN DE OFICINAS PARA LA DIRECCIÓN DE TELECOMUNICACIONES E INFORMÁTICA DE LA ARMADA.</t>
        </is>
      </c>
      <c r="W33" s="5" t="str">
        <f>HYPERLINK("https://www.mercadopublico.cl/Procurement/Modules/Attachment/ViewAttachment.aspx?enc=5f%2fxOJut9Lvdauu5qPX2hlfKNg6BCMabE5BBceiNRDk4Dw29yhwJRe646KEYzfIAMCTeJVHaLf%2bJ4uIn6HSl8YnApZNFELNhuT88V2k9Gr76Qd2ijzDY2c6Cpt6%2fE68Ph1mdv7sfLKepI3zsBZzztnCqQ8qWgcagnewT%2f4pqnmNcnBWIKygux6y9atBgaCqW6ybbYFMlu9tzBHfF3hcKS849WVhf4kpZqYlqMJZUwv0soydKicP%2fWTHA08dr2stQYMfAbufveazRJVt7h8jKExyCliSIXQlJ005jaKMy7Wuvk7vCftswksQtGwZDmFcN","descargar bases")</f>
      </c>
    </row>
    <row r="34">
      <c r="A34" s="0" t="inlineStr">
        <is>
          <t xml:space="preserve">5413-71-LE26</t>
        </is>
      </c>
      <c r="B34" s="4" t="inlineStr">
        <is>
          <t xml:space="preserve">SERVICIO DE PLATAFORMA DE LIBROS CONTABLES Y AUXILIARES ELECTRÓNICOS Y DOCUMENTOS TRIBUTARIOS ELECTRÓNICOS DTE PARA LA UNIVERSIDAD DE LOS LAGOS</t>
        </is>
      </c>
      <c r="C34" s="0" t="inlineStr">
        <is>
          <t xml:space="preserve">Publicada</t>
        </is>
      </c>
      <c r="D34" s="0" t="inlineStr">
        <is>
          <t xml:space="preserve">UNIVERSIDAD DE LOS LAGOS</t>
        </is>
      </c>
      <c r="E34" s="0" t="inlineStr">
        <is>
          <t xml:space="preserve">CAMPUS OSORNO</t>
        </is>
      </c>
      <c r="F34" s="0" t="inlineStr">
        <is>
          <t xml:space="preserve">Región de los Lagos </t>
        </is>
      </c>
      <c r="G34" s="0" t="inlineStr">
        <is>
          <t xml:space="preserve">Osorno</t>
        </is>
      </c>
      <c r="H34" s="2">
        <v>46269.381134</v>
      </c>
      <c r="I34" s="2">
        <v>46287.645833</v>
      </c>
      <c r="J34" s="0">
        <v>3</v>
      </c>
      <c r="K34" s="3"/>
      <c r="L34" s="0" t="inlineStr">
        <is>
          <t xml:space="preserve">CLP</t>
        </is>
      </c>
      <c r="M34" s="0" t="inlineStr">
        <is>
          <t xml:space="preserve">LE</t>
        </is>
      </c>
      <c r="N34" s="4" t="inlineStr">
        <is>
          <t xml:space="preserve">Servicios basados en ingeniería, ciencias sociales y tecnología de la información / Servicios informáticos / Administración de sistemas, Servicios profesionales, administrativos y consultorías de gestión empresarial / Servicios de recursos humanos / Contratación de personal</t>
        </is>
      </c>
      <c r="O34" s="4" t="inlineStr">
        <is>
          <t xml:space="preserve">36 Mes · Mantenimiento y soporte de sistemas propietarios · 36 Mes · Desarrolladores de software · 36 Mes · Desarrolladores de software</t>
        </is>
      </c>
      <c r="P34" s="2"/>
      <c r="Q34" s="2"/>
      <c r="R34" s="0" t="inlineStr">
        <is>
          <t xml:space="preserve">36 meses</t>
        </is>
      </c>
      <c r="S34" s="0" t="inlineStr">
        <is>
          <t xml:space="preserve">No</t>
        </is>
      </c>
      <c r="T34" s="4"/>
      <c r="U34" s="0" t="inlineStr">
        <is>
          <t xml:space="preserve">Sandra Peñailillo</t>
        </is>
      </c>
      <c r="V34" s="4" t="inlineStr">
        <is>
          <t xml:space="preserve">UNIVERSIDAD DE LOS LAGOS, REQUIERE SERVICIO DE PLATAFORMA DE LIBROS CONTABLES Y AUXILIARES ELECTRÓNICOS Y DOCUMENTOS TRIBUTARIOS ELECTRÓNICOS (DTE) PARA LA UNIVERSIDAD DE LOS LAGOS.
SEGÚN SASERVI N°83203.</t>
        </is>
      </c>
      <c r="W34" s="5" t="str">
        <f>HYPERLINK("https://www.mercadopublico.cl/Procurement/Modules/Attachment/ViewAttachment.aspx?enc=7vPEdpc4n%2bYEQz0OFmo%2bYZBvAnH4KPmDKfKm%2f2Pp9mWuirpIUPWCJDYksVQePCcKU2EIAKiYz7zFKyWW2YXHg9g7yerHdzYwIBV6gyEk90dO1cvDf7j8FxM0m%2fsz68I22N%2bTpwmXJ7RYP%2flJJmw76HYfoI2%2fwXSjDlJfiDYQBcD%2bsBTtm9mmcni05WZPD5BnUVh%2flhyZRM6XGIGhlxrBU%2faxbjasCsD2MSjFsLdvsPyUDKDRBZ8Rj8RoZ2zI%2f0XMGEmidFZtLcdpy%2fdLeu6DqU4W1mKkU6e9IoV%2beL4RpMTWC9Vcfag23PSIPeNoW8IC","descargar bases")</f>
      </c>
    </row>
    <row r="35">
      <c r="A35" s="0" t="inlineStr">
        <is>
          <t xml:space="preserve">837-101-LP26</t>
        </is>
      </c>
      <c r="B35" s="4" t="inlineStr">
        <is>
          <t xml:space="preserve">CDP 477 SERVICIO DE OPERACIÓN SISTEMA DE CONTROL CENTRALIZADO BMS Y SISTEMA DE TELEVIGILANCIA SOFTWARE HIKCENTRAL PROFESSIONAL DE EDIFICIO INSTITUCIONAL SML SANTIAGO</t>
        </is>
      </c>
      <c r="C35" s="0" t="inlineStr">
        <is>
          <t xml:space="preserve">Publicada</t>
        </is>
      </c>
      <c r="D35" s="0" t="inlineStr">
        <is>
          <t xml:space="preserve">SERVICIO MEDICO LEGAL</t>
        </is>
      </c>
      <c r="E35" s="0" t="inlineStr">
        <is>
          <t xml:space="preserve">SERVICIO MEDICO LEGAL</t>
        </is>
      </c>
      <c r="F35" s="0" t="inlineStr">
        <is>
          <t xml:space="preserve">Región Metropolitana de Santiago</t>
        </is>
      </c>
      <c r="G35" s="0"/>
      <c r="H35" s="2">
        <v>46265.419491</v>
      </c>
      <c r="I35" s="2">
        <v>46287.645833</v>
      </c>
      <c r="J35" s="0">
        <v>3</v>
      </c>
      <c r="K35" s="3">
        <v>346885000.0</v>
      </c>
      <c r="L35" s="0" t="inlineStr">
        <is>
          <t xml:space="preserve">CLP</t>
        </is>
      </c>
      <c r="M35" s="0" t="inlineStr">
        <is>
          <t xml:space="preserve">LP</t>
        </is>
      </c>
      <c r="N35" s="4" t="inlineStr">
        <is>
          <t xml:space="preserve">Equipos y suministros de defensa, orden público, protección y seguridad / Seguridad, vigilancia y detección / Equipo de vigilancia y detección, Tecnologías de la información, telecomunicaciones y radiodifusión / Software / Software de administración de redes</t>
        </is>
      </c>
      <c r="O35" s="4" t="inlineStr">
        <is>
          <t xml:space="preserve">12 Mes · Software de administración · 12 Mes · Sistemas de control de acceso o de seguridad</t>
        </is>
      </c>
      <c r="P35" s="2"/>
      <c r="Q35" s="2"/>
      <c r="R35" s="0" t="inlineStr">
        <is>
          <t xml:space="preserve">12 meses</t>
        </is>
      </c>
      <c r="S35" s="0" t="inlineStr">
        <is>
          <t xml:space="preserve">No</t>
        </is>
      </c>
      <c r="T35" s="4"/>
      <c r="U35" s="0" t="inlineStr">
        <is>
          <t xml:space="preserve">Vicente Muñoz, profesional DLI</t>
        </is>
      </c>
      <c r="V35" s="4" t="inlineStr">
        <is>
          <t xml:space="preserve">Se requiere contar con el SERVICIO DE OPERACIÓN PARA EL SISTEMA DE CONTROL CENTRALIZADO (BMS) SOFTWARE ENTELIWEB Y EL SISTEMA DE TELEVIGILANCIA SOFTWARE HIKCENTRAL) Y SU EQUIPAMIENTO ASOCIADO PERTENECIENTES AL EDIFICIO INSTITUCIONAL DEL SERVICIO MÉDICO LEGAL METROPOLITANO (SML), con el objeto de asegurar su correcta operación, revisión de instalaciones y programación en los sistemas y equipamiento instalados</t>
        </is>
      </c>
      <c r="W35" s="5" t="str">
        <f>HYPERLINK("https://www.mercadopublico.cl/Procurement/Modules/Attachment/ViewAttachment.aspx?enc=IM35Jz%2bE%2byjfWJlxZY25iT8zJDzug9UbfdKLKx29PJD2ig4Sx89CfDkpvoRZhTafHa1Vy8CipF%2bGGs0JMOUCtqSoy%2bJuIY9uDxcvvEpqkestgXCoiEuwWe5ys3xLXqGMD0IJuoNL%2fVpJG%2f53N7R7ILxwdl0yTtwG1fCVs39xa%2fg3OC%2bNdTn1FVlJOq%2fVD8%2bZzjKtevgdBH2iuGXrmo745Havm1u0VwzGEV1lC7PPh1i1HoOWOXvPY8cynuy7hA1o2x9O2mE0sxyc7Z9c5c1XAkjb0cDS9Yxmvm9A6e0iHfWb3A0OV5MNBCFKSQ%2b10c3Z","descargar bases")</f>
      </c>
    </row>
    <row r="36">
      <c r="A36" s="0" t="inlineStr">
        <is>
          <t xml:space="preserve">4778-14-LP26</t>
        </is>
      </c>
      <c r="B36" s="4" t="inlineStr">
        <is>
          <t xml:space="preserve">SERV. ADMINISTRADO CONTACT CENTER OMNICANAL CON IA</t>
        </is>
      </c>
      <c r="C36" s="0" t="inlineStr">
        <is>
          <t xml:space="preserve">Publicada</t>
        </is>
      </c>
      <c r="D36" s="0" t="inlineStr">
        <is>
          <t xml:space="preserve">SERVICIO NACIONAL DE SALUD HOSPITAL DE C</t>
        </is>
      </c>
      <c r="E36" s="0" t="inlineStr">
        <is>
          <t xml:space="preserve">Compras de Insumos y Servicios Generales</t>
        </is>
      </c>
      <c r="F36" s="0" t="inlineStr">
        <is>
          <t xml:space="preserve">Región Aysén del General Carlos Ibáñez del Campo</t>
        </is>
      </c>
      <c r="G36" s="0" t="inlineStr">
        <is>
          <t xml:space="preserve">Coyhaique</t>
        </is>
      </c>
      <c r="H36" s="2">
        <v>46254.698611</v>
      </c>
      <c r="I36" s="2">
        <v>46287.666667</v>
      </c>
      <c r="J36" s="0">
        <v>3</v>
      </c>
      <c r="K36" s="3"/>
      <c r="L36" s="0" t="inlineStr">
        <is>
          <t xml:space="preserve">CLP</t>
        </is>
      </c>
      <c r="M36" s="0" t="inlineStr">
        <is>
          <t xml:space="preserve">LP</t>
        </is>
      </c>
      <c r="N36" s="4" t="inlineStr">
        <is>
          <t xml:space="preserve">Tecnologías de la información, telecomunicaciones y radiodifusión / Software / Software para trabajo en redes</t>
        </is>
      </c>
      <c r="O36" s="4" t="inlineStr">
        <is>
          <t xml:space="preserve">24 Unidad · Software para centrales de comunicación digital</t>
        </is>
      </c>
      <c r="P36" s="2"/>
      <c r="Q36" s="2"/>
      <c r="R36" s="0" t="inlineStr">
        <is>
          <t xml:space="preserve">24 meses</t>
        </is>
      </c>
      <c r="S36" s="0" t="inlineStr">
        <is>
          <t xml:space="preserve">No</t>
        </is>
      </c>
      <c r="T36" s="4" t="inlineStr">
        <is>
          <t xml:space="preserve">Ver Bases Administrativas Especiales, punto 3.</t>
        </is>
      </c>
      <c r="U36" s="0" t="inlineStr">
        <is>
          <t xml:space="preserve">Carolina Pérez Alfaro</t>
        </is>
      </c>
      <c r="V36" s="4" t="inlineStr">
        <is>
          <t xml:space="preserve">Servicio Administrado de Contact Center Omnicanal con Inteligencia Artificial para la Gestión Integral de la Contactabilidad de Usuarios del Hospital Regional Coyhaique.</t>
        </is>
      </c>
      <c r="W36" s="5" t="str">
        <f>HYPERLINK("https://www.mercadopublico.cl/Procurement/Modules/Attachment/ViewAttachment.aspx?enc=0bdhNxuXo0yhJck3lJQQa4hM%2fiqVioa%2bZfKPiD186WrfCO7hP2ko0ICAaJJvFFfNqfuLoGJf5BeI52EPSSLZ5JgpJCt%2bVPH0LAhkZzjuxNsFQ5hoPGwQIrdsdtSz3lxE7SgZbTdH0qnZsB05yd4BJa74I0xEb9NO%2f05Eh2hH4kHkc6oTM0sDxtVKByqy5BBDFomSoOQcF%2fEwawhCwwWSPCp52D5JTBLc%2bw3etUoaMZcV0W9D6MWzRTsVv%2bGw0fBBOIAzas6epABmDRJK2ebjtSwws7w4TobxlV4ue%2bOVz9EHLGmB%2b%2fYeD2Q3A5%2bbDGrs","descargar bases")</f>
      </c>
    </row>
    <row r="37">
      <c r="A37" s="0" t="inlineStr">
        <is>
          <t xml:space="preserve">885-83-LE26</t>
        </is>
      </c>
      <c r="B37" s="4" t="inlineStr">
        <is>
          <t xml:space="preserve">Servicios de soporte y mantenimiento de la plataforma de seguridad F5 de la Contraloría General de la República</t>
        </is>
      </c>
      <c r="C37" s="0" t="inlineStr">
        <is>
          <t xml:space="preserve">Publicada</t>
        </is>
      </c>
      <c r="D37" s="0" t="inlineStr">
        <is>
          <t xml:space="preserve">CONTRALORIA GENERAL DE LA REPUBLICA</t>
        </is>
      </c>
      <c r="E37" s="0" t="inlineStr">
        <is>
          <t xml:space="preserve">Contraloría General de la República</t>
        </is>
      </c>
      <c r="F37" s="0" t="inlineStr">
        <is>
          <t xml:space="preserve">Región Metropolitana de Santiago</t>
        </is>
      </c>
      <c r="G37" s="0"/>
      <c r="H37" s="2">
        <v>46272.494688</v>
      </c>
      <c r="I37" s="2">
        <v>46287.666667</v>
      </c>
      <c r="J37" s="0">
        <v>3</v>
      </c>
      <c r="K37" s="3">
        <v>16000000.0</v>
      </c>
      <c r="L37" s="0" t="inlineStr">
        <is>
          <t xml:space="preserve">CLP</t>
        </is>
      </c>
      <c r="M37" s="0" t="inlineStr">
        <is>
          <t xml:space="preserve">LE</t>
        </is>
      </c>
      <c r="N37" s="4" t="inlineStr">
        <is>
          <t xml:space="preserve">Tecnologías de la información, telecomunicaciones y radiodifusión / Equipos, plataformas y accesorios de redes multimedia, voz y datos / Equipos de seguridad de red</t>
        </is>
      </c>
      <c r="O37" s="4" t="inlineStr">
        <is>
          <t xml:space="preserve">1 Unidad · Equipo de seguridad de red de firewall</t>
        </is>
      </c>
      <c r="P37" s="2"/>
      <c r="Q37" s="2"/>
      <c r="R37" s="0" t="inlineStr">
        <is>
          <t xml:space="preserve">12 meses</t>
        </is>
      </c>
      <c r="S37" s="0" t="inlineStr">
        <is>
          <t xml:space="preserve">No</t>
        </is>
      </c>
      <c r="T37" s="4"/>
      <c r="U37" s="0" t="inlineStr">
        <is>
          <t xml:space="preserve">Cristian Leon</t>
        </is>
      </c>
      <c r="V37" s="4" t="inlineStr">
        <is>
          <t xml:space="preserve">La Contraloría General de la República requiere contratar los servicios de soporte y mantenimiento de su plataforma de seguridad, correspondiente a Balanceador de carga y cortafuego de aplicaciones F5, para zona productiva por un periodo de 12 meses.</t>
        </is>
      </c>
      <c r="W37" s="5" t="str">
        <f>HYPERLINK("https://www.mercadopublico.cl/Procurement/Modules/Attachment/ViewAttachment.aspx?enc=%2fRbzCKxkcHrm4e3lur%2fcNPp8pw5%2bkQ826%2bah%2fDRVhTC8DcuS9wJ9JMIAEnCUlE7lGL9XuRe%2bKLfPxqGq0deWrWClaMnTA%2b44G7Bwhn83lggEvZipXff3PjpY19UMU4y9Cz1bfC92p8U7YZI5kuSjDvvknBbbr4TmFH0Z2tn72%2fSFe7Q5Eczk2qYZRKmD%2feJX8Kvr%2bJhVKFlFfgoi6oqkS8NUxOXceKNh54WMfdSNqsyS3VnwvKuuBNALEhrSXINCkdPELwHhOFhZfNXTUSd0CyMKEjnIqGDYHz%2fWOmE6y1xKDAeBYFutnrhHRKnx07sW","descargar bases")</f>
      </c>
    </row>
    <row r="38">
      <c r="A38" s="0" t="inlineStr">
        <is>
          <t xml:space="preserve">2098-142-LE26</t>
        </is>
      </c>
      <c r="B38" s="4" t="inlineStr">
        <is>
          <t xml:space="preserve">ADQUISICION DE ARTICULOS INFORMATICOS Y TECNOLOGICOS PAC N° 115 HRAV.</t>
        </is>
      </c>
      <c r="C38" s="0" t="inlineStr">
        <is>
          <t xml:space="preserve">Publicada</t>
        </is>
      </c>
      <c r="D38" s="0" t="inlineStr">
        <is>
          <t xml:space="preserve">SERVICIO NACIONAL DE SALUD HOSPITAL DE C</t>
        </is>
      </c>
      <c r="E38" s="0" t="inlineStr">
        <is>
          <t xml:space="preserve">Hospital Curanilahue</t>
        </is>
      </c>
      <c r="F38" s="0" t="inlineStr">
        <is>
          <t xml:space="preserve">Región del Biobío </t>
        </is>
      </c>
      <c r="G38" s="0" t="inlineStr">
        <is>
          <t xml:space="preserve">Curanilahue</t>
        </is>
      </c>
      <c r="H38" s="2">
        <v>46276.658981</v>
      </c>
      <c r="I38" s="2">
        <v>46287.666667</v>
      </c>
      <c r="J38" s="0">
        <v>3</v>
      </c>
      <c r="K38" s="3">
        <v>23152000.0</v>
      </c>
      <c r="L38" s="0" t="inlineStr">
        <is>
          <t xml:space="preserve">CLP</t>
        </is>
      </c>
      <c r="M38" s="0" t="inlineStr">
        <is>
          <t xml:space="preserve">LE</t>
        </is>
      </c>
      <c r="N38" s="4" t="inlineStr">
        <is>
          <t xml:space="preserve">Artículos de electrónica / Circuitos electrónicos / Circuitos integrados, memorias y microprocesadores, Artículos de fabricación y producción / Artículos de ferretería / Soportes y puntales, Artículos de fabricación y producción / Cintas adhesivas y selladores / Cinta adhesiva, Artículos eléctricos y de iluminación / Equipamiento y artículos eléctricos / Equipamiento para distribución y transformación eléctrica, Equipos, accesorios y suministros de oficina / Accesorios de oficina y escritorio / Tableros o pizarras, Herramientas y maquinaria en general / Herramientas manuales / Herramientas de corte, estaje y punzones, Herramientas y maquinaria en general / Herramientas manuales / Prensas y herramientas especiales, Maquinaria para fabricación y transformación industrial / Maquinaria y suministros de procesos industriales / Dispositivos de guía, posicionamiento y sujeción</t>
        </is>
      </c>
      <c r="O38" s="4" t="inlineStr">
        <is>
          <t xml:space="preserve">30 Unidad · Fuentes de alimentación continua · 100 Unidad · Fuentes de alimentación continua · 30 Unidad · Fuentes de alimentación continua · y 38 más</t>
        </is>
      </c>
      <c r="P38" s="2"/>
      <c r="Q38" s="2"/>
      <c r="R38" s="0"/>
      <c r="S38" s="0" t="inlineStr">
        <is>
          <t xml:space="preserve">No</t>
        </is>
      </c>
      <c r="T38" s="4"/>
      <c r="U38" s="0" t="inlineStr">
        <is>
          <t xml:space="preserve">LUIS VEGA</t>
        </is>
      </c>
      <c r="V38" s="4" t="inlineStr">
        <is>
          <t xml:space="preserve">Conforme a Ley de Compras Públicas Nº19.886, el reglamento, sus modificaciones y su modernización, el Hospital Dr. Rafael Avaria Valenzuela de Curanilahue a través del Departamento de Abastecimiento y Logística, invita a los oferentes, personas naturales o jurídicas y Uniones Temporales de Proveedores, a participar en la licitación pública para contar con una Empresa externa, que provea de bienes o servicios, para el Hospital de Curanilahue y la red del Servicio de Salud, determinado los requisitos administrativos mínimos para participar en la propuesta y garantizar con este mismo instrumento la calidad y entrega del servicio requerido.</t>
        </is>
      </c>
      <c r="W38" s="5" t="str">
        <f>HYPERLINK("https://www.mercadopublico.cl/Procurement/Modules/Attachment/ViewAttachment.aspx?enc=GhxRuw0DwKRlrFqnnUTpM9l7Amaz03Fngf1u%2fLWFq57D0q6nAffUIXLAbHUXyA1Q6k1atFl%2bosiGBGrQ%2fFOockoddWQsmYmhuVyJ2rg%2be7T97Haepx81fNaqInmqVBdDl7q68NorUJzdPVjfkHq3OIyqQP1%2bksCP7cx3HnCUDcHkdjZvEzKF3ZRTZzaPQZfpV5KJjhVTI3oW7c4EHMcbT8Z0SGLJ55zcnDWovWrtKrOYtWa9MAYH6g%2bj1SAjd42nRW3WqMAQEUXYCTqV2TdDncxUWe1FsgqqFtFn626EEnONwdY%2bz0QUo0PigP%2bDCHdd","descargar bases")</f>
      </c>
    </row>
    <row r="39">
      <c r="A39" s="0" t="inlineStr">
        <is>
          <t xml:space="preserve">3868-16-LE26</t>
        </is>
      </c>
      <c r="B39" s="4" t="inlineStr">
        <is>
          <t xml:space="preserve">ADQ. SOLUC. ALMAC. Y PROTECC. DATOS LABOCAR 2</t>
        </is>
      </c>
      <c r="C39" s="0" t="inlineStr">
        <is>
          <t xml:space="preserve">Publicada</t>
        </is>
      </c>
      <c r="D39" s="0" t="inlineStr">
        <is>
          <t xml:space="preserve">DIRECCION DE LOGISTICA DE CARABINEROS</t>
        </is>
      </c>
      <c r="E39" s="0" t="inlineStr">
        <is>
          <t xml:space="preserve">Depto.Crim.Labocar</t>
        </is>
      </c>
      <c r="F39" s="0" t="inlineStr">
        <is>
          <t xml:space="preserve">Región Metropolitana de Santiago</t>
        </is>
      </c>
      <c r="G39" s="0" t="inlineStr">
        <is>
          <t xml:space="preserve">Santiago</t>
        </is>
      </c>
      <c r="H39" s="2">
        <v>46274.639144</v>
      </c>
      <c r="I39" s="2">
        <v>46288.375</v>
      </c>
      <c r="J39" s="0">
        <v>4</v>
      </c>
      <c r="K39" s="3">
        <v>22000000.0</v>
      </c>
      <c r="L39" s="0" t="inlineStr">
        <is>
          <t xml:space="preserve">CLP</t>
        </is>
      </c>
      <c r="M39" s="0" t="inlineStr">
        <is>
          <t xml:space="preserve">LE</t>
        </is>
      </c>
      <c r="N39" s="4" t="inlineStr">
        <is>
          <t xml:space="preserve">Tecnologías de la información, telecomunicaciones y radiodifusión / Componentes para tecnología de la información, difusión o telecomunicaciones / Componentes de gabinete, rack o chasis</t>
        </is>
      </c>
      <c r="O39" s="4" t="inlineStr">
        <is>
          <t xml:space="preserve">2 Unidad · Torres de disposición de discos duros</t>
        </is>
      </c>
      <c r="P39" s="2"/>
      <c r="Q39" s="2"/>
      <c r="R39" s="0"/>
      <c r="S39" s="0" t="inlineStr">
        <is>
          <t xml:space="preserve">No</t>
        </is>
      </c>
      <c r="T39" s="4" t="inlineStr">
        <is>
          <t xml:space="preserve">No se podrá subcontratar, salvo autorización expresa de la Institución, para esto, el oferente deberá presentar la solicitud de subcontratación al momento de presentar su oferta.</t>
        </is>
      </c>
      <c r="U39" s="0" t="inlineStr">
        <is>
          <t xml:space="preserve">Leslie Sanhueza García</t>
        </is>
      </c>
      <c r="V39" s="4" t="inlineStr">
        <is>
          <t xml:space="preserve">ADQUIRIR DOS SOLUCIONES PARA ALMACENAMIENTO Y PROTECCIÓN DE DATOS PARA EL DEPARTAMENTO DE CRIMINALÍSTICA DECARABINEROS LABOCAR.</t>
        </is>
      </c>
      <c r="W39" s="5" t="str">
        <f>HYPERLINK("https://www.mercadopublico.cl/Procurement/Modules/Attachment/ViewAttachment.aspx?enc=yZS2YWehZ0huuMdIAR5O9SjJqFH6PfburRKb3eB3xmSmiA63F2tqRD9acLIa0vIf8mcYX49lBNsmOqM7EzMf5aa8Dw980FsZxK0IvzK8%2f%2b83kTfRm4Q8FlY1EmOquVi8p%2f3PmBlKBaBmI2fStJmWiBN%2fsAydsItqqE9PkKqjQisCWvwXZslpGJ5ksheNpKyqt5zkWVeNJR5RqtK5Q2TEQIeNrak3uC%2fnv6LC%2bpiAjR7vOZDGvwaE%2bF3G16qeNFvlSyob7Tv8V91qeyGMx6nmn5Ooi55F5V%2fGTd6avd7xO%2fwvQKZyaVC5NCbxvmxQHU8c","descargar bases")</f>
      </c>
    </row>
    <row r="40">
      <c r="A40" s="0" t="inlineStr">
        <is>
          <t xml:space="preserve">1082957-30-LE26</t>
        </is>
      </c>
      <c r="B40" s="4" t="inlineStr">
        <is>
          <t xml:space="preserve">Servicio de soporte mantención y desarrollo evolutivo para sitio web institucional de ProChile</t>
        </is>
      </c>
      <c r="C40" s="0" t="inlineStr">
        <is>
          <t xml:space="preserve">Publicada</t>
        </is>
      </c>
      <c r="D40" s="0" t="inlineStr">
        <is>
          <t xml:space="preserve">DIRECCION GENERAL DE PROMOCION DE EXPORTACIONES</t>
        </is>
      </c>
      <c r="E40" s="0" t="inlineStr">
        <is>
          <t xml:space="preserve">MN PROMOCION DE EXPORTACIONES</t>
        </is>
      </c>
      <c r="F40" s="0" t="inlineStr">
        <is>
          <t xml:space="preserve">Región Metropolitana de Santiago</t>
        </is>
      </c>
      <c r="G40" s="0" t="inlineStr">
        <is>
          <t xml:space="preserve">Santiago Centro</t>
        </is>
      </c>
      <c r="H40" s="2">
        <v>46274.565382</v>
      </c>
      <c r="I40" s="2">
        <v>46288.5</v>
      </c>
      <c r="J40" s="0">
        <v>4</v>
      </c>
      <c r="K40" s="3">
        <v>30000000.0</v>
      </c>
      <c r="L40" s="0" t="inlineStr">
        <is>
          <t xml:space="preserve">CLP</t>
        </is>
      </c>
      <c r="M40" s="0" t="inlineStr">
        <is>
          <t xml:space="preserve">LE</t>
        </is>
      </c>
      <c r="N40" s="4" t="inlineStr">
        <is>
          <t xml:space="preserve">Servicios basados en ingeniería, ciencias sociales y tecnología de la información / Servicios informáticos / Servicios para internet</t>
        </is>
      </c>
      <c r="O40" s="4" t="inlineStr">
        <is>
          <t xml:space="preserve">1 Unidad · Servicios de diseño de sitio Web</t>
        </is>
      </c>
      <c r="P40" s="2"/>
      <c r="Q40" s="2"/>
      <c r="R40" s="0" t="inlineStr">
        <is>
          <t xml:space="preserve">3 meses</t>
        </is>
      </c>
      <c r="S40" s="0" t="inlineStr">
        <is>
          <t xml:space="preserve">No</t>
        </is>
      </c>
      <c r="T40" s="4" t="inlineStr">
        <is>
          <t xml:space="preserve">El adjudicatario no podrá subcontratar, salvo autorización escrita de ProChile.</t>
        </is>
      </c>
      <c r="U40" s="0" t="inlineStr">
        <is>
          <t xml:space="preserve">Morales, Eduardo</t>
        </is>
      </c>
      <c r="V40" s="4" t="inlineStr">
        <is>
          <t xml:space="preserve">ProChile invita a participar en el proceso de contratación del Servicio de soporte, mantención y desarrollo evolutivo para sitio web institucional de ProChile, en modalidad de suministro. E1O2RT9</t>
        </is>
      </c>
      <c r="W40" s="5" t="str">
        <f>HYPERLINK("https://www.mercadopublico.cl/Procurement/Modules/Attachment/ViewAttachment.aspx?enc=qBVw26%2bOKIvCfxLjfCAJ97bz58xTp9K4VwY%2fjf9xLCWzauqMcjnFIu1nOGdALYA6bSoattyfBAtsX3UrQTabasCGFSrAId8EmLMtV9%2b7aK8xfBzIOtlWzA1isZ27g2QPyhB0GqEcCZe%2bXaBjuGCwZTRyRhW0ox8Qcfl%2bvw7jafcQnPGMOKOuLXEiNyuo%2fqHAiKB%2flTHa1TmEAWUI4z8WffP9GPOYkW%2fNhbCRcT26jJhxhjTRdWNh49gqtcrQvsAyRaMkVgGu3Yj4GBwm7ibwy6WtxlQm3HEksUhvv1I1lsa0hQE1B67BVnfxX8AvKPyP","descargar bases")</f>
      </c>
    </row>
    <row r="41">
      <c r="A41" s="0" t="inlineStr">
        <is>
          <t xml:space="preserve">1725-197-LP26</t>
        </is>
      </c>
      <c r="B41" s="4" t="inlineStr">
        <is>
          <t xml:space="preserve">INFRAESTRUC.TECNOLÓGICA PLATAFORMA FONDOS CONCURSA</t>
        </is>
      </c>
      <c r="C41" s="0" t="inlineStr">
        <is>
          <t xml:space="preserve">Publicada</t>
        </is>
      </c>
      <c r="D41" s="0" t="inlineStr">
        <is>
          <t xml:space="preserve">SUBSECRETARÍA DE LAS CULTURAS Y LAS ARTES</t>
        </is>
      </c>
      <c r="E41" s="0" t="inlineStr">
        <is>
          <t xml:space="preserve">SUBSECRETARIA DE LAS CULTURAS Y LAS ARTES</t>
        </is>
      </c>
      <c r="F41" s="0" t="inlineStr">
        <is>
          <t xml:space="preserve">Región de Valparaíso </t>
        </is>
      </c>
      <c r="G41" s="0" t="inlineStr">
        <is>
          <t xml:space="preserve">Valparaíso</t>
        </is>
      </c>
      <c r="H41" s="2">
        <v>46267.441169</v>
      </c>
      <c r="I41" s="2">
        <v>46288.5</v>
      </c>
      <c r="J41" s="0">
        <v>4</v>
      </c>
      <c r="K41" s="3">
        <v>170000000.0</v>
      </c>
      <c r="L41" s="0" t="inlineStr">
        <is>
          <t xml:space="preserve">CLP</t>
        </is>
      </c>
      <c r="M41" s="0" t="inlineStr">
        <is>
          <t xml:space="preserve">LP</t>
        </is>
      </c>
      <c r="N41" s="4" t="inlineStr">
        <is>
          <t xml:space="preserve">Tecnologías de la información, telecomunicaciones y radiodifusión / Software / Programas de desarrollo</t>
        </is>
      </c>
      <c r="O41" s="4" t="inlineStr">
        <is>
          <t xml:space="preserve">1 Unidad · Software de desarrollo de plataforma Web</t>
        </is>
      </c>
      <c r="P41" s="2"/>
      <c r="Q41" s="2"/>
      <c r="R41" s="0"/>
      <c r="S41" s="0" t="inlineStr">
        <is>
          <t xml:space="preserve">No</t>
        </is>
      </c>
      <c r="T41" s="4"/>
      <c r="U41" s="0" t="inlineStr">
        <is>
          <t xml:space="preserve">TIC</t>
        </is>
      </c>
      <c r="V41" s="4" t="inlineStr">
        <is>
          <t xml:space="preserve">SERVICIOS DE IMPLEMENTACIÓN Y EXPLOTACIÓN DE INFRAESTRUCTURA TECNOLÓGICA PARA LA PLATAFORMA DE FONDOS CONCURSABLES DE LA SUBSECRETARÍA DE LAS CULTURAS Y LAS ARTES</t>
        </is>
      </c>
      <c r="W41" s="5" t="str">
        <f>HYPERLINK("https://www.mercadopublico.cl/Procurement/Modules/Attachment/ViewAttachment.aspx?enc=2zTxIpuZh2NaueAUjfQNWRchW53P2TfWzSoVE43DoVIn0nqfevjr3ovKgsfnoxQ8S%2bhTbydkE%2flRd5ovKNTxxeuU51QFP72ePUZqcELFkcHdmCB6%2fKJIkgkm2KaHOOBIX4vBhcxcXIDxleFj48GaOnxi49TI0Jw7tEQ%2ftrZAAPb8Gr0yFy1DyPp0L01iVQ%2bM4wCpcxOI9LiT6CGzHTon7vO35mZY0j0iRweaRiKTaHnJ3cpm4It1Q9z%2bDznEa7xlKZxWcCTYyTl5TAhUMclJgk2hZrDPWs20vjgXQOUJOVNMFseskbINypQ5ULKKsr1%2b","descargar bases")</f>
      </c>
    </row>
    <row r="42">
      <c r="A42" s="0" t="inlineStr">
        <is>
          <t xml:space="preserve">1398-96-L126</t>
        </is>
      </c>
      <c r="B42" s="4" t="inlineStr">
        <is>
          <t xml:space="preserve">SERVICIO DE CAPACITACIÓN EN INTELIGENCIA EMOCIONAL PARA ADULTOS MAYORES Y HERRAMIENTAS DIGITALES B-LEARNING</t>
        </is>
      </c>
      <c r="C42" s="0" t="inlineStr">
        <is>
          <t xml:space="preserve">Publicada</t>
        </is>
      </c>
      <c r="D42" s="0" t="inlineStr">
        <is>
          <t xml:space="preserve">SERVICIO DE SALUD LIBERTADOR BDO OHIGGINS</t>
        </is>
      </c>
      <c r="E42" s="0" t="inlineStr">
        <is>
          <t xml:space="preserve">Servicio de Salud Ohiggins</t>
        </is>
      </c>
      <c r="F42" s="0" t="inlineStr">
        <is>
          <t xml:space="preserve">Región del Libertador General Bernardo O´Higgins</t>
        </is>
      </c>
      <c r="G42" s="0" t="inlineStr">
        <is>
          <t xml:space="preserve">Rancagua</t>
        </is>
      </c>
      <c r="H42" s="2">
        <v>46279.445116</v>
      </c>
      <c r="I42" s="2">
        <v>46288.625694</v>
      </c>
      <c r="J42" s="0">
        <v>4</v>
      </c>
      <c r="K42" s="3">
        <v>2458862.0</v>
      </c>
      <c r="L42" s="0" t="inlineStr">
        <is>
          <t xml:space="preserve">CLP</t>
        </is>
      </c>
      <c r="M42" s="0" t="inlineStr">
        <is>
          <t xml:space="preserve">L1</t>
        </is>
      </c>
      <c r="N42" s="4" t="inlineStr">
        <is>
          <t xml:space="preserve">Educación, formación, entrenamiento y capacitación / Sistemas educativos complementarios / Aprendizaje a distancia, Educación, formación, entrenamiento y capacitación / Sistemas educativos complementarios / Educación de adultos</t>
        </is>
      </c>
      <c r="O42" s="4" t="inlineStr">
        <is>
          <t xml:space="preserve">1 Unidad · Capacitación a empleados · 1 Unidad · Programas o cursos no diplomados a distancia</t>
        </is>
      </c>
      <c r="P42" s="2"/>
      <c r="Q42" s="2"/>
      <c r="R42" s="0"/>
      <c r="S42" s="0" t="inlineStr">
        <is>
          <t xml:space="preserve">No</t>
        </is>
      </c>
      <c r="T42" s="4"/>
      <c r="U42" s="0"/>
      <c r="V42" s="4" t="inlineStr">
        <is>
          <t xml:space="preserve">El Servicio de Salud O’Higgins llama a Licitación Pública parala contratación de servicios de docencia para dos Cursos de Capacitación, estos son: ''Emociones en Plenitud: Inteligencia Emocional en los Años Dorados'' y ‘’Curso De Curso B-Learning: “Herramientas Digitales’’’’ en el marco del Programa Más Adultos Mayores.</t>
        </is>
      </c>
      <c r="W42" s="5" t="str">
        <f>HYPERLINK("https://www.mercadopublico.cl/Procurement/Modules/Attachment/ViewAttachment.aspx?enc=kchhi5MI9oCZfKdnWlq8Zs5Dgy26PE2nm6HlQSQy%2fcaqBT6COMG8hdWjeXYnq3CFKMPWiM6EmtLUbPk2n1qzQNobV2rOF61Trwhq9Hvgcc%2fSAmTPhapECzVgurr%2f7BwonmuKtRhfVbsCowJ%2foFrcioCHUWCrMmpAaI0R0nYc02K4vpJ9TPuKZfhYvKFvWmrNzmWlxK%2f9Qofp0xrffTVEXifVurJA1UD91iA%2f7kz108W%2bvbupcy9LHr23C8Jvnm9oEfSHWLuk0lhe5O%2fKSSUhPiFadyXUn4mu3wV%2fsTp%2bzS9tU7bmXPv%2bNE0DawEDE%2bz3","descargar bases")</f>
      </c>
    </row>
    <row r="43">
      <c r="A43" s="0" t="inlineStr">
        <is>
          <t xml:space="preserve">2020-21-LE26</t>
        </is>
      </c>
      <c r="B43" s="4" t="inlineStr">
        <is>
          <t xml:space="preserve">MEJORA DE LA PLATAFORMA INFORMÁTICA PARA LA BCN.</t>
        </is>
      </c>
      <c r="C43" s="0" t="inlineStr">
        <is>
          <t xml:space="preserve">Publicada</t>
        </is>
      </c>
      <c r="D43" s="0" t="inlineStr">
        <is>
          <t xml:space="preserve">Biblioteca del Congreso Nacional</t>
        </is>
      </c>
      <c r="E43" s="0" t="inlineStr">
        <is>
          <t xml:space="preserve">Biblioteca del Congreso Nacional</t>
        </is>
      </c>
      <c r="F43" s="0" t="inlineStr">
        <is>
          <t xml:space="preserve">Región Metropolitana de Santiago</t>
        </is>
      </c>
      <c r="G43" s="0" t="inlineStr">
        <is>
          <t xml:space="preserve">Santiago Centro</t>
        </is>
      </c>
      <c r="H43" s="2">
        <v>46273.642813</v>
      </c>
      <c r="I43" s="2">
        <v>46288.625694</v>
      </c>
      <c r="J43" s="0">
        <v>4</v>
      </c>
      <c r="K43" s="3">
        <v>30000000.0</v>
      </c>
      <c r="L43" s="0" t="inlineStr">
        <is>
          <t xml:space="preserve">CLP</t>
        </is>
      </c>
      <c r="M43" s="0" t="inlineStr">
        <is>
          <t xml:space="preserve">LE</t>
        </is>
      </c>
      <c r="N43" s="4" t="inlineStr">
        <is>
          <t xml:space="preserve">Servicios basados en ingeniería, ciencias sociales y tecnología de la información / Servicios informáticos / Mantenimiento y soporte de software</t>
        </is>
      </c>
      <c r="O43" s="4" t="inlineStr">
        <is>
          <t xml:space="preserve">1 Unidad · Up grade de software</t>
        </is>
      </c>
      <c r="P43" s="2"/>
      <c r="Q43" s="2"/>
      <c r="R43" s="0" t="inlineStr">
        <is>
          <t xml:space="preserve">120 días</t>
        </is>
      </c>
      <c r="S43" s="0" t="inlineStr">
        <is>
          <t xml:space="preserve">No</t>
        </is>
      </c>
      <c r="T43" s="4" t="inlineStr">
        <is>
          <t xml:space="preserve">Según restricciones establecidas en el numeral 26. Subcontratación de las Bases de Licitación Adjuntas.</t>
        </is>
      </c>
      <c r="U43" s="0" t="inlineStr">
        <is>
          <t xml:space="preserve">SISRED</t>
        </is>
      </c>
      <c r="V43" s="4" t="inlineStr">
        <is>
          <t xml:space="preserve">PROYECTO DE MEJORA DE LA PLATAFORMA INFORMÁTICA DEL SISTEMA HISTORIA DE LA LEY Y LABOR PARLAMENTARIA PARA LA BIBLIOTECA DEL CONGRESO NACIONAL.</t>
        </is>
      </c>
      <c r="W43" s="5" t="str">
        <f>HYPERLINK("https://www.mercadopublico.cl/Procurement/Modules/Attachment/ViewAttachment.aspx?enc=z3i66uQio%2bH%2fC55QOLVrMZo%2bn3SrFF83JadSwKOpwa0arojwD1%2fIy8cthcZARsHb6lYegBiZgOHuuEzkC%2fYZn%2bQAyVQEXqPC%2f8FwEsPOq3GfSw3L0I8uzcjelvJ42LdkK4ZEn0pIHplL8VWZz5QK0hkKc0Qmyotz1i9V8C2W76chlkw1JMA30Re19mWkMELiKecoKmOMS9vgqBwdezH7%2bOAtXe6fuuvolDBoMXvIqa4n1gjTMXtalXFk2tcjoGXui0%2fMTkQ%2ftZPFn4nIhdlAeqmdfRees5lsFAClzUfobv0yxURFRV3IEcjUcZR%2bBVzk","descargar bases")</f>
      </c>
    </row>
    <row r="44">
      <c r="A44" s="0" t="inlineStr">
        <is>
          <t xml:space="preserve">85-41-LE26</t>
        </is>
      </c>
      <c r="B44" s="4" t="inlineStr">
        <is>
          <t xml:space="preserve">PLATAFORMA INTEGRAL SOPORTE TI CON CONTROL REMOTO</t>
        </is>
      </c>
      <c r="C44" s="0" t="inlineStr">
        <is>
          <t xml:space="preserve">Publicada</t>
        </is>
      </c>
      <c r="D44" s="0" t="inlineStr">
        <is>
          <t xml:space="preserve">JUNTA NACIONAL DE AUXILIO ESCOLAR Y BECA</t>
        </is>
      </c>
      <c r="E44" s="0" t="inlineStr">
        <is>
          <t xml:space="preserve">JUNTA NACIONAL DE AUXILIO ESCOLAR Y BECA</t>
        </is>
      </c>
      <c r="F44" s="0" t="inlineStr">
        <is>
          <t xml:space="preserve">Región Metropolitana de Santiago</t>
        </is>
      </c>
      <c r="G44" s="0" t="inlineStr">
        <is>
          <t xml:space="preserve">Santiago Centro</t>
        </is>
      </c>
      <c r="H44" s="2">
        <v>46268.654861</v>
      </c>
      <c r="I44" s="2">
        <v>46288.625694</v>
      </c>
      <c r="J44" s="0">
        <v>4</v>
      </c>
      <c r="K44" s="3"/>
      <c r="L44" s="0" t="inlineStr">
        <is>
          <t xml:space="preserve">CLP</t>
        </is>
      </c>
      <c r="M44" s="0" t="inlineStr">
        <is>
          <t xml:space="preserve">LE</t>
        </is>
      </c>
      <c r="N44" s="4" t="inlineStr">
        <is>
          <t xml:space="preserve">Tecnologías de la información, telecomunicaciones y radiodifusión / Software / Programas de desarrollo</t>
        </is>
      </c>
      <c r="O44" s="4" t="inlineStr">
        <is>
          <t xml:space="preserve">1 Unidad · Software de desarrollo de plataforma Web</t>
        </is>
      </c>
      <c r="P44" s="2"/>
      <c r="Q44" s="2"/>
      <c r="R44" s="0" t="inlineStr">
        <is>
          <t xml:space="preserve">36 meses</t>
        </is>
      </c>
      <c r="S44" s="0" t="inlineStr">
        <is>
          <t xml:space="preserve">No</t>
        </is>
      </c>
      <c r="T44" s="4" t="inlineStr">
        <is>
          <t xml:space="preserve">SEGÚN LO INDICADO EN EL TÍTULO 19 DE LAS BASES ADMINISTRATIVAS.</t>
        </is>
      </c>
      <c r="U44" s="0" t="inlineStr">
        <is>
          <t xml:space="preserve">Fernando Peña Rivera</t>
        </is>
      </c>
      <c r="V44" s="4" t="inlineStr">
        <is>
          <t xml:space="preserve">Se requiere la adquisición de una solución tecnológica centralizada, bajo la modalidad de suscripción plurianual por un período de 36 meses, denominada Plataforma de Gestión de Activos TI ITAM y Administración de Licenciamiento de Software SAM para JUNAEB.</t>
        </is>
      </c>
      <c r="W44" s="5" t="str">
        <f>HYPERLINK("https://www.mercadopublico.cl/Procurement/Modules/Attachment/ViewAttachment.aspx?enc=IrLpCkV2sHkPsv7DaVPVXtUscBt6i3SkIhmKERPCnhJ%2ffd6wuqIIA0ZGKZfcr5TjH8GFD%2b5ybU4X9Eiy3oNPCzapIReL5oLUVmJJb6LH4BRBa2YB4ZM50Vs7QE37KvGbut1UDlGfDzwi8Fp62R61wt7sHqJNS9txiMEdRrZNJeiKfGRk8M9tUqcQoDpJDa0ZNa1QBKWplprA3MOKOrRVi%2b8WCGaa3DXlQDryaF%2b62YxEspLvHfIqf%2buzYhvYvMBXNE5tSO%2bDpwp5FzJMNvhbzwQilgebJDLnnoI8t535as13wOKPJPeTe5U3%2fVdcJsjO","descargar bases")</f>
      </c>
    </row>
    <row r="45">
      <c r="A45" s="0" t="inlineStr">
        <is>
          <t xml:space="preserve">2460-105-LE26</t>
        </is>
      </c>
      <c r="B45" s="4" t="inlineStr">
        <is>
          <t xml:space="preserve">Curso Inteligencia Artificial en el Sector Público</t>
        </is>
      </c>
      <c r="C45" s="0" t="inlineStr">
        <is>
          <t xml:space="preserve">Publicada</t>
        </is>
      </c>
      <c r="D45" s="0" t="inlineStr">
        <is>
          <t xml:space="preserve">I MUNICIPALIDAD DE PROVIDENCIA</t>
        </is>
      </c>
      <c r="E45" s="0" t="inlineStr">
        <is>
          <t xml:space="preserve">Dirección de Administración y Finanzas</t>
        </is>
      </c>
      <c r="F45" s="0" t="inlineStr">
        <is>
          <t xml:space="preserve">Región Metropolitana de Santiago</t>
        </is>
      </c>
      <c r="G45" s="0" t="inlineStr">
        <is>
          <t xml:space="preserve">Providencia</t>
        </is>
      </c>
      <c r="H45" s="2">
        <v>46273.787743</v>
      </c>
      <c r="I45" s="2">
        <v>46288.6875</v>
      </c>
      <c r="J45" s="0">
        <v>4</v>
      </c>
      <c r="K45" s="3">
        <v>2750000.0</v>
      </c>
      <c r="L45" s="0" t="inlineStr">
        <is>
          <t xml:space="preserve">CLP</t>
        </is>
      </c>
      <c r="M45" s="0" t="inlineStr">
        <is>
          <t xml:space="preserve">LE</t>
        </is>
      </c>
      <c r="N45" s="4" t="inlineStr">
        <is>
          <t xml:space="preserve">Educación, formación, entrenamiento y capacitación / Sistemas educativos complementarios / Educación de adultos</t>
        </is>
      </c>
      <c r="O45" s="4" t="inlineStr">
        <is>
          <t xml:space="preserve">1 Global · Capacitación a empleados</t>
        </is>
      </c>
      <c r="P45" s="2"/>
      <c r="Q45" s="2"/>
      <c r="R45" s="0"/>
      <c r="S45" s="0" t="inlineStr">
        <is>
          <t xml:space="preserve">No</t>
        </is>
      </c>
      <c r="T45" s="4"/>
      <c r="U45" s="0" t="inlineStr">
        <is>
          <t xml:space="preserve">Ingrid Bravo Poblete</t>
        </is>
      </c>
      <c r="V45" s="4" t="inlineStr">
        <is>
          <t xml:space="preserve">Curso orientado a Directivos y Profesionales del municipio, que busca dar a conocer las tendencias clave de la Inteligencia Artificial a la gestión municipal, con la finalidad  de interiorizar conceptos que permitan utilizar la IA dar respuestas más agiles a las necesidades de la comunidad local.</t>
        </is>
      </c>
      <c r="W45" s="5" t="str">
        <f>HYPERLINK("https://www.mercadopublico.cl/Procurement/Modules/Attachment/ViewAttachment.aspx?enc=iALScjCxpuvi56XZKomrbDl37UjJ%2buLG%2bvP2HIxGZ6JT11Z8d2lLHtw4RxrSdKSFeEj2b75MrTkOK87roDL9f1qnO5%2fxbrSgbJ8ANa10Dhxc9sOUczdbvYcNNNWlIoAO7IddeYBpsMRfWhJJTrK%2bMaTbq3OgJ27%2fhyyQ%2bP2gtD%2fVWc0EhislEmU012FvDPQ599ZQ%2bIz7tVHHErDeHJ5ENS7Ck3G5mYzsK7yiY6bR4IfJZPqXmk1Q8OO2JLkh0OY1PgCKdrBGpidOg10H6AnPfZF3heLGbAF%2bBbZjJCG2EeMDhiiNTB79MxDB7uIVp4JD","descargar bases")</f>
      </c>
    </row>
    <row r="46">
      <c r="A46" s="0" t="inlineStr">
        <is>
          <t xml:space="preserve">3530-20-L126</t>
        </is>
      </c>
      <c r="B46" s="4" t="inlineStr">
        <is>
          <t xml:space="preserve">Servicio de mantenimiento y reparación para el reemplazo del tablero eléctrico.</t>
        </is>
      </c>
      <c r="C46" s="0" t="inlineStr">
        <is>
          <t xml:space="preserve">Publicada</t>
        </is>
      </c>
      <c r="D46" s="0" t="inlineStr">
        <is>
          <t xml:space="preserve">DIVISION LOGISTICA DEL EJERCITO</t>
        </is>
      </c>
      <c r="E46" s="0" t="inlineStr">
        <is>
          <t xml:space="preserve">Regimiento N 2 "Maipo"</t>
        </is>
      </c>
      <c r="F46" s="0" t="inlineStr">
        <is>
          <t xml:space="preserve">Región de Valparaíso </t>
        </is>
      </c>
      <c r="G46" s="0" t="inlineStr">
        <is>
          <t xml:space="preserve">Valparaíso</t>
        </is>
      </c>
      <c r="H46" s="2">
        <v>46279.464444</v>
      </c>
      <c r="I46" s="2">
        <v>46288.708333</v>
      </c>
      <c r="J46" s="0">
        <v>4</v>
      </c>
      <c r="K46" s="3">
        <v>4000000.0</v>
      </c>
      <c r="L46" s="0" t="inlineStr">
        <is>
          <t xml:space="preserve">CLP</t>
        </is>
      </c>
      <c r="M46" s="0" t="inlineStr">
        <is>
          <t xml:space="preserve">L1</t>
        </is>
      </c>
      <c r="N46" s="4" t="inlineStr">
        <is>
          <t xml:space="preserve">Maquinaria para generación y distribución de energía / Generación de energía / Equipo para control de producción de energía</t>
        </is>
      </c>
      <c r="O46" s="4" t="inlineStr">
        <is>
          <t xml:space="preserve">1 Unidad · Paneles de control eléctrico para generadores</t>
        </is>
      </c>
      <c r="P46" s="2"/>
      <c r="Q46" s="2"/>
      <c r="R46" s="0"/>
      <c r="S46" s="0" t="inlineStr">
        <is>
          <t xml:space="preserve">No</t>
        </is>
      </c>
      <c r="T46" s="4"/>
      <c r="U46" s="0"/>
      <c r="V46" s="4" t="inlineStr">
        <is>
          <t xml:space="preserve">Servicio de mantenimiento y reparación para el reemplazo del tablero eléctrico, perteneciente al Regimiento N.º 2 "Maipo"</t>
        </is>
      </c>
      <c r="W46" s="5" t="str">
        <f>HYPERLINK("https://www.mercadopublico.cl/Procurement/Modules/Attachment/ViewAttachment.aspx?enc=KMvroIEnNqmtaTo2nAuqTXfDX9H5qJJWT86itAdoduL3RqS%2fNXJGgokQPDddHCDmXebIgKWbZxqUBdR7BaFWnqprFJ2CqI%2bQS5746Wfo1UeLtGnwCUhNYRQPeC8Y%2fim0%2fpmoffTIgwa718ciPxgYD4foVIAHpaPHy0HY%2bHGSEIk511h%2fq8svMMA5WCcQBCwGQx4J9AukGzSUs5P9o7DPm3mzz6HtFBhYRm8rPIBg30b3MisboObk0PfP6XzDEg3PmMc37eBrx%2f6RC3wvqxsOrE4H4XDUL0FylsowPjY9Zao8H%2bUiq9bc9ivyBor4R0n9","descargar bases")</f>
      </c>
    </row>
    <row r="47">
      <c r="A47" s="0" t="inlineStr">
        <is>
          <t xml:space="preserve">2852-56-LE26</t>
        </is>
      </c>
      <c r="B47" s="4" t="inlineStr">
        <is>
          <t xml:space="preserve">DIGITALIZACIÓN Y CARGA DE DOCUMENTOS EN PLATAFORMA</t>
        </is>
      </c>
      <c r="C47" s="0" t="inlineStr">
        <is>
          <t xml:space="preserve">Publicada</t>
        </is>
      </c>
      <c r="D47" s="0" t="inlineStr">
        <is>
          <t xml:space="preserve">I MUNICIPALIDAD DE PUERTO VARAS</t>
        </is>
      </c>
      <c r="E47" s="0" t="inlineStr">
        <is>
          <t xml:space="preserve">Adquisiciones Municipalidad</t>
        </is>
      </c>
      <c r="F47" s="0" t="inlineStr">
        <is>
          <t xml:space="preserve">Región de los Lagos </t>
        </is>
      </c>
      <c r="G47" s="0" t="inlineStr">
        <is>
          <t xml:space="preserve">Puerto Varas</t>
        </is>
      </c>
      <c r="H47" s="2">
        <v>46279.637708</v>
      </c>
      <c r="I47" s="2">
        <v>46289.555556</v>
      </c>
      <c r="J47" s="0">
        <v>5</v>
      </c>
      <c r="K47" s="3"/>
      <c r="L47" s="0" t="inlineStr">
        <is>
          <t xml:space="preserve">CLP</t>
        </is>
      </c>
      <c r="M47" s="0" t="inlineStr">
        <is>
          <t xml:space="preserve">LE</t>
        </is>
      </c>
      <c r="N47" s="4" t="inlineStr">
        <is>
          <t xml:space="preserve">Servicios basados en ingeniería, ciencias sociales y tecnología de la información / Servicios informáticos / Servicios de datos</t>
        </is>
      </c>
      <c r="O47" s="4" t="inlineStr">
        <is>
          <t xml:space="preserve">1 Unidad · Servicios de digitalización de documentos</t>
        </is>
      </c>
      <c r="P47" s="2"/>
      <c r="Q47" s="2"/>
      <c r="R47" s="0"/>
      <c r="S47" s="0" t="inlineStr">
        <is>
          <t xml:space="preserve">No</t>
        </is>
      </c>
      <c r="T47" s="4"/>
      <c r="U47" s="0" t="inlineStr">
        <is>
          <t xml:space="preserve">Julian Mingo</t>
        </is>
      </c>
      <c r="V47" s="4" t="inlineStr">
        <is>
          <t xml:space="preserve">La Ilustre Municipalidad de Puerto Varas, a través de su Dirección de Tránsito y Transporte Público, requiere modernizar el sistema de administración documental asociado a las carpetas de conductor, mediante la contratación de un servicio integral de digitalización, indexación y gestión documental.
Actualmente, gran parte de la información vinculada a licencias de conducir y antecedentes asociad</t>
        </is>
      </c>
      <c r="W47" s="5" t="str">
        <f>HYPERLINK("https://www.mercadopublico.cl/Procurement/Modules/Attachment/ViewAttachment.aspx?enc=hJr7r2iHOXEaKiZc%2bq5U4tm8KvcdRfOY%2blAlVc1NXBNdL1H3nNQlQ8RC1jWgr9xSjipIqiEih7g02m1481aEgo9uh1uz4qdykhfKC5xq1d%2fmhpnduf9ws%2b87hC3eLFVYeGK6%2bbSVEwqCavjQXNshKt%2f%2fTnxtnyJMV2Vh7GvsOrwIf9SuK%2fIkwDmWpbH3SEzLRccM8MBevC9uCrnkLEeiJpo79S8xk4L2MuUyExSPoHzl8Px2WURkB6QuQ6A7M%2bXWdKTSApqOb8IzVfCXDDx2gdrEI5u3i1fQzqOFt0MG3I6UMr1zr2aCmZiSAuZB60cA","descargar bases")</f>
      </c>
    </row>
    <row r="48">
      <c r="A48" s="0" t="inlineStr">
        <is>
          <t xml:space="preserve">1020-40-LP26</t>
        </is>
      </c>
      <c r="B48" s="4" t="inlineStr">
        <is>
          <t xml:space="preserve">Serv.Cloud Amazon Web Services AWS o Equivalente</t>
        </is>
      </c>
      <c r="C48" s="0" t="inlineStr">
        <is>
          <t xml:space="preserve">Publicada</t>
        </is>
      </c>
      <c r="D48" s="0" t="inlineStr">
        <is>
          <t xml:space="preserve">MINISTERIO DE OBRAS PUBLICAS DIREC CION GRAL DE OO PP DCYF</t>
        </is>
      </c>
      <c r="E48" s="0" t="inlineStr">
        <is>
          <t xml:space="preserve">MOP Subsecretaría </t>
        </is>
      </c>
      <c r="F48" s="0" t="inlineStr">
        <is>
          <t xml:space="preserve">Región Metropolitana de Santiago</t>
        </is>
      </c>
      <c r="G48" s="0"/>
      <c r="H48" s="2">
        <v>46254.652083</v>
      </c>
      <c r="I48" s="2">
        <v>46289.625</v>
      </c>
      <c r="J48" s="0">
        <v>5</v>
      </c>
      <c r="K48" s="3">
        <v>295121.0</v>
      </c>
      <c r="L48" s="0" t="inlineStr">
        <is>
          <t xml:space="preserve">USD</t>
        </is>
      </c>
      <c r="M48" s="0" t="inlineStr">
        <is>
          <t xml:space="preserve">LP</t>
        </is>
      </c>
      <c r="N48" s="4" t="inlineStr">
        <is>
          <t xml:space="preserve">Tecnologías de la información, telecomunicaciones y radiodifusión / Software / Software de consultas y gestión de datos</t>
        </is>
      </c>
      <c r="O48" s="4" t="inlineStr">
        <is>
          <t xml:space="preserve">1 Unidad · Software del sistema de administración de bases de datos</t>
        </is>
      </c>
      <c r="P48" s="2"/>
      <c r="Q48" s="2"/>
      <c r="R48" s="0" t="inlineStr">
        <is>
          <t xml:space="preserve">36 meses</t>
        </is>
      </c>
      <c r="S48" s="0" t="inlineStr">
        <is>
          <t xml:space="preserve">No</t>
        </is>
      </c>
      <c r="T48" s="4" t="inlineStr">
        <is>
          <t xml:space="preserve">Ver numeral 10.5 de las Bases Administrativas, en archivo adjunto.</t>
        </is>
      </c>
      <c r="U48" s="0" t="inlineStr">
        <is>
          <t xml:space="preserve">Carmen Gloria Ponce Pérez</t>
        </is>
      </c>
      <c r="V48" s="4" t="inlineStr">
        <is>
          <t xml:space="preserve">El objetivo de la presente contratación es disponer de un servicio en la nube destinado a alojar los gestores documentales del Ministerio de Obras Públicas MOP y los datos institucionales del MOP, incluyendo el respaldo de repositorios, la gestión de contenedores, aplicaciones y otros datos actualmente alojados en infraestructura propia del Ministerio.</t>
        </is>
      </c>
      <c r="W48" s="5" t="str">
        <f>HYPERLINK("https://www.mercadopublico.cl/Procurement/Modules/Attachment/ViewAttachment.aspx?enc=qioo5oGUz1PiCFzaKpWvB6XdtZlnRV7fDADjgVmL9D8K4ZOXvj75R%2br2wFKc4vNnhd4OXUxhzOl64f7mmpxUFgUJgr1Sg5HfigUQ%2b26DiYUaqLUCYwgtOVFSeq07RYkCv%2fr0h3jm64VYsAFFvithaq2tyPl0b1FwhweQOjZ97CEmzR3NAi2A%2f77dz1fu%2bUB7wZkO6%2fKWfm%2f8z3CYJqlq%2bWBwA9rhk%2bGBw6vQzBPGcbfkBwMzK%2ffeNk2m7IEYCWVN6KnHjqPtQgZjBChhJBE7dM8CXiqvwiMlrdWyDfUcDET0mHeApMni3CjuvYqhmpKP","descargar bases")</f>
      </c>
    </row>
    <row r="49">
      <c r="A49" s="0" t="inlineStr">
        <is>
          <t xml:space="preserve">1233619-44-LE26</t>
        </is>
      </c>
      <c r="B49" s="4" t="inlineStr">
        <is>
          <t xml:space="preserve">ADQUISICIÓN DE LICENCIAS DE SOFTWARE PARA EL SERVICIO LOCAL MAULE COSTA</t>
        </is>
      </c>
      <c r="C49" s="0" t="inlineStr">
        <is>
          <t xml:space="preserve">Publicada</t>
        </is>
      </c>
      <c r="D49" s="0" t="inlineStr">
        <is>
          <t xml:space="preserve">SERVICIO LOCAL DE EDUCACIÓN PÚBLICA MAULE COSTA</t>
        </is>
      </c>
      <c r="E49" s="0" t="inlineStr">
        <is>
          <t xml:space="preserve">SERVICIO LOCAL DE EDUCACIÓN PÚBLICA MAULE COSTA</t>
        </is>
      </c>
      <c r="F49" s="0" t="inlineStr">
        <is>
          <t xml:space="preserve">Región del Maule </t>
        </is>
      </c>
      <c r="G49" s="0" t="inlineStr">
        <is>
          <t xml:space="preserve">Cauquenes</t>
        </is>
      </c>
      <c r="H49" s="2">
        <v>46279.402639</v>
      </c>
      <c r="I49" s="2">
        <v>46289.625</v>
      </c>
      <c r="J49" s="0">
        <v>5</v>
      </c>
      <c r="K49" s="3">
        <v>30000000.0</v>
      </c>
      <c r="L49" s="0" t="inlineStr">
        <is>
          <t xml:space="preserve">CLP</t>
        </is>
      </c>
      <c r="M49" s="0" t="inlineStr">
        <is>
          <t xml:space="preserve">LE</t>
        </is>
      </c>
      <c r="N49" s="4" t="inlineStr">
        <is>
          <t xml:space="preserve">Tecnologías de la información, telecomunicaciones y radiodifusión / Software / Software de gestión</t>
        </is>
      </c>
      <c r="O49" s="4" t="inlineStr">
        <is>
          <t xml:space="preserve">11 Unidad · Software de gestión de licencias · 1 Unidad · Software de gestión de licencias · 109 Unidad · Software de gestión de licencias · y 8 más</t>
        </is>
      </c>
      <c r="P49" s="2"/>
      <c r="Q49" s="2"/>
      <c r="R49" s="0" t="inlineStr">
        <is>
          <t xml:space="preserve">12 meses</t>
        </is>
      </c>
      <c r="S49" s="0" t="inlineStr">
        <is>
          <t xml:space="preserve">No</t>
        </is>
      </c>
      <c r="T49" s="4" t="inlineStr">
        <is>
          <t xml:space="preserve">De acuerdo a lo establecido en el numeral 19 de las bases de licitación</t>
        </is>
      </c>
      <c r="U49" s="0" t="inlineStr">
        <is>
          <t xml:space="preserve">María Amigo Bravo</t>
        </is>
      </c>
      <c r="V49" s="4" t="inlineStr">
        <is>
          <t xml:space="preserve">ADQUISICIÓN DE LICENCIAS DE SOFTWARE PARA EL SERVICIO LOCAL MAULE COSTA</t>
        </is>
      </c>
      <c r="W49" s="5" t="str">
        <f>HYPERLINK("https://www.mercadopublico.cl/Procurement/Modules/Attachment/ViewAttachment.aspx?enc=n9DhHvQ6UtjyWAj7uXcGaZ1ykd6qdjMj5LQBGycgyneSasz6KldySz5GZ5ddVCS4mS2azYUj1872pG4igs4RBbyGKaf7TEQftlF3M2Et%2fpCElj1yvBxyKbw5qTPRpD6drojo6NLpJD5xd87rSi5bBikOm4unY%2f8OB1zhV%2flkwB4xN3zrIJqcLnNUUNJ%2b19pGQ7%2b3ej3t%2bQa2IEkNZu5aXt912SvnsmMfdZHOHf%2b8dwyIDBWS3TluWpHRAhwEuJTUw%2bLEX6QitJJ7TtIyjJP1cFGHcDbgQiEuZIzgHYYp%2fTnBbn7o7uCZaj0o321mDDit","descargar bases")</f>
      </c>
    </row>
    <row r="50">
      <c r="A50" s="0" t="inlineStr">
        <is>
          <t xml:space="preserve">2200-23-LR26</t>
        </is>
      </c>
      <c r="B50" s="4" t="inlineStr">
        <is>
          <t xml:space="preserve">SERVICIO DE ARRIENDO DE SOFTWARE DE REGISTRO CLÍNICO ELECTRÓNICO RCE ATENCIÓN PRIMARIA - TIC</t>
        </is>
      </c>
      <c r="C50" s="0" t="inlineStr">
        <is>
          <t xml:space="preserve">Publicada</t>
        </is>
      </c>
      <c r="D50" s="0" t="inlineStr">
        <is>
          <t xml:space="preserve">SERVICIO DE SALUD ACONCAGUA</t>
        </is>
      </c>
      <c r="E50" s="0" t="inlineStr">
        <is>
          <t xml:space="preserve">Servicio de Salud Aconcagua</t>
        </is>
      </c>
      <c r="F50" s="0" t="inlineStr">
        <is>
          <t xml:space="preserve">Región de Valparaíso </t>
        </is>
      </c>
      <c r="G50" s="0" t="inlineStr">
        <is>
          <t xml:space="preserve">San Felipe</t>
        </is>
      </c>
      <c r="H50" s="2">
        <v>46259.424259</v>
      </c>
      <c r="I50" s="2">
        <v>46289.625</v>
      </c>
      <c r="J50" s="0">
        <v>5</v>
      </c>
      <c r="K50" s="3"/>
      <c r="L50" s="0" t="inlineStr">
        <is>
          <t xml:space="preserve">CLP</t>
        </is>
      </c>
      <c r="M50" s="0" t="inlineStr">
        <is>
          <t xml:space="preserve">LR</t>
        </is>
      </c>
      <c r="N50" s="4" t="inlineStr">
        <is>
          <t xml:space="preserve">Servicios profesionales, administrativos y consultorías de gestión empresarial / Servicios de recursos humanos / Contratación de personal</t>
        </is>
      </c>
      <c r="O50" s="4" t="inlineStr">
        <is>
          <t xml:space="preserve">1700 Unidad · Desarrolladores de software</t>
        </is>
      </c>
      <c r="P50" s="2"/>
      <c r="Q50" s="2"/>
      <c r="R50" s="0" t="inlineStr">
        <is>
          <t xml:space="preserve">18 meses</t>
        </is>
      </c>
      <c r="S50" s="0" t="inlineStr">
        <is>
          <t xml:space="preserve">No</t>
        </is>
      </c>
      <c r="T50" s="4"/>
      <c r="U50" s="0" t="inlineStr">
        <is>
          <t xml:space="preserve">MASIEL BALBOA GONZALEZ</t>
        </is>
      </c>
      <c r="V50" s="4" t="inlineStr">
        <is>
          <t xml:space="preserve">1.El Servicio de Salud Aconcagua requiere el Servicio de Arriendo de Software de Registro Clínico Electrónico (RCE) y sus servicios complementarios de configuración, entrenamiento, instalación, mantención, soporte, data center, entre otros, para toda la red de establecimientos de Atención Primaria de Salud del Servicio de Salud Aconcagua, mediante un  contrato de suministro de servicio por un perido de 18 meses.
2.La Solicitud de Compra N°14 de fecha 11.08.2026, Oficina de Partes N°438 de fecha 12.08.2026 (Interno N°459),  presentada por la requirente del Departamento TIC, fue debidamente aprobada y autorizada por la Subdirectora de Gestión Asistencial, el Subdirector de Recursos Físicos y Financieros y el Jefe del Departamento de Finanzas quienes respaldan la Contratación.
3.Que, en cumplimiento de la normativa vigente en compras públicas, se revisó el Catálogo Electrónico de Convenio Marco y el de económia Circular y se constató que los producto(s) y/o servicio(s)  requeridos no se encuentran disponibles en dicho catálogo.
4.Que, según lo establecido en el reglamento, los organismos de la administración del Estado deberán adjudicar los contratos celebrados para la ad</t>
        </is>
      </c>
      <c r="W50" s="5" t="str">
        <f>HYPERLINK("https://www.mercadopublico.cl/Procurement/Modules/Attachment/ViewAttachment.aspx?enc=MS1QNengqq7fYAJa244VOlo0m6PtAays6WcgXMF%2b0D%2b7NK93%2fsJGzn11NsaOlZx44aj9JFQW5UNMIQwZJ0E648IdtCiazNcG%2bSU9embfsKxPEvcWRnnIXZrS9Q3LItR1DABWSlBvsN5i6FOVN66f0sfdNed5XNgf8rFTY6iY1SUheIprFkprmBtwcEfQpVGefoXAdQYWtaZ%2fgP%2bnCDFpJkdctpr4p1J0qudx1MQxzrl1RFNgWgaX5jPuqpum1noT5g4Tlqp7qotprRHGtycTTPxT1EXnEa5DQZcEc2QSYZ4aGgo19rmLW%2bq4upoTyxP%2b","descargar bases")</f>
      </c>
    </row>
    <row r="51">
      <c r="A51" s="0" t="inlineStr">
        <is>
          <t xml:space="preserve">3249-12-LE26</t>
        </is>
      </c>
      <c r="B51" s="4" t="inlineStr">
        <is>
          <t xml:space="preserve">SERVICIO DE MANTENCIÓN Y MODERNIZACIÓN DE SISTEMA DE SEGURIDAD CONTRA INCENDIOS Y VIGILANCIA DE HANGARES</t>
        </is>
      </c>
      <c r="C51" s="0" t="inlineStr">
        <is>
          <t xml:space="preserve">Publicada</t>
        </is>
      </c>
      <c r="D51" s="0" t="inlineStr">
        <is>
          <t xml:space="preserve">DIRECCION DE ABASTECIMIENTO DE LA ARMADA</t>
        </is>
      </c>
      <c r="E51" s="0" t="inlineStr">
        <is>
          <t xml:space="preserve">BASE AERONAVAL CONCON</t>
        </is>
      </c>
      <c r="F51" s="0" t="inlineStr">
        <is>
          <t xml:space="preserve">Región de Valparaíso </t>
        </is>
      </c>
      <c r="G51" s="0" t="inlineStr">
        <is>
          <t xml:space="preserve">Concón</t>
        </is>
      </c>
      <c r="H51" s="2">
        <v>46275.708819</v>
      </c>
      <c r="I51" s="2">
        <v>46289.625</v>
      </c>
      <c r="J51" s="0">
        <v>5</v>
      </c>
      <c r="K51" s="3">
        <v>40000000.0</v>
      </c>
      <c r="L51" s="0" t="inlineStr">
        <is>
          <t xml:space="preserve">CLP</t>
        </is>
      </c>
      <c r="M51" s="0" t="inlineStr">
        <is>
          <t xml:space="preserve">LE</t>
        </is>
      </c>
      <c r="N51" s="4" t="inlineStr">
        <is>
          <t xml:space="preserve">Equipos y suministros de defensa, orden público, protección y seguridad / Seguridad, vigilancia y detección / Equipo de vigilancia y detección</t>
        </is>
      </c>
      <c r="O51" s="4" t="inlineStr">
        <is>
          <t xml:space="preserve">1 Global · Cámaras de seguridad</t>
        </is>
      </c>
      <c r="P51" s="2"/>
      <c r="Q51" s="2"/>
      <c r="R51" s="0"/>
      <c r="S51" s="0" t="inlineStr">
        <is>
          <t xml:space="preserve">No</t>
        </is>
      </c>
      <c r="T51" s="4" t="inlineStr">
        <is>
          <t xml:space="preserve">De acuerdo a XVII de las bases administrativas.</t>
        </is>
      </c>
      <c r="U51" s="0" t="inlineStr">
        <is>
          <t xml:space="preserve">MOISES VERGARA</t>
        </is>
      </c>
      <c r="V51" s="4" t="inlineStr">
        <is>
          <t xml:space="preserve">SERVICIO DE MANTENCIÓN Y MODERNIZACIÓN DE SISTEMA DE SEGURIDAD CONTRA INCENDIOS Y VIGILANCIA DE HANGARES DE LA BASE AERONAVAL CONCÓN</t>
        </is>
      </c>
      <c r="W51" s="5" t="str">
        <f>HYPERLINK("https://www.mercadopublico.cl/Procurement/Modules/Attachment/ViewAttachment.aspx?enc=7o4G1TbmnERl71ivEaMlALXJjICCkGUn3xDJ0ps%2fw51Oa7%2fM%2fJxcnqdRjycoir8LUbS2EPwQN71TEnkBJlap0%2bhHkpEHP27JXvj7WPuYScQ5jFaAvSBgy1hvbgV67KzoC7FnRLyh5kbXzLx5Pwhz5RJQviOLTGPFmGFRZKWn5HYAwXVPiT1h2Sh4THmLoix%2b84RS7pvnaZu%2bkpM930E2LXXl7uHp%2bfcJdHzR%2bU%2fclWKzN6W5Z48x0lOgTV%2bj0hnDIFQ6dWtUArXLdOZGRI%2bsFX45DQb5aOdAPn0vdBV1FX2JBUMesP4MIovcgklXB%2bKO","descargar bases")</f>
      </c>
    </row>
    <row r="52">
      <c r="A52" s="0" t="inlineStr">
        <is>
          <t xml:space="preserve">85-34-LP26</t>
        </is>
      </c>
      <c r="B52" s="4" t="inlineStr">
        <is>
          <t xml:space="preserve">PLATAFORMA GESTIÓN Y CONTROL SEGURIDAD INFORMACIÓN</t>
        </is>
      </c>
      <c r="C52" s="0" t="inlineStr">
        <is>
          <t xml:space="preserve">Publicada</t>
        </is>
      </c>
      <c r="D52" s="0" t="inlineStr">
        <is>
          <t xml:space="preserve">JUNTA NACIONAL DE AUXILIO ESCOLAR Y BECA</t>
        </is>
      </c>
      <c r="E52" s="0" t="inlineStr">
        <is>
          <t xml:space="preserve">JUNTA NACIONAL DE AUXILIO ESCOLAR Y BECA</t>
        </is>
      </c>
      <c r="F52" s="0" t="inlineStr">
        <is>
          <t xml:space="preserve">Región Metropolitana de Santiago</t>
        </is>
      </c>
      <c r="G52" s="0" t="inlineStr">
        <is>
          <t xml:space="preserve">Santiago Centro</t>
        </is>
      </c>
      <c r="H52" s="2">
        <v>46266.726447</v>
      </c>
      <c r="I52" s="2">
        <v>46289.625</v>
      </c>
      <c r="J52" s="0">
        <v>5</v>
      </c>
      <c r="K52" s="3"/>
      <c r="L52" s="0" t="inlineStr">
        <is>
          <t xml:space="preserve">CLP</t>
        </is>
      </c>
      <c r="M52" s="0" t="inlineStr">
        <is>
          <t xml:space="preserve">LP</t>
        </is>
      </c>
      <c r="N52" s="4" t="inlineStr">
        <is>
          <t xml:space="preserve">Tecnologías de la información, telecomunicaciones y radiodifusión / Equipos, plataformas y accesorios de redes multimedia, voz y datos / Equipos de seguridad de red</t>
        </is>
      </c>
      <c r="O52" s="4" t="inlineStr">
        <is>
          <t xml:space="preserve">1 Unidad · Equipo de seguridad de evaluación de vulnerabilidad</t>
        </is>
      </c>
      <c r="P52" s="2"/>
      <c r="Q52" s="2"/>
      <c r="R52" s="0" t="inlineStr">
        <is>
          <t xml:space="preserve">13 meses</t>
        </is>
      </c>
      <c r="S52" s="0" t="inlineStr">
        <is>
          <t xml:space="preserve">No</t>
        </is>
      </c>
      <c r="T52" s="4"/>
      <c r="U52" s="0" t="inlineStr">
        <is>
          <t xml:space="preserve">Fernando Peña Rivera</t>
        </is>
      </c>
      <c r="V52" s="4" t="inlineStr">
        <is>
          <t xml:space="preserve">La presente licitación tiene por objeto la adquisición, configuración e implementación de una solución tecnológica integral tipo Software GRC Governance, Risk and Compliance, que permita automatizar, gestionar y dar soporte al Sistema de Gestión de Seguridad de la Información SGSI de JUNAEB, integrando la normativa vigente, la gestión de riesgos y los planes de continuidad operacional definidos por la institución.
El producto entregable final constituye un activo de propiedad exclusiva de JUNAEB, compuesto por: a un activo intangible, en lo que respecta a la configuración, parametrización, datos cargados y documentación técnica generada, junto con todos los derechos de uso y configuración asociados; y b un activo físico, correspondiente al hardware provisto por el oferente, el cual pasará a ser de propiedad exclusiva de JUNAEB una vez instalado y recibido conforme.</t>
        </is>
      </c>
      <c r="W52" s="5" t="str">
        <f>HYPERLINK("https://www.mercadopublico.cl/Procurement/Modules/Attachment/ViewAttachment.aspx?enc=rhva8Pt3S%2fafaW%2fMNzchlrnSDRUXpLZ%2bhnxunXWmISLjwIBFNBJ0rV16yc%2fT%2bQijPDpE5WLcNb3OWJ0hgJyQfNOD%2b7qfBmCjAGTfkQdiQT4HjsG9mDubMNHJpcXb1NCCXgjTArlmkSxd8o0LcshY0j8Ol3QQublVtbrgWcmqw3qNHwyXoFCq%2bi%2bWC%2bsmToCjH5Kt%2fVwgyipcMvBCfuopKhQcdJTg6KZ95KXEpvYFCU27bLmFRtCo418Sk0MMid4MUqCummOoDLK8VYbcVj1FPt7Ckh8QRE8DOquXfN0bKDXSus315K89sggKlIJyDNcr","descargar bases")</f>
      </c>
    </row>
    <row r="53">
      <c r="A53" s="0" t="inlineStr">
        <is>
          <t xml:space="preserve">1077241-8-LE26</t>
        </is>
      </c>
      <c r="B53" s="4" t="inlineStr">
        <is>
          <t xml:space="preserve">SERVICIO DE EXÁMENES CON INFORME RADIOLÓGICO DE MAMOGRAFÍA BILATERAL Y UNILATERAL DIGITAL PARA LOS HOSPITALES DEPENDIENTES DEL SERVICIO DE SALUD OSORNO Y CESFAM DE LA RED ASISTENCIAL</t>
        </is>
      </c>
      <c r="C53" s="0" t="inlineStr">
        <is>
          <t xml:space="preserve">Publicada</t>
        </is>
      </c>
      <c r="D53" s="0" t="inlineStr">
        <is>
          <t xml:space="preserve">SERVICIO DE SALUD OSORNO</t>
        </is>
      </c>
      <c r="E53" s="0" t="inlineStr">
        <is>
          <t xml:space="preserve">Administración de Fondos</t>
        </is>
      </c>
      <c r="F53" s="0" t="inlineStr">
        <is>
          <t xml:space="preserve">Región de los Lagos </t>
        </is>
      </c>
      <c r="G53" s="0" t="inlineStr">
        <is>
          <t xml:space="preserve">Puerto Octay</t>
        </is>
      </c>
      <c r="H53" s="2">
        <v>46281.677083</v>
      </c>
      <c r="I53" s="2">
        <v>46289.635417</v>
      </c>
      <c r="J53" s="0">
        <v>5</v>
      </c>
      <c r="K53" s="3">
        <v>18688829.0</v>
      </c>
      <c r="L53" s="0" t="inlineStr">
        <is>
          <t xml:space="preserve">CLP</t>
        </is>
      </c>
      <c r="M53" s="0" t="inlineStr">
        <is>
          <t xml:space="preserve">LE</t>
        </is>
      </c>
      <c r="N53" s="4" t="inlineStr">
        <is>
          <t xml:space="preserve">Salud, servicios sanitarios y alimentación / Medicina y servicios de salud / Laboratorios clínicos</t>
        </is>
      </c>
      <c r="O53" s="4" t="inlineStr">
        <is>
          <t xml:space="preserve">1 Unidad · Laboratorios de rayos X</t>
        </is>
      </c>
      <c r="P53" s="2"/>
      <c r="Q53" s="2"/>
      <c r="R53" s="0" t="inlineStr">
        <is>
          <t xml:space="preserve">3 meses</t>
        </is>
      </c>
      <c r="S53" s="0" t="inlineStr">
        <is>
          <t xml:space="preserve">No</t>
        </is>
      </c>
      <c r="T53" s="4" t="inlineStr">
        <is>
          <t xml:space="preserve">De acuerdo a numeral 7.7 de las bases adjuntas.</t>
        </is>
      </c>
      <c r="U53" s="0" t="inlineStr">
        <is>
          <t xml:space="preserve">Carla Nannig Blanco</t>
        </is>
      </c>
      <c r="V53" s="4" t="inlineStr">
        <is>
          <t xml:space="preserve">El Servicio requiere la contratación de prestaciones de mamografía digital bilateral y unilateral, incluyendo obligatoriamente su respectivo informe radiológico, para los usuarios de los Hospitales dependientes del Servicio de Salud Osorno y CESFAM de la Red Asistencial.</t>
        </is>
      </c>
      <c r="W53" s="5" t="str">
        <f>HYPERLINK("https://www.mercadopublico.cl/Procurement/Modules/Attachment/ViewAttachment.aspx?enc=z0MublS93d62Ca65uHcgg5hWx50MKQxo2sK1zIFZob0VXp8hIFyWg%2bEgWQ0DOzzmxofvQZuKIbP6psIEV0CI37UwkNE79Hl1wPkwsRz8orK92Vu6luZltLMt4hoSQWWvvPCjmcYtD4jHhhfbx4qWxAb1bSS8uQIs427EURv9Xl3ibDeG6zW2Q7Zpa4HqPNCNADJKmu%2f%2bHj9UXBIzS6HZtyQwLoSTZMqVb6VSR09RQdFyyXtxtTSJyXf%2bI%2fAU1urDzy7pzACmPBjwww4Wu8X5LbJWof45vBtRHvUeGlpW%2b4rm%2f3h2KsUo8iXNWTCxX%2fvB","descargar bases")</f>
      </c>
    </row>
    <row r="54">
      <c r="A54" s="0" t="inlineStr">
        <is>
          <t xml:space="preserve">1002584-12-LE26</t>
        </is>
      </c>
      <c r="B54" s="4" t="inlineStr">
        <is>
          <t xml:space="preserve">Programa institucional de adopción de IA</t>
        </is>
      </c>
      <c r="C54" s="0" t="inlineStr">
        <is>
          <t xml:space="preserve">Publicada</t>
        </is>
      </c>
      <c r="D54" s="0" t="inlineStr">
        <is>
          <t xml:space="preserve">DIRECCION DE EDUCACION PUBLICA</t>
        </is>
      </c>
      <c r="E54" s="0" t="inlineStr">
        <is>
          <t xml:space="preserve">Dirección de Educación Pública</t>
        </is>
      </c>
      <c r="F54" s="0" t="inlineStr">
        <is>
          <t xml:space="preserve">Región Metropolitana de Santiago</t>
        </is>
      </c>
      <c r="G54" s="0" t="inlineStr">
        <is>
          <t xml:space="preserve">Santiago</t>
        </is>
      </c>
      <c r="H54" s="2">
        <v>46279.42</v>
      </c>
      <c r="I54" s="2">
        <v>46289.666667</v>
      </c>
      <c r="J54" s="0">
        <v>5</v>
      </c>
      <c r="K54" s="3">
        <v>28000000.0</v>
      </c>
      <c r="L54" s="0" t="inlineStr">
        <is>
          <t xml:space="preserve">CLP</t>
        </is>
      </c>
      <c r="M54" s="0" t="inlineStr">
        <is>
          <t xml:space="preserve">LE</t>
        </is>
      </c>
      <c r="N54" s="4" t="inlineStr">
        <is>
          <t xml:space="preserve">Servicios basados en ingeniería, ciencias sociales y tecnología de la información / Servicios informáticos / Administración de sistemas</t>
        </is>
      </c>
      <c r="O54" s="4" t="inlineStr">
        <is>
          <t xml:space="preserve">1 Unidad · Instalación de sistemas</t>
        </is>
      </c>
      <c r="P54" s="2"/>
      <c r="Q54" s="2"/>
      <c r="R54" s="0" t="inlineStr">
        <is>
          <t xml:space="preserve">12 meses</t>
        </is>
      </c>
      <c r="S54" s="0" t="inlineStr">
        <is>
          <t xml:space="preserve">No</t>
        </is>
      </c>
      <c r="T54" s="4"/>
      <c r="U54" s="0" t="inlineStr">
        <is>
          <t xml:space="preserve">Sofía Andrade Huepe</t>
        </is>
      </c>
      <c r="V54" s="4" t="inlineStr">
        <is>
          <t xml:space="preserve">servicio denominado “Programa institucional de adopción de inteligencia artificial generativa”, de acuerdo con las especificaciones establecidas en las Bases Técnicas, con el objeto de habilitar a sus equipos en el uso seguro, responsable y productivo de herramientas de inteligencia artificial generativa.</t>
        </is>
      </c>
      <c r="W54" s="5" t="str">
        <f>HYPERLINK("https://www.mercadopublico.cl/Procurement/Modules/Attachment/ViewAttachment.aspx?enc=juzaujZfVidD5Z0NgQjrDH%2fOeN0E3B3dDGq4yA9XFOeh5g%2fr42BzWBNA8VgrQ%2baMvaMavJXCTn1xesfgpPCEJTY2wy1ctnZPYspnoqqnPhJWWr5HhodDEIZNwzur6oSpGeTQY051JcM%2bGRG7Sxo%2bvupeoP5l4QASuAb7p9iwEZGv9UHyBH1cluXJrKT9zzD4oVRsbejqmmDEmACCYXKDhCLge5uCI%2bpmxe8fzHgHjk6q%2ffmebPfX2uaoj6mcgqd2fCHzyOe0r5aTP0YzZRsTwDQqJOku5LB7LLWtqKv4RBMI087zcF8qu4CUf6pgWyUc","descargar bases")</f>
      </c>
    </row>
    <row r="55">
      <c r="A55" s="0" t="inlineStr">
        <is>
          <t xml:space="preserve">732434-20-LP26</t>
        </is>
      </c>
      <c r="B55" s="4" t="inlineStr">
        <is>
          <t xml:space="preserve">SERVICIO INFORMÁTICO PARA EL CENTRO DE SANGRE CONC</t>
        </is>
      </c>
      <c r="C55" s="0" t="inlineStr">
        <is>
          <t xml:space="preserve">Publicada</t>
        </is>
      </c>
      <c r="D55" s="0" t="inlineStr">
        <is>
          <t xml:space="preserve">SERVICIO DE SALUD CONCEPCION</t>
        </is>
      </c>
      <c r="E55" s="0" t="inlineStr">
        <is>
          <t xml:space="preserve">Centro de Sangre</t>
        </is>
      </c>
      <c r="F55" s="0" t="inlineStr">
        <is>
          <t xml:space="preserve">Región del Biobío </t>
        </is>
      </c>
      <c r="G55" s="0"/>
      <c r="H55" s="2">
        <v>46268.542164</v>
      </c>
      <c r="I55" s="2">
        <v>46289.708333</v>
      </c>
      <c r="J55" s="0">
        <v>5</v>
      </c>
      <c r="K55" s="3"/>
      <c r="L55" s="0" t="inlineStr">
        <is>
          <t xml:space="preserve">CLP</t>
        </is>
      </c>
      <c r="M55" s="0" t="inlineStr">
        <is>
          <t xml:space="preserve">LP</t>
        </is>
      </c>
      <c r="N55" s="4" t="inlineStr">
        <is>
          <t xml:space="preserve">Servicios basados en ingeniería, ciencias sociales y tecnología de la información / Servicios informáticos / Ingeniería en computación e informática</t>
        </is>
      </c>
      <c r="O55" s="4" t="inlineStr">
        <is>
          <t xml:space="preserve">1 Unidad · Diseño de aplicaciones para mainframe</t>
        </is>
      </c>
      <c r="P55" s="2"/>
      <c r="Q55" s="2"/>
      <c r="R55" s="0" t="inlineStr">
        <is>
          <t xml:space="preserve">36 meses</t>
        </is>
      </c>
      <c r="S55" s="0" t="inlineStr">
        <is>
          <t xml:space="preserve">No</t>
        </is>
      </c>
      <c r="T55" s="4"/>
      <c r="U55" s="0" t="inlineStr">
        <is>
          <t xml:space="preserve">Ricardo Ferreira Hormazabal</t>
        </is>
      </c>
      <c r="V55" s="4" t="inlineStr">
        <is>
          <t xml:space="preserve">Se requiere de servicio informático para efectos de poder dar cumplimiento a la misión del establecimiento, la cual busca la autosuficiencia en productos sanguíneos en condiciones de seguridad y calidad, promoviendo el crecimiento y desarrollo de la comunidad activa de donantes altruistas para que cubran las necesidades de los enfermos. Se enfoca en un modelo que busca la mejora continua y eficiencia en la atención de los donantes y en los procesos productivos, para contribuir a la recuperación de la salud de la población de la Macrored Sur de Medicina Transfusional, incorporando la innovación y cooperación internacional en su gestión.</t>
        </is>
      </c>
      <c r="W55" s="5" t="str">
        <f>HYPERLINK("https://www.mercadopublico.cl/Procurement/Modules/Attachment/ViewAttachment.aspx?enc=qJbbevFqfUfVcHsknqW2gphLgTziUs8bfrZDsS87B4OkqTHCxrpbQRgfglWesS4e%2by4hvexiX4nJF2BLN1BRksYlgTdQNurQzZJ1UT1V3Hp2L6u4CDfiOs23KVN6f7mOXIVAKueOwTifC5zz4IsiNPi9h1qoOWW5kXew%2bue1FdLG5sYVfmeolZLal33C0%2b%2fgYcKOSD%2fBe9lVcos6%2b4lPOqxTRYSke0NyQmrMHcrQ9ipYlRHspEIxQqvzUAtNhdDDCjlkedvs5rQzXWg8kw99wN7iYtyav6sWaq6VZ%2bqwoJvOLkKWso4wlrwMtPvsBkun","descargar bases")</f>
      </c>
    </row>
    <row r="56">
      <c r="A56" s="0" t="inlineStr">
        <is>
          <t xml:space="preserve">1973-93-LR26</t>
        </is>
      </c>
      <c r="B56" s="4" t="inlineStr">
        <is>
          <t xml:space="preserve">SISTEMA DE INFORMACIÓN DE GESTIÓN ADMINISTRATIVA Y FARMACIA</t>
        </is>
      </c>
      <c r="C56" s="0" t="inlineStr">
        <is>
          <t xml:space="preserve">Publicada</t>
        </is>
      </c>
      <c r="D56" s="0" t="inlineStr">
        <is>
          <t xml:space="preserve">CENTRO DE REFERENCIA DE SALUD DE PENALOLEN CORDILLERA ORIENTE</t>
        </is>
      </c>
      <c r="E56" s="0" t="inlineStr">
        <is>
          <t xml:space="preserve">CRS de Peñalolen Cordillera Oriente</t>
        </is>
      </c>
      <c r="F56" s="0" t="inlineStr">
        <is>
          <t xml:space="preserve">Región Metropolitana de Santiago</t>
        </is>
      </c>
      <c r="G56" s="0" t="inlineStr">
        <is>
          <t xml:space="preserve">Peñalolén</t>
        </is>
      </c>
      <c r="H56" s="2">
        <v>46259.456759</v>
      </c>
      <c r="I56" s="2">
        <v>46289.729167</v>
      </c>
      <c r="J56" s="0">
        <v>5</v>
      </c>
      <c r="K56" s="3">
        <v>414000000.0</v>
      </c>
      <c r="L56" s="0" t="inlineStr">
        <is>
          <t xml:space="preserve">CLP</t>
        </is>
      </c>
      <c r="M56" s="0" t="inlineStr">
        <is>
          <t xml:space="preserve">LR</t>
        </is>
      </c>
      <c r="N56" s="4" t="inlineStr">
        <is>
          <t xml:space="preserve">Tecnologías de la información, telecomunicaciones y radiodifusión / Software / Software de planificación de recursos empresariales (ERP) y contabilidad financiera</t>
        </is>
      </c>
      <c r="O56" s="4" t="inlineStr">
        <is>
          <t xml:space="preserve">1 Global · Software de planificación de recursos empresariales (ERP)</t>
        </is>
      </c>
      <c r="P56" s="2"/>
      <c r="Q56" s="2"/>
      <c r="R56" s="0" t="inlineStr">
        <is>
          <t xml:space="preserve">60 meses</t>
        </is>
      </c>
      <c r="S56" s="0" t="inlineStr">
        <is>
          <t xml:space="preserve">No</t>
        </is>
      </c>
      <c r="T56" s="4"/>
      <c r="U56" s="0" t="inlineStr">
        <is>
          <t xml:space="preserve">JEFE TICS</t>
        </is>
      </c>
      <c r="V56" s="4" t="inlineStr">
        <is>
          <t xml:space="preserve">Las presentes bases regirán la Propuesta Pública convocada por el CRSCO para la contratación de SISTEMA DE INFORMACIÓN DE GESTIÓN ADMINISTRATIVA Y FARMACIA por un periodo de 60 meses. 
Se entenderá que todo proveedor conoce y acepta irrevocablemente el contenido de estas Bases, por el solo hecho de presentar sus ofertas en este proceso de compra. 
Las características o especificaciones técnicas que presenten los oferentes deberán cumplir con los requisitos señalados en las bases y la idoneidad y calidad técnica del oferente, con el fin de asegurar que el adjudicatario se ajuste a los requisitos que el CRSCO ha especificado para la ejecución del contrato licitado.</t>
        </is>
      </c>
      <c r="W56" s="5" t="str">
        <f>HYPERLINK("https://www.mercadopublico.cl/Procurement/Modules/Attachment/ViewAttachment.aspx?enc=CClyBQ%2fbALjXgCKaSvGi8IM2RJg%2f4fLbKVySVS0yknkihHRcVzdUlKOzplHg4fahMM6sGJkSvE%2fqLHnpbhtUfqLyvmbcLTX%2b6i1q9FAoJGNZbD3fvYXXdU%2bC52ImH1CJnkY9fIpdRDUHIVpR5V%2bi7Ur4sL5GZbLd33pImrhBt46%2fKugcHFQVz1lR%2fEfgbxVx5zFaJHVsmsdjR%2fWISVHvsUrTXK4tkAEPu9hGGR3Dj7rHPqrIvBCNUoWwmFUvvDkQQEXee2BFp1HEOZ0F1xFfFnZCprSwaFE%2b7NAokh%2fAGt%2bMnJAkfmt1iGtYgqa4XIa0","descargar bases")</f>
      </c>
    </row>
    <row r="57">
      <c r="A57" s="0" t="inlineStr">
        <is>
          <t xml:space="preserve">377-55-LE26</t>
        </is>
      </c>
      <c r="B57" s="4" t="inlineStr">
        <is>
          <t xml:space="preserve">LICENCIA DE SOFTWARE ANTIVIRUS</t>
        </is>
      </c>
      <c r="C57" s="0" t="inlineStr">
        <is>
          <t xml:space="preserve">Publicada</t>
        </is>
      </c>
      <c r="D57" s="0" t="inlineStr">
        <is>
          <t xml:space="preserve">I MUNICIPALIDAD DE ALGARROBO</t>
        </is>
      </c>
      <c r="E57" s="0" t="inlineStr">
        <is>
          <t xml:space="preserve">MUNICIPALIDAD DE ALGARROBO-ADQUISICIONES</t>
        </is>
      </c>
      <c r="F57" s="0" t="inlineStr">
        <is>
          <t xml:space="preserve">Región de Valparaíso </t>
        </is>
      </c>
      <c r="G57" s="0" t="inlineStr">
        <is>
          <t xml:space="preserve">Algarrobo</t>
        </is>
      </c>
      <c r="H57" s="2">
        <v>46281.561389</v>
      </c>
      <c r="I57" s="2">
        <v>46290.45625</v>
      </c>
      <c r="J57" s="0">
        <v>6</v>
      </c>
      <c r="K57" s="3"/>
      <c r="L57" s="0" t="inlineStr">
        <is>
          <t xml:space="preserve">CLP</t>
        </is>
      </c>
      <c r="M57" s="0" t="inlineStr">
        <is>
          <t xml:space="preserve">LE</t>
        </is>
      </c>
      <c r="N57" s="4" t="inlineStr">
        <is>
          <t xml:space="preserve">Tecnologías de la información, telecomunicaciones y radiodifusión / Software / Software de gestión</t>
        </is>
      </c>
      <c r="O57" s="4" t="inlineStr">
        <is>
          <t xml:space="preserve">1 Unidad · Software de gestión de licencias</t>
        </is>
      </c>
      <c r="P57" s="2"/>
      <c r="Q57" s="2"/>
      <c r="R57" s="0" t="inlineStr">
        <is>
          <t xml:space="preserve">24 meses</t>
        </is>
      </c>
      <c r="S57" s="0" t="inlineStr">
        <is>
          <t xml:space="preserve">No</t>
        </is>
      </c>
      <c r="T57" s="4"/>
      <c r="U57" s="0" t="inlineStr">
        <is>
          <t xml:space="preserve">PABLO OLGUIN HENANDEZ</t>
        </is>
      </c>
      <c r="V57" s="4" t="inlineStr">
        <is>
          <t xml:space="preserve">USO: LICENCIA DE SOFTWARE ANTIVIRUS CON PLATAFORMA CENTRALIZADA WEB- REQUERIMIENTO DE INFORMATICA</t>
        </is>
      </c>
      <c r="W57" s="5" t="str">
        <f>HYPERLINK("https://www.mercadopublico.cl/Procurement/Modules/Attachment/ViewAttachment.aspx?enc=9THL2qx1GcmFjeQOg28MzW7Uwk8GWImkMEFDS3af%2fuR6foEKuHQMRl9gWN%2bEJsxk6Odqp22kg5uycC8GeT%2fdXEJRX5WKGDd38wzpLZOPvCkHKDzj%2fa9KE4b8KrP7niR1jsvmaV71RKNgpisboH4SNP1rYtJ34yPjKv56jB3yesuUJGE12HTs8p6fYOLcPhf3cdFJcRm4hrzpyI1zretHtpJWQHsi8DXKYJsXToXKbNIVpsHW8h9lhXhlA8ymnd873B0DaWvimoaHo28ZdjTk5qy0%2bP19ivA%2feq3Rc%2b06xcTiC5yxsyfArMdh0qelIapX","descargar bases")</f>
      </c>
    </row>
    <row r="58">
      <c r="A58" s="0" t="inlineStr">
        <is>
          <t xml:space="preserve">2048-57-LP26</t>
        </is>
      </c>
      <c r="B58" s="4" t="inlineStr">
        <is>
          <t xml:space="preserve">Convenio de Software de Gestión de Mantenimiento</t>
        </is>
      </c>
      <c r="C58" s="0" t="inlineStr">
        <is>
          <t xml:space="preserve">Publicada</t>
        </is>
      </c>
      <c r="D58" s="0" t="inlineStr">
        <is>
          <t xml:space="preserve">SERVICIO DE SALUD CHILOE</t>
        </is>
      </c>
      <c r="E58" s="0" t="inlineStr">
        <is>
          <t xml:space="preserve">Hospital de Ancud</t>
        </is>
      </c>
      <c r="F58" s="0" t="inlineStr">
        <is>
          <t xml:space="preserve">Región de los Lagos </t>
        </is>
      </c>
      <c r="G58" s="0"/>
      <c r="H58" s="2">
        <v>46269.407778</v>
      </c>
      <c r="I58" s="2">
        <v>46290.625</v>
      </c>
      <c r="J58" s="0">
        <v>6</v>
      </c>
      <c r="K58" s="3"/>
      <c r="L58" s="0" t="inlineStr">
        <is>
          <t xml:space="preserve">CLP</t>
        </is>
      </c>
      <c r="M58" s="0" t="inlineStr">
        <is>
          <t xml:space="preserve">LP</t>
        </is>
      </c>
      <c r="N58" s="4" t="inlineStr">
        <is>
          <t xml:space="preserve">Tecnologías de la información, telecomunicaciones y radiodifusión / Software / Software de administración de redes</t>
        </is>
      </c>
      <c r="O58" s="4" t="inlineStr">
        <is>
          <t xml:space="preserve">1 Unidad no definida · Software de administración</t>
        </is>
      </c>
      <c r="P58" s="2"/>
      <c r="Q58" s="2"/>
      <c r="R58" s="0" t="inlineStr">
        <is>
          <t xml:space="preserve">60 meses</t>
        </is>
      </c>
      <c r="S58" s="0" t="inlineStr">
        <is>
          <t xml:space="preserve">No</t>
        </is>
      </c>
      <c r="T58" s="4" t="inlineStr">
        <is>
          <t xml:space="preserve">El adjudicatario no podrá ceder ni transferir en forma alguna, total ni parcialmente los derechos y obligaciones que nacen del desarrollo de la licitación. No se permite subcontratación</t>
        </is>
      </c>
      <c r="U58" s="0" t="inlineStr">
        <is>
          <t xml:space="preserve">Gissela Arriagada Vilches</t>
        </is>
      </c>
      <c r="V58" s="4" t="inlineStr">
        <is>
          <t xml:space="preserve">El Hospital de Ancud ha confeccionado las siguientes Bases Administrativas, las que establecen las disposiciones administrativas que regirán la Licitación Pública a través del portal www.mercadopublico.cl y posterior contrato que celebre el Hospital de Ancud para el “SOFTWARE DE GESTION DE MANTENIMIENTO”, ID N° 2048-57-LP26.
La descripción específica del requerimiento que se licita en este proceso se detalla en las Bases Técnicas y Anexo Técnico N°1, "ESPECIFICACIONES TÉCNICAS". Debiendo la oferta ceñirse a las descripciones y especificaciones señaladas.</t>
        </is>
      </c>
      <c r="W58" s="5" t="str">
        <f>HYPERLINK("https://www.mercadopublico.cl/Procurement/Modules/Attachment/ViewAttachment.aspx?enc=mWRpye04BNEzAuQq%2f355L70QpZVY9ve08qnde9H1LW%2f%2bKKdjDfSeTJ4XAn%2fkrGInnerd9y6d6Pk4uCxIPLpndy%2b1CQwd1E4U%2bBdubFkvp1y2plswtsUwXZk5XWRaaHP%2bmfH4bjRIITOg8U%2fmJAQlhXvnZdnFBg3RB%2fs5nfG5FtwylsbMA6dHdZVuMdXaMLLrjfNvyXIztk9VUmJzRb3%2bxkQltaJ2CJbqZg%2fzeplBYfbWBn6vNcTwNPkSpppeJ5EyVVCSv2LScCqxuETeKQ7RFWBJBz%2f%2bnQFiIEDrEpIkE41aw%2bnKnk1y%2f9fH5PgeHnUd","descargar bases")</f>
      </c>
    </row>
    <row r="59">
      <c r="A59" s="0" t="inlineStr">
        <is>
          <t xml:space="preserve">2239-2-LR26</t>
        </is>
      </c>
      <c r="B59" s="4" t="inlineStr">
        <is>
          <t xml:space="preserve">Convenio Marco Desarrollo de software</t>
        </is>
      </c>
      <c r="C59" s="0" t="inlineStr">
        <is>
          <t xml:space="preserve">Publicada</t>
        </is>
      </c>
      <c r="D59" s="0" t="inlineStr">
        <is>
          <t xml:space="preserve">DIRECCION DE COMPRAS Y CONTRATACION PUBLICA</t>
        </is>
      </c>
      <c r="E59" s="0" t="inlineStr">
        <is>
          <t xml:space="preserve">División de Convenio Marco</t>
        </is>
      </c>
      <c r="F59" s="0" t="inlineStr">
        <is>
          <t xml:space="preserve">Región Metropolitana de Santiago</t>
        </is>
      </c>
      <c r="G59" s="0" t="inlineStr">
        <is>
          <t xml:space="preserve">Santiago</t>
        </is>
      </c>
      <c r="H59" s="2">
        <v>46217.7375</v>
      </c>
      <c r="I59" s="2">
        <v>46290.625</v>
      </c>
      <c r="J59" s="0">
        <v>6</v>
      </c>
      <c r="K59" s="3"/>
      <c r="L59" s="0" t="inlineStr">
        <is>
          <t xml:space="preserve">UTM</t>
        </is>
      </c>
      <c r="M59" s="0" t="inlineStr">
        <is>
          <t xml:space="preserve">LR</t>
        </is>
      </c>
      <c r="N59" s="4" t="inlineStr">
        <is>
          <t xml:space="preserve">Servicios profesionales, administrativos y consultorías de gestión empresarial / Servicios de recursos humanos / Contratación de personal</t>
        </is>
      </c>
      <c r="O59" s="4" t="inlineStr">
        <is>
          <t xml:space="preserve">1 Unidad · Desarrolladores de software</t>
        </is>
      </c>
      <c r="P59" s="2"/>
      <c r="Q59" s="2"/>
      <c r="R59" s="0"/>
      <c r="S59" s="0" t="inlineStr">
        <is>
          <t xml:space="preserve">No</t>
        </is>
      </c>
      <c r="T59" s="4" t="inlineStr">
        <is>
          <t xml:space="preserve">De conformidad con el artículo 126 del Reglamento de la Ley N° 19.886, el proveedor no podrá ceder ni transferir en forma alguna, total ni parcialmente, los derechos y obligaciones que nacen del desarrollo de esta licitación y de los respectivos contrato</t>
        </is>
      </c>
      <c r="U59" s="0" t="inlineStr">
        <is>
          <t xml:space="preserve">Convenio Marco</t>
        </is>
      </c>
      <c r="V59" s="4" t="inlineStr">
        <is>
          <t xml:space="preserve">Convenio Marco para la adquisición de los Servicios de Desarrollo y Mantención de Software, Servicios Profesionales TI y Cloud Computing</t>
        </is>
      </c>
      <c r="W59" s="5" t="str">
        <f>HYPERLINK("https://www.mercadopublico.cl/Procurement/Modules/Attachment/ViewAttachment.aspx?enc=W1Vwpp%2fJdhNOY0y41QANMFQCinrxUJeJedneWBkOyhNN%2bXfsUXGa6o%2ftjtz6EbP%2ff2SKvWZ8q4QBssCvJQ9%2bDFw3lbLbgQw1HNTZnLz1RaX%2fgrdRtD32VKc9KO97pU1tOY0Fkz6uqnQAn6guV0F53oSjPxUfHVjWW49IVxiwl8iTC9XMKxQ6Gj6O6CpIHG6JPn48o%2fm6uoCwKlVvs2FC0fjhzhIEcyhZ925Ht83AMrjVaiyoHm3tvjiHm1LFnDz2%2bZek5ovYYqEEmsSxfZ6YUlLm4cx29xgzNSpBEbVLWCCYirUExFUR1LwAHaRCnc06","descargar bases")</f>
      </c>
    </row>
    <row r="60">
      <c r="A60" s="0" t="inlineStr">
        <is>
          <t xml:space="preserve">2563-34-LR26</t>
        </is>
      </c>
      <c r="B60" s="4" t="inlineStr">
        <is>
          <t xml:space="preserve">EQUIPOS PARA REDES INFORMÁTICAS Y LICENCIAS</t>
        </is>
      </c>
      <c r="C60" s="0" t="inlineStr">
        <is>
          <t xml:space="preserve">Publicada</t>
        </is>
      </c>
      <c r="D60" s="0" t="inlineStr">
        <is>
          <t xml:space="preserve">DIRECCION GENERAL DE AERONAUTICA CIVIL</t>
        </is>
      </c>
      <c r="E60" s="0" t="inlineStr">
        <is>
          <t xml:space="preserve">UNIDAD DE COMPRA CONTRATOS NACIONALES</t>
        </is>
      </c>
      <c r="F60" s="0" t="inlineStr">
        <is>
          <t xml:space="preserve">Región Metropolitana de Santiago</t>
        </is>
      </c>
      <c r="G60" s="0" t="inlineStr">
        <is>
          <t xml:space="preserve">Providencia</t>
        </is>
      </c>
      <c r="H60" s="2">
        <v>46254.63125</v>
      </c>
      <c r="I60" s="2">
        <v>46290.625</v>
      </c>
      <c r="J60" s="0">
        <v>6</v>
      </c>
      <c r="K60" s="3">
        <v>453590167.0</v>
      </c>
      <c r="L60" s="0" t="inlineStr">
        <is>
          <t xml:space="preserve">CLP</t>
        </is>
      </c>
      <c r="M60" s="0" t="inlineStr">
        <is>
          <t xml:space="preserve">LR</t>
        </is>
      </c>
      <c r="N60" s="4" t="inlineStr">
        <is>
          <t xml:space="preserve">Tecnologías de la información, telecomunicaciones y radiodifusión / Equipos informáticos y accesorios / Accesorios de computador</t>
        </is>
      </c>
      <c r="O60" s="4" t="inlineStr">
        <is>
          <t xml:space="preserve">10 Unidad · Cajas de conmutación de computadores · 11 Unidad · Cajas de conmutación de computadores · 1 Unidad · Cajas de conmutación de computadores · y 14 más</t>
        </is>
      </c>
      <c r="P60" s="2"/>
      <c r="Q60" s="2"/>
      <c r="R60" s="0"/>
      <c r="S60" s="0" t="inlineStr">
        <is>
          <t xml:space="preserve">No</t>
        </is>
      </c>
      <c r="T60" s="4"/>
      <c r="U60" s="0" t="inlineStr">
        <is>
          <t xml:space="preserve">Javier Pacheco Barahona</t>
        </is>
      </c>
      <c r="V60" s="4" t="inlineStr">
        <is>
          <t xml:space="preserve">ADQUISICIÓN DE EQUIPOS DE COMUNICACIONES PARA REDES INFORMÁTICAS Y LICENCIAS DE SOFTWARE MODALIDAD LLAVE EN MANO, PARA EL PROYECTO CONTROL DE ACCESO A LA RED Y PROYECTOS AEROPORTUARIOS PARA LA DIRECCIÓN GENERAL DE AERONÁUTICA CIVIL</t>
        </is>
      </c>
      <c r="W60" s="5" t="str">
        <f>HYPERLINK("https://www.mercadopublico.cl/Procurement/Modules/Attachment/ViewAttachment.aspx?enc=nf%2fo9avVpdX8ue7eio6GOkB9OgY420PcygOiVQtqGqgGBGwP4c%2fHd64fAn3SCLt2Rpmtp8Rr55BMGmyLJSmORZtrVw4H2bRWbAMp1afVqVVRIS2Vmk4ZYYxhvOAuv4MlDLui3tkVGEtxBiGB3bzk6Z%2bZwTmR8xaLXtb2isLET0RtgoYsT4yPyaJQq%2bpmBrSNoI61D0%2bYuV1Z2HYROfQOzsV2954l%2b5QS7ptvkr53piQFuOXLtYdDJAODCGVa1UpfoCOX0hmkkXrPJevmlnYJaDu6vd1zaPxt%2fGr2IRMbP7fo26QjZctVnQvaqZR6l%2bva","descargar bases")</f>
      </c>
    </row>
    <row r="61">
      <c r="A61" s="0" t="inlineStr">
        <is>
          <t xml:space="preserve">4475-22-LE26</t>
        </is>
      </c>
      <c r="B61" s="4" t="inlineStr">
        <is>
          <t xml:space="preserve">Recursos informáticos para Liceo AAP</t>
        </is>
      </c>
      <c r="C61" s="0" t="inlineStr">
        <is>
          <t xml:space="preserve">Publicada</t>
        </is>
      </c>
      <c r="D61" s="0" t="inlineStr">
        <is>
          <t xml:space="preserve">I.MUNICIPALIDAD DE ROMERAL</t>
        </is>
      </c>
      <c r="E61" s="0" t="inlineStr">
        <is>
          <t xml:space="preserve">Educación</t>
        </is>
      </c>
      <c r="F61" s="0" t="inlineStr">
        <is>
          <t xml:space="preserve">Región del Maule </t>
        </is>
      </c>
      <c r="G61" s="0" t="inlineStr">
        <is>
          <t xml:space="preserve">Romeral</t>
        </is>
      </c>
      <c r="H61" s="2">
        <v>46280.628715</v>
      </c>
      <c r="I61" s="2">
        <v>46290.625</v>
      </c>
      <c r="J61" s="0">
        <v>6</v>
      </c>
      <c r="K61" s="3">
        <v>10800000.0</v>
      </c>
      <c r="L61" s="0" t="inlineStr">
        <is>
          <t xml:space="preserve">CLP</t>
        </is>
      </c>
      <c r="M61" s="0" t="inlineStr">
        <is>
          <t xml:space="preserve">LE</t>
        </is>
      </c>
      <c r="N61" s="4" t="inlineStr">
        <is>
          <t xml:space="preserve">Tecnologías de la información, telecomunicaciones y radiodifusión / Equipos informáticos y accesorios / Computadores</t>
        </is>
      </c>
      <c r="O61" s="4" t="inlineStr">
        <is>
          <t xml:space="preserve">1 Global · Computadores de escritorio</t>
        </is>
      </c>
      <c r="P61" s="2"/>
      <c r="Q61" s="2"/>
      <c r="R61" s="0"/>
      <c r="S61" s="0" t="inlineStr">
        <is>
          <t xml:space="preserve">No</t>
        </is>
      </c>
      <c r="T61" s="4"/>
      <c r="U61" s="0" t="inlineStr">
        <is>
          <t xml:space="preserve">JOSE ANTONIO ARELLANO LYNCH</t>
        </is>
      </c>
      <c r="V61" s="4" t="inlineStr">
        <is>
          <t xml:space="preserve">Recursos informáticos para Liceo Arturo Alessandri Palma</t>
        </is>
      </c>
      <c r="W61" s="5" t="str">
        <f>HYPERLINK("https://www.mercadopublico.cl/Procurement/Modules/Attachment/ViewAttachment.aspx?enc=C06XcGMB3Ukg3tNO7F50OhNG5pJXAbWGRWTcWJMmblVRxkqNEhhsjJ98USXuq9eiFr91fRO%2bL69s%2fcvWrBmZbi8qpZalK2JIaWAHTvZvbWKfUOuS9Az99cDHfBf0MmOmPO5vAsTRfvnVZKU44T44WVwEY9Ec9DmtinbpmtARzcV49jb%2bSzetCh1Na%2ffTN7CVpekQQD4%2bFTN2AOvXBUeTyAMhEuaXa%2fprP%2foPJNZBRtS%2fzR9wFjXds93ASydeFyat2C29g1m2CN%2fmmXTXbJgPjzHM8SFRzJMlsCy3IR73iv2wGMn76IQ4x5eUivJVINt0","descargar bases")</f>
      </c>
    </row>
    <row r="62">
      <c r="A62" s="0" t="inlineStr">
        <is>
          <t xml:space="preserve">761391-138-LE26</t>
        </is>
      </c>
      <c r="B62" s="4" t="inlineStr">
        <is>
          <t xml:space="preserve">EE-133-GUB-DAS-SVC. ARRI. EQUIPOS INFORMATICOS</t>
        </is>
      </c>
      <c r="C62" s="0" t="inlineStr">
        <is>
          <t xml:space="preserve">Publicada</t>
        </is>
      </c>
      <c r="D62" s="0" t="inlineStr">
        <is>
          <t xml:space="preserve">FUERZA AEREA DE CHILE COMANDO LOGISTICO</t>
        </is>
      </c>
      <c r="E62" s="0" t="inlineStr">
        <is>
          <t xml:space="preserve">Base Aérea El Bosque</t>
        </is>
      </c>
      <c r="F62" s="0" t="inlineStr">
        <is>
          <t xml:space="preserve">Región Metropolitana de Santiago</t>
        </is>
      </c>
      <c r="G62" s="0" t="inlineStr">
        <is>
          <t xml:space="preserve">El Bosque</t>
        </is>
      </c>
      <c r="H62" s="2">
        <v>46280.692454</v>
      </c>
      <c r="I62" s="2">
        <v>46290.625</v>
      </c>
      <c r="J62" s="0">
        <v>6</v>
      </c>
      <c r="K62" s="3">
        <v>16333332.0</v>
      </c>
      <c r="L62" s="0" t="inlineStr">
        <is>
          <t xml:space="preserve">CLP</t>
        </is>
      </c>
      <c r="M62" s="0" t="inlineStr">
        <is>
          <t xml:space="preserve">LE</t>
        </is>
      </c>
      <c r="N62" s="4" t="inlineStr">
        <is>
          <t xml:space="preserve">Servicios basados en ingeniería, ciencias sociales y tecnología de la información / Servicios informáticos / Ingeniería en computación e informática</t>
        </is>
      </c>
      <c r="O62" s="4" t="inlineStr">
        <is>
          <t xml:space="preserve">1 Global · Servicios de programación de sistemas operativos</t>
        </is>
      </c>
      <c r="P62" s="2"/>
      <c r="Q62" s="2"/>
      <c r="R62" s="0" t="inlineStr">
        <is>
          <t xml:space="preserve">3 meses</t>
        </is>
      </c>
      <c r="S62" s="0" t="inlineStr">
        <is>
          <t xml:space="preserve">No</t>
        </is>
      </c>
      <c r="T62" s="4" t="inlineStr">
        <is>
          <t xml:space="preserve">EN CONFORMIDAD A LO ESTABLECIDO EN EL PARRAFO I.-NORMAS GENERALES DEL LLAMADO A PROPUESTA, LETRA P DE LAS BASES ADMINISTRATIVAS ADJUNTAS.</t>
        </is>
      </c>
      <c r="U62" s="0" t="inlineStr">
        <is>
          <t xml:space="preserve">RODRIGO INOSTROZA</t>
        </is>
      </c>
      <c r="V62" s="4" t="inlineStr">
        <is>
          <t xml:space="preserve">CONTRATACIÓN DEL SERVICIO DE ARRIENDO DE EQUIPOS INFORMATICOS PARA LA IMPLEMENTACIÓN DE SIMULADOR DE AIRBUS ACT ACADEMY DURANTE EL PERIODO COMPRENDIDO ENTRE EL 01 DE OCTUBRE Y EL 31 DE DICIEMBRE DEL AÑO 2026, DE ACUERDO A BASES TÉCNICAS, BASES ADM Y ANEXOS ADJUNTOS.</t>
        </is>
      </c>
      <c r="W62" s="5" t="str">
        <f>HYPERLINK("https://www.mercadopublico.cl/Procurement/Modules/Attachment/ViewAttachment.aspx?enc=RWAZR1Rmn0%2fJcuEfVczUqIM6HuwoMwco3UUJ2H4zxzP99OoIgwSd7PS1tIy7L7jezsMTVMAtnTUBk6DV%2bKRhwBtkDS7%2bKYqOR2%2fhHVaogR9mzN1hfWmk2GjHJtvgS5Lly2NqF8vb6oHsiwQzGqHberQ7EAw2IHeeCoRp3yF5iDrjSaoFK2G6i2CqvH%2b1X3tdFDeg%2b5HShWDsC2OrROcxNWFi4lX9SErZhQwnFfznIicncpWc7X9vrhTRCPYmA1a7cHJQPI3kqTzqUB6z9qlcRRHiJ9xpibEKgl%2b8B3XqZdCaz6Fh3H%2f5sk4jrrwvYTS1","descargar bases")</f>
      </c>
    </row>
    <row r="63">
      <c r="A63" s="0" t="inlineStr">
        <is>
          <t xml:space="preserve">868-17-LE26</t>
        </is>
      </c>
      <c r="B63" s="4" t="inlineStr">
        <is>
          <t xml:space="preserve">RENOVACION 6 LICENCIAS CLOUD Y 17 LICENCIAS ADOBE</t>
        </is>
      </c>
      <c r="C63" s="0" t="inlineStr">
        <is>
          <t xml:space="preserve">Publicada</t>
        </is>
      </c>
      <c r="D63" s="0" t="inlineStr">
        <is>
          <t xml:space="preserve">GOBIERNO REGIONAL DE AYSEN</t>
        </is>
      </c>
      <c r="E63" s="0" t="inlineStr">
        <is>
          <t xml:space="preserve">Gobierno Regional de Aysen - XI Región</t>
        </is>
      </c>
      <c r="F63" s="0" t="inlineStr">
        <is>
          <t xml:space="preserve">Región Aysén del General Carlos Ibáñez del Campo</t>
        </is>
      </c>
      <c r="G63" s="0" t="inlineStr">
        <is>
          <t xml:space="preserve">Coyhaique</t>
        </is>
      </c>
      <c r="H63" s="2">
        <v>46279.453171</v>
      </c>
      <c r="I63" s="2">
        <v>46290.625</v>
      </c>
      <c r="J63" s="0">
        <v>6</v>
      </c>
      <c r="K63" s="3">
        <v>12000000.0</v>
      </c>
      <c r="L63" s="0" t="inlineStr">
        <is>
          <t xml:space="preserve">CLP</t>
        </is>
      </c>
      <c r="M63" s="0" t="inlineStr">
        <is>
          <t xml:space="preserve">LE</t>
        </is>
      </c>
      <c r="N63" s="4" t="inlineStr">
        <is>
          <t xml:space="preserve">Tecnologías de la información, telecomunicaciones y radiodifusión / Software / Software de gestión</t>
        </is>
      </c>
      <c r="O63" s="4" t="inlineStr">
        <is>
          <t xml:space="preserve">1 Unidad · Software de gestión de licencias</t>
        </is>
      </c>
      <c r="P63" s="2"/>
      <c r="Q63" s="2"/>
      <c r="R63" s="0"/>
      <c r="S63" s="0" t="inlineStr">
        <is>
          <t xml:space="preserve">No</t>
        </is>
      </c>
      <c r="T63" s="4"/>
      <c r="U63" s="0" t="inlineStr">
        <is>
          <t xml:space="preserve">JOSE ANDRADE VASQUEZ</t>
        </is>
      </c>
      <c r="V63" s="4" t="inlineStr">
        <is>
          <t xml:space="preserve">LICITACIÓN PÚBLICA LE PARA LA “RENOVACION 6 LICENCIAS ADOBE CREATIVE CLOUD Y 17 LICENCIAS ADOBE ACROBAT PRO DC,CONTRATO VIP A1A8CCABAE80882AA9EA.-</t>
        </is>
      </c>
      <c r="W63" s="5" t="str">
        <f>HYPERLINK("https://www.mercadopublico.cl/Procurement/Modules/Attachment/ViewAttachment.aspx?enc=3vJEBHuItRkBJFSzAL6Pte6lXhH3mKEUJczbxz5y%2ffLYj6LD6A4ppL%2byoj41nNr6Sv9qua5e5Oifb33Wk2o%2buGpx6%2fO5AdWSv2VKlMr86mcTfhdsHKRwEdNhF322GVQazFLIncrHpJEpj%2fGA%2f9CYUxoP5KX0NZTJ6fZZVErdyKQ%2ft52636uzv7MrqEgVs6T5dH14nFX1a7OS2lTVajYtq3Q4JhyqNwGzw341btZWWOPAgnYourKajGy1DFlggEwSluW51Bi3HqN3d1u7EkWJFQWW0D7ue%2b8tEUcUW%2fAJ3npgDjNJG8UvEglPLhTPYRqE","descargar bases")</f>
      </c>
    </row>
    <row r="64">
      <c r="A64" s="0" t="inlineStr">
        <is>
          <t xml:space="preserve">2785-80-LE26</t>
        </is>
      </c>
      <c r="B64" s="4" t="inlineStr">
        <is>
          <t xml:space="preserve">“Servicios móviles de comunicaciones de voz y datos internet para la Municipalidad San Pedro de la Paz”</t>
        </is>
      </c>
      <c r="C64" s="0" t="inlineStr">
        <is>
          <t xml:space="preserve">Publicada</t>
        </is>
      </c>
      <c r="D64" s="0" t="inlineStr">
        <is>
          <t xml:space="preserve">I MUNICIPALIDAD DE SAN PEDRO DE LA PAZ</t>
        </is>
      </c>
      <c r="E64" s="0" t="inlineStr">
        <is>
          <t xml:space="preserve">I MUNICIPALIDAD DE SAN PEDRO DE LA PAZ</t>
        </is>
      </c>
      <c r="F64" s="0" t="inlineStr">
        <is>
          <t xml:space="preserve">Región del Biobío </t>
        </is>
      </c>
      <c r="G64" s="0" t="inlineStr">
        <is>
          <t xml:space="preserve">San Pedro de La Paz</t>
        </is>
      </c>
      <c r="H64" s="2">
        <v>46276.658449</v>
      </c>
      <c r="I64" s="2">
        <v>46290.625</v>
      </c>
      <c r="J64" s="0">
        <v>6</v>
      </c>
      <c r="K64" s="3"/>
      <c r="L64" s="0" t="inlineStr">
        <is>
          <t xml:space="preserve">CLP</t>
        </is>
      </c>
      <c r="M64" s="0" t="inlineStr">
        <is>
          <t xml:space="preserve">LE</t>
        </is>
      </c>
      <c r="N64" s="4" t="inlineStr">
        <is>
          <t xml:space="preserve">Servicios básicos y de información pública / Telecomunicaciones / Telefonía local y de larga distancia</t>
        </is>
      </c>
      <c r="O64" s="4" t="inlineStr">
        <is>
          <t xml:space="preserve">1 Unidad · Servicio telefónico local</t>
        </is>
      </c>
      <c r="P64" s="2"/>
      <c r="Q64" s="2"/>
      <c r="R64" s="0" t="inlineStr">
        <is>
          <t xml:space="preserve">24 meses</t>
        </is>
      </c>
      <c r="S64" s="0" t="inlineStr">
        <is>
          <t xml:space="preserve">No</t>
        </is>
      </c>
      <c r="T64" s="4"/>
      <c r="U64" s="0" t="inlineStr">
        <is>
          <t xml:space="preserve">Claudia Seguel Cerna</t>
        </is>
      </c>
      <c r="V64" s="4" t="inlineStr">
        <is>
          <t xml:space="preserve">El objetivo de la presente licitación es contratar el equipamiento como también servicio de voz y datos móviles a directivos y/o funcionarios de la Municipalidad que sean necesarios. Esto, de acuerdo a lo establecido en las especificaciones técnicas.</t>
        </is>
      </c>
      <c r="W64" s="5" t="str">
        <f>HYPERLINK("https://www.mercadopublico.cl/Procurement/Modules/Attachment/ViewAttachment.aspx?enc=oaE3vvwiTIlFDSSw0YqricjyH2Wq%2bUK0bEL4YPWdgOctW1ki8NIQRUUYq6JsY7P9jIbHatuiIHKeXygbN9v2tC4lk8trnGkaO5x4sHEueFHju3j7NplCEXCuT0taRZZWt1YsIVBEVfX8l0zKuGdx12Bu0X7gD7guv5ZOAoaq8PmjeqC6O50gkgre0yFRztFiS0U%2fuapxKxuJrhjUVI%2frSC4n4j1KIwjxAdlg7U664%2b3HYiCpSm7IFtDKutGbqgBegytKZ3uiRfWvfwJkrmPFMqE3iqoyd40LUK%2fPe9juqBg3QbBqpoCAyK2sQ5iXnTf5","descargar bases")</f>
      </c>
    </row>
    <row r="65">
      <c r="A65" s="0" t="inlineStr">
        <is>
          <t xml:space="preserve">1499887-19-CO26</t>
        </is>
      </c>
      <c r="B65" s="4" t="inlineStr">
        <is>
          <t xml:space="preserve">SERVICIOS TÉCNICOS DE HABILITACIÓN DIGITAL</t>
        </is>
      </c>
      <c r="C65" s="0" t="inlineStr">
        <is>
          <t xml:space="preserve">Publicada</t>
        </is>
      </c>
      <c r="D65" s="0" t="inlineStr">
        <is>
          <t xml:space="preserve">SERVICIO NACIONAL DE REINSERCION SOCIAL JUVENIL</t>
        </is>
      </c>
      <c r="E65" s="0" t="inlineStr">
        <is>
          <t xml:space="preserve">DIRECCIÓN REGIONAL METROPOLITANA</t>
        </is>
      </c>
      <c r="F65" s="0" t="inlineStr">
        <is>
          <t xml:space="preserve">Región Metropolitana de Santiago</t>
        </is>
      </c>
      <c r="G65" s="0" t="inlineStr">
        <is>
          <t xml:space="preserve">Ñuñoa</t>
        </is>
      </c>
      <c r="H65" s="2">
        <v>46279.423738</v>
      </c>
      <c r="I65" s="2">
        <v>46290.625694</v>
      </c>
      <c r="J65" s="0">
        <v>6</v>
      </c>
      <c r="K65" s="3"/>
      <c r="L65" s="0" t="inlineStr">
        <is>
          <t xml:space="preserve">CLP</t>
        </is>
      </c>
      <c r="M65" s="0" t="inlineStr">
        <is>
          <t xml:space="preserve">CO</t>
        </is>
      </c>
      <c r="N65" s="4" t="inlineStr">
        <is>
          <t xml:space="preserve">Servicios basados en ingeniería, ciencias sociales y tecnología de la información / Metodologías y tecnologías para mejorar la producción y la fabricación / Administración de edificios e instalaciones</t>
        </is>
      </c>
      <c r="O65" s="4" t="inlineStr">
        <is>
          <t xml:space="preserve">1 Unidad · Inspección de instalaciones eléctricas</t>
        </is>
      </c>
      <c r="P65" s="2"/>
      <c r="Q65" s="2"/>
      <c r="R65" s="0"/>
      <c r="S65" s="0" t="inlineStr">
        <is>
          <t xml:space="preserve">No</t>
        </is>
      </c>
      <c r="T65" s="4" t="inlineStr">
        <is>
          <t xml:space="preserve">El contratista, a fin de apoyar la ejecución de algunas de las obligaciones contraídas en virtud de la contratación respectiva NO podrá subcontratar con terceros la prestación del servicio.</t>
        </is>
      </c>
      <c r="U65" s="0" t="inlineStr">
        <is>
          <t xml:space="preserve">Jefe Administrativo Regional o quien le subrogue</t>
        </is>
      </c>
      <c r="V65" s="4" t="inlineStr">
        <is>
          <t xml:space="preserve">CONTRATACIÓN DE SERVICIOS TÉCNICOS ESPECIALIZADOS DE HABILITACIÓN DIGITAL Y ELÉCTRICA EN CENTROS DE ADMINISTRACIÓN DIRECTA DE TIL TIL, LA CISTERNA Y SANTIAGO DEL SERVICIO NACIONAL DE REINSERCIÓN SOCIAL JUVENIL, DEPENDIENTE DE LA DIRECCIÓN REGIONAL METROPOLITANA</t>
        </is>
      </c>
      <c r="W65" s="5" t="str">
        <f>HYPERLINK("https://www.mercadopublico.cl/Procurement/Modules/Attachment/ViewAttachment.aspx?enc=gaee9rJBaQJzPk0A8X5cOL2fJWhFN2SEnlKH8%2bcX9SYYJAoV7ZmK9YtmHTWxbUWQGeFP4jIFzPAkVh0APffRAP5X%2bwNowdc5Xs9z9dunXz2cSx8WWwF%2ffehmeaEpugIZDN%2bEQJGfl%2bPAdXpG3ayCnCEoG%2f20omj1VyK78gSA%2fJ%2bl68EkLwXAGpyEI3t9KH2e6VMqgTgR04PrTWrRTmKnpCzX4UritixUMJf8oQdW7eeLuUaV5BcfcLH2RDRyDOquA6HQU3FKTfLYW7fdIs00MEcmr1y01pa5i9WpYI1sM02ERqswnhiqUK6JWKra2Pd9","descargar bases")</f>
      </c>
    </row>
    <row r="66">
      <c r="A66" s="0" t="inlineStr">
        <is>
          <t xml:space="preserve">4511-53-LE26</t>
        </is>
      </c>
      <c r="B66" s="4" t="inlineStr">
        <is>
          <t xml:space="preserve">CONTRATACIÓN SISTEMA DE GESTIÓN DOCUMENTAL</t>
        </is>
      </c>
      <c r="C66" s="0" t="inlineStr">
        <is>
          <t xml:space="preserve">Publicada</t>
        </is>
      </c>
      <c r="D66" s="0" t="inlineStr">
        <is>
          <t xml:space="preserve">ILUSTRE MUNICIPALIDAD DE RETIRO</t>
        </is>
      </c>
      <c r="E66" s="0" t="inlineStr">
        <is>
          <t xml:space="preserve">Secpla</t>
        </is>
      </c>
      <c r="F66" s="0" t="inlineStr">
        <is>
          <t xml:space="preserve">Región del Maule </t>
        </is>
      </c>
      <c r="G66" s="0" t="inlineStr">
        <is>
          <t xml:space="preserve">Retiro</t>
        </is>
      </c>
      <c r="H66" s="2">
        <v>46279.616782</v>
      </c>
      <c r="I66" s="2">
        <v>46290.625694</v>
      </c>
      <c r="J66" s="0">
        <v>6</v>
      </c>
      <c r="K66" s="3"/>
      <c r="L66" s="0" t="inlineStr">
        <is>
          <t xml:space="preserve">CLP</t>
        </is>
      </c>
      <c r="M66" s="0" t="inlineStr">
        <is>
          <t xml:space="preserve">LE</t>
        </is>
      </c>
      <c r="N66" s="4" t="inlineStr">
        <is>
          <t xml:space="preserve">Tecnologías de la información, telecomunicaciones y radiodifusión / Software / Software de consultas y gestión de datos</t>
        </is>
      </c>
      <c r="O66" s="4" t="inlineStr">
        <is>
          <t xml:space="preserve">1 Global · Software de creación de informes de bases de datos</t>
        </is>
      </c>
      <c r="P66" s="2"/>
      <c r="Q66" s="2"/>
      <c r="R66" s="0" t="inlineStr">
        <is>
          <t xml:space="preserve">24 meses</t>
        </is>
      </c>
      <c r="S66" s="0" t="inlineStr">
        <is>
          <t xml:space="preserve">No</t>
        </is>
      </c>
      <c r="T66" s="4" t="inlineStr">
        <is>
          <t xml:space="preserve">CONFORME NUMERAl 21.8</t>
        </is>
      </c>
      <c r="U66" s="0" t="inlineStr">
        <is>
          <t xml:space="preserve">ADELQUI MILLAR</t>
        </is>
      </c>
      <c r="V66" s="4" t="inlineStr">
        <is>
          <t xml:space="preserve">Existe la necesidad contratar una plataforma integral de gestión de expedientes electrónicos, documentos digitales y firma electrónica para la Ilustre Municipalidad de Retiro. Dicha plataforma deberá permitir reducir la dependencia del soporte papel, mejorar la trazabilidad de las actuaciones administrativas, optimizar los tiempos de tramitación y resguardar la confidencialidad, integridad, disponibilidad y tratamiento adecuado de los datos personales y documentos institucionales administrados mediante la solución, garantizando la continuidad del servicio, asegurando la disponibilidad
ininterrumpida de la plataforma durante toda la vigencia del contrato, incluyendo planes de contingencia, respaldo y recuperación ante fallas.</t>
        </is>
      </c>
      <c r="W66" s="5" t="str">
        <f>HYPERLINK("https://www.mercadopublico.cl/Procurement/Modules/Attachment/ViewAttachment.aspx?enc=TzNs2KwH%2f%2btvGHhYcg9eaxyiPl86HbEdFQAW%2foBfa0GECtdhhgfr4D5WVp9qsDkwME9p2bjBUIENNd05bl1XjKZaaVjzz0N4ZgmsL0tR%2fln%2fzRED3r0gr35bz4UJNfC7aPGMoDHbav820hz7s30Vb1srupyXBrypqPWyH%2fY%2bf8C%2fdrbAsQ6xG%2bQl6c7oAdAzmKcVcId1dbQsj4wnpeC47BlysiE7w5eBgCwHKljLrTQn9nEhHz%2b9L9Wqp4p7h2YuwJE38O%2baxd%2flADCTSHCS%2fqtPPc2IUcvS8guJ0iu1iPvW2lzOvWNBuylffYTYpQx3","descargar bases")</f>
      </c>
    </row>
    <row r="67">
      <c r="A67" s="0" t="inlineStr">
        <is>
          <t xml:space="preserve">1057448-50-L126</t>
        </is>
      </c>
      <c r="B67" s="4" t="inlineStr">
        <is>
          <t xml:space="preserve">CÁPSULAS DIGITALES PARA IMPLEMENTAR EN MOODLE DEL SERVICIO DE SALUD TARAPACÁ</t>
        </is>
      </c>
      <c r="C67" s="0" t="inlineStr">
        <is>
          <t xml:space="preserve">Publicada</t>
        </is>
      </c>
      <c r="D67" s="0" t="inlineStr">
        <is>
          <t xml:space="preserve">SERVICIO DE SALUD IQUIQUE</t>
        </is>
      </c>
      <c r="E67" s="0" t="inlineStr">
        <is>
          <t xml:space="preserve">Bienes y Servicios</t>
        </is>
      </c>
      <c r="F67" s="0" t="inlineStr">
        <is>
          <t xml:space="preserve">Región de Tarapacá  </t>
        </is>
      </c>
      <c r="G67" s="0" t="inlineStr">
        <is>
          <t xml:space="preserve">Iquique</t>
        </is>
      </c>
      <c r="H67" s="2">
        <v>46281.636111</v>
      </c>
      <c r="I67" s="2">
        <v>46290.636111</v>
      </c>
      <c r="J67" s="0">
        <v>6</v>
      </c>
      <c r="K67" s="3">
        <v>3201100.0</v>
      </c>
      <c r="L67" s="0" t="inlineStr">
        <is>
          <t xml:space="preserve">CLP</t>
        </is>
      </c>
      <c r="M67" s="0" t="inlineStr">
        <is>
          <t xml:space="preserve">L1</t>
        </is>
      </c>
      <c r="N67" s="4" t="inlineStr">
        <is>
          <t xml:space="preserve">Servicios profesionales, administrativos y consultorías de gestión empresarial / Servicios de recursos humanos / Consultorías para el desarrollo de recursos humanos</t>
        </is>
      </c>
      <c r="O67" s="4" t="inlineStr">
        <is>
          <t xml:space="preserve">1 Unidad · Formación, capacitación y entrenamiento de personal</t>
        </is>
      </c>
      <c r="P67" s="2"/>
      <c r="Q67" s="2"/>
      <c r="R67" s="0"/>
      <c r="S67" s="0" t="inlineStr">
        <is>
          <t xml:space="preserve">No</t>
        </is>
      </c>
      <c r="T67" s="4"/>
      <c r="U67" s="0"/>
      <c r="V67" s="4" t="inlineStr">
        <is>
          <t xml:space="preserve">Capacitación en Elaboración de Plan de cuidados integrales, GES de Salud Mental y Gestión de casos complejos de Salud Mental en APS (categorización N3 de riesgo biopsicosocial)</t>
        </is>
      </c>
      <c r="W67" s="5" t="str">
        <f>HYPERLINK("https://www.mercadopublico.cl/Procurement/Modules/Attachment/ViewAttachment.aspx?enc=xKSHYm4GmYYmDNgtRZv1wsLpArieXZBP6Lny2FTkcMypstk832vvVoK0yJ6W6eeHg0h1BxRVzZApzK%2fFik%2bUC7IenfyzOab%2bLOMr1531SjH6crPHU3IbEdocFfz7hEJWvra5Bf6jzMUpbeOEf0Ftmv4GtIwEZ2B557wIlBQcFhzHtaXIYLrpw8JxL9L0ABfRMPs5RkIFS5LeqDdU%2fIqV%2fC7nv8PyR9RirZPjCKtLQIyV%2f5KHHG1pFgRrLXn6K5eCCgr6qZLypFpwRvD%2f1iSEea6eVm1WBJZkg09dpARky0GENr6%2ffVbZzePRyvdk%2fu0U","descargar bases")</f>
      </c>
    </row>
    <row r="68">
      <c r="A68" s="0" t="inlineStr">
        <is>
          <t xml:space="preserve">609-27-LE26</t>
        </is>
      </c>
      <c r="B68" s="4" t="inlineStr">
        <is>
          <t xml:space="preserve">ADQUISICIÓN DE 10 LICENCIAS ADOBE CREATIVE CLOUD</t>
        </is>
      </c>
      <c r="C68" s="0" t="inlineStr">
        <is>
          <t xml:space="preserve">Publicada</t>
        </is>
      </c>
      <c r="D68" s="0" t="inlineStr">
        <is>
          <t xml:space="preserve">INSTITUTO DE DESARROLLO AGROPECUARIO</t>
        </is>
      </c>
      <c r="E68" s="0" t="inlineStr">
        <is>
          <t xml:space="preserve">Instituto de Desarrollo Agropecuario - INDAP</t>
        </is>
      </c>
      <c r="F68" s="0" t="inlineStr">
        <is>
          <t xml:space="preserve">Región Metropolitana de Santiago</t>
        </is>
      </c>
      <c r="G68" s="0" t="inlineStr">
        <is>
          <t xml:space="preserve">Santiago</t>
        </is>
      </c>
      <c r="H68" s="2">
        <v>46279.45897</v>
      </c>
      <c r="I68" s="2">
        <v>46290.645833</v>
      </c>
      <c r="J68" s="0">
        <v>6</v>
      </c>
      <c r="K68" s="3">
        <v>12000000.0</v>
      </c>
      <c r="L68" s="0" t="inlineStr">
        <is>
          <t xml:space="preserve">CLP</t>
        </is>
      </c>
      <c r="M68" s="0" t="inlineStr">
        <is>
          <t xml:space="preserve">LE</t>
        </is>
      </c>
      <c r="N68" s="4" t="inlineStr">
        <is>
          <t xml:space="preserve">Tecnologías de la información, telecomunicaciones y radiodifusión / Software / Software de gestión</t>
        </is>
      </c>
      <c r="O68" s="4" t="inlineStr">
        <is>
          <t xml:space="preserve">1 Unidad · Software de gestión de licencias</t>
        </is>
      </c>
      <c r="P68" s="2"/>
      <c r="Q68" s="2"/>
      <c r="R68" s="0"/>
      <c r="S68" s="0" t="inlineStr">
        <is>
          <t xml:space="preserve">No</t>
        </is>
      </c>
      <c r="T68" s="4" t="inlineStr">
        <is>
          <t xml:space="preserve">El oferente adjudicado no podrá ceder ni transferir en forma alguna, total ni parcialmente, los derechos y obligaciones que nacen del desarrollo de la presente licitación y de su adjudicación.</t>
        </is>
      </c>
      <c r="U68" s="0" t="inlineStr">
        <is>
          <t xml:space="preserve">Benjamín Caroca</t>
        </is>
      </c>
      <c r="V68" s="4" t="inlineStr">
        <is>
          <t xml:space="preserve">INDAP requiere adquirir de 10 licencias Adobe Creative Cloud o equivalente, con el fin de que 10 diez funcionarios de la Institución cuenten con las herramientas de diseño gráfico, edición de video, diseño web y servicios en
la nube virtual, las cuales son fundamentales para el cumplimiento de sus labores.</t>
        </is>
      </c>
      <c r="W68" s="5" t="str">
        <f>HYPERLINK("https://www.mercadopublico.cl/Procurement/Modules/Attachment/ViewAttachment.aspx?enc=IHcO9G5ZNnjQFbanJGjo9XRNJETO9MpfxNDf7f4DJ4V6Fv0gXRSF0LxoST2HaNqUsoQfZmt2My07xRGEDxAICDa6GFsqctG7MtA14wujC4v%2fktqUKCgtZpMzbXWKtUkaRviZR7%2bwLi%2bryhlMikEZNHgIlkIhC130rPamdU%2bOwq2I4pH7eB%2bST9hclCg6LKi2UNyknoTlneAFYCBqXM%2byjT2hJsSApxTTTuRUBX5C%2fgY6e2Nto6W7gV5gVJEGVZS1il8a8mpuMUfPc50dqr6kJi2URoMYXddMz%2fmiq3CEwAthYjZxphGHhIf%2fEyIs7x0e","descargar bases")</f>
      </c>
    </row>
    <row r="69">
      <c r="A69" s="0" t="inlineStr">
        <is>
          <t xml:space="preserve">3019-20-LE26</t>
        </is>
      </c>
      <c r="B69" s="4" t="inlineStr">
        <is>
          <t xml:space="preserve">SOFTWARE CARRERA FUNCIONARIA APS LOTA</t>
        </is>
      </c>
      <c r="C69" s="0" t="inlineStr">
        <is>
          <t xml:space="preserve">Publicada</t>
        </is>
      </c>
      <c r="D69" s="0" t="inlineStr">
        <is>
          <t xml:space="preserve">I MUNICIPALIDAD DE LOTA</t>
        </is>
      </c>
      <c r="E69" s="0" t="inlineStr">
        <is>
          <t xml:space="preserve">Departamento de Salud</t>
        </is>
      </c>
      <c r="F69" s="0" t="inlineStr">
        <is>
          <t xml:space="preserve">Región del Biobío </t>
        </is>
      </c>
      <c r="G69" s="0" t="inlineStr">
        <is>
          <t xml:space="preserve">Lota</t>
        </is>
      </c>
      <c r="H69" s="2">
        <v>46275.680035</v>
      </c>
      <c r="I69" s="2">
        <v>46290.666667</v>
      </c>
      <c r="J69" s="0">
        <v>6</v>
      </c>
      <c r="K69" s="3"/>
      <c r="L69" s="0" t="inlineStr">
        <is>
          <t xml:space="preserve">CLP</t>
        </is>
      </c>
      <c r="M69" s="0" t="inlineStr">
        <is>
          <t xml:space="preserve">LE</t>
        </is>
      </c>
      <c r="N69" s="4" t="inlineStr">
        <is>
          <t xml:space="preserve">Tecnologías de la información, telecomunicaciones y radiodifusión / Software / Software de gestión</t>
        </is>
      </c>
      <c r="O69" s="4" t="inlineStr">
        <is>
          <t xml:space="preserve">1 Unidad · Software de gestión de recursos humanos</t>
        </is>
      </c>
      <c r="P69" s="2"/>
      <c r="Q69" s="2"/>
      <c r="R69" s="0"/>
      <c r="S69" s="0" t="inlineStr">
        <is>
          <t xml:space="preserve">No</t>
        </is>
      </c>
      <c r="T69" s="4"/>
      <c r="U69" s="0" t="inlineStr">
        <is>
          <t xml:space="preserve">DAVID FERNANDEZ TORRES</t>
        </is>
      </c>
      <c r="V69" s="4" t="inlineStr">
        <is>
          <t xml:space="preserve">SE REQUIERE ADQUISICIÓN DE SOFTWARE DE GESTIÓN DE CARRERA FUNCIONARIA PARA LOS FUNCIONARIOS, PERMITIRÁ ADMINISTRAR DE MANERA EFICIENTE, TRANSPARENTE Y CENTRALIZADA LOS PROCESOS ASOCIADOS A LA CARRERA FUNCIONARIA DEL PERSONAL DE ATENCIÓN PRIMARIA DE SALUD CONFORME A LA LEY N 19.378. POR UN PERIODO DE 24 MESES.</t>
        </is>
      </c>
      <c r="W69" s="5" t="str">
        <f>HYPERLINK("https://www.mercadopublico.cl/Procurement/Modules/Attachment/ViewAttachment.aspx?enc=jvkrKPY8AtlJuXPdfzmsrZLtI0PoKzdNSj5%2fMwDyVCEEkrUWQA2BwoESOw7wlRV12%2bFnacIpw86Hvxyo8OHuxqkQwK7RcvHXnklJwhtUKqtX3cD8zKoWqgVZwMFobK5oNlNSLHSlDCvhPZgzZLVZMf54xNGLv7qaqYve6r1KD7016N6HXejinqLTnZtcpwXDapcMAnFuwlkXZ7iaBrFFY%2f5XV0ZXhHskpX6ZBoxlAdmyhbT5i0Gzu%2brgGJZf5d3smHweQLCzwOLyfoQ02kugckvub7L%2fCNG28X2wMVmJ8uASpqv%2b8py1P%2fvmRFsJHJnn","descargar bases")</f>
      </c>
    </row>
    <row r="70">
      <c r="A70" s="0" t="inlineStr">
        <is>
          <t xml:space="preserve">948354-138-LE26</t>
        </is>
      </c>
      <c r="B70" s="4" t="inlineStr">
        <is>
          <t xml:space="preserve">CONTRATACIÓN DEL SERVICIO DE LICENCIAMIENTO IMPLEMENTACIÓN MANTENCIÓN ACTUALIZACIÓN Y SOPORTE DE SOLUCIÓN INFORMÁTICA PARA LA GESTIÓN DE CALIDAD EN SALUD DEL HOSPITAL DIPRECA</t>
        </is>
      </c>
      <c r="C70" s="0" t="inlineStr">
        <is>
          <t xml:space="preserve">Publicada</t>
        </is>
      </c>
      <c r="D70" s="0" t="inlineStr">
        <is>
          <t xml:space="preserve">FONDO HOSPITAL DE LA DIRECCION DE PREVISION DE CARABINEROS DE CHILE</t>
        </is>
      </c>
      <c r="E70" s="0" t="inlineStr">
        <is>
          <t xml:space="preserve">Unidad de Compra de Bienes y Servicios</t>
        </is>
      </c>
      <c r="F70" s="0" t="inlineStr">
        <is>
          <t xml:space="preserve">Región Metropolitana de Santiago</t>
        </is>
      </c>
      <c r="G70" s="0" t="inlineStr">
        <is>
          <t xml:space="preserve">Las Condes</t>
        </is>
      </c>
      <c r="H70" s="2">
        <v>46280.634433</v>
      </c>
      <c r="I70" s="2">
        <v>46290.666667</v>
      </c>
      <c r="J70" s="0">
        <v>6</v>
      </c>
      <c r="K70" s="3">
        <v>35000000.0</v>
      </c>
      <c r="L70" s="0" t="inlineStr">
        <is>
          <t xml:space="preserve">CLP</t>
        </is>
      </c>
      <c r="M70" s="0" t="inlineStr">
        <is>
          <t xml:space="preserve">LE</t>
        </is>
      </c>
      <c r="N70" s="4" t="inlineStr">
        <is>
          <t xml:space="preserve">Tecnologías de la información, telecomunicaciones y radiodifusión / Software / Software de consultas y gestión de datos</t>
        </is>
      </c>
      <c r="O70" s="4" t="inlineStr">
        <is>
          <t xml:space="preserve">36 Mes · Software de administración de metadatos</t>
        </is>
      </c>
      <c r="P70" s="2"/>
      <c r="Q70" s="2"/>
      <c r="R70" s="0" t="inlineStr">
        <is>
          <t xml:space="preserve">36 meses</t>
        </is>
      </c>
      <c r="S70" s="0" t="inlineStr">
        <is>
          <t xml:space="preserve">No</t>
        </is>
      </c>
      <c r="T70" s="4"/>
      <c r="U70" s="0" t="inlineStr">
        <is>
          <t xml:space="preserve">Patricio Salinas Morán</t>
        </is>
      </c>
      <c r="V70" s="4" t="inlineStr">
        <is>
          <t xml:space="preserve">El Hospital de la Dirección de Previsión de Carabineros de Chile, ubicado en Vital Apoquindo N°1.200, Comuna de Las Condes, Región Metropolitana, en adelante “EL HOSPITAL”, llama a Licitación Pública para la Contratación del Servicio de Licenciamiento, Implementación, Mantención, Actualización y Soporte de Solución Informática para la Gestión de Calidad en Salud, en adelante “EL SERVICIO”, por un periodo de 36 meses, cuyas características y requisitos técnicos constan en las Bases Administrativas y Técnicas de esta Licitación con sus respectivos anexos.</t>
        </is>
      </c>
      <c r="W70" s="5" t="str">
        <f>HYPERLINK("https://www.mercadopublico.cl/Procurement/Modules/Attachment/ViewAttachment.aspx?enc=XRwotz1Aw7eCOzoDLaAG%2bZC8y4EmL%2baxzpOCCI763Myy4POl8eIkwpm8E6VMNCw0Up%2fcxtXEYPEdVUukVgoKIjegbWaSToVKmOoYKhr6nD2UFrBnRj%2f4AZEXU0hYV6K0qy017o3R68lvyW%2bNz4wpfu%2fO21Ku3a8zDZ1IkvZKZeAv03i942cOaILAlc8HfIUqLCvlU%2by%2fQ6bHry2IbbqVlOZe3MP2caw52K11X4Nb9Y4uWT9Q1V4PXlyizm5U1vJiMmGxh8SeR0Lkp%2br8L3oGZGVQqtRPSQaaaX0zWqHp9UKqmCE42QUDLZPMBalFbKM2","descargar bases")</f>
      </c>
    </row>
    <row r="71">
      <c r="A71" s="0" t="inlineStr">
        <is>
          <t xml:space="preserve">1305527-5-LP26</t>
        </is>
      </c>
      <c r="B71" s="4" t="inlineStr">
        <is>
          <t xml:space="preserve">Contratación de infraestructura Cloud</t>
        </is>
      </c>
      <c r="C71" s="0" t="inlineStr">
        <is>
          <t xml:space="preserve">Publicada</t>
        </is>
      </c>
      <c r="D71" s="0" t="inlineStr">
        <is>
          <t xml:space="preserve">SERVICIO LOCAL DE EDUCACIÓN PÚBLICA DEL PINO</t>
        </is>
      </c>
      <c r="E71" s="0" t="inlineStr">
        <is>
          <t xml:space="preserve">SLEP Del Pino 01</t>
        </is>
      </c>
      <c r="F71" s="0" t="inlineStr">
        <is>
          <t xml:space="preserve">Región Metropolitana de Santiago</t>
        </is>
      </c>
      <c r="G71" s="0" t="inlineStr">
        <is>
          <t xml:space="preserve">San Bernardo</t>
        </is>
      </c>
      <c r="H71" s="2">
        <v>46273.45728</v>
      </c>
      <c r="I71" s="2">
        <v>46293.625</v>
      </c>
      <c r="J71" s="0">
        <v>9</v>
      </c>
      <c r="K71" s="3">
        <v>75000000.0</v>
      </c>
      <c r="L71" s="0" t="inlineStr">
        <is>
          <t xml:space="preserve">CLP</t>
        </is>
      </c>
      <c r="M71" s="0" t="inlineStr">
        <is>
          <t xml:space="preserve">LP</t>
        </is>
      </c>
      <c r="N71" s="4" t="inlineStr">
        <is>
          <t xml:space="preserve">Servicios basados en ingeniería, ciencias sociales y tecnología de la información / Servicios informáticos / Servicios para internet</t>
        </is>
      </c>
      <c r="O71" s="4" t="inlineStr">
        <is>
          <t xml:space="preserve">1 Unidad · Web Hosting</t>
        </is>
      </c>
      <c r="P71" s="2"/>
      <c r="Q71" s="2"/>
      <c r="R71" s="0" t="inlineStr">
        <is>
          <t xml:space="preserve">36 meses</t>
        </is>
      </c>
      <c r="S71" s="0" t="inlineStr">
        <is>
          <t xml:space="preserve">No</t>
        </is>
      </c>
      <c r="T71" s="4" t="inlineStr">
        <is>
          <t xml:space="preserve">Ver Resolución Exenta N°1988 de 2026.</t>
        </is>
      </c>
      <c r="U71" s="0" t="inlineStr">
        <is>
          <t xml:space="preserve">Cristóbal Illanes</t>
        </is>
      </c>
      <c r="V71" s="4" t="inlineStr">
        <is>
          <t xml:space="preserve">El Servicio Local de Educación Pública de Del Pino requiere realizar una Licitación Pública para la Contratación de Servicios de Infraestructura Cloud, con la finalidad de disponer de una plataforma tecnológica que permita alojar y soportar la operación de los sistemas y servicios institucionales, asegurando su disponibilidad, continuidad operativa y seguridad.</t>
        </is>
      </c>
      <c r="W71" s="5" t="str">
        <f>HYPERLINK("https://www.mercadopublico.cl/Procurement/Modules/Attachment/ViewAttachment.aspx?enc=iOYPB174bxX%2fA3GUftDBkk%2fnfdrlq7CpvJIVEElWLQlNv3LAqLKeRKn6aO2%2fS6In63HJOSLNP9QE1h9%2fzmVxnYtLP3w8wmVW1o3hxA5DK3C56ShXWYUDM%2faVRaOZi4EXnu3tk0pOZaBC6hkrGh3VV%2b5CSceklF45NW3DNppFNiD9wA%2fZYC29hCqmZTSO0pTkoqdHxBODh5z9MgjRFOtB6Ton%2fVB9NcKhasZGQsE6OQSQtdKSIBjMyYotlE1A8H7v8R%2fsK4qusp0ZFVPwGFfz8Be4Hel%2fR%2fIhL01nhebMAeMU6jz9lt470XbmYf9Fb6Fk","descargar bases")</f>
      </c>
    </row>
    <row r="72">
      <c r="A72" s="0" t="inlineStr">
        <is>
          <t xml:space="preserve">2176-44-LE26</t>
        </is>
      </c>
      <c r="B72" s="4" t="inlineStr">
        <is>
          <t xml:space="preserve">OBRA REP. DE TABLEROS ELECTRICOS CAPJ ZONAL VALPO</t>
        </is>
      </c>
      <c r="C72" s="0" t="inlineStr">
        <is>
          <t xml:space="preserve">Publicada</t>
        </is>
      </c>
      <c r="D72" s="0" t="inlineStr">
        <is>
          <t xml:space="preserve">CORP ADMINISTRATIVA DEL PODER JUDICIAL</t>
        </is>
      </c>
      <c r="E72" s="0" t="inlineStr">
        <is>
          <t xml:space="preserve">Corp. Adm. del Poder Judicial -  Valparaiso</t>
        </is>
      </c>
      <c r="F72" s="0" t="inlineStr">
        <is>
          <t xml:space="preserve">Región de Valparaíso </t>
        </is>
      </c>
      <c r="G72" s="0" t="inlineStr">
        <is>
          <t xml:space="preserve">Valparaíso</t>
        </is>
      </c>
      <c r="H72" s="2">
        <v>46274.714155</v>
      </c>
      <c r="I72" s="2">
        <v>46293.625</v>
      </c>
      <c r="J72" s="0">
        <v>9</v>
      </c>
      <c r="K72" s="3"/>
      <c r="L72" s="0" t="inlineStr">
        <is>
          <t xml:space="preserve">CLP</t>
        </is>
      </c>
      <c r="M72" s="0" t="inlineStr">
        <is>
          <t xml:space="preserve">LE</t>
        </is>
      </c>
      <c r="N72" s="4" t="inlineStr">
        <is>
          <t xml:space="preserve">Servicios de construcción y mantenimiento / Servicios de atención, mantenimiento y reparaciones de edificios / Servicios eléctricos</t>
        </is>
      </c>
      <c r="O72" s="4" t="inlineStr">
        <is>
          <t xml:space="preserve">1 Global · Instalación o servicio de sistemas de energía eléctrica</t>
        </is>
      </c>
      <c r="P72" s="2"/>
      <c r="Q72" s="2"/>
      <c r="R72" s="0"/>
      <c r="S72" s="0" t="inlineStr">
        <is>
          <t xml:space="preserve">No</t>
        </is>
      </c>
      <c r="T72" s="4"/>
      <c r="U72" s="0" t="inlineStr">
        <is>
          <t xml:space="preserve">VICTOR VILLARROEL CORRALES</t>
        </is>
      </c>
      <c r="V72" s="4" t="inlineStr">
        <is>
          <t xml:space="preserve">OBRA DE REPARACION DE TABLEROS ELECTRICOS EN 10 EDIFICIOS CAPJ ZONAL VALPARAISO.</t>
        </is>
      </c>
      <c r="W72" s="5" t="str">
        <f>HYPERLINK("https://www.mercadopublico.cl/Procurement/Modules/Attachment/ViewAttachment.aspx?enc=obY06vQWXSPZJ4BEgvbcH7RYlsdhRheOaD2M0MWZnx73tjeZeqsQr53Y0I%2b%2bojS7YbafoUyxtgd%2f8tJT9guPO6O3aDNePQqyhYkqrWmyKdahm%2fghQpSFvDuamvFBeYWR6lrYvJvouiyF3FUJ3o1p9p6ferPo%2fjE%2bYbh6mV8anhod4EjWbDy57pG80Fdm8GUf12KOTM7xY2DL2sl2GWZQTGSj0C9Mdh6uIgcnghHTZVVlCP214eygXt95gi%2fyk5JIO1CLfa1K4isPHwZOa0ifCKEJD%2fC7xonaOPMU2VkA7XMtr91TlrqVE3%2fE6G%2bevgVB","descargar bases")</f>
      </c>
    </row>
    <row r="73">
      <c r="A73" s="0" t="inlineStr">
        <is>
          <t xml:space="preserve">594965-27-LE26</t>
        </is>
      </c>
      <c r="B73" s="4" t="inlineStr">
        <is>
          <t xml:space="preserve">INSUMOS INFORMÁTICOS PARA REGION DE OHIGGINS</t>
        </is>
      </c>
      <c r="C73" s="0" t="inlineStr">
        <is>
          <t xml:space="preserve">Publicada</t>
        </is>
      </c>
      <c r="D73" s="0" t="inlineStr">
        <is>
          <t xml:space="preserve">FUNDACION EDUCACIONAL PARA EL DESAROLLO INTEGRAL DE LA NIÑEZ</t>
        </is>
      </c>
      <c r="E73" s="0" t="inlineStr">
        <is>
          <t xml:space="preserve">Regional Lib Bdo Ohiggins</t>
        </is>
      </c>
      <c r="F73" s="0" t="inlineStr">
        <is>
          <t xml:space="preserve">Región del Libertador General Bernardo O´Higgins</t>
        </is>
      </c>
      <c r="G73" s="0" t="inlineStr">
        <is>
          <t xml:space="preserve">Rancagua</t>
        </is>
      </c>
      <c r="H73" s="2">
        <v>46273.709907</v>
      </c>
      <c r="I73" s="2">
        <v>46293.625</v>
      </c>
      <c r="J73" s="0">
        <v>9</v>
      </c>
      <c r="K73" s="3">
        <v>37984000.0</v>
      </c>
      <c r="L73" s="0" t="inlineStr">
        <is>
          <t xml:space="preserve">CLP</t>
        </is>
      </c>
      <c r="M73" s="0" t="inlineStr">
        <is>
          <t xml:space="preserve">LE</t>
        </is>
      </c>
      <c r="N73" s="4" t="inlineStr">
        <is>
          <t xml:space="preserve">Equipos, accesorios y suministros de oficina / Maquinarias, suministros y accesorios de oficina / Suministros para impresora, fax y fotocopiadora</t>
        </is>
      </c>
      <c r="O73" s="4" t="inlineStr">
        <is>
          <t xml:space="preserve">124 Unidad · Tóner · 139 Unidad · Tóner · 57 Unidad · Tóner · y 36 más</t>
        </is>
      </c>
      <c r="P73" s="2"/>
      <c r="Q73" s="2"/>
      <c r="R73" s="0"/>
      <c r="S73" s="0" t="inlineStr">
        <is>
          <t xml:space="preserve">No</t>
        </is>
      </c>
      <c r="T73" s="4" t="inlineStr">
        <is>
          <t xml:space="preserve">SEGUN RESOLUCION ADMINISTRATIVA NUMERAL 9.2</t>
        </is>
      </c>
      <c r="U73" s="0" t="inlineStr">
        <is>
          <t xml:space="preserve">MARIO ORTIZ ESPINOZA</t>
        </is>
      </c>
      <c r="V73" s="4" t="inlineStr">
        <is>
          <t xml:space="preserve">Fundación Integra requiere la adquisición de insumos informáticos para oficina regional y jardines infantiles de Fundación Integra en la región de O’Higgins, de conformidad a lo señalado en las presentes bases administrativas y a las especificaciones indicadas en las bases técnicas respectivas.</t>
        </is>
      </c>
      <c r="W73" s="5" t="str">
        <f>HYPERLINK("https://www.mercadopublico.cl/Procurement/Modules/Attachment/ViewAttachment.aspx?enc=QX%2b0%2fLj%2bvG5w5KOLWrmmHB6u9UJz3fGmRS4hbKHgoO6qlZPNVE5m7gLMrm8C4RlCgAD8rsq54tFTF2%2fqwBUGbAEEyeE3vVdSi5Yw0%2f9JR6oRSu2dmH2wxu1uIQnnLYfFHbFsnmC1f7MFFpC6EvofbVRV6fspNYrDOm%2bvtHuNHqgIzhXlPV9RqPcFqYxCE2UM4TfuSbQ2pOrxRykgDh3BOtscFqZn%2bfWOZrZyciw%2bY6kg1cT3lvWlQVt7Rd%2f8dcscgD15J8SCRLTutOGs%2bri%2bypQ1R72upw6z0Drop34ivtmAI73vSGnKdX8sbCnAlgHt","descargar bases")</f>
      </c>
    </row>
    <row r="74">
      <c r="A74" s="0" t="inlineStr">
        <is>
          <t xml:space="preserve">1375761-52-LE26</t>
        </is>
      </c>
      <c r="B74" s="4" t="inlineStr">
        <is>
          <t xml:space="preserve">LICENCIAS DE SOFTWARE PARA EL SLEP VALLE DIGUILLIN</t>
        </is>
      </c>
      <c r="C74" s="0" t="inlineStr">
        <is>
          <t xml:space="preserve">Publicada</t>
        </is>
      </c>
      <c r="D74" s="0" t="inlineStr">
        <is>
          <t xml:space="preserve">SERVICIO LOCAL DE EDUCACIÓN PÚBLICA VALLE DIGUILLÍN</t>
        </is>
      </c>
      <c r="E74" s="0" t="inlineStr">
        <is>
          <t xml:space="preserve">COMPRAS Y LICITACIONES</t>
        </is>
      </c>
      <c r="F74" s="0" t="inlineStr">
        <is>
          <t xml:space="preserve">Región del Ñuble</t>
        </is>
      </c>
      <c r="G74" s="0"/>
      <c r="H74" s="2">
        <v>46281.653553</v>
      </c>
      <c r="I74" s="2">
        <v>46293.625694</v>
      </c>
      <c r="J74" s="0">
        <v>9</v>
      </c>
      <c r="K74" s="3"/>
      <c r="L74" s="0" t="inlineStr">
        <is>
          <t xml:space="preserve">CLP</t>
        </is>
      </c>
      <c r="M74" s="0" t="inlineStr">
        <is>
          <t xml:space="preserve">LE</t>
        </is>
      </c>
      <c r="N74" s="4" t="inlineStr">
        <is>
          <t xml:space="preserve">Tecnologías de la información, telecomunicaciones y radiodifusión / Software / Software de gestión</t>
        </is>
      </c>
      <c r="O74" s="4" t="inlineStr">
        <is>
          <t xml:space="preserve">1 Unidad · Paquetes de software para oficinas · 1 Unidad · Paquetes de software para oficinas · 1 Unidad · Paquetes de software para oficinas · y 1 más</t>
        </is>
      </c>
      <c r="P74" s="2"/>
      <c r="Q74" s="2"/>
      <c r="R74" s="0"/>
      <c r="S74" s="0" t="inlineStr">
        <is>
          <t xml:space="preserve">No</t>
        </is>
      </c>
      <c r="T74" s="4"/>
      <c r="U74" s="0" t="inlineStr">
        <is>
          <t xml:space="preserve">SUBDIRECCIÓN DE PLANIFICACIÓN Y CONTROL DE GESTIÓN</t>
        </is>
      </c>
      <c r="V74" s="4" t="inlineStr">
        <is>
          <t xml:space="preserve">Dotar a los funcionarios del SLEP Valle Diguillín de herramientas tecnológicas modernas y estandarizadas que permitan asegurar la continuidad operativa, mejorar la gestión institucional, resguardar la información institucional y fortalecer el uso de datos en los procesos de planificación y toma de decisiones con un soporte oficial y gestión centralizada.</t>
        </is>
      </c>
      <c r="W74" s="5" t="str">
        <f>HYPERLINK("https://www.mercadopublico.cl/Procurement/Modules/Attachment/ViewAttachment.aspx?enc=lUzomoCU4e8T169d6FlV8lZ9SN8w7aWxL4PBoJYF7LWX%2bV0hK08IHoPUWCDjB1Kkv5s170fshJ5WomeGRkHrhqE%2bSEg4oe7goDNsnSHIG1HSJc7B0InyID1OLXdxbmzUbhTBlEDHt3sqLygv0Q8mCDlKwQMLUPBl%2bqSqnMFK%2bQwpGy%2bqJrN4pbB3iKjlKzzHw4TcqpSrsG0cc5SdfmL9zNvH%2baiWKRVYAHBoxmbf6LLpISy2RzQinFkEZduRC6jJFG1oHyd9UAZSsUYSGPQ2BnBcYyHXKmpIECkZ7ZvFXOoUr%2fWGjB%2fOr6o6GXgNfFK9","descargar bases")</f>
      </c>
    </row>
    <row r="75">
      <c r="A75" s="0" t="inlineStr">
        <is>
          <t xml:space="preserve">1978-81-LE26</t>
        </is>
      </c>
      <c r="B75" s="4" t="inlineStr">
        <is>
          <t xml:space="preserve">PLATAFORMA DE CAPACITACIÓN E-LEARNING CAPMAULE</t>
        </is>
      </c>
      <c r="C75" s="0" t="inlineStr">
        <is>
          <t xml:space="preserve">Publicada</t>
        </is>
      </c>
      <c r="D75" s="0" t="inlineStr">
        <is>
          <t xml:space="preserve">SERVICIO DE SALUD DEL MAULE</t>
        </is>
      </c>
      <c r="E75" s="0" t="inlineStr">
        <is>
          <t xml:space="preserve">Servicio de Salud del Maule</t>
        </is>
      </c>
      <c r="F75" s="0" t="inlineStr">
        <is>
          <t xml:space="preserve">Región del Maule </t>
        </is>
      </c>
      <c r="G75" s="0" t="inlineStr">
        <is>
          <t xml:space="preserve">Maule</t>
        </is>
      </c>
      <c r="H75" s="2">
        <v>46279.404873</v>
      </c>
      <c r="I75" s="2">
        <v>46293.625694</v>
      </c>
      <c r="J75" s="0">
        <v>9</v>
      </c>
      <c r="K75" s="3"/>
      <c r="L75" s="0" t="inlineStr">
        <is>
          <t xml:space="preserve">CLP</t>
        </is>
      </c>
      <c r="M75" s="0" t="inlineStr">
        <is>
          <t xml:space="preserve">LE</t>
        </is>
      </c>
      <c r="N75" s="4" t="inlineStr">
        <is>
          <t xml:space="preserve">Tecnologías de la información, telecomunicaciones y radiodifusión / Software / Software de aplicaciones de red</t>
        </is>
      </c>
      <c r="O75" s="4" t="inlineStr">
        <is>
          <t xml:space="preserve">1 Unidad · Software de servidor de aplicaciones</t>
        </is>
      </c>
      <c r="P75" s="2"/>
      <c r="Q75" s="2"/>
      <c r="R75" s="0" t="inlineStr">
        <is>
          <t xml:space="preserve">12 meses</t>
        </is>
      </c>
      <c r="S75" s="0" t="inlineStr">
        <is>
          <t xml:space="preserve">No</t>
        </is>
      </c>
      <c r="T75" s="4" t="inlineStr">
        <is>
          <t xml:space="preserve">De acuerdo a Artículo Nº29 de las Bases de Licitación.</t>
        </is>
      </c>
      <c r="U75" s="0" t="inlineStr">
        <is>
          <t xml:space="preserve">Marioly Gianini</t>
        </is>
      </c>
      <c r="V75" s="4" t="inlineStr">
        <is>
          <t xml:space="preserve">La presente licitación tiene por objeto la contratación de un servicio de plataforma de capacitación e-learning denominada “CAPMAULE”, destinada a los funcionarios de la Dirección del Servicio de Salud Maule, de los hospitales y establecimientos de Atención Primaria de Salud que integran su Red Asistencial, además de otros funcionarios de servicios públicos que sean invitados por dicha Dirección.
El servicio considera la implementación, configuración, alojamiento, administración, soporte y continuidad operativa de la plataforma, junto con la gestión de usuarios, cursos, evaluaciones y certificaciones, generación de reportes y el despliegue y virtualización de contenidos de capacitación, conforme a las Especificaciones Técnicas de la licitación.</t>
        </is>
      </c>
      <c r="W75" s="5" t="str">
        <f>HYPERLINK("https://www.mercadopublico.cl/Procurement/Modules/Attachment/ViewAttachment.aspx?enc=kh5OsQaQ%2byGqi8BMAyP767RvsB592607qboSSXPRHR6i%2bJLjJ%2bjsfRW5Eqf6NmNTtwQLl2dP2kK%2fsMvu%2bA3F800HSdj6pLWFeoUCWekwwInDaUTuVghSSwWm8ykbzbLVXTJ8RHnFlzyXeE0V8KwBzLzaulQbuVjwHSAGcMM%2br2O0niRZ%2fYi%2fXX%2b%2bDUg%2bnIopil9qMBEDrRTaTUdU0PXa4KiEbSBDxo7ujl%2faEJDpB3YjSwjZ5b2WSr%2fds7RAa4tn4kqP77SmKaWRUsHNYRWLGTsVsxk5tTyiwWnsRO4AST316lFwS3MMKOtHhS7Epn7C","descargar bases")</f>
      </c>
    </row>
    <row r="76">
      <c r="A76" s="0" t="inlineStr">
        <is>
          <t xml:space="preserve">1606-32-LE26</t>
        </is>
      </c>
      <c r="B76" s="4" t="inlineStr">
        <is>
          <t xml:space="preserve">CONTRATACIÓN SERVICIO DE DIAGRAMACIÓN DE PIEZAS GRÁFICAS Y WEB DEL PROYECTO “FORTALECIMIENTO DE LAS CAPACIDADES DE LATINOAMÉRICA Y EL CARIBE EN MATERIA DE CIBERSEGURIDAD” FINANCIADO POR LA UNIÓN EUROPEA.</t>
        </is>
      </c>
      <c r="C76" s="0" t="inlineStr">
        <is>
          <t xml:space="preserve">Publicada</t>
        </is>
      </c>
      <c r="D76" s="0" t="inlineStr">
        <is>
          <t xml:space="preserve">AGENCIA CHILENA DE COOPERACION INTERNACIONAL PARA EL DESARROLLO</t>
        </is>
      </c>
      <c r="E76" s="0" t="inlineStr">
        <is>
          <t xml:space="preserve">AGCID</t>
        </is>
      </c>
      <c r="F76" s="0" t="inlineStr">
        <is>
          <t xml:space="preserve">Región Metropolitana de Santiago</t>
        </is>
      </c>
      <c r="G76" s="0" t="inlineStr">
        <is>
          <t xml:space="preserve">Santiago</t>
        </is>
      </c>
      <c r="H76" s="2">
        <v>46282.406609</v>
      </c>
      <c r="I76" s="2">
        <v>46293.631944</v>
      </c>
      <c r="J76" s="0">
        <v>9</v>
      </c>
      <c r="K76" s="3"/>
      <c r="L76" s="0" t="inlineStr">
        <is>
          <t xml:space="preserve">EUR</t>
        </is>
      </c>
      <c r="M76" s="0" t="inlineStr">
        <is>
          <t xml:space="preserve">LE</t>
        </is>
      </c>
      <c r="N76" s="4" t="inlineStr">
        <is>
          <t xml:space="preserve">Servicios editoriales, de diseño, publicidad, gráficos y artistas / Servicios de impresión y reproducción / Impresión</t>
        </is>
      </c>
      <c r="O76" s="4" t="inlineStr">
        <is>
          <t xml:space="preserve">1 Unidad · Diagramación</t>
        </is>
      </c>
      <c r="P76" s="2"/>
      <c r="Q76" s="2"/>
      <c r="R76" s="0" t="inlineStr">
        <is>
          <t xml:space="preserve">7 meses</t>
        </is>
      </c>
      <c r="S76" s="0" t="inlineStr">
        <is>
          <t xml:space="preserve">No</t>
        </is>
      </c>
      <c r="T76" s="4" t="inlineStr">
        <is>
          <t xml:space="preserve">Según bases de licitación</t>
        </is>
      </c>
      <c r="U76" s="0" t="inlineStr">
        <is>
          <t xml:space="preserve">Paula Krautz</t>
        </is>
      </c>
      <c r="V76" s="4" t="inlineStr">
        <is>
          <t xml:space="preserve">Contratar un servicio especializado de diseño gráfico, diseño editorial y diagramación que permita desarrollar una línea gráfica para los productos del proyecto y aplicarla de manera consistente en sus documentos técnicos, materiales de difusión y componentes digitales, incluyendo el diseño visual del sitio web y los insumos gráficos necesarios para su posterior desarrollo técnico.</t>
        </is>
      </c>
      <c r="W76" s="5" t="str">
        <f>HYPERLINK("https://www.mercadopublico.cl/Procurement/Modules/Attachment/ViewAttachment.aspx?enc=t%2bNxD0aBhgWI0I3UwHbJ0kXHTQ2kmB4ob7rPgxlQisSV7ZzB9nU439D4epWxBnRDmSed8BkgarfEwzzC4x%2fuB4kPOiT%2f221vFBu7yz%2fU5uTr%2fY5iZzmIUsqvjlH%2fvvFhT3syERkHju4i9Usb9UjPE%2b1gFgx%2b9IS73zCMM8XUwXsC4kFT7FN%2fzAhxQVMT%2bkhE2tUEWSAD6RDFJziQW2Y9Pw%2bCyM1q7jqFRwafR50yzwGweM5ohN40d9Oy7z7g9PihohH9h9koUNBRm2%2fBu5NpafQVrjVpGuJ12lUfhA%2boN8TqzBrmVMMjMr1xLdyNtTaf","descargar bases")</f>
      </c>
    </row>
    <row r="77">
      <c r="A77" s="0" t="inlineStr">
        <is>
          <t xml:space="preserve">1607-13-LR26</t>
        </is>
      </c>
      <c r="B77" s="4" t="inlineStr">
        <is>
          <t xml:space="preserve">servicio SD-WAN LAN telefonía en la nube y enlaces</t>
        </is>
      </c>
      <c r="C77" s="0" t="inlineStr">
        <is>
          <t xml:space="preserve">Publicada</t>
        </is>
      </c>
      <c r="D77" s="0" t="inlineStr">
        <is>
          <t xml:space="preserve">SUPERINTENDENCIA DE SEGURIDAD SOCIAL</t>
        </is>
      </c>
      <c r="E77" s="0" t="inlineStr">
        <is>
          <t xml:space="preserve">Superintendencia de Seguridad Social</t>
        </is>
      </c>
      <c r="F77" s="0" t="inlineStr">
        <is>
          <t xml:space="preserve">Región Metropolitana de Santiago</t>
        </is>
      </c>
      <c r="G77" s="0" t="inlineStr">
        <is>
          <t xml:space="preserve">Santiago Centro</t>
        </is>
      </c>
      <c r="H77" s="2">
        <v>46262.635741</v>
      </c>
      <c r="I77" s="2">
        <v>46293.645833</v>
      </c>
      <c r="J77" s="0">
        <v>9</v>
      </c>
      <c r="K77" s="3">
        <v>450000000.0</v>
      </c>
      <c r="L77" s="0" t="inlineStr">
        <is>
          <t xml:space="preserve">CLP</t>
        </is>
      </c>
      <c r="M77" s="0" t="inlineStr">
        <is>
          <t xml:space="preserve">LR</t>
        </is>
      </c>
      <c r="N77" s="4" t="inlineStr">
        <is>
          <t xml:space="preserve">Servicios basados en ingeniería, ciencias sociales y tecnología de la información / Servicios informáticos / Sistemas de información</t>
        </is>
      </c>
      <c r="O77" s="4" t="inlineStr">
        <is>
          <t xml:space="preserve">1 Unidad · Diseño de redes de comunicación de cobertura amplia (WAN)</t>
        </is>
      </c>
      <c r="P77" s="2"/>
      <c r="Q77" s="2"/>
      <c r="R77" s="0"/>
      <c r="S77" s="0" t="inlineStr">
        <is>
          <t xml:space="preserve">No</t>
        </is>
      </c>
      <c r="T77" s="4" t="inlineStr">
        <is>
          <t xml:space="preserve">El oferente adjudicado no podrá ceder ni transferir en forma alguna, total ni parcialmente, los derechos y obligaciones que nacen del desarrollo de la presente licitación, y en especial los que se establecerán en el contrato definitivo.</t>
        </is>
      </c>
      <c r="U77" s="0" t="inlineStr">
        <is>
          <t xml:space="preserve">Henry Gonzalez</t>
        </is>
      </c>
      <c r="V77" s="4" t="inlineStr">
        <is>
          <t xml:space="preserve">contratar el servicio de SD-WAN, LAN, Telefonía en la Nube y Enlaces Internet, a objeto de optimizar la plataforma de comunicaciones institucional y con ello dar plena cobertura a los actuales requerimientos institucionales tanto a nivel central como respecto de las oficinas existentes en las distintas regiones del país.</t>
        </is>
      </c>
      <c r="W77" s="5" t="str">
        <f>HYPERLINK("https://www.mercadopublico.cl/Procurement/Modules/Attachment/ViewAttachment.aspx?enc=wTgSwmheMQszncgODAO%2fJqHUHZLuzaRkwueJAluBC1D4GzjLUk53RQTa5%2fOuiZVq98bn5chcHt%2bvjxuDf%2fVQfUPLYfKaULGmkSHZ2%2bIzdvCLyjZkZvZYVCGjCaJccZlgHtqbdhxNcHAF6Vkj8JxGyU%2bE%2bxksaTPUanwM4YSDDPr0yA9LEHjfKnPlEUOws%2fGyOoBjgOJpWkgnqTcMVwXcUaZQK4W1y4ZH2E3jvz%2bZyqBH9k2z0ffSBS%2f4MuFrnfmRpKyIv0AKuI0Qh1EI0IA1r%2b%2boKmnylkrPGZmhp5aw3lu%2fJDjoZjqtcMZrMvHvm9Ke","descargar bases")</f>
      </c>
    </row>
    <row r="78">
      <c r="A78" s="0" t="inlineStr">
        <is>
          <t xml:space="preserve">548874-79-LE26</t>
        </is>
      </c>
      <c r="B78" s="4" t="inlineStr">
        <is>
          <t xml:space="preserve">SERVICIO SOPORTE SOFTWARE INFORMIX PARA IPS</t>
        </is>
      </c>
      <c r="C78" s="0" t="inlineStr">
        <is>
          <t xml:space="preserve">Publicada</t>
        </is>
      </c>
      <c r="D78" s="0" t="inlineStr">
        <is>
          <t xml:space="preserve">INSTITUTO DE PREVISION SOCIAL</t>
        </is>
      </c>
      <c r="E78" s="0" t="inlineStr">
        <is>
          <t xml:space="preserve">IPS Oficina Central de Compras</t>
        </is>
      </c>
      <c r="F78" s="0" t="inlineStr">
        <is>
          <t xml:space="preserve">Región Metropolitana de Santiago</t>
        </is>
      </c>
      <c r="G78" s="0" t="inlineStr">
        <is>
          <t xml:space="preserve">Santiago</t>
        </is>
      </c>
      <c r="H78" s="2">
        <v>46274.702419</v>
      </c>
      <c r="I78" s="2">
        <v>46293.645833</v>
      </c>
      <c r="J78" s="0">
        <v>9</v>
      </c>
      <c r="K78" s="3">
        <v>60000000.0</v>
      </c>
      <c r="L78" s="0" t="inlineStr">
        <is>
          <t xml:space="preserve">CLP</t>
        </is>
      </c>
      <c r="M78" s="0" t="inlineStr">
        <is>
          <t xml:space="preserve">LE</t>
        </is>
      </c>
      <c r="N78" s="4" t="inlineStr">
        <is>
          <t xml:space="preserve">Tecnologías de la información, telecomunicaciones y radiodifusión / Software / Software de consultas y gestión de datos</t>
        </is>
      </c>
      <c r="O78" s="4" t="inlineStr">
        <is>
          <t xml:space="preserve">1 Global · Software del sistema de administración de bases de datos</t>
        </is>
      </c>
      <c r="P78" s="2"/>
      <c r="Q78" s="2"/>
      <c r="R78" s="0" t="inlineStr">
        <is>
          <t xml:space="preserve">12 meses</t>
        </is>
      </c>
      <c r="S78" s="0" t="inlineStr">
        <is>
          <t xml:space="preserve">No</t>
        </is>
      </c>
      <c r="T78" s="4" t="inlineStr">
        <is>
          <t xml:space="preserve">Ver bases administrativas punto 13.</t>
        </is>
      </c>
      <c r="U78" s="0" t="inlineStr">
        <is>
          <t xml:space="preserve">Por Definir</t>
        </is>
      </c>
      <c r="V78" s="4" t="inlineStr">
        <is>
          <t xml:space="preserve">SERVICIO DE SOPORTE DEL SOFTWARE INFORMIX PARA EL IPS  E1O2RT8.</t>
        </is>
      </c>
      <c r="W78" s="5" t="str">
        <f>HYPERLINK("https://www.mercadopublico.cl/Procurement/Modules/Attachment/ViewAttachment.aspx?enc=F9AQJEWfO4FO0nacMVELc1R%2bYiOG8iLsPL5YfLw776%2f%2fzlrXTOA3edLwN7DVXpCUPDThlnYPcfZheU7aEnHeePB67e7upQIsyjSuuaPe57KEbbyxxbSgdlvOvxgp4UUk4gCSMQMexHw6qEhcFj5q%2fmEh5St1uDFT19HqwS4UbTbebucE50vG7dr0khAj7hf8mlE2BAxQ9qOmmXbotJE6tADa7GclprFAdynldyHbNJwcYOEOlnb%2f8%2fVqPbkdfyPkyScs7qC%2fJpgR4GJQ2B1xKs0Q79C%2bsZRyaU6oqDfYa337VNIsKZVxh42qYyHpAy3f","descargar bases")</f>
      </c>
    </row>
    <row r="79">
      <c r="A79" s="0" t="inlineStr">
        <is>
          <t xml:space="preserve">948354-135-LP26</t>
        </is>
      </c>
      <c r="B79" s="4" t="inlineStr">
        <is>
          <t xml:space="preserve">CONTRATACIÓN DEL SERVICIO DE ARRIENDO DE UNA CABINA SANITARIA CON EQUIPO MAMÓGRAFO PARA USO DE MAMOGRAFÍA DIGITALIZADA PORTÁTIL PARA EL HOSPITAL DIPRECA</t>
        </is>
      </c>
      <c r="C79" s="0" t="inlineStr">
        <is>
          <t xml:space="preserve">Publicada</t>
        </is>
      </c>
      <c r="D79" s="0" t="inlineStr">
        <is>
          <t xml:space="preserve">FONDO HOSPITAL DE LA DIRECCION DE PREVISION DE CARABINEROS DE CHILE</t>
        </is>
      </c>
      <c r="E79" s="0" t="inlineStr">
        <is>
          <t xml:space="preserve">Unidad de Compra de Bienes y Servicios</t>
        </is>
      </c>
      <c r="F79" s="0" t="inlineStr">
        <is>
          <t xml:space="preserve">Región Metropolitana de Santiago</t>
        </is>
      </c>
      <c r="G79" s="0" t="inlineStr">
        <is>
          <t xml:space="preserve">Las Condes</t>
        </is>
      </c>
      <c r="H79" s="2">
        <v>46272.689421</v>
      </c>
      <c r="I79" s="2">
        <v>46293.666667</v>
      </c>
      <c r="J79" s="0">
        <v>9</v>
      </c>
      <c r="K79" s="3"/>
      <c r="L79" s="0" t="inlineStr">
        <is>
          <t xml:space="preserve">CLP</t>
        </is>
      </c>
      <c r="M79" s="0" t="inlineStr">
        <is>
          <t xml:space="preserve">LP</t>
        </is>
      </c>
      <c r="N79" s="4" t="inlineStr">
        <is>
          <t xml:space="preserve">Equipamiento y suministros médicos / Productos para imágenes y de medicina nuclear / Artículos radiográficos de diagnóstico médico</t>
        </is>
      </c>
      <c r="O79" s="4" t="inlineStr">
        <is>
          <t xml:space="preserve">12 Mes · Equipo para radiografías mamográficas</t>
        </is>
      </c>
      <c r="P79" s="2"/>
      <c r="Q79" s="2"/>
      <c r="R79" s="0" t="inlineStr">
        <is>
          <t xml:space="preserve">12 meses</t>
        </is>
      </c>
      <c r="S79" s="0" t="inlineStr">
        <is>
          <t xml:space="preserve">No</t>
        </is>
      </c>
      <c r="T79" s="4"/>
      <c r="U79" s="0" t="inlineStr">
        <is>
          <t xml:space="preserve">Dra. Constanza Damm Araneda</t>
        </is>
      </c>
      <c r="V79" s="4" t="inlineStr">
        <is>
          <t xml:space="preserve">El Hospital de la Dirección de Previsión de Carabineros de Chile, ubicado en Vital Apoquindo N°1.200, Comuna de Las Condes, Región Metropolitana, en adelante “EL HOSPITAL”, llama a licitación pública para la Contratación del Servicio de Arriendo de una Cabina Sanitaria con Equipo Mamógrafo para Uso de Mamografía Digitalizada Portátil, en adelante “EL SERVICIO”, para un período de 12 meses, esta contratación se ejecutará bajo la modalidad de Contrato de Suministro para el referido Centro Asistencial, cuyas características y requisitos técnicos constan en las Bases Administrativas y Técnicas de esta Licitación con sus respectivos anexos.</t>
        </is>
      </c>
      <c r="W79" s="5" t="str">
        <f>HYPERLINK("https://www.mercadopublico.cl/Procurement/Modules/Attachment/ViewAttachment.aspx?enc=PizkyRsEyLHQbR4bpkP53HNmo%2fTtu1%2btSenUTCoJTTxS7O3sMVkt7xQyhBtcv6RkiQF7vXZnVNyzWX%2bnbOmKaFRPFkG2jLdJU6JTfbibKweBaLDvtDHmRv3y5dfz%2bdhjmqQrGr7amkkGLUKArjPxiHSkS6k8djZ4lC3tTrLr0NkQxSz%2f28dNUhAvQSP83IS26aZVh2yonclCpBtpE%2fwo9fVuuN22ZMt1FTDbXkUARGcqGfkzfs01yjFLt3v50430tOEOb%2fSNbShiv03VAFhM9c70IknkqiKHk6a2lPfMj5wBvRxZnqCnKGY6BGhWfnYd","descargar bases")</f>
      </c>
    </row>
    <row r="80">
      <c r="A80" s="0" t="inlineStr">
        <is>
          <t xml:space="preserve">726931-1-LE26</t>
        </is>
      </c>
      <c r="B80" s="4" t="inlineStr">
        <is>
          <t xml:space="preserve">PLATAFORMA INTEGRAL ALUMNI Y EMPLEABILIDAD UTA</t>
        </is>
      </c>
      <c r="C80" s="0" t="inlineStr">
        <is>
          <t xml:space="preserve">Publicada</t>
        </is>
      </c>
      <c r="D80" s="0" t="inlineStr">
        <is>
          <t xml:space="preserve">UNIVERSIDAD DE TARAPACA</t>
        </is>
      </c>
      <c r="E80" s="0" t="inlineStr">
        <is>
          <t xml:space="preserve">Direccion General de  Vinculacion con el Medio</t>
        </is>
      </c>
      <c r="F80" s="0" t="inlineStr">
        <is>
          <t xml:space="preserve">Región de Arica y Parinacota</t>
        </is>
      </c>
      <c r="G80" s="0" t="inlineStr">
        <is>
          <t xml:space="preserve">Arica</t>
        </is>
      </c>
      <c r="H80" s="2">
        <v>46269.717674</v>
      </c>
      <c r="I80" s="2">
        <v>46293.666667</v>
      </c>
      <c r="J80" s="0">
        <v>9</v>
      </c>
      <c r="K80" s="3">
        <v>15000000.0</v>
      </c>
      <c r="L80" s="0" t="inlineStr">
        <is>
          <t xml:space="preserve">CLP</t>
        </is>
      </c>
      <c r="M80" s="0" t="inlineStr">
        <is>
          <t xml:space="preserve">LE</t>
        </is>
      </c>
      <c r="N80" s="4" t="inlineStr">
        <is>
          <t xml:space="preserve">Tecnologías de la información, telecomunicaciones y radiodifusión / Software / Programas de desarrollo</t>
        </is>
      </c>
      <c r="O80" s="4" t="inlineStr">
        <is>
          <t xml:space="preserve">1 Global · Software de desarrollo de plataforma Web</t>
        </is>
      </c>
      <c r="P80" s="2"/>
      <c r="Q80" s="2"/>
      <c r="R80" s="0"/>
      <c r="S80" s="0" t="inlineStr">
        <is>
          <t xml:space="preserve">No</t>
        </is>
      </c>
      <c r="T80" s="4" t="inlineStr">
        <is>
          <t xml:space="preserve">De acuerdo al Capítulo VIII Contrato de suministro y servicio, párrafo 4 Cesión y subcontratación, Artículo 128. Subcontratación del reglamento de Ley Nº 19.886 sobre compras públicas.</t>
        </is>
      </c>
      <c r="U80" s="0" t="inlineStr">
        <is>
          <t xml:space="preserve">Daniela González Erber</t>
        </is>
      </c>
      <c r="V80" s="4" t="inlineStr">
        <is>
          <t xml:space="preserve">La Universidad de Tarapacá solicita la adquisición de servicio de plataforma integral ALUMNI y empleabilidad por un periodo de 24 meses de duración, según especificaciones técnicas descritas en el Anexo N°1. Asociada a la SC N° 2026070283.</t>
        </is>
      </c>
      <c r="W80" s="5" t="str">
        <f>HYPERLINK("https://www.mercadopublico.cl/Procurement/Modules/Attachment/ViewAttachment.aspx?enc=z4zzwn4HqD7VLNVdcGhb%2bgdzQZ13GW%2bQLVGq4GmUSs2ZDqo9LPg8a0TknPHTpt57fTf9BM2rD7ORg8vsaAiGUNReVrzkKj1rWnMiIgq4fTT7MxhSi%2faw5y9Jyuos94oBBIIIZ6XsImLbfDvNY%2bqP3lfbTaw%2bj4gV5Oi2d%2bpeYtUmrYi2J6uLx3V6oG3fvSEzJNCTryqvTKuVGPE229BH0keak8Aq1tpYFxfiW%2f76cWL9oBsgWGoVKhTj5Molzsh2NLq3VhFeAJEdGMJt6NPgEGOJz4aA%2bUZYoCafIVKTuNDA7UVfKb96k7D8TFuEZu70","descargar bases")</f>
      </c>
    </row>
    <row r="81">
      <c r="A81" s="0" t="inlineStr">
        <is>
          <t xml:space="preserve">1375757-29-LE26</t>
        </is>
      </c>
      <c r="B81" s="4" t="inlineStr">
        <is>
          <t xml:space="preserve">SERVICIO DE RELOJ CONTROL Y SOFTWARE DE GESTIÓN</t>
        </is>
      </c>
      <c r="C81" s="0" t="inlineStr">
        <is>
          <t xml:space="preserve">Publicada</t>
        </is>
      </c>
      <c r="D81" s="0" t="inlineStr">
        <is>
          <t xml:space="preserve">SERVICIO LOCAL DE EDUCACIÓN PÚBLICA PUELCHE</t>
        </is>
      </c>
      <c r="E81" s="0" t="inlineStr">
        <is>
          <t xml:space="preserve">COMPRAS Y LICITACIONES</t>
        </is>
      </c>
      <c r="F81" s="0" t="inlineStr">
        <is>
          <t xml:space="preserve">Región del Biobío </t>
        </is>
      </c>
      <c r="G81" s="0" t="inlineStr">
        <is>
          <t xml:space="preserve">Santiago</t>
        </is>
      </c>
      <c r="H81" s="2">
        <v>46279.41978</v>
      </c>
      <c r="I81" s="2">
        <v>46293.708333</v>
      </c>
      <c r="J81" s="0">
        <v>9</v>
      </c>
      <c r="K81" s="3">
        <v>60000000.0</v>
      </c>
      <c r="L81" s="0" t="inlineStr">
        <is>
          <t xml:space="preserve">CLP</t>
        </is>
      </c>
      <c r="M81" s="0" t="inlineStr">
        <is>
          <t xml:space="preserve">LE</t>
        </is>
      </c>
      <c r="N81" s="4" t="inlineStr">
        <is>
          <t xml:space="preserve">Equipos, accesorios y suministros de oficina / Maquinarias, suministros y accesorios de oficina / Máquinas y accesorios para registro de hora y asistencia en la oficina</t>
        </is>
      </c>
      <c r="O81" s="4" t="inlineStr">
        <is>
          <t xml:space="preserve">1 Global · Reloj de control</t>
        </is>
      </c>
      <c r="P81" s="2"/>
      <c r="Q81" s="2"/>
      <c r="R81" s="0" t="inlineStr">
        <is>
          <t xml:space="preserve">36 meses</t>
        </is>
      </c>
      <c r="S81" s="0" t="inlineStr">
        <is>
          <t xml:space="preserve">No</t>
        </is>
      </c>
      <c r="T81" s="4"/>
      <c r="U81" s="0" t="inlineStr">
        <is>
          <t xml:space="preserve">DIEGO ALONSO CORTÉS RODRÍGUEZ</t>
        </is>
      </c>
      <c r="V81" s="4" t="inlineStr">
        <is>
          <t xml:space="preserve">SERVICIO DE RELOJ CONTROL Y SOFTWARE DE GESTIÓN DE ASISTENCIA PARA EL SLEP PUELCHE P01-P02</t>
        </is>
      </c>
      <c r="W81" s="5" t="str">
        <f>HYPERLINK("https://www.mercadopublico.cl/Procurement/Modules/Attachment/ViewAttachment.aspx?enc=DbqnFWVXlcnNidVl%2fShumw6YOCsH1ynfupdT5uouToByzI5wpgT8livIpWbyIuIcbrHkBiE1Bk%2b6v%2fO0RlYJXphuDfmMPT%2be5pA4Ejh8LbKnbGekbwFu0goNzKNxBJC9JlYu%2fK6fLkPe3iKNz%2f5SNtMZAdiy8INqqSqCyhhba6N2sjdvuC%2bFe5WJ2%2bcwB1Gm4TG3mt0egmGMObOEDElN2ukpIvyZXUF38mn%2f%2fOxog4TW2wjvlBkG00yfqXHMIVCM2El52QIQI4syesZuaGDGwFKtm3Ru3r%2bCGdt6uxIIWvowcjuAPY8mHGXal%2bd3m40F","descargar bases")</f>
      </c>
    </row>
    <row r="82">
      <c r="A82" s="0" t="inlineStr">
        <is>
          <t xml:space="preserve">3863-55-LE26</t>
        </is>
      </c>
      <c r="B82" s="4" t="inlineStr">
        <is>
          <t xml:space="preserve">ADQUISICIÓN DE LICENCIAS DE SOFTWARE POLITECNICO</t>
        </is>
      </c>
      <c r="C82" s="0" t="inlineStr">
        <is>
          <t xml:space="preserve">Publicada</t>
        </is>
      </c>
      <c r="D82" s="0" t="inlineStr">
        <is>
          <t xml:space="preserve">I MUNICIPALIDAD DE SANTA CRUZ</t>
        </is>
      </c>
      <c r="E82" s="0" t="inlineStr">
        <is>
          <t xml:space="preserve">Educacion Municipal</t>
        </is>
      </c>
      <c r="F82" s="0" t="inlineStr">
        <is>
          <t xml:space="preserve">Región del Libertador General Bernardo O´Higgins</t>
        </is>
      </c>
      <c r="G82" s="0" t="inlineStr">
        <is>
          <t xml:space="preserve">Santa Cruz</t>
        </is>
      </c>
      <c r="H82" s="2">
        <v>46276.579317</v>
      </c>
      <c r="I82" s="2">
        <v>46293.708333</v>
      </c>
      <c r="J82" s="0">
        <v>9</v>
      </c>
      <c r="K82" s="3">
        <v>20000000.0</v>
      </c>
      <c r="L82" s="0" t="inlineStr">
        <is>
          <t xml:space="preserve">CLP</t>
        </is>
      </c>
      <c r="M82" s="0" t="inlineStr">
        <is>
          <t xml:space="preserve">LE</t>
        </is>
      </c>
      <c r="N82" s="4" t="inlineStr">
        <is>
          <t xml:space="preserve">Tecnologías de la información, telecomunicaciones y radiodifusión / Software / Software de gestión</t>
        </is>
      </c>
      <c r="O82" s="4" t="inlineStr">
        <is>
          <t xml:space="preserve">1 Unidad no definida · Software de gestión de licencias · 1 Unidad no definida · Software de gestión de licencias · 1 Unidad no definida · Software de gestión de licencias</t>
        </is>
      </c>
      <c r="P82" s="2"/>
      <c r="Q82" s="2"/>
      <c r="R82" s="0"/>
      <c r="S82" s="0" t="inlineStr">
        <is>
          <t xml:space="preserve">No</t>
        </is>
      </c>
      <c r="T82" s="4"/>
      <c r="U82" s="0" t="inlineStr">
        <is>
          <t xml:space="preserve">Yamil Andrés Ethit Romero</t>
        </is>
      </c>
      <c r="V82" s="4" t="inlineStr">
        <is>
          <t xml:space="preserve">SEGÚN BASES ADMINISTRATIVAS</t>
        </is>
      </c>
      <c r="W82" s="5" t="str">
        <f>HYPERLINK("https://www.mercadopublico.cl/Procurement/Modules/Attachment/ViewAttachment.aspx?enc=d2LokpfJX16u1NpHBIWwNwmbPemjQJAnArhPZ4D3RCdAz0xc7tnhzTvCuvj2UbwhMgE1kyB9AxXwjzqHhUUa8eW3g2D%2fhCE4WtD6J4B591j3blXWsfKuRNsZ289jKRnga%2b%2bLi2fGjXuLW4c3bk1IUcArA35M89rgdvlJWQjD81dnFrwIfETmJFBqNMePfQgyOj8l%2bHmBltTJhYHS3XTFWJYq406CGI4AgzKqx6UjNLmnm%2bEti202GJu3t2bqMYoh7rinUweGj1dtAqz4pWUEEXORXwXcYtCh9K8R8sYIrFX41f%2bRTvXSHJJRqNeB9Ps5","descargar bases")</f>
      </c>
    </row>
    <row r="83">
      <c r="A83" s="0" t="inlineStr">
        <is>
          <t xml:space="preserve">1274285-45-LP26</t>
        </is>
      </c>
      <c r="B83" s="4" t="inlineStr">
        <is>
          <t xml:space="preserve">Software de gestión Droguería Comunal</t>
        </is>
      </c>
      <c r="C83" s="0" t="inlineStr">
        <is>
          <t xml:space="preserve">Publicada</t>
        </is>
      </c>
      <c r="D83" s="0" t="inlineStr">
        <is>
          <t xml:space="preserve">CORPORACION MUNICIPAL DE EDUCACION Y SALUD DE SAN BERNARDO</t>
        </is>
      </c>
      <c r="E83" s="0" t="inlineStr">
        <is>
          <t xml:space="preserve">SALUD</t>
        </is>
      </c>
      <c r="F83" s="0" t="inlineStr">
        <is>
          <t xml:space="preserve">Región Metropolitana de Santiago</t>
        </is>
      </c>
      <c r="G83" s="0"/>
      <c r="H83" s="2">
        <v>46265.493137</v>
      </c>
      <c r="I83" s="2">
        <v>46293.75</v>
      </c>
      <c r="J83" s="0">
        <v>9</v>
      </c>
      <c r="K83" s="3"/>
      <c r="L83" s="0" t="inlineStr">
        <is>
          <t xml:space="preserve">CLP</t>
        </is>
      </c>
      <c r="M83" s="0" t="inlineStr">
        <is>
          <t xml:space="preserve">LP</t>
        </is>
      </c>
      <c r="N83" s="4" t="inlineStr">
        <is>
          <t xml:space="preserve">Tecnologías de la información, telecomunicaciones y radiodifusión / Software / Software de gestión</t>
        </is>
      </c>
      <c r="O83" s="4" t="inlineStr">
        <is>
          <t xml:space="preserve">1 Unidad · Software de cadena de suministro y logística de planificación de requisitos de materiales</t>
        </is>
      </c>
      <c r="P83" s="2"/>
      <c r="Q83" s="2"/>
      <c r="R83" s="0" t="inlineStr">
        <is>
          <t xml:space="preserve">36 meses</t>
        </is>
      </c>
      <c r="S83" s="0" t="inlineStr">
        <is>
          <t xml:space="preserve">No</t>
        </is>
      </c>
      <c r="T83" s="4"/>
      <c r="U83" s="0" t="inlineStr">
        <is>
          <t xml:space="preserve">Erwin Rodriguez Basulto</t>
        </is>
      </c>
      <c r="V83" s="4" t="inlineStr">
        <is>
          <t xml:space="preserve">La Corporación Municipal de Educación y Salud de San Bernardo requiere contratar para la Droguería Comunal y Centros de Salud un Sistema Informático que permita controlar los procesos de bodega y la gestión de la Droguería y Centros de Salud donde se encuentran contempladas, entre otras, las siguientes áreas:
•Recepción
•Almacenamiento
•Despacho
•Inventario 
•Reportes de Gestión</t>
        </is>
      </c>
      <c r="W83" s="5" t="str">
        <f>HYPERLINK("https://www.mercadopublico.cl/Procurement/Modules/Attachment/ViewAttachment.aspx?enc=yA%2f%2fn8ADfR8f%2fVm0tLE7UVgnZsazXr%2bbIVFH6gcMWLdphI5nsa1LZrJGJgAsJpbkaCj5Udo2fhaTctgbBpvhXVbCz%2fA3b1%2b6TMLAzEEYseMjd3BS1LGOKdjhXumIEXohCHcXonproe%2fXvj13YjLllmwSwBnsWxnAbwyKB1HGikqjhmpOZwgt%2bPgayBZBfqFwCx%2ffuD1HnO%2bqGf3o1Lvn9lhepI7%2biWHuRSrqWAm7lVL2r2VLGc77AOc%2bXyBblP%2bwXWkTyWQzxk9%2bY0YrqfLA4Bf7T5JTe%2bN%2bOvwGw%2bOM5m92uvY%2bOY68Fmd7W3KIim1W","descargar bases")</f>
      </c>
    </row>
    <row r="84">
      <c r="A84" s="0" t="inlineStr">
        <is>
          <t xml:space="preserve">3666-12-LE26</t>
        </is>
      </c>
      <c r="B84" s="4" t="inlineStr">
        <is>
          <t xml:space="preserve">GESTION DOCUMENTAL Y DIGITAL MUNICIPALIDAD TILTIL</t>
        </is>
      </c>
      <c r="C84" s="0" t="inlineStr">
        <is>
          <t xml:space="preserve">Publicada</t>
        </is>
      </c>
      <c r="D84" s="0" t="inlineStr">
        <is>
          <t xml:space="preserve">I MUNICIPALIDAD DE TIL TIL</t>
        </is>
      </c>
      <c r="E84" s="0" t="inlineStr">
        <is>
          <t xml:space="preserve">Secretaria Comunal Planificacion</t>
        </is>
      </c>
      <c r="F84" s="0" t="inlineStr">
        <is>
          <t xml:space="preserve">Región Metropolitana de Santiago</t>
        </is>
      </c>
      <c r="G84" s="0" t="inlineStr">
        <is>
          <t xml:space="preserve">Til Til</t>
        </is>
      </c>
      <c r="H84" s="2">
        <v>46275.561458</v>
      </c>
      <c r="I84" s="2">
        <v>46294.5</v>
      </c>
      <c r="J84" s="0">
        <v>10</v>
      </c>
      <c r="K84" s="3">
        <v>58000000.0</v>
      </c>
      <c r="L84" s="0" t="inlineStr">
        <is>
          <t xml:space="preserve">CLP</t>
        </is>
      </c>
      <c r="M84" s="0" t="inlineStr">
        <is>
          <t xml:space="preserve">LE</t>
        </is>
      </c>
      <c r="N84" s="4" t="inlineStr">
        <is>
          <t xml:space="preserve">Tecnologías de la información, telecomunicaciones y radiodifusión / Software / Software de gestión de contenidos</t>
        </is>
      </c>
      <c r="O84" s="4" t="inlineStr">
        <is>
          <t xml:space="preserve">1 Unidad · Programas de gestión de documentos</t>
        </is>
      </c>
      <c r="P84" s="2"/>
      <c r="Q84" s="2"/>
      <c r="R84" s="0" t="inlineStr">
        <is>
          <t xml:space="preserve">24 meses</t>
        </is>
      </c>
      <c r="S84" s="0" t="inlineStr">
        <is>
          <t xml:space="preserve">No</t>
        </is>
      </c>
      <c r="T84" s="4"/>
      <c r="U84" s="0" t="inlineStr">
        <is>
          <t xml:space="preserve">Diego Caballero Tapia</t>
        </is>
      </c>
      <c r="V84" s="4" t="inlineStr">
        <is>
          <t xml:space="preserve">La presente Licitación tiene por objeto la contratación de una solución que comprenda al menos cinco 5 módulos funcionales interoperables: gestión de expedientes electrónicos, solicitudes ciudadanas, firma electrónica, agendamiento ciudadano y analítica de datos, todo bajo infraestructura de alta disponibilidad y cumplimiento normativo vigente.</t>
        </is>
      </c>
      <c r="W84" s="5" t="str">
        <f>HYPERLINK("https://www.mercadopublico.cl/Procurement/Modules/Attachment/ViewAttachment.aspx?enc=otXGz6nGsIu%2f9OMKyRZ9%2f%2bpXQBOTdpcvC2CDpS4SGvUZBRih3mbAeMx3oLw5AeT3fcbrPueu6mMP4IU%2fymEyx6NEMEKfRMSNWY76xkzmJjQIxne2aICH3kp2dF0TKdtFzRMH31JITrzNUPmFABxLyufWyGZtUE%2bfrwN0Z8Z0gayYU3%2bCxJdiahsQHXYfeOz6Rdr6lW68uI4oEmylTQ9ZZL92HbvhEel45M5mg9%2bQ%2fxCA%2f5J3S34PqUyVKoxaCfWso5ZvzvbICh5%2fritvHuHLPaZMMcFqT2b0YOh38iR21BQTZu2B%2bWz3Od5jkF1uQoIi","descargar bases")</f>
      </c>
    </row>
    <row r="85">
      <c r="A85" s="0" t="inlineStr">
        <is>
          <t xml:space="preserve">1020-38-LP26</t>
        </is>
      </c>
      <c r="B85" s="4" t="inlineStr">
        <is>
          <t xml:space="preserve">Adquisición de Plataforma Next Generation Firewall</t>
        </is>
      </c>
      <c r="C85" s="0" t="inlineStr">
        <is>
          <t xml:space="preserve">Publicada</t>
        </is>
      </c>
      <c r="D85" s="0" t="inlineStr">
        <is>
          <t xml:space="preserve">MINISTERIO DE OBRAS PUBLICAS DIREC CION GRAL DE OO PP DCYF</t>
        </is>
      </c>
      <c r="E85" s="0" t="inlineStr">
        <is>
          <t xml:space="preserve">MOP Subsecretaría </t>
        </is>
      </c>
      <c r="F85" s="0" t="inlineStr">
        <is>
          <t xml:space="preserve">Región Metropolitana de Santiago</t>
        </is>
      </c>
      <c r="G85" s="0"/>
      <c r="H85" s="2">
        <v>46252.442361</v>
      </c>
      <c r="I85" s="2">
        <v>46294.625</v>
      </c>
      <c r="J85" s="0">
        <v>10</v>
      </c>
      <c r="K85" s="3">
        <v>240000000.0</v>
      </c>
      <c r="L85" s="0" t="inlineStr">
        <is>
          <t xml:space="preserve">CLP</t>
        </is>
      </c>
      <c r="M85" s="0" t="inlineStr">
        <is>
          <t xml:space="preserve">LP</t>
        </is>
      </c>
      <c r="N85" s="4" t="inlineStr">
        <is>
          <t xml:space="preserve">Tecnologías de la información, telecomunicaciones y radiodifusión / Equipos, plataformas y accesorios de redes multimedia, voz y datos / Equipos de seguridad de red, Tecnologías de la información, telecomunicaciones y radiodifusión / Software / Software de administración de redes</t>
        </is>
      </c>
      <c r="O85" s="4" t="inlineStr">
        <is>
          <t xml:space="preserve">2 Unidad · Equipo de seguridad de red de firewall · 1 Unidad · Software de vigilancia de redes</t>
        </is>
      </c>
      <c r="P85" s="2"/>
      <c r="Q85" s="2"/>
      <c r="R85" s="0" t="inlineStr">
        <is>
          <t xml:space="preserve">16 meses</t>
        </is>
      </c>
      <c r="S85" s="0" t="inlineStr">
        <is>
          <t xml:space="preserve">No</t>
        </is>
      </c>
      <c r="T85" s="4" t="inlineStr">
        <is>
          <t xml:space="preserve">Conforme al punto 10.5 de las Bases Administrativas, el oferente adjudicado no podrá subcontratar los servicios derivados de la ejecución del Contrato</t>
        </is>
      </c>
      <c r="U85" s="0" t="inlineStr">
        <is>
          <t xml:space="preserve">Francisco Borques</t>
        </is>
      </c>
      <c r="V85" s="4" t="inlineStr">
        <is>
          <t xml:space="preserve">Se requiere adquirir una solución consistente en dos 2 Firewall de Seguridad en alta disponibilidad, con la capacidad de crear instancias virtuales de NGFW, que deben proveer funcionalidades de IPS, filtrado de URL, control de identidad, control de QoS, protección de malware y seguridad DNS. Lo anterior administrado a través de una sola consola, además de incluir soporte 7X24 por 1 año de misión critica. Esta solución debe incluir el proceso de migración de firewall de datacenter.</t>
        </is>
      </c>
      <c r="W85" s="5" t="str">
        <f>HYPERLINK("https://www.mercadopublico.cl/Procurement/Modules/Attachment/ViewAttachment.aspx?enc=ncIX5qn18VUm%2bNSNjYNTmt9B%2bU6CwrnJ%2bVoDukGxRihITiFkdkA8SfyPIuKUcMWcgFw00Q50N1OE1%2bdRsbGuK1jpquKZA5q2Mf4OzeJGYcqWGG4%2bakjNOgFzwezJVvT9an0rNq%2bxkTaeW7e9LX11kjA0%2fQvqiuBXHfjtZ71DQVVYDKjZrJz1m0Y%2bZv3tNhcIv5Gh%2fARvSEUvAUFpRzWERPH3xRXXeJnUFVfxUwGyRh2SHE7kUZuNdbp0xtMxkhzsx4TC8LVGvOptHQ52f8x6EOcu%2ftQZt4Q4vT4k7M9SYJfFFnPetew44nINCjzk07jn","descargar bases")</f>
      </c>
    </row>
    <row r="86">
      <c r="A86" s="0" t="inlineStr">
        <is>
          <t xml:space="preserve">1575-15-LE26</t>
        </is>
      </c>
      <c r="B86" s="4" t="inlineStr">
        <is>
          <t xml:space="preserve">MANTENCION DE EQUIPOS INFORMATICOS</t>
        </is>
      </c>
      <c r="C86" s="0" t="inlineStr">
        <is>
          <t xml:space="preserve">Publicada</t>
        </is>
      </c>
      <c r="D86" s="0" t="inlineStr">
        <is>
          <t xml:space="preserve">JUNTA NACIONAL DE JARDINES         INFANTILES</t>
        </is>
      </c>
      <c r="E86" s="0" t="inlineStr">
        <is>
          <t xml:space="preserve">Junji - VI Región</t>
        </is>
      </c>
      <c r="F86" s="0" t="inlineStr">
        <is>
          <t xml:space="preserve">Región del Libertador General Bernardo O´Higgins</t>
        </is>
      </c>
      <c r="G86" s="0" t="inlineStr">
        <is>
          <t xml:space="preserve">Rancagua</t>
        </is>
      </c>
      <c r="H86" s="2">
        <v>46282.520417</v>
      </c>
      <c r="I86" s="2">
        <v>46294.625</v>
      </c>
      <c r="J86" s="0">
        <v>10</v>
      </c>
      <c r="K86" s="3">
        <v>22000000.0</v>
      </c>
      <c r="L86" s="0" t="inlineStr">
        <is>
          <t xml:space="preserve">CLP</t>
        </is>
      </c>
      <c r="M86" s="0" t="inlineStr">
        <is>
          <t xml:space="preserve">LE</t>
        </is>
      </c>
      <c r="N86" s="4" t="inlineStr">
        <is>
          <t xml:space="preserve">Equipos, accesorios y suministros de oficina / Maquinarias, suministros y accesorios de oficina / Multicopistas, fotocopiadoras, fax y multifuncionales</t>
        </is>
      </c>
      <c r="O86" s="4" t="inlineStr">
        <is>
          <t xml:space="preserve">1 Unidad · Fotocopiadoras</t>
        </is>
      </c>
      <c r="P86" s="2"/>
      <c r="Q86" s="2"/>
      <c r="R86" s="0" t="inlineStr">
        <is>
          <t xml:space="preserve">24 meses</t>
        </is>
      </c>
      <c r="S86" s="0" t="inlineStr">
        <is>
          <t xml:space="preserve">No</t>
        </is>
      </c>
      <c r="T86" s="4"/>
      <c r="U86" s="0" t="inlineStr">
        <is>
          <t xml:space="preserve">MYRIAM POBLETE</t>
        </is>
      </c>
      <c r="V86" s="4" t="inlineStr">
        <is>
          <t xml:space="preserve">La Junta Nacional de Jardines Infantiles, en adelante (JUNJI), requiere la “CONTRATO DE SUMINISTRO DE MANTENCION Y REPARACION DE IMPRESORAS, ESCANERS, PLOTTERS, PROYECTORES PARA JARDINES INFANTILES Y OFICINAS PARA JUNJI DE LA REGIÓN DE O´HIGGINS”.</t>
        </is>
      </c>
      <c r="W86" s="5" t="str">
        <f>HYPERLINK("https://www.mercadopublico.cl/Procurement/Modules/Attachment/ViewAttachment.aspx?enc=wU4MDrgKqWaKDooFSdi3SvTmXasqYfZAqvBwNJ5sWSdexlALTsg6MrDjp7f36OnPeeLtEgfep6bZEIKK%2bqL%2bQkv2OT4B%2bmQ42nAR17TdAZVmqjNXzspzTsLbwBmOEIX%2fKKQwNtjaFTI5gNTvRvpBblLTC6Oh0yXEL%2fs65gV7Xz01tzlIv4z7WlTxe030P8z%2b9QuRRelzjsQXhQIgOTzqgU2f1aPsVH3rIyC9SHhfKc%2f9VWCPgQpC4f6A1DJ7F%2b5YhVmeSGZNGanyCuEZ46ZJs23jw95yOXP001sVIdZEkysj0jphdH%2beJEEWvQX2AKEz","descargar bases")</f>
      </c>
    </row>
    <row r="87">
      <c r="A87" s="0" t="inlineStr">
        <is>
          <t xml:space="preserve">3970-8-LE26</t>
        </is>
      </c>
      <c r="B87" s="4" t="inlineStr">
        <is>
          <t xml:space="preserve">01 SISTEMA DE EVIDENCIA DIGITAL Y ACCESORIOS OS9</t>
        </is>
      </c>
      <c r="C87" s="0" t="inlineStr">
        <is>
          <t xml:space="preserve">Publicada</t>
        </is>
      </c>
      <c r="D87" s="0" t="inlineStr">
        <is>
          <t xml:space="preserve">DIRECCION DE LOGISTICA DE CARABINEROS</t>
        </is>
      </c>
      <c r="E87" s="0" t="inlineStr">
        <is>
          <t xml:space="preserve">Depto.I.O.Crim.O.S.9</t>
        </is>
      </c>
      <c r="F87" s="0" t="inlineStr">
        <is>
          <t xml:space="preserve">Región Metropolitana de Santiago</t>
        </is>
      </c>
      <c r="G87" s="0" t="inlineStr">
        <is>
          <t xml:space="preserve">Ñuñoa</t>
        </is>
      </c>
      <c r="H87" s="2">
        <v>46272.691389</v>
      </c>
      <c r="I87" s="2">
        <v>46294.625</v>
      </c>
      <c r="J87" s="0">
        <v>10</v>
      </c>
      <c r="K87" s="3">
        <v>15111040.0</v>
      </c>
      <c r="L87" s="0" t="inlineStr">
        <is>
          <t xml:space="preserve">CLP</t>
        </is>
      </c>
      <c r="M87" s="0" t="inlineStr">
        <is>
          <t xml:space="preserve">LE</t>
        </is>
      </c>
      <c r="N87" s="4" t="inlineStr">
        <is>
          <t xml:space="preserve">Tecnologías de la información, telecomunicaciones y radiodifusión / Componentes para tecnología de la información, difusión o telecomunicaciones / Módulos, interfaces, procesadores y placas de sistema</t>
        </is>
      </c>
      <c r="O87" s="4" t="inlineStr">
        <is>
          <t xml:space="preserve">1 Unidad · Adaptadores de telefonía o hardware</t>
        </is>
      </c>
      <c r="P87" s="2"/>
      <c r="Q87" s="2"/>
      <c r="R87" s="0"/>
      <c r="S87" s="0" t="inlineStr">
        <is>
          <t xml:space="preserve">No</t>
        </is>
      </c>
      <c r="T87" s="4"/>
      <c r="U87" s="0" t="inlineStr">
        <is>
          <t xml:space="preserve">FERNANDO BOZO MARTINEZ</t>
        </is>
      </c>
      <c r="V87" s="4" t="inlineStr">
        <is>
          <t xml:space="preserve">SOFTWARE DE EXTRACCION DE INFORMACION DIVERSOS SISTEMAS DIGITALES CON SUS ACCESORIOS DE ADAPTADORES COMPLETOS</t>
        </is>
      </c>
      <c r="W87" s="5" t="str">
        <f>HYPERLINK("https://www.mercadopublico.cl/Procurement/Modules/Attachment/ViewAttachment.aspx?enc=nN%2bgbeGBHb%2bfYhHLvbDdiiMEzq2dzfxw3BLnf9UeXwOpQLZmdtxWCwcBrfC3ZFA3NgNL4Fcs1XI3EXMZn5qg2sZQTudMloMvao7tB727UtcCbmvmRPVJCxlXDm%2fZ%2fV%2fQ1JDjklR3sCW25N9wcjVfYYrAvZONxuR%2fIccnu5Zo2uuJfAVy3rHL6pXQ%2fDbfzC2iK8VNeyoldCaDq281ZCKOt7HPZSjkuYphF0RicrwhbKdhKFmmHK0j2vq8%2bRdszuhAjc9SmvPSS3tLUqYiWDBZISDrv1Fggo0zceaZPNl%2byWC6JTU1YcZQm5RQX0d9gliw","descargar bases")</f>
      </c>
    </row>
    <row r="88">
      <c r="A88" s="0" t="inlineStr">
        <is>
          <t xml:space="preserve">5394-22-LE26</t>
        </is>
      </c>
      <c r="B88" s="4" t="inlineStr">
        <is>
          <t xml:space="preserve">SERVICIO DE CONSULTORÍA DE CIBERSEGURIDAD UMAG</t>
        </is>
      </c>
      <c r="C88" s="0" t="inlineStr">
        <is>
          <t xml:space="preserve">Publicada</t>
        </is>
      </c>
      <c r="D88" s="0" t="inlineStr">
        <is>
          <t xml:space="preserve">UNIVERSIDAD DE MAGALLANES</t>
        </is>
      </c>
      <c r="E88" s="0" t="inlineStr">
        <is>
          <t xml:space="preserve">PROYECTOS CON TERCEROS (D/583)</t>
        </is>
      </c>
      <c r="F88" s="0" t="inlineStr">
        <is>
          <t xml:space="preserve">Región de Magallanes y de la Antártica</t>
        </is>
      </c>
      <c r="G88" s="0" t="inlineStr">
        <is>
          <t xml:space="preserve">Punta Arenas</t>
        </is>
      </c>
      <c r="H88" s="2">
        <v>46274.672569</v>
      </c>
      <c r="I88" s="2">
        <v>46294.625</v>
      </c>
      <c r="J88" s="0">
        <v>10</v>
      </c>
      <c r="K88" s="3">
        <v>20000000.0</v>
      </c>
      <c r="L88" s="0" t="inlineStr">
        <is>
          <t xml:space="preserve">CLP</t>
        </is>
      </c>
      <c r="M88" s="0" t="inlineStr">
        <is>
          <t xml:space="preserve">LE</t>
        </is>
      </c>
      <c r="N88" s="4" t="inlineStr">
        <is>
          <t xml:space="preserve">Servicios profesionales, administrativos y consultorías de gestión empresarial / Consultorías o asesorías en gestión empresarial / Servicios de consultoría en gestión de empresas</t>
        </is>
      </c>
      <c r="O88" s="4" t="inlineStr">
        <is>
          <t xml:space="preserve">1 Global · Asesorías Informáticas</t>
        </is>
      </c>
      <c r="P88" s="2"/>
      <c r="Q88" s="2"/>
      <c r="R88" s="0" t="inlineStr">
        <is>
          <t xml:space="preserve">12 semanas</t>
        </is>
      </c>
      <c r="S88" s="0" t="inlineStr">
        <is>
          <t xml:space="preserve">No</t>
        </is>
      </c>
      <c r="T88" s="4" t="inlineStr">
        <is>
          <t xml:space="preserve">9. SUBCONTRATACION
Por la naturaleza de los servicios, no se permite la subcontratación en la presente licitación.</t>
        </is>
      </c>
      <c r="U88" s="0" t="inlineStr">
        <is>
          <t xml:space="preserve">UNIDAD ABASTECIMIENTO</t>
        </is>
      </c>
      <c r="V88" s="4" t="inlineStr">
        <is>
          <t xml:space="preserve">La presente contratación de Servicios de Consultoría para la realización de un Diagnóstico del estado de Ciberseguridad Institucional, la cual se enmarca en la ejecución del Convenio de Desempeño Fortalecimiento de la Gestión Administrativa Institucional: Desarrollo de Capacidades Institucionales para una Gestión Orientada a la Calidad, Código MAG24992.</t>
        </is>
      </c>
      <c r="W88" s="5" t="str">
        <f>HYPERLINK("https://www.mercadopublico.cl/Procurement/Modules/Attachment/ViewAttachment.aspx?enc=z%2fpEvmEuspgV6wD0VH7PNbswhYuSbUcAFmu%2fKmZPgUO3%2fENbxzbNi0G0PvKWmt%2f4gV4vsR%2fSBvWxmtXQlvBrRFkK6m1%2fTCsGuvAFnTIX%2fZ7xYrPLGd1w4iWdA6cRQTMeAs%2fUeNYnHDm%2bCtJn9kwLS7q2OpBKbj8kxi5YMpb9d8FalfySVCimTKY07qoANRrag4BTiPS6ybLXHSFVmaVO7VFQcHcvN6oBeckl16Y29L1UeKgmzilwTdz%2fIDi%2fLQeuikHScwZx1XA01DdOHYmHO7Vmuc%2frY%2fkRsmIpSUiE5ECMYQ1FR076r4yM4cunO5vP","descargar bases")</f>
      </c>
    </row>
    <row r="89">
      <c r="A89" s="0" t="inlineStr">
        <is>
          <t xml:space="preserve">1447930-11-LP26</t>
        </is>
      </c>
      <c r="B89" s="4" t="inlineStr">
        <is>
          <t xml:space="preserve">SSP - Plataforma de virtualización On Premise</t>
        </is>
      </c>
      <c r="C89" s="0" t="inlineStr">
        <is>
          <t xml:space="preserve">Publicada</t>
        </is>
      </c>
      <c r="D89" s="0" t="inlineStr">
        <is>
          <t xml:space="preserve">SUBSECRETARIA DE SEGURIDAD PUBLICA</t>
        </is>
      </c>
      <c r="E89" s="0" t="inlineStr">
        <is>
          <t xml:space="preserve">SUBSECRETARIA DE SEGURIDAD PUBLICA</t>
        </is>
      </c>
      <c r="F89" s="0" t="inlineStr">
        <is>
          <t xml:space="preserve">Región Metropolitana de Santiago</t>
        </is>
      </c>
      <c r="G89" s="0" t="inlineStr">
        <is>
          <t xml:space="preserve">Santiago</t>
        </is>
      </c>
      <c r="H89" s="2">
        <v>46274.546748</v>
      </c>
      <c r="I89" s="2">
        <v>46294.708333</v>
      </c>
      <c r="J89" s="0">
        <v>10</v>
      </c>
      <c r="K89" s="3">
        <v>113050000.0</v>
      </c>
      <c r="L89" s="0" t="inlineStr">
        <is>
          <t xml:space="preserve">CLP</t>
        </is>
      </c>
      <c r="M89" s="0" t="inlineStr">
        <is>
          <t xml:space="preserve">LP</t>
        </is>
      </c>
      <c r="N89" s="4" t="inlineStr">
        <is>
          <t xml:space="preserve">Tecnologías de la información, telecomunicaciones y radiodifusión / Software / Software para trabajo en redes</t>
        </is>
      </c>
      <c r="O89" s="4" t="inlineStr">
        <is>
          <t xml:space="preserve">1 Unidad · Software de interconectividad de plataformas</t>
        </is>
      </c>
      <c r="P89" s="2"/>
      <c r="Q89" s="2"/>
      <c r="R89" s="0" t="inlineStr">
        <is>
          <t xml:space="preserve">120 días</t>
        </is>
      </c>
      <c r="S89" s="0" t="inlineStr">
        <is>
          <t xml:space="preserve">No</t>
        </is>
      </c>
      <c r="T89" s="4"/>
      <c r="U89" s="0" t="inlineStr">
        <is>
          <t xml:space="preserve">Mauricio Quitral</t>
        </is>
      </c>
      <c r="V89" s="4" t="inlineStr">
        <is>
          <t xml:space="preserve">La Subsecretaría de Seguridad Pública, llama a licitación pública, para la adquisición e implementación de equipamiento, software, puesta en marcha y paso a producción de una plataforma de virtualización on-premise para implementar en las dependencias del nivel central de la Subsecretaría de Seguridad Pública, ubicadas en Teatinos N°220, piso 6.</t>
        </is>
      </c>
      <c r="W89" s="5" t="str">
        <f>HYPERLINK("https://www.mercadopublico.cl/Procurement/Modules/Attachment/ViewAttachment.aspx?enc=92UCBRYkIukeOBzINc4EiJsa5%2fferBCODj8kFA%2bL0FuM3Q22CamWRS2tElpyoXh5wUsZLB2hIOvR6abqrraq6x92ysslBcVOeOgMLQXBkKv2DQV41safAjuPilHOlOZfy%2bpYDopm%2frBoR7F8WgdrdJ%2b1IzQ1TPPjPW5tFqV8Xqb0h%2b5JveTF1%2bJZLSmLR7z%2fQEiW2UnxAzKTwMgE3%2b%2bp5Vy63CGrSVMT5j71tzj194kG9Pg2e87B61B%2bks2u688S%2fQ1hY8aRHVPoXyOBuy0JuiATwHU5WeLWHMuKyqPlYrVtYc8XRwwrLrc7oeIf6Pte","descargar bases")</f>
      </c>
    </row>
    <row r="90">
      <c r="A90" s="0" t="inlineStr">
        <is>
          <t xml:space="preserve">2405-142-LE26</t>
        </is>
      </c>
      <c r="B90" s="4" t="inlineStr">
        <is>
          <t xml:space="preserve">ADQUISICIÓN DE SOFTWARE PARA RENDERIZADO 3D ANÁLISIS ESTRUCTURAL AVANZADO ANÁLISIS SÍSMICO AVANZADO E INFORMACIÓN GEOGRÁFICA</t>
        </is>
      </c>
      <c r="C90" s="0" t="inlineStr">
        <is>
          <t xml:space="preserve">Publicada</t>
        </is>
      </c>
      <c r="D90" s="0" t="inlineStr">
        <is>
          <t xml:space="preserve">I MUNICIPALIDAD DE IQUIQUE</t>
        </is>
      </c>
      <c r="E90" s="0" t="inlineStr">
        <is>
          <t xml:space="preserve">SECRETARIA COMUNAL DE PLANIFICACION</t>
        </is>
      </c>
      <c r="F90" s="0" t="inlineStr">
        <is>
          <t xml:space="preserve">Región de Tarapacá  </t>
        </is>
      </c>
      <c r="G90" s="0" t="inlineStr">
        <is>
          <t xml:space="preserve">Iquique</t>
        </is>
      </c>
      <c r="H90" s="2">
        <v>46279.391111</v>
      </c>
      <c r="I90" s="2">
        <v>46295.416667</v>
      </c>
      <c r="J90" s="0">
        <v>11</v>
      </c>
      <c r="K90" s="3">
        <v>27000000.0</v>
      </c>
      <c r="L90" s="0" t="inlineStr">
        <is>
          <t xml:space="preserve">CLP</t>
        </is>
      </c>
      <c r="M90" s="0" t="inlineStr">
        <is>
          <t xml:space="preserve">LE</t>
        </is>
      </c>
      <c r="N90" s="4" t="inlineStr">
        <is>
          <t xml:space="preserve">Tecnologías de la información, telecomunicaciones y radiodifusión / Software / Software de aplicaciones de red</t>
        </is>
      </c>
      <c r="O90" s="4" t="inlineStr">
        <is>
          <t xml:space="preserve">1 Global · Software de servidor de aplicaciones · 1 Global · Software de servidor de aplicaciones · 1 Global · Software de servidor de aplicaciones · y 1 más</t>
        </is>
      </c>
      <c r="P90" s="2"/>
      <c r="Q90" s="2"/>
      <c r="R90" s="0"/>
      <c r="S90" s="0" t="inlineStr">
        <is>
          <t xml:space="preserve">No</t>
        </is>
      </c>
      <c r="T90" s="4"/>
      <c r="U90" s="0" t="inlineStr">
        <is>
          <t xml:space="preserve">HERNAN FIGUEROA GARCIA</t>
        </is>
      </c>
      <c r="V90" s="4" t="inlineStr">
        <is>
          <t xml:space="preserve">ADQUISICIÓN DE SOFTWARE PARA RENDERIZADO 3D, ANÁLISIS ESTRUCTURAL AVANZADO, ANÁLISIS SÍSMICO AVANZADO E INFORMACIÓN GEOGRÁFICA</t>
        </is>
      </c>
      <c r="W90" s="5" t="str">
        <f>HYPERLINK("https://www.mercadopublico.cl/Procurement/Modules/Attachment/ViewAttachment.aspx?enc=HVVdbyJ44N8m3rSltb7shkuorLEjVsZp2mq0WT%2bv0y1FWrEsooVjwVfqkngsV8%2bXuYnKixzkT9vFmFr303TnRmwOuLrB9GErSoTu2N3LyLtFDDiGJYIB5M9J1EgnewUHYINfpUL9CCu3BullfXv23PZFmbN0Z%2fMaYEqfKjUPr2j6dfP5ymVWdl5vZZoVQACRX3o0bgNQDbAgKQmM2EgAqvPdYgaN3dkBXqjRJueT%2f1Kl6qFVes41H6Srx0ddebJE%2b47uMewRkTvR%2fgJgbe93MIbDLNpD7yiuCpK5z%2f1JL6kdGTFQ5hGr7zM2Z6yXAwGx","descargar bases")</f>
      </c>
    </row>
    <row r="91">
      <c r="A91" s="0" t="inlineStr">
        <is>
          <t xml:space="preserve">3269-10-LP26</t>
        </is>
      </c>
      <c r="B91" s="4" t="inlineStr">
        <is>
          <t xml:space="preserve">S.A. 68 SOPORTE Y MANTTO PLATAFORMA DATOS QUMULO</t>
        </is>
      </c>
      <c r="C91" s="0" t="inlineStr">
        <is>
          <t xml:space="preserve">Publicada</t>
        </is>
      </c>
      <c r="D91" s="0" t="inlineStr">
        <is>
          <t xml:space="preserve">FUERZA AEREA DE CHILE COMANDO LOGISTICO</t>
        </is>
      </c>
      <c r="E91" s="0" t="inlineStr">
        <is>
          <t xml:space="preserve">Servicio Aerofotogramétrico</t>
        </is>
      </c>
      <c r="F91" s="0" t="inlineStr">
        <is>
          <t xml:space="preserve">Región Metropolitana de Santiago</t>
        </is>
      </c>
      <c r="G91" s="0" t="inlineStr">
        <is>
          <t xml:space="preserve">Pudahuel</t>
        </is>
      </c>
      <c r="H91" s="2">
        <v>46275.512801</v>
      </c>
      <c r="I91" s="2">
        <v>46295.5</v>
      </c>
      <c r="J91" s="0">
        <v>11</v>
      </c>
      <c r="K91" s="3">
        <v>94099000.0</v>
      </c>
      <c r="L91" s="0" t="inlineStr">
        <is>
          <t xml:space="preserve">CLP</t>
        </is>
      </c>
      <c r="M91" s="0" t="inlineStr">
        <is>
          <t xml:space="preserve">LP</t>
        </is>
      </c>
      <c r="N91" s="4" t="inlineStr">
        <is>
          <t xml:space="preserve">Servicios basados en ingeniería, ciencias sociales y tecnología de la información / Servicios informáticos / Servicios de datos</t>
        </is>
      </c>
      <c r="O91" s="4" t="inlineStr">
        <is>
          <t xml:space="preserve">1 Unidad · Servicios de almacenamiento de datos</t>
        </is>
      </c>
      <c r="P91" s="2"/>
      <c r="Q91" s="2"/>
      <c r="R91" s="0"/>
      <c r="S91" s="0" t="inlineStr">
        <is>
          <t xml:space="preserve">No</t>
        </is>
      </c>
      <c r="T91" s="4" t="inlineStr">
        <is>
          <t xml:space="preserve">El SAF suscribirá acuerdo yo contrato de compra sólo con aquellos proveedores que sean titulares de sus giros y cuentas, por lo tanto, el proveedor no podrá ceder, transferir o traspasar la orden de compra girada a su Empresa, bajo ningún motivo.</t>
        </is>
      </c>
      <c r="U91" s="0" t="inlineStr">
        <is>
          <t xml:space="preserve">Giovanni Albornoz Pinto</t>
        </is>
      </c>
      <c r="V91" s="4" t="inlineStr">
        <is>
          <t xml:space="preserve">Contratación del servicio de soporte, mantención preventiva, correctiva para la plataforma de procesamiento y almacenamiento de datos Qumulo, hardware y software para el Servicio Aerofotogramétrico.</t>
        </is>
      </c>
      <c r="W91" s="5" t="str">
        <f>HYPERLINK("https://www.mercadopublico.cl/Procurement/Modules/Attachment/ViewAttachment.aspx?enc=TB21GBqewME6K0WvedXKgQ5qnAVDTUY2RVXk7wYrWKFUGlOZQhsdfvWP9Tuhup1jAdGzbef505184eWSKA5QOqP2ZDqNfT%2bEV2cRdnNbYR%2bFHl4q7pXNFHFZ3ia13xcRLHMkDfNo3%2f7mTtYcGDrfmx%2bkjkoaBA3jrYc6ixy0QUVQcQiM3paS749g%2ffE8m6DvZLv4n%2bX%2bLHrpMkpnfkqgBPg%2biXRMFKEdf68ouoAJRpSw%2fXksrwKtE%2fMymx8FoFdxX%2bV8UfFIyYhQMBTQlIeDS%2fT5OQziR%2fKrrTXYBJLXs7VMqB3djjH21Y4v%2bYEhTYNw","descargar bases")</f>
      </c>
    </row>
    <row r="92">
      <c r="A92" s="0" t="inlineStr">
        <is>
          <t xml:space="preserve">1057489-285-LP26</t>
        </is>
      </c>
      <c r="B92" s="4" t="inlineStr">
        <is>
          <t xml:space="preserve">Arriendo de Huelleros digitales y Pistola Escáner</t>
        </is>
      </c>
      <c r="C92" s="0" t="inlineStr">
        <is>
          <t xml:space="preserve">Publicada</t>
        </is>
      </c>
      <c r="D92" s="0" t="inlineStr">
        <is>
          <t xml:space="preserve">SERVICIO DE SALUD ORIENTE HOSPITAL DEL SALVADOR</t>
        </is>
      </c>
      <c r="E92" s="0" t="inlineStr">
        <is>
          <t xml:space="preserve">Bienes y Servicios</t>
        </is>
      </c>
      <c r="F92" s="0" t="inlineStr">
        <is>
          <t xml:space="preserve">Región Metropolitana de Santiago</t>
        </is>
      </c>
      <c r="G92" s="0" t="inlineStr">
        <is>
          <t xml:space="preserve">Providencia</t>
        </is>
      </c>
      <c r="H92" s="2">
        <v>46275.701123</v>
      </c>
      <c r="I92" s="2">
        <v>46295.625</v>
      </c>
      <c r="J92" s="0">
        <v>11</v>
      </c>
      <c r="K92" s="3">
        <v>160000000.0</v>
      </c>
      <c r="L92" s="0" t="inlineStr">
        <is>
          <t xml:space="preserve">CLP</t>
        </is>
      </c>
      <c r="M92" s="0" t="inlineStr">
        <is>
          <t xml:space="preserve">LP</t>
        </is>
      </c>
      <c r="N92" s="4" t="inlineStr">
        <is>
          <t xml:space="preserve">Tecnologías de la información, telecomunicaciones y radiodifusión / Equipos informáticos y accesorios / Dispositivos informáticos de entrada de datos</t>
        </is>
      </c>
      <c r="O92" s="4" t="inlineStr">
        <is>
          <t xml:space="preserve">1 Unidad · Equipo de lector de código de barras</t>
        </is>
      </c>
      <c r="P92" s="2"/>
      <c r="Q92" s="2"/>
      <c r="R92" s="0" t="inlineStr">
        <is>
          <t xml:space="preserve">36 meses</t>
        </is>
      </c>
      <c r="S92" s="0" t="inlineStr">
        <is>
          <t xml:space="preserve">No</t>
        </is>
      </c>
      <c r="T92" s="4"/>
      <c r="U92" s="0" t="inlineStr">
        <is>
          <t xml:space="preserve">CARLOS CONSTELA</t>
        </is>
      </c>
      <c r="V92" s="4" t="inlineStr">
        <is>
          <t xml:space="preserve">Que el Hospital del Salvador como centro de referencia nacional que integra la Red Asistencial Oriente, le corresponde asegurar la atención permanente y continua de los beneficiarios del Sistema Público de Salud de la jurisdicción y especialmente considerando que la atención directa a pacientes que acudan al Hospital del Salvador, es de aquellos servicios cuya característica principal es mantener la continuidad de la atención directa a las personas en salud, y el servicio de atención a los pacientes, por su propia naturaleza, no puede ser objeto de esperas o prórrogas, ya que se requiere de una atención inmediata, oportuna e integral, otorgada por especialistas calificados;
Que, esta modalidad de contratación es la única que permite al Hospital del Salvador dar efectivo cumplimiento al imperativo constitucional consagrado en el Artículo 19º, numeral 9 de la Carta Fundamental;
Que, Instituto Nacional del Geriatría, RUT N°61.608.403-8, a través del Ordinario N°183, de fecha 25 de marzo de 2025 mandata al Hospital del Salvador a realizar compra conjunta mediante licitación pública para la adquisición del “Servicio de Arriendo de Huelleros digitales y Pistola Escáner Lector Códig</t>
        </is>
      </c>
      <c r="W92" s="5" t="str">
        <f>HYPERLINK("https://www.mercadopublico.cl/Procurement/Modules/Attachment/ViewAttachment.aspx?enc=f%2fhmyHkLYw5knY%2fLThAG%2f2pGo1MzbQ6bNQmTtV8TZS4DnPV09mzWDOyQ7dCpLaq91U%2fs2dKKEm6%2b%2faAX9rAaH5CGYZUI4ziNNma6etqWte%2fYwxtGnaCbRG2dw%2fc9W5Qn71WAXZ7Pa6s63axUwNa6WRz9GnlPdRSlCaNxVwwxLWRQ%2fBwNRhERfRgCQjFFVfGr%2bH6VYeslcz5pVVL20F3MjH8Bc6DdLlRv7RhD9pVwNWkl3a7D5ndE7QdeF1x3F6lA3%2fMnF2yf8%2f6r2Swelxqj4DYFVJ9ASmaWgpBrjRiFnStrgwp1OdXUs1oKFnhRUPCw","descargar bases")</f>
      </c>
    </row>
    <row r="93">
      <c r="A93" s="0" t="inlineStr">
        <is>
          <t xml:space="preserve">548874-72-LR26</t>
        </is>
      </c>
      <c r="B93" s="4" t="inlineStr">
        <is>
          <t xml:space="preserve">SERV. DE ADMINISTRACION PLATAFORMAS TECNOLOGICAS</t>
        </is>
      </c>
      <c r="C93" s="0" t="inlineStr">
        <is>
          <t xml:space="preserve">Publicada</t>
        </is>
      </c>
      <c r="D93" s="0" t="inlineStr">
        <is>
          <t xml:space="preserve">INSTITUTO DE PREVISION SOCIAL</t>
        </is>
      </c>
      <c r="E93" s="0" t="inlineStr">
        <is>
          <t xml:space="preserve">IPS Oficina Central de Compras</t>
        </is>
      </c>
      <c r="F93" s="0" t="inlineStr">
        <is>
          <t xml:space="preserve">Región Metropolitana de Santiago</t>
        </is>
      </c>
      <c r="G93" s="0" t="inlineStr">
        <is>
          <t xml:space="preserve">Santiago</t>
        </is>
      </c>
      <c r="H93" s="2">
        <v>46258.545255</v>
      </c>
      <c r="I93" s="2">
        <v>46295.625</v>
      </c>
      <c r="J93" s="0">
        <v>11</v>
      </c>
      <c r="K93" s="3">
        <v>24000.0</v>
      </c>
      <c r="L93" s="0" t="inlineStr">
        <is>
          <t xml:space="preserve">CLF</t>
        </is>
      </c>
      <c r="M93" s="0" t="inlineStr">
        <is>
          <t xml:space="preserve">LR</t>
        </is>
      </c>
      <c r="N93" s="4" t="inlineStr">
        <is>
          <t xml:space="preserve">Tecnologías de la información, telecomunicaciones y radiodifusión / Software / Software de consultas y gestión de datos</t>
        </is>
      </c>
      <c r="O93" s="4" t="inlineStr">
        <is>
          <t xml:space="preserve">1 Global · Software del sistema de administración de bases de datos</t>
        </is>
      </c>
      <c r="P93" s="2"/>
      <c r="Q93" s="2"/>
      <c r="R93" s="0" t="inlineStr">
        <is>
          <t xml:space="preserve">12 meses</t>
        </is>
      </c>
      <c r="S93" s="0" t="inlineStr">
        <is>
          <t xml:space="preserve">No</t>
        </is>
      </c>
      <c r="T93" s="4" t="inlineStr">
        <is>
          <t xml:space="preserve">Ver bases administrativas punto 16.</t>
        </is>
      </c>
      <c r="U93" s="0" t="inlineStr">
        <is>
          <t xml:space="preserve">Por Definir</t>
        </is>
      </c>
      <c r="V93" s="4" t="inlineStr">
        <is>
          <t xml:space="preserve">SERVICIO DE ADMINISTRACION, GESTION, CONFIGURACION, RESPALDOS Y
MANTENCION DE LAS PLATAFORMAS TECNOLOGICAS DE IPS– E1O2RT8</t>
        </is>
      </c>
      <c r="W93" s="5" t="str">
        <f>HYPERLINK("https://www.mercadopublico.cl/Procurement/Modules/Attachment/ViewAttachment.aspx?enc=rP3%2fXcdpF9J6Cr64XPkJmLPVym4PKRJgQQUcKc%2fFvM3DNyMZmuteyjO9ikjVZF84cWI2XEtZ27yf%2fSrlekJh1HJBhqI4MCMuMqbdOHR6DyR8cMLx2s9%2bgwiIuPSmyHOl2%2fdNLHHO8AYg%2bbVztZevUTMbYdDX2PIYZ2%2bRDnmea7pHq%2frNi9vZ4nvECxiDkdziWxnmhBDYOlZDljOBTXyZijlCZtsoK%2fydiQqn%2bn1yodoTRVkE9NjzmgQPQzyi4TLL5dHyTSbHDZ8KA0TSnD7NbjAKxL%2fdx6fmaMmTVMktkMUzLigYvOjV7WrKRhTgQF%2br","descargar bases")</f>
      </c>
    </row>
    <row r="94">
      <c r="A94" s="0" t="inlineStr">
        <is>
          <t xml:space="preserve">5482-103-LP26</t>
        </is>
      </c>
      <c r="B94" s="4" t="inlineStr">
        <is>
          <t xml:space="preserve">PLATAFORMA DE GESTIÓN TERRITORIAL Y DE RENTAS</t>
        </is>
      </c>
      <c r="C94" s="0" t="inlineStr">
        <is>
          <t xml:space="preserve">Publicada</t>
        </is>
      </c>
      <c r="D94" s="0" t="inlineStr">
        <is>
          <t xml:space="preserve">I MUNICIPALIDAD DE NUNOA</t>
        </is>
      </c>
      <c r="E94" s="0" t="inlineStr">
        <is>
          <t xml:space="preserve">SECPLANUNOA</t>
        </is>
      </c>
      <c r="F94" s="0" t="inlineStr">
        <is>
          <t xml:space="preserve">Región Metropolitana de Santiago</t>
        </is>
      </c>
      <c r="G94" s="0" t="inlineStr">
        <is>
          <t xml:space="preserve">Ñuñoa</t>
        </is>
      </c>
      <c r="H94" s="2">
        <v>46275.765127</v>
      </c>
      <c r="I94" s="2">
        <v>46295.625694</v>
      </c>
      <c r="J94" s="0">
        <v>11</v>
      </c>
      <c r="K94" s="3"/>
      <c r="L94" s="0" t="inlineStr">
        <is>
          <t xml:space="preserve">CLF</t>
        </is>
      </c>
      <c r="M94" s="0" t="inlineStr">
        <is>
          <t xml:space="preserve">LP</t>
        </is>
      </c>
      <c r="N94" s="4" t="inlineStr">
        <is>
          <t xml:space="preserve">Tecnologías de la información, telecomunicaciones y radiodifusión / Software / Programas de desarrollo</t>
        </is>
      </c>
      <c r="O94" s="4" t="inlineStr">
        <is>
          <t xml:space="preserve">30 Mes · Software de desarrollo de plataforma Web</t>
        </is>
      </c>
      <c r="P94" s="2"/>
      <c r="Q94" s="2"/>
      <c r="R94" s="0" t="inlineStr">
        <is>
          <t xml:space="preserve">30 meses</t>
        </is>
      </c>
      <c r="S94" s="0" t="inlineStr">
        <is>
          <t xml:space="preserve">No</t>
        </is>
      </c>
      <c r="T94" s="4"/>
      <c r="U94" s="0" t="inlineStr">
        <is>
          <t xml:space="preserve">Katherinne Ayala</t>
        </is>
      </c>
      <c r="V94" s="4" t="inlineStr">
        <is>
          <t xml:space="preserve">La contratación comprende siete (7) módulos de negocio integrados sobre seis (6) capas transversales. El proveedor adjudicado será responsable del suministro, configuración,
parametrización, integración, capacitación y soporte de todos los módulos descritos en las bases técnicas.</t>
        </is>
      </c>
      <c r="W94" s="5" t="str">
        <f>HYPERLINK("https://www.mercadopublico.cl/Procurement/Modules/Attachment/ViewAttachment.aspx?enc=CBEB1mtRJCDT33jHLTqIgANt8YbgkV%2flzqicwg4hSOmPVoOIGIk6QVyLJZp9iuu3TfN%2f45Kg6JnEkVWoiwvF5PwbTyNR99EXzKRpEZuRFdDIltEzjXaZ%2bauAbTx8brv6zbGmUcCLmx5f8rU1m%2bZv6N5XUvt9lBpr6JD5rHVuRYP9E4GuY5pEqTP3JjHff0Z6qCjixEwTB3CLs67gU%2bKugGr4GvPRxjmqUS%2bChR8D5F%2bjn06I1umJMGK93DGTsfad%2beTFgPVMjNG3SlzirTHlWm%2ff%2b3YUkgDmH8i8X602O2kz70updAMLoHHDDBr%2f56fO","descargar bases")</f>
      </c>
    </row>
    <row r="95">
      <c r="A95" s="0" t="inlineStr">
        <is>
          <t xml:space="preserve">721703-40-LP26</t>
        </is>
      </c>
      <c r="B95" s="4" t="inlineStr">
        <is>
          <t xml:space="preserve">Diagramación ilustración y digitalización SNE y DIA 2027</t>
        </is>
      </c>
      <c r="C95" s="0" t="inlineStr">
        <is>
          <t xml:space="preserve">Publicada</t>
        </is>
      </c>
      <c r="D95" s="0" t="inlineStr">
        <is>
          <t xml:space="preserve">AGENCIA DE CALIDAD DE LA EDUCACION</t>
        </is>
      </c>
      <c r="E95" s="0" t="inlineStr">
        <is>
          <t xml:space="preserve">Nivel Central</t>
        </is>
      </c>
      <c r="F95" s="0" t="inlineStr">
        <is>
          <t xml:space="preserve">Región Metropolitana de Santiago</t>
        </is>
      </c>
      <c r="G95" s="0" t="inlineStr">
        <is>
          <t xml:space="preserve">Santiago</t>
        </is>
      </c>
      <c r="H95" s="2">
        <v>46274.6461</v>
      </c>
      <c r="I95" s="2">
        <v>46295.625694</v>
      </c>
      <c r="J95" s="0">
        <v>11</v>
      </c>
      <c r="K95" s="3">
        <v>130132269.0</v>
      </c>
      <c r="L95" s="0" t="inlineStr">
        <is>
          <t xml:space="preserve">CLP</t>
        </is>
      </c>
      <c r="M95" s="0" t="inlineStr">
        <is>
          <t xml:space="preserve">LP</t>
        </is>
      </c>
      <c r="N95" s="4" t="inlineStr">
        <is>
          <t xml:space="preserve">Servicios editoriales, de diseño, publicidad, gráficos y artistas / Servicios de impresión y reproducción / Impresión</t>
        </is>
      </c>
      <c r="O95" s="4" t="inlineStr">
        <is>
          <t xml:space="preserve">1 Global · Diagramación</t>
        </is>
      </c>
      <c r="P95" s="2"/>
      <c r="Q95" s="2"/>
      <c r="R95" s="0" t="inlineStr">
        <is>
          <t xml:space="preserve">15 meses</t>
        </is>
      </c>
      <c r="S95" s="0" t="inlineStr">
        <is>
          <t xml:space="preserve">No</t>
        </is>
      </c>
      <c r="T95" s="4" t="inlineStr">
        <is>
          <t xml:space="preserve">Conforme a lo establecido en el punto 9.7 de las bases administrativas.</t>
        </is>
      </c>
      <c r="U95" s="0" t="inlineStr">
        <is>
          <t xml:space="preserve">Paulina Videla</t>
        </is>
      </c>
      <c r="V95" s="4" t="inlineStr">
        <is>
          <t xml:space="preserve">La Agencia de Calidad de la Educación, en adelante la Agencia, es un servicio público, funcionalmente descentralizado, con consejo exclusivo, dotado de personalidad jurídica y patrimonio propio, que se relaciona con el Presidente de la República por medio del Ministerio de Educación.
Es la responsable de elaborar y aplicar pruebas que permitan conocer los logros de aprendizaje de los estudiantes</t>
        </is>
      </c>
      <c r="W95" s="5" t="str">
        <f>HYPERLINK("https://www.mercadopublico.cl/Procurement/Modules/Attachment/ViewAttachment.aspx?enc=P5KypxFmCaNsJPB2%2bvrjvXkJS9mh6If0L5%2b7Q66ZHxX6BDLoWfhvKoKL1SozTtHrdQcHeczxj0yWiEfvr3DL8Q1dR0KJfDnlEpZFl%2fO6iSlEIrbcp%2fLDr7pUPpp8uElSTUK0DdTVmolAdECvHOlv8tHiwZ%2byF76S3d2YSs08QTirE1NObamoa9k0Mn5oLvM8uYVRXxmufRSvCUqouz4VSse%2fR2nUlBRDrdQnIHBwcAwLwnA17aT9tGBVjXaDYXOdnJGBkubCF4AqiYRaJsnQ0Z9JZARmQSP25mLYrWyQ8WyPxfsO15XTYtrXxA6YHx%2fQ","descargar bases")</f>
      </c>
    </row>
    <row r="96">
      <c r="A96" s="0" t="inlineStr">
        <is>
          <t xml:space="preserve">5413-72-LP26</t>
        </is>
      </c>
      <c r="B96" s="4" t="inlineStr">
        <is>
          <t xml:space="preserve">Cámaras digitales y lentes de cámara. Proyecto RED</t>
        </is>
      </c>
      <c r="C96" s="0" t="inlineStr">
        <is>
          <t xml:space="preserve">Publicada</t>
        </is>
      </c>
      <c r="D96" s="0" t="inlineStr">
        <is>
          <t xml:space="preserve">UNIVERSIDAD DE LOS LAGOS</t>
        </is>
      </c>
      <c r="E96" s="0" t="inlineStr">
        <is>
          <t xml:space="preserve">CAMPUS OSORNO</t>
        </is>
      </c>
      <c r="F96" s="0" t="inlineStr">
        <is>
          <t xml:space="preserve">Región de los Lagos </t>
        </is>
      </c>
      <c r="G96" s="0"/>
      <c r="H96" s="2">
        <v>46272.748611</v>
      </c>
      <c r="I96" s="2">
        <v>46295.645833</v>
      </c>
      <c r="J96" s="0">
        <v>11</v>
      </c>
      <c r="K96" s="3">
        <v>98588644.0</v>
      </c>
      <c r="L96" s="0" t="inlineStr">
        <is>
          <t xml:space="preserve">CLP</t>
        </is>
      </c>
      <c r="M96" s="0" t="inlineStr">
        <is>
          <t xml:space="preserve">LP</t>
        </is>
      </c>
      <c r="N96" s="4" t="inlineStr">
        <is>
          <t xml:space="preserve">Equipos y suministros de imprenta, fotográficos y audiovisuales / Equipos de video, filmación o fotografía / Cámaras</t>
        </is>
      </c>
      <c r="O96" s="4" t="inlineStr">
        <is>
          <t xml:space="preserve">19 Unidad · Videocámaras portátiles · 19 Unidad · Videocámaras portátiles</t>
        </is>
      </c>
      <c r="P96" s="2"/>
      <c r="Q96" s="2"/>
      <c r="R96" s="0"/>
      <c r="S96" s="0" t="inlineStr">
        <is>
          <t xml:space="preserve">No</t>
        </is>
      </c>
      <c r="T96" s="4"/>
      <c r="U96" s="0" t="inlineStr">
        <is>
          <t xml:space="preserve">Claudia Millán Rute</t>
        </is>
      </c>
      <c r="V96" s="4" t="inlineStr">
        <is>
          <t xml:space="preserve">La adquisición de equipamiento audiovisual constituye una necesidad estratégica en el contexto actual, marcado por el aumento sostenido en el consumo de contenidos digitales y por la importancia que han adquirido las comunicaciones institucionales en múltiples plataformas. En este escenario, contar con herramientas técnicas adecuadas resulta esencial para desarrollar productos audiovisuales de calidad, pertinentes a los objetivos del proyecto y alineados con las necesidades del Sistema de Universidades Estatales.</t>
        </is>
      </c>
      <c r="W96" s="5" t="str">
        <f>HYPERLINK("https://www.mercadopublico.cl/Procurement/Modules/Attachment/ViewAttachment.aspx?enc=uJ5eEFFCfkVoPxDK7BBn35iL50QnoxNWy%2bozQj42erSxuFPInEpupyzPGdXeSQmrGBnJy7Z0%2fz6YvnnqNh90v8KYZPtseMZyvjuDuR3ckJeqWeB7dsqUesCzMDZ0%2ftwhdut6Wj8S1ukviotHQvwHbLgmGwUEmT%2fzLX%2fRcTOJ6wxLQ6Ku6KruND%2ftUQFRpo8XhS4a8TUb82u9u00W7RHQFjg0HSFTr4iZMIwDGzV0MnsU7IuYZVeDNYJzTN0f83Oi0M1YNUW%2fW22bQcCCdQoh%2fuHS4AeHnhVfHt5slOOv4J2zi%2bW7HcaTr6e9eW4CCMFP","descargar bases")</f>
      </c>
    </row>
    <row r="97">
      <c r="A97" s="0" t="inlineStr">
        <is>
          <t xml:space="preserve">609-28-LE26</t>
        </is>
      </c>
      <c r="B97" s="4" t="inlineStr">
        <is>
          <t xml:space="preserve">Adquisición de licencias prevención de datos</t>
        </is>
      </c>
      <c r="C97" s="0" t="inlineStr">
        <is>
          <t xml:space="preserve">Publicada</t>
        </is>
      </c>
      <c r="D97" s="0" t="inlineStr">
        <is>
          <t xml:space="preserve">INSTITUTO DE DESARROLLO AGROPECUARIO</t>
        </is>
      </c>
      <c r="E97" s="0" t="inlineStr">
        <is>
          <t xml:space="preserve">Instituto de Desarrollo Agropecuario - INDAP</t>
        </is>
      </c>
      <c r="F97" s="0" t="inlineStr">
        <is>
          <t xml:space="preserve">Región Metropolitana de Santiago</t>
        </is>
      </c>
      <c r="G97" s="0" t="inlineStr">
        <is>
          <t xml:space="preserve">Santiago</t>
        </is>
      </c>
      <c r="H97" s="2">
        <v>46280.638287</v>
      </c>
      <c r="I97" s="2">
        <v>46295.645833</v>
      </c>
      <c r="J97" s="0">
        <v>11</v>
      </c>
      <c r="K97" s="3"/>
      <c r="L97" s="0" t="inlineStr">
        <is>
          <t xml:space="preserve">CLP</t>
        </is>
      </c>
      <c r="M97" s="0" t="inlineStr">
        <is>
          <t xml:space="preserve">LE</t>
        </is>
      </c>
      <c r="N97" s="4" t="inlineStr">
        <is>
          <t xml:space="preserve">Tecnologías de la información, telecomunicaciones y radiodifusión / Software / Software de gestión</t>
        </is>
      </c>
      <c r="O97" s="4" t="inlineStr">
        <is>
          <t xml:space="preserve">1 Unidad · Software de gestión de licencias</t>
        </is>
      </c>
      <c r="P97" s="2"/>
      <c r="Q97" s="2"/>
      <c r="R97" s="0" t="inlineStr">
        <is>
          <t xml:space="preserve">12 meses</t>
        </is>
      </c>
      <c r="S97" s="0" t="inlineStr">
        <is>
          <t xml:space="preserve">No</t>
        </is>
      </c>
      <c r="T97" s="4" t="inlineStr">
        <is>
          <t xml:space="preserve">Remítase a Resolución Exenta adjunta.</t>
        </is>
      </c>
      <c r="U97" s="0" t="inlineStr">
        <is>
          <t xml:space="preserve">Mauricio Beltran</t>
        </is>
      </c>
      <c r="V97" s="4" t="inlineStr">
        <is>
          <t xml:space="preserve">Se requiere la contratación de un oferente del ramo, que provea la adquisición de licencias para la autentificación de doble factor y prevención de pérdida de datos.</t>
        </is>
      </c>
      <c r="W97" s="5" t="str">
        <f>HYPERLINK("https://www.mercadopublico.cl/Procurement/Modules/Attachment/ViewAttachment.aspx?enc=VyrAC2HE2985uaIezQinifRyUfZ2sX9In%2bmz2ce32%2fgdFU1uSN0FDtKl68y%2fzJJeKuesV1gXomUuBDsJ3zvXVmuFXtLmIqaF9RgH1b7zWcc2%2fnvgDFWlqrVfZ%2fLhWskSCo%2bIkfanjRYqfa%2fIA47AXef88Bb6d7W1Is6eI7LGT7dyPq0NCJEM1N2DB0VxL4GEwpaFODghrHGKYIvWiGHqovvkvqvTCQqNwkwUlWqHKhVIGf%2bJgWWuC27bQWJxxUUw6%2b8P19or6uyFHA%2bCMxEKHNv1Mq7Ic%2f%2bsKYB%2bHKKwXwMIRY76s1529fspvN3Ebxke","descargar bases")</f>
      </c>
    </row>
    <row r="98">
      <c r="A98" s="0" t="inlineStr">
        <is>
          <t xml:space="preserve">591-26-LP26</t>
        </is>
      </c>
      <c r="B98" s="4" t="inlineStr">
        <is>
          <t xml:space="preserve">PLATAFORMA DE OBSERVABILIDAD AVANZADA MULTICLOUD PARA FONASA.</t>
        </is>
      </c>
      <c r="C98" s="0" t="inlineStr">
        <is>
          <t xml:space="preserve">Publicada</t>
        </is>
      </c>
      <c r="D98" s="0" t="inlineStr">
        <is>
          <t xml:space="preserve">FONDO NACIONAL DE SALUD</t>
        </is>
      </c>
      <c r="E98" s="0" t="inlineStr">
        <is>
          <t xml:space="preserve">FONASA, Nivel Central</t>
        </is>
      </c>
      <c r="F98" s="0" t="inlineStr">
        <is>
          <t xml:space="preserve">Región Metropolitana de Santiago</t>
        </is>
      </c>
      <c r="G98" s="0"/>
      <c r="H98" s="2">
        <v>46275.725197</v>
      </c>
      <c r="I98" s="2">
        <v>46295.666667</v>
      </c>
      <c r="J98" s="0">
        <v>11</v>
      </c>
      <c r="K98" s="3"/>
      <c r="L98" s="0" t="inlineStr">
        <is>
          <t xml:space="preserve">CLP</t>
        </is>
      </c>
      <c r="M98" s="0" t="inlineStr">
        <is>
          <t xml:space="preserve">LP</t>
        </is>
      </c>
      <c r="N98" s="4" t="inlineStr">
        <is>
          <t xml:space="preserve">Tecnologías de la información, telecomunicaciones y radiodifusión / Software / Software de gestión</t>
        </is>
      </c>
      <c r="O98" s="4" t="inlineStr">
        <is>
          <t xml:space="preserve">1 Unidad · Software de gestión de licencias</t>
        </is>
      </c>
      <c r="P98" s="2"/>
      <c r="Q98" s="2"/>
      <c r="R98" s="0" t="inlineStr">
        <is>
          <t xml:space="preserve">15 meses</t>
        </is>
      </c>
      <c r="S98" s="0" t="inlineStr">
        <is>
          <t xml:space="preserve">No</t>
        </is>
      </c>
      <c r="T98" s="4"/>
      <c r="U98" s="0" t="inlineStr">
        <is>
          <t xml:space="preserve">Marcelo Gonzalez</t>
        </is>
      </c>
      <c r="V98" s="4" t="inlineStr">
        <is>
          <t xml:space="preserve">El Oferente para la provisión de una plataforma de observabilidad SaaS y la prestación de servicios profesionales especializados para su configuración, despliegue multicloud y transferencia tecnológica</t>
        </is>
      </c>
      <c r="W98" s="5" t="str">
        <f>HYPERLINK("https://www.mercadopublico.cl/Procurement/Modules/Attachment/ViewAttachment.aspx?enc=2YWlXcmnfIyNPygiOlS%2fSWhbmqfI8mNI104%2b8fYRw1zEaNPhuYhWXGu7CkPqkCgK65B8wcmJW%2f9EUSYTT%2b3720CHCNAgUqCwzZLt0wBjC4iy0cyITJBHvo%2fT3Tz2G3b7%2fl96q5dr7xnGBKDa6LuQyVBoUaPQJpF10I8j9i3NKXMmCd6055pUxaXRCfinxw10eh1Gpifh1wEW6NmZtu14MMFA1V%2fFqTmUdXUF0%2foJHlr%2fp7ZExvSmp%2fV4W0%2fMOApllWUzcW2GQWzZykS1Uo8GYvRS2TU5OGz7LgKOrROhwVMo7SDor6PfaGuZkrmbzCF6","descargar bases")</f>
      </c>
    </row>
    <row r="99">
      <c r="A99" s="0" t="inlineStr">
        <is>
          <t xml:space="preserve">885-84-LE26</t>
        </is>
      </c>
      <c r="B99" s="4" t="inlineStr">
        <is>
          <t xml:space="preserve">Soporte mantención y monitoreo plataforma legacy IBM Spectrum para la Contraloría General de la República</t>
        </is>
      </c>
      <c r="C99" s="0" t="inlineStr">
        <is>
          <t xml:space="preserve">Publicada</t>
        </is>
      </c>
      <c r="D99" s="0" t="inlineStr">
        <is>
          <t xml:space="preserve">CONTRALORIA GENERAL DE LA REPUBLICA</t>
        </is>
      </c>
      <c r="E99" s="0" t="inlineStr">
        <is>
          <t xml:space="preserve">Contraloría General de la República</t>
        </is>
      </c>
      <c r="F99" s="0" t="inlineStr">
        <is>
          <t xml:space="preserve">Región Metropolitana de Santiago</t>
        </is>
      </c>
      <c r="G99" s="0"/>
      <c r="H99" s="2">
        <v>46280.726771</v>
      </c>
      <c r="I99" s="2">
        <v>46295.666667</v>
      </c>
      <c r="J99" s="0">
        <v>11</v>
      </c>
      <c r="K99" s="3">
        <v>30000000.0</v>
      </c>
      <c r="L99" s="0" t="inlineStr">
        <is>
          <t xml:space="preserve">CLP</t>
        </is>
      </c>
      <c r="M99" s="0" t="inlineStr">
        <is>
          <t xml:space="preserve">LE</t>
        </is>
      </c>
      <c r="N99" s="4" t="inlineStr">
        <is>
          <t xml:space="preserve">Servicios basados en ingeniería, ciencias sociales y tecnología de la información / Servicios informáticos / Administración de sistemas</t>
        </is>
      </c>
      <c r="O99" s="4" t="inlineStr">
        <is>
          <t xml:space="preserve">1 Global · Mantenimiento y soporte de hardware</t>
        </is>
      </c>
      <c r="P99" s="2"/>
      <c r="Q99" s="2"/>
      <c r="R99" s="0" t="inlineStr">
        <is>
          <t xml:space="preserve">12 meses</t>
        </is>
      </c>
      <c r="S99" s="0" t="inlineStr">
        <is>
          <t xml:space="preserve">No</t>
        </is>
      </c>
      <c r="T99" s="4"/>
      <c r="U99" s="0" t="inlineStr">
        <is>
          <t xml:space="preserve">Antonio Alejandro Alcázar Garrido</t>
        </is>
      </c>
      <c r="V99" s="4" t="inlineStr">
        <is>
          <t xml:space="preserve">Contratar el servicio de Soporte, Mantenimiento y Monitoreo de la plataforma de respaldo legacy de la Contraloría General de la República, la cual se encuentra integrada con servidores y librerías robotizadas, y dispone de políticas de acceso, reportes generales y personalizados, además de funciones de monitoreo. Este servicio resulta crítico para la conservación histórica de respaldos de los servicios TIC institucionales.</t>
        </is>
      </c>
      <c r="W99" s="5" t="str">
        <f>HYPERLINK("https://www.mercadopublico.cl/Procurement/Modules/Attachment/ViewAttachment.aspx?enc=NYQGP9CcWinDn8pqeaxMvOtlho7qAx4znL6oDMM7IMIwYFdmWnG%2baPxiLJ5Cqcw6Mw9cMg72%2fH0QAwCzVn8FOBYjwAQ77O0JaMq3VbcDzfc1%2f0knpTNCBoytyWVwgVrsdFqVIUbGe9vcsLSmvMHpoyLHBejJ5azQbc5a%2fWm7UealyDfLdYRplw6kyzP3kf%2b52mG5iWBskGwc9WqcvgftiGGN50r3YghNqPhLcXqt4xf0qr5uQC1sbgb500WLnd28k2%2brl%2f1RCdCoA9BIQpkczz98EjCMjLk4SFxbqSyqCFyCgqdnicy9OLzUQAcOUxyU","descargar bases")</f>
      </c>
    </row>
    <row r="100">
      <c r="A100" s="0" t="inlineStr">
        <is>
          <t xml:space="preserve">4051-16-LP26</t>
        </is>
      </c>
      <c r="B100" s="4" t="inlineStr">
        <is>
          <t xml:space="preserve">SERVICIO ADMINISTRADO DE INTERNET RED DE DATOS Y</t>
        </is>
      </c>
      <c r="C100" s="0" t="inlineStr">
        <is>
          <t xml:space="preserve">Publicada</t>
        </is>
      </c>
      <c r="D100" s="0" t="inlineStr">
        <is>
          <t xml:space="preserve">I MUNICIPALIDAD DE OLLAGUE</t>
        </is>
      </c>
      <c r="E100" s="0" t="inlineStr">
        <is>
          <t xml:space="preserve">Municipalidad de Ollagüe</t>
        </is>
      </c>
      <c r="F100" s="0" t="inlineStr">
        <is>
          <t xml:space="preserve">Región de Antofagasta </t>
        </is>
      </c>
      <c r="G100" s="0" t="inlineStr">
        <is>
          <t xml:space="preserve">Ollague</t>
        </is>
      </c>
      <c r="H100" s="2">
        <v>46269.531944</v>
      </c>
      <c r="I100" s="2">
        <v>46295.666667</v>
      </c>
      <c r="J100" s="0">
        <v>11</v>
      </c>
      <c r="K100" s="3"/>
      <c r="L100" s="0" t="inlineStr">
        <is>
          <t xml:space="preserve">CLF</t>
        </is>
      </c>
      <c r="M100" s="0" t="inlineStr">
        <is>
          <t xml:space="preserve">LP</t>
        </is>
      </c>
      <c r="N100" s="4" t="inlineStr">
        <is>
          <t xml:space="preserve">Servicios basados en ingeniería, ciencias sociales y tecnología de la información / Servicios informáticos / Servicios para internet</t>
        </is>
      </c>
      <c r="O100" s="4" t="inlineStr">
        <is>
          <t xml:space="preserve">1 Unidad · Proveedores de servicio de Internet (ISP)</t>
        </is>
      </c>
      <c r="P100" s="2"/>
      <c r="Q100" s="2"/>
      <c r="R100" s="0" t="inlineStr">
        <is>
          <t xml:space="preserve">48 meses</t>
        </is>
      </c>
      <c r="S100" s="0" t="inlineStr">
        <is>
          <t xml:space="preserve">No</t>
        </is>
      </c>
      <c r="T100" s="4"/>
      <c r="U100" s="0" t="inlineStr">
        <is>
          <t xml:space="preserve">Jhean Ramírez Domínguez</t>
        </is>
      </c>
      <c r="V100" s="4" t="inlineStr">
        <is>
          <t xml:space="preserve">El Municipio requiere contratar el Servicio Administrado de Internet, Red de Datos y Telefonía IP para la Ilustre Municipalidad de Ollagüe y que implica la ejecución de diseños preliminares, adquisición de materiales, instalación, montaje, configuración y puesta en servicio con el objeto de garantizar el funcionamiento óptimo de la infraestructura de red en las dependencias de la municipalidad.</t>
        </is>
      </c>
      <c r="W100" s="5" t="str">
        <f>HYPERLINK("https://www.mercadopublico.cl/Procurement/Modules/Attachment/ViewAttachment.aspx?enc=mqll1gFcjA4cdo%2fE471fJqOsSOn0opiti7MdwipHUyD5H%2fsHnq6yLIexkeF%2fP%2bqp4%2bfPypAGosTTIscqty%2foqXEt9k4Xtd96MwQ%2bbK%2bCsUPMgQ79JtbfXUGC%2f7zjJ4aIj6TM3tFSxkYes3uWjDS7TrSatlPZQm07kaqPVsn2Vad9y%2fGrNV%2bAfv%2bcvMaBHQi6gw%2bIuCrbvgkTEdasHPThQ837zYGpyRUbnM1gT9LR1caF3y%2bOz%2fZOtMBwcpmRyo7kKwa94jVk3zo9FI%2fksSNFl8baU9XoRv5OHqnWmBbQzYFK8VqprFPpcwkE3OY5ZWtw","descargar bases")</f>
      </c>
    </row>
    <row r="101">
      <c r="A101" s="0" t="inlineStr">
        <is>
          <t xml:space="preserve">1551861-2-LE26</t>
        </is>
      </c>
      <c r="B101" s="4" t="inlineStr">
        <is>
          <t xml:space="preserve">Equipamiento TI accesorios y software para ESJ VI</t>
        </is>
      </c>
      <c r="C101" s="0" t="inlineStr">
        <is>
          <t xml:space="preserve">Publicada</t>
        </is>
      </c>
      <c r="D101" s="0" t="inlineStr">
        <is>
          <t xml:space="preserve">Corporación de Asistencia Judicial RM</t>
        </is>
      </c>
      <c r="E101" s="0" t="inlineStr">
        <is>
          <t xml:space="preserve">Compras Convenio Subsecretaría de Justicia</t>
        </is>
      </c>
      <c r="F101" s="0" t="inlineStr">
        <is>
          <t xml:space="preserve">Región Metropolitana de Santiago</t>
        </is>
      </c>
      <c r="G101" s="0" t="inlineStr">
        <is>
          <t xml:space="preserve">Santiago Centro</t>
        </is>
      </c>
      <c r="H101" s="2">
        <v>46280.735845</v>
      </c>
      <c r="I101" s="2">
        <v>46295.6875</v>
      </c>
      <c r="J101" s="0">
        <v>11</v>
      </c>
      <c r="K101" s="3">
        <v>59757469.0</v>
      </c>
      <c r="L101" s="0" t="inlineStr">
        <is>
          <t xml:space="preserve">CLP</t>
        </is>
      </c>
      <c r="M101" s="0" t="inlineStr">
        <is>
          <t xml:space="preserve">LE</t>
        </is>
      </c>
      <c r="N101" s="4" t="inlineStr">
        <is>
          <t xml:space="preserve">Herramientas y maquinaria en general / Herramientas manuales / Juegos de herramientas, Tecnologías de la información, telecomunicaciones y radiodifusión / Equipos informáticos y accesorios / Impresoras, Tecnologías de la información, telecomunicaciones y radiodifusión / Software / Software específico para la industria</t>
        </is>
      </c>
      <c r="O101" s="4" t="inlineStr">
        <is>
          <t xml:space="preserve">1 Unidad · Software de diseño asistido por computador (CAD) · 1 Unidad · Trazadoras de gráficos · 1 Unidad · Kit de herramienta para computadores · y 1 más</t>
        </is>
      </c>
      <c r="P101" s="2"/>
      <c r="Q101" s="2"/>
      <c r="R101" s="0"/>
      <c r="S101" s="0" t="inlineStr">
        <is>
          <t xml:space="preserve">No</t>
        </is>
      </c>
      <c r="T101" s="4"/>
      <c r="U101" s="0" t="inlineStr">
        <is>
          <t xml:space="preserve">Nicolás Araya Martín</t>
        </is>
      </c>
      <c r="V101" s="4" t="inlineStr">
        <is>
          <t xml:space="preserve">Adquisición de equipamiento TI, accesorios y licencias de software para servicios usuarios del Edificio Sector Justicia de la Región del Libertador Bernardo O’Higgins.</t>
        </is>
      </c>
      <c r="W101" s="5" t="str">
        <f>HYPERLINK("https://www.mercadopublico.cl/Procurement/Modules/Attachment/ViewAttachment.aspx?enc=alCS5vUVOU36HpiIzP%2bxR18VGPO2nizDSnL9F0c%2bjSYHoircOiS8KVPsPsSplAJTudDIrhBsfQjk%2bwKSnST6Fr1k2G8vthDZo3ltWF5%2bszaT5ofQ7v7W8HTsWW6NMmkCpECfp6RcT54nobp6k%2fDaNf6pBt3aI6u1T8wfgjEohEp%2b49GFHvxTfaz21j%2fEign9YAyJlelsWeyDyO%2f8nU2tnSFYs4OqdA6t%2fVt928SVxYPHZJiW7L4Sk1MQZH29BCJIeduIZ9H9LEI0VhrHu3o4WpB%2b131s7Kx6LeY7S%2fJi1j0JvcLFYfdvbUTQJP26XA5H","descargar bases")</f>
      </c>
    </row>
    <row r="102">
      <c r="A102" s="0" t="inlineStr">
        <is>
          <t xml:space="preserve">1002592-6-LP26</t>
        </is>
      </c>
      <c r="B102" s="4" t="inlineStr">
        <is>
          <t xml:space="preserve">Servicio integral de Cloud Computing con Hosting</t>
        </is>
      </c>
      <c r="C102" s="0" t="inlineStr">
        <is>
          <t xml:space="preserve">Publicada</t>
        </is>
      </c>
      <c r="D102" s="0" t="inlineStr">
        <is>
          <t xml:space="preserve">SERVICIO LOCAL DE EDUCACION LAS BARRANCAS</t>
        </is>
      </c>
      <c r="E102" s="0" t="inlineStr">
        <is>
          <t xml:space="preserve">SLEPB PROGRAMA 1</t>
        </is>
      </c>
      <c r="F102" s="0" t="inlineStr">
        <is>
          <t xml:space="preserve">Región Metropolitana de Santiago</t>
        </is>
      </c>
      <c r="G102" s="0" t="inlineStr">
        <is>
          <t xml:space="preserve">Pudahuel</t>
        </is>
      </c>
      <c r="H102" s="2">
        <v>46275.645544</v>
      </c>
      <c r="I102" s="2">
        <v>46295.75</v>
      </c>
      <c r="J102" s="0">
        <v>11</v>
      </c>
      <c r="K102" s="3">
        <v>135000000.0</v>
      </c>
      <c r="L102" s="0" t="inlineStr">
        <is>
          <t xml:space="preserve">CLP</t>
        </is>
      </c>
      <c r="M102" s="0" t="inlineStr">
        <is>
          <t xml:space="preserve">LP</t>
        </is>
      </c>
      <c r="N102" s="4" t="inlineStr">
        <is>
          <t xml:space="preserve">Servicios basados en ingeniería, ciencias sociales y tecnología de la información / Servicios informáticos / Servicios para internet</t>
        </is>
      </c>
      <c r="O102" s="4" t="inlineStr">
        <is>
          <t xml:space="preserve">1 Unidad · Web Hosting</t>
        </is>
      </c>
      <c r="P102" s="2"/>
      <c r="Q102" s="2"/>
      <c r="R102" s="0" t="inlineStr">
        <is>
          <t xml:space="preserve">36 meses</t>
        </is>
      </c>
      <c r="S102" s="0" t="inlineStr">
        <is>
          <t xml:space="preserve">No</t>
        </is>
      </c>
      <c r="T102" s="4"/>
      <c r="U102" s="0" t="inlineStr">
        <is>
          <t xml:space="preserve">Unidad de Tecnologías de la Información</t>
        </is>
      </c>
      <c r="V102" s="4" t="inlineStr">
        <is>
          <t xml:space="preserve">Servicio integral de Cloud Computing con Alojamiento Hosting, servidor físico ON premise y soporte técnico para el Servicio Local de Educación Pública Barrancas.
El contrato se desarrollará bajo la modalidad de servicio administrado, por un período de treinta y seis 36 meses, contados desde la fecha del acta de recepción definitiva que emita la Contraparte Técnica del SLEP Barrancas, una vez verificadas y aprobadas todas las etapas definidas en el Anexo N°10: Cronograma y Plazo de Implementación. A contar de dicho hito, se entenderá iniciado formalmente el servicio en régimen y comenzará a regir el plazo de ejecución del contrato.</t>
        </is>
      </c>
      <c r="W102" s="5" t="str">
        <f>HYPERLINK("https://www.mercadopublico.cl/Procurement/Modules/Attachment/ViewAttachment.aspx?enc=rX735UU8qgI7iSx%2f9PFkdVB6GOqqUcD9Mv86mRJ8P6tg0pKAJWERjulKVA9NkmmraoopAvq0LOJD63Q1TsaejNfcV0uaHVMIFXa4be70f961XVforv0Rzq2mBhhSJhyLIOtjujf7dmmGBDI6Fb%2flRqv20mHEukZh%2bS7Qjvu6BQxMx6fNPb3lZWHsgkN%2bqCVCvLVm6WZwzN0SvRF9tSvKE%2b54Atk3k9NV3k47fwkfSX8ALvCO9Yj2%2bW5tOagghrjNa4l%2bEbmJXeOcnZ59PlR4Rh3MByJoecQzQAWzb18be3cnVhOvSDaBoKNglZ552YZl","descargar bases")</f>
      </c>
    </row>
    <row r="103">
      <c r="A103" s="0" t="inlineStr">
        <is>
          <t xml:space="preserve">4295-67-LP26</t>
        </is>
      </c>
      <c r="B103" s="4" t="inlineStr">
        <is>
          <t xml:space="preserve">Servicio de enlace de datos voz IP y CCTV para oficinas remotas</t>
        </is>
      </c>
      <c r="C103" s="0" t="inlineStr">
        <is>
          <t xml:space="preserve">Publicada</t>
        </is>
      </c>
      <c r="D103" s="0" t="inlineStr">
        <is>
          <t xml:space="preserve">ILUSTRE MUNICIPALIDAD DE LA SERENA</t>
        </is>
      </c>
      <c r="E103" s="0" t="inlineStr">
        <is>
          <t xml:space="preserve">SECRETARIA COMUNAL DE PLANIFICACION</t>
        </is>
      </c>
      <c r="F103" s="0" t="inlineStr">
        <is>
          <t xml:space="preserve">Región de Coquimbo </t>
        </is>
      </c>
      <c r="G103" s="0" t="inlineStr">
        <is>
          <t xml:space="preserve">La Serena</t>
        </is>
      </c>
      <c r="H103" s="2">
        <v>46268.383877</v>
      </c>
      <c r="I103" s="2">
        <v>46296.416667</v>
      </c>
      <c r="J103" s="0">
        <v>12</v>
      </c>
      <c r="K103" s="3">
        <v>108000000.0</v>
      </c>
      <c r="L103" s="0" t="inlineStr">
        <is>
          <t xml:space="preserve">CLP</t>
        </is>
      </c>
      <c r="M103" s="0" t="inlineStr">
        <is>
          <t xml:space="preserve">LP</t>
        </is>
      </c>
      <c r="N103" s="4" t="inlineStr">
        <is>
          <t xml:space="preserve">Servicios básicos y de información pública / Telecomunicaciones / Comunicaciones móviles</t>
        </is>
      </c>
      <c r="O103" s="4" t="inlineStr">
        <is>
          <t xml:space="preserve">1 Unidad · Servicio de redes para mejorar la señal de telecomunicaciones</t>
        </is>
      </c>
      <c r="P103" s="2"/>
      <c r="Q103" s="2"/>
      <c r="R103" s="0" t="inlineStr">
        <is>
          <t xml:space="preserve">36 meses</t>
        </is>
      </c>
      <c r="S103" s="0" t="inlineStr">
        <is>
          <t xml:space="preserve">No</t>
        </is>
      </c>
      <c r="T103" s="4" t="inlineStr">
        <is>
          <t xml:space="preserve">Ver Bases Administrativas</t>
        </is>
      </c>
      <c r="U103" s="0" t="inlineStr">
        <is>
          <t xml:space="preserve">Departamento de Modernización y TIC`s</t>
        </is>
      </c>
      <c r="V103" s="4" t="inlineStr">
        <is>
          <t xml:space="preserve">La presente licitación tiene por objetivo la contratación del servicio de “Enlace de Datos, voz IP y CCTV para oficinas remotas de la Ilustre. Municipalidad de La Serena”, destinada a satisfacer la necesidad de comunicación de datos y voz IP en ubicaciones municipales externas.</t>
        </is>
      </c>
      <c r="W103" s="5" t="str">
        <f>HYPERLINK("https://www.mercadopublico.cl/Procurement/Modules/Attachment/ViewAttachment.aspx?enc=5yrEDOXHA6SvUSVH1Ahlwpjm2nvhmdA7qKN%2f%2b3kWZyHA8jRqk%2bOIjlaQKylYGbUM%2fZkjaYeBUHLIbKI77LMx1NoDN6aC7zkjTsVUiGl98yLn0SYl4ON%2bAYbAStokjZzNLh29YaB3PIS1qHpVxO6%2bHhw1iaeoTSBjawICHLnNtNtTMR05xKlw8IKtUDep9VJdbYYC9zoQsoFHW9cE%2bSMYZ6Q1mtmwn2AmMp6SJ6Ks%2bYPoHymzGgnk3FdSZj%2fBkUO8QFMo0eueYDVXqTXv5L6duXSaD8wjh%2fhY6WCD4wtXb0xE%2fCS6Tlm2XjVXBvMe7RcF","descargar bases")</f>
      </c>
    </row>
    <row r="104">
      <c r="A104" s="0" t="inlineStr">
        <is>
          <t xml:space="preserve">673663-31-LE26</t>
        </is>
      </c>
      <c r="B104" s="4" t="inlineStr">
        <is>
          <t xml:space="preserve">ADQUISICIÓN DE PANTALLA LED EXTERIOR Y TRES TOTEM</t>
        </is>
      </c>
      <c r="C104" s="0" t="inlineStr">
        <is>
          <t xml:space="preserve">Publicada</t>
        </is>
      </c>
      <c r="D104" s="0" t="inlineStr">
        <is>
          <t xml:space="preserve">I MUNICIPALIDAD DE ANDACOLLO</t>
        </is>
      </c>
      <c r="E104" s="0" t="inlineStr">
        <is>
          <t xml:space="preserve">Secplan</t>
        </is>
      </c>
      <c r="F104" s="0" t="inlineStr">
        <is>
          <t xml:space="preserve">Región de Coquimbo </t>
        </is>
      </c>
      <c r="G104" s="0" t="inlineStr">
        <is>
          <t xml:space="preserve">Andacollo</t>
        </is>
      </c>
      <c r="H104" s="2">
        <v>46281.669201</v>
      </c>
      <c r="I104" s="2">
        <v>46296.458333</v>
      </c>
      <c r="J104" s="0">
        <v>12</v>
      </c>
      <c r="K104" s="3"/>
      <c r="L104" s="0" t="inlineStr">
        <is>
          <t xml:space="preserve">CLP</t>
        </is>
      </c>
      <c r="M104" s="0" t="inlineStr">
        <is>
          <t xml:space="preserve">LE</t>
        </is>
      </c>
      <c r="N104" s="4" t="inlineStr">
        <is>
          <t xml:space="preserve">Tecnologías de la información, telecomunicaciones y radiodifusión / Equipos informáticos y accesorios / Pantallas o monitores de computador</t>
        </is>
      </c>
      <c r="O104" s="4" t="inlineStr">
        <is>
          <t xml:space="preserve">1 Global · Monitores de pantalla táctil</t>
        </is>
      </c>
      <c r="P104" s="2"/>
      <c r="Q104" s="2"/>
      <c r="R104" s="0"/>
      <c r="S104" s="0" t="inlineStr">
        <is>
          <t xml:space="preserve">No</t>
        </is>
      </c>
      <c r="T104" s="4"/>
      <c r="U104" s="0" t="inlineStr">
        <is>
          <t xml:space="preserve">JUAN CARLOS ALFARO ARAVENA</t>
        </is>
      </c>
      <c r="V104" s="4" t="inlineStr">
        <is>
          <t xml:space="preserve">ADQUISICIÓN DE PANTALLA LED EXTERIOR Y TRES TOTEM PUBLICITARIOS LED</t>
        </is>
      </c>
      <c r="W104" s="5" t="str">
        <f>HYPERLINK("https://www.mercadopublico.cl/Procurement/Modules/Attachment/ViewAttachment.aspx?enc=sCUp%2fYoiOqUQ2%2fo1BrASm7YKrrmkABQUqQCBZQvKfMw8TXQDmmJEYU2khNzWYXkpZBEenHwihfyzccBXJ35QIecm9GXSliK39fRZR7lhcGlZJtvzuoGe2SRqbH7nhzQpIX3UqlWzHusOppoy0u5FaceLxSKieXWBD0wDkMEEFcRPGLbcuyUOrGTgXZ3ZkH%2bHODqd1X13KX8jR2l1ZPfaokYLSmeNBlfLgPMAn83pmCEdikV2GSLCf7Yvs0luFIIpjVBuRBSd4RNIVsTuNYUJ9G7ONNnzdWxPncqQPkPsu%2f%2f4%2fi8GXBGthvQh1SRE%2bM1t","descargar bases")</f>
      </c>
    </row>
    <row r="105">
      <c r="A105" s="0" t="inlineStr">
        <is>
          <t xml:space="preserve">1057539-138-LP26</t>
        </is>
      </c>
      <c r="B105" s="4" t="inlineStr">
        <is>
          <t xml:space="preserve">SERVICIOS PROFESIONALES PERSONAL APOYO INFORMATICA</t>
        </is>
      </c>
      <c r="C105" s="0" t="inlineStr">
        <is>
          <t xml:space="preserve">Publicada</t>
        </is>
      </c>
      <c r="D105" s="0" t="inlineStr">
        <is>
          <t xml:space="preserve">HOSPITAL PUERTO MONTT SERVICIO DE SALUD DEL RELONCAVI</t>
        </is>
      </c>
      <c r="E105" s="0" t="inlineStr">
        <is>
          <t xml:space="preserve">Bienes y Servicios</t>
        </is>
      </c>
      <c r="F105" s="0" t="inlineStr">
        <is>
          <t xml:space="preserve">Región de los Lagos </t>
        </is>
      </c>
      <c r="G105" s="0"/>
      <c r="H105" s="2">
        <v>46275.575752</v>
      </c>
      <c r="I105" s="2">
        <v>46296.625</v>
      </c>
      <c r="J105" s="0">
        <v>12</v>
      </c>
      <c r="K105" s="3">
        <v>184212000.0</v>
      </c>
      <c r="L105" s="0" t="inlineStr">
        <is>
          <t xml:space="preserve">CLP</t>
        </is>
      </c>
      <c r="M105" s="0" t="inlineStr">
        <is>
          <t xml:space="preserve">LP</t>
        </is>
      </c>
      <c r="N105" s="4" t="inlineStr">
        <is>
          <t xml:space="preserve">Servicios profesionales, administrativos y consultorías de gestión empresarial / Servicios de recursos humanos / Contratación de personal</t>
        </is>
      </c>
      <c r="O105" s="4" t="inlineStr">
        <is>
          <t xml:space="preserve">1 Unidad · Profesionales</t>
        </is>
      </c>
      <c r="P105" s="2"/>
      <c r="Q105" s="2"/>
      <c r="R105" s="0" t="inlineStr">
        <is>
          <t xml:space="preserve">12 meses</t>
        </is>
      </c>
      <c r="S105" s="0" t="inlineStr">
        <is>
          <t xml:space="preserve">No</t>
        </is>
      </c>
      <c r="T105" s="4"/>
      <c r="U105" s="0" t="inlineStr">
        <is>
          <t xml:space="preserve">Vanessa Soto</t>
        </is>
      </c>
      <c r="V105" s="4" t="inlineStr">
        <is>
          <t xml:space="preserve">La presente licitación tiene por objeto la contratación de los servicios profesionales de 6 ingenieros o especialistas en informática para el Hospital de Puerto Montt. La necesidad de esta contratación se fundamenta en el sostenido incremento de la digitalización de los procesos clínicos y administrativos del establecimiento tales como la ficha clínica electrónica, agendamiento y plataformas logísticas. Esta creciente digitalización hace indispensable contar con un equipo técnico especializado que garantice la disponibilidad ininterrumpida de la infraestructura tecnológica, evitando quiebres en los sistemas que puedan comprometer la oportunidad, calidad y seguridad en la atención de salud de los pacientes. 
En virtud de lo anterior, las prestaciones que se pretende satisfacer mediante este proceso licitatorio consisten en externalizar el apoyo operativo especializado, destinando a estos profesionales a las áreas críticas de Soporte, Redes y Sistemas. Sus funciones principales abarcarán el aseguramiento de la continuidad operativa de la red de datos institucional, el mantenimiento preventivo y correctivo de hardware y software, la administración y optimización de los sistemas de </t>
        </is>
      </c>
      <c r="W105" s="5" t="str">
        <f>HYPERLINK("https://www.mercadopublico.cl/Procurement/Modules/Attachment/ViewAttachment.aspx?enc=P52jzXHy%2b3Gyv3gYpBoJBbGCjY6fy1hOmH1S1aCvFpCGLz6dLv0x%2b9Mb3AY2DZM%2bwVAt88XzRAySvX2s8rKlL2cTN3uEu%2foFLz%2fUi3AltPT65DKDqppvo90nLQdaHtoS8dlDrUB3gTQlLaB31uvyeE4sj4d7d%2fEN4p2UG80bofT8HLJoOgI5JkVyQY7kSlHhWmmoWMYxQKyXV%2fEqb8qJYaPiceq97DRANM%2f6Zc0wV8ezkQ94%2f9EgTq2sUqsykl5KIVXOwswOr6ri5BEGjPBNsfSnz1lAqQfd4stRz%2fhx7xOrurBf8SbEAlA86mwume%2bM","descargar bases")</f>
      </c>
    </row>
    <row r="106">
      <c r="A106" s="0" t="inlineStr">
        <is>
          <t xml:space="preserve">858-69-LP26</t>
        </is>
      </c>
      <c r="B106" s="4" t="inlineStr">
        <is>
          <t xml:space="preserve">RENOVACIÓN Y ADQUISICIÓN LICENCIAS DE INFORMÁTICA</t>
        </is>
      </c>
      <c r="C106" s="0" t="inlineStr">
        <is>
          <t xml:space="preserve">Publicada</t>
        </is>
      </c>
      <c r="D106" s="0" t="inlineStr">
        <is>
          <t xml:space="preserve">INSTITUTO NACIONAL DE DEPORTES DE CHILE</t>
        </is>
      </c>
      <c r="E106" s="0" t="inlineStr">
        <is>
          <t xml:space="preserve">Nivel Central</t>
        </is>
      </c>
      <c r="F106" s="0" t="inlineStr">
        <is>
          <t xml:space="preserve">Región Metropolitana de Santiago</t>
        </is>
      </c>
      <c r="G106" s="0" t="inlineStr">
        <is>
          <t xml:space="preserve">Providencia</t>
        </is>
      </c>
      <c r="H106" s="2">
        <v>46275.400093</v>
      </c>
      <c r="I106" s="2">
        <v>46296.625694</v>
      </c>
      <c r="J106" s="0">
        <v>12</v>
      </c>
      <c r="K106" s="3">
        <v>179063.0</v>
      </c>
      <c r="L106" s="0" t="inlineStr">
        <is>
          <t xml:space="preserve">USD</t>
        </is>
      </c>
      <c r="M106" s="0" t="inlineStr">
        <is>
          <t xml:space="preserve">LP</t>
        </is>
      </c>
      <c r="N106" s="4" t="inlineStr">
        <is>
          <t xml:space="preserve">Tecnologías de la información, telecomunicaciones y radiodifusión / Software / Software de edición y creación de contenidos</t>
        </is>
      </c>
      <c r="O106" s="4" t="inlineStr">
        <is>
          <t xml:space="preserve">1 Unidad no definida · Software de diseño de patrones · 1 Unidad no definida · Software de diseño de patrones · 1 Unidad no definida · Software de diseño de patrones · y 21 más</t>
        </is>
      </c>
      <c r="P106" s="2"/>
      <c r="Q106" s="2"/>
      <c r="R106" s="0"/>
      <c r="S106" s="0" t="inlineStr">
        <is>
          <t xml:space="preserve">No</t>
        </is>
      </c>
      <c r="T106" s="4"/>
      <c r="U106" s="0" t="inlineStr">
        <is>
          <t xml:space="preserve">Carola Molina</t>
        </is>
      </c>
      <c r="V106" s="4" t="inlineStr">
        <is>
          <t xml:space="preserve">RENOVACIÓN Y ADQUISICIÓN DE LICENCIAS DE SOFTWARE DE INFORMÁTICA PARA EL IND. VER REX 3096 AP BASES ADJUNTA.</t>
        </is>
      </c>
      <c r="W106" s="5" t="str">
        <f>HYPERLINK("https://www.mercadopublico.cl/Procurement/Modules/Attachment/ViewAttachment.aspx?enc=hjUxDkwGfv%2fXpeMfS%2b0cpBijUos2NNugOnhGbk9S8W5Gf%2fq8F2vjpL8K4co01HtMd3SV6Qdb%2fbp5yvuikY%2f0h96QW6N7Dn2oZVvc2QV2B%2bkuvmepL%2fOvjMv8FMo89CFcH%2bt%2bM3OJlwdsUqQgV%2bS5dSv0zZ45XvqXppLZYJoWbjyQ%2fCSU6M0UX%2b%2bgrRrsfkvEoO3AnCY0doMJqkEi7Jwfea8sEhlJm2myf562n%2f0%2bFqafTaIGLpNR5ZtknM5LuQwDtjHQhK9hATVpRjO7XWhx35zhUun86yQfQPWNR3GHKzkIO8WBrUBDus53ILH3grI6","descargar bases")</f>
      </c>
    </row>
    <row r="107">
      <c r="A107" s="0" t="inlineStr">
        <is>
          <t xml:space="preserve">2663-63-LP26</t>
        </is>
      </c>
      <c r="B107" s="4" t="inlineStr">
        <is>
          <t xml:space="preserve">SISTEMAS INFORMÁTICOS DE GESTIÓN MUNICIPAL</t>
        </is>
      </c>
      <c r="C107" s="0" t="inlineStr">
        <is>
          <t xml:space="preserve">Publicada</t>
        </is>
      </c>
      <c r="D107" s="0" t="inlineStr">
        <is>
          <t xml:space="preserve">ILUSTRE MUNICIPALIDAD DE NATALES</t>
        </is>
      </c>
      <c r="E107" s="0" t="inlineStr">
        <is>
          <t xml:space="preserve">DEPARTAMENTO ADMINISTRACION Y FINANZAS</t>
        </is>
      </c>
      <c r="F107" s="0" t="inlineStr">
        <is>
          <t xml:space="preserve">Región de Magallanes y de la Antártica</t>
        </is>
      </c>
      <c r="G107" s="0" t="inlineStr">
        <is>
          <t xml:space="preserve">Puerto Natales</t>
        </is>
      </c>
      <c r="H107" s="2">
        <v>46276.658426</v>
      </c>
      <c r="I107" s="2">
        <v>46296.708333</v>
      </c>
      <c r="J107" s="0">
        <v>12</v>
      </c>
      <c r="K107" s="3">
        <v>98590386.0</v>
      </c>
      <c r="L107" s="0" t="inlineStr">
        <is>
          <t xml:space="preserve">CLF</t>
        </is>
      </c>
      <c r="M107" s="0" t="inlineStr">
        <is>
          <t xml:space="preserve">LP</t>
        </is>
      </c>
      <c r="N107" s="4" t="inlineStr">
        <is>
          <t xml:space="preserve">Organizaciones y consultorías políticas, demográficas, económicas, sociales y de administración pública / Administración y finanzas públicas / Administración pública</t>
        </is>
      </c>
      <c r="O107" s="4" t="inlineStr">
        <is>
          <t xml:space="preserve">1 Unidad · Sistemas de información y control de empresas públicas</t>
        </is>
      </c>
      <c r="P107" s="2"/>
      <c r="Q107" s="2"/>
      <c r="R107" s="0" t="inlineStr">
        <is>
          <t xml:space="preserve">24 meses</t>
        </is>
      </c>
      <c r="S107" s="0" t="inlineStr">
        <is>
          <t xml:space="preserve">No</t>
        </is>
      </c>
      <c r="T107" s="4" t="inlineStr">
        <is>
          <t xml:space="preserve">De acuerdo a lo indicado en el Artículo 35 cesión de contrato y subcontratación</t>
        </is>
      </c>
      <c r="U107" s="0" t="inlineStr">
        <is>
          <t xml:space="preserve">Javier Díaz Gonzalez -Carlos Del Castillo Carrasco</t>
        </is>
      </c>
      <c r="V107" s="4" t="inlineStr">
        <is>
          <t xml:space="preserve">SISTEMAS INFORMÁTICOS DE GESTIÓN MUNICIPAL: ARRIENDO, IMPLEMENTACIÓN Y MANTENIMIENTO PARA LA ILUSTRE MUNICIPALIDAD DE NATALES.</t>
        </is>
      </c>
      <c r="W107" s="5" t="str">
        <f>HYPERLINK("https://www.mercadopublico.cl/Procurement/Modules/Attachment/ViewAttachment.aspx?enc=iXwh7S7jTIrUrIukUZLFwHqvgQVrdMIOpH9UHCLgk18iVwJPfQc7FJqgSURpe4YvU%2bgXxbLQY6afSSyitsUzOlBzjiRNE6RXfiZ9%2bGhKQwnA2a2CY89M9tdpkCgwcx41MlwbAQZXm7FrA%2fOMeuh9WW8BUUlgsCFxqQpRy540mQBf0hVwNCplebZ5Lv5Fu0ozX8NvuZsLcqk5cCwjUATwdcaptzPSKDg1gAbESodcYRQlD3gZGQYlv1oohQ33o%2fgFK4KRq8kqcoUCnP8LSSLLHnJlPJ7Qj7CKnBBtmgrHXswx3boxfsRcDS4J3jwMoS2d","descargar bases")</f>
      </c>
    </row>
    <row r="108">
      <c r="A108" s="0" t="inlineStr">
        <is>
          <t xml:space="preserve">4105-8-LP26</t>
        </is>
      </c>
      <c r="B108" s="4" t="inlineStr">
        <is>
          <t xml:space="preserve">Mantención Control y Actualización de Software</t>
        </is>
      </c>
      <c r="C108" s="0" t="inlineStr">
        <is>
          <t xml:space="preserve">Publicada</t>
        </is>
      </c>
      <c r="D108" s="0" t="inlineStr">
        <is>
          <t xml:space="preserve">I MUNICIPALIDAD DE CALLE LARGA</t>
        </is>
      </c>
      <c r="E108" s="0" t="inlineStr">
        <is>
          <t xml:space="preserve">FINANZAS</t>
        </is>
      </c>
      <c r="F108" s="0" t="inlineStr">
        <is>
          <t xml:space="preserve">Región de Valparaíso </t>
        </is>
      </c>
      <c r="G108" s="0" t="inlineStr">
        <is>
          <t xml:space="preserve">Calle Larga</t>
        </is>
      </c>
      <c r="H108" s="2">
        <v>46280.75434</v>
      </c>
      <c r="I108" s="2">
        <v>46297.395833</v>
      </c>
      <c r="J108" s="0">
        <v>13</v>
      </c>
      <c r="K108" s="3">
        <v>142800000.0</v>
      </c>
      <c r="L108" s="0" t="inlineStr">
        <is>
          <t xml:space="preserve">CLP</t>
        </is>
      </c>
      <c r="M108" s="0" t="inlineStr">
        <is>
          <t xml:space="preserve">LP</t>
        </is>
      </c>
      <c r="N108" s="4" t="inlineStr">
        <is>
          <t xml:space="preserve">Tecnologías de la información, telecomunicaciones y radiodifusión / Software / Software de entorno operativo</t>
        </is>
      </c>
      <c r="O108" s="4" t="inlineStr">
        <is>
          <t xml:space="preserve">1 Unidad · Software de sistema de archivos</t>
        </is>
      </c>
      <c r="P108" s="2"/>
      <c r="Q108" s="2"/>
      <c r="R108" s="0" t="inlineStr">
        <is>
          <t xml:space="preserve">24 meses</t>
        </is>
      </c>
      <c r="S108" s="0" t="inlineStr">
        <is>
          <t xml:space="preserve">No</t>
        </is>
      </c>
      <c r="T108" s="4"/>
      <c r="U108" s="0" t="inlineStr">
        <is>
          <t xml:space="preserve">Dina González Alfaro</t>
        </is>
      </c>
      <c r="V108" s="4" t="inlineStr">
        <is>
          <t xml:space="preserve">La I. Municipalidad lícita para contratar la “MANTENCION, CONTROL Y ACTUALIZACION DE SOFTWARE DE CONEXIÓN PERMISO DE CIRCULACIÓN”,  la municipalidad necesita y se ha motivado en la digitalización y modernización informática en cuanto a la emisión de permisos de circulación que no se pueden llevar a cabo de forma manual por el personal permisos masivos ..</t>
        </is>
      </c>
      <c r="W108" s="5" t="str">
        <f>HYPERLINK("https://www.mercadopublico.cl/Procurement/Modules/Attachment/ViewAttachment.aspx?enc=nXknyh3r4E0DbSFNlj2SpfWZcn2l2FdllNIReAdQSQaehapc7KqfIRzdKxYv4eHOoqF4xE%2bhbV%2fylIg0vd2%2bLe3qXmAXbTyWjQcuz3rfuht4N2tzKtEiaqLpgL4iW7Fh68sKJQY6D0OPmQ%2f4pSd3S24GP3%2f2w%2fQmHkwOz6js55JL9If%2bcJEPvDaJNnRZY2YccyGgZKf137wS0zHAG%2bUAIZ5d4CeYezk6MfyaBl6VEOHHxH76lHsBI5Afv8DiUx30WIY1EaCOEihiaO89fwQsE24Z%2f7QdKOzVKVGtoz3COPEw8AoeVe1xcpsdVkUCNtks","descargar bases")</f>
      </c>
    </row>
    <row r="109">
      <c r="A109" s="0" t="inlineStr">
        <is>
          <t xml:space="preserve">2429-8-LP26</t>
        </is>
      </c>
      <c r="B109" s="4" t="inlineStr">
        <is>
          <t xml:space="preserve">RENOVACIÓN DE INFRAESTRUCTURA DE RED INFORMÁTICA Y NORMALIZACIÓN DE CABLEADO ESTRUCTURADO DE LAS DEPENDENCIAS DE LA IMA</t>
        </is>
      </c>
      <c r="C109" s="0" t="inlineStr">
        <is>
          <t xml:space="preserve">Publicada</t>
        </is>
      </c>
      <c r="D109" s="0" t="inlineStr">
        <is>
          <t xml:space="preserve">I MUNICIPALIDAD DE ANTOFAGASTA</t>
        </is>
      </c>
      <c r="E109" s="0" t="inlineStr">
        <is>
          <t xml:space="preserve">I MUNICIPALIDAD DE ANTOFAGASTA - FINANZAS</t>
        </is>
      </c>
      <c r="F109" s="0" t="inlineStr">
        <is>
          <t xml:space="preserve">Región de Antofagasta </t>
        </is>
      </c>
      <c r="G109" s="0" t="inlineStr">
        <is>
          <t xml:space="preserve">Antofagasta</t>
        </is>
      </c>
      <c r="H109" s="2">
        <v>46275.681574</v>
      </c>
      <c r="I109" s="2">
        <v>46297.416667</v>
      </c>
      <c r="J109" s="0">
        <v>13</v>
      </c>
      <c r="K109" s="3"/>
      <c r="L109" s="0" t="inlineStr">
        <is>
          <t xml:space="preserve">CLP</t>
        </is>
      </c>
      <c r="M109" s="0" t="inlineStr">
        <is>
          <t xml:space="preserve">LP</t>
        </is>
      </c>
      <c r="N109" s="4" t="inlineStr">
        <is>
          <t xml:space="preserve">Servicios basados en ingeniería, ciencias sociales y tecnología de la información / Servicios informáticos / Sistemas de información</t>
        </is>
      </c>
      <c r="O109" s="4" t="inlineStr">
        <is>
          <t xml:space="preserve">1 Unidad · Diseño de redes de comunicación de cobertura local (LAN)</t>
        </is>
      </c>
      <c r="P109" s="2"/>
      <c r="Q109" s="2"/>
      <c r="R109" s="0"/>
      <c r="S109" s="0" t="inlineStr">
        <is>
          <t xml:space="preserve">No</t>
        </is>
      </c>
      <c r="T109" s="4" t="inlineStr">
        <is>
          <t xml:space="preserve">DE ACUERDO A NUMERAL 33 DE LAS BASES ADM.</t>
        </is>
      </c>
      <c r="U109" s="0" t="inlineStr">
        <is>
          <t xml:space="preserve">Ivan rivera Galvez</t>
        </is>
      </c>
      <c r="V109" s="4" t="inlineStr">
        <is>
          <t xml:space="preserve">Adquisición</t>
        </is>
      </c>
      <c r="W109" s="5" t="str">
        <f>HYPERLINK("https://www.mercadopublico.cl/Procurement/Modules/Attachment/ViewAttachment.aspx?enc=9JveoPyftCXlGuweMHUxRJRlxdgo0vCnv%2fImGSVw0DnmxXvMGljOU6Xuqw6KgJQQgXNUfCHm15s8q6Tc7RnlRMeJD4UDwwjfjpITCN13cwVHBeVh6Q7Vw7YYU219EVlucLvKPB65VgDeQjL%2fx%2bFn172%2f%2bflq8SwIEGGVQjOTUajjY8RJvibj6eNetQZeBxi7DGY2%2b5DxQslyIEtdXhIW%2fq1MUmAJDfExgWmeEtGgC%2frEI5NPfY4GnH1qSvRfrLxLR8nHJkJeNGTCwPUwoi50SDQ%2bJWjzEUWD1%2bMmTLl4sBpQysXZmGuL%2fV2EBphlCkUT","descargar bases")</f>
      </c>
    </row>
    <row r="110">
      <c r="A110" s="0" t="inlineStr">
        <is>
          <t xml:space="preserve">1533460-6-LP26</t>
        </is>
      </c>
      <c r="B110" s="4" t="inlineStr">
        <is>
          <t xml:space="preserve">SERVICIO DE ARRIENDO DE SISTEMA INFORMÁTICO FINANCIERO CONTABLE Y RECURSOS HUMANOS</t>
        </is>
      </c>
      <c r="C110" s="0" t="inlineStr">
        <is>
          <t xml:space="preserve">Publicada</t>
        </is>
      </c>
      <c r="D110" s="0" t="inlineStr">
        <is>
          <t xml:space="preserve">CORPORACIÓN MUNICIPAL DE CULTURA, DEPORTE Y DE FOMENTO DE DESARROLLO C</t>
        </is>
      </c>
      <c r="E110" s="0" t="inlineStr">
        <is>
          <t xml:space="preserve">CORPORACIÓN MUNICIPAL DE CULTURA, DEPORTE Y DE FOMENTO DE DESARROLLO C</t>
        </is>
      </c>
      <c r="F110" s="0" t="inlineStr">
        <is>
          <t xml:space="preserve">Región Metropolitana de Santiago</t>
        </is>
      </c>
      <c r="G110" s="0"/>
      <c r="H110" s="2">
        <v>46276.484803</v>
      </c>
      <c r="I110" s="2">
        <v>46297.479861</v>
      </c>
      <c r="J110" s="0">
        <v>13</v>
      </c>
      <c r="K110" s="3">
        <v>118000000.0</v>
      </c>
      <c r="L110" s="0" t="inlineStr">
        <is>
          <t xml:space="preserve">CLP</t>
        </is>
      </c>
      <c r="M110" s="0" t="inlineStr">
        <is>
          <t xml:space="preserve">LP</t>
        </is>
      </c>
      <c r="N110" s="4" t="inlineStr">
        <is>
          <t xml:space="preserve">Tecnologías de la información, telecomunicaciones y radiodifusión / Software / Software de planificación de recursos empresariales (ERP) y contabilidad financiera</t>
        </is>
      </c>
      <c r="O110" s="4" t="inlineStr">
        <is>
          <t xml:space="preserve">1 Unidad · Software de planificación de recursos empresariales (ERP)</t>
        </is>
      </c>
      <c r="P110" s="2"/>
      <c r="Q110" s="2"/>
      <c r="R110" s="0" t="inlineStr">
        <is>
          <t xml:space="preserve">24 meses</t>
        </is>
      </c>
      <c r="S110" s="0" t="inlineStr">
        <is>
          <t xml:space="preserve">No</t>
        </is>
      </c>
      <c r="T110" s="4"/>
      <c r="U110" s="0" t="inlineStr">
        <is>
          <t xml:space="preserve">Fernando Suazo Rios</t>
        </is>
      </c>
      <c r="V110" s="4" t="inlineStr">
        <is>
          <t xml:space="preserve">La Corporación Conchalí en Movimiento requiere contratar el servicio de arriendo de sistema informático, financiero, contable y recursos humanos, este servicio tiene por finalidad contratar el servicio de implementación, puesta en marcha, configuración y ejecución del sistema con los siguientes módulos administración de personal, remuneraciones, intranet, contabilidad y presupuesto, adquisiciones e inventario, tesorería y gestión de documental.</t>
        </is>
      </c>
      <c r="W110" s="5" t="str">
        <f>HYPERLINK("https://www.mercadopublico.cl/Procurement/Modules/Attachment/ViewAttachment.aspx?enc=WdOgZHaE%2flbVyESRMiRcRT1y%2bG6Nb3Gwr%2bWWwK7swjiQEJLGU9DuiwjaiZ5TRHEkaRniDxR3DcHcuZwY8FMf9aQxCdmkDakE3DDilMXHQJuHVa5fYDYbB1uSBp5IOw3VUrD%2flYr345CPZ%2bYPdS0dCulAlpy1YXZtVTB7jCRfMmgx1sO1qE8sG9Eiiqf6inQ2Y2Iq2JFzzhvi9PppZfgVn%2fKvWV2a6pXSZU1s3%2bUObGy8ZX8s4MYpyQDypxwA0n9Yizu6YgxoP7QhWfv%2f2CvoDDYKKf%2fJRV1BkQeuvg%2fJXbacX6%2b0FHSA8gLrUcj4tDQi","descargar bases")</f>
      </c>
    </row>
    <row r="111">
      <c r="A111" s="0" t="inlineStr">
        <is>
          <t xml:space="preserve">548874-74-LR26</t>
        </is>
      </c>
      <c r="B111" s="4" t="inlineStr">
        <is>
          <t xml:space="preserve">SERV DE PLATAFORMA SIEM NUEVA GENERACIÓN SAAS IPS</t>
        </is>
      </c>
      <c r="C111" s="0" t="inlineStr">
        <is>
          <t xml:space="preserve">Publicada</t>
        </is>
      </c>
      <c r="D111" s="0" t="inlineStr">
        <is>
          <t xml:space="preserve">INSTITUTO DE PREVISION SOCIAL</t>
        </is>
      </c>
      <c r="E111" s="0" t="inlineStr">
        <is>
          <t xml:space="preserve">IPS Oficina Central de Compras</t>
        </is>
      </c>
      <c r="F111" s="0" t="inlineStr">
        <is>
          <t xml:space="preserve">Región Metropolitana de Santiago</t>
        </is>
      </c>
      <c r="G111" s="0" t="inlineStr">
        <is>
          <t xml:space="preserve">Santiago</t>
        </is>
      </c>
      <c r="H111" s="2">
        <v>46260.456458</v>
      </c>
      <c r="I111" s="2">
        <v>46297.625</v>
      </c>
      <c r="J111" s="0">
        <v>13</v>
      </c>
      <c r="K111" s="3">
        <v>565250.0</v>
      </c>
      <c r="L111" s="0" t="inlineStr">
        <is>
          <t xml:space="preserve">USD</t>
        </is>
      </c>
      <c r="M111" s="0" t="inlineStr">
        <is>
          <t xml:space="preserve">LR</t>
        </is>
      </c>
      <c r="N111" s="4" t="inlineStr">
        <is>
          <t xml:space="preserve">Tecnologías de la información, telecomunicaciones y radiodifusión / Software / Software de seguridad y protección</t>
        </is>
      </c>
      <c r="O111" s="4" t="inlineStr">
        <is>
          <t xml:space="preserve">1 Global · Software de protección antivirus y de seguridad de transacciones</t>
        </is>
      </c>
      <c r="P111" s="2"/>
      <c r="Q111" s="2"/>
      <c r="R111" s="0" t="inlineStr">
        <is>
          <t xml:space="preserve">12 meses</t>
        </is>
      </c>
      <c r="S111" s="0" t="inlineStr">
        <is>
          <t xml:space="preserve">No</t>
        </is>
      </c>
      <c r="T111" s="4" t="inlineStr">
        <is>
          <t xml:space="preserve">Según punto 16 de las bases</t>
        </is>
      </c>
      <c r="U111" s="0" t="inlineStr">
        <is>
          <t xml:space="preserve">por definir</t>
        </is>
      </c>
      <c r="V111" s="4" t="inlineStr">
        <is>
          <t xml:space="preserve">E102RT8 - SERVICIO DE PLATAFORMA SIEM DE NUEVA GENERACIÓN EN MODALIDAD SAAS PARA EL INSTITUTO DE PREVISIÓN SOCIAL</t>
        </is>
      </c>
      <c r="W111" s="5" t="str">
        <f>HYPERLINK("https://www.mercadopublico.cl/Procurement/Modules/Attachment/ViewAttachment.aspx?enc=jIs2UcUOP4zMuGF2qQqBvQscgyZ0DYrE%2bb%2fEhcxjpVMSuaoILMIYazcr%2brVJ88V2fGyG1BFoadtyAu1dH39aSJuwTMk8BLb67S4UxCuo7LuQ5G764CiKQPxZAUHLdDFBtKR6s7VKMkV2orH1GImYX7loRIMj3BjICoMRwpHvZxjhAc4QzsGGF7W8pRfYTkva6NIQJ4pofL2ukpQxt1gJMh7cBwSEhKyCzoEC46%2b1ehCeQVLdW4lzqxuhpruBZytzxYctwuOL79llrRR1RpN%2fEaBlEFu2rfdf2h%2bDZThoV5vh%2bsSPVDGOnb48gW72UFHR","descargar bases")</f>
      </c>
    </row>
    <row r="112">
      <c r="A112" s="0" t="inlineStr">
        <is>
          <t xml:space="preserve">188-83-LP26</t>
        </is>
      </c>
      <c r="B112" s="4" t="inlineStr">
        <is>
          <t xml:space="preserve">Plataforma de Control de Proyectos COMUDEF</t>
        </is>
      </c>
      <c r="C112" s="0" t="inlineStr">
        <is>
          <t xml:space="preserve">Publicada</t>
        </is>
      </c>
      <c r="D112" s="0" t="inlineStr">
        <is>
          <t xml:space="preserve">CORP MUNICIPAL DE EDUC SALUD CULTURA Y RECREACION DE LA FLORIDA</t>
        </is>
      </c>
      <c r="E112" s="0" t="inlineStr">
        <is>
          <t xml:space="preserve">Corporación Municipal de la Florida</t>
        </is>
      </c>
      <c r="F112" s="0" t="inlineStr">
        <is>
          <t xml:space="preserve">Región Metropolitana de Santiago</t>
        </is>
      </c>
      <c r="G112" s="0" t="inlineStr">
        <is>
          <t xml:space="preserve">La Florida</t>
        </is>
      </c>
      <c r="H112" s="2">
        <v>46272.712998</v>
      </c>
      <c r="I112" s="2">
        <v>46297.625694</v>
      </c>
      <c r="J112" s="0">
        <v>13</v>
      </c>
      <c r="K112" s="3"/>
      <c r="L112" s="0" t="inlineStr">
        <is>
          <t xml:space="preserve">CLP</t>
        </is>
      </c>
      <c r="M112" s="0" t="inlineStr">
        <is>
          <t xml:space="preserve">LP</t>
        </is>
      </c>
      <c r="N112" s="4" t="inlineStr">
        <is>
          <t xml:space="preserve">Tecnologías de la información, telecomunicaciones y radiodifusión / Software / Software de controladores de dispositivos y utilidades</t>
        </is>
      </c>
      <c r="O112" s="4" t="inlineStr">
        <is>
          <t xml:space="preserve">1 Unidad no definida · Software de copias de seguridad o archivado</t>
        </is>
      </c>
      <c r="P112" s="2"/>
      <c r="Q112" s="2"/>
      <c r="R112" s="0" t="inlineStr">
        <is>
          <t xml:space="preserve">12 meses</t>
        </is>
      </c>
      <c r="S112" s="0" t="inlineStr">
        <is>
          <t xml:space="preserve">No</t>
        </is>
      </c>
      <c r="T112" s="4" t="inlineStr">
        <is>
          <t xml:space="preserve">Según Resolución N° 369-2026, punto 19, de las bases administrativas.</t>
        </is>
      </c>
      <c r="U112" s="0" t="inlineStr">
        <is>
          <t xml:space="preserve">Mario Arancibia</t>
        </is>
      </c>
      <c r="V112" s="4" t="inlineStr">
        <is>
          <t xml:space="preserve">La Corporación Municipal de La Florida, en adelante también llamado “COMUDEF” o “La Corporación”, ha elaborado las presentes Bases Administrativas, Bases Técnicas y Anexos de Licitación Pública, las cuales contienen todas las condiciones y especificaciones técnicas que deberán cumplir los oferentes para materializar la “CONTRATACIÓN, IMPLEMENTACIÓN Y SOPORTE DE PLATAFORMA DIGITAL DE SISTEMA DE  SEGUIMIENTO Y CONTROL DE PROYECTOS, SERVICIOS Y HONORARIOS CORPORATIVOS PARA LA CORPORACIÓN MUNICIPAL DE LA FLORIDA – COMUDEF”, por un periodo de doce 12 meses.</t>
        </is>
      </c>
      <c r="W112" s="5" t="str">
        <f>HYPERLINK("https://www.mercadopublico.cl/Procurement/Modules/Attachment/ViewAttachment.aspx?enc=u8no42F%2b%2bK14h5du0rwH57pLVY%2fRs2fctzT%2bg0K%2fr%2bmxc%2buWnqVAlyu4jv6%2fAgIdeFxDwMaeMUFWaiuCq7TzwXUMwg1xqJH6zAQiGVxqbMnY23C60%2bf%2fIDQUIkkPI7xDGe4t8o4W%2boChbbVzo%2fyvT7BIOqxTBtY12ZFd3iZTlHxYR%2fybLCORv4%2bba6WCJI8sv0UiXxuvOxX2ow4atQtAeaz2%2fLtsxqvyQOLgcSaWAV0Vw%2fGbycW%2b08uUkRjYsH7zbj1FfySras7QpBQS8TYdYF2Ef%2fXjB4ZIBdmPM7y9TN%2fFzesl5bXAjqWx3BiwN7sI","descargar bases")</f>
      </c>
    </row>
    <row r="113">
      <c r="A113" s="0" t="inlineStr">
        <is>
          <t xml:space="preserve">2385-56-LE26</t>
        </is>
      </c>
      <c r="B113" s="4" t="inlineStr">
        <is>
          <t xml:space="preserve">ADQUISICIÓN CURSO OFIMÁTICA E INTELIGENCIA ARTIFICIAL</t>
        </is>
      </c>
      <c r="C113" s="0" t="inlineStr">
        <is>
          <t xml:space="preserve">Publicada</t>
        </is>
      </c>
      <c r="D113" s="0" t="inlineStr">
        <is>
          <t xml:space="preserve">I MUNICIPALIDAD DE CALAMA</t>
        </is>
      </c>
      <c r="E113" s="0" t="inlineStr">
        <is>
          <t xml:space="preserve">ADQUISICIONES</t>
        </is>
      </c>
      <c r="F113" s="0" t="inlineStr">
        <is>
          <t xml:space="preserve">Región de Antofagasta </t>
        </is>
      </c>
      <c r="G113" s="0"/>
      <c r="H113" s="2">
        <v>46279.511262</v>
      </c>
      <c r="I113" s="2">
        <v>46300.625</v>
      </c>
      <c r="J113" s="0">
        <v>16</v>
      </c>
      <c r="K113" s="3">
        <v>7500000.0</v>
      </c>
      <c r="L113" s="0" t="inlineStr">
        <is>
          <t xml:space="preserve">CLP</t>
        </is>
      </c>
      <c r="M113" s="0" t="inlineStr">
        <is>
          <t xml:space="preserve">LE</t>
        </is>
      </c>
      <c r="N113" s="4" t="inlineStr">
        <is>
          <t xml:space="preserve">Educación, formación, entrenamiento y capacitación / Sistemas educativos complementarios / Educación de adultos</t>
        </is>
      </c>
      <c r="O113" s="4" t="inlineStr">
        <is>
          <t xml:space="preserve">1 Unidad · Capacitación a empleados · 1 Unidad · Capacitación a empleados · 1 Unidad · Capacitación a empleados · y 1 más</t>
        </is>
      </c>
      <c r="P113" s="2"/>
      <c r="Q113" s="2"/>
      <c r="R113" s="0"/>
      <c r="S113" s="0" t="inlineStr">
        <is>
          <t xml:space="preserve">No</t>
        </is>
      </c>
      <c r="T113" s="4" t="inlineStr">
        <is>
          <t xml:space="preserve">El adjudicatario no podrá ceder ni transferir en forma  alguna, total ni parcialmente, los derechos
y obligaciones que nacen del desarrollo de esta licitación.</t>
        </is>
      </c>
      <c r="U113" s="0" t="inlineStr">
        <is>
          <t xml:space="preserve">Marisol Zurita</t>
        </is>
      </c>
      <c r="V113" s="4" t="inlineStr">
        <is>
          <t xml:space="preserve">Las presentes Bases Administrativas tienen por objeto de regular las condiciones del llamado a propuesta pública que efectuará la Municipalidad de Calama, destinado a la “Adquisición curso ofimática e inteligencia artificial”, en atención a invertir en el desarrollo de competencias digitales de nuestros funcionarios, asegurando que cuenten con conocimientos actualizados y aplicables a sus labores cotidianas.</t>
        </is>
      </c>
      <c r="W113" s="5" t="str">
        <f>HYPERLINK("https://www.mercadopublico.cl/Procurement/Modules/Attachment/ViewAttachment.aspx?enc=pKMltUKNdjPXOpku49NdndOvXpi38gVgwn6PNLAagVnYMBe5dJQgYbLYa4%2fMJCBsqbimXgjXwqy8qQLcSZ9hfOkBLx1g7VAGMSc6ULxUYdPNY4AgDdS5LCPmRmrvnMqnYN9nttSukKnWksX8l%2b7UlWgtPdp2nD12jkwbhVv00cfK%2fBYL%2bypO%2b4MwAChHgCs5S%2fPGljBQlJx3BVRBcLz5dMWUkAgelwEuXnvszYtI3d%2bqU3sABcE%2f7eIGToYb8cDBOLGyxS1jH0w1vBJlN1%2bOvuz%2bEerJbQbdLE1YejeBFfMAhJJSkdYyPNpmBIf6Ogi3","descargar bases")</f>
      </c>
    </row>
    <row r="114">
      <c r="A114" s="0" t="inlineStr">
        <is>
          <t xml:space="preserve">5890-11-LP26</t>
        </is>
      </c>
      <c r="B114" s="4" t="inlineStr">
        <is>
          <t xml:space="preserve">PLATAFORMA DE ANALISIS AVANZADO MALWARE PNCO2025</t>
        </is>
      </c>
      <c r="C114" s="0" t="inlineStr">
        <is>
          <t xml:space="preserve">Publicada</t>
        </is>
      </c>
      <c r="D114" s="0" t="inlineStr">
        <is>
          <t xml:space="preserve">POLICIA DE INVESTIGACIONES DE CHILE</t>
        </is>
      </c>
      <c r="E114" s="0" t="inlineStr">
        <is>
          <t xml:space="preserve">JENACO</t>
        </is>
      </c>
      <c r="F114" s="0" t="inlineStr">
        <is>
          <t xml:space="preserve">Región Metropolitana de Santiago</t>
        </is>
      </c>
      <c r="G114" s="0" t="inlineStr">
        <is>
          <t xml:space="preserve">Independencia</t>
        </is>
      </c>
      <c r="H114" s="2">
        <v>46280.537014</v>
      </c>
      <c r="I114" s="2">
        <v>46300.625</v>
      </c>
      <c r="J114" s="0">
        <v>16</v>
      </c>
      <c r="K114" s="3">
        <v>235620000.0</v>
      </c>
      <c r="L114" s="0" t="inlineStr">
        <is>
          <t xml:space="preserve">CLP</t>
        </is>
      </c>
      <c r="M114" s="0" t="inlineStr">
        <is>
          <t xml:space="preserve">LP</t>
        </is>
      </c>
      <c r="N114" s="4" t="inlineStr">
        <is>
          <t xml:space="preserve">Tecnologías de la información, telecomunicaciones y radiodifusión / Componentes para tecnología de la información, difusión o telecomunicaciones / Accesorios de soportes de almacenamiento extraíbles</t>
        </is>
      </c>
      <c r="O114" s="4" t="inlineStr">
        <is>
          <t xml:space="preserve">1 Unidad · Cajas de almacenamientos de diferentes soportes</t>
        </is>
      </c>
      <c r="P114" s="2"/>
      <c r="Q114" s="2"/>
      <c r="R114" s="0"/>
      <c r="S114" s="0" t="inlineStr">
        <is>
          <t xml:space="preserve">No</t>
        </is>
      </c>
      <c r="T114" s="4" t="inlineStr">
        <is>
          <t xml:space="preserve">NO PERMITE SUBCONTRATACIÓN, ARTICULO 53 DE LA RESOLUCIÓN</t>
        </is>
      </c>
      <c r="U114" s="0" t="inlineStr">
        <is>
          <t xml:space="preserve">DIEGO MONTES ISLAS</t>
        </is>
      </c>
      <c r="V114" s="4" t="inlineStr">
        <is>
          <t xml:space="preserve">SEGUN BASES ADMINISTRATIVAS Y ANEXOS ADJUNTOS</t>
        </is>
      </c>
      <c r="W114" s="5" t="str">
        <f>HYPERLINK("https://www.mercadopublico.cl/Procurement/Modules/Attachment/ViewAttachment.aspx?enc=FCuMjWW2mYUJ9i11Rpt%2bOrSk2V80fUo5NSR64vHQUh7UFxffnfkJl2PB5VMBz5J74H%2bc9HjKTQnO%2ftLMRnyZTFUXEsjvzPpZ2eSKIk0%2fFjQzcsNnE7K9gKt4Xzw1UeAE64QRGYIbgytx%2b%2fCWZZmiLP0%2fQ47wz4%2fPUwjpkeY3%2b7LYej9JoSEdZzoC0Ar2FX2lMm7UcmlQXsqUakvBegwBejMRjYW44ePQw5tufRdv2muov4YPwPcMPXpHyciXACqbI%2bZE8DwiFUcHZZxEXzMjafVCGgeaiX0IZxfHeyky0Ul9nqYjFu1iYVhwDEc%2bwXr6","descargar bases")</f>
      </c>
    </row>
    <row r="115">
      <c r="A115" s="0" t="inlineStr">
        <is>
          <t xml:space="preserve">869591-12-LP26</t>
        </is>
      </c>
      <c r="B115" s="4" t="inlineStr">
        <is>
          <t xml:space="preserve">CONTRATACIÓN DE PLATAFORMA DE GESTIÓN DOCUMENTAL EXPEDIENTE ELECTRÓNICO Y GESTIÓN DE PROCESOS</t>
        </is>
      </c>
      <c r="C115" s="0" t="inlineStr">
        <is>
          <t xml:space="preserve">Publicada</t>
        </is>
      </c>
      <c r="D115" s="0" t="inlineStr">
        <is>
          <t xml:space="preserve">DIRECCION DE COMPRAS Y CONTRATACION PUBLICA</t>
        </is>
      </c>
      <c r="E115" s="0" t="inlineStr">
        <is>
          <t xml:space="preserve">Calidad del Gasto en las Compras Públicas</t>
        </is>
      </c>
      <c r="F115" s="0" t="inlineStr">
        <is>
          <t xml:space="preserve">Región Metropolitana de Santiago</t>
        </is>
      </c>
      <c r="G115" s="0" t="inlineStr">
        <is>
          <t xml:space="preserve">Santiago Centro</t>
        </is>
      </c>
      <c r="H115" s="2">
        <v>46280.60772</v>
      </c>
      <c r="I115" s="2">
        <v>46300.625</v>
      </c>
      <c r="J115" s="0">
        <v>16</v>
      </c>
      <c r="K115" s="3"/>
      <c r="L115" s="0" t="inlineStr">
        <is>
          <t xml:space="preserve">CLP</t>
        </is>
      </c>
      <c r="M115" s="0" t="inlineStr">
        <is>
          <t xml:space="preserve">LP</t>
        </is>
      </c>
      <c r="N115" s="4" t="inlineStr">
        <is>
          <t xml:space="preserve">Tecnologías de la información, telecomunicaciones y radiodifusión / Software / Software de gestión de contenidos</t>
        </is>
      </c>
      <c r="O115" s="4" t="inlineStr">
        <is>
          <t xml:space="preserve">1 Unidad · Programas de gestión de documentos</t>
        </is>
      </c>
      <c r="P115" s="2"/>
      <c r="Q115" s="2"/>
      <c r="R115" s="0" t="inlineStr">
        <is>
          <t xml:space="preserve">44 meses</t>
        </is>
      </c>
      <c r="S115" s="0" t="inlineStr">
        <is>
          <t xml:space="preserve">No</t>
        </is>
      </c>
      <c r="T115" s="4" t="inlineStr">
        <is>
          <t xml:space="preserve">ver clausula 10 de las bases especiales</t>
        </is>
      </c>
      <c r="U115" s="0" t="inlineStr">
        <is>
          <t xml:space="preserve">Marcela Cabrera</t>
        </is>
      </c>
      <c r="V115" s="4" t="inlineStr">
        <is>
          <t xml:space="preserve">CONTRATACIÓN DE PLATAFORMA DE GESTIÓN DOCUMENTAL, EXPEDIENTE ELECTRÓNICO Y GESTIÓN DE PROCESOS PARA LA DIRECCIÓN DE COMPRAS Y CONTRATACIÓN PÚBLICA</t>
        </is>
      </c>
      <c r="W115" s="5" t="str">
        <f>HYPERLINK("https://www.mercadopublico.cl/Procurement/Modules/Attachment/ViewAttachment.aspx?enc=%2faM8FesMLxl2Sg%2fvb6aAUAVBbFlwYzfQJCcCVBn38OJeGkj%2f0E8hHwi4OWD%2fHYkNN48II17dnG210wezLI1%2bBX6L79FhZOUdoWJrnOvFJJNZvfA0mUAQfzXm32AjTR4uQiAk6g46RPK4CdRJ%2bD75%2fT5FCvwdP3DZxWVYt21WjFnCgPCitQet9WKTdE4FwYn8lK%2bA2csGFLROxl%2ftb7ZUOVnpDqxaCya7Glv75v4CDiV2B1hkQT1veNFo%2bgOZKd%2fkwU%2b9PCwnK1Yyz3TOCpQTT7ECE%2bYOTNd4wqWlMsHEugguIEjE94cRUKalynGPaSRd","descargar bases")</f>
      </c>
    </row>
    <row r="116">
      <c r="A116" s="0" t="inlineStr">
        <is>
          <t xml:space="preserve">1562-61-LP26</t>
        </is>
      </c>
      <c r="B116" s="4" t="inlineStr">
        <is>
          <t xml:space="preserve">PLATAFORMA DE SEGURIDAD PERIMETRAL</t>
        </is>
      </c>
      <c r="C116" s="0" t="inlineStr">
        <is>
          <t xml:space="preserve">Publicada</t>
        </is>
      </c>
      <c r="D116" s="0" t="inlineStr">
        <is>
          <t xml:space="preserve">SERVICIO NACIONAL DE GEOLOGIA Y MINERIA</t>
        </is>
      </c>
      <c r="E116" s="0" t="inlineStr">
        <is>
          <t xml:space="preserve">Servicio Nacional de Geología y Minería</t>
        </is>
      </c>
      <c r="F116" s="0" t="inlineStr">
        <is>
          <t xml:space="preserve">Región Metropolitana de Santiago</t>
        </is>
      </c>
      <c r="G116" s="0" t="inlineStr">
        <is>
          <t xml:space="preserve">Providencia</t>
        </is>
      </c>
      <c r="H116" s="2">
        <v>46280.450081</v>
      </c>
      <c r="I116" s="2">
        <v>46300.625694</v>
      </c>
      <c r="J116" s="0">
        <v>16</v>
      </c>
      <c r="K116" s="3">
        <v>78172750.0</v>
      </c>
      <c r="L116" s="0" t="inlineStr">
        <is>
          <t xml:space="preserve">CLP</t>
        </is>
      </c>
      <c r="M116" s="0" t="inlineStr">
        <is>
          <t xml:space="preserve">LP</t>
        </is>
      </c>
      <c r="N116" s="4" t="inlineStr">
        <is>
          <t xml:space="preserve">Servicios basados en ingeniería, ciencias sociales y tecnología de la información / Servicios informáticos / Administración de sistemas, Tecnologías de la información, telecomunicaciones y radiodifusión / Software / Programas de desarrollo, Tecnologías de la información, telecomunicaciones y radiodifusión / Software / Software de gestión</t>
        </is>
      </c>
      <c r="O116" s="4" t="inlineStr">
        <is>
          <t xml:space="preserve">2 Unidad · Mantenimiento y soporte de hardware · 1 Unidad · Software de gestión de licencias · 1 Unidad · Programas de gestión de configuración</t>
        </is>
      </c>
      <c r="P116" s="2"/>
      <c r="Q116" s="2"/>
      <c r="R116" s="0"/>
      <c r="S116" s="0" t="inlineStr">
        <is>
          <t xml:space="preserve">No</t>
        </is>
      </c>
      <c r="T116" s="4"/>
      <c r="U116" s="0" t="inlineStr">
        <is>
          <t xml:space="preserve">GONZALO PALET MUÑOZ</t>
        </is>
      </c>
      <c r="V116" s="4" t="inlineStr">
        <is>
          <t xml:space="preserve">El Observatorio Volcanológico de los Andes del Sur, perteneciente a la Red Nacional de Vigilancia Volcánica del SERNAGEOMIN, con la finalidad de garantizar la continuidad operacional del monitoreo volcánico, requiere de la Adquisición de una plataforma de seguridad perimetral compuesta por un 1 clúster de alta disponibilidad HA, basado en equipamiento Fortinet FortiGate FG-120G o superiorequivalente, destinado a la protección de la infraestructura crítica y segmentación de redes del Observatorio Volcanológico de los Andes del Sur OVDAS.</t>
        </is>
      </c>
      <c r="W116" s="5" t="str">
        <f>HYPERLINK("https://www.mercadopublico.cl/Procurement/Modules/Attachment/ViewAttachment.aspx?enc=KAZ7Scvq2qbFInJekBZfHyWxzz3kbWMUmnjZw5ZhWlrUOxkSmlRBm2Mf0Mug2NWNXmIQS5AUgDHIPKFphcpYMWajG3SQw2FXSTMWhtkoS8dfgbCV4ksJa3mE0yRHjg39GnhOuKamkQ1HBNIpqBsAjQTJNx0xEbBBdgoLRXaBThpA%2bitwXlhGt2FdOXZhj5w%2fbvHoYpIBAyc0yDPdsgb0m2LjTeuYUaIDbYcPZyriqLSgwowsUMIhsirVsaYCQff4PwHJn%2fP4wvciHrIzhF415vc2b2lIbsOTkgZnTaYuaWpdXM4oJrVXO67eyWdoWQRg","descargar bases")</f>
      </c>
    </row>
    <row r="117">
      <c r="A117" s="0" t="inlineStr">
        <is>
          <t xml:space="preserve">587-49-LE26</t>
        </is>
      </c>
      <c r="B117" s="4" t="inlineStr">
        <is>
          <t xml:space="preserve">SELICO 198- 2026 SERVICIO DE DIGITALIZACIÓN</t>
        </is>
      </c>
      <c r="C117" s="0" t="inlineStr">
        <is>
          <t xml:space="preserve">Publicada</t>
        </is>
      </c>
      <c r="D117" s="0" t="inlineStr">
        <is>
          <t xml:space="preserve">SUBSECRETARIA DEL MINISTERIO DE LA VIVIENDA Y URBANISMO</t>
        </is>
      </c>
      <c r="E117" s="0" t="inlineStr">
        <is>
          <t xml:space="preserve">Ministerio de Vivienda y Urbanismo(766)</t>
        </is>
      </c>
      <c r="F117" s="0" t="inlineStr">
        <is>
          <t xml:space="preserve">Región Metropolitana de Santiago</t>
        </is>
      </c>
      <c r="G117" s="0"/>
      <c r="H117" s="2">
        <v>46280.397014</v>
      </c>
      <c r="I117" s="2">
        <v>46300.631944</v>
      </c>
      <c r="J117" s="0">
        <v>16</v>
      </c>
      <c r="K117" s="3">
        <v>25000000.0</v>
      </c>
      <c r="L117" s="0" t="inlineStr">
        <is>
          <t xml:space="preserve">CLP</t>
        </is>
      </c>
      <c r="M117" s="0" t="inlineStr">
        <is>
          <t xml:space="preserve">LE</t>
        </is>
      </c>
      <c r="N117" s="4" t="inlineStr">
        <is>
          <t xml:space="preserve">Servicios basados en ingeniería, ciencias sociales y tecnología de la información / Servicios informáticos / Servicios de datos</t>
        </is>
      </c>
      <c r="O117" s="4" t="inlineStr">
        <is>
          <t xml:space="preserve">1 Global · Servicios de digitalización de documentos</t>
        </is>
      </c>
      <c r="P117" s="2"/>
      <c r="Q117" s="2"/>
      <c r="R117" s="0" t="inlineStr">
        <is>
          <t xml:space="preserve">150 días</t>
        </is>
      </c>
      <c r="S117" s="0" t="inlineStr">
        <is>
          <t xml:space="preserve">No</t>
        </is>
      </c>
      <c r="T117" s="4" t="inlineStr">
        <is>
          <t xml:space="preserve">NO PERMITE SUBCONTRATACIÓN VER PUNTO 1.13.5.7. “SUBCONTRATACIÓN” DE LAS BASES ADMINISTRATIVAS.</t>
        </is>
      </c>
      <c r="U117" s="0" t="inlineStr">
        <is>
          <t xml:space="preserve">Jefa de la División Técnica de Estudio</t>
        </is>
      </c>
      <c r="V117" s="4" t="inlineStr">
        <is>
          <t xml:space="preserve">Servicio de digitalización e indexación de documentación del MINVU y de la SEREMI Región Metropolitana.</t>
        </is>
      </c>
      <c r="W117" s="5" t="str">
        <f>HYPERLINK("https://www.mercadopublico.cl/Procurement/Modules/Attachment/ViewAttachment.aspx?enc=kODK8jqutcSL29aFVjcTGBcxzlp4WW6l2z9Bnmefen7Bnq7ycy271RS0zOs%2bpu%2fvQDKB5Qrl%2br4OdsY66IFlbAmDdy9KGHUCQgsG7NHyv0yMWYoTidH8Lg8V73X%2bBpPHOUCN5tno4qvTWo90zBHuTHIpkJ632cBryO90PoYFGlumERMC4H3RpDNftpHRA0%2fGzybOEs%2bzM88naEZeGEBJLdq1SmCVqYFO7y55CgQ0lBkfYI8DntOirRwA8SD6RcUokuLXaS1VEtp5nBDZVGg49AH8AJNdeFQFtPr8QSfput8vNA5P%2foP4heI9vpEsjZ9K","descargar bases")</f>
      </c>
    </row>
    <row r="118">
      <c r="A118" s="0" t="inlineStr">
        <is>
          <t xml:space="preserve">1057049-332-LR26</t>
        </is>
      </c>
      <c r="B118" s="4" t="inlineStr">
        <is>
          <t xml:space="preserve">JLL BASES SERVICIO DE TURNOS PROFESIONALES PARA DESARROLLO DE SOFTWARE INTERNO DEL HOSPITAL CLÍNICO SAN BORJA ARRIARÁN</t>
        </is>
      </c>
      <c r="C118" s="0" t="inlineStr">
        <is>
          <t xml:space="preserve">Publicada</t>
        </is>
      </c>
      <c r="D118" s="0" t="inlineStr">
        <is>
          <t xml:space="preserve">SERV SALUD METROPOLITANO CENTRAL HOSPITAL CLINICO SAN BORJA ARRIARAN</t>
        </is>
      </c>
      <c r="E118" s="0" t="inlineStr">
        <is>
          <t xml:space="preserve">Bienes y Servicios</t>
        </is>
      </c>
      <c r="F118" s="0" t="inlineStr">
        <is>
          <t xml:space="preserve">Región Metropolitana de Santiago</t>
        </is>
      </c>
      <c r="G118" s="0" t="inlineStr">
        <is>
          <t xml:space="preserve">Santiago</t>
        </is>
      </c>
      <c r="H118" s="2">
        <v>46267.711424</v>
      </c>
      <c r="I118" s="2">
        <v>46300.645833</v>
      </c>
      <c r="J118" s="0">
        <v>16</v>
      </c>
      <c r="K118" s="3">
        <v>819072000.0</v>
      </c>
      <c r="L118" s="0" t="inlineStr">
        <is>
          <t xml:space="preserve">CLP</t>
        </is>
      </c>
      <c r="M118" s="0" t="inlineStr">
        <is>
          <t xml:space="preserve">LR</t>
        </is>
      </c>
      <c r="N118" s="4" t="inlineStr">
        <is>
          <t xml:space="preserve">Servicios profesionales, administrativos y consultorías de gestión empresarial / Servicios de recursos humanos / Servicios de personal temporal</t>
        </is>
      </c>
      <c r="O118" s="4" t="inlineStr">
        <is>
          <t xml:space="preserve">1 Global · Personal técnico temporal</t>
        </is>
      </c>
      <c r="P118" s="2"/>
      <c r="Q118" s="2"/>
      <c r="R118" s="0" t="inlineStr">
        <is>
          <t xml:space="preserve">24 meses</t>
        </is>
      </c>
      <c r="S118" s="0" t="inlineStr">
        <is>
          <t xml:space="preserve">No</t>
        </is>
      </c>
      <c r="T118" s="4"/>
      <c r="U118" s="0" t="inlineStr">
        <is>
          <t xml:space="preserve">JUAN CARLOS LAFONT</t>
        </is>
      </c>
      <c r="V118" s="4" t="inlineStr">
        <is>
          <t xml:space="preserve">CONTRATACION DE TURNOS PROFESIONALES PARA DESARROLLO DE SOFTWARE INTERNO DEL HOSPITAL CLÍNICO SAN BORJA ARRIARÁN</t>
        </is>
      </c>
      <c r="W118" s="5" t="str">
        <f>HYPERLINK("https://www.mercadopublico.cl/Procurement/Modules/Attachment/ViewAttachment.aspx?enc=u1HKwvOBchuv5K4ESIMgrZyC%2beHV3BYba4AxQ0T%2fgYYaKZE26GjTTucs19rI4fGQ60Iq61xfMRuoyitXGGJ3GO4Oc%2fcdkBwrLipDA8IGEMoD%2ffm9Oq2TBSi49hMdRM8unXxUo8kzwshLH6ezeppvnvWtC8z%2fKfDIo%2f8EDRc651UChc%2fq%2fHu7H2MG1oTIz35ff%2bi3JeD5p%2bRVpHARhEmMST9DPYtvd5TfnY45PzGjLDMLrTXbZGyRtOiB7MdPbwnY1x8NIJBOH3e3OXllmscLxc9YEOw7ah2uGJeWUrZRwLwD8k2Z8twmbPdLE7D%2fM9mf","descargar bases")</f>
      </c>
    </row>
    <row r="119">
      <c r="A119" s="0" t="inlineStr">
        <is>
          <t xml:space="preserve">885-85-LE26</t>
        </is>
      </c>
      <c r="B119" s="4" t="inlineStr">
        <is>
          <t xml:space="preserve">Adquisición de licencias de software Acrobat Pro DC for teams ALL MP MLA Team para la Contraloría General de la República.</t>
        </is>
      </c>
      <c r="C119" s="0" t="inlineStr">
        <is>
          <t xml:space="preserve">Publicada</t>
        </is>
      </c>
      <c r="D119" s="0" t="inlineStr">
        <is>
          <t xml:space="preserve">CONTRALORIA GENERAL DE LA REPUBLICA</t>
        </is>
      </c>
      <c r="E119" s="0" t="inlineStr">
        <is>
          <t xml:space="preserve">Contraloría General de la República</t>
        </is>
      </c>
      <c r="F119" s="0" t="inlineStr">
        <is>
          <t xml:space="preserve">Región Metropolitana de Santiago</t>
        </is>
      </c>
      <c r="G119" s="0"/>
      <c r="H119" s="2">
        <v>46280.66125</v>
      </c>
      <c r="I119" s="2">
        <v>46300.666667</v>
      </c>
      <c r="J119" s="0">
        <v>16</v>
      </c>
      <c r="K119" s="3">
        <v>11000000.0</v>
      </c>
      <c r="L119" s="0" t="inlineStr">
        <is>
          <t xml:space="preserve">CLP</t>
        </is>
      </c>
      <c r="M119" s="0" t="inlineStr">
        <is>
          <t xml:space="preserve">LE</t>
        </is>
      </c>
      <c r="N119" s="4" t="inlineStr">
        <is>
          <t xml:space="preserve">Tecnologías de la información, telecomunicaciones y radiodifusión / Software / Software de gestión</t>
        </is>
      </c>
      <c r="O119" s="4" t="inlineStr">
        <is>
          <t xml:space="preserve">50 Unidad · Software de gestión de licencias</t>
        </is>
      </c>
      <c r="P119" s="2"/>
      <c r="Q119" s="2"/>
      <c r="R119" s="0" t="inlineStr">
        <is>
          <t xml:space="preserve">12 meses</t>
        </is>
      </c>
      <c r="S119" s="0" t="inlineStr">
        <is>
          <t xml:space="preserve">No</t>
        </is>
      </c>
      <c r="T119" s="4"/>
      <c r="U119" s="0" t="inlineStr">
        <is>
          <t xml:space="preserve">Irma del Carmen Garcés Ramírez</t>
        </is>
      </c>
      <c r="V119" s="4" t="inlineStr">
        <is>
          <t xml:space="preserve">La Contraloría General de la República llama a presentar ofertas para la adquisición de 50 (cincuenta) licencias de software Acrobat Pro-DC for teams ALL MP MLA Team Licensing por un período de 12 meses.</t>
        </is>
      </c>
      <c r="W119" s="5" t="str">
        <f>HYPERLINK("https://www.mercadopublico.cl/Procurement/Modules/Attachment/ViewAttachment.aspx?enc=m%2f%2beG3vm48d0LoLZUT0qenpyVqMIp5pjiPizNVqQn0THQNnxfA28cVt5gMRbeyHm6g7%2fZ7rhNl11erpaWUHR2Ec8BWH4qZYCY0vLduucqEWYqHg1%2bw4CPLqm12aBJ48%2fOjOWoKu4PV4vI8z59OB5WW%2fM3jg0qCgbhKCX%2bcF6DVvuZ0wK%2bXV6GM3QLcAZiJ4szT21xqI3D3nNixSEopf1zfCM%2biTgf%2fUBo76WoLOJo%2b%2f%2b4PUa5RYVSsONXQO7oFjO%2fTR6YP5jkjPbWOkg9uqy%2fwJBgnKAvCHvFsuOL5mN2t8zPker1h7dd%2bHBidfeKAxl","descargar bases")</f>
      </c>
    </row>
    <row r="120">
      <c r="A120" s="0" t="inlineStr">
        <is>
          <t xml:space="preserve">948354-137-LP26</t>
        </is>
      </c>
      <c r="B120" s="4" t="inlineStr">
        <is>
          <t xml:space="preserve">LA ADQUISICIÓN DE EQUIPO DE RAYOS X ARCO C CON FLUOROSCOPIA DIGITAL PARA EL HOSPITAL DIPRECA</t>
        </is>
      </c>
      <c r="C120" s="0" t="inlineStr">
        <is>
          <t xml:space="preserve">Publicada</t>
        </is>
      </c>
      <c r="D120" s="0" t="inlineStr">
        <is>
          <t xml:space="preserve">FONDO HOSPITAL DE LA DIRECCION DE PREVISION DE CARABINEROS DE CHILE</t>
        </is>
      </c>
      <c r="E120" s="0" t="inlineStr">
        <is>
          <t xml:space="preserve">Unidad de Compra de Bienes y Servicios</t>
        </is>
      </c>
      <c r="F120" s="0" t="inlineStr">
        <is>
          <t xml:space="preserve">Región Metropolitana de Santiago</t>
        </is>
      </c>
      <c r="G120" s="0" t="inlineStr">
        <is>
          <t xml:space="preserve">Las Condes</t>
        </is>
      </c>
      <c r="H120" s="2">
        <v>46280.439745</v>
      </c>
      <c r="I120" s="2">
        <v>46300.666667</v>
      </c>
      <c r="J120" s="0">
        <v>16</v>
      </c>
      <c r="K120" s="3">
        <v>235000000.0</v>
      </c>
      <c r="L120" s="0" t="inlineStr">
        <is>
          <t xml:space="preserve">CLP</t>
        </is>
      </c>
      <c r="M120" s="0" t="inlineStr">
        <is>
          <t xml:space="preserve">LP</t>
        </is>
      </c>
      <c r="N120" s="4" t="inlineStr">
        <is>
          <t xml:space="preserve">Equipamiento para laboratorios / Instrumentos de medida y experimentación / Equipo de examen no invasivo</t>
        </is>
      </c>
      <c r="O120" s="4" t="inlineStr">
        <is>
          <t xml:space="preserve">1 Unidad · Equipo de examen por rayos X</t>
        </is>
      </c>
      <c r="P120" s="2"/>
      <c r="Q120" s="2"/>
      <c r="R120" s="0"/>
      <c r="S120" s="0" t="inlineStr">
        <is>
          <t xml:space="preserve">No</t>
        </is>
      </c>
      <c r="T120" s="4"/>
      <c r="U120" s="0" t="inlineStr">
        <is>
          <t xml:space="preserve">Rodrigo Arriagada</t>
        </is>
      </c>
      <c r="V120" s="4" t="inlineStr">
        <is>
          <t xml:space="preserve">El Hospital de la Dirección de Previsión de Carabineros de Chile, ubicado en Vital Apoquindo N°1.200, Comuna de Las Condes, Región Metropolitana, en adelante “EL HOSPITAL”, llama a Licitación Pública para la Adquisición de Equipo de Rayos X Arco C, con Fluoroscopia Digital, en adelante “EL BIEN”, cuyas características y requisitos técnicos constan en las Bases Administrativas y Técnicas de esta Licitación con sus respectivos anexos.</t>
        </is>
      </c>
      <c r="W120" s="5" t="str">
        <f>HYPERLINK("https://www.mercadopublico.cl/Procurement/Modules/Attachment/ViewAttachment.aspx?enc=uLSZGutMetzY3L%2bAXOBV4eKFOZXvRDE8yeF55mYbaWo%2fEJzOaCZd0w1OY4WT1TCZP75LO5fllsFcfr95l2O0t7NTbQzs%2fxK503qpLFTughlNgknJM2YXszsbJAIIJDjWXtiJ6bQOLPiZ4VBW8GnTaM3zI%2fkkak9QOLFgBuGfxYuaTX924KZKQeugEiL7KWRv7dE7vI1CzfWX2846NQ2cPd6dGWzR2sV%2bSOvWym7O7JXC0dCDlPb5Chksqzjpab%2fr7XeJFayvS5DjsQbhfofOObDNmwKAxZwO1sdtjbqg8qBnuB%2fvuu%2bE%2bMGeZDXBdbeB","descargar bases")</f>
      </c>
    </row>
    <row r="121">
      <c r="A121" s="0" t="inlineStr">
        <is>
          <t xml:space="preserve">1456836-4-LP26</t>
        </is>
      </c>
      <c r="B121" s="4" t="inlineStr">
        <is>
          <t xml:space="preserve">Software de Gestión de Personas y Remuneraciones</t>
        </is>
      </c>
      <c r="C121" s="0" t="inlineStr">
        <is>
          <t xml:space="preserve">Publicada</t>
        </is>
      </c>
      <c r="D121" s="0" t="inlineStr">
        <is>
          <t xml:space="preserve">SERVICIO LOCAL DE EDUCACIÓN PÚBLICA HANGA ROA</t>
        </is>
      </c>
      <c r="E121" s="0" t="inlineStr">
        <is>
          <t xml:space="preserve">SERVICIO LOCAL DE EDUCACIÓN PÚBLICA HANGA ROA</t>
        </is>
      </c>
      <c r="F121" s="0" t="inlineStr">
        <is>
          <t xml:space="preserve">Región de Valparaíso </t>
        </is>
      </c>
      <c r="G121" s="0" t="inlineStr">
        <is>
          <t xml:space="preserve">Isla De Pascua</t>
        </is>
      </c>
      <c r="H121" s="2">
        <v>46279.858738</v>
      </c>
      <c r="I121" s="2">
        <v>46300.708333</v>
      </c>
      <c r="J121" s="0">
        <v>16</v>
      </c>
      <c r="K121" s="3"/>
      <c r="L121" s="0" t="inlineStr">
        <is>
          <t xml:space="preserve">CLP</t>
        </is>
      </c>
      <c r="M121" s="0" t="inlineStr">
        <is>
          <t xml:space="preserve">LP</t>
        </is>
      </c>
      <c r="N121" s="4" t="inlineStr">
        <is>
          <t xml:space="preserve">Tecnologías de la información, telecomunicaciones y radiodifusión / Software / Software de gestión</t>
        </is>
      </c>
      <c r="O121" s="4" t="inlineStr">
        <is>
          <t xml:space="preserve">1 Global · Software de gestión de recursos humanos · 1 Global · Software de gestión de recursos humanos</t>
        </is>
      </c>
      <c r="P121" s="2"/>
      <c r="Q121" s="2"/>
      <c r="R121" s="0" t="inlineStr">
        <is>
          <t xml:space="preserve">24 meses</t>
        </is>
      </c>
      <c r="S121" s="0" t="inlineStr">
        <is>
          <t xml:space="preserve">No</t>
        </is>
      </c>
      <c r="T121" s="4" t="inlineStr">
        <is>
          <t xml:space="preserve">De acuerdo con el numeral 13.1 de las bases, el adjudicatario no podrá subcontratar los servicios de que trata esta licitación.</t>
        </is>
      </c>
      <c r="U121" s="0" t="inlineStr">
        <is>
          <t xml:space="preserve">Merahi Hito Solar</t>
        </is>
      </c>
      <c r="V121" s="4" t="inlineStr">
        <is>
          <t xml:space="preserve">Servicio de arriendo de Software de Gestión de Personas y Remuneraciones para el Servicio Local de Educación Pública Hanga Roa.</t>
        </is>
      </c>
      <c r="W121" s="5" t="str">
        <f>HYPERLINK("https://www.mercadopublico.cl/Procurement/Modules/Attachment/ViewAttachment.aspx?enc=6BXkagkXhRjGvC9XSn2l%2bJoHvyhDPqVL6Dp9WEgz0R3yYf8lLtP%2fFGRcjGoSR1xeJTIaBu9N6x%2byVCC5Wd0imq64TJ%2blAd2FgtStXdINuJW30%2bAHpv5Yueq6wsl%2fI0oRQem%2bmS4nykLOg%2bEa661x1xg2zSQ6U1%2f1eSmr5DaulfJxIN37fOVHq1XFHW0w7TZJA%2bQFUYGycNGgvU5UPjKrwBT5MwElsTSiwApl7tJwPKotjIFXTmh07sr%2bUROkTvYDd9Rm9BpOKtl2FIWlYzCRecn%2fm8J7AiePOtz5dAIVB05QCE%2biGem5MronKT6lnWnm","descargar bases")</f>
      </c>
    </row>
    <row r="122">
      <c r="A122" s="0" t="inlineStr">
        <is>
          <t xml:space="preserve">548874-77-LR26</t>
        </is>
      </c>
      <c r="B122" s="4" t="inlineStr">
        <is>
          <t xml:space="preserve">MANTENCIÓN Y MEJORA SISTEMA CIBERSEGURIDAD NCH ISO</t>
        </is>
      </c>
      <c r="C122" s="0" t="inlineStr">
        <is>
          <t xml:space="preserve">Publicada</t>
        </is>
      </c>
      <c r="D122" s="0" t="inlineStr">
        <is>
          <t xml:space="preserve">INSTITUTO DE PREVISION SOCIAL</t>
        </is>
      </c>
      <c r="E122" s="0" t="inlineStr">
        <is>
          <t xml:space="preserve">IPS Oficina Central de Compras</t>
        </is>
      </c>
      <c r="F122" s="0" t="inlineStr">
        <is>
          <t xml:space="preserve">Región Metropolitana de Santiago</t>
        </is>
      </c>
      <c r="G122" s="0" t="inlineStr">
        <is>
          <t xml:space="preserve">Santiago</t>
        </is>
      </c>
      <c r="H122" s="2">
        <v>46265.660069</v>
      </c>
      <c r="I122" s="2">
        <v>46301.625</v>
      </c>
      <c r="J122" s="0">
        <v>17</v>
      </c>
      <c r="K122" s="3">
        <v>11000.0</v>
      </c>
      <c r="L122" s="0" t="inlineStr">
        <is>
          <t xml:space="preserve">CLF</t>
        </is>
      </c>
      <c r="M122" s="0" t="inlineStr">
        <is>
          <t xml:space="preserve">LR</t>
        </is>
      </c>
      <c r="N122" s="4" t="inlineStr">
        <is>
          <t xml:space="preserve">Tecnologías de la información, telecomunicaciones y radiodifusión / Software / Software de seguridad y protección</t>
        </is>
      </c>
      <c r="O122" s="4" t="inlineStr">
        <is>
          <t xml:space="preserve">1 Global · Software de administración de red privada virtual (VPN) o de seguridad de red</t>
        </is>
      </c>
      <c r="P122" s="2"/>
      <c r="Q122" s="2"/>
      <c r="R122" s="0" t="inlineStr">
        <is>
          <t xml:space="preserve">24 meses</t>
        </is>
      </c>
      <c r="S122" s="0" t="inlineStr">
        <is>
          <t xml:space="preserve">No</t>
        </is>
      </c>
      <c r="T122" s="4" t="inlineStr">
        <is>
          <t xml:space="preserve">Ver bases punto 16</t>
        </is>
      </c>
      <c r="U122" s="0" t="inlineStr">
        <is>
          <t xml:space="preserve">por definir</t>
        </is>
      </c>
      <c r="V122" s="4" t="inlineStr">
        <is>
          <t xml:space="preserve">E1O2RT8 - SERVICIO DE MANTENCIÓN Y MEJORA DEL SISTEMA DE GESTIÓN DE SEGURIDAD DE LA INFORMACIÓN Y CIBERSEGURIDAD INSTITUCIONAL NCH ISOIEC 27001</t>
        </is>
      </c>
      <c r="W122" s="5" t="str">
        <f>HYPERLINK("https://www.mercadopublico.cl/Procurement/Modules/Attachment/ViewAttachment.aspx?enc=3NyEI2jrhFqAphLFgdXMa6BGcI%2bymEmpRI4XN2a35%2fmJ%2bw48eCu9M2ma%2bOGeqQqDgSe6WRQRl1%2bBO09%2ftGcW%2fezHATeWns17%2b%2fkwn2S7jSiQWmyUMtC%2fw3TzvDXyWlDL5E0Nl%2bMpQCK2nmVRrOLcah8TzzNBiUnprYsx8fxd0K85MD%2fhprMNFNO0AHWwQLsha3RldB2Xmob3nGQ%2bkhwWyooBaw4qYPYVEWj833g4mV1Wuot2RGojUtDWkFFVd6TX6DkQbu9HZ8hcPPh265ML9EamxlUncqrf2f4Jprw16mWfqGSe2oEhaMQkYSj3UlK%2b","descargar bases")</f>
      </c>
    </row>
    <row r="123">
      <c r="A123" s="0" t="inlineStr">
        <is>
          <t xml:space="preserve">1051173-13-LP26</t>
        </is>
      </c>
      <c r="B123" s="4" t="inlineStr">
        <is>
          <t xml:space="preserve">SERVICIO DE INFRAESTRUCTURA EN LA NUBE</t>
        </is>
      </c>
      <c r="C123" s="0" t="inlineStr">
        <is>
          <t xml:space="preserve">Publicada</t>
        </is>
      </c>
      <c r="D123" s="0" t="inlineStr">
        <is>
          <t xml:space="preserve">MINISTERIO SECRETARIA GENERAL DE LA PRESIDENCIA DE LA REPUBLICA</t>
        </is>
      </c>
      <c r="E123" s="0" t="inlineStr">
        <is>
          <t xml:space="preserve">Ministerio Secretaria General de la Presidencia</t>
        </is>
      </c>
      <c r="F123" s="0" t="inlineStr">
        <is>
          <t xml:space="preserve">Región Metropolitana de Santiago</t>
        </is>
      </c>
      <c r="G123" s="0" t="inlineStr">
        <is>
          <t xml:space="preserve">Santiago</t>
        </is>
      </c>
      <c r="H123" s="2">
        <v>46280.539583</v>
      </c>
      <c r="I123" s="2">
        <v>46301.729167</v>
      </c>
      <c r="J123" s="0">
        <v>17</v>
      </c>
      <c r="K123" s="3"/>
      <c r="L123" s="0" t="inlineStr">
        <is>
          <t xml:space="preserve">CLP</t>
        </is>
      </c>
      <c r="M123" s="0" t="inlineStr">
        <is>
          <t xml:space="preserve">LP</t>
        </is>
      </c>
      <c r="N123" s="4" t="inlineStr">
        <is>
          <t xml:space="preserve">Servicios basados en ingeniería, ciencias sociales y tecnología de la información / Servicios informáticos / Servicios de datos</t>
        </is>
      </c>
      <c r="O123" s="4" t="inlineStr">
        <is>
          <t xml:space="preserve">1 Unidad no definida · Centro de servicios de datos</t>
        </is>
      </c>
      <c r="P123" s="2"/>
      <c r="Q123" s="2"/>
      <c r="R123" s="0" t="inlineStr">
        <is>
          <t xml:space="preserve">14 meses</t>
        </is>
      </c>
      <c r="S123" s="0" t="inlineStr">
        <is>
          <t xml:space="preserve">No</t>
        </is>
      </c>
      <c r="T123" s="4" t="inlineStr">
        <is>
          <t xml:space="preserve">Atendida la naturaleza de la contratación, no se admitirá la subcontratación.</t>
        </is>
      </c>
      <c r="U123" s="0" t="inlineStr">
        <is>
          <t xml:space="preserve">Jorge Romero Vargas</t>
        </is>
      </c>
      <c r="V123" s="4" t="inlineStr">
        <is>
          <t xml:space="preserve">El Ministerio Secretaría General de la Presidencia, en adelante “el Ministerio”, requiere contratar el servicio de infraestructura en la nube, de conformidad con lo señalado en las presentes bases administrativas y a las especificaciones indicadas en las bases técnicas respectivas. 
El Ministerio informa que actualmente el servicio es proporcionado por Microsoft a través de la plataforma Windows Azure, por lo que es necesario licitar esta tecnología o su equivalente, de acuerdo con los requerimientos que demanda el Ministerio para garantizar la continuidad operacional de este.
Por otro lado, el servicio que se requiere contratar deberá ser operado en modalidad de consumo, el que podrá variar dependiendo de los servicios que sean habilitados en la plataforma de Windows Azure o su equivalente tecnológico.</t>
        </is>
      </c>
      <c r="W123" s="5" t="str">
        <f>HYPERLINK("https://www.mercadopublico.cl/Procurement/Modules/Attachment/ViewAttachment.aspx?enc=o9zJUJY7d%2bmx2xrjUlmdvhNtlJ9zpyfVWDzDfH6ZSRnIFhdujvXyVIekzjqlccNUUYL3ckD6XqCkjzDUN5kUKltRxEFACFb3dN73YStlCoDpRLxw2qUX4p7lp8IyQwD%2fEVawhY82KUvUx65Jg16zQ1gaSX3dkXKTiaO7s%2bXnpezYneAVRcmZg9E1jkV2GfZ%2btmyxQNqo6HfKe%2fM0XDM3CdQGvd1x5A3Y%2bSNfIFRqx4%2bz1ztp7QnPsy7jAc5KeczkBoX%2fqKJh8oxH1wsC6UUxp%2bBmGCxlIdft3K%2fzS8L61ViM4Eon8NE%2bCWU%2bwiC1nrcf","descargar bases")</f>
      </c>
    </row>
    <row r="124">
      <c r="A124" s="0" t="inlineStr">
        <is>
          <t xml:space="preserve">4024-29-LE26</t>
        </is>
      </c>
      <c r="B124" s="4" t="inlineStr">
        <is>
          <t xml:space="preserve">Modernización del Gimnasio Municipal Héctor Aqueveque Aránguiz”</t>
        </is>
      </c>
      <c r="C124" s="0" t="inlineStr">
        <is>
          <t xml:space="preserve">Publicada</t>
        </is>
      </c>
      <c r="D124" s="0" t="inlineStr">
        <is>
          <t xml:space="preserve">ILUSTRE MUNICIPALIDAD DE SAN CARLOS</t>
        </is>
      </c>
      <c r="E124" s="0" t="inlineStr">
        <is>
          <t xml:space="preserve">CONTRATACION DE OBRAS, PROYECTOS Y CONCESIONES </t>
        </is>
      </c>
      <c r="F124" s="0" t="inlineStr">
        <is>
          <t xml:space="preserve">Región del Ñuble</t>
        </is>
      </c>
      <c r="G124" s="0" t="inlineStr">
        <is>
          <t xml:space="preserve">San Carlos</t>
        </is>
      </c>
      <c r="H124" s="2">
        <v>46279.717176</v>
      </c>
      <c r="I124" s="2">
        <v>46301.83125</v>
      </c>
      <c r="J124" s="0">
        <v>17</v>
      </c>
      <c r="K124" s="3">
        <v>35706840.0</v>
      </c>
      <c r="L124" s="0" t="inlineStr">
        <is>
          <t xml:space="preserve">CLP</t>
        </is>
      </c>
      <c r="M124" s="0" t="inlineStr">
        <is>
          <t xml:space="preserve">LE</t>
        </is>
      </c>
      <c r="N124" s="4" t="inlineStr">
        <is>
          <t xml:space="preserve">Artículos para estructuras, obras y construcciones / Pavimento para carreteras y caminos / Asfaltos</t>
        </is>
      </c>
      <c r="O124" s="4" t="inlineStr">
        <is>
          <t xml:space="preserve">1 Unidad · Asfalto</t>
        </is>
      </c>
      <c r="P124" s="2"/>
      <c r="Q124" s="2"/>
      <c r="R124" s="0" t="inlineStr">
        <is>
          <t xml:space="preserve">70 días</t>
        </is>
      </c>
      <c r="S124" s="0" t="inlineStr">
        <is>
          <t xml:space="preserve">No</t>
        </is>
      </c>
      <c r="T124" s="4"/>
      <c r="U124" s="0" t="inlineStr">
        <is>
          <t xml:space="preserve">FRANCISCO CONTRERAS SALINAS</t>
        </is>
      </c>
      <c r="V124" s="4" t="inlineStr">
        <is>
          <t xml:space="preserve">El presente proyecto contempla la modernización integral de un recinto deportivo mediante la incorporación de
equipamiento e infraestructura de alto estándar, con el propósito de habilitar un espacio multifuncional, moderno y
eficiente, apto para la práctica de diversas disciplinas deportivas, actividades recreativas y la realización de eventos
comunitarios e institucionales.</t>
        </is>
      </c>
      <c r="W124" s="5" t="str">
        <f>HYPERLINK("https://www.mercadopublico.cl/Procurement/Modules/Attachment/ViewAttachment.aspx?enc=WcZ0SwdBm3sFlH8ybfH0Chqodk3erPm%2buFv5UyvJYpRzNfe1B417gBHSH9Z1CZFrBsd%2fX3o1hBbZEhSbGbvXAUvnYQu130tVD6ztDBwOajqfYoYT6KTBYP%2fpYxNPvUDMEzQgfH5w5eipwYHxQcLFNX2vJGCxkfhNIhH2ghkoCZLeyM9DI%2buQwasVBjRqrpN%2bMDlPBNFWeF5KGUr%2bmY5nOmpkbd5Z2KM1J1nYfAWK6rWrsgyrgTdqq9PrwfH0V1dCYQ0Gh%2fPupbgsufVNv7RZZPhGEjnRueEb8IfLzUUkHvI3%2b87eq2HHrHDW%2fVieDxCF","descargar bases")</f>
      </c>
    </row>
    <row r="125">
      <c r="A125" s="0" t="inlineStr">
        <is>
          <t xml:space="preserve">1562-63-LP26</t>
        </is>
      </c>
      <c r="B125" s="4" t="inlineStr">
        <is>
          <t xml:space="preserve">ELABORACIÓN DE LA PLATAFORMA PÚBLICA MINERA</t>
        </is>
      </c>
      <c r="C125" s="0" t="inlineStr">
        <is>
          <t xml:space="preserve">Publicada</t>
        </is>
      </c>
      <c r="D125" s="0" t="inlineStr">
        <is>
          <t xml:space="preserve">SERVICIO NACIONAL DE GEOLOGIA Y MINERIA</t>
        </is>
      </c>
      <c r="E125" s="0" t="inlineStr">
        <is>
          <t xml:space="preserve">Servicio Nacional de Geología y Minería</t>
        </is>
      </c>
      <c r="F125" s="0" t="inlineStr">
        <is>
          <t xml:space="preserve">Región Metropolitana de Santiago</t>
        </is>
      </c>
      <c r="G125" s="0" t="inlineStr">
        <is>
          <t xml:space="preserve">Providencia</t>
        </is>
      </c>
      <c r="H125" s="2">
        <v>46281.707639</v>
      </c>
      <c r="I125" s="2">
        <v>46302.5</v>
      </c>
      <c r="J125" s="0">
        <v>18</v>
      </c>
      <c r="K125" s="3">
        <v>165000000.0</v>
      </c>
      <c r="L125" s="0" t="inlineStr">
        <is>
          <t xml:space="preserve">CLP</t>
        </is>
      </c>
      <c r="M125" s="0" t="inlineStr">
        <is>
          <t xml:space="preserve">LP</t>
        </is>
      </c>
      <c r="N125" s="4" t="inlineStr">
        <is>
          <t xml:space="preserve">Tecnologías de la información, telecomunicaciones y radiodifusión / Software / Programas de desarrollo</t>
        </is>
      </c>
      <c r="O125" s="4" t="inlineStr">
        <is>
          <t xml:space="preserve">1 Global · Software de desarrollo de plataforma Web</t>
        </is>
      </c>
      <c r="P125" s="2"/>
      <c r="Q125" s="2"/>
      <c r="R125" s="0" t="inlineStr">
        <is>
          <t xml:space="preserve">2 meses</t>
        </is>
      </c>
      <c r="S125" s="0" t="inlineStr">
        <is>
          <t xml:space="preserve">No</t>
        </is>
      </c>
      <c r="T125" s="4"/>
      <c r="U125" s="0" t="inlineStr">
        <is>
          <t xml:space="preserve">PHILIPE CARLIER PIZZULIC</t>
        </is>
      </c>
      <c r="V125" s="4" t="inlineStr">
        <is>
          <t xml:space="preserve">S.A. 722 EXP 266362026
El Servicio Nacional de Geología y Minería SERNAGEOMIN, a través de la Dirección Nacional de Geología y Minería y de su Departamento de Planificación, Tecnologías e Innovación, requiere contratar un servicio especializado para la elaboración de la Plataforma Pública Minera PPM, en el marco del proceso de modernización de los sistemas de información asociados a la gestión y fiscalización de la actividad minera.</t>
        </is>
      </c>
      <c r="W125" s="5" t="str">
        <f>HYPERLINK("https://www.mercadopublico.cl/Procurement/Modules/Attachment/ViewAttachment.aspx?enc=MCoZCqz9vUppMdUbL7wYXm2%2fL9QcO9Nuc3PBpB2Iyxwn1LE%2b5itsNeZhB2AED%2fqzmUDVXebb3ukmJiUEzNRLI8if7KD3jyOq8dAKhqo5aXWPlvOtAPcZn7EVLUURwy%2bdNjrS95mscaJiD%2baMLgDlM2nnvqOAKxEB0qY19SK1xenXcEtT14Y6LycHPR6OEtBOqFDIf%2fJouUA5HuxwZh1nk8kAbGZovMuYZHjb%2f1eUQSYEnI0uFNzkTDUYfVGdaVlt43EpOAMu0I%2bPuATaqMl9K0nVHllDLsg5AxGqgodDHqDAcFMhPNh426UAzofXDhE0","descargar bases")</f>
      </c>
    </row>
    <row r="126">
      <c r="A126" s="0" t="inlineStr">
        <is>
          <t xml:space="preserve">4112-27-LE26</t>
        </is>
      </c>
      <c r="B126" s="4" t="inlineStr">
        <is>
          <t xml:space="preserve">“ADQUISICIÓN DE LICENCIAS DE SOFTWARE”</t>
        </is>
      </c>
      <c r="C126" s="0" t="inlineStr">
        <is>
          <t xml:space="preserve">Publicada</t>
        </is>
      </c>
      <c r="D126" s="0" t="inlineStr">
        <is>
          <t xml:space="preserve">I MUNICIPALIDAD DE CURACAUTIN</t>
        </is>
      </c>
      <c r="E126" s="0" t="inlineStr">
        <is>
          <t xml:space="preserve">DIRECCION DE FINANZAS</t>
        </is>
      </c>
      <c r="F126" s="0" t="inlineStr">
        <is>
          <t xml:space="preserve">Región de la Araucanía </t>
        </is>
      </c>
      <c r="G126" s="0"/>
      <c r="H126" s="2">
        <v>46282.473183</v>
      </c>
      <c r="I126" s="2">
        <v>46302.645833</v>
      </c>
      <c r="J126" s="0">
        <v>18</v>
      </c>
      <c r="K126" s="3"/>
      <c r="L126" s="0" t="inlineStr">
        <is>
          <t xml:space="preserve">CLP</t>
        </is>
      </c>
      <c r="M126" s="0" t="inlineStr">
        <is>
          <t xml:space="preserve">LE</t>
        </is>
      </c>
      <c r="N126" s="4" t="inlineStr">
        <is>
          <t xml:space="preserve">Servicios editoriales, de diseño, publicidad, gráficos y artistas / Diseño gráfico / Diseño, Tecnologías de la información, telecomunicaciones y radiodifusión / Software / Software de gestión, Tecnologías de la información, telecomunicaciones y radiodifusión / Software / Software de intercambio de información</t>
        </is>
      </c>
      <c r="O126" s="4" t="inlineStr">
        <is>
          <t xml:space="preserve">1 Unidad · Diseño por computador · 1 Unidad · Software de gestión de licencias · 1 Unidad · Software de video conferencia</t>
        </is>
      </c>
      <c r="P126" s="2"/>
      <c r="Q126" s="2"/>
      <c r="R126" s="0"/>
      <c r="S126" s="0" t="inlineStr">
        <is>
          <t xml:space="preserve">No</t>
        </is>
      </c>
      <c r="T126" s="4"/>
      <c r="U126" s="0" t="inlineStr">
        <is>
          <t xml:space="preserve">FELIPE OBREQUE</t>
        </is>
      </c>
      <c r="V126" s="4" t="inlineStr">
        <is>
          <t xml:space="preserve">La Ilustre Municipalidad de Curacautín invita a los proveedores inscritos y hábiles en el Registro de Proveedores a participar en la adquisición y renovación de licencias de software para las unidades municipales. La licitación se divide en tres líneas independientes; se podrá ofertar por una o más líneas, incluyendo todos los productos y cantidades de cada línea ofertada. Cada línea se adjudicará íntegramente a un solo proveedor y podrá haber distintos adjudicatarios.</t>
        </is>
      </c>
      <c r="W126" s="5" t="str">
        <f>HYPERLINK("https://www.mercadopublico.cl/Procurement/Modules/Attachment/ViewAttachment.aspx?enc=QsMUZY4a7pZfhcZ1wPzHy03KxBNjOZJl%2f%2beU0TUZDQl08did53ekrzms6JD9Ov%2bCYT67uZ7MYkgUID6wEPtGCF79oKwFDULX4yKC86S0ywg%2bLcIxN0HbNM0KQF3nyRRqTSh1B2IBOBkww5ucYSqA2rJWcY1dhn0kZTG9IN2rjwRZcLWVvlk2U%2bnlyu3F%2fPD4%2b4Nz3s8e%2bVZOPtBUhiHeopOp3LndZPA0h1u19t4Mt5%2bzoZ%2b%2bIiECO585mE6Ly3WheCPR%2foHsAwJUENMf4epdG2RmiUGnDhEiIsfPklXTf3zipP8v5HkDWBvqpvlT995H","descargar bases")</f>
      </c>
    </row>
    <row r="127">
      <c r="A127" s="0" t="inlineStr">
        <is>
          <t xml:space="preserve">1605-36-LR26</t>
        </is>
      </c>
      <c r="B127" s="4" t="inlineStr">
        <is>
          <t xml:space="preserve">LR-4252 Servicio de Red Datos WAN</t>
        </is>
      </c>
      <c r="C127" s="0" t="inlineStr">
        <is>
          <t xml:space="preserve">Publicada</t>
        </is>
      </c>
      <c r="D127" s="0" t="inlineStr">
        <is>
          <t xml:space="preserve">SERVICIO DE IMPUESTOS INTERNOS DIRECCION</t>
        </is>
      </c>
      <c r="E127" s="0" t="inlineStr">
        <is>
          <t xml:space="preserve">SII Dirección Nacional</t>
        </is>
      </c>
      <c r="F127" s="0" t="inlineStr">
        <is>
          <t xml:space="preserve">Región Metropolitana de Santiago</t>
        </is>
      </c>
      <c r="G127" s="0" t="inlineStr">
        <is>
          <t xml:space="preserve">Santiago</t>
        </is>
      </c>
      <c r="H127" s="2">
        <v>46195.661111</v>
      </c>
      <c r="I127" s="2">
        <v>46303.666667</v>
      </c>
      <c r="J127" s="0">
        <v>19</v>
      </c>
      <c r="K127" s="3">
        <v>232851.0</v>
      </c>
      <c r="L127" s="0" t="inlineStr">
        <is>
          <t xml:space="preserve">CLF</t>
        </is>
      </c>
      <c r="M127" s="0" t="inlineStr">
        <is>
          <t xml:space="preserve">LR</t>
        </is>
      </c>
      <c r="N127" s="4" t="inlineStr">
        <is>
          <t xml:space="preserve">Servicios basados en ingeniería, ciencias sociales y tecnología de la información / Servicios informáticos / Servicios para internet</t>
        </is>
      </c>
      <c r="O127" s="4" t="inlineStr">
        <is>
          <t xml:space="preserve">72 Mes · Proveedores de servicio de Internet (ISP) · 72 Mes · Proveedores de servicio de Internet (ISP)</t>
        </is>
      </c>
      <c r="P127" s="2"/>
      <c r="Q127" s="2"/>
      <c r="R127" s="0" t="inlineStr">
        <is>
          <t xml:space="preserve">72 meses</t>
        </is>
      </c>
      <c r="S127" s="0" t="inlineStr">
        <is>
          <t xml:space="preserve">No</t>
        </is>
      </c>
      <c r="T127" s="4"/>
      <c r="U127" s="0" t="inlineStr">
        <is>
          <t xml:space="preserve">Luis Venegas</t>
        </is>
      </c>
      <c r="V127" s="4" t="inlineStr">
        <is>
          <t xml:space="preserve">El objetivo de la presente licitación es disponer de la prestación de servicios de red de transmisión de datos y voz con cobertura en todo el territorio nacional, y de servicios de red adicionales con facilidades de interconexión con otras redes yo sistemas análogos y digitales, en el Servicio de Impuestos Internos.</t>
        </is>
      </c>
      <c r="W127" s="5" t="str">
        <f>HYPERLINK("https://www.mercadopublico.cl/Procurement/Modules/Attachment/ViewAttachment.aspx?enc=8b88evL9HymwKF4epdWjD5CQPjkSilaTfbhPkn0x10bFfh%2fVAiPMuIh2FwdXmUObPvW2QVX4ukEXl58SIbyJfS9ox6BDoruiLrinsEgQx4sOI3RwUcSWsrrBGJ50g41qPYY1Sa7v9k%2bNe%2fZchOBeQBlL0v4U%2f7DVQOgVixBX%2bGuKQaE0tvrFfEIJ1iSxK5suLGv2n%2fiW5ZALYuxPxgkY%2bEpI%2fgIep%2bxLFVfBE05i5o5YhOX6e4b3Nin8QfRuHED4Mu3r%2bJSiDTRZSTLltPjWy%2b80PeHsRTescGS8O8JIsO0zfkxess%2b%2bTXXTM%2bJITvIm","descargar bases")</f>
      </c>
    </row>
    <row r="128">
      <c r="A128" s="0" t="inlineStr">
        <is>
          <t xml:space="preserve">976-15-O126</t>
        </is>
      </c>
      <c r="B128" s="4" t="inlineStr">
        <is>
          <t xml:space="preserve">Ampliación Plataformas Comercial y General Ad. El Loa</t>
        </is>
      </c>
      <c r="C128" s="0" t="inlineStr">
        <is>
          <t xml:space="preserve">Publicada</t>
        </is>
      </c>
      <c r="D128" s="0" t="inlineStr">
        <is>
          <t xml:space="preserve">MINISTERIO DE OBRAS PUBLICAS DIREC CION GRAL DE OO PP DCYF</t>
        </is>
      </c>
      <c r="E128" s="0" t="inlineStr">
        <is>
          <t xml:space="preserve">Dirección de Aeropuertos - MOPTT</t>
        </is>
      </c>
      <c r="F128" s="0" t="inlineStr">
        <is>
          <t xml:space="preserve">Región de Antofagasta </t>
        </is>
      </c>
      <c r="G128" s="0" t="inlineStr">
        <is>
          <t xml:space="preserve">Santiago</t>
        </is>
      </c>
      <c r="H128" s="2">
        <v>46265.342303</v>
      </c>
      <c r="I128" s="2">
        <v>46304.458333</v>
      </c>
      <c r="J128" s="0">
        <v>20</v>
      </c>
      <c r="K128" s="3"/>
      <c r="L128" s="0" t="inlineStr">
        <is>
          <t xml:space="preserve">CLP</t>
        </is>
      </c>
      <c r="M128" s="0" t="inlineStr">
        <is>
          <t xml:space="preserve">O1</t>
        </is>
      </c>
      <c r="N128" s="4" t="inlineStr">
        <is>
          <t xml:space="preserve">Consultoria / Consultoria / Planificación y Factibilidad</t>
        </is>
      </c>
      <c r="O128" s="4" t="inlineStr">
        <is>
          <t xml:space="preserve">1 Unidad · Licitación Pública de Obra</t>
        </is>
      </c>
      <c r="P128" s="2"/>
      <c r="Q128" s="2"/>
      <c r="R128" s="0"/>
      <c r="S128" s="0" t="inlineStr">
        <is>
          <t xml:space="preserve">No</t>
        </is>
      </c>
      <c r="T128" s="4"/>
      <c r="U128" s="0"/>
      <c r="V128" s="4" t="inlineStr">
        <is>
          <t xml:space="preserve">Esta Dirección necesita llamar a licitación para contratar la obra Ampliación Plataformas Comercial y General Aeródromo El Loa.</t>
        </is>
      </c>
      <c r="W128" s="5" t="str">
        <f>HYPERLINK("https://www.mercadopublico.cl/Procurement/Modules/Attachment/ViewAttachment.aspx?enc=%2fuihXFSp5jMr%2brjaCxhAAB2BmdgNHyghuMXKdCANK1j1Mdi659MyHBQ0iiF28POSv1mcx%2bSOznPHnKwE9wteWvcfXQn%2fy5Zh8n0XIN6rH%2fKFlXq6dPLs%2bImJ2lRb7FxFMeVWfuj4kQSHmaaUMpn7adwGCqCeBOIYb5zkyytINGjqSQfogGZYYcueKIn6s5ZPnTWgCCUMefxIkZ7A0l5vt57cCeG%2bmDljXVsfcm1pm8SSA1GbLMy6JHxxFGLa7T7N9UiPVmJAL08nM0KF%2b7ERlAb0vMSHWgrnSkaXBjE782oJw%2boKswUShH8d8PPNi4tN","descargar bases")</f>
      </c>
    </row>
    <row r="129">
      <c r="A129" s="0" t="inlineStr">
        <is>
          <t xml:space="preserve">5482-101-LR26</t>
        </is>
      </c>
      <c r="B129" s="4" t="inlineStr">
        <is>
          <t xml:space="preserve">Plataforma IA para video y seguridad urbana</t>
        </is>
      </c>
      <c r="C129" s="0" t="inlineStr">
        <is>
          <t xml:space="preserve">Publicada</t>
        </is>
      </c>
      <c r="D129" s="0" t="inlineStr">
        <is>
          <t xml:space="preserve">I MUNICIPALIDAD DE NUNOA</t>
        </is>
      </c>
      <c r="E129" s="0" t="inlineStr">
        <is>
          <t xml:space="preserve">SECPLANUNOA</t>
        </is>
      </c>
      <c r="F129" s="0" t="inlineStr">
        <is>
          <t xml:space="preserve">Región Metropolitana de Santiago</t>
        </is>
      </c>
      <c r="G129" s="0" t="inlineStr">
        <is>
          <t xml:space="preserve">Ñuñoa</t>
        </is>
      </c>
      <c r="H129" s="2">
        <v>46275.73022</v>
      </c>
      <c r="I129" s="2">
        <v>46308.625694</v>
      </c>
      <c r="J129" s="0">
        <v>24</v>
      </c>
      <c r="K129" s="3"/>
      <c r="L129" s="0" t="inlineStr">
        <is>
          <t xml:space="preserve">CLF</t>
        </is>
      </c>
      <c r="M129" s="0" t="inlineStr">
        <is>
          <t xml:space="preserve">LR</t>
        </is>
      </c>
      <c r="N129" s="4" t="inlineStr">
        <is>
          <t xml:space="preserve">Tecnologías de la información, telecomunicaciones y radiodifusión / Software / Programas de desarrollo</t>
        </is>
      </c>
      <c r="O129" s="4" t="inlineStr">
        <is>
          <t xml:space="preserve">1 Global · Software de desarrollo de plataforma Web · 26 Mes · Software de desarrollo de plataforma Web</t>
        </is>
      </c>
      <c r="P129" s="2"/>
      <c r="Q129" s="2"/>
      <c r="R129" s="0" t="inlineStr">
        <is>
          <t xml:space="preserve">26 meses</t>
        </is>
      </c>
      <c r="S129" s="0" t="inlineStr">
        <is>
          <t xml:space="preserve">No</t>
        </is>
      </c>
      <c r="T129" s="4"/>
      <c r="U129" s="0" t="inlineStr">
        <is>
          <t xml:space="preserve">Katherinne Ayala</t>
        </is>
      </c>
      <c r="V129" s="4" t="inlineStr">
        <is>
          <t xml:space="preserve">La presente licitación contempla como objetivo general, contratar el suministro,
implementación, puesta en marcha y soporte continuo de una plataforma de Inteligencia Artificial para analítica de video y gestión inteligente de alertas, que opere sobre la red decámaras yo el sistema VMS ya existentes de la Municipalidad de Ñuñoa.</t>
        </is>
      </c>
      <c r="W129" s="5" t="str">
        <f>HYPERLINK("https://www.mercadopublico.cl/Procurement/Modules/Attachment/ViewAttachment.aspx?enc=8yaW0NKjZzXQfukc3owYlyhGfZYiX5O4EXLCI3%2bsKY0Im6f8GkBzLDD%2bz613GpfcIVc3%2bNTA58MLxzx%2fLeAHvpboBb7oLCqphm5a%2fBK7PYWMqvoFwMKjjrodOT6OemXeTuVfTFZffegParSjyvBYNTP%2fsAZeM3j%2fN6xqcZLzsNGG%2bT9KnQxnla30JBkOHDdXwLdZm9TBM8OdH2PQ4kMKV0WWtLFKJdHWvXbB42SaSOkgesVk6mBatgBHmCtYOQZakuE%2fSav%2btz%2b%2fkd8J5JdqBqJ1BE4R%2bxGj1%2bqPmkREfqsZb%2f0jNWM8c44Ouic1Di6e","descargar bases")</f>
      </c>
    </row>
    <row r="130">
      <c r="A130" s="0" t="inlineStr">
        <is>
          <t xml:space="preserve">29-81-LP26</t>
        </is>
      </c>
      <c r="B130" s="4" t="inlineStr">
        <is>
          <t xml:space="preserve">AGF - PLATAFORMA INGLES</t>
        </is>
      </c>
      <c r="C130" s="0" t="inlineStr">
        <is>
          <t xml:space="preserve">Publicada</t>
        </is>
      </c>
      <c r="D130" s="0" t="inlineStr">
        <is>
          <t xml:space="preserve">FUERZA AEREA DE CHILE COMANDO LOGISTICO</t>
        </is>
      </c>
      <c r="E130" s="0" t="inlineStr">
        <is>
          <t xml:space="preserve">Comando Logístico</t>
        </is>
      </c>
      <c r="F130" s="0" t="inlineStr">
        <is>
          <t xml:space="preserve">Región Metropolitana de Santiago</t>
        </is>
      </c>
      <c r="G130" s="0" t="inlineStr">
        <is>
          <t xml:space="preserve">El Bosque</t>
        </is>
      </c>
      <c r="H130" s="2">
        <v>46276.548981</v>
      </c>
      <c r="I130" s="2">
        <v>46308.625694</v>
      </c>
      <c r="J130" s="0">
        <v>24</v>
      </c>
      <c r="K130" s="3"/>
      <c r="L130" s="0" t="inlineStr">
        <is>
          <t xml:space="preserve">USD</t>
        </is>
      </c>
      <c r="M130" s="0" t="inlineStr">
        <is>
          <t xml:space="preserve">LP</t>
        </is>
      </c>
      <c r="N130" s="4" t="inlineStr">
        <is>
          <t xml:space="preserve">Educación, formación, entrenamiento y capacitación / Sistemas educativos complementarios / Escuelas de idiomas</t>
        </is>
      </c>
      <c r="O130" s="4" t="inlineStr">
        <is>
          <t xml:space="preserve">1 Global · Enseñanza conversacional de idiomas extranjeros</t>
        </is>
      </c>
      <c r="P130" s="2"/>
      <c r="Q130" s="2"/>
      <c r="R130" s="0"/>
      <c r="S130" s="0" t="inlineStr">
        <is>
          <t xml:space="preserve">No</t>
        </is>
      </c>
      <c r="T130" s="4"/>
      <c r="U130" s="0" t="inlineStr">
        <is>
          <t xml:space="preserve">PAULO ARELLANO WOLFF</t>
        </is>
      </c>
      <c r="V130" s="4" t="inlineStr">
        <is>
          <t xml:space="preserve">CONTRATACIÓN DE SERVICIO DE PLATAFORMA INTEGRAL DE CAPACITACIÓN EN IDIOMA INGLÉS MODALIDAD E-LEARNING CON TUTORIA</t>
        </is>
      </c>
      <c r="W130" s="5" t="str">
        <f>HYPERLINK("https://www.mercadopublico.cl/Procurement/Modules/Attachment/ViewAttachment.aspx?enc=tq80HlYTzmOkEsGRcQGOuaHSc4dVV2y3sMNLCRqOqnoNxCH3v%2fHghlcLJQE5wu0DEKxiI6NuNpEHcv8O3k8RUu%2bavPiGZL86RDGqdnIZA3XixB3xPiHQldAppx7Rd70WASPxFxFmJcROVe%2bY1Qt4ePE6m4mr%2bc8ORvCIacKZJ%2fQnXRu6IfN%2fclz9KRYchwl9zpqvbogniIWGv0MMOqdtXxXliL2wods1MXwHhI%2bMltwoRFLjpmSa8fQazq3OUalMdtVZPG9It3NfBm1shr%2b%2bgUBt9NNIDqsNPaz1RWUydq3TUrZbw2yAfHhqlAmZx287","descargar bases")</f>
      </c>
    </row>
    <row r="131">
      <c r="A131" s="0" t="inlineStr">
        <is>
          <t xml:space="preserve">3447-145-LR26</t>
        </is>
      </c>
      <c r="B131" s="4" t="inlineStr">
        <is>
          <t xml:space="preserve">Adquisición e Implementación Plataforma Integral</t>
        </is>
      </c>
      <c r="C131" s="0" t="inlineStr">
        <is>
          <t xml:space="preserve">Publicada</t>
        </is>
      </c>
      <c r="D131" s="0" t="inlineStr">
        <is>
          <t xml:space="preserve">MUNICIPALIDAD DE ALTO HOSPICIO</t>
        </is>
      </c>
      <c r="E131" s="0" t="inlineStr">
        <is>
          <t xml:space="preserve">Direccion de Administracion y Finanzas</t>
        </is>
      </c>
      <c r="F131" s="0" t="inlineStr">
        <is>
          <t xml:space="preserve">Región de Tarapacá  </t>
        </is>
      </c>
      <c r="G131" s="0" t="inlineStr">
        <is>
          <t xml:space="preserve">Alto Hospicio</t>
        </is>
      </c>
      <c r="H131" s="2">
        <v>46276.643669</v>
      </c>
      <c r="I131" s="2">
        <v>46308.625694</v>
      </c>
      <c r="J131" s="0">
        <v>24</v>
      </c>
      <c r="K131" s="3"/>
      <c r="L131" s="0" t="inlineStr">
        <is>
          <t xml:space="preserve">CLP</t>
        </is>
      </c>
      <c r="M131" s="0" t="inlineStr">
        <is>
          <t xml:space="preserve">LR</t>
        </is>
      </c>
      <c r="N131" s="4" t="inlineStr">
        <is>
          <t xml:space="preserve">Servicios basados en ingeniería, ciencias sociales y tecnología de la información / Servicios informáticos / Ingeniería en computación e informática</t>
        </is>
      </c>
      <c r="O131" s="4" t="inlineStr">
        <is>
          <t xml:space="preserve">1 Global · Servicios de programación de sistemas operativos</t>
        </is>
      </c>
      <c r="P131" s="2"/>
      <c r="Q131" s="2"/>
      <c r="R131" s="0" t="inlineStr">
        <is>
          <t xml:space="preserve">24 meses</t>
        </is>
      </c>
      <c r="S131" s="0" t="inlineStr">
        <is>
          <t xml:space="preserve">No</t>
        </is>
      </c>
      <c r="T131" s="4"/>
      <c r="U131" s="0" t="inlineStr">
        <is>
          <t xml:space="preserve">JAIME AROS BINIMELIS</t>
        </is>
      </c>
      <c r="V131" s="4" t="inlineStr">
        <is>
          <t xml:space="preserve">Art. 9ºLa Municipalidad de Alto Hospicio llama a Licitación Pública denominada Adquisición e Implementación de Plataforma Integral de Gestión Municipal y Servicios Traspasados para la Municipalidad de Alto Hospicio, cuyo objeto es la adquisición, implementación, parametrización, integración, migración de datos, capacitación, puesta en marcha, soporte y mantenimiento de una Plataforma Integral de Gestión Municipal y de Servicios Traspasados, destinada a modernizar, digitalizar y automatizar los procesos institucionales, optimizando la gestión administrativa y operativa, fortaleciendo la interoperabilidad con los sistemas de los organismos de la Administración del Estado, mejorando la atención de los usuarios y asegurando el cumplimiento de la normativa vigente en materia de transformación digital, ciberseguridad y protección de datos personales. Lo anterior, de acuerdo con las características entregadas en las presentes bases administrativas y técnicas adjuntas, en virtud de una mejor y eficiente gestión municipal.</t>
        </is>
      </c>
      <c r="W131" s="5" t="str">
        <f>HYPERLINK("https://www.mercadopublico.cl/Procurement/Modules/Attachment/ViewAttachment.aspx?enc=uZd%2bUJ8z7MmDjC%2b17J2zsut%2fIERXfciZmnin4aKqzLRAX3G%2f2j9Qyqoc3WnwhUsFup0ipWka41uxrajn%2bGamO88xM2rMpeHdM84VS3WGXuxsijk1CfqlVdVsqAF3D1Mf9HxxNdG8UBew4LgN6emrtRI8P8aDSyYgcy7t08sgv1FPkT11bHwBboek6nl0dkOwLnTGmtBBV%2fX6v2T7jaftXXGEEBsi22d8FDlGCeNuv%2b%2fwiIKBVyzDFF7T%2bGx6fmUQ4mFPiW6hWUqnOTHHMit%2fC0BJA%2btCQjb1IuQOnl9xhTjP7mu8GwI2dj8iw3E%2b9T2V","descargar bases")</f>
      </c>
    </row>
    <row r="132">
      <c r="A132" s="0" t="inlineStr">
        <is>
          <t xml:space="preserve">2760-118-LR26</t>
        </is>
      </c>
      <c r="B132" s="4" t="inlineStr">
        <is>
          <t xml:space="preserve">SERVICIOS DE TELECOMUNICACIONES Y OTROS SERVICIOS INFORMÁTICOS PARA LA MUNICIPALIDAD DE CORONEL</t>
        </is>
      </c>
      <c r="C132" s="0" t="inlineStr">
        <is>
          <t xml:space="preserve">Publicada</t>
        </is>
      </c>
      <c r="D132" s="0" t="inlineStr">
        <is>
          <t xml:space="preserve">I MUNICIPALIDAD DE CORONEL</t>
        </is>
      </c>
      <c r="E132" s="0" t="inlineStr">
        <is>
          <t xml:space="preserve">SECRETARIA COMUNAL DE PLANIFICACION</t>
        </is>
      </c>
      <c r="F132" s="0" t="inlineStr">
        <is>
          <t xml:space="preserve">Región del Biobío </t>
        </is>
      </c>
      <c r="G132" s="0" t="inlineStr">
        <is>
          <t xml:space="preserve">Coronel</t>
        </is>
      </c>
      <c r="H132" s="2">
        <v>46279.810671</v>
      </c>
      <c r="I132" s="2">
        <v>46310.625</v>
      </c>
      <c r="J132" s="0">
        <v>26</v>
      </c>
      <c r="K132" s="3">
        <v>540000000.0</v>
      </c>
      <c r="L132" s="0" t="inlineStr">
        <is>
          <t xml:space="preserve">CLP</t>
        </is>
      </c>
      <c r="M132" s="0" t="inlineStr">
        <is>
          <t xml:space="preserve">LR</t>
        </is>
      </c>
      <c r="N132" s="4" t="inlineStr">
        <is>
          <t xml:space="preserve">Servicios basados en ingeniería, ciencias sociales y tecnología de la información / Servicios informáticos / Administración de sistemas</t>
        </is>
      </c>
      <c r="O132" s="4" t="inlineStr">
        <is>
          <t xml:space="preserve">1 Global · Soporte y mantenimiento de red de área local (LAN)</t>
        </is>
      </c>
      <c r="P132" s="2"/>
      <c r="Q132" s="2"/>
      <c r="R132" s="0" t="inlineStr">
        <is>
          <t xml:space="preserve">60 meses</t>
        </is>
      </c>
      <c r="S132" s="0" t="inlineStr">
        <is>
          <t xml:space="preserve">No</t>
        </is>
      </c>
      <c r="T132" s="4"/>
      <c r="U132" s="0" t="inlineStr">
        <is>
          <t xml:space="preserve">RODRIGO HENRIQUEZ ARANEDA</t>
        </is>
      </c>
      <c r="V132" s="4" t="inlineStr">
        <is>
          <t xml:space="preserve">SERVICIOS DE TELECOMUNICACIONES Y OTROS SERVICIOS INFORMÁTICOS PARA LA MUNICIPALIDAD DE CORONEL</t>
        </is>
      </c>
      <c r="W132" s="5" t="str">
        <f>HYPERLINK("https://www.mercadopublico.cl/Procurement/Modules/Attachment/ViewAttachment.aspx?enc=uOkUu4thL5b4%2fBHmmQrlX5m%2fri4rhpoEg9gWi0iRuaCUwLX4Nbx86Dfk7qUGBAZZtATabryD%2bjlMScnSHP9%2fP6%2ffn%2fv6UExvylXJTXMWuzQjvdbuc9hiMU27W0OSbWwArwcOFQA8sb6kOsg2FpU7lrGwMPbQDo%2flmwTR9d1zHnLBfPJHJmnoFpwNTASPuncJnUxfy7pcmnqc%2fkwV%2bGW3UTIogT4IAOFIrjPF%2bY82EcpSAVzwlkx01MFcZx8NbG%2fsjdgEXV41KzBvKglf%2bMs27QiQjYQzPqUvXiXpRPV9ThcyqiTp%2fVSP%2bpwt0Kt8HX66","descargar bases")</f>
      </c>
    </row>
    <row r="133">
      <c r="A133" s="0" t="inlineStr">
        <is>
          <t xml:space="preserve">548874-78-LR26</t>
        </is>
      </c>
      <c r="B133" s="4" t="inlineStr">
        <is>
          <t xml:space="preserve">SERVICIO DE LICENCIAS CLOUD SUCCESSFACTORS</t>
        </is>
      </c>
      <c r="C133" s="0" t="inlineStr">
        <is>
          <t xml:space="preserve">Publicada</t>
        </is>
      </c>
      <c r="D133" s="0" t="inlineStr">
        <is>
          <t xml:space="preserve">INSTITUTO DE PREVISION SOCIAL</t>
        </is>
      </c>
      <c r="E133" s="0" t="inlineStr">
        <is>
          <t xml:space="preserve">IPS Oficina Central de Compras</t>
        </is>
      </c>
      <c r="F133" s="0" t="inlineStr">
        <is>
          <t xml:space="preserve">Región Metropolitana de Santiago</t>
        </is>
      </c>
      <c r="G133" s="0" t="inlineStr">
        <is>
          <t xml:space="preserve">Santiago</t>
        </is>
      </c>
      <c r="H133" s="2">
        <v>46272.683935</v>
      </c>
      <c r="I133" s="2">
        <v>46310.625</v>
      </c>
      <c r="J133" s="0">
        <v>26</v>
      </c>
      <c r="K133" s="3">
        <v>606192000.0</v>
      </c>
      <c r="L133" s="0" t="inlineStr">
        <is>
          <t xml:space="preserve">CLP</t>
        </is>
      </c>
      <c r="M133" s="0" t="inlineStr">
        <is>
          <t xml:space="preserve">LR</t>
        </is>
      </c>
      <c r="N133" s="4" t="inlineStr">
        <is>
          <t xml:space="preserve">Tecnologías de la información, telecomunicaciones y radiodifusión / Software / Software de gestión</t>
        </is>
      </c>
      <c r="O133" s="4" t="inlineStr">
        <is>
          <t xml:space="preserve">1 Global · Software de gestión de licencias</t>
        </is>
      </c>
      <c r="P133" s="2"/>
      <c r="Q133" s="2"/>
      <c r="R133" s="0" t="inlineStr">
        <is>
          <t xml:space="preserve">12 meses</t>
        </is>
      </c>
      <c r="S133" s="0" t="inlineStr">
        <is>
          <t xml:space="preserve">No</t>
        </is>
      </c>
      <c r="T133" s="4" t="inlineStr">
        <is>
          <t xml:space="preserve">Ver bases administrativas punto 16.</t>
        </is>
      </c>
      <c r="U133" s="0" t="inlineStr">
        <is>
          <t xml:space="preserve">Por Definir</t>
        </is>
      </c>
      <c r="V133" s="4" t="inlineStr">
        <is>
          <t xml:space="preserve">SERVICIO DE LICENCIAS CLOUD SUCCESSFACTORS EN MODALIDAD SAAS  E1O2RT8.</t>
        </is>
      </c>
      <c r="W133" s="5" t="str">
        <f>HYPERLINK("https://www.mercadopublico.cl/Procurement/Modules/Attachment/ViewAttachment.aspx?enc=7qulW7RFJfnyfAyUqDn%2fX9m%2b9VWu%2fZ5MhlluI%2fgg3umn2AsAoBg24fliPKlNuleCtPbODPjcSo%2fLGnf2J92nH2vPP0XrLg5NTNMSufs74HZXz3ECq1nTRpGFJ7jvqX%2fAmCk%2fCYNXfXZrjn3tfqAHYvHnzad5qIFnrzFp2LMi2FbVIOY562WiCQUfrXEC4UfiqemBa19NyYtOTokdcebUE2BvYn1bn3t4%2bLyAJdJGKBBIVuQ5sUbRLH0IJTzX3CzFyv0evbLVc47wUo4xxEPgUVmaQfSrmObjOGX70Hk1I5F1TMqr0PXQh1Wv%2fzdXPIoF","descargar bases")</f>
      </c>
    </row>
    <row r="134">
      <c r="A134" s="0" t="inlineStr">
        <is>
          <t xml:space="preserve">608-197-LR26</t>
        </is>
      </c>
      <c r="B134" s="4" t="inlineStr">
        <is>
          <t xml:space="preserve">SERVICIO DE OPERACIÓN MANTENIMIENTO Y ACTUALIZACIÓN DE PLATAFORMAS TECNOLÓGICAS DE LA SALA DE CONTROL CENTRALIZADO DEL HOSPITAL DR. GUSTAVO FRICKE</t>
        </is>
      </c>
      <c r="C134" s="0" t="inlineStr">
        <is>
          <t xml:space="preserve">Publicada</t>
        </is>
      </c>
      <c r="D134" s="0" t="inlineStr">
        <is>
          <t xml:space="preserve">HOSPITAL DR GUSTAVO FRICKE DE VINA DEL MAR</t>
        </is>
      </c>
      <c r="E134" s="0" t="inlineStr">
        <is>
          <t xml:space="preserve">Hospital Dr. Gustavo Fricke</t>
        </is>
      </c>
      <c r="F134" s="0" t="inlineStr">
        <is>
          <t xml:space="preserve">Región de Valparaíso </t>
        </is>
      </c>
      <c r="G134" s="0"/>
      <c r="H134" s="2">
        <v>46279.505</v>
      </c>
      <c r="I134" s="2">
        <v>46310.686806</v>
      </c>
      <c r="J134" s="0">
        <v>26</v>
      </c>
      <c r="K134" s="3">
        <v>675433201.0</v>
      </c>
      <c r="L134" s="0" t="inlineStr">
        <is>
          <t xml:space="preserve">CLP</t>
        </is>
      </c>
      <c r="M134" s="0" t="inlineStr">
        <is>
          <t xml:space="preserve">LR</t>
        </is>
      </c>
      <c r="N134" s="4" t="inlineStr">
        <is>
          <t xml:space="preserve">Servicios basados en ingeniería, ciencias sociales y tecnología de la información / Servicios informáticos / Ingeniería en computación e informática</t>
        </is>
      </c>
      <c r="O134" s="4" t="inlineStr">
        <is>
          <t xml:space="preserve">1 Unidad · Integración de sistemas</t>
        </is>
      </c>
      <c r="P134" s="2"/>
      <c r="Q134" s="2"/>
      <c r="R134" s="0" t="inlineStr">
        <is>
          <t xml:space="preserve">17 meses</t>
        </is>
      </c>
      <c r="S134" s="0" t="inlineStr">
        <is>
          <t xml:space="preserve">No</t>
        </is>
      </c>
      <c r="T134" s="4"/>
      <c r="U134" s="0" t="inlineStr">
        <is>
          <t xml:space="preserve">SE DEFINIRÁ AL MOMENTO DE ADJUDICAR PROCESO</t>
        </is>
      </c>
      <c r="V134" s="4" t="inlineStr">
        <is>
          <t xml:space="preserve">Que la unidad de control centralizado integra plataformas tecnológicas y de comunicación complejas que
permiten el monitoreo constante y reacción inmediata ante incidentes y respuesta en tiempo real frente a
emergencias.</t>
        </is>
      </c>
      <c r="W134" s="5" t="str">
        <f>HYPERLINK("https://www.mercadopublico.cl/Procurement/Modules/Attachment/ViewAttachment.aspx?enc=b0%2buN3g%2bVV0g6jrMUvrS2HhHEncP4ALbxsSy0t5IIOpMEh%2bvpI1SfrtMqwjDrwMFphlB52R6dGP6qZlA1JdfitQKJm%2fNGE9bUJasI9oJ0JV7hdIA66aal9VdfUsJpPWQQIe%2f6tSiXcUZvZiiWNRRuGo2fHC3YmUObq278yw68fz7aSW%2fCokpVayd8fqcozTfaN%2bkQEReYu93ejUZ%2fsq7X%2fZE0Li6DX7gxpOwChsxISOE7rBOSDq43hhBH%2fFR6iX%2bDrOnjJegFR8gi9XNce%2fSSlEJZTYCjtO9XbO1%2bRKUzg7GycKaCZ7uPSklZodNLhVr","descargar bases")</f>
      </c>
    </row>
    <row r="135">
      <c r="A135" s="0" t="inlineStr">
        <is>
          <t xml:space="preserve">948354-139-LR26</t>
        </is>
      </c>
      <c r="B135" s="4" t="inlineStr">
        <is>
          <t xml:space="preserve">CONTRATACIÓN DE SERVICIO DE SOFTWARE DE RECURSOS HUMANOS PARA EL HOSPITAL DIPRECA</t>
        </is>
      </c>
      <c r="C135" s="0" t="inlineStr">
        <is>
          <t xml:space="preserve">Publicada</t>
        </is>
      </c>
      <c r="D135" s="0" t="inlineStr">
        <is>
          <t xml:space="preserve">FONDO HOSPITAL DE LA DIRECCION DE PREVISION DE CARABINEROS DE CHILE</t>
        </is>
      </c>
      <c r="E135" s="0" t="inlineStr">
        <is>
          <t xml:space="preserve">Unidad de Compra de Bienes y Servicios</t>
        </is>
      </c>
      <c r="F135" s="0" t="inlineStr">
        <is>
          <t xml:space="preserve">Región Metropolitana de Santiago</t>
        </is>
      </c>
      <c r="G135" s="0" t="inlineStr">
        <is>
          <t xml:space="preserve">Las Condes</t>
        </is>
      </c>
      <c r="H135" s="2">
        <v>46281.643044</v>
      </c>
      <c r="I135" s="2">
        <v>46311.666667</v>
      </c>
      <c r="J135" s="0">
        <v>27</v>
      </c>
      <c r="K135" s="3">
        <v>450000000.0</v>
      </c>
      <c r="L135" s="0" t="inlineStr">
        <is>
          <t xml:space="preserve">CLP</t>
        </is>
      </c>
      <c r="M135" s="0" t="inlineStr">
        <is>
          <t xml:space="preserve">LR</t>
        </is>
      </c>
      <c r="N135" s="4" t="inlineStr">
        <is>
          <t xml:space="preserve">Tecnologías de la información, telecomunicaciones y radiodifusión / Software / Software de gestión</t>
        </is>
      </c>
      <c r="O135" s="4" t="inlineStr">
        <is>
          <t xml:space="preserve">1 Unidad · Software de gestión de recursos humanos</t>
        </is>
      </c>
      <c r="P135" s="2"/>
      <c r="Q135" s="2"/>
      <c r="R135" s="0" t="inlineStr">
        <is>
          <t xml:space="preserve">36 meses</t>
        </is>
      </c>
      <c r="S135" s="0" t="inlineStr">
        <is>
          <t xml:space="preserve">No</t>
        </is>
      </c>
      <c r="T135" s="4"/>
      <c r="U135" s="0" t="inlineStr">
        <is>
          <t xml:space="preserve">Patricio Salinas</t>
        </is>
      </c>
      <c r="V135" s="4" t="inlineStr">
        <is>
          <t xml:space="preserve">El Hospital de la Dirección de Previsión de Carabineros de Chile, ubicado en Vital Apoquindo N°1.200, Comuna de Las Condes, Región Metropolitana, en adelante “EL HOSPITAL”, llama a Licitación Pública para la Contratación de Servicio de Software para el Recursos Humanos, en adelante “EL SERVICIO”, por un periodo de 36 meses, para el referido Centro Asistencial, cuyas características y requisitos técnicos constan en las Bases Administrativas y Técnicas de esta Licitación con sus respectivos anexos.</t>
        </is>
      </c>
      <c r="W135" s="5" t="str">
        <f>HYPERLINK("https://www.mercadopublico.cl/Procurement/Modules/Attachment/ViewAttachment.aspx?enc=MWRhcheGvxToytUgFp3HMbZg3cWK9LrFg1RtUOLVNMW66hOAGDnK9c7RN0tOsE%2fOyhvRO0C%2f6T7Iq3FHp87TmVmWHi0QoTffehjpDkInXzNx%2fC85fRgSAc0QEQu5nJQx6JfSY5i3Gde6GjGFbj%2b0L4%2faXf9Bc8%2bdfQZBWH%2fslUUV0phTtFlN2OBeUJKHxLj%2fTT4bwByQfNUDPQfQQyMHOBoKuFNQLeK7ewJuA2YB3Bh4FsapMEUUHW3z%2fI22SJOrb3m3SrD2jwrKtY06k9bM7ZVXmWRWbhV0Ze0AJwol9ODrhtnkcP5ZbA993hIfp%2fYe","descargar bases")</f>
      </c>
    </row>
    <row r="136">
      <c r="A136" s="0" t="inlineStr">
        <is>
          <t xml:space="preserve">514862-125-LR26</t>
        </is>
      </c>
      <c r="B136" s="4" t="inlineStr">
        <is>
          <t xml:space="preserve">10032938 PLATAFORMA DE AGENDAMIENTO TELECONSULTAS</t>
        </is>
      </c>
      <c r="C136" s="0" t="inlineStr">
        <is>
          <t xml:space="preserve">Publicada</t>
        </is>
      </c>
      <c r="D136" s="0" t="inlineStr">
        <is>
          <t xml:space="preserve">CORPORACION MUNICIPAL DE PENALOLEN PARA EL DESARROLO SOCIAL CORMUP</t>
        </is>
      </c>
      <c r="E136" s="0" t="inlineStr">
        <is>
          <t xml:space="preserve">CORPORACION MUNICIPAL DE PENALOLEN PARA EL DESARRO</t>
        </is>
      </c>
      <c r="F136" s="0" t="inlineStr">
        <is>
          <t xml:space="preserve">Región Metropolitana de Santiago</t>
        </is>
      </c>
      <c r="G136" s="0" t="inlineStr">
        <is>
          <t xml:space="preserve">Peñalolén</t>
        </is>
      </c>
      <c r="H136" s="2">
        <v>46281.559005</v>
      </c>
      <c r="I136" s="2">
        <v>46314.625</v>
      </c>
      <c r="J136" s="0">
        <v>30</v>
      </c>
      <c r="K136" s="3">
        <v>408000000.0</v>
      </c>
      <c r="L136" s="0" t="inlineStr">
        <is>
          <t xml:space="preserve">CLP</t>
        </is>
      </c>
      <c r="M136" s="0" t="inlineStr">
        <is>
          <t xml:space="preserve">LR</t>
        </is>
      </c>
      <c r="N136" s="4" t="inlineStr">
        <is>
          <t xml:space="preserve">Servicios basados en ingeniería, ciencias sociales y tecnología de la información / Servicios informáticos / Servicios de datos</t>
        </is>
      </c>
      <c r="O136" s="4" t="inlineStr">
        <is>
          <t xml:space="preserve">1 Unidad · Servicios de transformación de datos</t>
        </is>
      </c>
      <c r="P136" s="2"/>
      <c r="Q136" s="2"/>
      <c r="R136" s="0"/>
      <c r="S136" s="0" t="inlineStr">
        <is>
          <t xml:space="preserve">No</t>
        </is>
      </c>
      <c r="T136" s="4" t="inlineStr">
        <is>
          <t xml:space="preserve">SEGUN BASES ADJUNTAS</t>
        </is>
      </c>
      <c r="U136" s="0" t="inlineStr">
        <is>
          <t xml:space="preserve">DANILA SEGUEL</t>
        </is>
      </c>
      <c r="V136" s="4" t="inlineStr">
        <is>
          <t xml:space="preserve">SEGUN BASES ADJUNTAS</t>
        </is>
      </c>
      <c r="W136" s="5" t="str">
        <f>HYPERLINK("https://www.mercadopublico.cl/Procurement/Modules/Attachment/ViewAttachment.aspx?enc=PKO8HEE3zD1NwadUVCtIrKFe2bYVP2%2bZ9AgT8OyR1UkQRpHABmAfyaemuGpyHaVVDfhejBTudlQOuAOL%2bCEJLrIQrwApXTcfGVBXvXHFwzMER%2fr7ksXk4jtsBv8isuFCUEuFVVDDtX34Iz2qkW7K4gcorXJgthF7IjBY7AF43lHYCpnGhpssKGudbdKddK3uUPk%2bGsKGXjjD6yu%2bH27OUq3hXDRAYPkDCMFVVPyYB4EL6x7GIQlm0Mub46faFF%2bz5QaOfqi162md830DYOHrttT%2fSRmsXRvB4yvGN4eYuRQv2Ig5VVps9LffCloQRuoY","descargar bases")</f>
      </c>
    </row>
    <row r="137">
      <c r="A137" s="0" t="inlineStr">
        <is>
          <t xml:space="preserve">425-65-LR26</t>
        </is>
      </c>
      <c r="B137" s="4" t="inlineStr">
        <is>
          <t xml:space="preserve">Renovación de licencias y servicio de administración de software Falcon Crowdstrike EDR para el Poder Judicial</t>
        </is>
      </c>
      <c r="C137" s="0" t="inlineStr">
        <is>
          <t xml:space="preserve">Publicada</t>
        </is>
      </c>
      <c r="D137" s="0" t="inlineStr">
        <is>
          <t xml:space="preserve">CORP ADMINISTRATIVA DEL PODER JUDICIAL</t>
        </is>
      </c>
      <c r="E137" s="0" t="inlineStr">
        <is>
          <t xml:space="preserve">Servicios</t>
        </is>
      </c>
      <c r="F137" s="0" t="inlineStr">
        <is>
          <t xml:space="preserve">Región Metropolitana de Santiago</t>
        </is>
      </c>
      <c r="G137" s="0" t="inlineStr">
        <is>
          <t xml:space="preserve">Santiago Centro</t>
        </is>
      </c>
      <c r="H137" s="2">
        <v>46282.49713</v>
      </c>
      <c r="I137" s="2">
        <v>46314.666667</v>
      </c>
      <c r="J137" s="0">
        <v>30</v>
      </c>
      <c r="K137" s="3"/>
      <c r="L137" s="0" t="inlineStr">
        <is>
          <t xml:space="preserve">USD</t>
        </is>
      </c>
      <c r="M137" s="0" t="inlineStr">
        <is>
          <t xml:space="preserve">LR</t>
        </is>
      </c>
      <c r="N137" s="4" t="inlineStr">
        <is>
          <t xml:space="preserve">Tecnologías de la información, telecomunicaciones y radiodifusión / Software / Software de gestión</t>
        </is>
      </c>
      <c r="O137" s="4" t="inlineStr">
        <is>
          <t xml:space="preserve">1 Global · Software de gestión de licencias · 1 Global · Software de gestión de licencias · 1 Global · Software de gestión de licencias · y 2 más</t>
        </is>
      </c>
      <c r="P137" s="2"/>
      <c r="Q137" s="2"/>
      <c r="R137" s="0" t="inlineStr">
        <is>
          <t xml:space="preserve">12 meses</t>
        </is>
      </c>
      <c r="S137" s="0" t="inlineStr">
        <is>
          <t xml:space="preserve">No</t>
        </is>
      </c>
      <c r="T137" s="4" t="inlineStr">
        <is>
          <t xml:space="preserve">De acuerdo al numeral 15 de las bases administrativas especiales</t>
        </is>
      </c>
      <c r="U137" s="0" t="inlineStr">
        <is>
          <t xml:space="preserve">Jorge Quezada</t>
        </is>
      </c>
      <c r="V137" s="4" t="inlineStr">
        <is>
          <t xml:space="preserve">Renovación de licencias y servicio de administración de software Falcon Crowdstrike EDR para el Poder Judicial</t>
        </is>
      </c>
      <c r="W137" s="5" t="str">
        <f>HYPERLINK("https://www.mercadopublico.cl/Procurement/Modules/Attachment/ViewAttachment.aspx?enc=zN9CRAZRDY1EGrXilR70pNg489V7FCyDLWmCaFbEHZoYNHLEj4QpGR0qk7dcQ2OHnIDxL9%2bqPQTz%2f3IXPZPlDCiiUzBUwLlu%2baytKZlN64LxCAJYw4xdX6iKyaz8H0i26lZZdwg8%2fEsmfvOBTmLAJ4WyGPuIY9DnG%2f7SrRC9Q47nuuOzf7nsQSW6M7o68utt%2f2SEeZdHZO5xfMHIoMNtORb%2byR9hxjtIdHdnPL9cPXVpwgP9%2fdhvjj0RV87AWBttWYSqj4HyqoSruz%2fCKQlxrMZotGjkZm62MG3bMsj8Zztnnosx%2bOuNWxjYrnYNw0WE","descargar bases")</f>
      </c>
    </row>
    <row r="138">
      <c r="A138" s="0" t="inlineStr">
        <is>
          <t xml:space="preserve">605-17-LP26</t>
        </is>
      </c>
      <c r="B138" s="4" t="inlineStr">
        <is>
          <t xml:space="preserve">TELEFONÍA FIJA Y RED PRIVADA DE DATOS</t>
        </is>
      </c>
      <c r="C138" s="0" t="inlineStr">
        <is>
          <t xml:space="preserve">Publicada</t>
        </is>
      </c>
      <c r="D138" s="0" t="inlineStr">
        <is>
          <t xml:space="preserve">Consejo de Defensa del Estado</t>
        </is>
      </c>
      <c r="E138" s="0" t="inlineStr">
        <is>
          <t xml:space="preserve">Consejo de Defensa del Estado</t>
        </is>
      </c>
      <c r="F138" s="0" t="inlineStr">
        <is>
          <t xml:space="preserve">Región Metropolitana de Santiago</t>
        </is>
      </c>
      <c r="G138" s="0" t="inlineStr">
        <is>
          <t xml:space="preserve">Santiago</t>
        </is>
      </c>
      <c r="H138" s="2">
        <v>46267.455012</v>
      </c>
      <c r="I138" s="2">
        <v>46317.625</v>
      </c>
      <c r="J138" s="0">
        <v>33</v>
      </c>
      <c r="K138" s="3">
        <v>8500.0</v>
      </c>
      <c r="L138" s="0" t="inlineStr">
        <is>
          <t xml:space="preserve">CLF</t>
        </is>
      </c>
      <c r="M138" s="0" t="inlineStr">
        <is>
          <t xml:space="preserve">LP</t>
        </is>
      </c>
      <c r="N138" s="4" t="inlineStr">
        <is>
          <t xml:space="preserve">Servicios básicos y de información pública / Telecomunicaciones / Telefonía local y de larga distancia</t>
        </is>
      </c>
      <c r="O138" s="4" t="inlineStr">
        <is>
          <t xml:space="preserve">1 Unidad · Servicio telefónico local · 1 Unidad · Servicio de comunicación IP</t>
        </is>
      </c>
      <c r="P138" s="2"/>
      <c r="Q138" s="2"/>
      <c r="R138" s="0" t="inlineStr">
        <is>
          <t xml:space="preserve">24 meses</t>
        </is>
      </c>
      <c r="S138" s="0" t="inlineStr">
        <is>
          <t xml:space="preserve">No</t>
        </is>
      </c>
      <c r="T138" s="4" t="inlineStr">
        <is>
          <t xml:space="preserve">El proveedor no podrá ceder ni transferir en forma alguna, total ni parcialmente, los derechos y obligaciones que nacen del desarrollo de esta licitación y del respectivo contrato que se celebre con la institución contratante.  
Atendida la naturaleza</t>
        </is>
      </c>
      <c r="U138" s="0" t="inlineStr">
        <is>
          <t xml:space="preserve">IVANHOE AGUIRRE RIVERA</t>
        </is>
      </c>
      <c r="V138" s="4" t="inlineStr">
        <is>
          <t xml:space="preserve">La presente licitación consta de dos ítems a contratar a un único proveedor a nivel nacional:
I.- TELEFONÍA FIJA:
Se requiere contratar mediante Licitación Pública el Servicio de Telefonía fija con enlace dedicado SIP Trunk, para las comunicaciones internas. El servicio para contratar también comprende la habilitación de acceso a comunicaciones hacia equipos telefónicos móviles, habilitación de acceso a servicios complementarios 600.
II.- RED PRIVADA DE DATOS:
Se requiere contratar el servicio de red privada de datos mediante la tecnología de RED IP que considere calidad de servicio para audio y vídeo, y que brinde Housing a su solución de contingencia, conforme a los parámetros y requerimientos señalados en estas bases técnicas.
Se requiere que las empresas del rubro oferten todos los requerimientos comprendidos en la presente licitación.</t>
        </is>
      </c>
      <c r="W138" s="5" t="str">
        <f>HYPERLINK("https://www.mercadopublico.cl/Procurement/Modules/Attachment/ViewAttachment.aspx?enc=7DYxXqpGH5Al3lQXB7CZDnYPFjSEn8lOmVNG%2fi%2bwTrGSLv1%2fDxOfzlcZq9y8D9BShcyZKvNv11yK%2blr9MGFnvx%2fI3HHtHcdezyDj3mus7C0CIqRzkw88x1k5rK1owmN%2fiuF76e8gXn042c70xkv4IrTXu2ZCWSpeWED4hMznXLWOAuz77Cu8XpKLAbOgJvdiycuDHl3%2b9Qh9Ioat51KwmR%2fvdvm6yjJp4RqbNczYuHITVStEqf618C0IYK%2fphlZqyfCxPsW1%2fhOdmEYNaAnby%2fETbGOi58oo7LziJ0iHWdIq8TSzULFLiZfcPOTiEmCd","descargar bases")</f>
      </c>
    </row>
    <row r="139">
      <c r="A139" s="0" t="inlineStr">
        <is>
          <t xml:space="preserve">2667-71-LR26</t>
        </is>
      </c>
      <c r="B139" s="4" t="inlineStr">
        <is>
          <t xml:space="preserve">ARRIENDO SOPORTE Y MANTENCIÓN DE CENTRAL TELEFONICA IP TELEFONOS IP Y PLATAFORMA DE CONTACT CENTER</t>
        </is>
      </c>
      <c r="C139" s="0" t="inlineStr">
        <is>
          <t xml:space="preserve">Publicada</t>
        </is>
      </c>
      <c r="D139" s="0" t="inlineStr">
        <is>
          <t xml:space="preserve">I MUNICIPALIDAD DE VITACURA</t>
        </is>
      </c>
      <c r="E139" s="0" t="inlineStr">
        <is>
          <t xml:space="preserve">SECPLA</t>
        </is>
      </c>
      <c r="F139" s="0" t="inlineStr">
        <is>
          <t xml:space="preserve">Región Metropolitana de Santiago</t>
        </is>
      </c>
      <c r="G139" s="0" t="inlineStr">
        <is>
          <t xml:space="preserve">Vitacura</t>
        </is>
      </c>
      <c r="H139" s="2">
        <v>46282.54353</v>
      </c>
      <c r="I139" s="2">
        <v>46318.625</v>
      </c>
      <c r="J139" s="0">
        <v>34</v>
      </c>
      <c r="K139" s="3"/>
      <c r="L139" s="0" t="inlineStr">
        <is>
          <t xml:space="preserve">CLF</t>
        </is>
      </c>
      <c r="M139" s="0" t="inlineStr">
        <is>
          <t xml:space="preserve">LR</t>
        </is>
      </c>
      <c r="N139" s="4" t="inlineStr">
        <is>
          <t xml:space="preserve">Equipos y suministros de defensa, orden público, protección y seguridad / Seguridad, vigilancia y detección / Equipo de vigilancia y detección</t>
        </is>
      </c>
      <c r="O139" s="4" t="inlineStr">
        <is>
          <t xml:space="preserve">1 Global · Sistemas de alarma</t>
        </is>
      </c>
      <c r="P139" s="2"/>
      <c r="Q139" s="2"/>
      <c r="R139" s="0" t="inlineStr">
        <is>
          <t xml:space="preserve">48 meses</t>
        </is>
      </c>
      <c r="S139" s="0" t="inlineStr">
        <is>
          <t xml:space="preserve">No</t>
        </is>
      </c>
      <c r="T139" s="4"/>
      <c r="U139" s="0" t="inlineStr">
        <is>
          <t xml:space="preserve">Gonzalo Fuentes Osses</t>
        </is>
      </c>
      <c r="V139" s="4" t="inlineStr">
        <is>
          <t xml:space="preserve">La presente licitación tiene por objeto dar a conocer los requerimientos administrativos y técnicos para la renovación y modernización del servicio telefónico de la Municipalidad de Vitacura. Para ello, se contempla la contratación, bajo modalidad de arriendo, de una Central Telefónica IP, equipos telefónicos y una plataforma de contact center para todas sus dependencias.
El servicio deberá incluir la instalación, puesta en marcha, soporte y mantención de la solución, por un período de 48 meses (4 años), de acuerdo con lo establecido en las presentes Bases Técnicas (BT), Bases Administrativas Especiales (BAE) y demás documentos que forman parte del presente proceso licitatorio.</t>
        </is>
      </c>
      <c r="W139" s="5" t="str">
        <f>HYPERLINK("https://www.mercadopublico.cl/Procurement/Modules/Attachment/ViewAttachment.aspx?enc=ihuqP%2bM0KqCBcoHtJlWiShvDHHKbTRTjyTT45lrPkmzz%2fbZy2w1DyM23VYv30j8xL4KW4qPhrlUaXivls%2fmkF5SxOLp0xizyX%2foYJuPB4fgISe3%2b28Zx6l4EqTnyxyyGAef75QnQqOFr0vEg2GyDPT8Iov3U6AZMr01O%2bX55FpiCN6iC06JHJ1ZqEoPF9i7YilkG2TVCtMUE9gvRHvBRmAwOsvxXJJ0cwuUcN4XnMw91ZklxVzZnxjEZDTNOLtTIswBzxwFWUalIs0t0A%2fz7YsVwMGjw41c2SmdNQfI2UvQ9tDQuxIQ57KiWgNed0B0Y","descargar bases")</f>
      </c>
    </row>
    <row r="140">
      <c r="A140" s="0" t="inlineStr">
        <is>
          <t xml:space="preserve">1969-34-LS19</t>
        </is>
      </c>
      <c r="B140" s="4" t="inlineStr">
        <is>
          <t xml:space="preserve">AUTOMATIZACIÓN PORTÓN ACCESO A LINEA DE FUEGO</t>
        </is>
      </c>
      <c r="C140" s="0" t="inlineStr">
        <is>
          <t xml:space="preserve">Publicada</t>
        </is>
      </c>
      <c r="D140" s="0" t="inlineStr">
        <is>
          <t xml:space="preserve">DIRECCION GENERAL DE GENDARMERIA DE CHIL</t>
        </is>
      </c>
      <c r="E140" s="0" t="inlineStr">
        <is>
          <t xml:space="preserve">Región del Bio Bío</t>
        </is>
      </c>
      <c r="F140" s="0" t="inlineStr">
        <is>
          <t xml:space="preserve">Región del Biobío </t>
        </is>
      </c>
      <c r="G140" s="0" t="inlineStr">
        <is>
          <t xml:space="preserve">Concepción</t>
        </is>
      </c>
      <c r="H140" s="2">
        <v>43588.74809</v>
      </c>
      <c r="I140" s="2"/>
      <c r="J140" s="0"/>
      <c r="K140" s="3"/>
      <c r="L140" s="0" t="inlineStr">
        <is>
          <t xml:space="preserve">CLP</t>
        </is>
      </c>
      <c r="M140" s="0" t="inlineStr">
        <is>
          <t xml:space="preserve">LS</t>
        </is>
      </c>
      <c r="N140" s="4" t="inlineStr">
        <is>
          <t xml:space="preserve">Artículos para estructuras, obras y construcciones / Puertas, ventanas y vidrios / Puertas</t>
        </is>
      </c>
      <c r="O140" s="4" t="inlineStr">
        <is>
          <t xml:space="preserve">1 Unidad · Puertas de metal</t>
        </is>
      </c>
      <c r="P140" s="2"/>
      <c r="Q140" s="2"/>
      <c r="R140" s="0"/>
      <c r="S140" s="0" t="inlineStr">
        <is>
          <t xml:space="preserve">No</t>
        </is>
      </c>
      <c r="T140" s="4"/>
      <c r="U140" s="0" t="inlineStr">
        <is>
          <t xml:space="preserve">Héctor Polma Lillo</t>
        </is>
      </c>
      <c r="V140" s="4" t="inlineStr">
        <is>
          <t xml:space="preserve">AUTOMATIZACIÓN DE PORTÓN ACCESO A LINEA DE FUEGO C.P. CONCEPCIÓN</t>
        </is>
      </c>
      <c r="W140" s="5" t="str">
        <f>HYPERLINK("https://www.mercadopublico.cl/Procurement/Modules/Attachment/ViewAttachment.aspx?enc=xjKEEYaV4MlQSwmqYPQOsEYxhAwyGkTRrgoFwxCaNJ11dXpclfrEjH0Fx4D%2by2lQxazOgI9my9jOrEGNf1mYjJ73ThXUfkEAtqIKi95qXui0O0C%2bXzEZ1gsLobZ5r3J4wbCKX12OA2PUO9mpOPP%2fVhOtjlBGxsOPbs4VgLfwASW7gNF8W5755cTPQzQF4c1ZiiV0c1ThAwLYLczAfWRUZV7LOzJPvUh7l%2fqyMr9Y5xds%2bbfoGDqOTnyA6yVZ018x%2fyAW1xtPv5j8%2b%2fwQCr%2fr4atrMjdvUfsx3p%2bSus9Fi8sRday37K1UrWb8mgZyIgu3","descargar bases")</f>
      </c>
    </row>
  </sheetData>
  <autoFilter ref="A1:W140"/>
</worksheet>
</file>

<file path=xl/worksheets/sheet3.xml><?xml version="1.0" encoding="utf-8"?>
<worksheet xmlns="http://schemas.openxmlformats.org/spreadsheetml/2006/main">
  <sheetViews>
    <sheetView workbookViewId="0">
      <pane ySplit="1" topLeftCell="A2" activePane="bottomLeft" state="frozen"/>
    </sheetView>
  </sheetViews>
  <cols>
    <col min="1" max="1" width="16" customWidth="1"/>
    <col min="2" max="2" width="46" customWidth="1"/>
    <col min="3" max="3" width="5" customWidth="1"/>
    <col min="4" max="4" width="40" customWidth="1"/>
    <col min="5" max="5" width="30" customWidth="1"/>
    <col min="6" max="6" width="10" customWidth="1"/>
    <col min="7" max="7" width="12" customWidth="1"/>
    <col min="8" max="8" width="70" customWidth="1"/>
  </cols>
  <sheetData>
    <row r="1" ht="28" customHeight="1">
      <c r="A1" s="1" t="inlineStr">
        <is>
          <t xml:space="preserve">Código licitación</t>
        </is>
      </c>
      <c r="B1" s="1" t="inlineStr">
        <is>
          <t xml:space="preserve">Licitación</t>
        </is>
      </c>
      <c r="C1" s="1" t="inlineStr">
        <is>
          <t xml:space="preserve">N°</t>
        </is>
      </c>
      <c r="D1" s="1" t="inlineStr">
        <is>
          <t xml:space="preserve">Producto o servicio</t>
        </is>
      </c>
      <c r="E1" s="1" t="inlineStr">
        <is>
          <t xml:space="preserve">Categoría</t>
        </is>
      </c>
      <c r="F1" s="1" t="inlineStr">
        <is>
          <t xml:space="preserve">Cantidad</t>
        </is>
      </c>
      <c r="G1" s="1" t="inlineStr">
        <is>
          <t xml:space="preserve">Unidad</t>
        </is>
      </c>
      <c r="H1" s="1" t="inlineStr">
        <is>
          <t xml:space="preserve">Detalle del requerimiento</t>
        </is>
      </c>
    </row>
    <row r="2">
      <c r="A2" s="0" t="inlineStr">
        <is>
          <t xml:space="preserve">4146-10-L126</t>
        </is>
      </c>
      <c r="B2" s="4" t="inlineStr">
        <is>
          <t xml:space="preserve">Contratación de Actualización de Licencia Software</t>
        </is>
      </c>
      <c r="C2" s="0">
        <v>1</v>
      </c>
      <c r="D2" s="4" t="inlineStr">
        <is>
          <t xml:space="preserve">Software de gestión de licencias</t>
        </is>
      </c>
      <c r="E2" s="4" t="inlineStr">
        <is>
          <t xml:space="preserve">Tecnologías de la información, telecomunicaciones y radiodifusión / Software / Software de gestión</t>
        </is>
      </c>
      <c r="F2" s="0">
        <v>1.0</v>
      </c>
      <c r="G2" s="0" t="inlineStr">
        <is>
          <t xml:space="preserve">Unidad</t>
        </is>
      </c>
      <c r="H2" s="4" t="inlineStr">
        <is>
          <t xml:space="preserve">Se requiere actualización de 01,  "Actualización de Licencia Software", Mayores caracteristicas en el anexo Nro. 2, requeriemintos técnicos exigidos, en los adjuntos.</t>
        </is>
      </c>
    </row>
    <row r="3">
      <c r="A3" s="0" t="inlineStr">
        <is>
          <t xml:space="preserve">1593-24-LP26</t>
        </is>
      </c>
      <c r="B3" s="4" t="inlineStr">
        <is>
          <t xml:space="preserve">Adquisición instalación plataforma almacenamiento</t>
        </is>
      </c>
      <c r="C3" s="0">
        <v>1</v>
      </c>
      <c r="D3" s="4" t="inlineStr">
        <is>
          <t xml:space="preserve">Almacenamiento de datos</t>
        </is>
      </c>
      <c r="E3" s="4" t="inlineStr">
        <is>
          <t xml:space="preserve">Servicios basados en ingeniería, ciencias sociales y tecnología de la información / Servicios informáticos / Administración de sistemas</t>
        </is>
      </c>
      <c r="F3" s="0">
        <v>1.0</v>
      </c>
      <c r="G3" s="0" t="inlineStr">
        <is>
          <t xml:space="preserve">Unidad</t>
        </is>
      </c>
      <c r="H3" s="4" t="inlineStr">
        <is>
          <t xml:space="preserve">Adquisición e instalación de plataforma de almacenamiento para la Superintendencia de
Servicios Sanitarios.</t>
        </is>
      </c>
    </row>
    <row r="4">
      <c r="A4" s="0" t="inlineStr">
        <is>
          <t xml:space="preserve">229-96-LE26</t>
        </is>
      </c>
      <c r="B4" s="4" t="inlineStr">
        <is>
          <t xml:space="preserve">ADQUISICIÓN DE LICENCIAS DE SOFTWARE PARA LOS  SISTEMAS QUE USA LA I. MUNICIPALIDAD DE COIHUECO</t>
        </is>
      </c>
      <c r="C4" s="0">
        <v>1</v>
      </c>
      <c r="D4" s="4" t="inlineStr">
        <is>
          <t xml:space="preserve">Software de gestión de licencias</t>
        </is>
      </c>
      <c r="E4" s="4" t="inlineStr">
        <is>
          <t xml:space="preserve">Tecnologías de la información, telecomunicaciones y radiodifusión / Software / Software de gestión</t>
        </is>
      </c>
      <c r="F4" s="0">
        <v>13.0</v>
      </c>
      <c r="G4" s="0" t="inlineStr">
        <is>
          <t xml:space="preserve">Unidad</t>
        </is>
      </c>
      <c r="H4" s="4" t="inlineStr">
        <is>
          <t xml:space="preserve">Licencias AutoCAD 2027 LT Commercial Single User Annual Subscription Renewal o similar por 1 año, según Bases y documentos adjuntos. Presupuesto Total $6.000.000.- Impuesto Incluido.</t>
        </is>
      </c>
    </row>
    <row r="5">
      <c r="A5" s="0" t="inlineStr">
        <is>
          <t xml:space="preserve">229-96-LE26</t>
        </is>
      </c>
      <c r="B5" s="4" t="inlineStr">
        <is>
          <t xml:space="preserve">ADQUISICIÓN DE LICENCIAS DE SOFTWARE PARA LOS  SISTEMAS QUE USA LA I. MUNICIPALIDAD DE COIHUECO</t>
        </is>
      </c>
      <c r="C5" s="0">
        <v>2</v>
      </c>
      <c r="D5" s="4" t="inlineStr">
        <is>
          <t xml:space="preserve">Software de gestión de licencias</t>
        </is>
      </c>
      <c r="E5" s="4" t="inlineStr">
        <is>
          <t xml:space="preserve">Tecnologías de la información, telecomunicaciones y radiodifusión / Software / Software de gestión</t>
        </is>
      </c>
      <c r="F5" s="0">
        <v>6.0</v>
      </c>
      <c r="G5" s="0" t="inlineStr">
        <is>
          <t xml:space="preserve">Unidad</t>
        </is>
      </c>
      <c r="H5" s="4" t="inlineStr">
        <is>
          <t xml:space="preserve">Licencia SKETCHUP Pro o similar por 1 año, según Bases y documentos adjuntos. Presupuesto Total $3.000.000.- Impuesto Incluido</t>
        </is>
      </c>
    </row>
    <row r="6">
      <c r="A6" s="0" t="inlineStr">
        <is>
          <t xml:space="preserve">229-96-LE26</t>
        </is>
      </c>
      <c r="B6" s="4" t="inlineStr">
        <is>
          <t xml:space="preserve">ADQUISICIÓN DE LICENCIAS DE SOFTWARE PARA LOS  SISTEMAS QUE USA LA I. MUNICIPALIDAD DE COIHUECO</t>
        </is>
      </c>
      <c r="C6" s="0">
        <v>3</v>
      </c>
      <c r="D6" s="4" t="inlineStr">
        <is>
          <t xml:space="preserve">Software de gestión de licencias</t>
        </is>
      </c>
      <c r="E6" s="4" t="inlineStr">
        <is>
          <t xml:space="preserve">Tecnologías de la información, telecomunicaciones y radiodifusión / Software / Software de gestión</t>
        </is>
      </c>
      <c r="F6" s="0">
        <v>1.0</v>
      </c>
      <c r="G6" s="0" t="inlineStr">
        <is>
          <t xml:space="preserve">Unidad</t>
        </is>
      </c>
      <c r="H6" s="4" t="inlineStr">
        <is>
          <t xml:space="preserve">Licencia CREATIVE CLOUD FOR TEAMS 1-Y SUSC GOB L1 o Similar, según Bases y documentos adjuntos. Presupuesto Total $1.400.000.- Impuesto Incluido.</t>
        </is>
      </c>
    </row>
    <row r="7">
      <c r="A7" s="0" t="inlineStr">
        <is>
          <t xml:space="preserve">229-96-LE26</t>
        </is>
      </c>
      <c r="B7" s="4" t="inlineStr">
        <is>
          <t xml:space="preserve">ADQUISICIÓN DE LICENCIAS DE SOFTWARE PARA LOS  SISTEMAS QUE USA LA I. MUNICIPALIDAD DE COIHUECO</t>
        </is>
      </c>
      <c r="C7" s="0">
        <v>4</v>
      </c>
      <c r="D7" s="4" t="inlineStr">
        <is>
          <t xml:space="preserve">Software de gestión de licencias</t>
        </is>
      </c>
      <c r="E7" s="4" t="inlineStr">
        <is>
          <t xml:space="preserve">Tecnologías de la información, telecomunicaciones y radiodifusión / Software / Software de gestión</t>
        </is>
      </c>
      <c r="F7" s="0">
        <v>3.0</v>
      </c>
      <c r="G7" s="0" t="inlineStr">
        <is>
          <t xml:space="preserve">Unidad</t>
        </is>
      </c>
      <c r="H7" s="4" t="inlineStr">
        <is>
          <t xml:space="preserve">Licencia SOFTWARE NOTRASNOCHES PRESUPUESTO DE OBRAS de ONDAC 
o Similar, según Bases y documentos adjuntos. Presupuesto Total $2.500.000.- Impuesto Incluido.</t>
        </is>
      </c>
    </row>
    <row r="8">
      <c r="A8" s="0" t="inlineStr">
        <is>
          <t xml:space="preserve">229-96-LE26</t>
        </is>
      </c>
      <c r="B8" s="4" t="inlineStr">
        <is>
          <t xml:space="preserve">ADQUISICIÓN DE LICENCIAS DE SOFTWARE PARA LOS  SISTEMAS QUE USA LA I. MUNICIPALIDAD DE COIHUECO</t>
        </is>
      </c>
      <c r="C8" s="0">
        <v>5</v>
      </c>
      <c r="D8" s="4" t="inlineStr">
        <is>
          <t xml:space="preserve">Software de gestión de licencias</t>
        </is>
      </c>
      <c r="E8" s="4" t="inlineStr">
        <is>
          <t xml:space="preserve">Tecnologías de la información, telecomunicaciones y radiodifusión / Software / Software de gestión</t>
        </is>
      </c>
      <c r="F8" s="0">
        <v>1.0</v>
      </c>
      <c r="G8" s="0" t="inlineStr">
        <is>
          <t xml:space="preserve">Unidad</t>
        </is>
      </c>
      <c r="H8" s="4" t="inlineStr">
        <is>
          <t xml:space="preserve">Licencia ZOOM PRO o Similar, según Bases y documentos adjuntos. Presupuesto Total $ 300.000.- Impuesto Incluido.</t>
        </is>
      </c>
    </row>
    <row r="9">
      <c r="A9" s="0" t="inlineStr">
        <is>
          <t xml:space="preserve">229-96-LE26</t>
        </is>
      </c>
      <c r="B9" s="4" t="inlineStr">
        <is>
          <t xml:space="preserve">ADQUISICIÓN DE LICENCIAS DE SOFTWARE PARA LOS  SISTEMAS QUE USA LA I. MUNICIPALIDAD DE COIHUECO</t>
        </is>
      </c>
      <c r="C9" s="0">
        <v>6</v>
      </c>
      <c r="D9" s="4" t="inlineStr">
        <is>
          <t xml:space="preserve">Software de gestión de licencias</t>
        </is>
      </c>
      <c r="E9" s="4" t="inlineStr">
        <is>
          <t xml:space="preserve">Tecnologías de la información, telecomunicaciones y radiodifusión / Software / Software de gestión</t>
        </is>
      </c>
      <c r="F9" s="0">
        <v>20.0</v>
      </c>
      <c r="G9" s="0" t="inlineStr">
        <is>
          <t xml:space="preserve">Unidad</t>
        </is>
      </c>
      <c r="H9" s="4" t="inlineStr">
        <is>
          <t xml:space="preserve">Licencias Antivirus Kaspersky Endpoint o Similar, según Bases y documentos adjuntos. Presupuesto Total $600.000.- Impuesto Incluido.</t>
        </is>
      </c>
    </row>
    <row r="10">
      <c r="A10" s="0" t="inlineStr">
        <is>
          <t xml:space="preserve">229-96-LE26</t>
        </is>
      </c>
      <c r="B10" s="4" t="inlineStr">
        <is>
          <t xml:space="preserve">ADQUISICIÓN DE LICENCIAS DE SOFTWARE PARA LOS  SISTEMAS QUE USA LA I. MUNICIPALIDAD DE COIHUECO</t>
        </is>
      </c>
      <c r="C10" s="0">
        <v>7</v>
      </c>
      <c r="D10" s="4" t="inlineStr">
        <is>
          <t xml:space="preserve">Software de gestión de licencias</t>
        </is>
      </c>
      <c r="E10" s="4" t="inlineStr">
        <is>
          <t xml:space="preserve">Tecnologías de la información, telecomunicaciones y radiodifusión / Software / Software de gestión</t>
        </is>
      </c>
      <c r="F10" s="0">
        <v>1.0</v>
      </c>
      <c r="G10" s="0" t="inlineStr">
        <is>
          <t xml:space="preserve">Unidad</t>
        </is>
      </c>
      <c r="H10" s="4" t="inlineStr">
        <is>
          <t xml:space="preserve">Licencia FIREWALL FortiGate-200E o similar, según Bases y documentos adjuntos. Presupuesto Total $2.500.000.- Impuesto Incluido.</t>
        </is>
      </c>
    </row>
    <row r="11">
      <c r="A11" s="0" t="inlineStr">
        <is>
          <t xml:space="preserve">229-96-LE26</t>
        </is>
      </c>
      <c r="B11" s="4" t="inlineStr">
        <is>
          <t xml:space="preserve">ADQUISICIÓN DE LICENCIAS DE SOFTWARE PARA LOS  SISTEMAS QUE USA LA I. MUNICIPALIDAD DE COIHUECO</t>
        </is>
      </c>
      <c r="C11" s="0">
        <v>8</v>
      </c>
      <c r="D11" s="4" t="inlineStr">
        <is>
          <t xml:space="preserve">Software de gestión de licencias</t>
        </is>
      </c>
      <c r="E11" s="4" t="inlineStr">
        <is>
          <t xml:space="preserve">Tecnologías de la información, telecomunicaciones y radiodifusión / Software / Software de gestión</t>
        </is>
      </c>
      <c r="F11" s="0">
        <v>1.0</v>
      </c>
      <c r="G11" s="0" t="inlineStr">
        <is>
          <t xml:space="preserve">Unidad</t>
        </is>
      </c>
      <c r="H11" s="4" t="inlineStr">
        <is>
          <t xml:space="preserve">Licencia Elementor Pro o similar, según Bases y documentos adjuntos. Presupuesto Total $300.000.- Impuesto Incluido.</t>
        </is>
      </c>
    </row>
    <row r="12">
      <c r="A12" s="0" t="inlineStr">
        <is>
          <t xml:space="preserve">229-96-LE26</t>
        </is>
      </c>
      <c r="B12" s="4" t="inlineStr">
        <is>
          <t xml:space="preserve">ADQUISICIÓN DE LICENCIAS DE SOFTWARE PARA LOS  SISTEMAS QUE USA LA I. MUNICIPALIDAD DE COIHUECO</t>
        </is>
      </c>
      <c r="C12" s="0">
        <v>9</v>
      </c>
      <c r="D12" s="4" t="inlineStr">
        <is>
          <t xml:space="preserve">Software de gestión de licencias</t>
        </is>
      </c>
      <c r="E12" s="4" t="inlineStr">
        <is>
          <t xml:space="preserve">Tecnologías de la información, telecomunicaciones y radiodifusión / Software / Software de gestión</t>
        </is>
      </c>
      <c r="F12" s="0">
        <v>1.0</v>
      </c>
      <c r="G12" s="0" t="inlineStr">
        <is>
          <t xml:space="preserve">Unidad</t>
        </is>
      </c>
      <c r="H12" s="4" t="inlineStr">
        <is>
          <t xml:space="preserve">Licencia Capcut, según Bases y documentos adjuntos. Presupuesto Total $300.000.- Impuesto Incluido.</t>
        </is>
      </c>
    </row>
    <row r="13">
      <c r="A13" s="0" t="inlineStr">
        <is>
          <t xml:space="preserve">229-96-LE26</t>
        </is>
      </c>
      <c r="B13" s="4" t="inlineStr">
        <is>
          <t xml:space="preserve">ADQUISICIÓN DE LICENCIAS DE SOFTWARE PARA LOS  SISTEMAS QUE USA LA I. MUNICIPALIDAD DE COIHUECO</t>
        </is>
      </c>
      <c r="C13" s="0">
        <v>10</v>
      </c>
      <c r="D13" s="4" t="inlineStr">
        <is>
          <t xml:space="preserve">Software de gestión de licencias</t>
        </is>
      </c>
      <c r="E13" s="4" t="inlineStr">
        <is>
          <t xml:space="preserve">Tecnologías de la información, telecomunicaciones y radiodifusión / Software / Software de gestión</t>
        </is>
      </c>
      <c r="F13" s="0">
        <v>9.0</v>
      </c>
      <c r="G13" s="0" t="inlineStr">
        <is>
          <t xml:space="preserve">Unidad</t>
        </is>
      </c>
      <c r="H13" s="4" t="inlineStr">
        <is>
          <t xml:space="preserve">Licencia IA Claude o similar, según Bases y documentos adjuntos. Presupuesto Total $5.800.000.- Impuesto Incluido. (8 licencias Team Standard o superior y 1 licencia Team Premium o 
superior, de acuerdo con las especificaciones establecidas en las Bases</t>
        </is>
      </c>
    </row>
    <row r="14">
      <c r="A14" s="0" t="inlineStr">
        <is>
          <t xml:space="preserve">2345-148-LE26</t>
        </is>
      </c>
      <c r="B14" s="4" t="inlineStr">
        <is>
          <t xml:space="preserve">ADQUISICIÓN DE CAMIÓN CON CARROCERIA Y PLATAFORMA DE ELEVACIÓN</t>
        </is>
      </c>
      <c r="C14" s="0">
        <v>1</v>
      </c>
      <c r="D14" s="4" t="inlineStr">
        <is>
          <t xml:space="preserve">Camión volcador</t>
        </is>
      </c>
      <c r="E14" s="4" t="inlineStr">
        <is>
          <t xml:space="preserve">Equipamiento para manejo y estiba de materiales / Maquinaria para manejo de materiales / Camiones, carros y carretillas industriales</t>
        </is>
      </c>
      <c r="F14" s="0">
        <v>1.0</v>
      </c>
      <c r="G14" s="0" t="inlineStr">
        <is>
          <t xml:space="preserve">Unidad</t>
        </is>
      </c>
      <c r="H14" s="4" t="inlineStr">
        <is>
          <t xml:space="preserve">ANEXO N°3
OFERTA ECONÓMICA NETA
Camión con carrocería y plataforma de
elevación
(Incluye documentación del vehículo)</t>
        </is>
      </c>
    </row>
    <row r="15">
      <c r="A15" s="0" t="inlineStr">
        <is>
          <t xml:space="preserve">2483-242-CO26</t>
        </is>
      </c>
      <c r="B15" s="4" t="inlineStr">
        <is>
          <t xml:space="preserve">“ADQUISICIÓN DE UNIFORMES PARA FUNCIONARIOS DE MOVILIZACIÓN MANTENCIÓN EQUIPAMIENTO CLÍNICO E INFORMÁTICA DEL DEPARTAMENTO DE SALUD MUNICIPALIDAD DE QUILICURA</t>
        </is>
      </c>
      <c r="C15" s="0">
        <v>1</v>
      </c>
      <c r="D15" s="4" t="inlineStr">
        <is>
          <t xml:space="preserve">Uniformes varios</t>
        </is>
      </c>
      <c r="E15" s="4" t="inlineStr">
        <is>
          <t xml:space="preserve">Ropa, maletas y productos de aseo personal / Ropa / Uniformes</t>
        </is>
      </c>
      <c r="F15" s="0">
        <v>1.0</v>
      </c>
      <c r="G15" s="0" t="inlineStr">
        <is>
          <t xml:space="preserve">Paquete</t>
        </is>
      </c>
      <c r="H15" s="4" t="inlineStr">
        <is>
          <t xml:space="preserve">ADQUISICIÓN DE UNIFORMES PARA FUNCIONARIOS DE MOVILIZACIÓN MANTENCIÓN EQUIPAMIENTO CLÍNICO E INFORMÁTICA DEL DEPARTAMENTO DE SALUD MUNICIPALIDAD DE QUILICURA</t>
        </is>
      </c>
    </row>
    <row r="16">
      <c r="A16" s="0" t="inlineStr">
        <is>
          <t xml:space="preserve">2710-55-LE26</t>
        </is>
      </c>
      <c r="B16" s="4" t="inlineStr">
        <is>
          <t xml:space="preserve">SERVICIO DE ARRIENDO TOTEM</t>
        </is>
      </c>
      <c r="C16" s="0">
        <v>1</v>
      </c>
      <c r="D16" s="4" t="inlineStr">
        <is>
          <t xml:space="preserve">Monitores de pantalla táctil</t>
        </is>
      </c>
      <c r="E16" s="4" t="inlineStr">
        <is>
          <t xml:space="preserve">Tecnologías de la información, telecomunicaciones y radiodifusión / Equipos informáticos y accesorios / Pantallas o monitores de computador</t>
        </is>
      </c>
      <c r="F16" s="0">
        <v>1.0</v>
      </c>
      <c r="G16" s="0" t="inlineStr">
        <is>
          <t xml:space="preserve">Unidad</t>
        </is>
      </c>
      <c r="H16" s="4" t="inlineStr">
        <is>
          <t xml:space="preserve">SERVICIO DE ARRIENDO TOTEM , TV y LICENCIA DE SISTEMA GESTOR DE FILA PARA TOTEM EN CENTROS DE SALUD</t>
        </is>
      </c>
    </row>
    <row r="17">
      <c r="A17" s="0" t="inlineStr">
        <is>
          <t xml:space="preserve">3810-23-LE26</t>
        </is>
      </c>
      <c r="B17" s="4" t="inlineStr">
        <is>
          <t xml:space="preserve">ADQUISICION DE SOFTWARE DE DISEÑO CAD Y REVISION DE MODELOS BIM PARA LA DIRECCION DE OBRAS MUNICIPALES DE LA I. MUNICIPALIDAD DE PICHILEMU</t>
        </is>
      </c>
      <c r="C17" s="0">
        <v>1</v>
      </c>
      <c r="D17" s="4" t="inlineStr">
        <is>
          <t xml:space="preserve">Software de gestión de licencias</t>
        </is>
      </c>
      <c r="E17" s="4" t="inlineStr">
        <is>
          <t xml:space="preserve">Tecnologías de la información, telecomunicaciones y radiodifusión / Software / Software de gestión</t>
        </is>
      </c>
      <c r="F17" s="0">
        <v>1.0</v>
      </c>
      <c r="G17" s="0" t="inlineStr">
        <is>
          <t xml:space="preserve">Unidad</t>
        </is>
      </c>
      <c r="H17" s="4" t="inlineStr">
        <is>
          <t xml:space="preserve">adquisición de software de diseño cad y revisión de modelos bim para la dirección de obras municipales de la I. municipalidad de Pichilemu</t>
        </is>
      </c>
    </row>
    <row r="18">
      <c r="A18" s="0" t="inlineStr">
        <is>
          <t xml:space="preserve">45-48-LE26</t>
        </is>
      </c>
      <c r="B18" s="4" t="inlineStr">
        <is>
          <t xml:space="preserve">SERVICIO DE MANTENCIÓN DE NUBES ACÚSTICAS PARA LAS DEPENDENCIAS DEL PRIMER PISO SENCE NIVEL CENTRAL</t>
        </is>
      </c>
      <c r="C18" s="0">
        <v>1</v>
      </c>
      <c r="D18" s="4" t="inlineStr">
        <is>
          <t xml:space="preserve">Servicios de control de la contaminación acústica</t>
        </is>
      </c>
      <c r="E18" s="4" t="inlineStr">
        <is>
          <t xml:space="preserve">Servicios medioambientales / Servicios de seguimiento, control o rehabilitación de agentes contaminantes / Control de la contaminación acústica</t>
        </is>
      </c>
      <c r="F18" s="0">
        <v>1.0</v>
      </c>
      <c r="G18" s="0" t="inlineStr">
        <is>
          <t xml:space="preserve">Unidad</t>
        </is>
      </c>
      <c r="H18" s="4" t="inlineStr">
        <is>
          <t xml:space="preserve">SERVICIO DE MANTENCIÓN DE NUBES ACÚSTICAS PARA LAS DEPENDENCIAS DEL PRIMER PISO SENCE NIVEL CENTRAL</t>
        </is>
      </c>
    </row>
    <row r="19">
      <c r="A19" s="0" t="inlineStr">
        <is>
          <t xml:space="preserve">598-20-LE26</t>
        </is>
      </c>
      <c r="B19" s="4" t="inlineStr">
        <is>
          <t xml:space="preserve">Adquisición Licencias de Software para DIPRECA</t>
        </is>
      </c>
      <c r="C19" s="0">
        <v>1</v>
      </c>
      <c r="D19" s="4" t="inlineStr">
        <is>
          <t xml:space="preserve">Software de gestión de licencias</t>
        </is>
      </c>
      <c r="E19" s="4" t="inlineStr">
        <is>
          <t xml:space="preserve">Tecnologías de la información, telecomunicaciones y radiodifusión / Software / Software de gestión</t>
        </is>
      </c>
      <c r="F19" s="0">
        <v>1.0</v>
      </c>
      <c r="G19" s="0" t="inlineStr">
        <is>
          <t xml:space="preserve">Unidad</t>
        </is>
      </c>
      <c r="H19" s="4" t="inlineStr">
        <is>
          <t xml:space="preserve">Licencia Cloudflare Business por un periodo de 36 meses.</t>
        </is>
      </c>
    </row>
    <row r="20">
      <c r="A20" s="0" t="inlineStr">
        <is>
          <t xml:space="preserve">598-20-LE26</t>
        </is>
      </c>
      <c r="B20" s="4" t="inlineStr">
        <is>
          <t xml:space="preserve">Adquisición Licencias de Software para DIPRECA</t>
        </is>
      </c>
      <c r="C20" s="0">
        <v>2</v>
      </c>
      <c r="D20" s="4" t="inlineStr">
        <is>
          <t xml:space="preserve">Software de gestión de licencias</t>
        </is>
      </c>
      <c r="E20" s="4" t="inlineStr">
        <is>
          <t xml:space="preserve">Tecnologías de la información, telecomunicaciones y radiodifusión / Software / Software de gestión</t>
        </is>
      </c>
      <c r="F20" s="0">
        <v>3.0</v>
      </c>
      <c r="G20" s="0" t="inlineStr">
        <is>
          <t xml:space="preserve">Unidad</t>
        </is>
      </c>
      <c r="H20" s="4" t="inlineStr">
        <is>
          <t xml:space="preserve">Licencia Crowdsec por un periodo de 36 meses.</t>
        </is>
      </c>
    </row>
    <row r="21">
      <c r="A21" s="0" t="inlineStr">
        <is>
          <t xml:space="preserve">598-20-LE26</t>
        </is>
      </c>
      <c r="B21" s="4" t="inlineStr">
        <is>
          <t xml:space="preserve">Adquisición Licencias de Software para DIPRECA</t>
        </is>
      </c>
      <c r="C21" s="0">
        <v>3</v>
      </c>
      <c r="D21" s="4" t="inlineStr">
        <is>
          <t xml:space="preserve">Software de gestión de licencias</t>
        </is>
      </c>
      <c r="E21" s="4" t="inlineStr">
        <is>
          <t xml:space="preserve">Tecnologías de la información, telecomunicaciones y radiodifusión / Software / Software de gestión</t>
        </is>
      </c>
      <c r="F21" s="0">
        <v>4.0</v>
      </c>
      <c r="G21" s="0" t="inlineStr">
        <is>
          <t xml:space="preserve">Unidad</t>
        </is>
      </c>
      <c r="H21" s="4" t="inlineStr">
        <is>
          <t xml:space="preserve">Licencias Intellij Software (pack completo de 11 IDE, según detalle adjunto) por un periodo de 36 meses.</t>
        </is>
      </c>
    </row>
    <row r="22">
      <c r="A22" s="0" t="inlineStr">
        <is>
          <t xml:space="preserve">598-20-LE26</t>
        </is>
      </c>
      <c r="B22" s="4" t="inlineStr">
        <is>
          <t xml:space="preserve">Adquisición Licencias de Software para DIPRECA</t>
        </is>
      </c>
      <c r="C22" s="0">
        <v>4</v>
      </c>
      <c r="D22" s="4" t="inlineStr">
        <is>
          <t xml:space="preserve">Software de gestión de licencias</t>
        </is>
      </c>
      <c r="E22" s="4" t="inlineStr">
        <is>
          <t xml:space="preserve">Tecnologías de la información, telecomunicaciones y radiodifusión / Software / Software de gestión</t>
        </is>
      </c>
      <c r="F22" s="0">
        <v>2.0</v>
      </c>
      <c r="G22" s="0" t="inlineStr">
        <is>
          <t xml:space="preserve">Unidad</t>
        </is>
      </c>
      <c r="H22" s="4" t="inlineStr">
        <is>
          <t xml:space="preserve">Licencia trae IA, entorno de desarrollo integrado Ultra por un periodo de 36 meses.</t>
        </is>
      </c>
    </row>
    <row r="23">
      <c r="A23" s="0" t="inlineStr">
        <is>
          <t xml:space="preserve">875-7-LE26</t>
        </is>
      </c>
      <c r="B23" s="4" t="inlineStr">
        <is>
          <t xml:space="preserve">SERV. INFORMES Y PLATAFORMA DE PROYECTOS INVERSIÓN</t>
        </is>
      </c>
      <c r="C23" s="0">
        <v>1</v>
      </c>
      <c r="D23" s="4" t="inlineStr">
        <is>
          <t xml:space="preserve">Publicaciones periódicas</t>
        </is>
      </c>
      <c r="E23" s="4" t="inlineStr">
        <is>
          <t xml:space="preserve">Productos impresos y publicaciones / Medios impresos / Publicaciones impresas</t>
        </is>
      </c>
      <c r="F23" s="0">
        <v>1.0</v>
      </c>
      <c r="G23" s="0" t="inlineStr">
        <is>
          <t xml:space="preserve">Unidad</t>
        </is>
      </c>
      <c r="H23" s="4" t="inlineStr">
        <is>
          <t xml:space="preserve">SERVICIO DE ELABORACIÓN Y ENTREGA DE INFORMES DE PROYECTOS DE INVERSIÓN EN CHILE Y ACCESO A UNA PLATAFORMA ONLINE DE SEGUIMIENTO DE PROYECTOS DE INVERSIÓN PARA LA AGENCIA DE PROMOCIÓN DE LA INVERSIÓN EXTRANJERA</t>
        </is>
      </c>
    </row>
    <row r="24">
      <c r="A24" s="0" t="inlineStr">
        <is>
          <t xml:space="preserve">2785-78-LE26</t>
        </is>
      </c>
      <c r="B24" s="4" t="inlineStr">
        <is>
          <t xml:space="preserve">SDA 6375 SERVICIOS DE PUBLICIDAD Y DIFUSIÓN GESTIÓN MUNICIPAL EN MEDIOS DIGITALES Y PANTALLA LED</t>
        </is>
      </c>
      <c r="C24" s="0">
        <v>1</v>
      </c>
      <c r="D24" s="4" t="inlineStr">
        <is>
          <t xml:space="preserve">Campañas publicitarias</t>
        </is>
      </c>
      <c r="E24" s="4" t="inlineStr">
        <is>
          <t xml:space="preserve">Servicios editoriales, de diseño, publicidad, gráficos y artistas / Publicidad / Agencias de publicidad</t>
        </is>
      </c>
      <c r="F24" s="0">
        <v>3.0</v>
      </c>
      <c r="G24" s="0" t="inlineStr">
        <is>
          <t xml:space="preserve">Mes</t>
        </is>
      </c>
      <c r="H24" s="4" t="inlineStr">
        <is>
          <t xml:space="preserve">Ítem 2.1 Servicio de difusión y publicidad en pantallas LED, según requerimientos técnicos indicados en Bases Administrativas y Técnicas de la Licitación. Ingresar oferta con valor neto mensual.</t>
        </is>
      </c>
    </row>
    <row r="25">
      <c r="A25" s="0" t="inlineStr">
        <is>
          <t xml:space="preserve">2785-78-LE26</t>
        </is>
      </c>
      <c r="B25" s="4" t="inlineStr">
        <is>
          <t xml:space="preserve">SDA 6375 SERVICIOS DE PUBLICIDAD Y DIFUSIÓN GESTIÓN MUNICIPAL EN MEDIOS DIGITALES Y PANTALLA LED</t>
        </is>
      </c>
      <c r="C25" s="0">
        <v>2</v>
      </c>
      <c r="D25" s="4" t="inlineStr">
        <is>
          <t xml:space="preserve">Publicidad en Internet</t>
        </is>
      </c>
      <c r="E25" s="4" t="inlineStr">
        <is>
          <t xml:space="preserve">Servicios editoriales, de diseño, publicidad, gráficos y artistas / Publicidad / Publicidad en medios no impresos</t>
        </is>
      </c>
      <c r="F25" s="0">
        <v>2.0</v>
      </c>
      <c r="G25" s="0" t="inlineStr">
        <is>
          <t xml:space="preserve">Mes</t>
        </is>
      </c>
      <c r="H25" s="4" t="inlineStr">
        <is>
          <t xml:space="preserve">Ítem 2.2 Servicio de difusión y publicidad en medios digitales, según requerimientos técnicos indicados en Bases Administrativas y Técnicas de la Licitación. 2 Campañas de un mes cada una. Ingresar oferta con valor neto mensual.</t>
        </is>
      </c>
    </row>
    <row r="26">
      <c r="A26" s="0" t="inlineStr">
        <is>
          <t xml:space="preserve">1016-9-LE26</t>
        </is>
      </c>
      <c r="B26" s="4" t="inlineStr">
        <is>
          <t xml:space="preserve">Equipamiento Informático 11 Notebook Workstation</t>
        </is>
      </c>
      <c r="C26" s="0">
        <v>1</v>
      </c>
      <c r="D26" s="4" t="inlineStr">
        <is>
          <t xml:space="preserve">Notebook, laptop o computador portátil excepto Tablet PC</t>
        </is>
      </c>
      <c r="E26" s="4" t="inlineStr">
        <is>
          <t xml:space="preserve">Tecnologías de la información, telecomunicaciones y radiodifusión / Equipos informáticos y accesorios / Computadores</t>
        </is>
      </c>
      <c r="F26" s="0">
        <v>11.0</v>
      </c>
      <c r="G26" s="0" t="inlineStr">
        <is>
          <t xml:space="preserve">Unidad</t>
        </is>
      </c>
      <c r="H26" s="4" t="inlineStr">
        <is>
          <t xml:space="preserve">PORTATIL Notebook Workstation</t>
        </is>
      </c>
    </row>
    <row r="27">
      <c r="A27" s="0" t="inlineStr">
        <is>
          <t xml:space="preserve">1057390-48-LP26</t>
        </is>
      </c>
      <c r="B27" s="4" t="inlineStr">
        <is>
          <t xml:space="preserve">CONV. RADIOCOMUNICACIÓN DIGITAL SAMU</t>
        </is>
      </c>
      <c r="C27" s="0">
        <v>1</v>
      </c>
      <c r="D27" s="4" t="inlineStr">
        <is>
          <t xml:space="preserve">Sistemas de radio a pequeña escala</t>
        </is>
      </c>
      <c r="E27" s="4" t="inlineStr">
        <is>
          <t xml:space="preserve">Servicios básicos y de información pública / Telecomunicaciones / Servicios de radio</t>
        </is>
      </c>
      <c r="F27" s="0">
        <v>1.0</v>
      </c>
      <c r="G27" s="0" t="inlineStr">
        <is>
          <t xml:space="preserve">Mes</t>
        </is>
      </c>
      <c r="H27" s="4" t="inlineStr">
        <is>
          <t xml:space="preserve">Prestación mensual de servicio de comunicaciones digitales de voz tipo PTT (Push To Talk) sobre redes de banda ancha, para el SAMU Malleco, dependiente del Servicio de Salud Araucanía Norte. Total Anexo 1 .</t>
        </is>
      </c>
    </row>
    <row r="28">
      <c r="A28" s="0" t="inlineStr">
        <is>
          <t xml:space="preserve">1456839-6-LP26</t>
        </is>
      </c>
      <c r="B28" s="4" t="inlineStr">
        <is>
          <t xml:space="preserve">SERVICIO DE ARRIENDO Y MANTENCIÓN DE SOFTWARE DE REMUNERACIONES Y GESTIÓN DE PERSONAS</t>
        </is>
      </c>
      <c r="C28" s="0">
        <v>1</v>
      </c>
      <c r="D28" s="4" t="inlineStr">
        <is>
          <t xml:space="preserve">Software del sistema de administración de bases de datos</t>
        </is>
      </c>
      <c r="E28" s="4" t="inlineStr">
        <is>
          <t xml:space="preserve">Tecnologías de la información, telecomunicaciones y radiodifusión / Software / Software de consultas y gestión de datos</t>
        </is>
      </c>
      <c r="F28" s="0">
        <v>1.0</v>
      </c>
      <c r="G28" s="0" t="inlineStr">
        <is>
          <t xml:space="preserve">Unidad</t>
        </is>
      </c>
      <c r="H28" s="4" t="inlineStr">
        <is>
          <t xml:space="preserve">SERVICIO DE ARRIENDO DE SOFTWARE DE REMUNERACIONES Y GESTIÓN DE PERSONAS PARA EL SERVICIO LOCAL DE EDUCACIÓN PÚBLICA LOS COPIHUES</t>
        </is>
      </c>
    </row>
    <row r="29">
      <c r="A29" s="0" t="inlineStr">
        <is>
          <t xml:space="preserve">5418-13-LE26</t>
        </is>
      </c>
      <c r="B29" s="4" t="inlineStr">
        <is>
          <t xml:space="preserve">Digitalización Documentos Almacenados Bodega</t>
        </is>
      </c>
      <c r="C29" s="0">
        <v>1</v>
      </c>
      <c r="D29" s="4" t="inlineStr">
        <is>
          <t xml:space="preserve">Servicios de digitalización de documentos</t>
        </is>
      </c>
      <c r="E29" s="4" t="inlineStr">
        <is>
          <t xml:space="preserve">Servicios basados en ingeniería, ciencias sociales y tecnología de la información / Servicios informáticos / Servicios de datos</t>
        </is>
      </c>
      <c r="F29" s="0">
        <v>1.0</v>
      </c>
      <c r="G29" s="0" t="inlineStr">
        <is>
          <t xml:space="preserve">Unidad</t>
        </is>
      </c>
      <c r="H29" s="4" t="inlineStr">
        <is>
          <t xml:space="preserve">Servicio Digitalización de Documentos Almacenados Bodega-Comuna Mafil, Región de los Ríos</t>
        </is>
      </c>
    </row>
    <row r="30">
      <c r="A30" s="0" t="inlineStr">
        <is>
          <t xml:space="preserve">1393093-98-LE26</t>
        </is>
      </c>
      <c r="B30" s="4" t="inlineStr">
        <is>
          <t xml:space="preserve">CONTRATACIÓN DE SERV. DE DESA.SOFTWARE RENDICIONES</t>
        </is>
      </c>
      <c r="C30" s="0">
        <v>1</v>
      </c>
      <c r="D30" s="4" t="inlineStr">
        <is>
          <t xml:space="preserve">Desarrolladores temporales de software</t>
        </is>
      </c>
      <c r="E30" s="4" t="inlineStr">
        <is>
          <t xml:space="preserve">Servicios profesionales, administrativos y consultorías de gestión empresarial / Servicios de recursos humanos / Servicios de personal temporal</t>
        </is>
      </c>
      <c r="F30" s="0">
        <v>1.0</v>
      </c>
      <c r="G30" s="0" t="inlineStr">
        <is>
          <t xml:space="preserve">Unidad</t>
        </is>
      </c>
      <c r="H30" s="4" t="inlineStr">
        <is>
          <t xml:space="preserve">SERV. DESARROLLO SOFTWARE RENDICONES</t>
        </is>
      </c>
    </row>
    <row r="31">
      <c r="A31" s="0" t="inlineStr">
        <is>
          <t xml:space="preserve">2069-141-LR26</t>
        </is>
      </c>
      <c r="B31" s="4" t="inlineStr">
        <is>
          <t xml:space="preserve">CGM ADQ. TORRE DE ENDOSCOPIA DIGESTIVA CON IA</t>
        </is>
      </c>
      <c r="C31" s="0">
        <v>1</v>
      </c>
      <c r="D31" s="4" t="inlineStr">
        <is>
          <t xml:space="preserve">Equipo endoscópico o carritos de procedimiento o accesorios</t>
        </is>
      </c>
      <c r="E31" s="4" t="inlineStr">
        <is>
          <t xml:space="preserve">Equipamiento y suministros médicos / Productos quirúrgicos / Equipo endoscópico, accesorios y productos relacionados</t>
        </is>
      </c>
      <c r="F31" s="0">
        <v>2.0</v>
      </c>
      <c r="G31" s="0" t="inlineStr">
        <is>
          <t xml:space="preserve">Unidad</t>
        </is>
      </c>
      <c r="H31" s="4" t="inlineStr">
        <is>
          <t xml:space="preserve">TORRE DE ENDOSCOPIA DIGESTIVA CON INTELIGENCIA ARTIFICIAL</t>
        </is>
      </c>
    </row>
    <row r="32">
      <c r="A32" s="0" t="inlineStr">
        <is>
          <t xml:space="preserve">5531-4-B226</t>
        </is>
      </c>
      <c r="B32" s="4" t="inlineStr">
        <is>
          <t xml:space="preserve">Servicios de publicidad digital para el DII</t>
        </is>
      </c>
      <c r="C32" s="0">
        <v>1</v>
      </c>
      <c r="D32" s="4" t="inlineStr">
        <is>
          <t xml:space="preserve">Campañas publicitarias</t>
        </is>
      </c>
      <c r="E32" s="4" t="inlineStr">
        <is>
          <t xml:space="preserve">Servicios editoriales, de diseño, publicidad, gráficos y artistas / Publicidad / Agencias de publicidad</t>
        </is>
      </c>
      <c r="F32" s="0">
        <v>1.0</v>
      </c>
      <c r="G32" s="0" t="inlineStr">
        <is>
          <t xml:space="preserve">Unidad</t>
        </is>
      </c>
      <c r="H32" s="4" t="inlineStr">
        <is>
          <t xml:space="preserve">Servicios de publicidad digital, para el Departamento de Ingeniería Industrial</t>
        </is>
      </c>
    </row>
    <row r="33">
      <c r="A33" s="0" t="inlineStr">
        <is>
          <t xml:space="preserve">885-81-LP26</t>
        </is>
      </c>
      <c r="B33" s="4" t="inlineStr">
        <is>
          <t xml:space="preserve">Renovación de suscripciones para la plataforma de parchado virtual vRx Vicarius</t>
        </is>
      </c>
      <c r="C33" s="0">
        <v>1</v>
      </c>
      <c r="D33" s="4" t="inlineStr">
        <is>
          <t xml:space="preserve">Software de gestión de licencias</t>
        </is>
      </c>
      <c r="E33" s="4" t="inlineStr">
        <is>
          <t xml:space="preserve">Tecnologías de la información, telecomunicaciones y radiodifusión / Software / Software de gestión</t>
        </is>
      </c>
      <c r="F33" s="0">
        <v>1.0</v>
      </c>
      <c r="G33" s="0" t="inlineStr">
        <is>
          <t xml:space="preserve">Global</t>
        </is>
      </c>
      <c r="H33" s="4" t="inlineStr">
        <is>
          <t xml:space="preserve">Renovación de suscripción por 3000 activos para la plataforma de parchado virtual vRx Vicarius.</t>
        </is>
      </c>
    </row>
    <row r="34">
      <c r="A34" s="0" t="inlineStr">
        <is>
          <t xml:space="preserve">986278-19-L126</t>
        </is>
      </c>
      <c r="B34" s="4" t="inlineStr">
        <is>
          <t xml:space="preserve">CONTRATO DE SUMINISTRO DE INSUMOS INFORMÁTICOS, AÑO 2026, CFT DE LA REGIÓN DE LA ARAUCANÍA</t>
        </is>
      </c>
      <c r="C34" s="0">
        <v>1</v>
      </c>
      <c r="D34" s="4" t="inlineStr">
        <is>
          <t xml:space="preserve">Tóner</t>
        </is>
      </c>
      <c r="E34" s="4" t="inlineStr">
        <is>
          <t xml:space="preserve">Equipos, accesorios y suministros de oficina / Maquinarias, suministros y accesorios de oficina / Suministros para impresora, fax y fotocopiadora</t>
        </is>
      </c>
      <c r="F34" s="0">
        <v>1.0</v>
      </c>
      <c r="G34" s="0" t="inlineStr">
        <is>
          <t xml:space="preserve">Global</t>
        </is>
      </c>
      <c r="H34" s="4" t="inlineStr">
        <is>
          <t xml:space="preserve">CONTRATO DE SUMINISTRO DE INSUMOS INFORMÁTICOS, AÑO 2026, CFT DE LA REGIÓN DE LA ARAUCANÍA, SEGÚN BASES ADJUNTAS. EL OFERENTE DEBE POSTULAR EN MERCADO PUBLICO CON EL PRESUPUESTO NETO TOTAL DISPONIBLE DE LA INSTITUCIÓN: $3.800.352</t>
        </is>
      </c>
    </row>
    <row r="35">
      <c r="A35" s="0" t="inlineStr">
        <is>
          <t xml:space="preserve">1393093-103-LE26</t>
        </is>
      </c>
      <c r="B35" s="4" t="inlineStr">
        <is>
          <t xml:space="preserve">ADQUISICIÓN DE LICENCIAS SOFTWARE P01</t>
        </is>
      </c>
      <c r="C35" s="0">
        <v>1</v>
      </c>
      <c r="D35" s="4" t="inlineStr">
        <is>
          <t xml:space="preserve">Software de gestión de licencias</t>
        </is>
      </c>
      <c r="E35" s="4" t="inlineStr">
        <is>
          <t xml:space="preserve">Tecnologías de la información, telecomunicaciones y radiodifusión / Software / Software de gestión</t>
        </is>
      </c>
      <c r="F35" s="0">
        <v>120.0</v>
      </c>
      <c r="G35" s="0" t="inlineStr">
        <is>
          <t xml:space="preserve">Unidad</t>
        </is>
      </c>
      <c r="H35" s="4" t="inlineStr">
        <is>
          <t xml:space="preserve">LÍNEA 1: LICENCIA ESET PROTECT ENTRY</t>
        </is>
      </c>
    </row>
    <row r="36">
      <c r="A36" s="0" t="inlineStr">
        <is>
          <t xml:space="preserve">1393093-103-LE26</t>
        </is>
      </c>
      <c r="B36" s="4" t="inlineStr">
        <is>
          <t xml:space="preserve">ADQUISICIÓN DE LICENCIAS SOFTWARE P01</t>
        </is>
      </c>
      <c r="C36" s="0">
        <v>2</v>
      </c>
      <c r="D36" s="4" t="inlineStr">
        <is>
          <t xml:space="preserve">Software de gestión de licencias</t>
        </is>
      </c>
      <c r="E36" s="4" t="inlineStr">
        <is>
          <t xml:space="preserve">Tecnologías de la información, telecomunicaciones y radiodifusión / Software / Software de gestión</t>
        </is>
      </c>
      <c r="F36" s="0">
        <v>130.0</v>
      </c>
      <c r="G36" s="0" t="inlineStr">
        <is>
          <t xml:space="preserve">Unidad</t>
        </is>
      </c>
      <c r="H36" s="4" t="inlineStr">
        <is>
          <t xml:space="preserve">LÍNEA 2: PREY</t>
        </is>
      </c>
    </row>
    <row r="37">
      <c r="A37" s="0" t="inlineStr">
        <is>
          <t xml:space="preserve">1393093-103-LE26</t>
        </is>
      </c>
      <c r="B37" s="4" t="inlineStr">
        <is>
          <t xml:space="preserve">ADQUISICIÓN DE LICENCIAS SOFTWARE P01</t>
        </is>
      </c>
      <c r="C37" s="0">
        <v>3</v>
      </c>
      <c r="D37" s="4" t="inlineStr">
        <is>
          <t xml:space="preserve">Software de gestión de licencias</t>
        </is>
      </c>
      <c r="E37" s="4" t="inlineStr">
        <is>
          <t xml:space="preserve">Tecnologías de la información, telecomunicaciones y radiodifusión / Software / Software de gestión</t>
        </is>
      </c>
      <c r="F37" s="0">
        <v>5.0</v>
      </c>
      <c r="G37" s="0" t="inlineStr">
        <is>
          <t xml:space="preserve">Unidad</t>
        </is>
      </c>
      <c r="H37" s="4" t="inlineStr">
        <is>
          <t xml:space="preserve">LÍNEA 3: ADOBE CREATIVE CLOUD</t>
        </is>
      </c>
    </row>
    <row r="38">
      <c r="A38" s="0" t="inlineStr">
        <is>
          <t xml:space="preserve">1393093-103-LE26</t>
        </is>
      </c>
      <c r="B38" s="4" t="inlineStr">
        <is>
          <t xml:space="preserve">ADQUISICIÓN DE LICENCIAS SOFTWARE P01</t>
        </is>
      </c>
      <c r="C38" s="0">
        <v>4</v>
      </c>
      <c r="D38" s="4" t="inlineStr">
        <is>
          <t xml:space="preserve">Software de gestión de licencias</t>
        </is>
      </c>
      <c r="E38" s="4" t="inlineStr">
        <is>
          <t xml:space="preserve">Tecnologías de la información, telecomunicaciones y radiodifusión / Software / Software de gestión</t>
        </is>
      </c>
      <c r="F38" s="0">
        <v>4.0</v>
      </c>
      <c r="G38" s="0" t="inlineStr">
        <is>
          <t xml:space="preserve">Unidad</t>
        </is>
      </c>
      <c r="H38" s="4" t="inlineStr">
        <is>
          <t xml:space="preserve">LÍNEA 4: CAPCUT PRO</t>
        </is>
      </c>
    </row>
    <row r="39">
      <c r="A39" s="0" t="inlineStr">
        <is>
          <t xml:space="preserve">1393093-103-LE26</t>
        </is>
      </c>
      <c r="B39" s="4" t="inlineStr">
        <is>
          <t xml:space="preserve">ADQUISICIÓN DE LICENCIAS SOFTWARE P01</t>
        </is>
      </c>
      <c r="C39" s="0">
        <v>5</v>
      </c>
      <c r="D39" s="4" t="inlineStr">
        <is>
          <t xml:space="preserve">Software de gestión de licencias</t>
        </is>
      </c>
      <c r="E39" s="4" t="inlineStr">
        <is>
          <t xml:space="preserve">Tecnologías de la información, telecomunicaciones y radiodifusión / Software / Software de gestión</t>
        </is>
      </c>
      <c r="F39" s="0">
        <v>4.0</v>
      </c>
      <c r="G39" s="0" t="inlineStr">
        <is>
          <t xml:space="preserve">Unidad</t>
        </is>
      </c>
      <c r="H39" s="4" t="inlineStr">
        <is>
          <t xml:space="preserve">LÍNEA 5: INSHOT PRO</t>
        </is>
      </c>
    </row>
    <row r="40">
      <c r="A40" s="0" t="inlineStr">
        <is>
          <t xml:space="preserve">1393093-103-LE26</t>
        </is>
      </c>
      <c r="B40" s="4" t="inlineStr">
        <is>
          <t xml:space="preserve">ADQUISICIÓN DE LICENCIAS SOFTWARE P01</t>
        </is>
      </c>
      <c r="C40" s="0">
        <v>6</v>
      </c>
      <c r="D40" s="4" t="inlineStr">
        <is>
          <t xml:space="preserve">Software de gestión de licencias</t>
        </is>
      </c>
      <c r="E40" s="4" t="inlineStr">
        <is>
          <t xml:space="preserve">Tecnologías de la información, telecomunicaciones y radiodifusión / Software / Software de gestión</t>
        </is>
      </c>
      <c r="F40" s="0">
        <v>1.0</v>
      </c>
      <c r="G40" s="0" t="inlineStr">
        <is>
          <t xml:space="preserve">Unidad</t>
        </is>
      </c>
      <c r="H40" s="4" t="inlineStr">
        <is>
          <t xml:space="preserve">LÍNEA 6: TEAMVIEWER CORPORATE + 3 CANALES ADICIONALES</t>
        </is>
      </c>
    </row>
    <row r="41">
      <c r="A41" s="0" t="inlineStr">
        <is>
          <t xml:space="preserve">1393093-103-LE26</t>
        </is>
      </c>
      <c r="B41" s="4" t="inlineStr">
        <is>
          <t xml:space="preserve">ADQUISICIÓN DE LICENCIAS SOFTWARE P01</t>
        </is>
      </c>
      <c r="C41" s="0">
        <v>7</v>
      </c>
      <c r="D41" s="4" t="inlineStr">
        <is>
          <t xml:space="preserve">Software de gestión de licencias</t>
        </is>
      </c>
      <c r="E41" s="4" t="inlineStr">
        <is>
          <t xml:space="preserve">Tecnologías de la información, telecomunicaciones y radiodifusión / Software / Software de gestión</t>
        </is>
      </c>
      <c r="F41" s="0">
        <v>115.0</v>
      </c>
      <c r="G41" s="0" t="inlineStr">
        <is>
          <t xml:space="preserve">Unidad</t>
        </is>
      </c>
      <c r="H41" s="4" t="inlineStr">
        <is>
          <t xml:space="preserve">LÍNEA 7: OFFICE 365 A5 FOR FACULTY</t>
        </is>
      </c>
    </row>
    <row r="42">
      <c r="A42" s="0" t="inlineStr">
        <is>
          <t xml:space="preserve">3047-54-LE26</t>
        </is>
      </c>
      <c r="B42" s="4" t="inlineStr">
        <is>
          <t xml:space="preserve">ADQUISICION DE EQUIPOS DE RED Y ACCESORIOS PARA DEPARTAMENTO INFORMATICA</t>
        </is>
      </c>
      <c r="C42" s="0">
        <v>1</v>
      </c>
      <c r="D42" s="4" t="inlineStr">
        <is>
          <t xml:space="preserve">Módem</t>
        </is>
      </c>
      <c r="E42" s="4" t="inlineStr">
        <is>
          <t xml:space="preserve">Tecnologías de la información, telecomunicaciones y radiodifusión / Equipos, plataformas y accesorios de redes multimedia, voz y datos / Equipos de servicio de red</t>
        </is>
      </c>
      <c r="F42" s="0">
        <v>1.0</v>
      </c>
      <c r="G42" s="0" t="inlineStr">
        <is>
          <t xml:space="preserve">Unidad</t>
        </is>
      </c>
      <c r="H42" s="4" t="inlineStr">
        <is>
          <t xml:space="preserve">EQUIPOS DE RED Y ACCESORIOS DE ACUERDO A BASES ADMINISTRATIVAS, TECNICA Y ANEXOS ADJUNTOS</t>
        </is>
      </c>
    </row>
    <row r="43">
      <c r="A43" s="0" t="inlineStr">
        <is>
          <t xml:space="preserve">5251-70-LP26</t>
        </is>
      </c>
      <c r="B43" s="4" t="inlineStr">
        <is>
          <t xml:space="preserve">Tótems solares sustentables RED22993</t>
        </is>
      </c>
      <c r="C43" s="0">
        <v>1</v>
      </c>
      <c r="D43" s="4" t="inlineStr">
        <is>
          <t xml:space="preserve">Generadores solares</t>
        </is>
      </c>
      <c r="E43" s="4" t="inlineStr">
        <is>
          <t xml:space="preserve">Maquinaria para generación y distribución de energía / Transmisión de energía eléctrica, mecánica y cinética / Grupos electrógenos</t>
        </is>
      </c>
      <c r="F43" s="0">
        <v>18.0</v>
      </c>
      <c r="G43" s="0" t="inlineStr">
        <is>
          <t xml:space="preserve">Unidad</t>
        </is>
      </c>
      <c r="H43" s="4" t="inlineStr">
        <is>
          <t xml:space="preserve">Totem solar sustentable multipropósito: fabricación, suministro, transporte e instalación en 18 universidades, con carga USB, iluminación LED, pantalla informativa, estructura metálica y sistema fotovoltaico autónomo, más miniaturas y manuales.</t>
        </is>
      </c>
    </row>
    <row r="44">
      <c r="A44" s="0" t="inlineStr">
        <is>
          <t xml:space="preserve">4451-103-LE26</t>
        </is>
      </c>
      <c r="B44" s="4" t="inlineStr">
        <is>
          <t xml:space="preserve">ADQUISICION DE LICENCIAS DE SOFTWARE</t>
        </is>
      </c>
      <c r="C44" s="0">
        <v>1</v>
      </c>
      <c r="D44" s="4" t="inlineStr">
        <is>
          <t xml:space="preserve">Software de diseño de patrones</t>
        </is>
      </c>
      <c r="E44" s="4" t="inlineStr">
        <is>
          <t xml:space="preserve">Tecnologías de la información, telecomunicaciones y radiodifusión / Software / Software de edición y creación de contenidos</t>
        </is>
      </c>
      <c r="F44" s="0">
        <v>20.0</v>
      </c>
      <c r="G44" s="0" t="inlineStr">
        <is>
          <t xml:space="preserve">Unidad</t>
        </is>
      </c>
      <c r="H44" s="4" t="inlineStr">
        <is>
          <t xml:space="preserve">Adquisición de Licencia software diseño 2D o similar a AutoCAD LT 1Y (1 año), según especificaciones indicadas en bases técnicas</t>
        </is>
      </c>
    </row>
    <row r="45">
      <c r="A45" s="0" t="inlineStr">
        <is>
          <t xml:space="preserve">4451-103-LE26</t>
        </is>
      </c>
      <c r="B45" s="4" t="inlineStr">
        <is>
          <t xml:space="preserve">ADQUISICION DE LICENCIAS DE SOFTWARE</t>
        </is>
      </c>
      <c r="C45" s="0">
        <v>2</v>
      </c>
      <c r="D45" s="4" t="inlineStr">
        <is>
          <t xml:space="preserve">Software de retoque fotográfico o gráfico</t>
        </is>
      </c>
      <c r="E45" s="4" t="inlineStr">
        <is>
          <t xml:space="preserve">Tecnologías de la información, telecomunicaciones y radiodifusión / Software / Software de edición y creación de contenidos</t>
        </is>
      </c>
      <c r="F45" s="0">
        <v>8.0</v>
      </c>
      <c r="G45" s="0" t="inlineStr">
        <is>
          <t xml:space="preserve">Unidad</t>
        </is>
      </c>
      <c r="H45" s="4" t="inlineStr">
        <is>
          <t xml:space="preserve">Suscripción Adobe Creative Cloud, según especificaciones indicadas en bases técnicas</t>
        </is>
      </c>
    </row>
    <row r="46">
      <c r="A46" s="0" t="inlineStr">
        <is>
          <t xml:space="preserve">612-19-LE26</t>
        </is>
      </c>
      <c r="B46" s="4" t="inlineStr">
        <is>
          <t xml:space="preserve">Almacenaje y digitalización de Doc. Confidenciales</t>
        </is>
      </c>
      <c r="C46" s="0">
        <v>1</v>
      </c>
      <c r="D46" s="4" t="inlineStr">
        <is>
          <t xml:space="preserve">Servicios de almacenamiento de datos</t>
        </is>
      </c>
      <c r="E46" s="4" t="inlineStr">
        <is>
          <t xml:space="preserve">Servicios basados en ingeniería, ciencias sociales y tecnología de la información / Servicios informáticos / Servicios de datos</t>
        </is>
      </c>
      <c r="F46" s="0">
        <v>1.0</v>
      </c>
      <c r="G46" s="0" t="inlineStr">
        <is>
          <t xml:space="preserve">Unidad</t>
        </is>
      </c>
      <c r="H46" s="4" t="inlineStr">
        <is>
          <t xml:space="preserve">Almacenaje, administración y digitalización de documentos confidenciales.</t>
        </is>
      </c>
    </row>
    <row r="47">
      <c r="A47" s="0" t="inlineStr">
        <is>
          <t xml:space="preserve">5586-139-LE26</t>
        </is>
      </c>
      <c r="B47" s="4" t="inlineStr">
        <is>
          <t xml:space="preserve">SUSCRIPCIÓN ANUAL BASE DE DATOS VLEX GLOBAL INTERNACIONAL Y SERVICIO VLEX FULL CHILE</t>
        </is>
      </c>
      <c r="C47" s="0">
        <v>1</v>
      </c>
      <c r="D47" s="4" t="inlineStr">
        <is>
          <t xml:space="preserve">Software de gestión de licencias</t>
        </is>
      </c>
      <c r="E47" s="4" t="inlineStr">
        <is>
          <t xml:space="preserve">Tecnologías de la información, telecomunicaciones y radiodifusión / Software / Software de gestión</t>
        </is>
      </c>
      <c r="F47" s="0">
        <v>1.0</v>
      </c>
      <c r="G47" s="0" t="inlineStr">
        <is>
          <t xml:space="preserve">Global</t>
        </is>
      </c>
      <c r="H47" s="4" t="inlineStr">
        <is>
          <t xml:space="preserve">SUSCRIPCIÓN ANUAL BASE DE DATOS VLEX GLOBAL INTERNACIONAL Y SERVICIO VLEX FULL CHILE</t>
        </is>
      </c>
    </row>
    <row r="48">
      <c r="A48" s="0" t="inlineStr">
        <is>
          <t xml:space="preserve">2288-30-LE26</t>
        </is>
      </c>
      <c r="B48" s="4" t="inlineStr">
        <is>
          <t xml:space="preserve">ADQUISICIÓN DE EQUIPOS E INSUMOS INFORMÁTICOS</t>
        </is>
      </c>
      <c r="C48" s="0">
        <v>1</v>
      </c>
      <c r="D48" s="4" t="inlineStr">
        <is>
          <t xml:space="preserve">Notebook, laptop o computador portátil excepto Tablet PC</t>
        </is>
      </c>
      <c r="E48" s="4" t="inlineStr">
        <is>
          <t xml:space="preserve">Tecnologías de la información, telecomunicaciones y radiodifusión / Equipos informáticos y accesorios / Computadores</t>
        </is>
      </c>
      <c r="F48" s="0">
        <v>3.0</v>
      </c>
      <c r="G48" s="0" t="inlineStr">
        <is>
          <t xml:space="preserve">Unidad</t>
        </is>
      </c>
      <c r="H48" s="4" t="inlineStr">
        <is>
          <t xml:space="preserve">Notebook Equivalentes a HP ProBook 4 G1A Sistema operativo: Windows 11 Pro 64 bits. Procesador: AMD Ryzen 5 220 con gráficos AMD Radeon. Memoria RAM: 16 GB. Almacenamiento: 1TB. Pantalla: 14" WUXGA(1920X1200,IPS, Antirreflectante,300 nits. Salida de video</t>
        </is>
      </c>
    </row>
    <row r="49">
      <c r="A49" s="0" t="inlineStr">
        <is>
          <t xml:space="preserve">2288-30-LE26</t>
        </is>
      </c>
      <c r="B49" s="4" t="inlineStr">
        <is>
          <t xml:space="preserve">ADQUISICIÓN DE EQUIPOS E INSUMOS INFORMÁTICOS</t>
        </is>
      </c>
      <c r="C49" s="0">
        <v>2</v>
      </c>
      <c r="D49" s="4" t="inlineStr">
        <is>
          <t xml:space="preserve">Notebook, laptop o computador portátil excepto Tablet PC</t>
        </is>
      </c>
      <c r="E49" s="4" t="inlineStr">
        <is>
          <t xml:space="preserve">Tecnologías de la información, telecomunicaciones y radiodifusión / Equipos informáticos y accesorios / Computadores</t>
        </is>
      </c>
      <c r="F49" s="0">
        <v>2.0</v>
      </c>
      <c r="G49" s="0" t="inlineStr">
        <is>
          <t xml:space="preserve">Unidad</t>
        </is>
      </c>
      <c r="H49" s="4" t="inlineStr">
        <is>
          <t xml:space="preserve">ALL IN ONE equivalentes a LENOVO THINCENTRE M90A WINDOWS 11 PRO INTEL CORE ULTRA 5 225 8 GB 512GB O SUPERIOR.</t>
        </is>
      </c>
    </row>
    <row r="50">
      <c r="A50" s="0" t="inlineStr">
        <is>
          <t xml:space="preserve">2288-30-LE26</t>
        </is>
      </c>
      <c r="B50" s="4" t="inlineStr">
        <is>
          <t xml:space="preserve">ADQUISICIÓN DE EQUIPOS E INSUMOS INFORMÁTICOS</t>
        </is>
      </c>
      <c r="C50" s="0">
        <v>3</v>
      </c>
      <c r="D50" s="4" t="inlineStr">
        <is>
          <t xml:space="preserve">Notebook, laptop o computador portátil excepto Tablet PC</t>
        </is>
      </c>
      <c r="E50" s="4" t="inlineStr">
        <is>
          <t xml:space="preserve">Tecnologías de la información, telecomunicaciones y radiodifusión / Equipos informáticos y accesorios / Computadores</t>
        </is>
      </c>
      <c r="F50" s="0">
        <v>3.0</v>
      </c>
      <c r="G50" s="0" t="inlineStr">
        <is>
          <t xml:space="preserve">Unidad</t>
        </is>
      </c>
      <c r="H50" s="4" t="inlineStr">
        <is>
          <t xml:space="preserve">NOTEBOOK EQUIVALENTES A GAMER ACER  NITRO V15 ANV15-52-96J3-1, PROCESADOR INTEL CORE I9-13900H(1900 MHz-5400 MHz), RAM 32GB DDR4 (3200 MHz), ALMACENAMIENTO SSD 1 TB, TARJETAS DE VIDEO: INTEL IRIS XE GRAPHICS G7 96EUs (INTEGRADA); NVIDIA GEFORCE RTX 5060 (</t>
        </is>
      </c>
    </row>
    <row r="51">
      <c r="A51" s="0" t="inlineStr">
        <is>
          <t xml:space="preserve">2288-30-LE26</t>
        </is>
      </c>
      <c r="B51" s="4" t="inlineStr">
        <is>
          <t xml:space="preserve">ADQUISICIÓN DE EQUIPOS E INSUMOS INFORMÁTICOS</t>
        </is>
      </c>
      <c r="C51" s="0">
        <v>4</v>
      </c>
      <c r="D51" s="4" t="inlineStr">
        <is>
          <t xml:space="preserve">Notebook, laptop o computador portátil excepto Tablet PC</t>
        </is>
      </c>
      <c r="E51" s="4" t="inlineStr">
        <is>
          <t xml:space="preserve">Tecnologías de la información, telecomunicaciones y radiodifusión / Equipos informáticos y accesorios / Computadores</t>
        </is>
      </c>
      <c r="F51" s="0">
        <v>1.0</v>
      </c>
      <c r="G51" s="0" t="inlineStr">
        <is>
          <t xml:space="preserve">Unidad</t>
        </is>
      </c>
      <c r="H51" s="4" t="inlineStr">
        <is>
          <t xml:space="preserve">NOTEBOOK EQUIVALENTE A  GAMER LENOVO LEGION 5I GEN 10, PROCESADOR INTEL CORE I9-14900HX DE 24 NUCLEOS Y 32 HILOS , RAM 32 GB DDR5 (5600 MHz), ALMACENAMIENTO SSD 1 TB, TARJETAS DE VIDEO:INTEL UHD GRAPHICS XE 32 EUs (INTEGRADA); NVIDIA GEFORCE RTX 5070 (8GB</t>
        </is>
      </c>
    </row>
    <row r="52">
      <c r="A52" s="0" t="inlineStr">
        <is>
          <t xml:space="preserve">2288-30-LE26</t>
        </is>
      </c>
      <c r="B52" s="4" t="inlineStr">
        <is>
          <t xml:space="preserve">ADQUISICIÓN DE EQUIPOS E INSUMOS INFORMÁTICOS</t>
        </is>
      </c>
      <c r="C52" s="0">
        <v>5</v>
      </c>
      <c r="D52" s="4" t="inlineStr">
        <is>
          <t xml:space="preserve">Tóner</t>
        </is>
      </c>
      <c r="E52" s="4" t="inlineStr">
        <is>
          <t xml:space="preserve">Equipos, accesorios y suministros de oficina / Maquinarias, suministros y accesorios de oficina / Suministros para impresora, fax y fotocopiadora</t>
        </is>
      </c>
      <c r="F52" s="0">
        <v>3.0</v>
      </c>
      <c r="G52" s="0" t="inlineStr">
        <is>
          <t xml:space="preserve">Juego</t>
        </is>
      </c>
      <c r="H52" s="4" t="inlineStr">
        <is>
          <t xml:space="preserve">TÓNER ORIGINALES PARA IMPRESORA BROTHER MFC-L8900 CDW, TÓNER TN-419, CADA JUEGO DEBE CONTENER COLOR NEGRO, AMARILLO, CELESTE Y MAGENTA</t>
        </is>
      </c>
    </row>
    <row r="53">
      <c r="A53" s="0" t="inlineStr">
        <is>
          <t xml:space="preserve">2288-30-LE26</t>
        </is>
      </c>
      <c r="B53" s="4" t="inlineStr">
        <is>
          <t xml:space="preserve">ADQUISICIÓN DE EQUIPOS E INSUMOS INFORMÁTICOS</t>
        </is>
      </c>
      <c r="C53" s="0">
        <v>6</v>
      </c>
      <c r="D53" s="4" t="inlineStr">
        <is>
          <t xml:space="preserve">Cartuchos de tinta</t>
        </is>
      </c>
      <c r="E53" s="4" t="inlineStr">
        <is>
          <t xml:space="preserve">Equipos, accesorios y suministros de oficina / Maquinarias, suministros y accesorios de oficina / Suministros para impresora, fax y fotocopiadora</t>
        </is>
      </c>
      <c r="F53" s="0">
        <v>2.0</v>
      </c>
      <c r="G53" s="0" t="inlineStr">
        <is>
          <t xml:space="preserve">Juego</t>
        </is>
      </c>
      <c r="H53" s="4" t="inlineStr">
        <is>
          <t xml:space="preserve">TINTA ORIGINAL HP 728 DE 300ML, CADA JUEGO DEBE INCLUIR COLOR AMARILLO, MAGENTA, CELESTE, MATE BLACK, PHOTO BLACK.</t>
        </is>
      </c>
    </row>
    <row r="54">
      <c r="A54" s="0" t="inlineStr">
        <is>
          <t xml:space="preserve">1562-49-LR26</t>
        </is>
      </c>
      <c r="B54" s="4" t="inlineStr">
        <is>
          <t xml:space="preserve">Sistema de monitoreo integral de ciberseguridad</t>
        </is>
      </c>
      <c r="C54" s="0">
        <v>1</v>
      </c>
      <c r="D54" s="4" t="inlineStr">
        <is>
          <t xml:space="preserve">Equipo de seguridad de evaluación de vulnerabilidad</t>
        </is>
      </c>
      <c r="E54" s="4" t="inlineStr">
        <is>
          <t xml:space="preserve">Tecnologías de la información, telecomunicaciones y radiodifusión / Equipos, plataformas y accesorios de redes multimedia, voz y datos / Equipos de seguridad de red</t>
        </is>
      </c>
      <c r="F54" s="0">
        <v>1.0</v>
      </c>
      <c r="G54" s="0" t="inlineStr">
        <is>
          <t xml:space="preserve">Unidad</t>
        </is>
      </c>
      <c r="H54" s="4" t="inlineStr">
        <is>
          <t xml:space="preserve">El Servicio Nacional de Geología y Minería (SERNAGEOMIN) requiere contratar un Servicio de Monitoreo integral de ciberseguridad que incluye suscripciones de software, implementación, capacitación, soporte y operación continua, orientado a fortalecer su po</t>
        </is>
      </c>
    </row>
    <row r="55">
      <c r="A55" s="0" t="inlineStr">
        <is>
          <t xml:space="preserve">3789-37-CO26</t>
        </is>
      </c>
      <c r="B55" s="4" t="inlineStr">
        <is>
          <t xml:space="preserve">ADQUISICION DE EQUIPOS INFORMATICOS</t>
        </is>
      </c>
      <c r="C55" s="0">
        <v>1</v>
      </c>
      <c r="D55" s="4" t="inlineStr">
        <is>
          <t xml:space="preserve">Impresoras de chorro de tinta</t>
        </is>
      </c>
      <c r="E55" s="4" t="inlineStr">
        <is>
          <t xml:space="preserve">Tecnologías de la información, telecomunicaciones y radiodifusión / Equipos informáticos y accesorios / Impresoras</t>
        </is>
      </c>
      <c r="F55" s="0">
        <v>1.0</v>
      </c>
      <c r="G55" s="0" t="inlineStr">
        <is>
          <t xml:space="preserve">Unidad</t>
        </is>
      </c>
      <c r="H55" s="4" t="inlineStr">
        <is>
          <t xml:space="preserve">ADQUISICIÓN DE EQUIPOS INFORMÁTICOS
Proyecto “CONSTRUCCIÓN CESFAM LAUTARO CARO RÍOS, PAILLACO, SEGUN BASES ADJUNTAS.</t>
        </is>
      </c>
    </row>
    <row r="56">
      <c r="A56" s="0" t="inlineStr">
        <is>
          <t xml:space="preserve">586-52-LP26</t>
        </is>
      </c>
      <c r="B56" s="4" t="inlineStr">
        <is>
          <t xml:space="preserve">Adquisición de licencias de software Redhat</t>
        </is>
      </c>
      <c r="C56" s="0">
        <v>1</v>
      </c>
      <c r="D56" s="4" t="inlineStr">
        <is>
          <t xml:space="preserve">Software de gestión de licencias</t>
        </is>
      </c>
      <c r="E56" s="4" t="inlineStr">
        <is>
          <t xml:space="preserve">Tecnologías de la información, telecomunicaciones y radiodifusión / Software / Software de gestión</t>
        </is>
      </c>
      <c r="F56" s="0">
        <v>1.0</v>
      </c>
      <c r="G56" s="0" t="inlineStr">
        <is>
          <t xml:space="preserve">Unidad</t>
        </is>
      </c>
      <c r="H56" s="4" t="inlineStr">
        <is>
          <t xml:space="preserve">Adquisición de suscripciones de licencias de software Redhat, conforme a bases de licitación</t>
        </is>
      </c>
    </row>
    <row r="57">
      <c r="A57" s="0" t="inlineStr">
        <is>
          <t xml:space="preserve">2785-84-LE26</t>
        </is>
      </c>
      <c r="B57" s="4" t="inlineStr">
        <is>
          <t xml:space="preserve">SDA 6386 INSUMOS INFORMATICOS PARA BODEGA MUNICIPAL</t>
        </is>
      </c>
      <c r="C57" s="0">
        <v>1</v>
      </c>
      <c r="D57" s="4" t="inlineStr">
        <is>
          <t xml:space="preserve">Tóner</t>
        </is>
      </c>
      <c r="E57" s="4" t="inlineStr">
        <is>
          <t xml:space="preserve">Equipos, accesorios y suministros de oficina / Maquinarias, suministros y accesorios de oficina / Suministros para impresora, fax y fotocopiadora</t>
        </is>
      </c>
      <c r="F57" s="0">
        <v>180.0</v>
      </c>
      <c r="G57" s="0" t="inlineStr">
        <is>
          <t xml:space="preserve">Unidad</t>
        </is>
      </c>
      <c r="H57" s="4" t="inlineStr">
        <is>
          <t xml:space="preserve">Item 2.1 Tóner TN2370 alternativo nuevo (no remanufacturado) u original</t>
        </is>
      </c>
    </row>
    <row r="58">
      <c r="A58" s="0" t="inlineStr">
        <is>
          <t xml:space="preserve">2785-84-LE26</t>
        </is>
      </c>
      <c r="B58" s="4" t="inlineStr">
        <is>
          <t xml:space="preserve">SDA 6386 INSUMOS INFORMATICOS PARA BODEGA MUNICIPAL</t>
        </is>
      </c>
      <c r="C58" s="0">
        <v>2</v>
      </c>
      <c r="D58" s="4" t="inlineStr">
        <is>
          <t xml:space="preserve">Tóner</t>
        </is>
      </c>
      <c r="E58" s="4" t="inlineStr">
        <is>
          <t xml:space="preserve">Equipos, accesorios y suministros de oficina / Maquinarias, suministros y accesorios de oficina / Suministros para impresora, fax y fotocopiadora</t>
        </is>
      </c>
      <c r="F58" s="0">
        <v>15.0</v>
      </c>
      <c r="G58" s="0" t="inlineStr">
        <is>
          <t xml:space="preserve">Unidad</t>
        </is>
      </c>
      <c r="H58" s="4" t="inlineStr">
        <is>
          <t xml:space="preserve">Ítem 2.2 Tambor DR2340 alternativo nuevo (no remanufacturado) u original</t>
        </is>
      </c>
    </row>
    <row r="59">
      <c r="A59" s="0" t="inlineStr">
        <is>
          <t xml:space="preserve">2785-84-LE26</t>
        </is>
      </c>
      <c r="B59" s="4" t="inlineStr">
        <is>
          <t xml:space="preserve">SDA 6386 INSUMOS INFORMATICOS PARA BODEGA MUNICIPAL</t>
        </is>
      </c>
      <c r="C59" s="0">
        <v>3</v>
      </c>
      <c r="D59" s="4" t="inlineStr">
        <is>
          <t xml:space="preserve">Tóner</t>
        </is>
      </c>
      <c r="E59" s="4" t="inlineStr">
        <is>
          <t xml:space="preserve">Equipos, accesorios y suministros de oficina / Maquinarias, suministros y accesorios de oficina / Suministros para impresora, fax y fotocopiadora</t>
        </is>
      </c>
      <c r="F59" s="0">
        <v>20.0</v>
      </c>
      <c r="G59" s="0" t="inlineStr">
        <is>
          <t xml:space="preserve">Unidad</t>
        </is>
      </c>
      <c r="H59" s="4" t="inlineStr">
        <is>
          <t xml:space="preserve">Item 2.3 Tóner CE285A alternativo nuevo (no remanufacturado) u original</t>
        </is>
      </c>
    </row>
    <row r="60">
      <c r="A60" s="0" t="inlineStr">
        <is>
          <t xml:space="preserve">2785-84-LE26</t>
        </is>
      </c>
      <c r="B60" s="4" t="inlineStr">
        <is>
          <t xml:space="preserve">SDA 6386 INSUMOS INFORMATICOS PARA BODEGA MUNICIPAL</t>
        </is>
      </c>
      <c r="C60" s="0">
        <v>4</v>
      </c>
      <c r="D60" s="4" t="inlineStr">
        <is>
          <t xml:space="preserve">Tóner</t>
        </is>
      </c>
      <c r="E60" s="4" t="inlineStr">
        <is>
          <t xml:space="preserve">Equipos, accesorios y suministros de oficina / Maquinarias, suministros y accesorios de oficina / Suministros para impresora, fax y fotocopiadora</t>
        </is>
      </c>
      <c r="F60" s="0">
        <v>10.0</v>
      </c>
      <c r="G60" s="0" t="inlineStr">
        <is>
          <t xml:space="preserve">Unidad</t>
        </is>
      </c>
      <c r="H60" s="4" t="inlineStr">
        <is>
          <t xml:space="preserve">Ítem 2.4 Tóner W1105A alternativo nuevo (no remanufacturado) u original</t>
        </is>
      </c>
    </row>
    <row r="61">
      <c r="A61" s="0" t="inlineStr">
        <is>
          <t xml:space="preserve">2785-84-LE26</t>
        </is>
      </c>
      <c r="B61" s="4" t="inlineStr">
        <is>
          <t xml:space="preserve">SDA 6386 INSUMOS INFORMATICOS PARA BODEGA MUNICIPAL</t>
        </is>
      </c>
      <c r="C61" s="0">
        <v>5</v>
      </c>
      <c r="D61" s="4" t="inlineStr">
        <is>
          <t xml:space="preserve">Tóner</t>
        </is>
      </c>
      <c r="E61" s="4" t="inlineStr">
        <is>
          <t xml:space="preserve">Equipos, accesorios y suministros de oficina / Maquinarias, suministros y accesorios de oficina / Suministros para impresora, fax y fotocopiadora</t>
        </is>
      </c>
      <c r="F61" s="0">
        <v>20.0</v>
      </c>
      <c r="G61" s="0" t="inlineStr">
        <is>
          <t xml:space="preserve">Unidad</t>
        </is>
      </c>
      <c r="H61" s="4" t="inlineStr">
        <is>
          <t xml:space="preserve">Ítem 2.5 Tóner TN1060 alternativo nuevo (no remanufacturado) u original</t>
        </is>
      </c>
    </row>
    <row r="62">
      <c r="A62" s="0" t="inlineStr">
        <is>
          <t xml:space="preserve">2785-84-LE26</t>
        </is>
      </c>
      <c r="B62" s="4" t="inlineStr">
        <is>
          <t xml:space="preserve">SDA 6386 INSUMOS INFORMATICOS PARA BODEGA MUNICIPAL</t>
        </is>
      </c>
      <c r="C62" s="0">
        <v>6</v>
      </c>
      <c r="D62" s="4" t="inlineStr">
        <is>
          <t xml:space="preserve">Tóner</t>
        </is>
      </c>
      <c r="E62" s="4" t="inlineStr">
        <is>
          <t xml:space="preserve">Equipos, accesorios y suministros de oficina / Maquinarias, suministros y accesorios de oficina / Suministros para impresora, fax y fotocopiadora</t>
        </is>
      </c>
      <c r="F62" s="0">
        <v>10.0</v>
      </c>
      <c r="G62" s="0" t="inlineStr">
        <is>
          <t xml:space="preserve">Unidad</t>
        </is>
      </c>
      <c r="H62" s="4" t="inlineStr">
        <is>
          <t xml:space="preserve">Ítem 2.6 Tambor DR1060 alternativo nuevo (no remanufacturado) u original</t>
        </is>
      </c>
    </row>
    <row r="63">
      <c r="A63" s="0" t="inlineStr">
        <is>
          <t xml:space="preserve">2785-84-LE26</t>
        </is>
      </c>
      <c r="B63" s="4" t="inlineStr">
        <is>
          <t xml:space="preserve">SDA 6386 INSUMOS INFORMATICOS PARA BODEGA MUNICIPAL</t>
        </is>
      </c>
      <c r="C63" s="0">
        <v>7</v>
      </c>
      <c r="D63" s="4" t="inlineStr">
        <is>
          <t xml:space="preserve">Tóner</t>
        </is>
      </c>
      <c r="E63" s="4" t="inlineStr">
        <is>
          <t xml:space="preserve">Equipos, accesorios y suministros de oficina / Maquinarias, suministros y accesorios de oficina / Suministros para impresora, fax y fotocopiadora</t>
        </is>
      </c>
      <c r="F63" s="0">
        <v>9.0</v>
      </c>
      <c r="G63" s="0" t="inlineStr">
        <is>
          <t xml:space="preserve">Unidad</t>
        </is>
      </c>
      <c r="H63" s="4" t="inlineStr">
        <is>
          <t xml:space="preserve">Ítem 2.7 Tóner CF258X Se requiere tóner original</t>
        </is>
      </c>
    </row>
    <row r="64">
      <c r="A64" s="0" t="inlineStr">
        <is>
          <t xml:space="preserve">2785-84-LE26</t>
        </is>
      </c>
      <c r="B64" s="4" t="inlineStr">
        <is>
          <t xml:space="preserve">SDA 6386 INSUMOS INFORMATICOS PARA BODEGA MUNICIPAL</t>
        </is>
      </c>
      <c r="C64" s="0">
        <v>8</v>
      </c>
      <c r="D64" s="4" t="inlineStr">
        <is>
          <t xml:space="preserve">Tóner</t>
        </is>
      </c>
      <c r="E64" s="4" t="inlineStr">
        <is>
          <t xml:space="preserve">Equipos, accesorios y suministros de oficina / Maquinarias, suministros y accesorios de oficina / Suministros para impresora, fax y fotocopiadora</t>
        </is>
      </c>
      <c r="F64" s="0">
        <v>14.0</v>
      </c>
      <c r="G64" s="0" t="inlineStr">
        <is>
          <t xml:space="preserve">Unidad</t>
        </is>
      </c>
      <c r="H64" s="4" t="inlineStr">
        <is>
          <t xml:space="preserve">Ítem 2.8 Tóner TN3619 Se requiere tóner original</t>
        </is>
      </c>
    </row>
    <row r="65">
      <c r="A65" s="0" t="inlineStr">
        <is>
          <t xml:space="preserve">2785-84-LE26</t>
        </is>
      </c>
      <c r="B65" s="4" t="inlineStr">
        <is>
          <t xml:space="preserve">SDA 6386 INSUMOS INFORMATICOS PARA BODEGA MUNICIPAL</t>
        </is>
      </c>
      <c r="C65" s="0">
        <v>9</v>
      </c>
      <c r="D65" s="4" t="inlineStr">
        <is>
          <t xml:space="preserve">Tóner</t>
        </is>
      </c>
      <c r="E65" s="4" t="inlineStr">
        <is>
          <t xml:space="preserve">Equipos, accesorios y suministros de oficina / Maquinarias, suministros y accesorios de oficina / Suministros para impresora, fax y fotocopiadora</t>
        </is>
      </c>
      <c r="F65" s="0">
        <v>30.0</v>
      </c>
      <c r="G65" s="0" t="inlineStr">
        <is>
          <t xml:space="preserve">Unidad</t>
        </is>
      </c>
      <c r="H65" s="4" t="inlineStr">
        <is>
          <t xml:space="preserve">Ítem 2.9 Tóner TN3479  alternativo nuevo (no remanufacturado) u original</t>
        </is>
      </c>
    </row>
    <row r="66">
      <c r="A66" s="0" t="inlineStr">
        <is>
          <t xml:space="preserve">2785-84-LE26</t>
        </is>
      </c>
      <c r="B66" s="4" t="inlineStr">
        <is>
          <t xml:space="preserve">SDA 6386 INSUMOS INFORMATICOS PARA BODEGA MUNICIPAL</t>
        </is>
      </c>
      <c r="C66" s="0">
        <v>10</v>
      </c>
      <c r="D66" s="4" t="inlineStr">
        <is>
          <t xml:space="preserve">Cartuchos de tinta</t>
        </is>
      </c>
      <c r="E66" s="4" t="inlineStr">
        <is>
          <t xml:space="preserve">Equipos, accesorios y suministros de oficina / Maquinarias, suministros y accesorios de oficina / Suministros para impresora, fax y fotocopiadora</t>
        </is>
      </c>
      <c r="F66" s="0">
        <v>10.0</v>
      </c>
      <c r="G66" s="0" t="inlineStr">
        <is>
          <t xml:space="preserve">Unidad</t>
        </is>
      </c>
      <c r="H66" s="4" t="inlineStr">
        <is>
          <t xml:space="preserve">Ítem 2.10  Tambor DR3460 alternativo nuevo (no remanufacturado) u original</t>
        </is>
      </c>
    </row>
    <row r="67">
      <c r="A67" s="0" t="inlineStr">
        <is>
          <t xml:space="preserve">2785-84-LE26</t>
        </is>
      </c>
      <c r="B67" s="4" t="inlineStr">
        <is>
          <t xml:space="preserve">SDA 6386 INSUMOS INFORMATICOS PARA BODEGA MUNICIPAL</t>
        </is>
      </c>
      <c r="C67" s="0">
        <v>11</v>
      </c>
      <c r="D67" s="4" t="inlineStr">
        <is>
          <t xml:space="preserve">Papel para trazado de curvas</t>
        </is>
      </c>
      <c r="E67" s="4" t="inlineStr">
        <is>
          <t xml:space="preserve">Productos de papel / Productos de papel / Papel de imprenta y escritura</t>
        </is>
      </c>
      <c r="F67" s="0">
        <v>10.0</v>
      </c>
      <c r="G67" s="0" t="inlineStr">
        <is>
          <t xml:space="preserve">Unidad</t>
        </is>
      </c>
      <c r="H67" s="4" t="inlineStr">
        <is>
          <t xml:space="preserve">Ítem 2.11 Rollo papel plotter 91,4cm x 50mt 80 gramos</t>
        </is>
      </c>
    </row>
    <row r="68">
      <c r="A68" s="0" t="inlineStr">
        <is>
          <t xml:space="preserve">2785-84-LE26</t>
        </is>
      </c>
      <c r="B68" s="4" t="inlineStr">
        <is>
          <t xml:space="preserve">SDA 6386 INSUMOS INFORMATICOS PARA BODEGA MUNICIPAL</t>
        </is>
      </c>
      <c r="C68" s="0">
        <v>12</v>
      </c>
      <c r="D68" s="4" t="inlineStr">
        <is>
          <t xml:space="preserve">Extensiones o soportes de teclado</t>
        </is>
      </c>
      <c r="E68" s="4" t="inlineStr">
        <is>
          <t xml:space="preserve">Tecnologías de la información, telecomunicaciones y radiodifusión / Equipos informáticos y accesorios / Accesorios o Dispositivos para ingreso de datos al computador</t>
        </is>
      </c>
      <c r="F68" s="0">
        <v>10.0</v>
      </c>
      <c r="G68" s="0" t="inlineStr">
        <is>
          <t xml:space="preserve">Unidad</t>
        </is>
      </c>
      <c r="H68" s="4" t="inlineStr">
        <is>
          <t xml:space="preserve">Ítem 2.12 Kit alámbrico teclado + mouse, USB-A, 1600 DPI, similar o equivalente a HP 150</t>
        </is>
      </c>
    </row>
    <row r="69">
      <c r="A69" s="0" t="inlineStr">
        <is>
          <t xml:space="preserve">2785-84-LE26</t>
        </is>
      </c>
      <c r="B69" s="4" t="inlineStr">
        <is>
          <t xml:space="preserve">SDA 6386 INSUMOS INFORMATICOS PARA BODEGA MUNICIPAL</t>
        </is>
      </c>
      <c r="C69" s="0">
        <v>13</v>
      </c>
      <c r="D69" s="4" t="inlineStr">
        <is>
          <t xml:space="preserve">Tóner</t>
        </is>
      </c>
      <c r="E69" s="4" t="inlineStr">
        <is>
          <t xml:space="preserve">Equipos, accesorios y suministros de oficina / Maquinarias, suministros y accesorios de oficina / Suministros para impresora, fax y fotocopiadora</t>
        </is>
      </c>
      <c r="F69" s="0">
        <v>5.0</v>
      </c>
      <c r="G69" s="0" t="inlineStr">
        <is>
          <t xml:space="preserve">Unidad</t>
        </is>
      </c>
      <c r="H69" s="4" t="inlineStr">
        <is>
          <t xml:space="preserve">Ítem 2.13 Cinta ETIQ DK-2205 compatible con etiquetadora QL-1060N</t>
        </is>
      </c>
    </row>
    <row r="70">
      <c r="A70" s="0" t="inlineStr">
        <is>
          <t xml:space="preserve">2785-84-LE26</t>
        </is>
      </c>
      <c r="B70" s="4" t="inlineStr">
        <is>
          <t xml:space="preserve">SDA 6386 INSUMOS INFORMATICOS PARA BODEGA MUNICIPAL</t>
        </is>
      </c>
      <c r="C70" s="0">
        <v>14</v>
      </c>
      <c r="D70" s="4" t="inlineStr">
        <is>
          <t xml:space="preserve">Tóner</t>
        </is>
      </c>
      <c r="E70" s="4" t="inlineStr">
        <is>
          <t xml:space="preserve">Equipos, accesorios y suministros de oficina / Maquinarias, suministros y accesorios de oficina / Suministros para impresora, fax y fotocopiadora</t>
        </is>
      </c>
      <c r="F70" s="0">
        <v>6.0</v>
      </c>
      <c r="G70" s="0" t="inlineStr">
        <is>
          <t xml:space="preserve">Unidad</t>
        </is>
      </c>
      <c r="H70" s="4" t="inlineStr">
        <is>
          <t xml:space="preserve">Ítem 2.14 Tinta T11B120 (BK) original. Se requiere tinta original</t>
        </is>
      </c>
    </row>
    <row r="71">
      <c r="A71" s="0" t="inlineStr">
        <is>
          <t xml:space="preserve">2785-84-LE26</t>
        </is>
      </c>
      <c r="B71" s="4" t="inlineStr">
        <is>
          <t xml:space="preserve">SDA 6386 INSUMOS INFORMATICOS PARA BODEGA MUNICIPAL</t>
        </is>
      </c>
      <c r="C71" s="0">
        <v>15</v>
      </c>
      <c r="D71" s="4" t="inlineStr">
        <is>
          <t xml:space="preserve">Tóner</t>
        </is>
      </c>
      <c r="E71" s="4" t="inlineStr">
        <is>
          <t xml:space="preserve">Equipos, accesorios y suministros de oficina / Maquinarias, suministros y accesorios de oficina / Suministros para impresora, fax y fotocopiadora</t>
        </is>
      </c>
      <c r="F71" s="0">
        <v>6.0</v>
      </c>
      <c r="G71" s="0" t="inlineStr">
        <is>
          <t xml:space="preserve">Unidad</t>
        </is>
      </c>
      <c r="H71" s="4" t="inlineStr">
        <is>
          <t xml:space="preserve">Ítem 2.15 Tinta T11A220 (C) original. Se requiere tinta original</t>
        </is>
      </c>
    </row>
    <row r="72">
      <c r="A72" s="0" t="inlineStr">
        <is>
          <t xml:space="preserve">3084-31-LE26</t>
        </is>
      </c>
      <c r="B72" s="4" t="inlineStr">
        <is>
          <t xml:space="preserve">SERVICIO REPARACIÓN DE OFICINAS PARA LA DIRECCIÓN DE TELECOMUNICACIONES E INFORMÁTICA DE LA ARMADA.</t>
        </is>
      </c>
      <c r="C72" s="0">
        <v>1</v>
      </c>
      <c r="D72" s="4" t="inlineStr">
        <is>
          <t xml:space="preserve">Mano de obra temporal</t>
        </is>
      </c>
      <c r="E72" s="4" t="inlineStr">
        <is>
          <t xml:space="preserve">Servicios profesionales, administrativos y consultorías de gestión empresarial / Servicios de recursos humanos / Servicios de personal temporal</t>
        </is>
      </c>
      <c r="F72" s="0">
        <v>1.0</v>
      </c>
      <c r="G72" s="0" t="inlineStr">
        <is>
          <t xml:space="preserve">Unidad</t>
        </is>
      </c>
      <c r="H72" s="4" t="inlineStr">
        <is>
          <t xml:space="preserve">Contratación del Servicio de Reparación de Oficinas, de acuerdo a Especificaciones Técnicas.</t>
        </is>
      </c>
    </row>
    <row r="73">
      <c r="A73" s="0" t="inlineStr">
        <is>
          <t xml:space="preserve">5413-71-LE26</t>
        </is>
      </c>
      <c r="B73" s="4" t="inlineStr">
        <is>
          <t xml:space="preserve">SERVICIO DE PLATAFORMA DE LIBROS CONTABLES Y AUXILIARES ELECTRÓNICOS Y DOCUMENTOS TRIBUTARIOS ELECTRÓNICOS DTE PARA LA UNIVERSIDAD DE LOS LAGOS</t>
        </is>
      </c>
      <c r="C73" s="0">
        <v>1</v>
      </c>
      <c r="D73" s="4" t="inlineStr">
        <is>
          <t xml:space="preserve">Mantenimiento y soporte de sistemas propietarios</t>
        </is>
      </c>
      <c r="E73" s="4" t="inlineStr">
        <is>
          <t xml:space="preserve">Servicios basados en ingeniería, ciencias sociales y tecnología de la información / Servicios informáticos / Administración de sistemas</t>
        </is>
      </c>
      <c r="F73" s="0">
        <v>36.0</v>
      </c>
      <c r="G73" s="0" t="inlineStr">
        <is>
          <t xml:space="preserve">Mes</t>
        </is>
      </c>
      <c r="H73" s="4" t="inlineStr">
        <is>
          <t xml:space="preserve">SERVICIOS DE EMISIÓN Y RECEPCIÓN DE DOCUMENTOS TRIBUTARIOS ELECTRÓNICO.</t>
        </is>
      </c>
    </row>
    <row r="74">
      <c r="A74" s="0" t="inlineStr">
        <is>
          <t xml:space="preserve">5413-71-LE26</t>
        </is>
      </c>
      <c r="B74" s="4" t="inlineStr">
        <is>
          <t xml:space="preserve">SERVICIO DE PLATAFORMA DE LIBROS CONTABLES Y AUXILIARES ELECTRÓNICOS Y DOCUMENTOS TRIBUTARIOS ELECTRÓNICOS DTE PARA LA UNIVERSIDAD DE LOS LAGOS</t>
        </is>
      </c>
      <c r="C74" s="0">
        <v>2</v>
      </c>
      <c r="D74" s="4" t="inlineStr">
        <is>
          <t xml:space="preserve">Desarrolladores de software</t>
        </is>
      </c>
      <c r="E74" s="4" t="inlineStr">
        <is>
          <t xml:space="preserve">Servicios profesionales, administrativos y consultorías de gestión empresarial / Servicios de recursos humanos / Contratación de personal</t>
        </is>
      </c>
      <c r="F74" s="0">
        <v>36.0</v>
      </c>
      <c r="G74" s="0" t="inlineStr">
        <is>
          <t xml:space="preserve">Mes</t>
        </is>
      </c>
      <c r="H74" s="4" t="inlineStr">
        <is>
          <t xml:space="preserve">SERVICIO DE PLATAFORMA DE LIBROS CONTABLES ELECTRÓNICOS.</t>
        </is>
      </c>
    </row>
    <row r="75">
      <c r="A75" s="0" t="inlineStr">
        <is>
          <t xml:space="preserve">5413-71-LE26</t>
        </is>
      </c>
      <c r="B75" s="4" t="inlineStr">
        <is>
          <t xml:space="preserve">SERVICIO DE PLATAFORMA DE LIBROS CONTABLES Y AUXILIARES ELECTRÓNICOS Y DOCUMENTOS TRIBUTARIOS ELECTRÓNICOS DTE PARA LA UNIVERSIDAD DE LOS LAGOS</t>
        </is>
      </c>
      <c r="C75" s="0">
        <v>3</v>
      </c>
      <c r="D75" s="4" t="inlineStr">
        <is>
          <t xml:space="preserve">Desarrolladores de software</t>
        </is>
      </c>
      <c r="E75" s="4" t="inlineStr">
        <is>
          <t xml:space="preserve">Servicios profesionales, administrativos y consultorías de gestión empresarial / Servicios de recursos humanos / Contratación de personal</t>
        </is>
      </c>
      <c r="F75" s="0">
        <v>36.0</v>
      </c>
      <c r="G75" s="0" t="inlineStr">
        <is>
          <t xml:space="preserve">Mes</t>
        </is>
      </c>
      <c r="H75" s="4" t="inlineStr">
        <is>
          <t xml:space="preserve">SERVICIO DE PLATAFORMA DE LIBROS AUXILIARES ELECTRÓNICOS.</t>
        </is>
      </c>
    </row>
    <row r="76">
      <c r="A76" s="0" t="inlineStr">
        <is>
          <t xml:space="preserve">837-101-LP26</t>
        </is>
      </c>
      <c r="B76" s="4" t="inlineStr">
        <is>
          <t xml:space="preserve">CDP 477 SERVICIO DE OPERACIÓN SISTEMA DE CONTROL CENTRALIZADO BMS Y SISTEMA DE TELEVIGILANCIA SOFTWARE HIKCENTRAL PROFESSIONAL DE EDIFICIO INSTITUCIONAL SML SANTIAGO</t>
        </is>
      </c>
      <c r="C76" s="0">
        <v>1</v>
      </c>
      <c r="D76" s="4" t="inlineStr">
        <is>
          <t xml:space="preserve">Software de administración</t>
        </is>
      </c>
      <c r="E76" s="4" t="inlineStr">
        <is>
          <t xml:space="preserve">Tecnologías de la información, telecomunicaciones y radiodifusión / Software / Software de administración de redes</t>
        </is>
      </c>
      <c r="F76" s="0">
        <v>12.0</v>
      </c>
      <c r="G76" s="0" t="inlineStr">
        <is>
          <t xml:space="preserve">Mes</t>
        </is>
      </c>
      <c r="H76" s="4" t="inlineStr">
        <is>
          <t xml:space="preserve">SERVICIO DE OPERACIÓN PARA EL SISTEMA DE CONTROL CENTRALIZADO (BMS) SOFTWARE ENTELIWEB</t>
        </is>
      </c>
    </row>
    <row r="77">
      <c r="A77" s="0" t="inlineStr">
        <is>
          <t xml:space="preserve">837-101-LP26</t>
        </is>
      </c>
      <c r="B77" s="4" t="inlineStr">
        <is>
          <t xml:space="preserve">CDP 477 SERVICIO DE OPERACIÓN SISTEMA DE CONTROL CENTRALIZADO BMS Y SISTEMA DE TELEVIGILANCIA SOFTWARE HIKCENTRAL PROFESSIONAL DE EDIFICIO INSTITUCIONAL SML SANTIAGO</t>
        </is>
      </c>
      <c r="C77" s="0">
        <v>2</v>
      </c>
      <c r="D77" s="4" t="inlineStr">
        <is>
          <t xml:space="preserve">Sistemas de control de acceso o de seguridad</t>
        </is>
      </c>
      <c r="E77" s="4" t="inlineStr">
        <is>
          <t xml:space="preserve">Equipos y suministros de defensa, orden público, protección y seguridad / Seguridad, vigilancia y detección / Equipo de vigilancia y detección</t>
        </is>
      </c>
      <c r="F77" s="0">
        <v>12.0</v>
      </c>
      <c r="G77" s="0" t="inlineStr">
        <is>
          <t xml:space="preserve">Mes</t>
        </is>
      </c>
      <c r="H77" s="4" t="inlineStr">
        <is>
          <t xml:space="preserve">SERVICIO DE OPERACIÓN PARA EL SISTEMA DE TELEVIGILANCIA SOFTWARE HIKCENTRAL PROFESSIONAL</t>
        </is>
      </c>
    </row>
    <row r="78">
      <c r="A78" s="0" t="inlineStr">
        <is>
          <t xml:space="preserve">4778-14-LP26</t>
        </is>
      </c>
      <c r="B78" s="4" t="inlineStr">
        <is>
          <t xml:space="preserve">SERV. ADMINISTRADO CONTACT CENTER OMNICANAL CON IA</t>
        </is>
      </c>
      <c r="C78" s="0">
        <v>1</v>
      </c>
      <c r="D78" s="4" t="inlineStr">
        <is>
          <t xml:space="preserve">Software para centrales de comunicación digital</t>
        </is>
      </c>
      <c r="E78" s="4" t="inlineStr">
        <is>
          <t xml:space="preserve">Tecnologías de la información, telecomunicaciones y radiodifusión / Software / Software para trabajo en redes</t>
        </is>
      </c>
      <c r="F78" s="0">
        <v>24.0</v>
      </c>
      <c r="G78" s="0" t="inlineStr">
        <is>
          <t xml:space="preserve">Unidad</t>
        </is>
      </c>
      <c r="H78" s="4" t="inlineStr">
        <is>
          <t xml:space="preserve">Servicio Administrado de Contact Center Omnicanal con IA</t>
        </is>
      </c>
    </row>
    <row r="79">
      <c r="A79" s="0" t="inlineStr">
        <is>
          <t xml:space="preserve">885-83-LE26</t>
        </is>
      </c>
      <c r="B79" s="4" t="inlineStr">
        <is>
          <t xml:space="preserve">Servicios de soporte y mantenimiento de la plataforma de seguridad F5 de la Contraloría General de la República</t>
        </is>
      </c>
      <c r="C79" s="0">
        <v>1</v>
      </c>
      <c r="D79" s="4" t="inlineStr">
        <is>
          <t xml:space="preserve">Equipo de seguridad de red de firewall</t>
        </is>
      </c>
      <c r="E79" s="4" t="inlineStr">
        <is>
          <t xml:space="preserve">Tecnologías de la información, telecomunicaciones y radiodifusión / Equipos, plataformas y accesorios de redes multimedia, voz y datos / Equipos de seguridad de red</t>
        </is>
      </c>
      <c r="F79" s="0">
        <v>1.0</v>
      </c>
      <c r="G79" s="0" t="inlineStr">
        <is>
          <t xml:space="preserve">Unidad</t>
        </is>
      </c>
      <c r="H79" s="4" t="inlineStr">
        <is>
          <t xml:space="preserve">Servicios de soporte y mantenimiento de su plataforma de seguridad, correspondiente a Balanceador de carga y cortafuego de aplicaciones F5, para zona productiva por un periodo de 12 meses</t>
        </is>
      </c>
    </row>
    <row r="80">
      <c r="A80" s="0" t="inlineStr">
        <is>
          <t xml:space="preserve">2098-142-LE26</t>
        </is>
      </c>
      <c r="B80" s="4" t="inlineStr">
        <is>
          <t xml:space="preserve">ADQUISICION DE ARTICULOS INFORMATICOS Y TECNOLOGICOS PAC N° 115 HRAV.</t>
        </is>
      </c>
      <c r="C80" s="0">
        <v>1</v>
      </c>
      <c r="D80" s="4" t="inlineStr">
        <is>
          <t xml:space="preserve">Fuentes de alimentación continua</t>
        </is>
      </c>
      <c r="E80" s="4" t="inlineStr">
        <is>
          <t xml:space="preserve">Artículos eléctricos y de iluminación / Equipamiento y artículos eléctricos / Equipamiento para distribución y transformación eléctrica</t>
        </is>
      </c>
      <c r="F80" s="0">
        <v>30.0</v>
      </c>
      <c r="G80" s="0" t="inlineStr">
        <is>
          <t xml:space="preserve">Unidad</t>
        </is>
      </c>
      <c r="H80" s="4" t="inlineStr">
        <is>
          <t xml:space="preserve">PROCESADOR (CPU) intel i3-12100 LGA 1700</t>
        </is>
      </c>
    </row>
    <row r="81">
      <c r="A81" s="0" t="inlineStr">
        <is>
          <t xml:space="preserve">2098-142-LE26</t>
        </is>
      </c>
      <c r="B81" s="4" t="inlineStr">
        <is>
          <t xml:space="preserve">ADQUISICION DE ARTICULOS INFORMATICOS Y TECNOLOGICOS PAC N° 115 HRAV.</t>
        </is>
      </c>
      <c r="C81" s="0">
        <v>2</v>
      </c>
      <c r="D81" s="4" t="inlineStr">
        <is>
          <t xml:space="preserve">Fuentes de alimentación continua</t>
        </is>
      </c>
      <c r="E81" s="4" t="inlineStr">
        <is>
          <t xml:space="preserve">Artículos eléctricos y de iluminación / Equipamiento y artículos eléctricos / Equipamiento para distribución y transformación eléctrica</t>
        </is>
      </c>
      <c r="F81" s="0">
        <v>100.0</v>
      </c>
      <c r="G81" s="0" t="inlineStr">
        <is>
          <t xml:space="preserve">Unidad</t>
        </is>
      </c>
      <c r="H81" s="4" t="inlineStr">
        <is>
          <t xml:space="preserve">DISCO DE ESTADO SOLIDO (SSD) 500 GB DISCO DE ESTADO SOLIDO (SSD) 500 GB-       Formato 2,5mm
-       Tipo SSD
-       500GB
-       SATA 3</t>
        </is>
      </c>
    </row>
    <row r="82">
      <c r="A82" s="0" t="inlineStr">
        <is>
          <t xml:space="preserve">2098-142-LE26</t>
        </is>
      </c>
      <c r="B82" s="4" t="inlineStr">
        <is>
          <t xml:space="preserve">ADQUISICION DE ARTICULOS INFORMATICOS Y TECNOLOGICOS PAC N° 115 HRAV.</t>
        </is>
      </c>
      <c r="C82" s="0">
        <v>3</v>
      </c>
      <c r="D82" s="4" t="inlineStr">
        <is>
          <t xml:space="preserve">Fuentes de alimentación continua</t>
        </is>
      </c>
      <c r="E82" s="4" t="inlineStr">
        <is>
          <t xml:space="preserve">Artículos eléctricos y de iluminación / Equipamiento y artículos eléctricos / Equipamiento para distribución y transformación eléctrica</t>
        </is>
      </c>
      <c r="F82" s="0">
        <v>30.0</v>
      </c>
      <c r="G82" s="0" t="inlineStr">
        <is>
          <t xml:space="preserve">Unidad</t>
        </is>
      </c>
      <c r="H82" s="4" t="inlineStr">
        <is>
          <t xml:space="preserve">PLACA MADRE H610M-HDV SOCKET LGA1700/ DDR4/ SATA3 USB3.2/ MICRO ATX-       Placa Madre Socket LGA1700
-       DDR4/ SATA3 USB3.2/
-       Formato Micro ATX</t>
        </is>
      </c>
    </row>
    <row r="83">
      <c r="A83" s="0" t="inlineStr">
        <is>
          <t xml:space="preserve">2098-142-LE26</t>
        </is>
      </c>
      <c r="B83" s="4" t="inlineStr">
        <is>
          <t xml:space="preserve">ADQUISICION DE ARTICULOS INFORMATICOS Y TECNOLOGICOS PAC N° 115 HRAV.</t>
        </is>
      </c>
      <c r="C83" s="0">
        <v>4</v>
      </c>
      <c r="D83" s="4" t="inlineStr">
        <is>
          <t xml:space="preserve">Pantallas de plasma (PDP)</t>
        </is>
      </c>
      <c r="E83" s="4" t="inlineStr">
        <is>
          <t xml:space="preserve">Tecnologías de la información, telecomunicaciones y radiodifusión / Equipos informáticos y accesorios / Pantallas o monitores de computador</t>
        </is>
      </c>
      <c r="F83" s="0">
        <v>30.0</v>
      </c>
      <c r="G83" s="0" t="inlineStr">
        <is>
          <t xml:space="preserve">Unidad</t>
        </is>
      </c>
      <c r="H83" s="4" t="inlineStr">
        <is>
          <t xml:space="preserve">PANTALLA 24"-          Monitor plano 24”
-          Conexión HDMI y VGA</t>
        </is>
      </c>
    </row>
    <row r="84">
      <c r="A84" s="0" t="inlineStr">
        <is>
          <t xml:space="preserve">2098-142-LE26</t>
        </is>
      </c>
      <c r="B84" s="4" t="inlineStr">
        <is>
          <t xml:space="preserve">ADQUISICION DE ARTICULOS INFORMATICOS Y TECNOLOGICOS PAC N° 115 HRAV.</t>
        </is>
      </c>
      <c r="C84" s="0">
        <v>5</v>
      </c>
      <c r="D84" s="4" t="inlineStr">
        <is>
          <t xml:space="preserve">Pantallas de plasma (PDP)</t>
        </is>
      </c>
      <c r="E84" s="4" t="inlineStr">
        <is>
          <t xml:space="preserve">Tecnologías de la información, telecomunicaciones y radiodifusión / Equipos informáticos y accesorios / Pantallas o monitores de computador</t>
        </is>
      </c>
      <c r="F84" s="0">
        <v>100.0</v>
      </c>
      <c r="G84" s="0" t="inlineStr">
        <is>
          <t xml:space="preserve">Unidad</t>
        </is>
      </c>
      <c r="H84" s="4" t="inlineStr">
        <is>
          <t xml:space="preserve">BATERIAS UCG5-12V-       9AH
-          12V
-          Ciclo Profundo</t>
        </is>
      </c>
    </row>
    <row r="85">
      <c r="A85" s="0" t="inlineStr">
        <is>
          <t xml:space="preserve">2098-142-LE26</t>
        </is>
      </c>
      <c r="B85" s="4" t="inlineStr">
        <is>
          <t xml:space="preserve">ADQUISICION DE ARTICULOS INFORMATICOS Y TECNOLOGICOS PAC N° 115 HRAV.</t>
        </is>
      </c>
      <c r="C85" s="0">
        <v>6</v>
      </c>
      <c r="D85" s="4" t="inlineStr">
        <is>
          <t xml:space="preserve">Fuentes de alimentación continua</t>
        </is>
      </c>
      <c r="E85" s="4" t="inlineStr">
        <is>
          <t xml:space="preserve">Artículos eléctricos y de iluminación / Equipamiento y artículos eléctricos / Equipamiento para distribución y transformación eléctrica</t>
        </is>
      </c>
      <c r="F85" s="0">
        <v>30.0</v>
      </c>
      <c r="G85" s="0" t="inlineStr">
        <is>
          <t xml:space="preserve">Unidad</t>
        </is>
      </c>
      <c r="H85" s="4" t="inlineStr">
        <is>
          <t xml:space="preserve">GABINETE PC SLIM-          Tamaño Slim
-          Formato Micro ATX 
-          Fuente poder 650W mínimo incluída</t>
        </is>
      </c>
    </row>
    <row r="86">
      <c r="A86" s="0" t="inlineStr">
        <is>
          <t xml:space="preserve">2098-142-LE26</t>
        </is>
      </c>
      <c r="B86" s="4" t="inlineStr">
        <is>
          <t xml:space="preserve">ADQUISICION DE ARTICULOS INFORMATICOS Y TECNOLOGICOS PAC N° 115 HRAV.</t>
        </is>
      </c>
      <c r="C86" s="0">
        <v>7</v>
      </c>
      <c r="D86" s="4" t="inlineStr">
        <is>
          <t xml:space="preserve">Teclados</t>
        </is>
      </c>
      <c r="E86" s="4" t="inlineStr">
        <is>
          <t xml:space="preserve">Tecnologías de la información, telecomunicaciones y radiodifusión / Equipos informáticos y accesorios / Dispositivos informáticos de entrada de datos</t>
        </is>
      </c>
      <c r="F86" s="0">
        <v>150.0</v>
      </c>
      <c r="G86" s="0" t="inlineStr">
        <is>
          <t xml:space="preserve">Unidad</t>
        </is>
      </c>
      <c r="H86" s="4" t="inlineStr">
        <is>
          <t xml:space="preserve">TECLADO PARA COMPUTADOR -          Interfaz USB
-          Idioma del teclado Español (con letra Ñ)
-          Formato del teclado estándar
-          Tecnología de conectividad Alámbrico
-          Estilo de teclado derecho</t>
        </is>
      </c>
    </row>
    <row r="87">
      <c r="A87" s="0" t="inlineStr">
        <is>
          <t xml:space="preserve">2098-142-LE26</t>
        </is>
      </c>
      <c r="B87" s="4" t="inlineStr">
        <is>
          <t xml:space="preserve">ADQUISICION DE ARTICULOS INFORMATICOS Y TECNOLOGICOS PAC N° 115 HRAV.</t>
        </is>
      </c>
      <c r="C87" s="0">
        <v>8</v>
      </c>
      <c r="D87" s="4" t="inlineStr">
        <is>
          <t xml:space="preserve">Soporte de pared</t>
        </is>
      </c>
      <c r="E87" s="4" t="inlineStr">
        <is>
          <t xml:space="preserve">Artículos de fabricación y producción / Artículos de ferretería / Soportes y puntales</t>
        </is>
      </c>
      <c r="F87" s="0">
        <v>20.0</v>
      </c>
      <c r="G87" s="0" t="inlineStr">
        <is>
          <t xml:space="preserve">Unidad</t>
        </is>
      </c>
      <c r="H87" s="4" t="inlineStr">
        <is>
          <t xml:space="preserve">SOPORTE DE PARED PARA MONITOR SOPORTE DE PARED -       Para monitores de 14” a 24”
-          Giro de 180 grados
-          Soporte de 15kg de peso
-          Tipo soporte tipo VESA</t>
        </is>
      </c>
    </row>
    <row r="88">
      <c r="A88" s="0" t="inlineStr">
        <is>
          <t xml:space="preserve">2098-142-LE26</t>
        </is>
      </c>
      <c r="B88" s="4" t="inlineStr">
        <is>
          <t xml:space="preserve">ADQUISICION DE ARTICULOS INFORMATICOS Y TECNOLOGICOS PAC N° 115 HRAV.</t>
        </is>
      </c>
      <c r="C88" s="0">
        <v>9</v>
      </c>
      <c r="D88" s="4" t="inlineStr">
        <is>
          <t xml:space="preserve">Artículo de cámara</t>
        </is>
      </c>
      <c r="E88" s="4" t="inlineStr">
        <is>
          <t xml:space="preserve">Maquinaria para fabricación y transformación industrial / Maquinaria y suministros de procesos industriales / Dispositivos de guía, posicionamiento y sujeción</t>
        </is>
      </c>
      <c r="F88" s="0">
        <v>30.0</v>
      </c>
      <c r="G88" s="0" t="inlineStr">
        <is>
          <t xml:space="preserve">Unidad</t>
        </is>
      </c>
      <c r="H88" s="4" t="inlineStr">
        <is>
          <t xml:space="preserve">CAMARA WEB -       Resolución Full HD 1080p
-       Ángulo de visión de 90° permite capturar más entorno en videoconferencias grupales.
-       Micrófonos incorporados garantizan un audio claro y fluido sin dispositivos adicionales.</t>
        </is>
      </c>
    </row>
    <row r="89">
      <c r="A89" s="0" t="inlineStr">
        <is>
          <t xml:space="preserve">2098-142-LE26</t>
        </is>
      </c>
      <c r="B89" s="4" t="inlineStr">
        <is>
          <t xml:space="preserve">ADQUISICION DE ARTICULOS INFORMATICOS Y TECNOLOGICOS PAC N° 115 HRAV.</t>
        </is>
      </c>
      <c r="C89" s="0">
        <v>10</v>
      </c>
      <c r="D89" s="4" t="inlineStr">
        <is>
          <t xml:space="preserve">Memoria RAM dinámica (DRAM)</t>
        </is>
      </c>
      <c r="E89" s="4" t="inlineStr">
        <is>
          <t xml:space="preserve">Artículos de electrónica / Circuitos electrónicos / Circuitos integrados, memorias y microprocesadores</t>
        </is>
      </c>
      <c r="F89" s="0">
        <v>60.0</v>
      </c>
      <c r="G89" s="0" t="inlineStr">
        <is>
          <t xml:space="preserve">Unidad</t>
        </is>
      </c>
      <c r="H89" s="4" t="inlineStr">
        <is>
          <t xml:space="preserve">MEMORIA RAM -       DDR4
-       Capacidad 4GB</t>
        </is>
      </c>
    </row>
    <row r="90">
      <c r="A90" s="0" t="inlineStr">
        <is>
          <t xml:space="preserve">2098-142-LE26</t>
        </is>
      </c>
      <c r="B90" s="4" t="inlineStr">
        <is>
          <t xml:space="preserve">ADQUISICION DE ARTICULOS INFORMATICOS Y TECNOLOGICOS PAC N° 115 HRAV.</t>
        </is>
      </c>
      <c r="C90" s="0">
        <v>11</v>
      </c>
      <c r="D90" s="4" t="inlineStr">
        <is>
          <t xml:space="preserve">Programas de desvío o conmutación</t>
        </is>
      </c>
      <c r="E90" s="4" t="inlineStr">
        <is>
          <t xml:space="preserve">Tecnologías de la información, telecomunicaciones y radiodifusión / Software / Software para trabajo en redes</t>
        </is>
      </c>
      <c r="F90" s="0">
        <v>10.0</v>
      </c>
      <c r="G90" s="0" t="inlineStr">
        <is>
          <t xml:space="preserve">Unidad</t>
        </is>
      </c>
      <c r="H90" s="4" t="inlineStr">
        <is>
          <t xml:space="preserve">ROUTER INALAMBRICO -       Router inalámbrico 4G y 5G, 
-       Puertos Gigabit LAN y antenas de cobertura de wifi.</t>
        </is>
      </c>
    </row>
    <row r="91">
      <c r="A91" s="0" t="inlineStr">
        <is>
          <t xml:space="preserve">2098-142-LE26</t>
        </is>
      </c>
      <c r="B91" s="4" t="inlineStr">
        <is>
          <t xml:space="preserve">ADQUISICION DE ARTICULOS INFORMATICOS Y TECNOLOGICOS PAC N° 115 HRAV.</t>
        </is>
      </c>
      <c r="C91" s="0">
        <v>12</v>
      </c>
      <c r="D91" s="4" t="inlineStr">
        <is>
          <t xml:space="preserve">Trackballs y mouse de computador</t>
        </is>
      </c>
      <c r="E91" s="4" t="inlineStr">
        <is>
          <t xml:space="preserve">Tecnologías de la información, telecomunicaciones y radiodifusión / Equipos informáticos y accesorios / Dispositivos informáticos de entrada de datos</t>
        </is>
      </c>
      <c r="F91" s="0">
        <v>100.0</v>
      </c>
      <c r="G91" s="0" t="inlineStr">
        <is>
          <t xml:space="preserve">Unidad</t>
        </is>
      </c>
      <c r="H91" s="4" t="inlineStr">
        <is>
          <t xml:space="preserve">MOUSE PARA COMPUTADOR -          Interfaz del dispositivo USB
-          Formato del mouse estándar
-          Tecnología de conectividad Alámbrico
-          Estilo de mouse simétrico y ambidiestro</t>
        </is>
      </c>
    </row>
    <row r="92">
      <c r="A92" s="0" t="inlineStr">
        <is>
          <t xml:space="preserve">2098-142-LE26</t>
        </is>
      </c>
      <c r="B92" s="4" t="inlineStr">
        <is>
          <t xml:space="preserve">ADQUISICION DE ARTICULOS INFORMATICOS Y TECNOLOGICOS PAC N° 115 HRAV.</t>
        </is>
      </c>
      <c r="C92" s="0">
        <v>13</v>
      </c>
      <c r="D92" s="4" t="inlineStr">
        <is>
          <t xml:space="preserve">Cable de redes</t>
        </is>
      </c>
      <c r="E92" s="4" t="inlineStr">
        <is>
          <t xml:space="preserve">Maquinaria para generación y distribución de energía / Alambres y cables eléctricos y electrónicos / Cables eléctricos y accesorios</t>
        </is>
      </c>
      <c r="F92" s="0">
        <v>8.0</v>
      </c>
      <c r="G92" s="0" t="inlineStr">
        <is>
          <t xml:space="preserve">Unidad</t>
        </is>
      </c>
      <c r="H92" s="4" t="inlineStr">
        <is>
          <t xml:space="preserve">CABLE RED -       UTP
-          Categoría 6
-          305 metros</t>
        </is>
      </c>
    </row>
    <row r="93">
      <c r="A93" s="0" t="inlineStr">
        <is>
          <t xml:space="preserve">2098-142-LE26</t>
        </is>
      </c>
      <c r="B93" s="4" t="inlineStr">
        <is>
          <t xml:space="preserve">ADQUISICION DE ARTICULOS INFORMATICOS Y TECNOLOGICOS PAC N° 115 HRAV.</t>
        </is>
      </c>
      <c r="C93" s="0">
        <v>14</v>
      </c>
      <c r="D93" s="4" t="inlineStr">
        <is>
          <t xml:space="preserve">Parlantes</t>
        </is>
      </c>
      <c r="E93" s="4" t="inlineStr">
        <is>
          <t xml:space="preserve">Muebles, accesorios, electrodomésticos y productos electrónicos / Equipos y accesorios audiovisuales / Equipos audiovisuales y de electrónica menor</t>
        </is>
      </c>
      <c r="F93" s="0">
        <v>20.0</v>
      </c>
      <c r="G93" s="0" t="inlineStr">
        <is>
          <t xml:space="preserve">Unidad</t>
        </is>
      </c>
      <c r="H93" s="4" t="inlineStr">
        <is>
          <t xml:space="preserve">PARLANTE USB -          Formato alámbrico USB
-          Entrada auxiliar jack 3,5mm
-          Control de volumen con perilla</t>
        </is>
      </c>
    </row>
    <row r="94">
      <c r="A94" s="0" t="inlineStr">
        <is>
          <t xml:space="preserve">2098-142-LE26</t>
        </is>
      </c>
      <c r="B94" s="4" t="inlineStr">
        <is>
          <t xml:space="preserve">ADQUISICION DE ARTICULOS INFORMATICOS Y TECNOLOGICOS PAC N° 115 HRAV.</t>
        </is>
      </c>
      <c r="C94" s="0">
        <v>15</v>
      </c>
      <c r="D94" s="4" t="inlineStr">
        <is>
          <t xml:space="preserve">Memoria de acceso aleatorio (RAM)</t>
        </is>
      </c>
      <c r="E94" s="4" t="inlineStr">
        <is>
          <t xml:space="preserve">Artículos de electrónica / Circuitos electrónicos / Circuitos integrados, memorias y microprocesadores</t>
        </is>
      </c>
      <c r="F94" s="0">
        <v>10.0</v>
      </c>
      <c r="G94" s="0" t="inlineStr">
        <is>
          <t xml:space="preserve">Unidad</t>
        </is>
      </c>
      <c r="H94" s="4" t="inlineStr">
        <is>
          <t xml:space="preserve">DISCO DURO EXTERNO 4TB -       Formato 2,5mm
-          Conexión usb 3.0
-          capacidad 4TB</t>
        </is>
      </c>
    </row>
    <row r="95">
      <c r="A95" s="0" t="inlineStr">
        <is>
          <t xml:space="preserve">3868-16-LE26</t>
        </is>
      </c>
      <c r="B95" s="4" t="inlineStr">
        <is>
          <t xml:space="preserve">ADQ. SOLUC. ALMAC. Y PROTECC. DATOS LABOCAR 2</t>
        </is>
      </c>
      <c r="C95" s="0">
        <v>1</v>
      </c>
      <c r="D95" s="4" t="inlineStr">
        <is>
          <t xml:space="preserve">Torres de disposición de discos duros</t>
        </is>
      </c>
      <c r="E95" s="4" t="inlineStr">
        <is>
          <t xml:space="preserve">Tecnologías de la información, telecomunicaciones y radiodifusión / Componentes para tecnología de la información, difusión o telecomunicaciones / Componentes de gabinete, rack o chasis</t>
        </is>
      </c>
      <c r="F95" s="0">
        <v>2.0</v>
      </c>
      <c r="G95" s="0" t="inlineStr">
        <is>
          <t xml:space="preserve">Unidad</t>
        </is>
      </c>
      <c r="H95" s="4" t="inlineStr">
        <is>
          <t xml:space="preserve">DOS SOLUCIONES DE ALMACENAMIENTO Y PROTECCIÓN DE DATOS PARA EL DEPARTAMENTO DECRIMINALÍSTICA DE CARABINEROS (LABOCAR), CONFORME A REQUERIMIENTOS TÉCNICOS.</t>
        </is>
      </c>
    </row>
    <row r="96">
      <c r="A96" s="0" t="inlineStr">
        <is>
          <t xml:space="preserve">1082957-30-LE26</t>
        </is>
      </c>
      <c r="B96" s="4" t="inlineStr">
        <is>
          <t xml:space="preserve">Servicio de soporte mantención y desarrollo evolutivo para sitio web institucional de ProChile</t>
        </is>
      </c>
      <c r="C96" s="0">
        <v>1</v>
      </c>
      <c r="D96" s="4" t="inlineStr">
        <is>
          <t xml:space="preserve">Servicios de diseño de sitio Web</t>
        </is>
      </c>
      <c r="E96" s="4" t="inlineStr">
        <is>
          <t xml:space="preserve">Servicios basados en ingeniería, ciencias sociales y tecnología de la información / Servicios informáticos / Servicios para internet</t>
        </is>
      </c>
      <c r="F96" s="0">
        <v>1.0</v>
      </c>
      <c r="G96" s="0" t="inlineStr">
        <is>
          <t xml:space="preserve">Unidad</t>
        </is>
      </c>
      <c r="H96" s="4" t="inlineStr">
        <is>
          <t xml:space="preserve">Servicio de soporte, mantención y desarrollo evolutivo para sitio web institucional de ProChile</t>
        </is>
      </c>
    </row>
    <row r="97">
      <c r="A97" s="0" t="inlineStr">
        <is>
          <t xml:space="preserve">1725-197-LP26</t>
        </is>
      </c>
      <c r="B97" s="4" t="inlineStr">
        <is>
          <t xml:space="preserve">INFRAESTRUC.TECNOLÓGICA PLATAFORMA FONDOS CONCURSA</t>
        </is>
      </c>
      <c r="C97" s="0">
        <v>1</v>
      </c>
      <c r="D97" s="4" t="inlineStr">
        <is>
          <t xml:space="preserve">Software de desarrollo de plataforma Web</t>
        </is>
      </c>
      <c r="E97" s="4" t="inlineStr">
        <is>
          <t xml:space="preserve">Tecnologías de la información, telecomunicaciones y radiodifusión / Software / Programas de desarrollo</t>
        </is>
      </c>
      <c r="F97" s="0">
        <v>1.0</v>
      </c>
      <c r="G97" s="0" t="inlineStr">
        <is>
          <t xml:space="preserve">Unidad</t>
        </is>
      </c>
      <c r="H97" s="4" t="inlineStr">
        <is>
          <t xml:space="preserve">SERVICIOS DE IMPLEMENTACIÓN Y EXPLOTACIÓN DE INFRAESTRUCTURA TECNOLÓGICA PARA LA PLATAFORMA DE FONDOS CONCURSABLES DE LA SUBSECRETARÍA DE LAS CULTURAS Y LAS ARTES</t>
        </is>
      </c>
    </row>
    <row r="98">
      <c r="A98" s="0" t="inlineStr">
        <is>
          <t xml:space="preserve">1398-96-L126</t>
        </is>
      </c>
      <c r="B98" s="4" t="inlineStr">
        <is>
          <t xml:space="preserve">SERVICIO DE CAPACITACIÓN EN INTELIGENCIA EMOCIONAL PARA ADULTOS MAYORES Y HERRAMIENTAS DIGITALES B-LEARNING</t>
        </is>
      </c>
      <c r="C98" s="0">
        <v>1</v>
      </c>
      <c r="D98" s="4" t="inlineStr">
        <is>
          <t xml:space="preserve">Capacitación a empleados</t>
        </is>
      </c>
      <c r="E98" s="4" t="inlineStr">
        <is>
          <t xml:space="preserve">Educación, formación, entrenamiento y capacitación / Sistemas educativos complementarios / Educación de adultos</t>
        </is>
      </c>
      <c r="F98" s="0">
        <v>1.0</v>
      </c>
      <c r="G98" s="0" t="inlineStr">
        <is>
          <t xml:space="preserve">Unidad</t>
        </is>
      </c>
      <c r="H98" s="4" t="inlineStr">
        <is>
          <t xml:space="preserve">Línea N°1: Emociones en Plenitud: Inteligencia Emocional en los Años Dorados. Mayor especificaciones técnicas en Bases de licitación adjuntas.</t>
        </is>
      </c>
    </row>
    <row r="99">
      <c r="A99" s="0" t="inlineStr">
        <is>
          <t xml:space="preserve">1398-96-L126</t>
        </is>
      </c>
      <c r="B99" s="4" t="inlineStr">
        <is>
          <t xml:space="preserve">SERVICIO DE CAPACITACIÓN EN INTELIGENCIA EMOCIONAL PARA ADULTOS MAYORES Y HERRAMIENTAS DIGITALES B-LEARNING</t>
        </is>
      </c>
      <c r="C99" s="0">
        <v>2</v>
      </c>
      <c r="D99" s="4" t="inlineStr">
        <is>
          <t xml:space="preserve">Programas o cursos no diplomados a distancia</t>
        </is>
      </c>
      <c r="E99" s="4" t="inlineStr">
        <is>
          <t xml:space="preserve">Educación, formación, entrenamiento y capacitación / Sistemas educativos complementarios / Aprendizaje a distancia</t>
        </is>
      </c>
      <c r="F99" s="0">
        <v>1.0</v>
      </c>
      <c r="G99" s="0" t="inlineStr">
        <is>
          <t xml:space="preserve">Unidad</t>
        </is>
      </c>
      <c r="H99" s="4" t="inlineStr">
        <is>
          <t xml:space="preserve">Línea N°2: Curso De Curso B-Learning: Herramientas Digitales. Mayores especificaciones técnicas en Bases de licitación adjuntas.</t>
        </is>
      </c>
    </row>
    <row r="100">
      <c r="A100" s="0" t="inlineStr">
        <is>
          <t xml:space="preserve">2020-21-LE26</t>
        </is>
      </c>
      <c r="B100" s="4" t="inlineStr">
        <is>
          <t xml:space="preserve">MEJORA DE LA PLATAFORMA INFORMÁTICA PARA LA BCN.</t>
        </is>
      </c>
      <c r="C100" s="0">
        <v>1</v>
      </c>
      <c r="D100" s="4" t="inlineStr">
        <is>
          <t xml:space="preserve">Up grade de software</t>
        </is>
      </c>
      <c r="E100" s="4" t="inlineStr">
        <is>
          <t xml:space="preserve">Servicios basados en ingeniería, ciencias sociales y tecnología de la información / Servicios informáticos / Mantenimiento y soporte de software</t>
        </is>
      </c>
      <c r="F100" s="0">
        <v>1.0</v>
      </c>
      <c r="G100" s="0" t="inlineStr">
        <is>
          <t xml:space="preserve">Unidad</t>
        </is>
      </c>
      <c r="H100" s="4" t="inlineStr">
        <is>
          <t xml:space="preserve">PROYECTO DE MEJORA DE LA PLATAFORMA INFORMÁTICA DEL
SISTEMA HISTORIA DE LA LEY Y LABOR PARLAMENTARIA PARA LA BIBLIOTECA DEL CONGRESO NACIONAL.</t>
        </is>
      </c>
    </row>
    <row r="101">
      <c r="A101" s="0" t="inlineStr">
        <is>
          <t xml:space="preserve">85-41-LE26</t>
        </is>
      </c>
      <c r="B101" s="4" t="inlineStr">
        <is>
          <t xml:space="preserve">PLATAFORMA INTEGRAL SOPORTE TI CON CONTROL REMOTO</t>
        </is>
      </c>
      <c r="C101" s="0">
        <v>1</v>
      </c>
      <c r="D101" s="4" t="inlineStr">
        <is>
          <t xml:space="preserve">Software de desarrollo de plataforma Web</t>
        </is>
      </c>
      <c r="E101" s="4" t="inlineStr">
        <is>
          <t xml:space="preserve">Tecnologías de la información, telecomunicaciones y radiodifusión / Software / Programas de desarrollo</t>
        </is>
      </c>
      <c r="F101" s="0">
        <v>1.0</v>
      </c>
      <c r="G101" s="0" t="inlineStr">
        <is>
          <t xml:space="preserve">Unidad</t>
        </is>
      </c>
      <c r="H101" s="4" t="inlineStr">
        <is>
          <t xml:space="preserve">PLATAFORMA INTEGRAL PARA SOPORTE TI CON FUNCIONALIDADES DE CONTROL REMOTO DE EQUIPOS POR PARTE DEL SUBDEPARTAMENTO DE INFORMÁTICA PERTENECIENTE A JUNAEB</t>
        </is>
      </c>
    </row>
    <row r="102">
      <c r="A102" s="0" t="inlineStr">
        <is>
          <t xml:space="preserve">2460-105-LE26</t>
        </is>
      </c>
      <c r="B102" s="4" t="inlineStr">
        <is>
          <t xml:space="preserve">Curso Inteligencia Artificial en el Sector Público</t>
        </is>
      </c>
      <c r="C102" s="0">
        <v>1</v>
      </c>
      <c r="D102" s="4" t="inlineStr">
        <is>
          <t xml:space="preserve">Capacitación a empleados</t>
        </is>
      </c>
      <c r="E102" s="4" t="inlineStr">
        <is>
          <t xml:space="preserve">Educación, formación, entrenamiento y capacitación / Sistemas educativos complementarios / Educación de adultos</t>
        </is>
      </c>
      <c r="F102" s="0">
        <v>1.0</v>
      </c>
      <c r="G102" s="0" t="inlineStr">
        <is>
          <t xml:space="preserve">Global</t>
        </is>
      </c>
      <c r="H102" s="4" t="inlineStr">
        <is>
          <t xml:space="preserve">Curso cerrado Inteligencia Artificial en el Sector Público: según detalle de Bases Técnicas de archivo adjunto.</t>
        </is>
      </c>
    </row>
    <row r="103">
      <c r="A103" s="0" t="inlineStr">
        <is>
          <t xml:space="preserve">3530-20-L126</t>
        </is>
      </c>
      <c r="B103" s="4" t="inlineStr">
        <is>
          <t xml:space="preserve">Servicio de mantenimiento y reparación para el reemplazo del tablero eléctrico.</t>
        </is>
      </c>
      <c r="C103" s="0">
        <v>1</v>
      </c>
      <c r="D103" s="4" t="inlineStr">
        <is>
          <t xml:space="preserve">Paneles de control eléctrico para generadores</t>
        </is>
      </c>
      <c r="E103" s="4" t="inlineStr">
        <is>
          <t xml:space="preserve">Maquinaria para generación y distribución de energía / Generación de energía / Equipo para control de producción de energía</t>
        </is>
      </c>
      <c r="F103" s="0">
        <v>1.0</v>
      </c>
      <c r="G103" s="0" t="inlineStr">
        <is>
          <t xml:space="preserve">Unidad</t>
        </is>
      </c>
      <c r="H103" s="4" t="inlineStr">
        <is>
          <t xml:space="preserve">Servicio de mantenimiento y reparación para el reemplazo del tablero eléctrico, perteneciente al Regimiento N.º 2 "Maipo"</t>
        </is>
      </c>
    </row>
    <row r="104">
      <c r="A104" s="0" t="inlineStr">
        <is>
          <t xml:space="preserve">2852-56-LE26</t>
        </is>
      </c>
      <c r="B104" s="4" t="inlineStr">
        <is>
          <t xml:space="preserve">DIGITALIZACIÓN Y CARGA DE DOCUMENTOS EN PLATAFORMA</t>
        </is>
      </c>
      <c r="C104" s="0">
        <v>1</v>
      </c>
      <c r="D104" s="4" t="inlineStr">
        <is>
          <t xml:space="preserve">Servicios de digitalización de documentos</t>
        </is>
      </c>
      <c r="E104" s="4" t="inlineStr">
        <is>
          <t xml:space="preserve">Servicios basados en ingeniería, ciencias sociales y tecnología de la información / Servicios informáticos / Servicios de datos</t>
        </is>
      </c>
      <c r="F104" s="0">
        <v>1.0</v>
      </c>
      <c r="G104" s="0" t="inlineStr">
        <is>
          <t xml:space="preserve">Unidad</t>
        </is>
      </c>
      <c r="H104" s="4" t="inlineStr">
        <is>
          <t xml:space="preserve">SERVICIO DE DIGITALIZACIÓN Y
CARGA DE DOCUMENTOS EN PLATAFORMA DE GESTIÓN DOCUMENTAL- DIRECCIÓN DE TRÁNSITO</t>
        </is>
      </c>
    </row>
    <row r="105">
      <c r="A105" s="0" t="inlineStr">
        <is>
          <t xml:space="preserve">1020-40-LP26</t>
        </is>
      </c>
      <c r="B105" s="4" t="inlineStr">
        <is>
          <t xml:space="preserve">Serv.Cloud Amazon Web Services AWS o Equivalente</t>
        </is>
      </c>
      <c r="C105" s="0">
        <v>1</v>
      </c>
      <c r="D105" s="4" t="inlineStr">
        <is>
          <t xml:space="preserve">Software del sistema de administración de bases de datos</t>
        </is>
      </c>
      <c r="E105" s="4" t="inlineStr">
        <is>
          <t xml:space="preserve">Tecnologías de la información, telecomunicaciones y radiodifusión / Software / Software de consultas y gestión de datos</t>
        </is>
      </c>
      <c r="F105" s="0">
        <v>1.0</v>
      </c>
      <c r="G105" s="0" t="inlineStr">
        <is>
          <t xml:space="preserve">Unidad</t>
        </is>
      </c>
      <c r="H105" s="4" t="inlineStr">
        <is>
          <t xml:space="preserve">PRECIO TOTAL NETO OFERTADO (SIN IVA), según Formulario N°1 "Oferta Económica" (Incluye los señalado en el numeral 5.1.1 de las Bases Administrativas, en archivo adjunto).</t>
        </is>
      </c>
    </row>
    <row r="106">
      <c r="A106" s="0" t="inlineStr">
        <is>
          <t xml:space="preserve">1233619-44-LE26</t>
        </is>
      </c>
      <c r="B106" s="4" t="inlineStr">
        <is>
          <t xml:space="preserve">ADQUISICIÓN DE LICENCIAS DE SOFTWARE PARA EL SERVICIO LOCAL MAULE COSTA</t>
        </is>
      </c>
      <c r="C106" s="0">
        <v>1</v>
      </c>
      <c r="D106" s="4" t="inlineStr">
        <is>
          <t xml:space="preserve">Software de gestión de licencias</t>
        </is>
      </c>
      <c r="E106" s="4" t="inlineStr">
        <is>
          <t xml:space="preserve">Tecnologías de la información, telecomunicaciones y radiodifusión / Software / Software de gestión</t>
        </is>
      </c>
      <c r="F106" s="0">
        <v>11.0</v>
      </c>
      <c r="G106" s="0" t="inlineStr">
        <is>
          <t xml:space="preserve">Unidad</t>
        </is>
      </c>
      <c r="H106" s="4" t="inlineStr">
        <is>
          <t xml:space="preserve">AUTOCAD LT COM SINGLE-U 1-Y SUBSCRIPTION RENEWAL</t>
        </is>
      </c>
    </row>
    <row r="107">
      <c r="A107" s="0" t="inlineStr">
        <is>
          <t xml:space="preserve">1233619-44-LE26</t>
        </is>
      </c>
      <c r="B107" s="4" t="inlineStr">
        <is>
          <t xml:space="preserve">ADQUISICIÓN DE LICENCIAS DE SOFTWARE PARA EL SERVICIO LOCAL MAULE COSTA</t>
        </is>
      </c>
      <c r="C107" s="0">
        <v>2</v>
      </c>
      <c r="D107" s="4" t="inlineStr">
        <is>
          <t xml:space="preserve">Software de gestión de licencias</t>
        </is>
      </c>
      <c r="E107" s="4" t="inlineStr">
        <is>
          <t xml:space="preserve">Tecnologías de la información, telecomunicaciones y radiodifusión / Software / Software de gestión</t>
        </is>
      </c>
      <c r="F107" s="0">
        <v>1.0</v>
      </c>
      <c r="G107" s="0" t="inlineStr">
        <is>
          <t xml:space="preserve">Unidad</t>
        </is>
      </c>
      <c r="H107" s="4" t="inlineStr">
        <is>
          <t xml:space="preserve">Aurodesk Revit</t>
        </is>
      </c>
    </row>
    <row r="108">
      <c r="A108" s="0" t="inlineStr">
        <is>
          <t xml:space="preserve">1233619-44-LE26</t>
        </is>
      </c>
      <c r="B108" s="4" t="inlineStr">
        <is>
          <t xml:space="preserve">ADQUISICIÓN DE LICENCIAS DE SOFTWARE PARA EL SERVICIO LOCAL MAULE COSTA</t>
        </is>
      </c>
      <c r="C108" s="0">
        <v>3</v>
      </c>
      <c r="D108" s="4" t="inlineStr">
        <is>
          <t xml:space="preserve">Software de gestión de licencias</t>
        </is>
      </c>
      <c r="E108" s="4" t="inlineStr">
        <is>
          <t xml:space="preserve">Tecnologías de la información, telecomunicaciones y radiodifusión / Software / Software de gestión</t>
        </is>
      </c>
      <c r="F108" s="0">
        <v>109.0</v>
      </c>
      <c r="G108" s="0" t="inlineStr">
        <is>
          <t xml:space="preserve">Unidad</t>
        </is>
      </c>
      <c r="H108" s="4" t="inlineStr">
        <is>
          <t xml:space="preserve">Microsoft 365 A5 (Education Faculty Pricing)</t>
        </is>
      </c>
    </row>
    <row r="109">
      <c r="A109" s="0" t="inlineStr">
        <is>
          <t xml:space="preserve">1233619-44-LE26</t>
        </is>
      </c>
      <c r="B109" s="4" t="inlineStr">
        <is>
          <t xml:space="preserve">ADQUISICIÓN DE LICENCIAS DE SOFTWARE PARA EL SERVICIO LOCAL MAULE COSTA</t>
        </is>
      </c>
      <c r="C109" s="0">
        <v>4</v>
      </c>
      <c r="D109" s="4" t="inlineStr">
        <is>
          <t xml:space="preserve">Software de gestión de licencias</t>
        </is>
      </c>
      <c r="E109" s="4" t="inlineStr">
        <is>
          <t xml:space="preserve">Tecnologías de la información, telecomunicaciones y radiodifusión / Software / Software de gestión</t>
        </is>
      </c>
      <c r="F109" s="0">
        <v>5.0</v>
      </c>
      <c r="G109" s="0" t="inlineStr">
        <is>
          <t xml:space="preserve">Unidad</t>
        </is>
      </c>
      <c r="H109" s="4" t="inlineStr">
        <is>
          <t xml:space="preserve">Planner and Project Plan 3 for Faculty (Education Faculty Pricing)</t>
        </is>
      </c>
    </row>
    <row r="110">
      <c r="A110" s="0" t="inlineStr">
        <is>
          <t xml:space="preserve">1233619-44-LE26</t>
        </is>
      </c>
      <c r="B110" s="4" t="inlineStr">
        <is>
          <t xml:space="preserve">ADQUISICIÓN DE LICENCIAS DE SOFTWARE PARA EL SERVICIO LOCAL MAULE COSTA</t>
        </is>
      </c>
      <c r="C110" s="0">
        <v>5</v>
      </c>
      <c r="D110" s="4" t="inlineStr">
        <is>
          <t xml:space="preserve">Software de gestión de licencias</t>
        </is>
      </c>
      <c r="E110" s="4" t="inlineStr">
        <is>
          <t xml:space="preserve">Tecnologías de la información, telecomunicaciones y radiodifusión / Software / Software de gestión</t>
        </is>
      </c>
      <c r="F110" s="0">
        <v>6.0</v>
      </c>
      <c r="G110" s="0" t="inlineStr">
        <is>
          <t xml:space="preserve">Unidad</t>
        </is>
      </c>
      <c r="H110" s="4" t="inlineStr">
        <is>
          <t xml:space="preserve">Power BI Premium Per User (Education Faculty Pricing)</t>
        </is>
      </c>
    </row>
    <row r="111">
      <c r="A111" s="0" t="inlineStr">
        <is>
          <t xml:space="preserve">1233619-44-LE26</t>
        </is>
      </c>
      <c r="B111" s="4" t="inlineStr">
        <is>
          <t xml:space="preserve">ADQUISICIÓN DE LICENCIAS DE SOFTWARE PARA EL SERVICIO LOCAL MAULE COSTA</t>
        </is>
      </c>
      <c r="C111" s="0">
        <v>6</v>
      </c>
      <c r="D111" s="4" t="inlineStr">
        <is>
          <t xml:space="preserve">Software de gestión de licencias</t>
        </is>
      </c>
      <c r="E111" s="4" t="inlineStr">
        <is>
          <t xml:space="preserve">Tecnologías de la información, telecomunicaciones y radiodifusión / Software / Software de gestión</t>
        </is>
      </c>
      <c r="F111" s="0">
        <v>18.0</v>
      </c>
      <c r="G111" s="0" t="inlineStr">
        <is>
          <t xml:space="preserve">Unidad</t>
        </is>
      </c>
      <c r="H111" s="4" t="inlineStr">
        <is>
          <t xml:space="preserve">ADOBE ACROBAT PRO RENOVACIÓN</t>
        </is>
      </c>
    </row>
    <row r="112">
      <c r="A112" s="0" t="inlineStr">
        <is>
          <t xml:space="preserve">1233619-44-LE26</t>
        </is>
      </c>
      <c r="B112" s="4" t="inlineStr">
        <is>
          <t xml:space="preserve">ADQUISICIÓN DE LICENCIAS DE SOFTWARE PARA EL SERVICIO LOCAL MAULE COSTA</t>
        </is>
      </c>
      <c r="C112" s="0">
        <v>7</v>
      </c>
      <c r="D112" s="4" t="inlineStr">
        <is>
          <t xml:space="preserve">Software de gestión de licencias</t>
        </is>
      </c>
      <c r="E112" s="4" t="inlineStr">
        <is>
          <t xml:space="preserve">Tecnologías de la información, telecomunicaciones y radiodifusión / Software / Software de gestión</t>
        </is>
      </c>
      <c r="F112" s="0">
        <v>2.0</v>
      </c>
      <c r="G112" s="0" t="inlineStr">
        <is>
          <t xml:space="preserve">Unidad</t>
        </is>
      </c>
      <c r="H112" s="4" t="inlineStr">
        <is>
          <t xml:space="preserve">CREATIVE CLOUD FOR TEAM RENOVACIÓN</t>
        </is>
      </c>
    </row>
    <row r="113">
      <c r="A113" s="0" t="inlineStr">
        <is>
          <t xml:space="preserve">1233619-44-LE26</t>
        </is>
      </c>
      <c r="B113" s="4" t="inlineStr">
        <is>
          <t xml:space="preserve">ADQUISICIÓN DE LICENCIAS DE SOFTWARE PARA EL SERVICIO LOCAL MAULE COSTA</t>
        </is>
      </c>
      <c r="C113" s="0">
        <v>8</v>
      </c>
      <c r="D113" s="4" t="inlineStr">
        <is>
          <t xml:space="preserve">Software de gestión de licencias</t>
        </is>
      </c>
      <c r="E113" s="4" t="inlineStr">
        <is>
          <t xml:space="preserve">Tecnologías de la información, telecomunicaciones y radiodifusión / Software / Software de gestión</t>
        </is>
      </c>
      <c r="F113" s="0">
        <v>3.0</v>
      </c>
      <c r="G113" s="0" t="inlineStr">
        <is>
          <t xml:space="preserve">Unidad</t>
        </is>
      </c>
      <c r="H113" s="4" t="inlineStr">
        <is>
          <t xml:space="preserve">Adobe Photoshop</t>
        </is>
      </c>
    </row>
    <row r="114">
      <c r="A114" s="0" t="inlineStr">
        <is>
          <t xml:space="preserve">1233619-44-LE26</t>
        </is>
      </c>
      <c r="B114" s="4" t="inlineStr">
        <is>
          <t xml:space="preserve">ADQUISICIÓN DE LICENCIAS DE SOFTWARE PARA EL SERVICIO LOCAL MAULE COSTA</t>
        </is>
      </c>
      <c r="C114" s="0">
        <v>9</v>
      </c>
      <c r="D114" s="4" t="inlineStr">
        <is>
          <t xml:space="preserve">Software de gestión de licencias</t>
        </is>
      </c>
      <c r="E114" s="4" t="inlineStr">
        <is>
          <t xml:space="preserve">Tecnologías de la información, telecomunicaciones y radiodifusión / Software / Software de gestión</t>
        </is>
      </c>
      <c r="F114" s="0">
        <v>1.0</v>
      </c>
      <c r="G114" s="0" t="inlineStr">
        <is>
          <t xml:space="preserve">Unidad</t>
        </is>
      </c>
      <c r="H114" s="4" t="inlineStr">
        <is>
          <t xml:space="preserve">Microsoft Power Automate</t>
        </is>
      </c>
    </row>
    <row r="115">
      <c r="A115" s="0" t="inlineStr">
        <is>
          <t xml:space="preserve">1233619-44-LE26</t>
        </is>
      </c>
      <c r="B115" s="4" t="inlineStr">
        <is>
          <t xml:space="preserve">ADQUISICIÓN DE LICENCIAS DE SOFTWARE PARA EL SERVICIO LOCAL MAULE COSTA</t>
        </is>
      </c>
      <c r="C115" s="0">
        <v>10</v>
      </c>
      <c r="D115" s="4" t="inlineStr">
        <is>
          <t xml:space="preserve">Software de gestión de licencias</t>
        </is>
      </c>
      <c r="E115" s="4" t="inlineStr">
        <is>
          <t xml:space="preserve">Tecnologías de la información, telecomunicaciones y radiodifusión / Software / Software de gestión</t>
        </is>
      </c>
      <c r="F115" s="0">
        <v>4.0</v>
      </c>
      <c r="G115" s="0" t="inlineStr">
        <is>
          <t xml:space="preserve">Unidad</t>
        </is>
      </c>
      <c r="H115" s="4" t="inlineStr">
        <is>
          <t xml:space="preserve">ANYDESK 2 CONEXIONES SIMULTANEAS</t>
        </is>
      </c>
    </row>
    <row r="116">
      <c r="A116" s="0" t="inlineStr">
        <is>
          <t xml:space="preserve">1233619-44-LE26</t>
        </is>
      </c>
      <c r="B116" s="4" t="inlineStr">
        <is>
          <t xml:space="preserve">ADQUISICIÓN DE LICENCIAS DE SOFTWARE PARA EL SERVICIO LOCAL MAULE COSTA</t>
        </is>
      </c>
      <c r="C116" s="0">
        <v>11</v>
      </c>
      <c r="D116" s="4" t="inlineStr">
        <is>
          <t xml:space="preserve">Software de gestión de licencias</t>
        </is>
      </c>
      <c r="E116" s="4" t="inlineStr">
        <is>
          <t xml:space="preserve">Tecnologías de la información, telecomunicaciones y radiodifusión / Software / Software de gestión</t>
        </is>
      </c>
      <c r="F116" s="0">
        <v>1.0</v>
      </c>
      <c r="G116" s="0" t="inlineStr">
        <is>
          <t xml:space="preserve">Unidad</t>
        </is>
      </c>
      <c r="H116" s="4" t="inlineStr">
        <is>
          <t xml:space="preserve">SketchUp.</t>
        </is>
      </c>
    </row>
    <row r="117">
      <c r="A117" s="0" t="inlineStr">
        <is>
          <t xml:space="preserve">2200-23-LR26</t>
        </is>
      </c>
      <c r="B117" s="4" t="inlineStr">
        <is>
          <t xml:space="preserve">SERVICIO DE ARRIENDO DE SOFTWARE DE REGISTRO CLÍNICO ELECTRÓNICO RCE ATENCIÓN PRIMARIA - TIC</t>
        </is>
      </c>
      <c r="C117" s="0">
        <v>1</v>
      </c>
      <c r="D117" s="4" t="inlineStr">
        <is>
          <t xml:space="preserve">Desarrolladores de software</t>
        </is>
      </c>
      <c r="E117" s="4" t="inlineStr">
        <is>
          <t xml:space="preserve">Servicios profesionales, administrativos y consultorías de gestión empresarial / Servicios de recursos humanos / Contratación de personal</t>
        </is>
      </c>
      <c r="F117" s="0">
        <v>1700.0</v>
      </c>
      <c r="G117" s="0" t="inlineStr">
        <is>
          <t xml:space="preserve">Unidad</t>
        </is>
      </c>
      <c r="H117" s="4" t="inlineStr">
        <is>
          <t xml:space="preserve">SERVICIO DE ARRIENDO DE SOFTWARE DE REGISTRO CLÍNICO ELECTRÓNICO (RCE) ATENCIÓN PRIMARIA - TIC, SE ADJUNTA ESPECIFICACIONES TÉCNICAS, ANEXOS</t>
        </is>
      </c>
    </row>
    <row r="118">
      <c r="A118" s="0" t="inlineStr">
        <is>
          <t xml:space="preserve">3249-12-LE26</t>
        </is>
      </c>
      <c r="B118" s="4" t="inlineStr">
        <is>
          <t xml:space="preserve">SERVICIO DE MANTENCIÓN Y MODERNIZACIÓN DE SISTEMA DE SEGURIDAD CONTRA INCENDIOS Y VIGILANCIA DE HANGARES</t>
        </is>
      </c>
      <c r="C118" s="0">
        <v>1</v>
      </c>
      <c r="D118" s="4" t="inlineStr">
        <is>
          <t xml:space="preserve">Cámaras de seguridad</t>
        </is>
      </c>
      <c r="E118" s="4" t="inlineStr">
        <is>
          <t xml:space="preserve">Equipos y suministros de defensa, orden público, protección y seguridad / Seguridad, vigilancia y detección / Equipo de vigilancia y detección</t>
        </is>
      </c>
      <c r="F118" s="0">
        <v>1.0</v>
      </c>
      <c r="G118" s="0" t="inlineStr">
        <is>
          <t xml:space="preserve">Global</t>
        </is>
      </c>
      <c r="H118" s="4" t="inlineStr">
        <is>
          <t xml:space="preserve">MANTENCIÓN Y MODERNIZACIÓN DE SISTEMA DE SEGURIDAD CONTRA INCENDIOS Y VIGILANCIA DE HANGARES DE LA BASE AERONAVAL CONCÓN</t>
        </is>
      </c>
    </row>
    <row r="119">
      <c r="A119" s="0" t="inlineStr">
        <is>
          <t xml:space="preserve">85-34-LP26</t>
        </is>
      </c>
      <c r="B119" s="4" t="inlineStr">
        <is>
          <t xml:space="preserve">PLATAFORMA GESTIÓN Y CONTROL SEGURIDAD INFORMACIÓN</t>
        </is>
      </c>
      <c r="C119" s="0">
        <v>1</v>
      </c>
      <c r="D119" s="4" t="inlineStr">
        <is>
          <t xml:space="preserve">Equipo de seguridad de evaluación de vulnerabilidad</t>
        </is>
      </c>
      <c r="E119" s="4" t="inlineStr">
        <is>
          <t xml:space="preserve">Tecnologías de la información, telecomunicaciones y radiodifusión / Equipos, plataformas y accesorios de redes multimedia, voz y datos / Equipos de seguridad de red</t>
        </is>
      </c>
      <c r="F119" s="0">
        <v>1.0</v>
      </c>
      <c r="G119" s="0" t="inlineStr">
        <is>
          <t xml:space="preserve">Unidad</t>
        </is>
      </c>
      <c r="H119" s="4" t="inlineStr">
        <is>
          <t xml:space="preserve">Adquisición e implementación de plataforma tecnológica para la gestión y control de la seguridad de la información y continuidad operativa.</t>
        </is>
      </c>
    </row>
    <row r="120">
      <c r="A120" s="0" t="inlineStr">
        <is>
          <t xml:space="preserve">1077241-8-LE26</t>
        </is>
      </c>
      <c r="B120" s="4" t="inlineStr">
        <is>
          <t xml:space="preserve">SERVICIO DE EXÁMENES CON INFORME RADIOLÓGICO DE MAMOGRAFÍA BILATERAL Y UNILATERAL DIGITAL PARA LOS HOSPITALES DEPENDIENTES DEL SERVICIO DE SALUD OSORNO Y CESFAM DE LA RED ASISTENCIAL</t>
        </is>
      </c>
      <c r="C120" s="0">
        <v>1</v>
      </c>
      <c r="D120" s="4" t="inlineStr">
        <is>
          <t xml:space="preserve">Laboratorios de rayos X</t>
        </is>
      </c>
      <c r="E120" s="4" t="inlineStr">
        <is>
          <t xml:space="preserve">Salud, servicios sanitarios y alimentación / Medicina y servicios de salud / Laboratorios clínicos</t>
        </is>
      </c>
      <c r="F120" s="0">
        <v>1.0</v>
      </c>
      <c r="G120" s="0" t="inlineStr">
        <is>
          <t xml:space="preserve">Unidad</t>
        </is>
      </c>
      <c r="H120" s="4" t="inlineStr">
        <is>
          <t xml:space="preserve">SERVICIO DE EXÁMENES CON INFORME RADIOLÓGICO DE MAMOGRAFÍA BILATERAL Y UNILATERAL DIGITAL PARA LOS HOSPITALES DEPENDIENTES DEL SERVICIO DE SALUD OSORNO Y CESFAM DE LA RED ASISTENCIAL</t>
        </is>
      </c>
    </row>
    <row r="121">
      <c r="A121" s="0" t="inlineStr">
        <is>
          <t xml:space="preserve">1002584-12-LE26</t>
        </is>
      </c>
      <c r="B121" s="4" t="inlineStr">
        <is>
          <t xml:space="preserve">Programa institucional de adopción de IA</t>
        </is>
      </c>
      <c r="C121" s="0">
        <v>1</v>
      </c>
      <c r="D121" s="4" t="inlineStr">
        <is>
          <t xml:space="preserve">Instalación de sistemas</t>
        </is>
      </c>
      <c r="E121" s="4" t="inlineStr">
        <is>
          <t xml:space="preserve">Servicios basados en ingeniería, ciencias sociales y tecnología de la información / Servicios informáticos / Administración de sistemas</t>
        </is>
      </c>
      <c r="F121" s="0">
        <v>1.0</v>
      </c>
      <c r="G121" s="0" t="inlineStr">
        <is>
          <t xml:space="preserve">Unidad</t>
        </is>
      </c>
      <c r="H121" s="4" t="inlineStr">
        <is>
          <t xml:space="preserve">SERVICIO DE IMPLEMENTACIÓN DE UN PROGRAMA INSTITUCIONAL DE ADOPCIÓN DE INTELIGENCIA ARTIFICIAL</t>
        </is>
      </c>
    </row>
    <row r="122">
      <c r="A122" s="0" t="inlineStr">
        <is>
          <t xml:space="preserve">732434-20-LP26</t>
        </is>
      </c>
      <c r="B122" s="4" t="inlineStr">
        <is>
          <t xml:space="preserve">SERVICIO INFORMÁTICO PARA EL CENTRO DE SANGRE CONC</t>
        </is>
      </c>
      <c r="C122" s="0">
        <v>1</v>
      </c>
      <c r="D122" s="4" t="inlineStr">
        <is>
          <t xml:space="preserve">Diseño de aplicaciones para mainframe</t>
        </is>
      </c>
      <c r="E122" s="4" t="inlineStr">
        <is>
          <t xml:space="preserve">Servicios basados en ingeniería, ciencias sociales y tecnología de la información / Servicios informáticos / Ingeniería en computación e informática</t>
        </is>
      </c>
      <c r="F122" s="0">
        <v>1.0</v>
      </c>
      <c r="G122" s="0" t="inlineStr">
        <is>
          <t xml:space="preserve">Unidad</t>
        </is>
      </c>
      <c r="H122" s="4" t="inlineStr">
        <is>
          <t xml:space="preserve">Servicio informático para el Centro de Sangre de Concepción por 36 meses, contemplando todo lo solicitado en las EETT.
Ingresar monto total neto. Se evaluará en relación al Formulario N° 4.</t>
        </is>
      </c>
    </row>
    <row r="123">
      <c r="A123" s="0" t="inlineStr">
        <is>
          <t xml:space="preserve">1973-93-LR26</t>
        </is>
      </c>
      <c r="B123" s="4" t="inlineStr">
        <is>
          <t xml:space="preserve">SISTEMA DE INFORMACIÓN DE GESTIÓN ADMINISTRATIVA Y FARMACIA</t>
        </is>
      </c>
      <c r="C123" s="0">
        <v>1</v>
      </c>
      <c r="D123" s="4" t="inlineStr">
        <is>
          <t xml:space="preserve">Software de planificación de recursos empresariales (ERP)</t>
        </is>
      </c>
      <c r="E123" s="4" t="inlineStr">
        <is>
          <t xml:space="preserve">Tecnologías de la información, telecomunicaciones y radiodifusión / Software / Software de planificación de recursos empresariales (ERP) y contabilidad financiera</t>
        </is>
      </c>
      <c r="F123" s="0">
        <v>1.0</v>
      </c>
      <c r="G123" s="0" t="inlineStr">
        <is>
          <t xml:space="preserve">Global</t>
        </is>
      </c>
      <c r="H123" s="4" t="inlineStr">
        <is>
          <t xml:space="preserve">TOTAL PROYECTO (Parametrización, implementación y puesta en marcha  / Arriendo, operación, soporte y mantenimiento por el período de 60 meses)</t>
        </is>
      </c>
    </row>
    <row r="124">
      <c r="A124" s="0" t="inlineStr">
        <is>
          <t xml:space="preserve">377-55-LE26</t>
        </is>
      </c>
      <c r="B124" s="4" t="inlineStr">
        <is>
          <t xml:space="preserve">LICENCIA DE SOFTWARE ANTIVIRUS</t>
        </is>
      </c>
      <c r="C124" s="0">
        <v>1</v>
      </c>
      <c r="D124" s="4" t="inlineStr">
        <is>
          <t xml:space="preserve">Software de gestión de licencias</t>
        </is>
      </c>
      <c r="E124" s="4" t="inlineStr">
        <is>
          <t xml:space="preserve">Tecnologías de la información, telecomunicaciones y radiodifusión / Software / Software de gestión</t>
        </is>
      </c>
      <c r="F124" s="0">
        <v>1.0</v>
      </c>
      <c r="G124" s="0" t="inlineStr">
        <is>
          <t xml:space="preserve">Unidad</t>
        </is>
      </c>
      <c r="H124" s="4" t="inlineStr">
        <is>
          <t xml:space="preserve">LICENCIA DE SOFTWARE ANTIVIRUS CON PLATAFORMA CENTRALIZADA WEB</t>
        </is>
      </c>
    </row>
    <row r="125">
      <c r="A125" s="0" t="inlineStr">
        <is>
          <t xml:space="preserve">2048-57-LP26</t>
        </is>
      </c>
      <c r="B125" s="4" t="inlineStr">
        <is>
          <t xml:space="preserve">Convenio de Software de Gestión de Mantenimiento</t>
        </is>
      </c>
      <c r="C125" s="0">
        <v>1</v>
      </c>
      <c r="D125" s="4" t="inlineStr">
        <is>
          <t xml:space="preserve">Software de administración</t>
        </is>
      </c>
      <c r="E125" s="4" t="inlineStr">
        <is>
          <t xml:space="preserve">Tecnologías de la información, telecomunicaciones y radiodifusión / Software / Software de administración de redes</t>
        </is>
      </c>
      <c r="F125" s="0">
        <v>1.0</v>
      </c>
      <c r="G125" s="0" t="inlineStr">
        <is>
          <t xml:space="preserve">Unidad no definida</t>
        </is>
      </c>
      <c r="H125" s="4" t="inlineStr">
        <is>
          <t xml:space="preserve">SOFTWARE DE GESTION DE MANTENIMIENTO (INGRESAR PRECIO TOTAL DEL CONVENIO, SEGUN ANEXO ECONOMICO N°1)</t>
        </is>
      </c>
    </row>
    <row r="126">
      <c r="A126" s="0" t="inlineStr">
        <is>
          <t xml:space="preserve">2239-2-LR26</t>
        </is>
      </c>
      <c r="B126" s="4" t="inlineStr">
        <is>
          <t xml:space="preserve">Convenio Marco Desarrollo de software</t>
        </is>
      </c>
      <c r="C126" s="0">
        <v>1</v>
      </c>
      <c r="D126" s="4" t="inlineStr">
        <is>
          <t xml:space="preserve">Desarrolladores de software</t>
        </is>
      </c>
      <c r="E126" s="4" t="inlineStr">
        <is>
          <t xml:space="preserve">Servicios profesionales, administrativos y consultorías de gestión empresarial / Servicios de recursos humanos / Contratación de personal</t>
        </is>
      </c>
      <c r="F126" s="0">
        <v>1.0</v>
      </c>
      <c r="G126" s="0" t="inlineStr">
        <is>
          <t xml:space="preserve">Unidad</t>
        </is>
      </c>
      <c r="H126" s="4" t="inlineStr">
        <is>
          <t xml:space="preserve">Convenio Marco para la adquisición de los Servicios de Desarrollo y Mantención de Software, Servicios Profesionales TI y Cloud Computing</t>
        </is>
      </c>
    </row>
    <row r="127">
      <c r="A127" s="0" t="inlineStr">
        <is>
          <t xml:space="preserve">2563-34-LR26</t>
        </is>
      </c>
      <c r="B127" s="4" t="inlineStr">
        <is>
          <t xml:space="preserve">EQUIPOS PARA REDES INFORMÁTICAS Y LICENCIAS</t>
        </is>
      </c>
      <c r="C127" s="0">
        <v>1</v>
      </c>
      <c r="D127" s="4" t="inlineStr">
        <is>
          <t xml:space="preserve">Cajas de conmutación de computadores</t>
        </is>
      </c>
      <c r="E127" s="4" t="inlineStr">
        <is>
          <t xml:space="preserve">Tecnologías de la información, telecomunicaciones y radiodifusión / Equipos informáticos y accesorios / Accesorios de computador</t>
        </is>
      </c>
      <c r="F127" s="0">
        <v>10.0</v>
      </c>
      <c r="G127" s="0" t="inlineStr">
        <is>
          <t xml:space="preserve">Unidad</t>
        </is>
      </c>
      <c r="H127" s="4" t="inlineStr">
        <is>
          <t xml:space="preserve">Switch 48G PoE 4SFP+ (equivalente al modelo JL727B) / Control de Acceso</t>
        </is>
      </c>
    </row>
    <row r="128">
      <c r="A128" s="0" t="inlineStr">
        <is>
          <t xml:space="preserve">2563-34-LR26</t>
        </is>
      </c>
      <c r="B128" s="4" t="inlineStr">
        <is>
          <t xml:space="preserve">EQUIPOS PARA REDES INFORMÁTICAS Y LICENCIAS</t>
        </is>
      </c>
      <c r="C128" s="0">
        <v>2</v>
      </c>
      <c r="D128" s="4" t="inlineStr">
        <is>
          <t xml:space="preserve">Cajas de conmutación de computadores</t>
        </is>
      </c>
      <c r="E128" s="4" t="inlineStr">
        <is>
          <t xml:space="preserve">Tecnologías de la información, telecomunicaciones y radiodifusión / Equipos informáticos y accesorios / Accesorios de computador</t>
        </is>
      </c>
      <c r="F128" s="0">
        <v>11.0</v>
      </c>
      <c r="G128" s="0" t="inlineStr">
        <is>
          <t xml:space="preserve">Unidad</t>
        </is>
      </c>
      <c r="H128" s="4" t="inlineStr">
        <is>
          <t xml:space="preserve">Switch 48G PoE 4SFP+ (equivalente al modelo JL727B) /Aeroportuarios</t>
        </is>
      </c>
    </row>
    <row r="129">
      <c r="A129" s="0" t="inlineStr">
        <is>
          <t xml:space="preserve">2563-34-LR26</t>
        </is>
      </c>
      <c r="B129" s="4" t="inlineStr">
        <is>
          <t xml:space="preserve">EQUIPOS PARA REDES INFORMÁTICAS Y LICENCIAS</t>
        </is>
      </c>
      <c r="C129" s="0">
        <v>3</v>
      </c>
      <c r="D129" s="4" t="inlineStr">
        <is>
          <t xml:space="preserve">Cajas de conmutación de computadores</t>
        </is>
      </c>
      <c r="E129" s="4" t="inlineStr">
        <is>
          <t xml:space="preserve">Tecnologías de la información, telecomunicaciones y radiodifusión / Equipos informáticos y accesorios / Accesorios de computador</t>
        </is>
      </c>
      <c r="F129" s="0">
        <v>1.0</v>
      </c>
      <c r="G129" s="0" t="inlineStr">
        <is>
          <t xml:space="preserve">Unidad</t>
        </is>
      </c>
      <c r="H129" s="4" t="inlineStr">
        <is>
          <t xml:space="preserve">Switch 24G PoE 4SFP+(equivalente al modelo JL261A) /Aeroportuario</t>
        </is>
      </c>
    </row>
    <row r="130">
      <c r="A130" s="0" t="inlineStr">
        <is>
          <t xml:space="preserve">2563-34-LR26</t>
        </is>
      </c>
      <c r="B130" s="4" t="inlineStr">
        <is>
          <t xml:space="preserve">EQUIPOS PARA REDES INFORMÁTICAS Y LICENCIAS</t>
        </is>
      </c>
      <c r="C130" s="0">
        <v>4</v>
      </c>
      <c r="D130" s="4" t="inlineStr">
        <is>
          <t xml:space="preserve">Cajas de conmutación de computadores</t>
        </is>
      </c>
      <c r="E130" s="4" t="inlineStr">
        <is>
          <t xml:space="preserve">Tecnologías de la información, telecomunicaciones y radiodifusión / Equipos informáticos y accesorios / Accesorios de computador</t>
        </is>
      </c>
      <c r="F130" s="0">
        <v>7.0</v>
      </c>
      <c r="G130" s="0" t="inlineStr">
        <is>
          <t xml:space="preserve">Unidad</t>
        </is>
      </c>
      <c r="H130" s="4" t="inlineStr">
        <is>
          <t xml:space="preserve">Switch 12G PoE 2SFP+ (equivalente al modelo R8Q72A) /Aeroportuario</t>
        </is>
      </c>
    </row>
    <row r="131">
      <c r="A131" s="0" t="inlineStr">
        <is>
          <t xml:space="preserve">2563-34-LR26</t>
        </is>
      </c>
      <c r="B131" s="4" t="inlineStr">
        <is>
          <t xml:space="preserve">EQUIPOS PARA REDES INFORMÁTICAS Y LICENCIAS</t>
        </is>
      </c>
      <c r="C131" s="0">
        <v>5</v>
      </c>
      <c r="D131" s="4" t="inlineStr">
        <is>
          <t xml:space="preserve">Cajas de conmutación de computadores</t>
        </is>
      </c>
      <c r="E131" s="4" t="inlineStr">
        <is>
          <t xml:space="preserve">Tecnologías de la información, telecomunicaciones y radiodifusión / Equipos informáticos y accesorios / Accesorios de computador</t>
        </is>
      </c>
      <c r="F131" s="0">
        <v>4.0</v>
      </c>
      <c r="G131" s="0" t="inlineStr">
        <is>
          <t xml:space="preserve">Unidad</t>
        </is>
      </c>
      <c r="H131" s="4" t="inlineStr">
        <is>
          <t xml:space="preserve">Access Point Desktop (equivalente al modelo R3V46A) /Control de acceso</t>
        </is>
      </c>
    </row>
    <row r="132">
      <c r="A132" s="0" t="inlineStr">
        <is>
          <t xml:space="preserve">2563-34-LR26</t>
        </is>
      </c>
      <c r="B132" s="4" t="inlineStr">
        <is>
          <t xml:space="preserve">EQUIPOS PARA REDES INFORMÁTICAS Y LICENCIAS</t>
        </is>
      </c>
      <c r="C132" s="0">
        <v>6</v>
      </c>
      <c r="D132" s="4" t="inlineStr">
        <is>
          <t xml:space="preserve">Cajas de conmutación de computadores</t>
        </is>
      </c>
      <c r="E132" s="4" t="inlineStr">
        <is>
          <t xml:space="preserve">Tecnologías de la información, telecomunicaciones y radiodifusión / Equipos informáticos y accesorios / Accesorios de computador</t>
        </is>
      </c>
      <c r="F132" s="0">
        <v>20.0</v>
      </c>
      <c r="G132" s="0" t="inlineStr">
        <is>
          <t xml:space="preserve">Unidad</t>
        </is>
      </c>
      <c r="H132" s="4" t="inlineStr">
        <is>
          <t xml:space="preserve">Access Point
(equivalente al modelo JZ336A) /Control de Acceso</t>
        </is>
      </c>
    </row>
    <row r="133">
      <c r="A133" s="0" t="inlineStr">
        <is>
          <t xml:space="preserve">2563-34-LR26</t>
        </is>
      </c>
      <c r="B133" s="4" t="inlineStr">
        <is>
          <t xml:space="preserve">EQUIPOS PARA REDES INFORMÁTICAS Y LICENCIAS</t>
        </is>
      </c>
      <c r="C133" s="0">
        <v>7</v>
      </c>
      <c r="D133" s="4" t="inlineStr">
        <is>
          <t xml:space="preserve">Cajas de conmutación de computadores</t>
        </is>
      </c>
      <c r="E133" s="4" t="inlineStr">
        <is>
          <t xml:space="preserve">Tecnologías de la información, telecomunicaciones y radiodifusión / Equipos informáticos y accesorios / Accesorios de computador</t>
        </is>
      </c>
      <c r="F133" s="0">
        <v>11.0</v>
      </c>
      <c r="G133" s="0" t="inlineStr">
        <is>
          <t xml:space="preserve">Unidad</t>
        </is>
      </c>
      <c r="H133" s="4" t="inlineStr">
        <is>
          <t xml:space="preserve">Access Point
(equivalente al modelo JZ336A) /Aeroportuarios</t>
        </is>
      </c>
    </row>
    <row r="134">
      <c r="A134" s="0" t="inlineStr">
        <is>
          <t xml:space="preserve">2563-34-LR26</t>
        </is>
      </c>
      <c r="B134" s="4" t="inlineStr">
        <is>
          <t xml:space="preserve">EQUIPOS PARA REDES INFORMÁTICAS Y LICENCIAS</t>
        </is>
      </c>
      <c r="C134" s="0">
        <v>8</v>
      </c>
      <c r="D134" s="4" t="inlineStr">
        <is>
          <t xml:space="preserve">Cajas de conmutación de computadores</t>
        </is>
      </c>
      <c r="E134" s="4" t="inlineStr">
        <is>
          <t xml:space="preserve">Tecnologías de la información, telecomunicaciones y radiodifusión / Equipos informáticos y accesorios / Accesorios de computador</t>
        </is>
      </c>
      <c r="F134" s="0">
        <v>6.0</v>
      </c>
      <c r="G134" s="0" t="inlineStr">
        <is>
          <t xml:space="preserve">Unidad</t>
        </is>
      </c>
      <c r="H134" s="4" t="inlineStr">
        <is>
          <t xml:space="preserve">Access Point Exterior
(equivalente al modelo R7T05A) /Control de Acceso</t>
        </is>
      </c>
    </row>
    <row r="135">
      <c r="A135" s="0" t="inlineStr">
        <is>
          <t xml:space="preserve">2563-34-LR26</t>
        </is>
      </c>
      <c r="B135" s="4" t="inlineStr">
        <is>
          <t xml:space="preserve">EQUIPOS PARA REDES INFORMÁTICAS Y LICENCIAS</t>
        </is>
      </c>
      <c r="C135" s="0">
        <v>9</v>
      </c>
      <c r="D135" s="4" t="inlineStr">
        <is>
          <t xml:space="preserve">Cajas de conmutación de computadores</t>
        </is>
      </c>
      <c r="E135" s="4" t="inlineStr">
        <is>
          <t xml:space="preserve">Tecnologías de la información, telecomunicaciones y radiodifusión / Equipos informáticos y accesorios / Accesorios de computador</t>
        </is>
      </c>
      <c r="F135" s="0">
        <v>3.0</v>
      </c>
      <c r="G135" s="0" t="inlineStr">
        <is>
          <t xml:space="preserve">Unidad</t>
        </is>
      </c>
      <c r="H135" s="4" t="inlineStr">
        <is>
          <t xml:space="preserve">Soporte anclaje para riel cielo falso plano 9/16'' Pack 10 unidades. /Aeroportuarios</t>
        </is>
      </c>
    </row>
    <row r="136">
      <c r="A136" s="0" t="inlineStr">
        <is>
          <t xml:space="preserve">2563-34-LR26</t>
        </is>
      </c>
      <c r="B136" s="4" t="inlineStr">
        <is>
          <t xml:space="preserve">EQUIPOS PARA REDES INFORMÁTICAS Y LICENCIAS</t>
        </is>
      </c>
      <c r="C136" s="0">
        <v>10</v>
      </c>
      <c r="D136" s="4" t="inlineStr">
        <is>
          <t xml:space="preserve">Cajas de conmutación de computadores</t>
        </is>
      </c>
      <c r="E136" s="4" t="inlineStr">
        <is>
          <t xml:space="preserve">Tecnologías de la información, telecomunicaciones y radiodifusión / Equipos informáticos y accesorios / Accesorios de computador</t>
        </is>
      </c>
      <c r="F136" s="0">
        <v>3.0</v>
      </c>
      <c r="G136" s="0" t="inlineStr">
        <is>
          <t xml:space="preserve">Unidad</t>
        </is>
      </c>
      <c r="H136" s="4" t="inlineStr">
        <is>
          <t xml:space="preserve">Soporte anclaje para superficie sólida Pack 10 unidades. /Aeroportuarios</t>
        </is>
      </c>
    </row>
    <row r="137">
      <c r="A137" s="0" t="inlineStr">
        <is>
          <t xml:space="preserve">2563-34-LR26</t>
        </is>
      </c>
      <c r="B137" s="4" t="inlineStr">
        <is>
          <t xml:space="preserve">EQUIPOS PARA REDES INFORMÁTICAS Y LICENCIAS</t>
        </is>
      </c>
      <c r="C137" s="0">
        <v>11</v>
      </c>
      <c r="D137" s="4" t="inlineStr">
        <is>
          <t xml:space="preserve">Cajas de conmutación de computadores</t>
        </is>
      </c>
      <c r="E137" s="4" t="inlineStr">
        <is>
          <t xml:space="preserve">Tecnologías de la información, telecomunicaciones y radiodifusión / Equipos informáticos y accesorios / Accesorios de computador</t>
        </is>
      </c>
      <c r="F137" s="0">
        <v>10.0</v>
      </c>
      <c r="G137" s="0" t="inlineStr">
        <is>
          <t xml:space="preserve">Unidad</t>
        </is>
      </c>
      <c r="H137" s="4" t="inlineStr">
        <is>
          <t xml:space="preserve">Módulo 10G SFP+ LC LR 10km
(equivalente al modelo J9151E) /Control de Acceso</t>
        </is>
      </c>
    </row>
    <row r="138">
      <c r="A138" s="0" t="inlineStr">
        <is>
          <t xml:space="preserve">2563-34-LR26</t>
        </is>
      </c>
      <c r="B138" s="4" t="inlineStr">
        <is>
          <t xml:space="preserve">EQUIPOS PARA REDES INFORMÁTICAS Y LICENCIAS</t>
        </is>
      </c>
      <c r="C138" s="0">
        <v>12</v>
      </c>
      <c r="D138" s="4" t="inlineStr">
        <is>
          <t xml:space="preserve">Cajas de conmutación de computadores</t>
        </is>
      </c>
      <c r="E138" s="4" t="inlineStr">
        <is>
          <t xml:space="preserve">Tecnologías de la información, telecomunicaciones y radiodifusión / Equipos informáticos y accesorios / Accesorios de computador</t>
        </is>
      </c>
      <c r="F138" s="0">
        <v>10.0</v>
      </c>
      <c r="G138" s="0" t="inlineStr">
        <is>
          <t xml:space="preserve">Unidad</t>
        </is>
      </c>
      <c r="H138" s="4" t="inlineStr">
        <is>
          <t xml:space="preserve">Módulo FO (SM) 1G SFP LC LX 10km
(equivalente al modelo J4859D) /Control de Acceso</t>
        </is>
      </c>
    </row>
    <row r="139">
      <c r="A139" s="0" t="inlineStr">
        <is>
          <t xml:space="preserve">2563-34-LR26</t>
        </is>
      </c>
      <c r="B139" s="4" t="inlineStr">
        <is>
          <t xml:space="preserve">EQUIPOS PARA REDES INFORMÁTICAS Y LICENCIAS</t>
        </is>
      </c>
      <c r="C139" s="0">
        <v>13</v>
      </c>
      <c r="D139" s="4" t="inlineStr">
        <is>
          <t xml:space="preserve">Cajas de conmutación de computadores</t>
        </is>
      </c>
      <c r="E139" s="4" t="inlineStr">
        <is>
          <t xml:space="preserve">Tecnologías de la información, telecomunicaciones y radiodifusión / Equipos informáticos y accesorios / Accesorios de computador</t>
        </is>
      </c>
      <c r="F139" s="0">
        <v>24.0</v>
      </c>
      <c r="G139" s="0" t="inlineStr">
        <is>
          <t xml:space="preserve">Unidad</t>
        </is>
      </c>
      <c r="H139" s="4" t="inlineStr">
        <is>
          <t xml:space="preserve">Módulo FO (SM) 1G SFP LC LX 10km (equivalente al modelo J4859D) /Aeroportuarios</t>
        </is>
      </c>
    </row>
    <row r="140">
      <c r="A140" s="0" t="inlineStr">
        <is>
          <t xml:space="preserve">2563-34-LR26</t>
        </is>
      </c>
      <c r="B140" s="4" t="inlineStr">
        <is>
          <t xml:space="preserve">EQUIPOS PARA REDES INFORMÁTICAS Y LICENCIAS</t>
        </is>
      </c>
      <c r="C140" s="0">
        <v>14</v>
      </c>
      <c r="D140" s="4" t="inlineStr">
        <is>
          <t xml:space="preserve">Cajas de conmutación de computadores</t>
        </is>
      </c>
      <c r="E140" s="4" t="inlineStr">
        <is>
          <t xml:space="preserve">Tecnologías de la información, telecomunicaciones y radiodifusión / Equipos informáticos y accesorios / Accesorios de computador</t>
        </is>
      </c>
      <c r="F140" s="0">
        <v>1.0</v>
      </c>
      <c r="G140" s="0" t="inlineStr">
        <is>
          <t xml:space="preserve">Unidad</t>
        </is>
      </c>
      <c r="H140" s="4" t="inlineStr">
        <is>
          <t xml:space="preserve">Equipo de protección de enlaces de red frente a ataques DDoS y amenazas avanzadas, actuando directamente en el borde de la red (edge), donde se conectan los enlaces de Internet principal y de respaldo. /Control de Acceso</t>
        </is>
      </c>
    </row>
    <row r="141">
      <c r="A141" s="0" t="inlineStr">
        <is>
          <t xml:space="preserve">2563-34-LR26</t>
        </is>
      </c>
      <c r="B141" s="4" t="inlineStr">
        <is>
          <t xml:space="preserve">EQUIPOS PARA REDES INFORMÁTICAS Y LICENCIAS</t>
        </is>
      </c>
      <c r="C141" s="0">
        <v>15</v>
      </c>
      <c r="D141" s="4" t="inlineStr">
        <is>
          <t xml:space="preserve">Cajas de conmutación de computadores</t>
        </is>
      </c>
      <c r="E141" s="4" t="inlineStr">
        <is>
          <t xml:space="preserve">Tecnologías de la información, telecomunicaciones y radiodifusión / Equipos informáticos y accesorios / Accesorios de computador</t>
        </is>
      </c>
      <c r="F141" s="0">
        <v>1.0</v>
      </c>
      <c r="G141" s="0" t="inlineStr">
        <is>
          <t xml:space="preserve">Unidad</t>
        </is>
      </c>
      <c r="H141" s="4" t="inlineStr">
        <is>
          <t xml:space="preserve">Licencia para el funcionamiento del equipo de protección de enlaces de red frente a ataques DDoS y amenazas avanzadas. /Control de Acceso</t>
        </is>
      </c>
    </row>
    <row r="142">
      <c r="A142" s="0" t="inlineStr">
        <is>
          <t xml:space="preserve">4475-22-LE26</t>
        </is>
      </c>
      <c r="B142" s="4" t="inlineStr">
        <is>
          <t xml:space="preserve">Recursos informáticos para Liceo AAP</t>
        </is>
      </c>
      <c r="C142" s="0">
        <v>1</v>
      </c>
      <c r="D142" s="4" t="inlineStr">
        <is>
          <t xml:space="preserve">Computadores de escritorio</t>
        </is>
      </c>
      <c r="E142" s="4" t="inlineStr">
        <is>
          <t xml:space="preserve">Tecnologías de la información, telecomunicaciones y radiodifusión / Equipos informáticos y accesorios / Computadores</t>
        </is>
      </c>
      <c r="F142" s="0">
        <v>1.0</v>
      </c>
      <c r="G142" s="0" t="inlineStr">
        <is>
          <t xml:space="preserve">Global</t>
        </is>
      </c>
      <c r="H142" s="4" t="inlineStr">
        <is>
          <t xml:space="preserve">Todo lo solicitado en bases administrativas y técnicas de licitación según decreto exento n°2124</t>
        </is>
      </c>
    </row>
    <row r="143">
      <c r="A143" s="0" t="inlineStr">
        <is>
          <t xml:space="preserve">761391-138-LE26</t>
        </is>
      </c>
      <c r="B143" s="4" t="inlineStr">
        <is>
          <t xml:space="preserve">EE-133-GUB-DAS-SVC. ARRI. EQUIPOS INFORMATICOS</t>
        </is>
      </c>
      <c r="C143" s="0">
        <v>1</v>
      </c>
      <c r="D143" s="4" t="inlineStr">
        <is>
          <t xml:space="preserve">Servicios de programación de sistemas operativos</t>
        </is>
      </c>
      <c r="E143" s="4" t="inlineStr">
        <is>
          <t xml:space="preserve">Servicios basados en ingeniería, ciencias sociales y tecnología de la información / Servicios informáticos / Ingeniería en computación e informática</t>
        </is>
      </c>
      <c r="F143" s="0">
        <v>1.0</v>
      </c>
      <c r="G143" s="0" t="inlineStr">
        <is>
          <t xml:space="preserve">Global</t>
        </is>
      </c>
      <c r="H143" s="4" t="inlineStr">
        <is>
          <t xml:space="preserve">CONTRATACIÓN DEL SERVICIO DE ARRIENDO DE EQUIPOS INFORMATICOS PARA LA IMPLEMENTACIÓN DE SIMULADOR DE AIRBUS ACT ACADEMY DURANTE EL PERIODO COMPRENDIDO ENTRE EL 01 DE OCTUBRE Y EL 31 DE DICIEMBRE DEL AÑO 2026, DE ACUERDO A BASES TÉCNICAS, BASES ADM Y ANEXO</t>
        </is>
      </c>
    </row>
    <row r="144">
      <c r="A144" s="0" t="inlineStr">
        <is>
          <t xml:space="preserve">868-17-LE26</t>
        </is>
      </c>
      <c r="B144" s="4" t="inlineStr">
        <is>
          <t xml:space="preserve">RENOVACION 6 LICENCIAS CLOUD Y 17 LICENCIAS ADOBE</t>
        </is>
      </c>
      <c r="C144" s="0">
        <v>1</v>
      </c>
      <c r="D144" s="4" t="inlineStr">
        <is>
          <t xml:space="preserve">Software de gestión de licencias</t>
        </is>
      </c>
      <c r="E144" s="4" t="inlineStr">
        <is>
          <t xml:space="preserve">Tecnologías de la información, telecomunicaciones y radiodifusión / Software / Software de gestión</t>
        </is>
      </c>
      <c r="F144" s="0">
        <v>1.0</v>
      </c>
      <c r="G144" s="0" t="inlineStr">
        <is>
          <t xml:space="preserve">Unidad</t>
        </is>
      </c>
      <c r="H144" s="4"/>
    </row>
    <row r="145">
      <c r="A145" s="0" t="inlineStr">
        <is>
          <t xml:space="preserve">2785-80-LE26</t>
        </is>
      </c>
      <c r="B145" s="4" t="inlineStr">
        <is>
          <t xml:space="preserve">“Servicios móviles de comunicaciones de voz y datos internet para la Municipalidad San Pedro de la Paz”</t>
        </is>
      </c>
      <c r="C145" s="0">
        <v>1</v>
      </c>
      <c r="D145" s="4" t="inlineStr">
        <is>
          <t xml:space="preserve">Servicio telefónico local</t>
        </is>
      </c>
      <c r="E145" s="4" t="inlineStr">
        <is>
          <t xml:space="preserve">Servicios básicos y de información pública / Telecomunicaciones / Telefonía local y de larga distancia</t>
        </is>
      </c>
      <c r="F145" s="0">
        <v>1.0</v>
      </c>
      <c r="G145" s="0" t="inlineStr">
        <is>
          <t xml:space="preserve">Unidad</t>
        </is>
      </c>
      <c r="H145" s="4" t="inlineStr">
        <is>
          <t xml:space="preserve">Servicios de telecomunicaciones de acuerdo a las especificacione stécnicas y bases administrativas</t>
        </is>
      </c>
    </row>
    <row r="146">
      <c r="A146" s="0" t="inlineStr">
        <is>
          <t xml:space="preserve">1499887-19-CO26</t>
        </is>
      </c>
      <c r="B146" s="4" t="inlineStr">
        <is>
          <t xml:space="preserve">SERVICIOS TÉCNICOS DE HABILITACIÓN DIGITAL</t>
        </is>
      </c>
      <c r="C146" s="0">
        <v>1</v>
      </c>
      <c r="D146" s="4" t="inlineStr">
        <is>
          <t xml:space="preserve">Inspección de instalaciones eléctricas</t>
        </is>
      </c>
      <c r="E146" s="4" t="inlineStr">
        <is>
          <t xml:space="preserve">Servicios basados en ingeniería, ciencias sociales y tecnología de la información / Metodologías y tecnologías para mejorar la producción y la fabricación / Administración de edificios e instalaciones</t>
        </is>
      </c>
      <c r="F146" s="0">
        <v>1.0</v>
      </c>
      <c r="G146" s="0" t="inlineStr">
        <is>
          <t xml:space="preserve">Unidad</t>
        </is>
      </c>
      <c r="H146" s="4" t="inlineStr">
        <is>
          <t xml:space="preserve">CONTRATACIÓN DE SERVICIOS TÉCNICOS ESPECIALIZADOS DE HABILITACIÓN DIGITAL Y ELÉCTRICA EN CENTROS DE ADMINISTRACIÓN DIRECTA DE TIL TIL, LA CISTERNA Y SANTIAGO DEL SERVICIO NACIONAL DE REINSERCIÓN SOCIAL JUVENIL, DEPENDIENTE DE LA DIRECCIÓN REGIONAL METROPO</t>
        </is>
      </c>
    </row>
    <row r="147">
      <c r="A147" s="0" t="inlineStr">
        <is>
          <t xml:space="preserve">4511-53-LE26</t>
        </is>
      </c>
      <c r="B147" s="4" t="inlineStr">
        <is>
          <t xml:space="preserve">CONTRATACIÓN SISTEMA DE GESTIÓN DOCUMENTAL</t>
        </is>
      </c>
      <c r="C147" s="0">
        <v>1</v>
      </c>
      <c r="D147" s="4" t="inlineStr">
        <is>
          <t xml:space="preserve">Software de creación de informes de bases de datos</t>
        </is>
      </c>
      <c r="E147" s="4" t="inlineStr">
        <is>
          <t xml:space="preserve">Tecnologías de la información, telecomunicaciones y radiodifusión / Software / Software de consultas y gestión de datos</t>
        </is>
      </c>
      <c r="F147" s="0">
        <v>1.0</v>
      </c>
      <c r="G147" s="0" t="inlineStr">
        <is>
          <t xml:space="preserve">Global</t>
        </is>
      </c>
      <c r="H147" s="4" t="inlineStr">
        <is>
          <t xml:space="preserve">contratación servicio de adquisición Sistema de Gestor de Documentos con firma electrónica, para la Ilustre Municipalidad de Retiro</t>
        </is>
      </c>
    </row>
    <row r="148">
      <c r="A148" s="0" t="inlineStr">
        <is>
          <t xml:space="preserve">1057448-50-L126</t>
        </is>
      </c>
      <c r="B148" s="4" t="inlineStr">
        <is>
          <t xml:space="preserve">CÁPSULAS DIGITALES PARA IMPLEMENTAR EN MOODLE DEL SERVICIO DE SALUD TARAPACÁ</t>
        </is>
      </c>
      <c r="C148" s="0">
        <v>1</v>
      </c>
      <c r="D148" s="4" t="inlineStr">
        <is>
          <t xml:space="preserve">Formación, capacitación y entrenamiento de personal</t>
        </is>
      </c>
      <c r="E148" s="4" t="inlineStr">
        <is>
          <t xml:space="preserve">Servicios profesionales, administrativos y consultorías de gestión empresarial / Servicios de recursos humanos / Consultorías para el desarrollo de recursos humanos</t>
        </is>
      </c>
      <c r="F148" s="0">
        <v>1.0</v>
      </c>
      <c r="G148" s="0" t="inlineStr">
        <is>
          <t xml:space="preserve">Unidad</t>
        </is>
      </c>
      <c r="H148" s="4" t="inlineStr">
        <is>
          <t xml:space="preserve">CAPSULA DIGITAL CAPACITACION MOODLE</t>
        </is>
      </c>
    </row>
    <row r="149">
      <c r="A149" s="0" t="inlineStr">
        <is>
          <t xml:space="preserve">609-27-LE26</t>
        </is>
      </c>
      <c r="B149" s="4" t="inlineStr">
        <is>
          <t xml:space="preserve">ADQUISICIÓN DE 10 LICENCIAS ADOBE CREATIVE CLOUD</t>
        </is>
      </c>
      <c r="C149" s="0">
        <v>1</v>
      </c>
      <c r="D149" s="4" t="inlineStr">
        <is>
          <t xml:space="preserve">Software de gestión de licencias</t>
        </is>
      </c>
      <c r="E149" s="4" t="inlineStr">
        <is>
          <t xml:space="preserve">Tecnologías de la información, telecomunicaciones y radiodifusión / Software / Software de gestión</t>
        </is>
      </c>
      <c r="F149" s="0">
        <v>1.0</v>
      </c>
      <c r="G149" s="0" t="inlineStr">
        <is>
          <t xml:space="preserve">Unidad</t>
        </is>
      </c>
      <c r="H149" s="4" t="inlineStr">
        <is>
          <t xml:space="preserve">ADQUISICIÓN DE 10 LICENCIAS ADOBE CREATIVE CLOUD O EQUIVALENTE</t>
        </is>
      </c>
    </row>
    <row r="150">
      <c r="A150" s="0" t="inlineStr">
        <is>
          <t xml:space="preserve">3019-20-LE26</t>
        </is>
      </c>
      <c r="B150" s="4" t="inlineStr">
        <is>
          <t xml:space="preserve">SOFTWARE CARRERA FUNCIONARIA APS LOTA</t>
        </is>
      </c>
      <c r="C150" s="0">
        <v>1</v>
      </c>
      <c r="D150" s="4" t="inlineStr">
        <is>
          <t xml:space="preserve">Software de gestión de recursos humanos</t>
        </is>
      </c>
      <c r="E150" s="4" t="inlineStr">
        <is>
          <t xml:space="preserve">Tecnologías de la información, telecomunicaciones y radiodifusión / Software / Software de gestión</t>
        </is>
      </c>
      <c r="F150" s="0">
        <v>1.0</v>
      </c>
      <c r="G150" s="0" t="inlineStr">
        <is>
          <t xml:space="preserve">Unidad</t>
        </is>
      </c>
      <c r="H150" s="4" t="inlineStr">
        <is>
          <t xml:space="preserve">SOFTWARE DE GESTIÓN DE CARRERA FUNCIONARIA PARA LOS FUNCIONARIOS DE APS LOTA, CONTRATO POR 24 MESES</t>
        </is>
      </c>
    </row>
    <row r="151">
      <c r="A151" s="0" t="inlineStr">
        <is>
          <t xml:space="preserve">948354-138-LE26</t>
        </is>
      </c>
      <c r="B151" s="4" t="inlineStr">
        <is>
          <t xml:space="preserve">CONTRATACIÓN DEL SERVICIO DE LICENCIAMIENTO IMPLEMENTACIÓN MANTENCIÓN ACTUALIZACIÓN Y SOPORTE DE SOLUCIÓN INFORMÁTICA PARA LA GESTIÓN DE CALIDAD EN SALUD DEL HOSPITAL DIPRECA</t>
        </is>
      </c>
      <c r="C151" s="0">
        <v>1</v>
      </c>
      <c r="D151" s="4" t="inlineStr">
        <is>
          <t xml:space="preserve">Software de administración de metadatos</t>
        </is>
      </c>
      <c r="E151" s="4" t="inlineStr">
        <is>
          <t xml:space="preserve">Tecnologías de la información, telecomunicaciones y radiodifusión / Software / Software de consultas y gestión de datos</t>
        </is>
      </c>
      <c r="F151" s="0">
        <v>36.0</v>
      </c>
      <c r="G151" s="0" t="inlineStr">
        <is>
          <t xml:space="preserve">Mes</t>
        </is>
      </c>
      <c r="H151" s="4" t="inlineStr">
        <is>
          <t xml:space="preserve">Servicio de licenciamiento, implementación, mantención, actualización y soporte de solución informática para la gestión de calidad en salud</t>
        </is>
      </c>
    </row>
    <row r="152">
      <c r="A152" s="0" t="inlineStr">
        <is>
          <t xml:space="preserve">1305527-5-LP26</t>
        </is>
      </c>
      <c r="B152" s="4" t="inlineStr">
        <is>
          <t xml:space="preserve">Contratación de infraestructura Cloud</t>
        </is>
      </c>
      <c r="C152" s="0">
        <v>1</v>
      </c>
      <c r="D152" s="4" t="inlineStr">
        <is>
          <t xml:space="preserve">Web Hosting</t>
        </is>
      </c>
      <c r="E152" s="4" t="inlineStr">
        <is>
          <t xml:space="preserve">Servicios basados en ingeniería, ciencias sociales y tecnología de la información / Servicios informáticos / Servicios para internet</t>
        </is>
      </c>
      <c r="F152" s="0">
        <v>1.0</v>
      </c>
      <c r="G152" s="0" t="inlineStr">
        <is>
          <t xml:space="preserve">Unidad</t>
        </is>
      </c>
      <c r="H152" s="4" t="inlineStr">
        <is>
          <t xml:space="preserve">Contratación de Serv. De Infraestructura Cloud. Revisar EETT.</t>
        </is>
      </c>
    </row>
    <row r="153">
      <c r="A153" s="0" t="inlineStr">
        <is>
          <t xml:space="preserve">2176-44-LE26</t>
        </is>
      </c>
      <c r="B153" s="4" t="inlineStr">
        <is>
          <t xml:space="preserve">OBRA REP. DE TABLEROS ELECTRICOS CAPJ ZONAL VALPO</t>
        </is>
      </c>
      <c r="C153" s="0">
        <v>1</v>
      </c>
      <c r="D153" s="4" t="inlineStr">
        <is>
          <t xml:space="preserve">Instalación o servicio de sistemas de energía eléctrica</t>
        </is>
      </c>
      <c r="E153" s="4" t="inlineStr">
        <is>
          <t xml:space="preserve">Servicios de construcción y mantenimiento / Servicios de atención, mantenimiento y reparaciones de edificios / Servicios eléctricos</t>
        </is>
      </c>
      <c r="F153" s="0">
        <v>1.0</v>
      </c>
      <c r="G153" s="0" t="inlineStr">
        <is>
          <t xml:space="preserve">Global</t>
        </is>
      </c>
      <c r="H153" s="4" t="inlineStr">
        <is>
          <t xml:space="preserve">OBRA DE REPARACION TABLEROS ELECTRICOS EDIFICIOS CAPJ ZONAL VALPARAISO</t>
        </is>
      </c>
    </row>
    <row r="154">
      <c r="A154" s="0" t="inlineStr">
        <is>
          <t xml:space="preserve">594965-27-LE26</t>
        </is>
      </c>
      <c r="B154" s="4" t="inlineStr">
        <is>
          <t xml:space="preserve">INSUMOS INFORMÁTICOS PARA REGION DE OHIGGINS</t>
        </is>
      </c>
      <c r="C154" s="0">
        <v>1</v>
      </c>
      <c r="D154" s="4" t="inlineStr">
        <is>
          <t xml:space="preserve">Tóner</t>
        </is>
      </c>
      <c r="E154" s="4" t="inlineStr">
        <is>
          <t xml:space="preserve">Equipos, accesorios y suministros de oficina / Maquinarias, suministros y accesorios de oficina / Suministros para impresora, fax y fotocopiadora</t>
        </is>
      </c>
      <c r="F154" s="0">
        <v>124.0</v>
      </c>
      <c r="G154" s="0" t="inlineStr">
        <is>
          <t xml:space="preserve">Unidad</t>
        </is>
      </c>
      <c r="H154" s="4" t="inlineStr">
        <is>
          <t xml:space="preserve">Tóner HP 83A o equivalente.
SEGUN RESOLUCUION TECNICA NUMERAL 3</t>
        </is>
      </c>
    </row>
    <row r="155">
      <c r="A155" s="0" t="inlineStr">
        <is>
          <t xml:space="preserve">594965-27-LE26</t>
        </is>
      </c>
      <c r="B155" s="4" t="inlineStr">
        <is>
          <t xml:space="preserve">INSUMOS INFORMÁTICOS PARA REGION DE OHIGGINS</t>
        </is>
      </c>
      <c r="C155" s="0">
        <v>2</v>
      </c>
      <c r="D155" s="4" t="inlineStr">
        <is>
          <t xml:space="preserve">Tóner</t>
        </is>
      </c>
      <c r="E155" s="4" t="inlineStr">
        <is>
          <t xml:space="preserve">Equipos, accesorios y suministros de oficina / Maquinarias, suministros y accesorios de oficina / Suministros para impresora, fax y fotocopiadora</t>
        </is>
      </c>
      <c r="F155" s="0">
        <v>139.0</v>
      </c>
      <c r="G155" s="0" t="inlineStr">
        <is>
          <t xml:space="preserve">Unidad</t>
        </is>
      </c>
      <c r="H155" s="4" t="inlineStr">
        <is>
          <t xml:space="preserve">Tóner HP 85A o equivalente
SEGUN RESOLUCUION TECNICA NUMERAL 3</t>
        </is>
      </c>
    </row>
    <row r="156">
      <c r="A156" s="0" t="inlineStr">
        <is>
          <t xml:space="preserve">594965-27-LE26</t>
        </is>
      </c>
      <c r="B156" s="4" t="inlineStr">
        <is>
          <t xml:space="preserve">INSUMOS INFORMÁTICOS PARA REGION DE OHIGGINS</t>
        </is>
      </c>
      <c r="C156" s="0">
        <v>3</v>
      </c>
      <c r="D156" s="4" t="inlineStr">
        <is>
          <t xml:space="preserve">Tóner</t>
        </is>
      </c>
      <c r="E156" s="4" t="inlineStr">
        <is>
          <t xml:space="preserve">Equipos, accesorios y suministros de oficina / Maquinarias, suministros y accesorios de oficina / Suministros para impresora, fax y fotocopiadora</t>
        </is>
      </c>
      <c r="F156" s="0">
        <v>57.0</v>
      </c>
      <c r="G156" s="0" t="inlineStr">
        <is>
          <t xml:space="preserve">Unidad</t>
        </is>
      </c>
      <c r="H156" s="4" t="inlineStr">
        <is>
          <t xml:space="preserve">Tóner HP 105A o equivalente
SEGUN RESOLUCUION TECNICA NUMERAL 3</t>
        </is>
      </c>
    </row>
    <row r="157">
      <c r="A157" s="0" t="inlineStr">
        <is>
          <t xml:space="preserve">594965-27-LE26</t>
        </is>
      </c>
      <c r="B157" s="4" t="inlineStr">
        <is>
          <t xml:space="preserve">INSUMOS INFORMÁTICOS PARA REGION DE OHIGGINS</t>
        </is>
      </c>
      <c r="C157" s="0">
        <v>4</v>
      </c>
      <c r="D157" s="4" t="inlineStr">
        <is>
          <t xml:space="preserve">Tóner</t>
        </is>
      </c>
      <c r="E157" s="4" t="inlineStr">
        <is>
          <t xml:space="preserve">Equipos, accesorios y suministros de oficina / Maquinarias, suministros y accesorios de oficina / Suministros para impresora, fax y fotocopiadora</t>
        </is>
      </c>
      <c r="F157" s="0">
        <v>17.0</v>
      </c>
      <c r="G157" s="0" t="inlineStr">
        <is>
          <t xml:space="preserve">Unidad</t>
        </is>
      </c>
      <c r="H157" s="4" t="inlineStr">
        <is>
          <t xml:space="preserve">Tóner HP 151A o equivalente
SEGUN RESOLUCUION TECNICA NUMERAL 3</t>
        </is>
      </c>
    </row>
    <row r="158">
      <c r="A158" s="0" t="inlineStr">
        <is>
          <t xml:space="preserve">594965-27-LE26</t>
        </is>
      </c>
      <c r="B158" s="4" t="inlineStr">
        <is>
          <t xml:space="preserve">INSUMOS INFORMÁTICOS PARA REGION DE OHIGGINS</t>
        </is>
      </c>
      <c r="C158" s="0">
        <v>5</v>
      </c>
      <c r="D158" s="4" t="inlineStr">
        <is>
          <t xml:space="preserve">Tóner</t>
        </is>
      </c>
      <c r="E158" s="4" t="inlineStr">
        <is>
          <t xml:space="preserve">Equipos, accesorios y suministros de oficina / Maquinarias, suministros y accesorios de oficina / Suministros para impresora, fax y fotocopiadora</t>
        </is>
      </c>
      <c r="F158" s="0">
        <v>2.0</v>
      </c>
      <c r="G158" s="0" t="inlineStr">
        <is>
          <t xml:space="preserve">Unidad</t>
        </is>
      </c>
      <c r="H158" s="4" t="inlineStr">
        <is>
          <t xml:space="preserve">Tóner TN-1060 Negro o equivalente
SEGUN RESOLUCUION TECNICA NUMERAL 3</t>
        </is>
      </c>
    </row>
    <row r="159">
      <c r="A159" s="0" t="inlineStr">
        <is>
          <t xml:space="preserve">594965-27-LE26</t>
        </is>
      </c>
      <c r="B159" s="4" t="inlineStr">
        <is>
          <t xml:space="preserve">INSUMOS INFORMÁTICOS PARA REGION DE OHIGGINS</t>
        </is>
      </c>
      <c r="C159" s="0">
        <v>6</v>
      </c>
      <c r="D159" s="4" t="inlineStr">
        <is>
          <t xml:space="preserve">Tóner</t>
        </is>
      </c>
      <c r="E159" s="4" t="inlineStr">
        <is>
          <t xml:space="preserve">Equipos, accesorios y suministros de oficina / Maquinarias, suministros y accesorios de oficina / Suministros para impresora, fax y fotocopiadora</t>
        </is>
      </c>
      <c r="F159" s="0">
        <v>1.0</v>
      </c>
      <c r="G159" s="0" t="inlineStr">
        <is>
          <t xml:space="preserve">Unidad</t>
        </is>
      </c>
      <c r="H159" s="4" t="inlineStr">
        <is>
          <t xml:space="preserve">Tóner HP 126A Cyan o equivalente
SEGUN RESOLUCUION TECNICA NUMERAL 3</t>
        </is>
      </c>
    </row>
    <row r="160">
      <c r="A160" s="0" t="inlineStr">
        <is>
          <t xml:space="preserve">594965-27-LE26</t>
        </is>
      </c>
      <c r="B160" s="4" t="inlineStr">
        <is>
          <t xml:space="preserve">INSUMOS INFORMÁTICOS PARA REGION DE OHIGGINS</t>
        </is>
      </c>
      <c r="C160" s="0">
        <v>7</v>
      </c>
      <c r="D160" s="4" t="inlineStr">
        <is>
          <t xml:space="preserve">Tóner</t>
        </is>
      </c>
      <c r="E160" s="4" t="inlineStr">
        <is>
          <t xml:space="preserve">Equipos, accesorios y suministros de oficina / Maquinarias, suministros y accesorios de oficina / Suministros para impresora, fax y fotocopiadora</t>
        </is>
      </c>
      <c r="F160" s="0">
        <v>1.0</v>
      </c>
      <c r="G160" s="0" t="inlineStr">
        <is>
          <t xml:space="preserve">Unidad</t>
        </is>
      </c>
      <c r="H160" s="4" t="inlineStr">
        <is>
          <t xml:space="preserve">Tóner HP 126A Magenta o equivalente
SEGUN RESOLUCUION TECNICA NUMERAL 3</t>
        </is>
      </c>
    </row>
    <row r="161">
      <c r="A161" s="0" t="inlineStr">
        <is>
          <t xml:space="preserve">594965-27-LE26</t>
        </is>
      </c>
      <c r="B161" s="4" t="inlineStr">
        <is>
          <t xml:space="preserve">INSUMOS INFORMÁTICOS PARA REGION DE OHIGGINS</t>
        </is>
      </c>
      <c r="C161" s="0">
        <v>8</v>
      </c>
      <c r="D161" s="4" t="inlineStr">
        <is>
          <t xml:space="preserve">Tóner</t>
        </is>
      </c>
      <c r="E161" s="4" t="inlineStr">
        <is>
          <t xml:space="preserve">Equipos, accesorios y suministros de oficina / Maquinarias, suministros y accesorios de oficina / Suministros para impresora, fax y fotocopiadora</t>
        </is>
      </c>
      <c r="F161" s="0">
        <v>2.0</v>
      </c>
      <c r="G161" s="0" t="inlineStr">
        <is>
          <t xml:space="preserve">Unidad</t>
        </is>
      </c>
      <c r="H161" s="4" t="inlineStr">
        <is>
          <t xml:space="preserve">Tóner HP 126A Yellow o equivalente
SEGUN RESOLUCUION TECNICA NUMERAL 3</t>
        </is>
      </c>
    </row>
    <row r="162">
      <c r="A162" s="0" t="inlineStr">
        <is>
          <t xml:space="preserve">594965-27-LE26</t>
        </is>
      </c>
      <c r="B162" s="4" t="inlineStr">
        <is>
          <t xml:space="preserve">INSUMOS INFORMÁTICOS PARA REGION DE OHIGGINS</t>
        </is>
      </c>
      <c r="C162" s="0">
        <v>9</v>
      </c>
      <c r="D162" s="4" t="inlineStr">
        <is>
          <t xml:space="preserve">Tóner</t>
        </is>
      </c>
      <c r="E162" s="4" t="inlineStr">
        <is>
          <t xml:space="preserve">Equipos, accesorios y suministros de oficina / Maquinarias, suministros y accesorios de oficina / Suministros para impresora, fax y fotocopiadora</t>
        </is>
      </c>
      <c r="F162" s="0">
        <v>1.0</v>
      </c>
      <c r="G162" s="0" t="inlineStr">
        <is>
          <t xml:space="preserve">Unidad</t>
        </is>
      </c>
      <c r="H162" s="4" t="inlineStr">
        <is>
          <t xml:space="preserve">Tóner HP 126A Black o equivalente
SEGUN RESOLUCUION TECNICA NUMERAL 3</t>
        </is>
      </c>
    </row>
    <row r="163">
      <c r="A163" s="0" t="inlineStr">
        <is>
          <t xml:space="preserve">594965-27-LE26</t>
        </is>
      </c>
      <c r="B163" s="4" t="inlineStr">
        <is>
          <t xml:space="preserve">INSUMOS INFORMÁTICOS PARA REGION DE OHIGGINS</t>
        </is>
      </c>
      <c r="C163" s="0">
        <v>10</v>
      </c>
      <c r="D163" s="4" t="inlineStr">
        <is>
          <t xml:space="preserve">Cartuchos de tinta</t>
        </is>
      </c>
      <c r="E163" s="4" t="inlineStr">
        <is>
          <t xml:space="preserve">Equipos, accesorios y suministros de oficina / Maquinarias, suministros y accesorios de oficina / Suministros para impresora, fax y fotocopiadora</t>
        </is>
      </c>
      <c r="F163" s="0">
        <v>5.0</v>
      </c>
      <c r="G163" s="0" t="inlineStr">
        <is>
          <t xml:space="preserve">Unidad</t>
        </is>
      </c>
      <c r="H163" s="4" t="inlineStr">
        <is>
          <t xml:space="preserve">Tinta Brother BT5001C Cyan o equivalente
SEGUN RESOLUCUION TECNICA NUMERAL 3</t>
        </is>
      </c>
    </row>
    <row r="164">
      <c r="A164" s="0" t="inlineStr">
        <is>
          <t xml:space="preserve">594965-27-LE26</t>
        </is>
      </c>
      <c r="B164" s="4" t="inlineStr">
        <is>
          <t xml:space="preserve">INSUMOS INFORMÁTICOS PARA REGION DE OHIGGINS</t>
        </is>
      </c>
      <c r="C164" s="0">
        <v>11</v>
      </c>
      <c r="D164" s="4" t="inlineStr">
        <is>
          <t xml:space="preserve">Cartuchos de tinta</t>
        </is>
      </c>
      <c r="E164" s="4" t="inlineStr">
        <is>
          <t xml:space="preserve">Equipos, accesorios y suministros de oficina / Maquinarias, suministros y accesorios de oficina / Suministros para impresora, fax y fotocopiadora</t>
        </is>
      </c>
      <c r="F164" s="0">
        <v>5.0</v>
      </c>
      <c r="G164" s="0" t="inlineStr">
        <is>
          <t xml:space="preserve">Unidad</t>
        </is>
      </c>
      <c r="H164" s="4" t="inlineStr">
        <is>
          <t xml:space="preserve">Tinta Brother BT5001M Magenta o equivalente
SEGUN RESOLUCUION TECNICA NUMERAL 3</t>
        </is>
      </c>
    </row>
    <row r="165">
      <c r="A165" s="0" t="inlineStr">
        <is>
          <t xml:space="preserve">594965-27-LE26</t>
        </is>
      </c>
      <c r="B165" s="4" t="inlineStr">
        <is>
          <t xml:space="preserve">INSUMOS INFORMÁTICOS PARA REGION DE OHIGGINS</t>
        </is>
      </c>
      <c r="C165" s="0">
        <v>12</v>
      </c>
      <c r="D165" s="4" t="inlineStr">
        <is>
          <t xml:space="preserve">Cartuchos de tinta</t>
        </is>
      </c>
      <c r="E165" s="4" t="inlineStr">
        <is>
          <t xml:space="preserve">Equipos, accesorios y suministros de oficina / Maquinarias, suministros y accesorios de oficina / Suministros para impresora, fax y fotocopiadora</t>
        </is>
      </c>
      <c r="F165" s="0">
        <v>5.0</v>
      </c>
      <c r="G165" s="0" t="inlineStr">
        <is>
          <t xml:space="preserve">Unidad</t>
        </is>
      </c>
      <c r="H165" s="4" t="inlineStr">
        <is>
          <t xml:space="preserve">Tinta Brother BT5001Y Yellow  o equivalente
SEGUN RESOLUCUION TECNICA NUMERAL 3</t>
        </is>
      </c>
    </row>
    <row r="166">
      <c r="A166" s="0" t="inlineStr">
        <is>
          <t xml:space="preserve">594965-27-LE26</t>
        </is>
      </c>
      <c r="B166" s="4" t="inlineStr">
        <is>
          <t xml:space="preserve">INSUMOS INFORMÁTICOS PARA REGION DE OHIGGINS</t>
        </is>
      </c>
      <c r="C166" s="0">
        <v>13</v>
      </c>
      <c r="D166" s="4" t="inlineStr">
        <is>
          <t xml:space="preserve">Cartuchos de tinta</t>
        </is>
      </c>
      <c r="E166" s="4" t="inlineStr">
        <is>
          <t xml:space="preserve">Equipos, accesorios y suministros de oficina / Maquinarias, suministros y accesorios de oficina / Suministros para impresora, fax y fotocopiadora</t>
        </is>
      </c>
      <c r="F166" s="0">
        <v>5.0</v>
      </c>
      <c r="G166" s="0" t="inlineStr">
        <is>
          <t xml:space="preserve">Unidad</t>
        </is>
      </c>
      <c r="H166" s="4" t="inlineStr">
        <is>
          <t xml:space="preserve">Tinta Brother BTD60BK Black o equivalente
SEGUN RESOLUCUION TECNICA NUMERAL 3</t>
        </is>
      </c>
    </row>
    <row r="167">
      <c r="A167" s="0" t="inlineStr">
        <is>
          <t xml:space="preserve">594965-27-LE26</t>
        </is>
      </c>
      <c r="B167" s="4" t="inlineStr">
        <is>
          <t xml:space="preserve">INSUMOS INFORMÁTICOS PARA REGION DE OHIGGINS</t>
        </is>
      </c>
      <c r="C167" s="0">
        <v>14</v>
      </c>
      <c r="D167" s="4" t="inlineStr">
        <is>
          <t xml:space="preserve">Cartuchos de tinta</t>
        </is>
      </c>
      <c r="E167" s="4" t="inlineStr">
        <is>
          <t xml:space="preserve">Equipos, accesorios y suministros de oficina / Maquinarias, suministros y accesorios de oficina / Suministros para impresora, fax y fotocopiadora</t>
        </is>
      </c>
      <c r="F167" s="0">
        <v>5.0</v>
      </c>
      <c r="G167" s="0" t="inlineStr">
        <is>
          <t xml:space="preserve">Unidad</t>
        </is>
      </c>
      <c r="H167" s="4" t="inlineStr">
        <is>
          <t xml:space="preserve">Botella Brother BTD100C Cyan o equivalente
SEGUN RESOLUCUION TECNICA NUMERAL 3</t>
        </is>
      </c>
    </row>
    <row r="168">
      <c r="A168" s="0" t="inlineStr">
        <is>
          <t xml:space="preserve">594965-27-LE26</t>
        </is>
      </c>
      <c r="B168" s="4" t="inlineStr">
        <is>
          <t xml:space="preserve">INSUMOS INFORMÁTICOS PARA REGION DE OHIGGINS</t>
        </is>
      </c>
      <c r="C168" s="0">
        <v>15</v>
      </c>
      <c r="D168" s="4" t="inlineStr">
        <is>
          <t xml:space="preserve">Cartuchos de tinta</t>
        </is>
      </c>
      <c r="E168" s="4" t="inlineStr">
        <is>
          <t xml:space="preserve">Equipos, accesorios y suministros de oficina / Maquinarias, suministros y accesorios de oficina / Suministros para impresora, fax y fotocopiadora</t>
        </is>
      </c>
      <c r="F168" s="0">
        <v>5.0</v>
      </c>
      <c r="G168" s="0" t="inlineStr">
        <is>
          <t xml:space="preserve">Unidad</t>
        </is>
      </c>
      <c r="H168" s="4" t="inlineStr">
        <is>
          <t xml:space="preserve">Botella Brother BTD100M Magenta o equivalente
SEGUN RESOLUCUION TECNICA NUMERAL 3</t>
        </is>
      </c>
    </row>
    <row r="169">
      <c r="A169" s="0" t="inlineStr">
        <is>
          <t xml:space="preserve">1375761-52-LE26</t>
        </is>
      </c>
      <c r="B169" s="4" t="inlineStr">
        <is>
          <t xml:space="preserve">LICENCIAS DE SOFTWARE PARA EL SLEP VALLE DIGUILLIN</t>
        </is>
      </c>
      <c r="C169" s="0">
        <v>1</v>
      </c>
      <c r="D169" s="4" t="inlineStr">
        <is>
          <t xml:space="preserve">Paquetes de software para oficinas</t>
        </is>
      </c>
      <c r="E169" s="4" t="inlineStr">
        <is>
          <t xml:space="preserve">Tecnologías de la información, telecomunicaciones y radiodifusión / Software / Software de gestión</t>
        </is>
      </c>
      <c r="F169" s="0">
        <v>1.0</v>
      </c>
      <c r="G169" s="0" t="inlineStr">
        <is>
          <t xml:space="preserve">Unidad</t>
        </is>
      </c>
      <c r="H169" s="4" t="inlineStr">
        <is>
          <t xml:space="preserve">ANEXO N°4.1 OFERTA ECONÓMICA</t>
        </is>
      </c>
    </row>
    <row r="170">
      <c r="A170" s="0" t="inlineStr">
        <is>
          <t xml:space="preserve">1375761-52-LE26</t>
        </is>
      </c>
      <c r="B170" s="4" t="inlineStr">
        <is>
          <t xml:space="preserve">LICENCIAS DE SOFTWARE PARA EL SLEP VALLE DIGUILLIN</t>
        </is>
      </c>
      <c r="C170" s="0">
        <v>2</v>
      </c>
      <c r="D170" s="4" t="inlineStr">
        <is>
          <t xml:space="preserve">Paquetes de software para oficinas</t>
        </is>
      </c>
      <c r="E170" s="4" t="inlineStr">
        <is>
          <t xml:space="preserve">Tecnologías de la información, telecomunicaciones y radiodifusión / Software / Software de gestión</t>
        </is>
      </c>
      <c r="F170" s="0">
        <v>1.0</v>
      </c>
      <c r="G170" s="0" t="inlineStr">
        <is>
          <t xml:space="preserve">Unidad</t>
        </is>
      </c>
      <c r="H170" s="4" t="inlineStr">
        <is>
          <t xml:space="preserve">ANEXO N°4.2 OFERTA ECONÓMICA</t>
        </is>
      </c>
    </row>
    <row r="171">
      <c r="A171" s="0" t="inlineStr">
        <is>
          <t xml:space="preserve">1375761-52-LE26</t>
        </is>
      </c>
      <c r="B171" s="4" t="inlineStr">
        <is>
          <t xml:space="preserve">LICENCIAS DE SOFTWARE PARA EL SLEP VALLE DIGUILLIN</t>
        </is>
      </c>
      <c r="C171" s="0">
        <v>3</v>
      </c>
      <c r="D171" s="4" t="inlineStr">
        <is>
          <t xml:space="preserve">Paquetes de software para oficinas</t>
        </is>
      </c>
      <c r="E171" s="4" t="inlineStr">
        <is>
          <t xml:space="preserve">Tecnologías de la información, telecomunicaciones y radiodifusión / Software / Software de gestión</t>
        </is>
      </c>
      <c r="F171" s="0">
        <v>1.0</v>
      </c>
      <c r="G171" s="0" t="inlineStr">
        <is>
          <t xml:space="preserve">Unidad</t>
        </is>
      </c>
      <c r="H171" s="4" t="inlineStr">
        <is>
          <t xml:space="preserve">ANEXO N°4.3 OFERTA ECONÓMICA</t>
        </is>
      </c>
    </row>
    <row r="172">
      <c r="A172" s="0" t="inlineStr">
        <is>
          <t xml:space="preserve">1375761-52-LE26</t>
        </is>
      </c>
      <c r="B172" s="4" t="inlineStr">
        <is>
          <t xml:space="preserve">LICENCIAS DE SOFTWARE PARA EL SLEP VALLE DIGUILLIN</t>
        </is>
      </c>
      <c r="C172" s="0">
        <v>4</v>
      </c>
      <c r="D172" s="4" t="inlineStr">
        <is>
          <t xml:space="preserve">Paquetes de software para oficinas</t>
        </is>
      </c>
      <c r="E172" s="4" t="inlineStr">
        <is>
          <t xml:space="preserve">Tecnologías de la información, telecomunicaciones y radiodifusión / Software / Software de gestión</t>
        </is>
      </c>
      <c r="F172" s="0">
        <v>1.0</v>
      </c>
      <c r="G172" s="0" t="inlineStr">
        <is>
          <t xml:space="preserve">Unidad</t>
        </is>
      </c>
      <c r="H172" s="4" t="inlineStr">
        <is>
          <t xml:space="preserve">ANEXO N°4.4 OFERTA ECONÓMICA</t>
        </is>
      </c>
    </row>
    <row r="173">
      <c r="A173" s="0" t="inlineStr">
        <is>
          <t xml:space="preserve">1978-81-LE26</t>
        </is>
      </c>
      <c r="B173" s="4" t="inlineStr">
        <is>
          <t xml:space="preserve">PLATAFORMA DE CAPACITACIÓN E-LEARNING CAPMAULE</t>
        </is>
      </c>
      <c r="C173" s="0">
        <v>1</v>
      </c>
      <c r="D173" s="4" t="inlineStr">
        <is>
          <t xml:space="preserve">Software de servidor de aplicaciones</t>
        </is>
      </c>
      <c r="E173" s="4" t="inlineStr">
        <is>
          <t xml:space="preserve">Tecnologías de la información, telecomunicaciones y radiodifusión / Software / Software de aplicaciones de red</t>
        </is>
      </c>
      <c r="F173" s="0">
        <v>1.0</v>
      </c>
      <c r="G173" s="0" t="inlineStr">
        <is>
          <t xml:space="preserve">Unidad</t>
        </is>
      </c>
      <c r="H173" s="4" t="inlineStr">
        <is>
          <t xml:space="preserve">Servicio de plataforma de capacitación e-learning denominada “CAPMAULE”</t>
        </is>
      </c>
    </row>
    <row r="174">
      <c r="A174" s="0" t="inlineStr">
        <is>
          <t xml:space="preserve">1606-32-LE26</t>
        </is>
      </c>
      <c r="B174" s="4" t="inlineStr">
        <is>
          <t xml:space="preserve">CONTRATACIÓN SERVICIO DE DIAGRAMACIÓN DE PIEZAS GRÁFICAS Y WEB DEL PROYECTO “FORTALECIMIENTO DE LAS CAPACIDADES DE LATINOAMÉRICA Y EL CARIBE EN MATERIA DE CIBERSEGURIDAD” FINANCIADO POR LA UNIÓN EUROPEA.</t>
        </is>
      </c>
      <c r="C174" s="0">
        <v>1</v>
      </c>
      <c r="D174" s="4" t="inlineStr">
        <is>
          <t xml:space="preserve">Diagramación</t>
        </is>
      </c>
      <c r="E174" s="4" t="inlineStr">
        <is>
          <t xml:space="preserve">Servicios editoriales, de diseño, publicidad, gráficos y artistas / Servicios de impresión y reproducción / Impresión</t>
        </is>
      </c>
      <c r="F174" s="0">
        <v>1.0</v>
      </c>
      <c r="G174" s="0" t="inlineStr">
        <is>
          <t xml:space="preserve">Unidad</t>
        </is>
      </c>
      <c r="H174" s="4" t="inlineStr">
        <is>
          <t xml:space="preserve">SERVICIO DE DIAGRAMACIÓN DE PIEZAS GRÁFICAS Y WEB:
Manual de aplicación de la línea gráfica del proyecto (incluye lineamientos para productos documentales y digitales).
Diseño visual completo del sitio web y entrega de insumos para su posterior desarrol</t>
        </is>
      </c>
    </row>
    <row r="175">
      <c r="A175" s="0" t="inlineStr">
        <is>
          <t xml:space="preserve">1607-13-LR26</t>
        </is>
      </c>
      <c r="B175" s="4" t="inlineStr">
        <is>
          <t xml:space="preserve">servicio SD-WAN LAN telefonía en la nube y enlaces</t>
        </is>
      </c>
      <c r="C175" s="0">
        <v>1</v>
      </c>
      <c r="D175" s="4" t="inlineStr">
        <is>
          <t xml:space="preserve">Diseño de redes de comunicación de cobertura amplia (WAN)</t>
        </is>
      </c>
      <c r="E175" s="4" t="inlineStr">
        <is>
          <t xml:space="preserve">Servicios basados en ingeniería, ciencias sociales y tecnología de la información / Servicios informáticos / Sistemas de información</t>
        </is>
      </c>
      <c r="F175" s="0">
        <v>1.0</v>
      </c>
      <c r="G175" s="0" t="inlineStr">
        <is>
          <t xml:space="preserve">Unidad</t>
        </is>
      </c>
      <c r="H175" s="4" t="inlineStr">
        <is>
          <t xml:space="preserve">servicios SD-WAN, LAN, telefonía en la nube y enlaces internet para la Superintendencia de Seguridad Social.</t>
        </is>
      </c>
    </row>
    <row r="176">
      <c r="A176" s="0" t="inlineStr">
        <is>
          <t xml:space="preserve">548874-79-LE26</t>
        </is>
      </c>
      <c r="B176" s="4" t="inlineStr">
        <is>
          <t xml:space="preserve">SERVICIO SOPORTE SOFTWARE INFORMIX PARA IPS</t>
        </is>
      </c>
      <c r="C176" s="0">
        <v>1</v>
      </c>
      <c r="D176" s="4" t="inlineStr">
        <is>
          <t xml:space="preserve">Software del sistema de administración de bases de datos</t>
        </is>
      </c>
      <c r="E176" s="4" t="inlineStr">
        <is>
          <t xml:space="preserve">Tecnologías de la información, telecomunicaciones y radiodifusión / Software / Software de consultas y gestión de datos</t>
        </is>
      </c>
      <c r="F176" s="0">
        <v>1.0</v>
      </c>
      <c r="G176" s="0" t="inlineStr">
        <is>
          <t xml:space="preserve">Global</t>
        </is>
      </c>
      <c r="H176" s="4" t="inlineStr">
        <is>
          <t xml:space="preserve">SERVICIO DE SOPORTE DEL SOFTWARE INFORMIX PARA EL IPS.</t>
        </is>
      </c>
    </row>
    <row r="177">
      <c r="A177" s="0" t="inlineStr">
        <is>
          <t xml:space="preserve">948354-135-LP26</t>
        </is>
      </c>
      <c r="B177" s="4" t="inlineStr">
        <is>
          <t xml:space="preserve">CONTRATACIÓN DEL SERVICIO DE ARRIENDO DE UNA CABINA SANITARIA CON EQUIPO MAMÓGRAFO PARA USO DE MAMOGRAFÍA DIGITALIZADA PORTÁTIL PARA EL HOSPITAL DIPRECA</t>
        </is>
      </c>
      <c r="C177" s="0">
        <v>1</v>
      </c>
      <c r="D177" s="4" t="inlineStr">
        <is>
          <t xml:space="preserve">Equipo para radiografías mamográficas</t>
        </is>
      </c>
      <c r="E177" s="4" t="inlineStr">
        <is>
          <t xml:space="preserve">Equipamiento y suministros médicos / Productos para imágenes y de medicina nuclear / Artículos radiográficos de diagnóstico médico</t>
        </is>
      </c>
      <c r="F177" s="0">
        <v>12.0</v>
      </c>
      <c r="G177" s="0" t="inlineStr">
        <is>
          <t xml:space="preserve">Mes</t>
        </is>
      </c>
      <c r="H177" s="4" t="inlineStr">
        <is>
          <t xml:space="preserve">Servicio de Arriendo de una Cabina Sanitaria con Equipo Mamógrafo para Uso de Mamografía Digitalizada Portátil</t>
        </is>
      </c>
    </row>
    <row r="178">
      <c r="A178" s="0" t="inlineStr">
        <is>
          <t xml:space="preserve">726931-1-LE26</t>
        </is>
      </c>
      <c r="B178" s="4" t="inlineStr">
        <is>
          <t xml:space="preserve">PLATAFORMA INTEGRAL ALUMNI Y EMPLEABILIDAD UTA</t>
        </is>
      </c>
      <c r="C178" s="0">
        <v>1</v>
      </c>
      <c r="D178" s="4" t="inlineStr">
        <is>
          <t xml:space="preserve">Software de desarrollo de plataforma Web</t>
        </is>
      </c>
      <c r="E178" s="4" t="inlineStr">
        <is>
          <t xml:space="preserve">Tecnologías de la información, telecomunicaciones y radiodifusión / Software / Programas de desarrollo</t>
        </is>
      </c>
      <c r="F178" s="0">
        <v>1.0</v>
      </c>
      <c r="G178" s="0" t="inlineStr">
        <is>
          <t xml:space="preserve">Global</t>
        </is>
      </c>
      <c r="H178" s="4" t="inlineStr">
        <is>
          <t xml:space="preserve">Adquisición de servicio de plataforma integral ALUMNI y empleabilidad para estudiantes, egresados y titulados de la Universidad de Tarapacá, por un periodo de 24 meses de duración.</t>
        </is>
      </c>
    </row>
    <row r="179">
      <c r="A179" s="0" t="inlineStr">
        <is>
          <t xml:space="preserve">1375757-29-LE26</t>
        </is>
      </c>
      <c r="B179" s="4" t="inlineStr">
        <is>
          <t xml:space="preserve">SERVICIO DE RELOJ CONTROL Y SOFTWARE DE GESTIÓN</t>
        </is>
      </c>
      <c r="C179" s="0">
        <v>1</v>
      </c>
      <c r="D179" s="4" t="inlineStr">
        <is>
          <t xml:space="preserve">Reloj de control</t>
        </is>
      </c>
      <c r="E179" s="4" t="inlineStr">
        <is>
          <t xml:space="preserve">Equipos, accesorios y suministros de oficina / Maquinarias, suministros y accesorios de oficina / Máquinas y accesorios para registro de hora y asistencia en la oficina</t>
        </is>
      </c>
      <c r="F179" s="0">
        <v>1.0</v>
      </c>
      <c r="G179" s="0" t="inlineStr">
        <is>
          <t xml:space="preserve">Global</t>
        </is>
      </c>
      <c r="H179" s="4" t="inlineStr">
        <is>
          <t xml:space="preserve">SERVICIO DE RELOJ CONTROL Y SOFTWARE DE GESTIÓN DE ASISTENCIA PARA EL SLEP PUELCHE P01-P02</t>
        </is>
      </c>
    </row>
    <row r="180">
      <c r="A180" s="0" t="inlineStr">
        <is>
          <t xml:space="preserve">3863-55-LE26</t>
        </is>
      </c>
      <c r="B180" s="4" t="inlineStr">
        <is>
          <t xml:space="preserve">ADQUISICIÓN DE LICENCIAS DE SOFTWARE POLITECNICO</t>
        </is>
      </c>
      <c r="C180" s="0">
        <v>1</v>
      </c>
      <c r="D180" s="4" t="inlineStr">
        <is>
          <t xml:space="preserve">Software de gestión de licencias</t>
        </is>
      </c>
      <c r="E180" s="4" t="inlineStr">
        <is>
          <t xml:space="preserve">Tecnologías de la información, telecomunicaciones y radiodifusión / Software / Software de gestión</t>
        </is>
      </c>
      <c r="F180" s="0">
        <v>1.0</v>
      </c>
      <c r="G180" s="0" t="inlineStr">
        <is>
          <t xml:space="preserve">Unidad no definida</t>
        </is>
      </c>
      <c r="H180" s="4" t="inlineStr">
        <is>
          <t xml:space="preserve">LINEA  N° 1 LICENCIA ADOBE ILUSTRATOR</t>
        </is>
      </c>
    </row>
    <row r="181">
      <c r="A181" s="0" t="inlineStr">
        <is>
          <t xml:space="preserve">3863-55-LE26</t>
        </is>
      </c>
      <c r="B181" s="4" t="inlineStr">
        <is>
          <t xml:space="preserve">ADQUISICIÓN DE LICENCIAS DE SOFTWARE POLITECNICO</t>
        </is>
      </c>
      <c r="C181" s="0">
        <v>2</v>
      </c>
      <c r="D181" s="4" t="inlineStr">
        <is>
          <t xml:space="preserve">Software de gestión de licencias</t>
        </is>
      </c>
      <c r="E181" s="4" t="inlineStr">
        <is>
          <t xml:space="preserve">Tecnologías de la información, telecomunicaciones y radiodifusión / Software / Software de gestión</t>
        </is>
      </c>
      <c r="F181" s="0">
        <v>1.0</v>
      </c>
      <c r="G181" s="0" t="inlineStr">
        <is>
          <t xml:space="preserve">Unidad no definida</t>
        </is>
      </c>
      <c r="H181" s="4" t="inlineStr">
        <is>
          <t xml:space="preserve">LINEA N° 2 LICENCIA MICROSOFT WINDOWS 11 PRO</t>
        </is>
      </c>
    </row>
    <row r="182">
      <c r="A182" s="0" t="inlineStr">
        <is>
          <t xml:space="preserve">3863-55-LE26</t>
        </is>
      </c>
      <c r="B182" s="4" t="inlineStr">
        <is>
          <t xml:space="preserve">ADQUISICIÓN DE LICENCIAS DE SOFTWARE POLITECNICO</t>
        </is>
      </c>
      <c r="C182" s="0">
        <v>3</v>
      </c>
      <c r="D182" s="4" t="inlineStr">
        <is>
          <t xml:space="preserve">Software de gestión de licencias</t>
        </is>
      </c>
      <c r="E182" s="4" t="inlineStr">
        <is>
          <t xml:space="preserve">Tecnologías de la información, telecomunicaciones y radiodifusión / Software / Software de gestión</t>
        </is>
      </c>
      <c r="F182" s="0">
        <v>1.0</v>
      </c>
      <c r="G182" s="0" t="inlineStr">
        <is>
          <t xml:space="preserve">Unidad no definida</t>
        </is>
      </c>
      <c r="H182" s="4" t="inlineStr">
        <is>
          <t xml:space="preserve">LINEA N° 3 LICENCIA FARONICS CLOUD DEEP FREEZE 2024</t>
        </is>
      </c>
    </row>
    <row r="183">
      <c r="A183" s="0" t="inlineStr">
        <is>
          <t xml:space="preserve">1274285-45-LP26</t>
        </is>
      </c>
      <c r="B183" s="4" t="inlineStr">
        <is>
          <t xml:space="preserve">Software de gestión Droguería Comunal</t>
        </is>
      </c>
      <c r="C183" s="0">
        <v>1</v>
      </c>
      <c r="D183" s="4" t="inlineStr">
        <is>
          <t xml:space="preserve">Software de cadena de suministro y logística de planificación de requisitos de materiales</t>
        </is>
      </c>
      <c r="E183" s="4" t="inlineStr">
        <is>
          <t xml:space="preserve">Tecnologías de la información, telecomunicaciones y radiodifusión / Software / Software de gestión</t>
        </is>
      </c>
      <c r="F183" s="0">
        <v>1.0</v>
      </c>
      <c r="G183" s="0" t="inlineStr">
        <is>
          <t xml:space="preserve">Unidad</t>
        </is>
      </c>
      <c r="H183" s="4" t="inlineStr">
        <is>
          <t xml:space="preserve">Software de cadena de suministro para droguería comunal y centros de salud de la corporación municipal de salud de San Bernardo, para las siguientes áreas: recepción, Almacenamiento, Despacho, Inventario y Reportes de gestión</t>
        </is>
      </c>
    </row>
    <row r="184">
      <c r="A184" s="0" t="inlineStr">
        <is>
          <t xml:space="preserve">3666-12-LE26</t>
        </is>
      </c>
      <c r="B184" s="4" t="inlineStr">
        <is>
          <t xml:space="preserve">GESTION DOCUMENTAL Y DIGITAL MUNICIPALIDAD TILTIL</t>
        </is>
      </c>
      <c r="C184" s="0">
        <v>1</v>
      </c>
      <c r="D184" s="4" t="inlineStr">
        <is>
          <t xml:space="preserve">Programas de gestión de documentos</t>
        </is>
      </c>
      <c r="E184" s="4" t="inlineStr">
        <is>
          <t xml:space="preserve">Tecnologías de la información, telecomunicaciones y radiodifusión / Software / Software de gestión de contenidos</t>
        </is>
      </c>
      <c r="F184" s="0">
        <v>1.0</v>
      </c>
      <c r="G184" s="0" t="inlineStr">
        <is>
          <t xml:space="preserve">Unidad</t>
        </is>
      </c>
      <c r="H184" s="4" t="inlineStr">
        <is>
          <t xml:space="preserve">Sistema de gestión documental para la Municipalidad de Tiltil que moderniza y digitaliza trámites administrativos, garantizando trazabilidad, seguridad, eficiencia y transparencia, en cumplimiento de la Ley N° 21.180 de Transformación Digital.</t>
        </is>
      </c>
    </row>
    <row r="185">
      <c r="A185" s="0" t="inlineStr">
        <is>
          <t xml:space="preserve">1020-38-LP26</t>
        </is>
      </c>
      <c r="B185" s="4" t="inlineStr">
        <is>
          <t xml:space="preserve">Adquisición de Plataforma Next Generation Firewall</t>
        </is>
      </c>
      <c r="C185" s="0">
        <v>1</v>
      </c>
      <c r="D185" s="4" t="inlineStr">
        <is>
          <t xml:space="preserve">Equipo de seguridad de red de firewall</t>
        </is>
      </c>
      <c r="E185" s="4" t="inlineStr">
        <is>
          <t xml:space="preserve">Tecnologías de la información, telecomunicaciones y radiodifusión / Equipos, plataformas y accesorios de redes multimedia, voz y datos / Equipos de seguridad de red</t>
        </is>
      </c>
      <c r="F185" s="0">
        <v>2.0</v>
      </c>
      <c r="G185" s="0" t="inlineStr">
        <is>
          <t xml:space="preserve">Unidad</t>
        </is>
      </c>
      <c r="H185" s="4" t="inlineStr">
        <is>
          <t xml:space="preserve">Equipos.</t>
        </is>
      </c>
    </row>
    <row r="186">
      <c r="A186" s="0" t="inlineStr">
        <is>
          <t xml:space="preserve">1020-38-LP26</t>
        </is>
      </c>
      <c r="B186" s="4" t="inlineStr">
        <is>
          <t xml:space="preserve">Adquisición de Plataforma Next Generation Firewall</t>
        </is>
      </c>
      <c r="C186" s="0">
        <v>2</v>
      </c>
      <c r="D186" s="4" t="inlineStr">
        <is>
          <t xml:space="preserve">Software de vigilancia de redes</t>
        </is>
      </c>
      <c r="E186" s="4" t="inlineStr">
        <is>
          <t xml:space="preserve">Tecnologías de la información, telecomunicaciones y radiodifusión / Software / Software de administración de redes</t>
        </is>
      </c>
      <c r="F186" s="0">
        <v>1.0</v>
      </c>
      <c r="G186" s="0" t="inlineStr">
        <is>
          <t xml:space="preserve">Unidad</t>
        </is>
      </c>
      <c r="H186" s="4" t="inlineStr">
        <is>
          <t xml:space="preserve">Licenciamiento de software para la Plataforma Next Generation Firewall (NGFW)</t>
        </is>
      </c>
    </row>
    <row r="187">
      <c r="A187" s="0" t="inlineStr">
        <is>
          <t xml:space="preserve">1575-15-LE26</t>
        </is>
      </c>
      <c r="B187" s="4" t="inlineStr">
        <is>
          <t xml:space="preserve">MANTENCION DE EQUIPOS INFORMATICOS</t>
        </is>
      </c>
      <c r="C187" s="0">
        <v>1</v>
      </c>
      <c r="D187" s="4" t="inlineStr">
        <is>
          <t xml:space="preserve">Fotocopiadoras</t>
        </is>
      </c>
      <c r="E187" s="4" t="inlineStr">
        <is>
          <t xml:space="preserve">Equipos, accesorios y suministros de oficina / Maquinarias, suministros y accesorios de oficina / Multicopistas, fotocopiadoras, fax y multifuncionales</t>
        </is>
      </c>
      <c r="F187" s="0">
        <v>1.0</v>
      </c>
      <c r="G187" s="0" t="inlineStr">
        <is>
          <t xml:space="preserve">Unidad</t>
        </is>
      </c>
      <c r="H187" s="4" t="inlineStr">
        <is>
          <t xml:space="preserve">“CONTRATO DE SUMINISTRO DE MANTENCION Y REPARACION DE IMPRESORAS, ESCANERS, PLOTTERS, PROYECTORES PARA JARDINES INFANTILES Y OFICINAS DE LA REGIÓN DE O´HIGGINS</t>
        </is>
      </c>
    </row>
    <row r="188">
      <c r="A188" s="0" t="inlineStr">
        <is>
          <t xml:space="preserve">3970-8-LE26</t>
        </is>
      </c>
      <c r="B188" s="4" t="inlineStr">
        <is>
          <t xml:space="preserve">01 SISTEMA DE EVIDENCIA DIGITAL Y ACCESORIOS OS9</t>
        </is>
      </c>
      <c r="C188" s="0">
        <v>1</v>
      </c>
      <c r="D188" s="4" t="inlineStr">
        <is>
          <t xml:space="preserve">Adaptadores de telefonía o hardware</t>
        </is>
      </c>
      <c r="E188" s="4" t="inlineStr">
        <is>
          <t xml:space="preserve">Tecnologías de la información, telecomunicaciones y radiodifusión / Componentes para tecnología de la información, difusión o telecomunicaciones / Módulos, interfaces, procesadores y placas de sistema</t>
        </is>
      </c>
      <c r="F188" s="0">
        <v>1.0</v>
      </c>
      <c r="G188" s="0" t="inlineStr">
        <is>
          <t xml:space="preserve">Unidad</t>
        </is>
      </c>
      <c r="H188" s="4" t="inlineStr">
        <is>
          <t xml:space="preserve">ADQUISICIÓN 01 SISTEMA DE EVIDENCIA DIGITAL Y ACCESORIOS PARA EL DEPARTAMENTO INVESTIGACIÓN DE ORGANIZACIONES CRIMINALES O.S.9</t>
        </is>
      </c>
    </row>
    <row r="189">
      <c r="A189" s="0" t="inlineStr">
        <is>
          <t xml:space="preserve">5394-22-LE26</t>
        </is>
      </c>
      <c r="B189" s="4" t="inlineStr">
        <is>
          <t xml:space="preserve">SERVICIO DE CONSULTORÍA DE CIBERSEGURIDAD UMAG</t>
        </is>
      </c>
      <c r="C189" s="0">
        <v>1</v>
      </c>
      <c r="D189" s="4" t="inlineStr">
        <is>
          <t xml:space="preserve">Asesorías Informáticas</t>
        </is>
      </c>
      <c r="E189" s="4" t="inlineStr">
        <is>
          <t xml:space="preserve">Servicios profesionales, administrativos y consultorías de gestión empresarial / Consultorías o asesorías en gestión empresarial / Servicios de consultoría en gestión de empresas</t>
        </is>
      </c>
      <c r="F189" s="0">
        <v>1.0</v>
      </c>
      <c r="G189" s="0" t="inlineStr">
        <is>
          <t xml:space="preserve">Global</t>
        </is>
      </c>
      <c r="H189" s="4" t="inlineStr">
        <is>
          <t xml:space="preserve">LINEA GLOBAL: CONTRATACIÓN DE SERVICIOS DE CONSULTORÍA DE CIBERSEGURIDAD PARA EL FORTALECIMIENTO DE LA GESTIÓN ADMINISTRATIVA Y TRANSFORMACION DIGITAL INSTITUCIONAL DE LA UNIVERSIDAD DE MAGALLANES.</t>
        </is>
      </c>
    </row>
    <row r="190">
      <c r="A190" s="0" t="inlineStr">
        <is>
          <t xml:space="preserve">1447930-11-LP26</t>
        </is>
      </c>
      <c r="B190" s="4" t="inlineStr">
        <is>
          <t xml:space="preserve">SSP - Plataforma de virtualización On Premise</t>
        </is>
      </c>
      <c r="C190" s="0">
        <v>1</v>
      </c>
      <c r="D190" s="4" t="inlineStr">
        <is>
          <t xml:space="preserve">Software de interconectividad de plataformas</t>
        </is>
      </c>
      <c r="E190" s="4" t="inlineStr">
        <is>
          <t xml:space="preserve">Tecnologías de la información, telecomunicaciones y radiodifusión / Software / Software para trabajo en redes</t>
        </is>
      </c>
      <c r="F190" s="0">
        <v>1.0</v>
      </c>
      <c r="G190" s="0" t="inlineStr">
        <is>
          <t xml:space="preserve">Unidad</t>
        </is>
      </c>
      <c r="H190" s="4" t="inlineStr">
        <is>
          <t xml:space="preserve">ADQUISICIÓN E IMPLEMENTACIÓN DE EQUIPAMIENTO, SOFTWARE, PUESTA EN MARCHA Y PASO A PRODUCCIÓN DE UNA PLATAFORMA DE VIRTUALIZACIÓN ON PREMISE PARA LA SUBSECRETARÍA DE SEGURIDAD PÚBLICA</t>
        </is>
      </c>
    </row>
    <row r="191">
      <c r="A191" s="0" t="inlineStr">
        <is>
          <t xml:space="preserve">2405-142-LE26</t>
        </is>
      </c>
      <c r="B191" s="4" t="inlineStr">
        <is>
          <t xml:space="preserve">ADQUISICIÓN DE SOFTWARE PARA RENDERIZADO 3D ANÁLISIS ESTRUCTURAL AVANZADO ANÁLISIS SÍSMICO AVANZADO E INFORMACIÓN GEOGRÁFICA</t>
        </is>
      </c>
      <c r="C191" s="0">
        <v>1</v>
      </c>
      <c r="D191" s="4" t="inlineStr">
        <is>
          <t xml:space="preserve">Software de servidor de aplicaciones</t>
        </is>
      </c>
      <c r="E191" s="4" t="inlineStr">
        <is>
          <t xml:space="preserve">Tecnologías de la información, telecomunicaciones y radiodifusión / Software / Software de aplicaciones de red</t>
        </is>
      </c>
      <c r="F191" s="0">
        <v>1.0</v>
      </c>
      <c r="G191" s="0" t="inlineStr">
        <is>
          <t xml:space="preserve">Global</t>
        </is>
      </c>
      <c r="H191" s="4" t="inlineStr">
        <is>
          <t xml:space="preserve">Software destinado a la visualización y renderizado arquitectónico en tiempo real, software de creación de imágenes y animaciones fotorrealistas para proyectos de arquitectura y diseño, modalidad anual prepago 1 año, tipo  D5 render (Graphisoft) o similar</t>
        </is>
      </c>
    </row>
    <row r="192">
      <c r="A192" s="0" t="inlineStr">
        <is>
          <t xml:space="preserve">2405-142-LE26</t>
        </is>
      </c>
      <c r="B192" s="4" t="inlineStr">
        <is>
          <t xml:space="preserve">ADQUISICIÓN DE SOFTWARE PARA RENDERIZADO 3D ANÁLISIS ESTRUCTURAL AVANZADO ANÁLISIS SÍSMICO AVANZADO E INFORMACIÓN GEOGRÁFICA</t>
        </is>
      </c>
      <c r="C192" s="0">
        <v>2</v>
      </c>
      <c r="D192" s="4" t="inlineStr">
        <is>
          <t xml:space="preserve">Software de servidor de aplicaciones</t>
        </is>
      </c>
      <c r="E192" s="4" t="inlineStr">
        <is>
          <t xml:space="preserve">Tecnologías de la información, telecomunicaciones y radiodifusión / Software / Software de aplicaciones de red</t>
        </is>
      </c>
      <c r="F192" s="0">
        <v>1.0</v>
      </c>
      <c r="G192" s="0" t="inlineStr">
        <is>
          <t xml:space="preserve">Global</t>
        </is>
      </c>
      <c r="H192" s="4" t="inlineStr">
        <is>
          <t xml:space="preserve">Software destinado a la visualización arquitectónica y renderizado en tiempo real, modalidad anual prepago 1 año, tipo Lumion Pro o similar.</t>
        </is>
      </c>
    </row>
    <row r="193">
      <c r="A193" s="0" t="inlineStr">
        <is>
          <t xml:space="preserve">2405-142-LE26</t>
        </is>
      </c>
      <c r="B193" s="4" t="inlineStr">
        <is>
          <t xml:space="preserve">ADQUISICIÓN DE SOFTWARE PARA RENDERIZADO 3D ANÁLISIS ESTRUCTURAL AVANZADO ANÁLISIS SÍSMICO AVANZADO E INFORMACIÓN GEOGRÁFICA</t>
        </is>
      </c>
      <c r="C193" s="0">
        <v>3</v>
      </c>
      <c r="D193" s="4" t="inlineStr">
        <is>
          <t xml:space="preserve">Software de servidor de aplicaciones</t>
        </is>
      </c>
      <c r="E193" s="4" t="inlineStr">
        <is>
          <t xml:space="preserve">Tecnologías de la información, telecomunicaciones y radiodifusión / Software / Software de aplicaciones de red</t>
        </is>
      </c>
      <c r="F193" s="0">
        <v>1.0</v>
      </c>
      <c r="G193" s="0" t="inlineStr">
        <is>
          <t xml:space="preserve">Global</t>
        </is>
      </c>
      <c r="H193" s="4" t="inlineStr">
        <is>
          <t xml:space="preserve">Software de análisis y diseño estructural, modalidad anual prepago 1 año, tipo SAP2000 o similar</t>
        </is>
      </c>
    </row>
    <row r="194">
      <c r="A194" s="0" t="inlineStr">
        <is>
          <t xml:space="preserve">2405-142-LE26</t>
        </is>
      </c>
      <c r="B194" s="4" t="inlineStr">
        <is>
          <t xml:space="preserve">ADQUISICIÓN DE SOFTWARE PARA RENDERIZADO 3D ANÁLISIS ESTRUCTURAL AVANZADO ANÁLISIS SÍSMICO AVANZADO E INFORMACIÓN GEOGRÁFICA</t>
        </is>
      </c>
      <c r="C194" s="0">
        <v>4</v>
      </c>
      <c r="D194" s="4" t="inlineStr">
        <is>
          <t xml:space="preserve">Software de servidor de aplicaciones</t>
        </is>
      </c>
      <c r="E194" s="4" t="inlineStr">
        <is>
          <t xml:space="preserve">Tecnologías de la información, telecomunicaciones y radiodifusión / Software / Software de aplicaciones de red</t>
        </is>
      </c>
      <c r="F194" s="0">
        <v>1.0</v>
      </c>
      <c r="G194" s="0" t="inlineStr">
        <is>
          <t xml:space="preserve">Global</t>
        </is>
      </c>
      <c r="H194" s="4" t="inlineStr">
        <is>
          <t xml:space="preserve">Software de análisis y diseño estructural, modalidad anual prepago 1 año, tipo ETABS 21 o similar</t>
        </is>
      </c>
    </row>
    <row r="195">
      <c r="A195" s="0" t="inlineStr">
        <is>
          <t xml:space="preserve">3269-10-LP26</t>
        </is>
      </c>
      <c r="B195" s="4" t="inlineStr">
        <is>
          <t xml:space="preserve">S.A. 68 SOPORTE Y MANTTO PLATAFORMA DATOS QUMULO</t>
        </is>
      </c>
      <c r="C195" s="0">
        <v>1</v>
      </c>
      <c r="D195" s="4" t="inlineStr">
        <is>
          <t xml:space="preserve">Servicios de almacenamiento de datos</t>
        </is>
      </c>
      <c r="E195" s="4" t="inlineStr">
        <is>
          <t xml:space="preserve">Servicios basados en ingeniería, ciencias sociales y tecnología de la información / Servicios informáticos / Servicios de datos</t>
        </is>
      </c>
      <c r="F195" s="0">
        <v>1.0</v>
      </c>
      <c r="G195" s="0" t="inlineStr">
        <is>
          <t xml:space="preserve">Unidad</t>
        </is>
      </c>
      <c r="H195" s="4" t="inlineStr">
        <is>
          <t xml:space="preserve">SERVICIO DE SOPORTE, MANTENCIÓN PREVENTIVA, CORRECTIVA PARA PLATAFORMA DE PROCESAMIENTO Y ALMACENAMIENTO DE DATOS QUMULO, HARDWARE Y SOFTWARE.</t>
        </is>
      </c>
    </row>
    <row r="196">
      <c r="A196" s="0" t="inlineStr">
        <is>
          <t xml:space="preserve">1057489-285-LP26</t>
        </is>
      </c>
      <c r="B196" s="4" t="inlineStr">
        <is>
          <t xml:space="preserve">Arriendo de Huelleros digitales y Pistola Escáner</t>
        </is>
      </c>
      <c r="C196" s="0">
        <v>1</v>
      </c>
      <c r="D196" s="4" t="inlineStr">
        <is>
          <t xml:space="preserve">Equipo de lector de código de barras</t>
        </is>
      </c>
      <c r="E196" s="4" t="inlineStr">
        <is>
          <t xml:space="preserve">Tecnologías de la información, telecomunicaciones y radiodifusión / Equipos informáticos y accesorios / Dispositivos informáticos de entrada de datos</t>
        </is>
      </c>
      <c r="F196" s="0">
        <v>1.0</v>
      </c>
      <c r="G196" s="0" t="inlineStr">
        <is>
          <t xml:space="preserve">Unidad</t>
        </is>
      </c>
      <c r="H196" s="4" t="inlineStr">
        <is>
          <t xml:space="preserve">Arriendo de Huelleros digitales y Pistola Escáner, Lector Códigos de Barras</t>
        </is>
      </c>
    </row>
    <row r="197">
      <c r="A197" s="0" t="inlineStr">
        <is>
          <t xml:space="preserve">548874-72-LR26</t>
        </is>
      </c>
      <c r="B197" s="4" t="inlineStr">
        <is>
          <t xml:space="preserve">SERV. DE ADMINISTRACION PLATAFORMAS TECNOLOGICAS</t>
        </is>
      </c>
      <c r="C197" s="0">
        <v>1</v>
      </c>
      <c r="D197" s="4" t="inlineStr">
        <is>
          <t xml:space="preserve">Software del sistema de administración de bases de datos</t>
        </is>
      </c>
      <c r="E197" s="4" t="inlineStr">
        <is>
          <t xml:space="preserve">Tecnologías de la información, telecomunicaciones y radiodifusión / Software / Software de consultas y gestión de datos</t>
        </is>
      </c>
      <c r="F197" s="0">
        <v>1.0</v>
      </c>
      <c r="G197" s="0" t="inlineStr">
        <is>
          <t xml:space="preserve">Global</t>
        </is>
      </c>
      <c r="H197" s="4" t="inlineStr">
        <is>
          <t xml:space="preserve">SERVICIO DE
ADMINISTRACION,
GESTION,
CONFIGURACION,
RESPALDOS Y
MANTENCION DE LAS
PLATAFORMAS
TECNOLOGICAS DE
IPS</t>
        </is>
      </c>
    </row>
    <row r="198">
      <c r="A198" s="0" t="inlineStr">
        <is>
          <t xml:space="preserve">5482-103-LP26</t>
        </is>
      </c>
      <c r="B198" s="4" t="inlineStr">
        <is>
          <t xml:space="preserve">PLATAFORMA DE GESTIÓN TERRITORIAL Y DE RENTAS</t>
        </is>
      </c>
      <c r="C198" s="0">
        <v>1</v>
      </c>
      <c r="D198" s="4" t="inlineStr">
        <is>
          <t xml:space="preserve">Software de desarrollo de plataforma Web</t>
        </is>
      </c>
      <c r="E198" s="4" t="inlineStr">
        <is>
          <t xml:space="preserve">Tecnologías de la información, telecomunicaciones y radiodifusión / Software / Programas de desarrollo</t>
        </is>
      </c>
      <c r="F198" s="0">
        <v>30.0</v>
      </c>
      <c r="G198" s="0" t="inlineStr">
        <is>
          <t xml:space="preserve">Mes</t>
        </is>
      </c>
      <c r="H198" s="4" t="inlineStr">
        <is>
          <t xml:space="preserve">Contratación de plataforma de gestión territorial y de rentas.</t>
        </is>
      </c>
    </row>
    <row r="199">
      <c r="A199" s="0" t="inlineStr">
        <is>
          <t xml:space="preserve">721703-40-LP26</t>
        </is>
      </c>
      <c r="B199" s="4" t="inlineStr">
        <is>
          <t xml:space="preserve">Diagramación ilustración y digitalización SNE y DIA 2027</t>
        </is>
      </c>
      <c r="C199" s="0">
        <v>1</v>
      </c>
      <c r="D199" s="4" t="inlineStr">
        <is>
          <t xml:space="preserve">Diagramación</t>
        </is>
      </c>
      <c r="E199" s="4" t="inlineStr">
        <is>
          <t xml:space="preserve">Servicios editoriales, de diseño, publicidad, gráficos y artistas / Servicios de impresión y reproducción / Impresión</t>
        </is>
      </c>
      <c r="F199" s="0">
        <v>1.0</v>
      </c>
      <c r="G199" s="0" t="inlineStr">
        <is>
          <t xml:space="preserve">Global</t>
        </is>
      </c>
      <c r="H199" s="4" t="inlineStr">
        <is>
          <t xml:space="preserve">Diagramación, ilustración y digitalización del Sistema Nacional de Evaluaciones y Diagnóstico Integral de Aprendizajes 2027.</t>
        </is>
      </c>
    </row>
    <row r="200">
      <c r="A200" s="0" t="inlineStr">
        <is>
          <t xml:space="preserve">5413-72-LP26</t>
        </is>
      </c>
      <c r="B200" s="4" t="inlineStr">
        <is>
          <t xml:space="preserve">Cámaras digitales y lentes de cámara. Proyecto RED</t>
        </is>
      </c>
      <c r="C200" s="0">
        <v>1</v>
      </c>
      <c r="D200" s="4" t="inlineStr">
        <is>
          <t xml:space="preserve">Videocámaras portátiles</t>
        </is>
      </c>
      <c r="E200" s="4" t="inlineStr">
        <is>
          <t xml:space="preserve">Equipos y suministros de imprenta, fotográficos y audiovisuales / Equipos de video, filmación o fotografía / Cámaras</t>
        </is>
      </c>
      <c r="F200" s="0">
        <v>19.0</v>
      </c>
      <c r="G200" s="0" t="inlineStr">
        <is>
          <t xml:space="preserve">Unidad</t>
        </is>
      </c>
      <c r="H200" s="4" t="inlineStr">
        <is>
          <t xml:space="preserve">Cámara de Cine Digital Portátil Profesional o equipo técnicamente equivalentes con las siguientes características</t>
        </is>
      </c>
    </row>
    <row r="201">
      <c r="A201" s="0" t="inlineStr">
        <is>
          <t xml:space="preserve">5413-72-LP26</t>
        </is>
      </c>
      <c r="B201" s="4" t="inlineStr">
        <is>
          <t xml:space="preserve">Cámaras digitales y lentes de cámara. Proyecto RED</t>
        </is>
      </c>
      <c r="C201" s="0">
        <v>2</v>
      </c>
      <c r="D201" s="4" t="inlineStr">
        <is>
          <t xml:space="preserve">Videocámaras portátiles</t>
        </is>
      </c>
      <c r="E201" s="4" t="inlineStr">
        <is>
          <t xml:space="preserve">Equipos y suministros de imprenta, fotográficos y audiovisuales / Equipos de video, filmación o fotografía / Cámaras</t>
        </is>
      </c>
      <c r="F201" s="0">
        <v>19.0</v>
      </c>
      <c r="G201" s="0" t="inlineStr">
        <is>
          <t xml:space="preserve">Unidad</t>
        </is>
      </c>
      <c r="H201" s="4" t="inlineStr">
        <is>
          <t xml:space="preserve">Lente Zoom Estándar de Serie Profesional o equipo técnicamente equivalentes con las siguientes características</t>
        </is>
      </c>
    </row>
    <row r="202">
      <c r="A202" s="0" t="inlineStr">
        <is>
          <t xml:space="preserve">609-28-LE26</t>
        </is>
      </c>
      <c r="B202" s="4" t="inlineStr">
        <is>
          <t xml:space="preserve">Adquisición de licencias prevención de datos</t>
        </is>
      </c>
      <c r="C202" s="0">
        <v>1</v>
      </c>
      <c r="D202" s="4" t="inlineStr">
        <is>
          <t xml:space="preserve">Software de gestión de licencias</t>
        </is>
      </c>
      <c r="E202" s="4" t="inlineStr">
        <is>
          <t xml:space="preserve">Tecnologías de la información, telecomunicaciones y radiodifusión / Software / Software de gestión</t>
        </is>
      </c>
      <c r="F202" s="0">
        <v>1.0</v>
      </c>
      <c r="G202" s="0" t="inlineStr">
        <is>
          <t xml:space="preserve">Unidad</t>
        </is>
      </c>
      <c r="H202" s="4" t="inlineStr">
        <is>
          <t xml:space="preserve">ADQUISICIÓN DE LICENCIAS PARA LA AUTENTIFICACIÓN DE DOBLE FACTOR Y PREVENCIÓN DE PÉRDIDA DE DATOS</t>
        </is>
      </c>
    </row>
    <row r="203">
      <c r="A203" s="0" t="inlineStr">
        <is>
          <t xml:space="preserve">591-26-LP26</t>
        </is>
      </c>
      <c r="B203" s="4" t="inlineStr">
        <is>
          <t xml:space="preserve">PLATAFORMA DE OBSERVABILIDAD AVANZADA MULTICLOUD PARA FONASA.</t>
        </is>
      </c>
      <c r="C203" s="0">
        <v>1</v>
      </c>
      <c r="D203" s="4" t="inlineStr">
        <is>
          <t xml:space="preserve">Software de gestión de licencias</t>
        </is>
      </c>
      <c r="E203" s="4" t="inlineStr">
        <is>
          <t xml:space="preserve">Tecnologías de la información, telecomunicaciones y radiodifusión / Software / Software de gestión</t>
        </is>
      </c>
      <c r="F203" s="0">
        <v>1.0</v>
      </c>
      <c r="G203" s="0" t="inlineStr">
        <is>
          <t xml:space="preserve">Unidad</t>
        </is>
      </c>
      <c r="H203" s="4" t="inlineStr">
        <is>
          <t xml:space="preserve">FONASA requiere fortalecer sus capacidades de monitoreo y diagnóstico de sus plataformas críticas. Actualmente, opera bajo un modelo de Nube Híbrida y Multicloud, con servicios desplegados en Amazon Web Services (AWS), Oracle Cloud Infrastructure (OCI) y</t>
        </is>
      </c>
    </row>
    <row r="204">
      <c r="A204" s="0" t="inlineStr">
        <is>
          <t xml:space="preserve">885-84-LE26</t>
        </is>
      </c>
      <c r="B204" s="4" t="inlineStr">
        <is>
          <t xml:space="preserve">Soporte mantención y monitoreo plataforma legacy IBM Spectrum para la Contraloría General de la República</t>
        </is>
      </c>
      <c r="C204" s="0">
        <v>1</v>
      </c>
      <c r="D204" s="4" t="inlineStr">
        <is>
          <t xml:space="preserve">Mantenimiento y soporte de hardware</t>
        </is>
      </c>
      <c r="E204" s="4" t="inlineStr">
        <is>
          <t xml:space="preserve">Servicios basados en ingeniería, ciencias sociales y tecnología de la información / Servicios informáticos / Administración de sistemas</t>
        </is>
      </c>
      <c r="F204" s="0">
        <v>1.0</v>
      </c>
      <c r="G204" s="0" t="inlineStr">
        <is>
          <t xml:space="preserve">Global</t>
        </is>
      </c>
      <c r="H204" s="4" t="inlineStr">
        <is>
          <t xml:space="preserve">Servicio de soporte, mantención y monitoreo de la plataforma legacy IBM Spectrum, por un periodo de 12 meses.</t>
        </is>
      </c>
    </row>
    <row r="205">
      <c r="A205" s="0" t="inlineStr">
        <is>
          <t xml:space="preserve">4051-16-LP26</t>
        </is>
      </c>
      <c r="B205" s="4" t="inlineStr">
        <is>
          <t xml:space="preserve">SERVICIO ADMINISTRADO DE INTERNET RED DE DATOS Y</t>
        </is>
      </c>
      <c r="C205" s="0">
        <v>1</v>
      </c>
      <c r="D205" s="4" t="inlineStr">
        <is>
          <t xml:space="preserve">Proveedores de servicio de Internet (ISP)</t>
        </is>
      </c>
      <c r="E205" s="4" t="inlineStr">
        <is>
          <t xml:space="preserve">Servicios basados en ingeniería, ciencias sociales y tecnología de la información / Servicios informáticos / Servicios para internet</t>
        </is>
      </c>
      <c r="F205" s="0">
        <v>1.0</v>
      </c>
      <c r="G205" s="0" t="inlineStr">
        <is>
          <t xml:space="preserve">Unidad</t>
        </is>
      </c>
      <c r="H205" s="4" t="inlineStr">
        <is>
          <t xml:space="preserve">El Municipio requiere contratar el Servicio Administrado de Internet, Red de Datos y Telefonía IP para la Ilustre Municipalidad de Ollagüe y que implica la ejecución de diseños preliminares, adquisición de materiales, instalación, montaje, configuración y</t>
        </is>
      </c>
    </row>
    <row r="206">
      <c r="A206" s="0" t="inlineStr">
        <is>
          <t xml:space="preserve">1551861-2-LE26</t>
        </is>
      </c>
      <c r="B206" s="4" t="inlineStr">
        <is>
          <t xml:space="preserve">Equipamiento TI accesorios y software para ESJ VI</t>
        </is>
      </c>
      <c r="C206" s="0">
        <v>1</v>
      </c>
      <c r="D206" s="4" t="inlineStr">
        <is>
          <t xml:space="preserve">Software de diseño asistido por computador (CAD)</t>
        </is>
      </c>
      <c r="E206" s="4" t="inlineStr">
        <is>
          <t xml:space="preserve">Tecnologías de la información, telecomunicaciones y radiodifusión / Software / Software específico para la industria</t>
        </is>
      </c>
      <c r="F206" s="0">
        <v>1.0</v>
      </c>
      <c r="G206" s="0" t="inlineStr">
        <is>
          <t xml:space="preserve">Unidad</t>
        </is>
      </c>
      <c r="H206" s="4" t="inlineStr">
        <is>
          <t xml:space="preserve">Software de diseño CAD (3 licencias)</t>
        </is>
      </c>
    </row>
    <row r="207">
      <c r="A207" s="0" t="inlineStr">
        <is>
          <t xml:space="preserve">1551861-2-LE26</t>
        </is>
      </c>
      <c r="B207" s="4" t="inlineStr">
        <is>
          <t xml:space="preserve">Equipamiento TI accesorios y software para ESJ VI</t>
        </is>
      </c>
      <c r="C207" s="0">
        <v>2</v>
      </c>
      <c r="D207" s="4" t="inlineStr">
        <is>
          <t xml:space="preserve">Trazadoras de gráficos</t>
        </is>
      </c>
      <c r="E207" s="4" t="inlineStr">
        <is>
          <t xml:space="preserve">Tecnologías de la información, telecomunicaciones y radiodifusión / Equipos informáticos y accesorios / Impresoras</t>
        </is>
      </c>
      <c r="F207" s="0">
        <v>1.0</v>
      </c>
      <c r="G207" s="0" t="inlineStr">
        <is>
          <t xml:space="preserve">Unidad</t>
        </is>
      </c>
      <c r="H207" s="4" t="inlineStr">
        <is>
          <t xml:space="preserve">Equipos de impresión y digitalización profesional (70 unidades):
PLOTTER (1)
ESCÁNER DE ESCRITORIO (20)
IMPRESORA MULTIFUNCIÓN MONOCROMÁTICA (25)
IMPRESORA MONOCROMÁTICA (20)
IMPRESORA MULTIFUNCIÓN COLOR (4)</t>
        </is>
      </c>
    </row>
    <row r="208">
      <c r="A208" s="0" t="inlineStr">
        <is>
          <t xml:space="preserve">1551861-2-LE26</t>
        </is>
      </c>
      <c r="B208" s="4" t="inlineStr">
        <is>
          <t xml:space="preserve">Equipamiento TI accesorios y software para ESJ VI</t>
        </is>
      </c>
      <c r="C208" s="0">
        <v>3</v>
      </c>
      <c r="D208" s="4" t="inlineStr">
        <is>
          <t xml:space="preserve">Kit de herramienta para computadores</t>
        </is>
      </c>
      <c r="E208" s="4" t="inlineStr">
        <is>
          <t xml:space="preserve">Herramientas y maquinaria en general / Herramientas manuales / Juegos de herramientas</t>
        </is>
      </c>
      <c r="F208" s="0">
        <v>1.0</v>
      </c>
      <c r="G208" s="0" t="inlineStr">
        <is>
          <t xml:space="preserve">Unidad</t>
        </is>
      </c>
      <c r="H208" s="4" t="inlineStr">
        <is>
          <t xml:space="preserve">Equipamiento computacional (870 unidades):
TECLADO / MOUSE (161)
PARLANTE (89)
AUDÍFONO (155)
MOUSE PAD (155)
WEB CAM (155)
APOYA MUÑECAS (155)</t>
        </is>
      </c>
    </row>
    <row r="209">
      <c r="A209" s="0" t="inlineStr">
        <is>
          <t xml:space="preserve">1551861-2-LE26</t>
        </is>
      </c>
      <c r="B209" s="4" t="inlineStr">
        <is>
          <t xml:space="preserve">Equipamiento TI accesorios y software para ESJ VI</t>
        </is>
      </c>
      <c r="C209" s="0">
        <v>4</v>
      </c>
      <c r="D209" s="4" t="inlineStr">
        <is>
          <t xml:space="preserve">Impresoras de chorro de tinta</t>
        </is>
      </c>
      <c r="E209" s="4" t="inlineStr">
        <is>
          <t xml:space="preserve">Tecnologías de la información, telecomunicaciones y radiodifusión / Equipos informáticos y accesorios / Impresoras</t>
        </is>
      </c>
      <c r="F209" s="0">
        <v>1.0</v>
      </c>
      <c r="G209" s="0" t="inlineStr">
        <is>
          <t xml:space="preserve">Unidad</t>
        </is>
      </c>
      <c r="H209" s="4" t="inlineStr">
        <is>
          <t xml:space="preserve">Equipamiento móvil y terreno (2 unidades):
IMPRESORA PORTÁTIL (1)
ESCÁNER PORTÁTIL (1)</t>
        </is>
      </c>
    </row>
    <row r="210">
      <c r="A210" s="0" t="inlineStr">
        <is>
          <t xml:space="preserve">1002592-6-LP26</t>
        </is>
      </c>
      <c r="B210" s="4" t="inlineStr">
        <is>
          <t xml:space="preserve">Servicio integral de Cloud Computing con Hosting</t>
        </is>
      </c>
      <c r="C210" s="0">
        <v>1</v>
      </c>
      <c r="D210" s="4" t="inlineStr">
        <is>
          <t xml:space="preserve">Web Hosting</t>
        </is>
      </c>
      <c r="E210" s="4" t="inlineStr">
        <is>
          <t xml:space="preserve">Servicios basados en ingeniería, ciencias sociales y tecnología de la información / Servicios informáticos / Servicios para internet</t>
        </is>
      </c>
      <c r="F210" s="0">
        <v>1.0</v>
      </c>
      <c r="G210" s="0" t="inlineStr">
        <is>
          <t xml:space="preserve">Unidad</t>
        </is>
      </c>
      <c r="H210" s="4" t="inlineStr">
        <is>
          <t xml:space="preserve">Servicio integral de Cloud Computing con Alojamiento (Hosting), servidor físico ON premise y soporte técnico para el Servicio Local de Educación Pública Barrancas.
El contrato se desarrollará bajo la modalidad de servicio administrado, por un período de</t>
        </is>
      </c>
    </row>
    <row r="211">
      <c r="A211" s="0" t="inlineStr">
        <is>
          <t xml:space="preserve">4295-67-LP26</t>
        </is>
      </c>
      <c r="B211" s="4" t="inlineStr">
        <is>
          <t xml:space="preserve">Servicio de enlace de datos voz IP y CCTV para oficinas remotas</t>
        </is>
      </c>
      <c r="C211" s="0">
        <v>1</v>
      </c>
      <c r="D211" s="4" t="inlineStr">
        <is>
          <t xml:space="preserve">Servicio de redes para mejorar la señal de telecomunicaciones</t>
        </is>
      </c>
      <c r="E211" s="4" t="inlineStr">
        <is>
          <t xml:space="preserve">Servicios básicos y de información pública / Telecomunicaciones / Comunicaciones móviles</t>
        </is>
      </c>
      <c r="F211" s="0">
        <v>1.0</v>
      </c>
      <c r="G211" s="0" t="inlineStr">
        <is>
          <t xml:space="preserve">Unidad</t>
        </is>
      </c>
      <c r="H211" s="4" t="inlineStr">
        <is>
          <t xml:space="preserve">De acuerdo a especificaciones técnicas</t>
        </is>
      </c>
    </row>
    <row r="212">
      <c r="A212" s="0" t="inlineStr">
        <is>
          <t xml:space="preserve">673663-31-LE26</t>
        </is>
      </c>
      <c r="B212" s="4" t="inlineStr">
        <is>
          <t xml:space="preserve">ADQUISICIÓN DE PANTALLA LED EXTERIOR Y TRES TOTEM</t>
        </is>
      </c>
      <c r="C212" s="0">
        <v>1</v>
      </c>
      <c r="D212" s="4" t="inlineStr">
        <is>
          <t xml:space="preserve">Monitores de pantalla táctil</t>
        </is>
      </c>
      <c r="E212" s="4" t="inlineStr">
        <is>
          <t xml:space="preserve">Tecnologías de la información, telecomunicaciones y radiodifusión / Equipos informáticos y accesorios / Pantallas o monitores de computador</t>
        </is>
      </c>
      <c r="F212" s="0">
        <v>1.0</v>
      </c>
      <c r="G212" s="0" t="inlineStr">
        <is>
          <t xml:space="preserve">Global</t>
        </is>
      </c>
      <c r="H212" s="4" t="inlineStr">
        <is>
          <t xml:space="preserve">ADQUISICIÓN DE PANTALLA LED EXTERIOR Y TRES TOTEM PUBLICITARIOS LED</t>
        </is>
      </c>
    </row>
    <row r="213">
      <c r="A213" s="0" t="inlineStr">
        <is>
          <t xml:space="preserve">1057539-138-LP26</t>
        </is>
      </c>
      <c r="B213" s="4" t="inlineStr">
        <is>
          <t xml:space="preserve">SERVICIOS PROFESIONALES PERSONAL APOYO INFORMATICA</t>
        </is>
      </c>
      <c r="C213" s="0">
        <v>1</v>
      </c>
      <c r="D213" s="4" t="inlineStr">
        <is>
          <t xml:space="preserve">Profesionales</t>
        </is>
      </c>
      <c r="E213" s="4" t="inlineStr">
        <is>
          <t xml:space="preserve">Servicios profesionales, administrativos y consultorías de gestión empresarial / Servicios de recursos humanos / Contratación de personal</t>
        </is>
      </c>
      <c r="F213" s="0">
        <v>1.0</v>
      </c>
      <c r="G213" s="0" t="inlineStr">
        <is>
          <t xml:space="preserve">Unidad</t>
        </is>
      </c>
      <c r="H213" s="4" t="inlineStr">
        <is>
          <t xml:space="preserve">SERVICIOS PROFESIONALES PERSONAL APOYO INFORMATICA, HOSPITAL DE PUERTO MONTT x 12 meses</t>
        </is>
      </c>
    </row>
    <row r="214">
      <c r="A214" s="0" t="inlineStr">
        <is>
          <t xml:space="preserve">858-69-LP26</t>
        </is>
      </c>
      <c r="B214" s="4" t="inlineStr">
        <is>
          <t xml:space="preserve">RENOVACIÓN Y ADQUISICIÓN LICENCIAS DE INFORMÁTICA</t>
        </is>
      </c>
      <c r="C214" s="0">
        <v>1</v>
      </c>
      <c r="D214" s="4" t="inlineStr">
        <is>
          <t xml:space="preserve">Software de diseño de patrones</t>
        </is>
      </c>
      <c r="E214" s="4" t="inlineStr">
        <is>
          <t xml:space="preserve">Tecnologías de la información, telecomunicaciones y radiodifusión / Software / Software de edición y creación de contenidos</t>
        </is>
      </c>
      <c r="F214" s="0">
        <v>1.0</v>
      </c>
      <c r="G214" s="0" t="inlineStr">
        <is>
          <t xml:space="preserve">Unidad no definida</t>
        </is>
      </c>
      <c r="H214" s="4" t="inlineStr">
        <is>
          <t xml:space="preserve">Renovación Licencia suscripción anual Architecture Engineering &amp; Construction Collection (Contrato 110002429228 que expira el 08-01-2027)</t>
        </is>
      </c>
    </row>
    <row r="215">
      <c r="A215" s="0" t="inlineStr">
        <is>
          <t xml:space="preserve">858-69-LP26</t>
        </is>
      </c>
      <c r="B215" s="4" t="inlineStr">
        <is>
          <t xml:space="preserve">RENOVACIÓN Y ADQUISICIÓN LICENCIAS DE INFORMÁTICA</t>
        </is>
      </c>
      <c r="C215" s="0">
        <v>2</v>
      </c>
      <c r="D215" s="4" t="inlineStr">
        <is>
          <t xml:space="preserve">Software de diseño de patrones</t>
        </is>
      </c>
      <c r="E215" s="4" t="inlineStr">
        <is>
          <t xml:space="preserve">Tecnologías de la información, telecomunicaciones y radiodifusión / Software / Software de edición y creación de contenidos</t>
        </is>
      </c>
      <c r="F215" s="0">
        <v>1.0</v>
      </c>
      <c r="G215" s="0" t="inlineStr">
        <is>
          <t xml:space="preserve">Unidad no definida</t>
        </is>
      </c>
      <c r="H215" s="4" t="inlineStr">
        <is>
          <t xml:space="preserve">Renovación Licencia suscripción anual Architecture Engineering &amp; Construction Collection (Contrato 110002891662 que expira el 10-12-2026)</t>
        </is>
      </c>
    </row>
    <row r="216">
      <c r="A216" s="0" t="inlineStr">
        <is>
          <t xml:space="preserve">858-69-LP26</t>
        </is>
      </c>
      <c r="B216" s="4" t="inlineStr">
        <is>
          <t xml:space="preserve">RENOVACIÓN Y ADQUISICIÓN LICENCIAS DE INFORMÁTICA</t>
        </is>
      </c>
      <c r="C216" s="0">
        <v>3</v>
      </c>
      <c r="D216" s="4" t="inlineStr">
        <is>
          <t xml:space="preserve">Software de diseño de patrones</t>
        </is>
      </c>
      <c r="E216" s="4" t="inlineStr">
        <is>
          <t xml:space="preserve">Tecnologías de la información, telecomunicaciones y radiodifusión / Software / Software de edición y creación de contenidos</t>
        </is>
      </c>
      <c r="F216" s="0">
        <v>1.0</v>
      </c>
      <c r="G216" s="0" t="inlineStr">
        <is>
          <t xml:space="preserve">Unidad no definida</t>
        </is>
      </c>
      <c r="H216" s="4" t="inlineStr">
        <is>
          <t xml:space="preserve">Renovación Licencia suscripción anual Architecture Engineering &amp; Construction Collection (Contrato 110004918552 que expira el 03-12-2026)</t>
        </is>
      </c>
    </row>
    <row r="217">
      <c r="A217" s="0" t="inlineStr">
        <is>
          <t xml:space="preserve">858-69-LP26</t>
        </is>
      </c>
      <c r="B217" s="4" t="inlineStr">
        <is>
          <t xml:space="preserve">RENOVACIÓN Y ADQUISICIÓN LICENCIAS DE INFORMÁTICA</t>
        </is>
      </c>
      <c r="C217" s="0">
        <v>4</v>
      </c>
      <c r="D217" s="4" t="inlineStr">
        <is>
          <t xml:space="preserve">Software de diseño de patrones</t>
        </is>
      </c>
      <c r="E217" s="4" t="inlineStr">
        <is>
          <t xml:space="preserve">Tecnologías de la información, telecomunicaciones y radiodifusión / Software / Software de edición y creación de contenidos</t>
        </is>
      </c>
      <c r="F217" s="0">
        <v>1.0</v>
      </c>
      <c r="G217" s="0" t="inlineStr">
        <is>
          <t xml:space="preserve">Unidad no definida</t>
        </is>
      </c>
      <c r="H217" s="4" t="inlineStr">
        <is>
          <t xml:space="preserve">Renovación Licencia suscripción anual AutoCAD - including specialized toolsets (Contrato 110002429228 que expira el 08-01-2027)</t>
        </is>
      </c>
    </row>
    <row r="218">
      <c r="A218" s="0" t="inlineStr">
        <is>
          <t xml:space="preserve">858-69-LP26</t>
        </is>
      </c>
      <c r="B218" s="4" t="inlineStr">
        <is>
          <t xml:space="preserve">RENOVACIÓN Y ADQUISICIÓN LICENCIAS DE INFORMÁTICA</t>
        </is>
      </c>
      <c r="C218" s="0">
        <v>5</v>
      </c>
      <c r="D218" s="4" t="inlineStr">
        <is>
          <t xml:space="preserve">Software de diseño de patrones</t>
        </is>
      </c>
      <c r="E218" s="4" t="inlineStr">
        <is>
          <t xml:space="preserve">Tecnologías de la información, telecomunicaciones y radiodifusión / Software / Software de edición y creación de contenidos</t>
        </is>
      </c>
      <c r="F218" s="0">
        <v>1.0</v>
      </c>
      <c r="G218" s="0" t="inlineStr">
        <is>
          <t xml:space="preserve">Unidad no definida</t>
        </is>
      </c>
      <c r="H218" s="4" t="inlineStr">
        <is>
          <t xml:space="preserve">Renovación Licencia suscripción anual AutoCAD - including specialized toolsets (Contrato 110002891662 que expira el 10-12-2026)</t>
        </is>
      </c>
    </row>
    <row r="219">
      <c r="A219" s="0" t="inlineStr">
        <is>
          <t xml:space="preserve">858-69-LP26</t>
        </is>
      </c>
      <c r="B219" s="4" t="inlineStr">
        <is>
          <t xml:space="preserve">RENOVACIÓN Y ADQUISICIÓN LICENCIAS DE INFORMÁTICA</t>
        </is>
      </c>
      <c r="C219" s="0">
        <v>6</v>
      </c>
      <c r="D219" s="4" t="inlineStr">
        <is>
          <t xml:space="preserve">Software de diseño de patrones</t>
        </is>
      </c>
      <c r="E219" s="4" t="inlineStr">
        <is>
          <t xml:space="preserve">Tecnologías de la información, telecomunicaciones y radiodifusión / Software / Software de edición y creación de contenidos</t>
        </is>
      </c>
      <c r="F219" s="0">
        <v>1.0</v>
      </c>
      <c r="G219" s="0" t="inlineStr">
        <is>
          <t xml:space="preserve">Unidad no definida</t>
        </is>
      </c>
      <c r="H219" s="4" t="inlineStr">
        <is>
          <t xml:space="preserve">Renovación Licencia suscripción anual AutoCAD - including specialized toolsets (Contrato 110002891645 que expira el 10-12-2026)</t>
        </is>
      </c>
    </row>
    <row r="220">
      <c r="A220" s="0" t="inlineStr">
        <is>
          <t xml:space="preserve">858-69-LP26</t>
        </is>
      </c>
      <c r="B220" s="4" t="inlineStr">
        <is>
          <t xml:space="preserve">RENOVACIÓN Y ADQUISICIÓN LICENCIAS DE INFORMÁTICA</t>
        </is>
      </c>
      <c r="C220" s="0">
        <v>7</v>
      </c>
      <c r="D220" s="4" t="inlineStr">
        <is>
          <t xml:space="preserve">Software de diseño de patrones</t>
        </is>
      </c>
      <c r="E220" s="4" t="inlineStr">
        <is>
          <t xml:space="preserve">Tecnologías de la información, telecomunicaciones y radiodifusión / Software / Software de edición y creación de contenidos</t>
        </is>
      </c>
      <c r="F220" s="0">
        <v>1.0</v>
      </c>
      <c r="G220" s="0" t="inlineStr">
        <is>
          <t xml:space="preserve">Unidad no definida</t>
        </is>
      </c>
      <c r="H220" s="4" t="inlineStr">
        <is>
          <t xml:space="preserve">Renovación Licencia suscripción anual AutoCAD - including specialized toolsets (Contrato 110002891662 que expira el 10-12-2026)</t>
        </is>
      </c>
    </row>
    <row r="221">
      <c r="A221" s="0" t="inlineStr">
        <is>
          <t xml:space="preserve">858-69-LP26</t>
        </is>
      </c>
      <c r="B221" s="4" t="inlineStr">
        <is>
          <t xml:space="preserve">RENOVACIÓN Y ADQUISICIÓN LICENCIAS DE INFORMÁTICA</t>
        </is>
      </c>
      <c r="C221" s="0">
        <v>8</v>
      </c>
      <c r="D221" s="4" t="inlineStr">
        <is>
          <t xml:space="preserve">Software de diseño de patrones</t>
        </is>
      </c>
      <c r="E221" s="4" t="inlineStr">
        <is>
          <t xml:space="preserve">Tecnologías de la información, telecomunicaciones y radiodifusión / Software / Software de edición y creación de contenidos</t>
        </is>
      </c>
      <c r="F221" s="0">
        <v>1.0</v>
      </c>
      <c r="G221" s="0" t="inlineStr">
        <is>
          <t xml:space="preserve">Unidad no definida</t>
        </is>
      </c>
      <c r="H221" s="4" t="inlineStr">
        <is>
          <t xml:space="preserve">Renovación Licencia suscripción anual AutoCAD - including specialized toolsets (Contrato 110004888621 que expira el 20-10-2026</t>
        </is>
      </c>
    </row>
    <row r="222">
      <c r="A222" s="0" t="inlineStr">
        <is>
          <t xml:space="preserve">858-69-LP26</t>
        </is>
      </c>
      <c r="B222" s="4" t="inlineStr">
        <is>
          <t xml:space="preserve">RENOVACIÓN Y ADQUISICIÓN LICENCIAS DE INFORMÁTICA</t>
        </is>
      </c>
      <c r="C222" s="0">
        <v>9</v>
      </c>
      <c r="D222" s="4" t="inlineStr">
        <is>
          <t xml:space="preserve">Software de diseño de patrones</t>
        </is>
      </c>
      <c r="E222" s="4" t="inlineStr">
        <is>
          <t xml:space="preserve">Tecnologías de la información, telecomunicaciones y radiodifusión / Software / Software de edición y creación de contenidos</t>
        </is>
      </c>
      <c r="F222" s="0">
        <v>1.0</v>
      </c>
      <c r="G222" s="0" t="inlineStr">
        <is>
          <t xml:space="preserve">Unidad no definida</t>
        </is>
      </c>
      <c r="H222" s="4" t="inlineStr">
        <is>
          <t xml:space="preserve">Renovación Licencia suscripción anual AutoCAD - including specialized toolsets (Contrato 110002889978 que expira el 09-12-2026</t>
        </is>
      </c>
    </row>
    <row r="223">
      <c r="A223" s="0" t="inlineStr">
        <is>
          <t xml:space="preserve">858-69-LP26</t>
        </is>
      </c>
      <c r="B223" s="4" t="inlineStr">
        <is>
          <t xml:space="preserve">RENOVACIÓN Y ADQUISICIÓN LICENCIAS DE INFORMÁTICA</t>
        </is>
      </c>
      <c r="C223" s="0">
        <v>10</v>
      </c>
      <c r="D223" s="4" t="inlineStr">
        <is>
          <t xml:space="preserve">Software de diseño de patrones</t>
        </is>
      </c>
      <c r="E223" s="4" t="inlineStr">
        <is>
          <t xml:space="preserve">Tecnologías de la información, telecomunicaciones y radiodifusión / Software / Software de edición y creación de contenidos</t>
        </is>
      </c>
      <c r="F223" s="0">
        <v>1.0</v>
      </c>
      <c r="G223" s="0" t="inlineStr">
        <is>
          <t xml:space="preserve">Unidad no definida</t>
        </is>
      </c>
      <c r="H223" s="4" t="inlineStr">
        <is>
          <t xml:space="preserve">Renovación Licencia Suscripción anual AutoCAD LT (Contrato 110002427866 que expira el 23-12-2026)</t>
        </is>
      </c>
    </row>
    <row r="224">
      <c r="A224" s="0" t="inlineStr">
        <is>
          <t xml:space="preserve">858-69-LP26</t>
        </is>
      </c>
      <c r="B224" s="4" t="inlineStr">
        <is>
          <t xml:space="preserve">RENOVACIÓN Y ADQUISICIÓN LICENCIAS DE INFORMÁTICA</t>
        </is>
      </c>
      <c r="C224" s="0">
        <v>11</v>
      </c>
      <c r="D224" s="4" t="inlineStr">
        <is>
          <t xml:space="preserve">Software de diseño de patrones</t>
        </is>
      </c>
      <c r="E224" s="4" t="inlineStr">
        <is>
          <t xml:space="preserve">Tecnologías de la información, telecomunicaciones y radiodifusión / Software / Software de edición y creación de contenidos</t>
        </is>
      </c>
      <c r="F224" s="0">
        <v>1.0</v>
      </c>
      <c r="G224" s="0" t="inlineStr">
        <is>
          <t xml:space="preserve">Unidad no definida</t>
        </is>
      </c>
      <c r="H224" s="4" t="inlineStr">
        <is>
          <t xml:space="preserve">Renovación Licencia Suscripción anual AutoCAD LT (Contrato 110002891662 que expira el 12-10-2026)</t>
        </is>
      </c>
    </row>
    <row r="225">
      <c r="A225" s="0" t="inlineStr">
        <is>
          <t xml:space="preserve">858-69-LP26</t>
        </is>
      </c>
      <c r="B225" s="4" t="inlineStr">
        <is>
          <t xml:space="preserve">RENOVACIÓN Y ADQUISICIÓN LICENCIAS DE INFORMÁTICA</t>
        </is>
      </c>
      <c r="C225" s="0">
        <v>12</v>
      </c>
      <c r="D225" s="4" t="inlineStr">
        <is>
          <t xml:space="preserve">Software de diseño de patrones</t>
        </is>
      </c>
      <c r="E225" s="4" t="inlineStr">
        <is>
          <t xml:space="preserve">Tecnologías de la información, telecomunicaciones y radiodifusión / Software / Software de edición y creación de contenidos</t>
        </is>
      </c>
      <c r="F225" s="0">
        <v>1.0</v>
      </c>
      <c r="G225" s="0" t="inlineStr">
        <is>
          <t xml:space="preserve">Unidad no definida</t>
        </is>
      </c>
      <c r="H225" s="4" t="inlineStr">
        <is>
          <t xml:space="preserve">Licencia Suscripción anual AutoCAD LT (Nueva)</t>
        </is>
      </c>
    </row>
    <row r="226">
      <c r="A226" s="0" t="inlineStr">
        <is>
          <t xml:space="preserve">858-69-LP26</t>
        </is>
      </c>
      <c r="B226" s="4" t="inlineStr">
        <is>
          <t xml:space="preserve">RENOVACIÓN Y ADQUISICIÓN LICENCIAS DE INFORMÁTICA</t>
        </is>
      </c>
      <c r="C226" s="0">
        <v>13</v>
      </c>
      <c r="D226" s="4" t="inlineStr">
        <is>
          <t xml:space="preserve">Software de diseño de patrones</t>
        </is>
      </c>
      <c r="E226" s="4" t="inlineStr">
        <is>
          <t xml:space="preserve">Tecnologías de la información, telecomunicaciones y radiodifusión / Software / Software de edición y creación de contenidos</t>
        </is>
      </c>
      <c r="F226" s="0">
        <v>1.0</v>
      </c>
      <c r="G226" s="0" t="inlineStr">
        <is>
          <t xml:space="preserve">Unidad no definida</t>
        </is>
      </c>
      <c r="H226" s="4" t="inlineStr">
        <is>
          <t xml:space="preserve">Renovación Licencia Suscripción anual Adobe Creative Cloud Pro (contrato E1B3B00B103448196A7A que expira el 30-10-2026)</t>
        </is>
      </c>
    </row>
    <row r="227">
      <c r="A227" s="0" t="inlineStr">
        <is>
          <t xml:space="preserve">858-69-LP26</t>
        </is>
      </c>
      <c r="B227" s="4" t="inlineStr">
        <is>
          <t xml:space="preserve">RENOVACIÓN Y ADQUISICIÓN LICENCIAS DE INFORMÁTICA</t>
        </is>
      </c>
      <c r="C227" s="0">
        <v>14</v>
      </c>
      <c r="D227" s="4" t="inlineStr">
        <is>
          <t xml:space="preserve">Software de diseño de patrones</t>
        </is>
      </c>
      <c r="E227" s="4" t="inlineStr">
        <is>
          <t xml:space="preserve">Tecnologías de la información, telecomunicaciones y radiodifusión / Software / Software de edición y creación de contenidos</t>
        </is>
      </c>
      <c r="F227" s="0">
        <v>1.0</v>
      </c>
      <c r="G227" s="0" t="inlineStr">
        <is>
          <t xml:space="preserve">Unidad no definida</t>
        </is>
      </c>
      <c r="H227" s="4" t="inlineStr">
        <is>
          <t xml:space="preserve">Licencia Suscripción anual Adobe Creative Cloud Pro (Nueva)</t>
        </is>
      </c>
    </row>
    <row r="228">
      <c r="A228" s="0" t="inlineStr">
        <is>
          <t xml:space="preserve">858-69-LP26</t>
        </is>
      </c>
      <c r="B228" s="4" t="inlineStr">
        <is>
          <t xml:space="preserve">RENOVACIÓN Y ADQUISICIÓN LICENCIAS DE INFORMÁTICA</t>
        </is>
      </c>
      <c r="C228" s="0">
        <v>15</v>
      </c>
      <c r="D228" s="4" t="inlineStr">
        <is>
          <t xml:space="preserve">Software de diseño de patrones</t>
        </is>
      </c>
      <c r="E228" s="4" t="inlineStr">
        <is>
          <t xml:space="preserve">Tecnologías de la información, telecomunicaciones y radiodifusión / Software / Software de edición y creación de contenidos</t>
        </is>
      </c>
      <c r="F228" s="0">
        <v>1.0</v>
      </c>
      <c r="G228" s="0" t="inlineStr">
        <is>
          <t xml:space="preserve">Unidad no definida</t>
        </is>
      </c>
      <c r="H228" s="4" t="inlineStr">
        <is>
          <t xml:space="preserve">Renovación Suscripción anual Adobe Illustrator (Contrato E1B3B00B103448196A7A que expira el 30-10-2026)</t>
        </is>
      </c>
    </row>
    <row r="229">
      <c r="A229" s="0" t="inlineStr">
        <is>
          <t xml:space="preserve">2663-63-LP26</t>
        </is>
      </c>
      <c r="B229" s="4" t="inlineStr">
        <is>
          <t xml:space="preserve">SISTEMAS INFORMÁTICOS DE GESTIÓN MUNICIPAL</t>
        </is>
      </c>
      <c r="C229" s="0">
        <v>1</v>
      </c>
      <c r="D229" s="4" t="inlineStr">
        <is>
          <t xml:space="preserve">Sistemas de información y control de empresas públicas</t>
        </is>
      </c>
      <c r="E229" s="4" t="inlineStr">
        <is>
          <t xml:space="preserve">Organizaciones y consultorías políticas, demográficas, económicas, sociales y de administración pública / Administración y finanzas públicas / Administración pública</t>
        </is>
      </c>
      <c r="F229" s="0">
        <v>1.0</v>
      </c>
      <c r="G229" s="0" t="inlineStr">
        <is>
          <t xml:space="preserve">Unidad</t>
        </is>
      </c>
      <c r="H229" s="4" t="inlineStr">
        <is>
          <t xml:space="preserve">ADQUISICIÓN DE “SISTEMAS INFORMÁTICOS DE GESTIÓN MUNICIPAL: ARRIENDO, IMPLEMENTACIÓN Y MANTENIMIENTO PARA LA ILUSTRE MUNICIPALIDAD DE NATALES” SEGÚN LO SEÑALADO EN LAS BASES ADMINISTRATIVAS, TÉCNICAS</t>
        </is>
      </c>
    </row>
    <row r="230">
      <c r="A230" s="0" t="inlineStr">
        <is>
          <t xml:space="preserve">4105-8-LP26</t>
        </is>
      </c>
      <c r="B230" s="4" t="inlineStr">
        <is>
          <t xml:space="preserve">Mantención Control y Actualización de Software</t>
        </is>
      </c>
      <c r="C230" s="0">
        <v>1</v>
      </c>
      <c r="D230" s="4" t="inlineStr">
        <is>
          <t xml:space="preserve">Software de sistema de archivos</t>
        </is>
      </c>
      <c r="E230" s="4" t="inlineStr">
        <is>
          <t xml:space="preserve">Tecnologías de la información, telecomunicaciones y radiodifusión / Software / Software de entorno operativo</t>
        </is>
      </c>
      <c r="F230" s="0">
        <v>1.0</v>
      </c>
      <c r="G230" s="0" t="inlineStr">
        <is>
          <t xml:space="preserve">Unidad</t>
        </is>
      </c>
      <c r="H230" s="4" t="inlineStr">
        <is>
          <t xml:space="preserve">“MANTENCION, CONTROL Y ACTUALIZACION DE SOFTWARE DE CONEXIÓN PERMISO DE CIRCULACIÓN”</t>
        </is>
      </c>
    </row>
    <row r="231">
      <c r="A231" s="0" t="inlineStr">
        <is>
          <t xml:space="preserve">2429-8-LP26</t>
        </is>
      </c>
      <c r="B231" s="4" t="inlineStr">
        <is>
          <t xml:space="preserve">RENOVACIÓN DE INFRAESTRUCTURA DE RED INFORMÁTICA Y NORMALIZACIÓN DE CABLEADO ESTRUCTURADO DE LAS DEPENDENCIAS DE LA IMA</t>
        </is>
      </c>
      <c r="C231" s="0">
        <v>1</v>
      </c>
      <c r="D231" s="4" t="inlineStr">
        <is>
          <t xml:space="preserve">Diseño de redes de comunicación de cobertura local (LAN)</t>
        </is>
      </c>
      <c r="E231" s="4" t="inlineStr">
        <is>
          <t xml:space="preserve">Servicios basados en ingeniería, ciencias sociales y tecnología de la información / Servicios informáticos / Sistemas de información</t>
        </is>
      </c>
      <c r="F231" s="0">
        <v>1.0</v>
      </c>
      <c r="G231" s="0" t="inlineStr">
        <is>
          <t xml:space="preserve">Unidad</t>
        </is>
      </c>
      <c r="H231" s="4" t="inlineStr">
        <is>
          <t xml:space="preserve">RENOVACIÓN DE INFRAESTRUCTURA DE RED INFORMÁTICA Y NORMALIZACIÓN DE CABLEADO ESTRUCTURADO DE LAS DEPENDENCIAS EXTERNAS DE LA I. MUNICIPALIDAD DE ANTOFAGASTA</t>
        </is>
      </c>
    </row>
    <row r="232">
      <c r="A232" s="0" t="inlineStr">
        <is>
          <t xml:space="preserve">1533460-6-LP26</t>
        </is>
      </c>
      <c r="B232" s="4" t="inlineStr">
        <is>
          <t xml:space="preserve">SERVICIO DE ARRIENDO DE SISTEMA INFORMÁTICO FINANCIERO CONTABLE Y RECURSOS HUMANOS</t>
        </is>
      </c>
      <c r="C232" s="0">
        <v>1</v>
      </c>
      <c r="D232" s="4" t="inlineStr">
        <is>
          <t xml:space="preserve">Software de planificación de recursos empresariales (ERP)</t>
        </is>
      </c>
      <c r="E232" s="4" t="inlineStr">
        <is>
          <t xml:space="preserve">Tecnologías de la información, telecomunicaciones y radiodifusión / Software / Software de planificación de recursos empresariales (ERP) y contabilidad financiera</t>
        </is>
      </c>
      <c r="F232" s="0">
        <v>1.0</v>
      </c>
      <c r="G232" s="0" t="inlineStr">
        <is>
          <t xml:space="preserve">Unidad</t>
        </is>
      </c>
      <c r="H232" s="4" t="inlineStr">
        <is>
          <t xml:space="preserve">Tiene por finalidad contratar el servicio de implementación, puesta en marcha, configuración y ejecución 
del sistema de remuneraciones, gestión de personas, intranet, contabilidad, tesorería y adquisiciones. Se 
debe considerar un proceso de implementa</t>
        </is>
      </c>
    </row>
    <row r="233">
      <c r="A233" s="0" t="inlineStr">
        <is>
          <t xml:space="preserve">548874-74-LR26</t>
        </is>
      </c>
      <c r="B233" s="4" t="inlineStr">
        <is>
          <t xml:space="preserve">SERV DE PLATAFORMA SIEM NUEVA GENERACIÓN SAAS IPS</t>
        </is>
      </c>
      <c r="C233" s="0">
        <v>1</v>
      </c>
      <c r="D233" s="4" t="inlineStr">
        <is>
          <t xml:space="preserve">Software de protección antivirus y de seguridad de transacciones</t>
        </is>
      </c>
      <c r="E233" s="4" t="inlineStr">
        <is>
          <t xml:space="preserve">Tecnologías de la información, telecomunicaciones y radiodifusión / Software / Software de seguridad y protección</t>
        </is>
      </c>
      <c r="F233" s="0">
        <v>1.0</v>
      </c>
      <c r="G233" s="0" t="inlineStr">
        <is>
          <t xml:space="preserve">Global</t>
        </is>
      </c>
      <c r="H233" s="4" t="inlineStr">
        <is>
          <t xml:space="preserve">SERVICIO DE PLATAFORMA SIEM DE NUEVA GENERACIÓN EN MODALIDAD SAAS PARA EL INSTITUTO DE PREVISIÓN SOCIAL</t>
        </is>
      </c>
    </row>
    <row r="234">
      <c r="A234" s="0" t="inlineStr">
        <is>
          <t xml:space="preserve">188-83-LP26</t>
        </is>
      </c>
      <c r="B234" s="4" t="inlineStr">
        <is>
          <t xml:space="preserve">Plataforma de Control de Proyectos COMUDEF</t>
        </is>
      </c>
      <c r="C234" s="0">
        <v>1</v>
      </c>
      <c r="D234" s="4" t="inlineStr">
        <is>
          <t xml:space="preserve">Software de copias de seguridad o archivado</t>
        </is>
      </c>
      <c r="E234" s="4" t="inlineStr">
        <is>
          <t xml:space="preserve">Tecnologías de la información, telecomunicaciones y radiodifusión / Software / Software de controladores de dispositivos y utilidades</t>
        </is>
      </c>
      <c r="F234" s="0">
        <v>1.0</v>
      </c>
      <c r="G234" s="0" t="inlineStr">
        <is>
          <t xml:space="preserve">Unidad no definida</t>
        </is>
      </c>
      <c r="H234" s="4" t="inlineStr">
        <is>
          <t xml:space="preserve">Contratación, implementación y soporte de plataforma digital de sistema de seguimiento y control de proyectos, servicios y honorarios corporativos Corporación Municipal de La Florida - COMUDEF</t>
        </is>
      </c>
    </row>
    <row r="235">
      <c r="A235" s="0" t="inlineStr">
        <is>
          <t xml:space="preserve">2385-56-LE26</t>
        </is>
      </c>
      <c r="B235" s="4" t="inlineStr">
        <is>
          <t xml:space="preserve">ADQUISICIÓN CURSO OFIMÁTICA E INTELIGENCIA ARTIFICIAL</t>
        </is>
      </c>
      <c r="C235" s="0">
        <v>1</v>
      </c>
      <c r="D235" s="4" t="inlineStr">
        <is>
          <t xml:space="preserve">Capacitación a empleados</t>
        </is>
      </c>
      <c r="E235" s="4" t="inlineStr">
        <is>
          <t xml:space="preserve">Educación, formación, entrenamiento y capacitación / Sistemas educativos complementarios / Educación de adultos</t>
        </is>
      </c>
      <c r="F235" s="0">
        <v>1.0</v>
      </c>
      <c r="G235" s="0" t="inlineStr">
        <is>
          <t xml:space="preserve">Unidad</t>
        </is>
      </c>
      <c r="H235" s="4" t="inlineStr">
        <is>
          <t xml:space="preserve">Módulo 1: Microsoft Word (Avanzado) 8 HORAS. Ver detalle en Bases Técnicas.</t>
        </is>
      </c>
    </row>
    <row r="236">
      <c r="A236" s="0" t="inlineStr">
        <is>
          <t xml:space="preserve">2385-56-LE26</t>
        </is>
      </c>
      <c r="B236" s="4" t="inlineStr">
        <is>
          <t xml:space="preserve">ADQUISICIÓN CURSO OFIMÁTICA E INTELIGENCIA ARTIFICIAL</t>
        </is>
      </c>
      <c r="C236" s="0">
        <v>2</v>
      </c>
      <c r="D236" s="4" t="inlineStr">
        <is>
          <t xml:space="preserve">Capacitación a empleados</t>
        </is>
      </c>
      <c r="E236" s="4" t="inlineStr">
        <is>
          <t xml:space="preserve">Educación, formación, entrenamiento y capacitación / Sistemas educativos complementarios / Educación de adultos</t>
        </is>
      </c>
      <c r="F236" s="0">
        <v>1.0</v>
      </c>
      <c r="G236" s="0" t="inlineStr">
        <is>
          <t xml:space="preserve">Unidad</t>
        </is>
      </c>
      <c r="H236" s="4" t="inlineStr">
        <is>
          <t xml:space="preserve">Módulo 2: Microsoft Excel (Básico a Intermedio) 8 HORAS. Ver detalle en Bases Técnicas.</t>
        </is>
      </c>
    </row>
    <row r="237">
      <c r="A237" s="0" t="inlineStr">
        <is>
          <t xml:space="preserve">2385-56-LE26</t>
        </is>
      </c>
      <c r="B237" s="4" t="inlineStr">
        <is>
          <t xml:space="preserve">ADQUISICIÓN CURSO OFIMÁTICA E INTELIGENCIA ARTIFICIAL</t>
        </is>
      </c>
      <c r="C237" s="0">
        <v>3</v>
      </c>
      <c r="D237" s="4" t="inlineStr">
        <is>
          <t xml:space="preserve">Capacitación a empleados</t>
        </is>
      </c>
      <c r="E237" s="4" t="inlineStr">
        <is>
          <t xml:space="preserve">Educación, formación, entrenamiento y capacitación / Sistemas educativos complementarios / Educación de adultos</t>
        </is>
      </c>
      <c r="F237" s="0">
        <v>1.0</v>
      </c>
      <c r="G237" s="0" t="inlineStr">
        <is>
          <t xml:space="preserve">Unidad</t>
        </is>
      </c>
      <c r="H237" s="4" t="inlineStr">
        <is>
          <t xml:space="preserve">Módulo 3: Aplicaciones de Google 8 HORAS. Ver detalle en Bases Técnicas.</t>
        </is>
      </c>
    </row>
    <row r="238">
      <c r="A238" s="0" t="inlineStr">
        <is>
          <t xml:space="preserve">2385-56-LE26</t>
        </is>
      </c>
      <c r="B238" s="4" t="inlineStr">
        <is>
          <t xml:space="preserve">ADQUISICIÓN CURSO OFIMÁTICA E INTELIGENCIA ARTIFICIAL</t>
        </is>
      </c>
      <c r="C238" s="0">
        <v>4</v>
      </c>
      <c r="D238" s="4" t="inlineStr">
        <is>
          <t xml:space="preserve">Capacitación a empleados</t>
        </is>
      </c>
      <c r="E238" s="4" t="inlineStr">
        <is>
          <t xml:space="preserve">Educación, formación, entrenamiento y capacitación / Sistemas educativos complementarios / Educación de adultos</t>
        </is>
      </c>
      <c r="F238" s="0">
        <v>1.0</v>
      </c>
      <c r="G238" s="0" t="inlineStr">
        <is>
          <t xml:space="preserve">Unidad</t>
        </is>
      </c>
      <c r="H238" s="4" t="inlineStr">
        <is>
          <t xml:space="preserve">Módulo 4: IA Aplicada a la Gestión 8 HORAS. Ver detalle en Bases Técnicas.</t>
        </is>
      </c>
    </row>
    <row r="239">
      <c r="A239" s="0" t="inlineStr">
        <is>
          <t xml:space="preserve">5890-11-LP26</t>
        </is>
      </c>
      <c r="B239" s="4" t="inlineStr">
        <is>
          <t xml:space="preserve">PLATAFORMA DE ANALISIS AVANZADO MALWARE PNCO2025</t>
        </is>
      </c>
      <c r="C239" s="0">
        <v>1</v>
      </c>
      <c r="D239" s="4" t="inlineStr">
        <is>
          <t xml:space="preserve">Cajas de almacenamientos de diferentes soportes</t>
        </is>
      </c>
      <c r="E239" s="4" t="inlineStr">
        <is>
          <t xml:space="preserve">Tecnologías de la información, telecomunicaciones y radiodifusión / Componentes para tecnología de la información, difusión o telecomunicaciones / Accesorios de soportes de almacenamiento extraíbles</t>
        </is>
      </c>
      <c r="F239" s="0">
        <v>1.0</v>
      </c>
      <c r="G239" s="0" t="inlineStr">
        <is>
          <t xml:space="preserve">Unidad</t>
        </is>
      </c>
      <c r="H239" s="4" t="inlineStr">
        <is>
          <t xml:space="preserve">SEGUN BASES ADMINISTRAIVAS Y ANEXOS ADJUNTOS</t>
        </is>
      </c>
    </row>
    <row r="240">
      <c r="A240" s="0" t="inlineStr">
        <is>
          <t xml:space="preserve">869591-12-LP26</t>
        </is>
      </c>
      <c r="B240" s="4" t="inlineStr">
        <is>
          <t xml:space="preserve">CONTRATACIÓN DE PLATAFORMA DE GESTIÓN DOCUMENTAL EXPEDIENTE ELECTRÓNICO Y GESTIÓN DE PROCESOS</t>
        </is>
      </c>
      <c r="C240" s="0">
        <v>1</v>
      </c>
      <c r="D240" s="4" t="inlineStr">
        <is>
          <t xml:space="preserve">Programas de gestión de documentos</t>
        </is>
      </c>
      <c r="E240" s="4" t="inlineStr">
        <is>
          <t xml:space="preserve">Tecnologías de la información, telecomunicaciones y radiodifusión / Software / Software de gestión de contenidos</t>
        </is>
      </c>
      <c r="F240" s="0">
        <v>1.0</v>
      </c>
      <c r="G240" s="0" t="inlineStr">
        <is>
          <t xml:space="preserve">Unidad</t>
        </is>
      </c>
      <c r="H240" s="4" t="inlineStr">
        <is>
          <t xml:space="preserve">CONTRATACIÓN DE PLATAFORMA DE GESTIÓN DOCUMENTAL, EXPEDIENTE ELECTRÓNICO Y GESTIÓN DE PROCESOS PARA LA DIRECCIÓN DE COMPRAS Y CONTRATACIÓN PÚBLICA</t>
        </is>
      </c>
    </row>
    <row r="241">
      <c r="A241" s="0" t="inlineStr">
        <is>
          <t xml:space="preserve">1562-61-LP26</t>
        </is>
      </c>
      <c r="B241" s="4" t="inlineStr">
        <is>
          <t xml:space="preserve">PLATAFORMA DE SEGURIDAD PERIMETRAL</t>
        </is>
      </c>
      <c r="C241" s="0">
        <v>1</v>
      </c>
      <c r="D241" s="4" t="inlineStr">
        <is>
          <t xml:space="preserve">Mantenimiento y soporte de hardware</t>
        </is>
      </c>
      <c r="E241" s="4" t="inlineStr">
        <is>
          <t xml:space="preserve">Servicios basados en ingeniería, ciencias sociales y tecnología de la información / Servicios informáticos / Administración de sistemas</t>
        </is>
      </c>
      <c r="F241" s="0">
        <v>2.0</v>
      </c>
      <c r="G241" s="0" t="inlineStr">
        <is>
          <t xml:space="preserve">Unidad</t>
        </is>
      </c>
      <c r="H241" s="4" t="inlineStr">
        <is>
          <t xml:space="preserve">•Marca/Modelo: Fortinet FortiGate FG-120G (o superior/equivalente).
•Arquitectura:
-Implementación en clúster de Alta Disponibilidad (HA).
-Configuración de Alta Disponibilidad (HA) en modalidad Activo-Pasivo.
•Hardware adicional de interconexión</t>
        </is>
      </c>
    </row>
    <row r="242">
      <c r="A242" s="0" t="inlineStr">
        <is>
          <t xml:space="preserve">1562-61-LP26</t>
        </is>
      </c>
      <c r="B242" s="4" t="inlineStr">
        <is>
          <t xml:space="preserve">PLATAFORMA DE SEGURIDAD PERIMETRAL</t>
        </is>
      </c>
      <c r="C242" s="0">
        <v>2</v>
      </c>
      <c r="D242" s="4" t="inlineStr">
        <is>
          <t xml:space="preserve">Software de gestión de licencias</t>
        </is>
      </c>
      <c r="E242" s="4" t="inlineStr">
        <is>
          <t xml:space="preserve">Tecnologías de la información, telecomunicaciones y radiodifusión / Software / Software de gestión</t>
        </is>
      </c>
      <c r="F242" s="0">
        <v>1.0</v>
      </c>
      <c r="G242" s="0" t="inlineStr">
        <is>
          <t xml:space="preserve">Unidad</t>
        </is>
      </c>
      <c r="H242" s="4" t="inlineStr">
        <is>
          <t xml:space="preserve">3.2.2.1Fortiguard UTP
La propuesta deberá incluir licenciamiento FortiGuard Unified Threat Protection (UTP) por 60 meses para ambos nodos del clúster HA, conforme al modelo oficial de licenciamiento del fabricante.
El licenciamiento deberá incluir como</t>
        </is>
      </c>
    </row>
    <row r="243">
      <c r="A243" s="0" t="inlineStr">
        <is>
          <t xml:space="preserve">1562-61-LP26</t>
        </is>
      </c>
      <c r="B243" s="4" t="inlineStr">
        <is>
          <t xml:space="preserve">PLATAFORMA DE SEGURIDAD PERIMETRAL</t>
        </is>
      </c>
      <c r="C243" s="0">
        <v>3</v>
      </c>
      <c r="D243" s="4" t="inlineStr">
        <is>
          <t xml:space="preserve">Programas de gestión de configuración</t>
        </is>
      </c>
      <c r="E243" s="4" t="inlineStr">
        <is>
          <t xml:space="preserve">Tecnologías de la información, telecomunicaciones y radiodifusión / Software / Programas de desarrollo</t>
        </is>
      </c>
      <c r="F243" s="0">
        <v>1.0</v>
      </c>
      <c r="G243" s="0" t="inlineStr">
        <is>
          <t xml:space="preserve">Unidad</t>
        </is>
      </c>
      <c r="H243" s="4" t="inlineStr">
        <is>
          <t xml:space="preserve">3.2.3.1Instalación, migración, implementación y validación
El proveedor adjudicado será responsable de:
•Instalación física de los componentes en rack estándar de 19”.
•Suministro de accesorios de montaje, cables de alimentación, patch cords y orden</t>
        </is>
      </c>
    </row>
    <row r="244">
      <c r="A244" s="0" t="inlineStr">
        <is>
          <t xml:space="preserve">587-49-LE26</t>
        </is>
      </c>
      <c r="B244" s="4" t="inlineStr">
        <is>
          <t xml:space="preserve">SELICO 198- 2026 SERVICIO DE DIGITALIZACIÓN</t>
        </is>
      </c>
      <c r="C244" s="0">
        <v>1</v>
      </c>
      <c r="D244" s="4" t="inlineStr">
        <is>
          <t xml:space="preserve">Servicios de digitalización de documentos</t>
        </is>
      </c>
      <c r="E244" s="4" t="inlineStr">
        <is>
          <t xml:space="preserve">Servicios basados en ingeniería, ciencias sociales y tecnología de la información / Servicios informáticos / Servicios de datos</t>
        </is>
      </c>
      <c r="F244" s="0">
        <v>1.0</v>
      </c>
      <c r="G244" s="0" t="inlineStr">
        <is>
          <t xml:space="preserve">Global</t>
        </is>
      </c>
      <c r="H244" s="4" t="inlineStr">
        <is>
          <t xml:space="preserve">Servicio de digitalización e indexación de documentación del MINVU y de la SEREMI Región Metropolitana.</t>
        </is>
      </c>
    </row>
    <row r="245">
      <c r="A245" s="0" t="inlineStr">
        <is>
          <t xml:space="preserve">1057049-332-LR26</t>
        </is>
      </c>
      <c r="B245" s="4" t="inlineStr">
        <is>
          <t xml:space="preserve">JLL BASES SERVICIO DE TURNOS PROFESIONALES PARA DESARROLLO DE SOFTWARE INTERNO DEL HOSPITAL CLÍNICO SAN BORJA ARRIARÁN</t>
        </is>
      </c>
      <c r="C245" s="0">
        <v>1</v>
      </c>
      <c r="D245" s="4" t="inlineStr">
        <is>
          <t xml:space="preserve">Personal técnico temporal</t>
        </is>
      </c>
      <c r="E245" s="4" t="inlineStr">
        <is>
          <t xml:space="preserve">Servicios profesionales, administrativos y consultorías de gestión empresarial / Servicios de recursos humanos / Servicios de personal temporal</t>
        </is>
      </c>
      <c r="F245" s="0">
        <v>1.0</v>
      </c>
      <c r="G245" s="0" t="inlineStr">
        <is>
          <t xml:space="preserve">Global</t>
        </is>
      </c>
      <c r="H245" s="4" t="inlineStr">
        <is>
          <t xml:space="preserve">COD. 704-0022 CONTRATACION DE SERVICIO DE TURNOS PROFESIONALES PARA DESARROLLO DE SOFTWARE INTERNO DEL HOSPITAL CLINICO SAN BORJA ARRIARAN POR 24 MESES</t>
        </is>
      </c>
    </row>
    <row r="246">
      <c r="A246" s="0" t="inlineStr">
        <is>
          <t xml:space="preserve">885-85-LE26</t>
        </is>
      </c>
      <c r="B246" s="4" t="inlineStr">
        <is>
          <t xml:space="preserve">Adquisición de licencias de software Acrobat Pro DC for teams ALL MP MLA Team para la Contraloría General de la República.</t>
        </is>
      </c>
      <c r="C246" s="0">
        <v>1</v>
      </c>
      <c r="D246" s="4" t="inlineStr">
        <is>
          <t xml:space="preserve">Software de gestión de licencias</t>
        </is>
      </c>
      <c r="E246" s="4" t="inlineStr">
        <is>
          <t xml:space="preserve">Tecnologías de la información, telecomunicaciones y radiodifusión / Software / Software de gestión</t>
        </is>
      </c>
      <c r="F246" s="0">
        <v>50.0</v>
      </c>
      <c r="G246" s="0" t="inlineStr">
        <is>
          <t xml:space="preserve">Unidad</t>
        </is>
      </c>
      <c r="H246" s="4" t="inlineStr">
        <is>
          <t xml:space="preserve">Licencias del software Acrobat Pro DC for teams ALL MP MLA Team</t>
        </is>
      </c>
    </row>
    <row r="247">
      <c r="A247" s="0" t="inlineStr">
        <is>
          <t xml:space="preserve">948354-137-LP26</t>
        </is>
      </c>
      <c r="B247" s="4" t="inlineStr">
        <is>
          <t xml:space="preserve">LA ADQUISICIÓN DE EQUIPO DE RAYOS X ARCO C CON FLUOROSCOPIA DIGITAL PARA EL HOSPITAL DIPRECA</t>
        </is>
      </c>
      <c r="C247" s="0">
        <v>1</v>
      </c>
      <c r="D247" s="4" t="inlineStr">
        <is>
          <t xml:space="preserve">Equipo de examen por rayos X</t>
        </is>
      </c>
      <c r="E247" s="4" t="inlineStr">
        <is>
          <t xml:space="preserve">Equipamiento para laboratorios / Instrumentos de medida y experimentación / Equipo de examen no invasivo</t>
        </is>
      </c>
      <c r="F247" s="0">
        <v>1.0</v>
      </c>
      <c r="G247" s="0" t="inlineStr">
        <is>
          <t xml:space="preserve">Unidad</t>
        </is>
      </c>
      <c r="H247" s="4" t="inlineStr">
        <is>
          <t xml:space="preserve">EQUIPO DE RAYOS X ARCO C, CON FLUOROSCOPIA DIGITAL.</t>
        </is>
      </c>
    </row>
    <row r="248">
      <c r="A248" s="0" t="inlineStr">
        <is>
          <t xml:space="preserve">1456836-4-LP26</t>
        </is>
      </c>
      <c r="B248" s="4" t="inlineStr">
        <is>
          <t xml:space="preserve">Software de Gestión de Personas y Remuneraciones</t>
        </is>
      </c>
      <c r="C248" s="0">
        <v>1</v>
      </c>
      <c r="D248" s="4" t="inlineStr">
        <is>
          <t xml:space="preserve">Software de gestión de recursos humanos</t>
        </is>
      </c>
      <c r="E248" s="4" t="inlineStr">
        <is>
          <t xml:space="preserve">Tecnologías de la información, telecomunicaciones y radiodifusión / Software / Software de gestión</t>
        </is>
      </c>
      <c r="F248" s="0">
        <v>1.0</v>
      </c>
      <c r="G248" s="0" t="inlineStr">
        <is>
          <t xml:space="preserve">Global</t>
        </is>
      </c>
      <c r="H248" s="4" t="inlineStr">
        <is>
          <t xml:space="preserve">Servicio de arriendo de Software de Gestión de Personas y Remuneraciones para el Servicio Local de Educación Pública Hanga Roa.</t>
        </is>
      </c>
    </row>
    <row r="249">
      <c r="A249" s="0" t="inlineStr">
        <is>
          <t xml:space="preserve">1456836-4-LP26</t>
        </is>
      </c>
      <c r="B249" s="4" t="inlineStr">
        <is>
          <t xml:space="preserve">Software de Gestión de Personas y Remuneraciones</t>
        </is>
      </c>
      <c r="C249" s="0">
        <v>2</v>
      </c>
      <c r="D249" s="4" t="inlineStr">
        <is>
          <t xml:space="preserve">Software de gestión de recursos humanos</t>
        </is>
      </c>
      <c r="E249" s="4" t="inlineStr">
        <is>
          <t xml:space="preserve">Tecnologías de la información, telecomunicaciones y radiodifusión / Software / Software de gestión</t>
        </is>
      </c>
      <c r="F249" s="0">
        <v>1.0</v>
      </c>
      <c r="G249" s="0" t="inlineStr">
        <is>
          <t xml:space="preserve">Global</t>
        </is>
      </c>
      <c r="H249" s="4" t="inlineStr">
        <is>
          <t xml:space="preserve">Servicio de arriendo de Software de Gestión de Personas y Remuneraciones para el Servicio Local de Educación Pública Hanga Roa.</t>
        </is>
      </c>
    </row>
    <row r="250">
      <c r="A250" s="0" t="inlineStr">
        <is>
          <t xml:space="preserve">548874-77-LR26</t>
        </is>
      </c>
      <c r="B250" s="4" t="inlineStr">
        <is>
          <t xml:space="preserve">MANTENCIÓN Y MEJORA SISTEMA CIBERSEGURIDAD NCH ISO</t>
        </is>
      </c>
      <c r="C250" s="0">
        <v>1</v>
      </c>
      <c r="D250" s="4" t="inlineStr">
        <is>
          <t xml:space="preserve">Software de administración de red privada virtual (VPN) o de seguridad de red</t>
        </is>
      </c>
      <c r="E250" s="4" t="inlineStr">
        <is>
          <t xml:space="preserve">Tecnologías de la información, telecomunicaciones y radiodifusión / Software / Software de seguridad y protección</t>
        </is>
      </c>
      <c r="F250" s="0">
        <v>1.0</v>
      </c>
      <c r="G250" s="0" t="inlineStr">
        <is>
          <t xml:space="preserve">Global</t>
        </is>
      </c>
      <c r="H250" s="4" t="inlineStr">
        <is>
          <t xml:space="preserve">E1O2RT8 - SERVICIO DE MANTENCIÓN Y MEJORA DEL SISTEMA DE GESTIÓN DE SEGURIDAD DE LA INFORMACIÓN Y CIBERSEGURIDAD INSTITUCIONAL NCH ISO/ IEC 27001</t>
        </is>
      </c>
    </row>
    <row r="251">
      <c r="A251" s="0" t="inlineStr">
        <is>
          <t xml:space="preserve">1051173-13-LP26</t>
        </is>
      </c>
      <c r="B251" s="4" t="inlineStr">
        <is>
          <t xml:space="preserve">SERVICIO DE INFRAESTRUCTURA EN LA NUBE</t>
        </is>
      </c>
      <c r="C251" s="0">
        <v>1</v>
      </c>
      <c r="D251" s="4" t="inlineStr">
        <is>
          <t xml:space="preserve">Centro de servicios de datos</t>
        </is>
      </c>
      <c r="E251" s="4" t="inlineStr">
        <is>
          <t xml:space="preserve">Servicios basados en ingeniería, ciencias sociales y tecnología de la información / Servicios informáticos / Servicios de datos</t>
        </is>
      </c>
      <c r="F251" s="0">
        <v>1.0</v>
      </c>
      <c r="G251" s="0" t="inlineStr">
        <is>
          <t xml:space="preserve">Unidad no definida</t>
        </is>
      </c>
      <c r="H251" s="4" t="inlineStr">
        <is>
          <t xml:space="preserve">Servicio de infraestructura en la nube para el Ministerio Secretaría General de la Presidencia</t>
        </is>
      </c>
    </row>
    <row r="252">
      <c r="A252" s="0" t="inlineStr">
        <is>
          <t xml:space="preserve">4024-29-LE26</t>
        </is>
      </c>
      <c r="B252" s="4" t="inlineStr">
        <is>
          <t xml:space="preserve">Modernización del Gimnasio Municipal Héctor Aqueveque Aránguiz”</t>
        </is>
      </c>
      <c r="C252" s="0">
        <v>1</v>
      </c>
      <c r="D252" s="4" t="inlineStr">
        <is>
          <t xml:space="preserve">Asfalto</t>
        </is>
      </c>
      <c r="E252" s="4" t="inlineStr">
        <is>
          <t xml:space="preserve">Artículos para estructuras, obras y construcciones / Pavimento para carreteras y caminos / Asfaltos</t>
        </is>
      </c>
      <c r="F252" s="0">
        <v>1.0</v>
      </c>
      <c r="G252" s="0" t="inlineStr">
        <is>
          <t xml:space="preserve">Unidad</t>
        </is>
      </c>
      <c r="H252" s="4" t="inlineStr">
        <is>
          <t xml:space="preserve">La Municipalidad de San Carlos llama a presentar ofertas en la licitación pública denominada MODERNIZACIÓN DEL
GIMNASIO MUNICIPAL HÉCTOR AQUEVEQUE ARÁNGUIZ</t>
        </is>
      </c>
    </row>
    <row r="253">
      <c r="A253" s="0" t="inlineStr">
        <is>
          <t xml:space="preserve">1562-63-LP26</t>
        </is>
      </c>
      <c r="B253" s="4" t="inlineStr">
        <is>
          <t xml:space="preserve">ELABORACIÓN DE LA PLATAFORMA PÚBLICA MINERA</t>
        </is>
      </c>
      <c r="C253" s="0">
        <v>1</v>
      </c>
      <c r="D253" s="4" t="inlineStr">
        <is>
          <t xml:space="preserve">Software de desarrollo de plataforma Web</t>
        </is>
      </c>
      <c r="E253" s="4" t="inlineStr">
        <is>
          <t xml:space="preserve">Tecnologías de la información, telecomunicaciones y radiodifusión / Software / Programas de desarrollo</t>
        </is>
      </c>
      <c r="F253" s="0">
        <v>1.0</v>
      </c>
      <c r="G253" s="0" t="inlineStr">
        <is>
          <t xml:space="preserve">Global</t>
        </is>
      </c>
      <c r="H253" s="4" t="inlineStr">
        <is>
          <t xml:space="preserve">Para la contratación del servicio de especializado de elaboración de la Plataforma Pública Minera, de Sernageomin</t>
        </is>
      </c>
    </row>
    <row r="254">
      <c r="A254" s="0" t="inlineStr">
        <is>
          <t xml:space="preserve">4112-27-LE26</t>
        </is>
      </c>
      <c r="B254" s="4" t="inlineStr">
        <is>
          <t xml:space="preserve">“ADQUISICIÓN DE LICENCIAS DE SOFTWARE”</t>
        </is>
      </c>
      <c r="C254" s="0">
        <v>1</v>
      </c>
      <c r="D254" s="4" t="inlineStr">
        <is>
          <t xml:space="preserve">Diseño por computador</t>
        </is>
      </c>
      <c r="E254" s="4" t="inlineStr">
        <is>
          <t xml:space="preserve">Servicios editoriales, de diseño, publicidad, gráficos y artistas / Diseño gráfico / Diseño</t>
        </is>
      </c>
      <c r="F254" s="0">
        <v>1.0</v>
      </c>
      <c r="G254" s="0" t="inlineStr">
        <is>
          <t xml:space="preserve">Unidad</t>
        </is>
      </c>
      <c r="H254" s="4" t="inlineStr">
        <is>
          <t xml:space="preserve">LÍNEA 1: PROGRAMAS DE ARQUITECTURA, DISEÑO Y EDICIÓN</t>
        </is>
      </c>
    </row>
    <row r="255">
      <c r="A255" s="0" t="inlineStr">
        <is>
          <t xml:space="preserve">4112-27-LE26</t>
        </is>
      </c>
      <c r="B255" s="4" t="inlineStr">
        <is>
          <t xml:space="preserve">“ADQUISICIÓN DE LICENCIAS DE SOFTWARE”</t>
        </is>
      </c>
      <c r="C255" s="0">
        <v>2</v>
      </c>
      <c r="D255" s="4" t="inlineStr">
        <is>
          <t xml:space="preserve">Software de gestión de licencias</t>
        </is>
      </c>
      <c r="E255" s="4" t="inlineStr">
        <is>
          <t xml:space="preserve">Tecnologías de la información, telecomunicaciones y radiodifusión / Software / Software de gestión</t>
        </is>
      </c>
      <c r="F255" s="0">
        <v>1.0</v>
      </c>
      <c r="G255" s="0" t="inlineStr">
        <is>
          <t xml:space="preserve">Unidad</t>
        </is>
      </c>
      <c r="H255" s="4" t="inlineStr">
        <is>
          <t xml:space="preserve">LÍNEA 2: PROGRAMAS OFIMÁTICOS</t>
        </is>
      </c>
    </row>
    <row r="256">
      <c r="A256" s="0" t="inlineStr">
        <is>
          <t xml:space="preserve">4112-27-LE26</t>
        </is>
      </c>
      <c r="B256" s="4" t="inlineStr">
        <is>
          <t xml:space="preserve">“ADQUISICIÓN DE LICENCIAS DE SOFTWARE”</t>
        </is>
      </c>
      <c r="C256" s="0">
        <v>3</v>
      </c>
      <c r="D256" s="4" t="inlineStr">
        <is>
          <t xml:space="preserve">Software de video conferencia</t>
        </is>
      </c>
      <c r="E256" s="4" t="inlineStr">
        <is>
          <t xml:space="preserve">Tecnologías de la información, telecomunicaciones y radiodifusión / Software / Software de intercambio de información</t>
        </is>
      </c>
      <c r="F256" s="0">
        <v>1.0</v>
      </c>
      <c r="G256" s="0" t="inlineStr">
        <is>
          <t xml:space="preserve">Unidad</t>
        </is>
      </c>
      <c r="H256" s="4" t="inlineStr">
        <is>
          <t xml:space="preserve">LÍNEA 3: PROGRAMAS DE TRANSMISIÓN EN VIVO</t>
        </is>
      </c>
    </row>
    <row r="257">
      <c r="A257" s="0" t="inlineStr">
        <is>
          <t xml:space="preserve">1605-36-LR26</t>
        </is>
      </c>
      <c r="B257" s="4" t="inlineStr">
        <is>
          <t xml:space="preserve">LR-4252 Servicio de Red Datos WAN</t>
        </is>
      </c>
      <c r="C257" s="0">
        <v>1</v>
      </c>
      <c r="D257" s="4" t="inlineStr">
        <is>
          <t xml:space="preserve">Proveedores de servicio de Internet (ISP)</t>
        </is>
      </c>
      <c r="E257" s="4" t="inlineStr">
        <is>
          <t xml:space="preserve">Servicios basados en ingeniería, ciencias sociales y tecnología de la información / Servicios informáticos / Servicios para internet</t>
        </is>
      </c>
      <c r="F257" s="0">
        <v>72.0</v>
      </c>
      <c r="G257" s="0" t="inlineStr">
        <is>
          <t xml:space="preserve">Mes</t>
        </is>
      </c>
      <c r="H257" s="4" t="inlineStr">
        <is>
          <t xml:space="preserve">1. Servicio de conectividad de datos.
2. Infraestructura tipo SD-WAN y LAN
3. Servicio de conectividad inalámbrica Wifi.
4. Servicio de telefonía IP institucional.</t>
        </is>
      </c>
    </row>
    <row r="258">
      <c r="A258" s="0" t="inlineStr">
        <is>
          <t xml:space="preserve">1605-36-LR26</t>
        </is>
      </c>
      <c r="B258" s="4" t="inlineStr">
        <is>
          <t xml:space="preserve">LR-4252 Servicio de Red Datos WAN</t>
        </is>
      </c>
      <c r="C258" s="0">
        <v>2</v>
      </c>
      <c r="D258" s="4" t="inlineStr">
        <is>
          <t xml:space="preserve">Proveedores de servicio de Internet (ISP)</t>
        </is>
      </c>
      <c r="E258" s="4" t="inlineStr">
        <is>
          <t xml:space="preserve">Servicios basados en ingeniería, ciencias sociales y tecnología de la información / Servicios informáticos / Servicios para internet</t>
        </is>
      </c>
      <c r="F258" s="0">
        <v>72.0</v>
      </c>
      <c r="G258" s="0" t="inlineStr">
        <is>
          <t xml:space="preserve">Mes</t>
        </is>
      </c>
      <c r="H258" s="4" t="inlineStr">
        <is>
          <t xml:space="preserve">5. Monitoreo y gestión de las componentes 1 a 4.</t>
        </is>
      </c>
    </row>
    <row r="259">
      <c r="A259" s="0" t="inlineStr">
        <is>
          <t xml:space="preserve">976-15-O126</t>
        </is>
      </c>
      <c r="B259" s="4" t="inlineStr">
        <is>
          <t xml:space="preserve">Ampliación Plataformas Comercial y General Ad. El Loa</t>
        </is>
      </c>
      <c r="C259" s="0">
        <v>1</v>
      </c>
      <c r="D259" s="4" t="inlineStr">
        <is>
          <t xml:space="preserve">Licitación Pública de Obra</t>
        </is>
      </c>
      <c r="E259" s="4" t="inlineStr">
        <is>
          <t xml:space="preserve">Consultoria / Consultoria / Planificación y Factibilidad</t>
        </is>
      </c>
      <c r="F259" s="0">
        <v>1.0</v>
      </c>
      <c r="G259" s="0" t="inlineStr">
        <is>
          <t xml:space="preserve">Unidad</t>
        </is>
      </c>
      <c r="H259" s="4" t="inlineStr">
        <is>
          <t xml:space="preserve">Licitación Pública de Obra</t>
        </is>
      </c>
    </row>
    <row r="260">
      <c r="A260" s="0" t="inlineStr">
        <is>
          <t xml:space="preserve">5482-101-LR26</t>
        </is>
      </c>
      <c r="B260" s="4" t="inlineStr">
        <is>
          <t xml:space="preserve">Plataforma IA para video y seguridad urbana</t>
        </is>
      </c>
      <c r="C260" s="0">
        <v>1</v>
      </c>
      <c r="D260" s="4" t="inlineStr">
        <is>
          <t xml:space="preserve">Software de desarrollo de plataforma Web</t>
        </is>
      </c>
      <c r="E260" s="4" t="inlineStr">
        <is>
          <t xml:space="preserve">Tecnologías de la información, telecomunicaciones y radiodifusión / Software / Programas de desarrollo</t>
        </is>
      </c>
      <c r="F260" s="0">
        <v>1.0</v>
      </c>
      <c r="G260" s="0" t="inlineStr">
        <is>
          <t xml:space="preserve">Global</t>
        </is>
      </c>
      <c r="H260" s="4" t="inlineStr">
        <is>
          <t xml:space="preserve">Setup o configuración inicial del servicio e instalación</t>
        </is>
      </c>
    </row>
    <row r="261">
      <c r="A261" s="0" t="inlineStr">
        <is>
          <t xml:space="preserve">5482-101-LR26</t>
        </is>
      </c>
      <c r="B261" s="4" t="inlineStr">
        <is>
          <t xml:space="preserve">Plataforma IA para video y seguridad urbana</t>
        </is>
      </c>
      <c r="C261" s="0">
        <v>2</v>
      </c>
      <c r="D261" s="4" t="inlineStr">
        <is>
          <t xml:space="preserve">Software de desarrollo de plataforma Web</t>
        </is>
      </c>
      <c r="E261" s="4" t="inlineStr">
        <is>
          <t xml:space="preserve">Tecnologías de la información, telecomunicaciones y radiodifusión / Software / Programas de desarrollo</t>
        </is>
      </c>
      <c r="F261" s="0">
        <v>26.0</v>
      </c>
      <c r="G261" s="0" t="inlineStr">
        <is>
          <t xml:space="preserve">Mes</t>
        </is>
      </c>
      <c r="H261" s="4" t="inlineStr">
        <is>
          <t xml:space="preserve">Servicio mensual (Operación)</t>
        </is>
      </c>
    </row>
    <row r="262">
      <c r="A262" s="0" t="inlineStr">
        <is>
          <t xml:space="preserve">29-81-LP26</t>
        </is>
      </c>
      <c r="B262" s="4" t="inlineStr">
        <is>
          <t xml:space="preserve">AGF - PLATAFORMA INGLES</t>
        </is>
      </c>
      <c r="C262" s="0">
        <v>1</v>
      </c>
      <c r="D262" s="4" t="inlineStr">
        <is>
          <t xml:space="preserve">Enseñanza conversacional de idiomas extranjeros</t>
        </is>
      </c>
      <c r="E262" s="4" t="inlineStr">
        <is>
          <t xml:space="preserve">Educación, formación, entrenamiento y capacitación / Sistemas educativos complementarios / Escuelas de idiomas</t>
        </is>
      </c>
      <c r="F262" s="0">
        <v>1.0</v>
      </c>
      <c r="G262" s="0" t="inlineStr">
        <is>
          <t xml:space="preserve">Global</t>
        </is>
      </c>
      <c r="H262" s="4" t="inlineStr">
        <is>
          <t xml:space="preserve">CONTRATACIÓN DE SERVICIO DE PLATAFORMA INTEGRAL DE CAPACITACIÓN EN IDIOMA INGLÉS (MODALIDAD E-LEARNING CON TUTORIA)</t>
        </is>
      </c>
    </row>
    <row r="263">
      <c r="A263" s="0" t="inlineStr">
        <is>
          <t xml:space="preserve">3447-145-LR26</t>
        </is>
      </c>
      <c r="B263" s="4" t="inlineStr">
        <is>
          <t xml:space="preserve">Adquisición e Implementación Plataforma Integral</t>
        </is>
      </c>
      <c r="C263" s="0">
        <v>1</v>
      </c>
      <c r="D263" s="4" t="inlineStr">
        <is>
          <t xml:space="preserve">Servicios de programación de sistemas operativos</t>
        </is>
      </c>
      <c r="E263" s="4" t="inlineStr">
        <is>
          <t xml:space="preserve">Servicios basados en ingeniería, ciencias sociales y tecnología de la información / Servicios informáticos / Ingeniería en computación e informática</t>
        </is>
      </c>
      <c r="F263" s="0">
        <v>1.0</v>
      </c>
      <c r="G263" s="0" t="inlineStr">
        <is>
          <t xml:space="preserve">Global</t>
        </is>
      </c>
      <c r="H263" s="4" t="inlineStr">
        <is>
          <t xml:space="preserve">Adquisición e Implementación de Plataforma Integral de Gestión Municipal y Servicios Traspasados para la Municipalidad de Alto Hospicio. (INGRESAR VALOR TOTAL NETO)</t>
        </is>
      </c>
    </row>
    <row r="264">
      <c r="A264" s="0" t="inlineStr">
        <is>
          <t xml:space="preserve">2760-118-LR26</t>
        </is>
      </c>
      <c r="B264" s="4" t="inlineStr">
        <is>
          <t xml:space="preserve">SERVICIOS DE TELECOMUNICACIONES Y OTROS SERVICIOS INFORMÁTICOS PARA LA MUNICIPALIDAD DE CORONEL</t>
        </is>
      </c>
      <c r="C264" s="0">
        <v>1</v>
      </c>
      <c r="D264" s="4" t="inlineStr">
        <is>
          <t xml:space="preserve">Soporte y mantenimiento de red de área local (LAN)</t>
        </is>
      </c>
      <c r="E264" s="4" t="inlineStr">
        <is>
          <t xml:space="preserve">Servicios basados en ingeniería, ciencias sociales y tecnología de la información / Servicios informáticos / Administración de sistemas</t>
        </is>
      </c>
      <c r="F264" s="0">
        <v>1.0</v>
      </c>
      <c r="G264" s="0" t="inlineStr">
        <is>
          <t xml:space="preserve">Global</t>
        </is>
      </c>
      <c r="H264" s="4" t="inlineStr">
        <is>
          <t xml:space="preserve">Servicios de Telecomunicaciones y Otros Servicios Informáticos para la Municipalidad de Coronel</t>
        </is>
      </c>
    </row>
    <row r="265">
      <c r="A265" s="0" t="inlineStr">
        <is>
          <t xml:space="preserve">548874-78-LR26</t>
        </is>
      </c>
      <c r="B265" s="4" t="inlineStr">
        <is>
          <t xml:space="preserve">SERVICIO DE LICENCIAS CLOUD SUCCESSFACTORS</t>
        </is>
      </c>
      <c r="C265" s="0">
        <v>1</v>
      </c>
      <c r="D265" s="4" t="inlineStr">
        <is>
          <t xml:space="preserve">Software de gestión de licencias</t>
        </is>
      </c>
      <c r="E265" s="4" t="inlineStr">
        <is>
          <t xml:space="preserve">Tecnologías de la información, telecomunicaciones y radiodifusión / Software / Software de gestión</t>
        </is>
      </c>
      <c r="F265" s="0">
        <v>1.0</v>
      </c>
      <c r="G265" s="0" t="inlineStr">
        <is>
          <t xml:space="preserve">Global</t>
        </is>
      </c>
      <c r="H265" s="4" t="inlineStr">
        <is>
          <t xml:space="preserve">SERVICIO DE LICENCIAS CLOUD SUCCESSFACTORS
EN MODALIDAD SAAS.</t>
        </is>
      </c>
    </row>
    <row r="266">
      <c r="A266" s="0" t="inlineStr">
        <is>
          <t xml:space="preserve">608-197-LR26</t>
        </is>
      </c>
      <c r="B266" s="4" t="inlineStr">
        <is>
          <t xml:space="preserve">SERVICIO DE OPERACIÓN MANTENIMIENTO Y ACTUALIZACIÓN DE PLATAFORMAS TECNOLÓGICAS DE LA SALA DE CONTROL CENTRALIZADO DEL HOSPITAL DR. GUSTAVO FRICKE</t>
        </is>
      </c>
      <c r="C266" s="0">
        <v>1</v>
      </c>
      <c r="D266" s="4" t="inlineStr">
        <is>
          <t xml:space="preserve">Integración de sistemas</t>
        </is>
      </c>
      <c r="E266" s="4" t="inlineStr">
        <is>
          <t xml:space="preserve">Servicios basados en ingeniería, ciencias sociales y tecnología de la información / Servicios informáticos / Ingeniería en computación e informática</t>
        </is>
      </c>
      <c r="F266" s="0">
        <v>1.0</v>
      </c>
      <c r="G266" s="0" t="inlineStr">
        <is>
          <t xml:space="preserve">Unidad</t>
        </is>
      </c>
      <c r="H266" s="4" t="inlineStr">
        <is>
          <t xml:space="preserve">SERVICIO
DE OPERACIÓN, MANTENIMIENTO Y ACTUALIZACIÓN
DE PLATAFORMAS TECNOLÓGICAS DE LA SALA DE
CONTROL CENTRALIZADO DEL HOSPITAL DR.
GUSTAVO FRICKE (favor desglosar valores en anexo económico N°6)</t>
        </is>
      </c>
    </row>
    <row r="267">
      <c r="A267" s="0" t="inlineStr">
        <is>
          <t xml:space="preserve">948354-139-LR26</t>
        </is>
      </c>
      <c r="B267" s="4" t="inlineStr">
        <is>
          <t xml:space="preserve">CONTRATACIÓN DE SERVICIO DE SOFTWARE DE RECURSOS HUMANOS PARA EL HOSPITAL DIPRECA</t>
        </is>
      </c>
      <c r="C267" s="0">
        <v>1</v>
      </c>
      <c r="D267" s="4" t="inlineStr">
        <is>
          <t xml:space="preserve">Software de gestión de recursos humanos</t>
        </is>
      </c>
      <c r="E267" s="4" t="inlineStr">
        <is>
          <t xml:space="preserve">Tecnologías de la información, telecomunicaciones y radiodifusión / Software / Software de gestión</t>
        </is>
      </c>
      <c r="F267" s="0">
        <v>1.0</v>
      </c>
      <c r="G267" s="0" t="inlineStr">
        <is>
          <t xml:space="preserve">Unidad</t>
        </is>
      </c>
      <c r="H267" s="4" t="inlineStr">
        <is>
          <t xml:space="preserve">CONTRATACIÓN DE SERVICIO DE SOFTWARE DE RECURSOS HUMANOS</t>
        </is>
      </c>
    </row>
    <row r="268">
      <c r="A268" s="0" t="inlineStr">
        <is>
          <t xml:space="preserve">514862-125-LR26</t>
        </is>
      </c>
      <c r="B268" s="4" t="inlineStr">
        <is>
          <t xml:space="preserve">10032938 PLATAFORMA DE AGENDAMIENTO TELECONSULTAS</t>
        </is>
      </c>
      <c r="C268" s="0">
        <v>1</v>
      </c>
      <c r="D268" s="4" t="inlineStr">
        <is>
          <t xml:space="preserve">Servicios de transformación de datos</t>
        </is>
      </c>
      <c r="E268" s="4" t="inlineStr">
        <is>
          <t xml:space="preserve">Servicios basados en ingeniería, ciencias sociales y tecnología de la información / Servicios informáticos / Servicios de datos</t>
        </is>
      </c>
      <c r="F268" s="0">
        <v>1.0</v>
      </c>
      <c r="G268" s="0" t="inlineStr">
        <is>
          <t xml:space="preserve">Unidad</t>
        </is>
      </c>
      <c r="H268" s="4" t="inlineStr">
        <is>
          <t xml:space="preserve">PLATAFORMA INTEGRAL DE AGENDAMIENTO, TELECONSULTAS Y GESTIÓN DE FILAS PARA LA ATENCIÓN</t>
        </is>
      </c>
    </row>
    <row r="269">
      <c r="A269" s="0" t="inlineStr">
        <is>
          <t xml:space="preserve">425-65-LR26</t>
        </is>
      </c>
      <c r="B269" s="4" t="inlineStr">
        <is>
          <t xml:space="preserve">Renovación de licencias y servicio de administración de software Falcon Crowdstrike EDR para el Poder Judicial</t>
        </is>
      </c>
      <c r="C269" s="0">
        <v>1</v>
      </c>
      <c r="D269" s="4" t="inlineStr">
        <is>
          <t xml:space="preserve">Software de gestión de licencias</t>
        </is>
      </c>
      <c r="E269" s="4" t="inlineStr">
        <is>
          <t xml:space="preserve">Tecnologías de la información, telecomunicaciones y radiodifusión / Software / Software de gestión</t>
        </is>
      </c>
      <c r="F269" s="0">
        <v>1.0</v>
      </c>
      <c r="G269" s="0" t="inlineStr">
        <is>
          <t xml:space="preserve">Global</t>
        </is>
      </c>
      <c r="H269" s="4" t="inlineStr">
        <is>
          <t xml:space="preserve">Ítem 4 LICENCIAS FALCON CROWDSTRIKE EDR. Valor total neto del ítem según Formulario Económico N°1 (en caso de discrepancia entre el valor del portal y el formulario primará este último).</t>
        </is>
      </c>
    </row>
    <row r="270">
      <c r="A270" s="0" t="inlineStr">
        <is>
          <t xml:space="preserve">425-65-LR26</t>
        </is>
      </c>
      <c r="B270" s="4" t="inlineStr">
        <is>
          <t xml:space="preserve">Renovación de licencias y servicio de administración de software Falcon Crowdstrike EDR para el Poder Judicial</t>
        </is>
      </c>
      <c r="C270" s="0">
        <v>2</v>
      </c>
      <c r="D270" s="4" t="inlineStr">
        <is>
          <t xml:space="preserve">Software de gestión de licencias</t>
        </is>
      </c>
      <c r="E270" s="4" t="inlineStr">
        <is>
          <t xml:space="preserve">Tecnologías de la información, telecomunicaciones y radiodifusión / Software / Software de gestión</t>
        </is>
      </c>
      <c r="F270" s="0">
        <v>1.0</v>
      </c>
      <c r="G270" s="0" t="inlineStr">
        <is>
          <t xml:space="preserve">Global</t>
        </is>
      </c>
      <c r="H270" s="4" t="inlineStr">
        <is>
          <t xml:space="preserve">Ítem 1 LICENCIAS FALCON CROWDSTRIKE EDR. Valor total neto del ítem según Formulario Económico N°1 (en caso de discrepancia entre el valor del portal y el formulario primará este último).</t>
        </is>
      </c>
    </row>
    <row r="271">
      <c r="A271" s="0" t="inlineStr">
        <is>
          <t xml:space="preserve">425-65-LR26</t>
        </is>
      </c>
      <c r="B271" s="4" t="inlineStr">
        <is>
          <t xml:space="preserve">Renovación de licencias y servicio de administración de software Falcon Crowdstrike EDR para el Poder Judicial</t>
        </is>
      </c>
      <c r="C271" s="0">
        <v>3</v>
      </c>
      <c r="D271" s="4" t="inlineStr">
        <is>
          <t xml:space="preserve">Software de gestión de licencias</t>
        </is>
      </c>
      <c r="E271" s="4" t="inlineStr">
        <is>
          <t xml:space="preserve">Tecnologías de la información, telecomunicaciones y radiodifusión / Software / Software de gestión</t>
        </is>
      </c>
      <c r="F271" s="0">
        <v>1.0</v>
      </c>
      <c r="G271" s="0" t="inlineStr">
        <is>
          <t xml:space="preserve">Global</t>
        </is>
      </c>
      <c r="H271" s="4" t="inlineStr">
        <is>
          <t xml:space="preserve">Ítem 2 LICENCIAS FALCON CROWDSTRIKE EDR. Valor total neto del ítem según Formulario Económico N°1 (en caso de discrepancia entre el valor del portal y el formulario primará este último).</t>
        </is>
      </c>
    </row>
    <row r="272">
      <c r="A272" s="0" t="inlineStr">
        <is>
          <t xml:space="preserve">425-65-LR26</t>
        </is>
      </c>
      <c r="B272" s="4" t="inlineStr">
        <is>
          <t xml:space="preserve">Renovación de licencias y servicio de administración de software Falcon Crowdstrike EDR para el Poder Judicial</t>
        </is>
      </c>
      <c r="C272" s="0">
        <v>4</v>
      </c>
      <c r="D272" s="4" t="inlineStr">
        <is>
          <t xml:space="preserve">Software de gestión de licencias</t>
        </is>
      </c>
      <c r="E272" s="4" t="inlineStr">
        <is>
          <t xml:space="preserve">Tecnologías de la información, telecomunicaciones y radiodifusión / Software / Software de gestión</t>
        </is>
      </c>
      <c r="F272" s="0">
        <v>1.0</v>
      </c>
      <c r="G272" s="0" t="inlineStr">
        <is>
          <t xml:space="preserve">Global</t>
        </is>
      </c>
      <c r="H272" s="4" t="inlineStr">
        <is>
          <t xml:space="preserve">Ítem 3 LICENCIAS FALCON CROWDSTRIKE EDR. Valor total neto del ítem según Formulario Económico N°1 (en caso de discrepancia entre el valor del portal y el formulario primará este último).</t>
        </is>
      </c>
    </row>
    <row r="273">
      <c r="A273" s="0" t="inlineStr">
        <is>
          <t xml:space="preserve">425-65-LR26</t>
        </is>
      </c>
      <c r="B273" s="4" t="inlineStr">
        <is>
          <t xml:space="preserve">Renovación de licencias y servicio de administración de software Falcon Crowdstrike EDR para el Poder Judicial</t>
        </is>
      </c>
      <c r="C273" s="0">
        <v>5</v>
      </c>
      <c r="D273" s="4" t="inlineStr">
        <is>
          <t xml:space="preserve">Software de gestión de licencias</t>
        </is>
      </c>
      <c r="E273" s="4" t="inlineStr">
        <is>
          <t xml:space="preserve">Tecnologías de la información, telecomunicaciones y radiodifusión / Software / Software de gestión</t>
        </is>
      </c>
      <c r="F273" s="0">
        <v>1.0</v>
      </c>
      <c r="G273" s="0" t="inlineStr">
        <is>
          <t xml:space="preserve">Global</t>
        </is>
      </c>
      <c r="H273" s="4" t="inlineStr">
        <is>
          <t xml:space="preserve">Ítem 5 Servicios de Administración
Falcon Crowdstrike. Valor total neto del ítem según Formulario Económico N°1 (en caso de discrepancia entre el valor del portal y el formulario primará este último).</t>
        </is>
      </c>
    </row>
    <row r="274">
      <c r="A274" s="0" t="inlineStr">
        <is>
          <t xml:space="preserve">605-17-LP26</t>
        </is>
      </c>
      <c r="B274" s="4" t="inlineStr">
        <is>
          <t xml:space="preserve">TELEFONÍA FIJA Y RED PRIVADA DE DATOS</t>
        </is>
      </c>
      <c r="C274" s="0">
        <v>1</v>
      </c>
      <c r="D274" s="4" t="inlineStr">
        <is>
          <t xml:space="preserve">Servicio telefónico local</t>
        </is>
      </c>
      <c r="E274" s="4" t="inlineStr">
        <is>
          <t xml:space="preserve">Servicios básicos y de información pública / Telecomunicaciones / Telefonía local y de larga distancia</t>
        </is>
      </c>
      <c r="F274" s="0">
        <v>1.0</v>
      </c>
      <c r="G274" s="0" t="inlineStr">
        <is>
          <t xml:space="preserve">Unidad</t>
        </is>
      </c>
      <c r="H274" s="4" t="inlineStr">
        <is>
          <t xml:space="preserve">Se requiere contratar mediante Licitación Pública el Servicio de Telefonía fija con enlace dedicado SIP Trunk, para las comunicaciones internas. El servicio para contratar también comprende la habilitación de acceso a comunicaciones hacia equipos telefóni</t>
        </is>
      </c>
    </row>
    <row r="275">
      <c r="A275" s="0" t="inlineStr">
        <is>
          <t xml:space="preserve">605-17-LP26</t>
        </is>
      </c>
      <c r="B275" s="4" t="inlineStr">
        <is>
          <t xml:space="preserve">TELEFONÍA FIJA Y RED PRIVADA DE DATOS</t>
        </is>
      </c>
      <c r="C275" s="0">
        <v>2</v>
      </c>
      <c r="D275" s="4" t="inlineStr">
        <is>
          <t xml:space="preserve">Servicio de comunicación IP</t>
        </is>
      </c>
      <c r="E275" s="4" t="inlineStr">
        <is>
          <t xml:space="preserve">Servicios básicos y de información pública / Telecomunicaciones / Telefonía local y de larga distancia</t>
        </is>
      </c>
      <c r="F275" s="0">
        <v>1.0</v>
      </c>
      <c r="G275" s="0" t="inlineStr">
        <is>
          <t xml:space="preserve">Unidad</t>
        </is>
      </c>
      <c r="H275" s="4" t="inlineStr">
        <is>
          <t xml:space="preserve">Se requiere contratar el servicio de red privada de datos mediante la tecnología de RED IP que considere calidad de servicio para audio y vídeo, y que brinde Housing a su solución de contingencia, conforme a los parámetros y requerimientos señalados en es</t>
        </is>
      </c>
    </row>
    <row r="276">
      <c r="A276" s="0" t="inlineStr">
        <is>
          <t xml:space="preserve">2667-71-LR26</t>
        </is>
      </c>
      <c r="B276" s="4" t="inlineStr">
        <is>
          <t xml:space="preserve">ARRIENDO SOPORTE Y MANTENCIÓN DE CENTRAL TELEFONICA IP TELEFONOS IP Y PLATAFORMA DE CONTACT CENTER</t>
        </is>
      </c>
      <c r="C276" s="0">
        <v>1</v>
      </c>
      <c r="D276" s="4" t="inlineStr">
        <is>
          <t xml:space="preserve">Sistemas de alarma</t>
        </is>
      </c>
      <c r="E276" s="4" t="inlineStr">
        <is>
          <t xml:space="preserve">Equipos y suministros de defensa, orden público, protección y seguridad / Seguridad, vigilancia y detección / Equipo de vigilancia y detección</t>
        </is>
      </c>
      <c r="F276" s="0">
        <v>1.0</v>
      </c>
      <c r="G276" s="0" t="inlineStr">
        <is>
          <t xml:space="preserve">Global</t>
        </is>
      </c>
      <c r="H276" s="4" t="inlineStr">
        <is>
          <t xml:space="preserve">ARRIENDO, INSTALACIÓN, SOPORTE Y MANTENCIÓN DE CENTRAL TELEFÓNICA, EQUIPOS TELEFÓNICOS Y PLATAFORMA DE ATENCIÓN TELEFÓNICA</t>
        </is>
      </c>
    </row>
    <row r="277">
      <c r="A277" s="0" t="inlineStr">
        <is>
          <t xml:space="preserve">1969-34-LS19</t>
        </is>
      </c>
      <c r="B277" s="4" t="inlineStr">
        <is>
          <t xml:space="preserve">AUTOMATIZACIÓN PORTÓN ACCESO A LINEA DE FUEGO</t>
        </is>
      </c>
      <c r="C277" s="0">
        <v>1</v>
      </c>
      <c r="D277" s="4" t="inlineStr">
        <is>
          <t xml:space="preserve">Puertas de metal</t>
        </is>
      </c>
      <c r="E277" s="4" t="inlineStr">
        <is>
          <t xml:space="preserve">Artículos para estructuras, obras y construcciones / Puertas, ventanas y vidrios / Puertas</t>
        </is>
      </c>
      <c r="F277" s="0">
        <v>1.0</v>
      </c>
      <c r="G277" s="0" t="inlineStr">
        <is>
          <t xml:space="preserve">Unidad</t>
        </is>
      </c>
      <c r="H277" s="4" t="inlineStr">
        <is>
          <t xml:space="preserve">AUTOMATIZACIÓN DE PORTÓN ACCESO A LINEA DE FUEGO C.P. CONCEPCIÓN</t>
        </is>
      </c>
    </row>
  </sheetData>
  <autoFilter ref="A1:H277"/>
</worksheet>
</file>