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1016-9-LE26</t>
        </is>
      </c>
      <c r="B2" s="4" t="inlineStr">
        <is>
          <t xml:space="preserve">Equipamiento Informático 11 Notebook Workstation</t>
        </is>
      </c>
      <c r="C2" s="0" t="inlineStr">
        <is>
          <t xml:space="preserve">Publicada</t>
        </is>
      </c>
      <c r="D2" s="0" t="inlineStr">
        <is>
          <t xml:space="preserve">MINISTERIO DE OBRAS PUBLICAS DIREC CION GRAL DE OO PP DCYF</t>
        </is>
      </c>
      <c r="E2" s="0" t="inlineStr">
        <is>
          <t xml:space="preserve">Dirección de Planeamiento - MOP</t>
        </is>
      </c>
      <c r="F2" s="0" t="inlineStr">
        <is>
          <t xml:space="preserve">Región Metropolitana de Santiago</t>
        </is>
      </c>
      <c r="G2" s="0" t="inlineStr">
        <is>
          <t xml:space="preserve">Santiago Centro</t>
        </is>
      </c>
      <c r="H2" s="2">
        <v>46272.40037</v>
      </c>
      <c r="I2" s="2">
        <v>46286.645833</v>
      </c>
      <c r="J2" s="0">
        <v>14</v>
      </c>
      <c r="K2" s="3">
        <v>35750000.0</v>
      </c>
      <c r="L2" s="0" t="inlineStr">
        <is>
          <t xml:space="preserve">CLP</t>
        </is>
      </c>
      <c r="M2" s="0" t="inlineStr">
        <is>
          <t xml:space="preserve">LE</t>
        </is>
      </c>
      <c r="N2" s="4" t="inlineStr">
        <is>
          <t xml:space="preserve">Tecnologías de la información, telecomunicaciones y radiodifusión / Equipos informáticos y accesorios / Computadores</t>
        </is>
      </c>
      <c r="O2" s="4" t="inlineStr">
        <is>
          <t xml:space="preserve">11 Unidad · Notebook, laptop o computador portátil excepto Tablet PC</t>
        </is>
      </c>
      <c r="P2" s="2"/>
      <c r="Q2" s="2"/>
      <c r="R2" s="0"/>
      <c r="S2" s="0" t="inlineStr">
        <is>
          <t xml:space="preserve">No</t>
        </is>
      </c>
      <c r="T2" s="4" t="inlineStr">
        <is>
          <t xml:space="preserve">Se prohíbe la subcontratación ya que se adjudica de acuerdo a la oferta del proveedor y sus características especiales.</t>
        </is>
      </c>
      <c r="U2" s="0" t="inlineStr">
        <is>
          <t xml:space="preserve">Leonardo Rivera Llanquiman</t>
        </is>
      </c>
      <c r="V2"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2" s="5" t="str">
        <f>HYPERLINK("https://www.mercadopublico.cl/Procurement/Modules/RFB/DetailsAcquisition.aspx?idlicitacion=1016-9-LE26","descargar bases")</f>
      </c>
    </row>
    <row r="3">
      <c r="A3" s="0" t="inlineStr">
        <is>
          <t xml:space="preserve">45-48-LE26</t>
        </is>
      </c>
      <c r="B3" s="4" t="inlineStr">
        <is>
          <t xml:space="preserve">SERVICIO DE MANTENCIÓN DE NUBES ACÚSTICAS PARA LAS DEPENDENCIAS DEL PRIMER PISO SENCE NIVEL CENTRAL</t>
        </is>
      </c>
      <c r="C3" s="0" t="inlineStr">
        <is>
          <t xml:space="preserve">Publicada</t>
        </is>
      </c>
      <c r="D3" s="0" t="inlineStr">
        <is>
          <t xml:space="preserve">SERVICIO NACIONAL DE CAPACITACION Y EMPLEO</t>
        </is>
      </c>
      <c r="E3" s="0" t="inlineStr">
        <is>
          <t xml:space="preserve">Servicio Nacional de Capacitación y Empleo</t>
        </is>
      </c>
      <c r="F3" s="0" t="inlineStr">
        <is>
          <t xml:space="preserve">Región Metropolitana de Santiago</t>
        </is>
      </c>
      <c r="G3" s="0"/>
      <c r="H3" s="2">
        <v>46272.504109</v>
      </c>
      <c r="I3" s="2">
        <v>46286.625694</v>
      </c>
      <c r="J3" s="0">
        <v>14</v>
      </c>
      <c r="K3" s="3">
        <v>10620000.0</v>
      </c>
      <c r="L3" s="0" t="inlineStr">
        <is>
          <t xml:space="preserve">CLP</t>
        </is>
      </c>
      <c r="M3" s="0" t="inlineStr">
        <is>
          <t xml:space="preserve">LE</t>
        </is>
      </c>
      <c r="N3" s="4" t="inlineStr">
        <is>
          <t xml:space="preserve">Servicios medioambientales / Servicios de seguimiento, control o rehabilitación de agentes contaminantes / Control de la contaminación acústica</t>
        </is>
      </c>
      <c r="O3" s="4" t="inlineStr">
        <is>
          <t xml:space="preserve">1 Unidad · Servicios de control de la contaminación acústica</t>
        </is>
      </c>
      <c r="P3" s="2"/>
      <c r="Q3" s="2"/>
      <c r="R3" s="0" t="inlineStr">
        <is>
          <t xml:space="preserve">40 días</t>
        </is>
      </c>
      <c r="S3" s="0" t="inlineStr">
        <is>
          <t xml:space="preserve">No</t>
        </is>
      </c>
      <c r="T3" s="4"/>
      <c r="U3" s="0" t="inlineStr">
        <is>
          <t xml:space="preserve">Diego Figueroa Muñoz</t>
        </is>
      </c>
      <c r="V3"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3" s="5" t="str">
        <f>HYPERLINK("https://www.mercadopublico.cl/Procurement/Modules/RFB/DetailsAcquisition.aspx?idlicitacion=45-48-LE26","descargar bases")</f>
      </c>
    </row>
    <row r="4">
      <c r="A4" s="0" t="inlineStr">
        <is>
          <t xml:space="preserve">885-83-LE26</t>
        </is>
      </c>
      <c r="B4" s="4" t="inlineStr">
        <is>
          <t xml:space="preserve">Servicios de soporte y mantenimiento de la plataforma de seguridad F5 de la Contraloría General de la República</t>
        </is>
      </c>
      <c r="C4" s="0" t="inlineStr">
        <is>
          <t xml:space="preserve">Publicada</t>
        </is>
      </c>
      <c r="D4" s="0" t="inlineStr">
        <is>
          <t xml:space="preserve">CONTRALORIA GENERAL DE LA REPUBLICA</t>
        </is>
      </c>
      <c r="E4" s="0" t="inlineStr">
        <is>
          <t xml:space="preserve">Contraloría General de la República</t>
        </is>
      </c>
      <c r="F4" s="0" t="inlineStr">
        <is>
          <t xml:space="preserve">Región Metropolitana de Santiago</t>
        </is>
      </c>
      <c r="G4" s="0"/>
      <c r="H4" s="2">
        <v>46272.494688</v>
      </c>
      <c r="I4" s="2">
        <v>46287.666667</v>
      </c>
      <c r="J4" s="0">
        <v>15</v>
      </c>
      <c r="K4" s="3">
        <v>16000000.0</v>
      </c>
      <c r="L4" s="0" t="inlineStr">
        <is>
          <t xml:space="preserve">CLP</t>
        </is>
      </c>
      <c r="M4" s="0" t="inlineStr">
        <is>
          <t xml:space="preserve">LE</t>
        </is>
      </c>
      <c r="N4" s="4" t="inlineStr">
        <is>
          <t xml:space="preserve">Tecnologías de la información, telecomunicaciones y radiodifusión / Equipos, plataformas y accesorios de redes multimedia, voz y datos / Equipos de seguridad de red</t>
        </is>
      </c>
      <c r="O4" s="4" t="inlineStr">
        <is>
          <t xml:space="preserve">1 Unidad · Equipo de seguridad de red de firewall</t>
        </is>
      </c>
      <c r="P4" s="2"/>
      <c r="Q4" s="2"/>
      <c r="R4" s="0" t="inlineStr">
        <is>
          <t xml:space="preserve">12 meses</t>
        </is>
      </c>
      <c r="S4" s="0" t="inlineStr">
        <is>
          <t xml:space="preserve">No</t>
        </is>
      </c>
      <c r="T4" s="4"/>
      <c r="U4" s="0" t="inlineStr">
        <is>
          <t xml:space="preserve">Cristian Leon</t>
        </is>
      </c>
      <c r="V4"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4" s="5" t="str">
        <f>HYPERLINK("https://www.mercadopublico.cl/Procurement/Modules/RFB/DetailsAcquisition.aspx?idlicitacion=885-83-LE26","descargar bases")</f>
      </c>
    </row>
  </sheetData>
  <autoFilter ref="A1:W4"/>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1057448-47-L126</t>
        </is>
      </c>
      <c r="B2" s="4" t="inlineStr">
        <is>
          <t xml:space="preserve">CÁPSULA DIGITAL MOODLE – SALUD MENTAL Y RIESGO SUICIDA</t>
        </is>
      </c>
      <c r="C2" s="0" t="inlineStr">
        <is>
          <t xml:space="preserve">Publicada</t>
        </is>
      </c>
      <c r="D2" s="0" t="inlineStr">
        <is>
          <t xml:space="preserve">SERVICIO DE SALUD IQUIQUE</t>
        </is>
      </c>
      <c r="E2" s="0" t="inlineStr">
        <is>
          <t xml:space="preserve">Bienes y Servicios</t>
        </is>
      </c>
      <c r="F2" s="0" t="inlineStr">
        <is>
          <t xml:space="preserve">Región de Tarapacá  </t>
        </is>
      </c>
      <c r="G2" s="0" t="inlineStr">
        <is>
          <t xml:space="preserve">Iquique</t>
        </is>
      </c>
      <c r="H2" s="2">
        <v>46266.632326</v>
      </c>
      <c r="I2" s="2">
        <v>46272.625</v>
      </c>
      <c r="J2" s="0">
        <v>0</v>
      </c>
      <c r="K2" s="3">
        <v>3000000.0</v>
      </c>
      <c r="L2" s="0" t="inlineStr">
        <is>
          <t xml:space="preserve">CLP</t>
        </is>
      </c>
      <c r="M2" s="0" t="inlineStr">
        <is>
          <t xml:space="preserve">L1</t>
        </is>
      </c>
      <c r="N2" s="4" t="inlineStr">
        <is>
          <t xml:space="preserve">Servicios profesionales, administrativos y consultorías de gestión empresarial / Servicios de recursos humanos / Consultorías para el desarrollo de recursos humanos</t>
        </is>
      </c>
      <c r="O2" s="4" t="inlineStr">
        <is>
          <t xml:space="preserve">1 Unidad · Formación, capacitación y entrenamiento de personal</t>
        </is>
      </c>
      <c r="P2" s="2"/>
      <c r="Q2" s="2"/>
      <c r="R2" s="0"/>
      <c r="S2" s="0" t="inlineStr">
        <is>
          <t xml:space="preserve">No</t>
        </is>
      </c>
      <c r="T2" s="4"/>
      <c r="U2" s="0"/>
      <c r="V2" s="4" t="inlineStr">
        <is>
          <t xml:space="preserve">Contratación del servicio de diseño, desarrollo e implementación de una cápsula digital co-construida para la plataforma Moodle del Servicio de Salud Tarapacá, destinada a fortalecer las competencias de funcionarios y funcionarias de la Red en el reconocimiento, prevención y abordaje inicial de requerimientos de atención en salud mental y riesgo suicida, conforme a la Norma General Técnica N.º 249 y protocolos institucionales vigentes.</t>
        </is>
      </c>
      <c r="W2" s="5" t="str">
        <f>HYPERLINK("https://www.mercadopublico.cl/Procurement/Modules/RFB/DetailsAcquisition.aspx?idlicitacion=1057448-47-L126","descargar bases")</f>
      </c>
    </row>
    <row r="3">
      <c r="A3" s="0" t="inlineStr">
        <is>
          <t xml:space="preserve">1431841-53-LE26</t>
        </is>
      </c>
      <c r="B3" s="4" t="inlineStr">
        <is>
          <t xml:space="preserve">ADQUISICIÓN DE CREDITOS GOOGLE CLOUD PLATFORM</t>
        </is>
      </c>
      <c r="C3" s="0" t="inlineStr">
        <is>
          <t xml:space="preserve">Publicada</t>
        </is>
      </c>
      <c r="D3" s="0" t="inlineStr">
        <is>
          <t xml:space="preserve">I MUNICIPALIDAD DE RECOLETA</t>
        </is>
      </c>
      <c r="E3" s="0" t="inlineStr">
        <is>
          <t xml:space="preserve">DIRECCION  DE COMPRAS PUBLICAS</t>
        </is>
      </c>
      <c r="F3" s="0" t="inlineStr">
        <is>
          <t xml:space="preserve">Región Metropolitana de Santiago</t>
        </is>
      </c>
      <c r="G3" s="0" t="inlineStr">
        <is>
          <t xml:space="preserve">Recoleta</t>
        </is>
      </c>
      <c r="H3" s="2">
        <v>46253.435417</v>
      </c>
      <c r="I3" s="2">
        <v>46272.625</v>
      </c>
      <c r="J3" s="0">
        <v>0</v>
      </c>
      <c r="K3" s="3">
        <v>15000000.0</v>
      </c>
      <c r="L3" s="0" t="inlineStr">
        <is>
          <t xml:space="preserve">CLP</t>
        </is>
      </c>
      <c r="M3" s="0" t="inlineStr">
        <is>
          <t xml:space="preserve">LE</t>
        </is>
      </c>
      <c r="N3" s="4" t="inlineStr">
        <is>
          <t xml:space="preserve">Tecnologías de la información, telecomunicaciones y radiodifusión / Software / Software de aplicaciones de red</t>
        </is>
      </c>
      <c r="O3" s="4" t="inlineStr">
        <is>
          <t xml:space="preserve">1 Global · Software de servidor de aplicaciones</t>
        </is>
      </c>
      <c r="P3" s="2"/>
      <c r="Q3" s="2"/>
      <c r="R3" s="0" t="inlineStr">
        <is>
          <t xml:space="preserve">12 meses</t>
        </is>
      </c>
      <c r="S3" s="0" t="inlineStr">
        <is>
          <t xml:space="preserve">No</t>
        </is>
      </c>
      <c r="T3"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3" s="0" t="inlineStr">
        <is>
          <t xml:space="preserve">Carlos Barraza</t>
        </is>
      </c>
      <c r="V3"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3" s="5" t="str">
        <f>HYPERLINK("https://www.mercadopublico.cl/Procurement/Modules/RFB/DetailsAcquisition.aspx?idlicitacion=1431841-53-LE26","descargar bases")</f>
      </c>
    </row>
    <row r="4">
      <c r="A4" s="0" t="inlineStr">
        <is>
          <t xml:space="preserve">1469-186-L126</t>
        </is>
      </c>
      <c r="B4"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4" s="0" t="inlineStr">
        <is>
          <t xml:space="preserve">Publicada</t>
        </is>
      </c>
      <c r="D4" s="0" t="inlineStr">
        <is>
          <t xml:space="preserve">UNIVERSIDAD DE TALCA</t>
        </is>
      </c>
      <c r="E4" s="0" t="inlineStr">
        <is>
          <t xml:space="preserve">Universidad de Talca</t>
        </is>
      </c>
      <c r="F4" s="0" t="inlineStr">
        <is>
          <t xml:space="preserve">Región del Maule </t>
        </is>
      </c>
      <c r="G4" s="0" t="inlineStr">
        <is>
          <t xml:space="preserve">Talca</t>
        </is>
      </c>
      <c r="H4" s="2">
        <v>46266.556169</v>
      </c>
      <c r="I4" s="2">
        <v>46272.625</v>
      </c>
      <c r="J4" s="0">
        <v>0</v>
      </c>
      <c r="K4" s="3">
        <v>4800000.0</v>
      </c>
      <c r="L4" s="0" t="inlineStr">
        <is>
          <t xml:space="preserve">CLP</t>
        </is>
      </c>
      <c r="M4" s="0" t="inlineStr">
        <is>
          <t xml:space="preserve">L1</t>
        </is>
      </c>
      <c r="N4" s="4" t="inlineStr">
        <is>
          <t xml:space="preserve">Servicios profesionales, administrativos y consultorías de gestión empresarial / Consultorías o asesorías en gestión empresarial / Servicios de consultoría en gestión de empresas</t>
        </is>
      </c>
      <c r="O4" s="4" t="inlineStr">
        <is>
          <t xml:space="preserve">1 Unidad · Asesorías Informáticas</t>
        </is>
      </c>
      <c r="P4" s="2"/>
      <c r="Q4" s="2"/>
      <c r="R4" s="0"/>
      <c r="S4" s="0" t="inlineStr">
        <is>
          <t xml:space="preserve">No</t>
        </is>
      </c>
      <c r="T4" s="4"/>
      <c r="U4" s="0"/>
      <c r="V4" s="4" t="inlineStr">
        <is>
          <t xml:space="preserve">La Escuela de Ingeniería Civil Industrial de la Facultad de Ingeniería de la Universidad de Talca cuenta con un Laboratorio de Simulación y Mejora de Procesos equipado con estaciones didácticas de Industria 4.0, instrumentación industrial, controladores lógicos programables y equipamiento electrónico asociado, utilizado de forma regular en la docencia de pregrado.</t>
        </is>
      </c>
      <c r="W4" s="5" t="str">
        <f>HYPERLINK("https://www.mercadopublico.cl/Procurement/Modules/RFB/DetailsAcquisition.aspx?idlicitacion=1469-186-L126","descargar bases")</f>
      </c>
    </row>
    <row r="5">
      <c r="A5" s="0" t="inlineStr">
        <is>
          <t xml:space="preserve">3820-25-LE26</t>
        </is>
      </c>
      <c r="B5" s="4" t="inlineStr">
        <is>
          <t xml:space="preserve">ADQUISICION Y RENOVACION DE LICENCIAS DE SOFTWARE</t>
        </is>
      </c>
      <c r="C5" s="0" t="inlineStr">
        <is>
          <t xml:space="preserve">Publicada</t>
        </is>
      </c>
      <c r="D5" s="0" t="inlineStr">
        <is>
          <t xml:space="preserve">I MUNICIPALIDAD DE SANTA MARIA</t>
        </is>
      </c>
      <c r="E5" s="0" t="inlineStr">
        <is>
          <t xml:space="preserve">I MUNICIPALIDAD DE SANTA MARIA</t>
        </is>
      </c>
      <c r="F5" s="0" t="inlineStr">
        <is>
          <t xml:space="preserve">Región de Valparaíso </t>
        </is>
      </c>
      <c r="G5" s="0" t="inlineStr">
        <is>
          <t xml:space="preserve">Santa María</t>
        </is>
      </c>
      <c r="H5" s="2">
        <v>46260.491667</v>
      </c>
      <c r="I5" s="2">
        <v>46272.625</v>
      </c>
      <c r="J5" s="0">
        <v>0</v>
      </c>
      <c r="K5" s="3">
        <v>16000000.0</v>
      </c>
      <c r="L5" s="0" t="inlineStr">
        <is>
          <t xml:space="preserve">CLP</t>
        </is>
      </c>
      <c r="M5" s="0" t="inlineStr">
        <is>
          <t xml:space="preserve">LE</t>
        </is>
      </c>
      <c r="N5" s="4" t="inlineStr">
        <is>
          <t xml:space="preserve">Tecnologías de la información, telecomunicaciones y radiodifusión / Software / Software de gestión</t>
        </is>
      </c>
      <c r="O5" s="4" t="inlineStr">
        <is>
          <t xml:space="preserve">1 Unidad · Software de gestión de licencias</t>
        </is>
      </c>
      <c r="P5" s="2"/>
      <c r="Q5" s="2"/>
      <c r="R5" s="0"/>
      <c r="S5" s="0" t="inlineStr">
        <is>
          <t xml:space="preserve">No</t>
        </is>
      </c>
      <c r="T5" s="4"/>
      <c r="U5" s="0" t="inlineStr">
        <is>
          <t xml:space="preserve">Ninoska Pino</t>
        </is>
      </c>
      <c r="V5"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5" s="5" t="str">
        <f>HYPERLINK("https://www.mercadopublico.cl/Procurement/Modules/RFB/DetailsAcquisition.aspx?idlicitacion=3820-25-LE26","descargar bases")</f>
      </c>
    </row>
    <row r="6">
      <c r="A6" s="0" t="inlineStr">
        <is>
          <t xml:space="preserve">584105-34-LE26</t>
        </is>
      </c>
      <c r="B6" s="4" t="inlineStr">
        <is>
          <t xml:space="preserve">Licitacion licencia de software</t>
        </is>
      </c>
      <c r="C6" s="0" t="inlineStr">
        <is>
          <t xml:space="preserve">Publicada</t>
        </is>
      </c>
      <c r="D6" s="0" t="inlineStr">
        <is>
          <t xml:space="preserve">SUBSECRETARIA DE ENERGIA</t>
        </is>
      </c>
      <c r="E6" s="0" t="inlineStr">
        <is>
          <t xml:space="preserve">P01</t>
        </is>
      </c>
      <c r="F6" s="0" t="inlineStr">
        <is>
          <t xml:space="preserve">Región Metropolitana de Santiago</t>
        </is>
      </c>
      <c r="G6" s="0" t="inlineStr">
        <is>
          <t xml:space="preserve">Santiago</t>
        </is>
      </c>
      <c r="H6" s="2">
        <v>46261.455972</v>
      </c>
      <c r="I6" s="2">
        <v>46272.625</v>
      </c>
      <c r="J6" s="0">
        <v>0</v>
      </c>
      <c r="K6" s="3"/>
      <c r="L6" s="0" t="inlineStr">
        <is>
          <t xml:space="preserve">CLP</t>
        </is>
      </c>
      <c r="M6" s="0" t="inlineStr">
        <is>
          <t xml:space="preserve">LE</t>
        </is>
      </c>
      <c r="N6" s="4" t="inlineStr">
        <is>
          <t xml:space="preserve">Servicios profesionales, administrativos y consultorías de gestión empresarial / Servicios de recursos humanos / Contratación de personal</t>
        </is>
      </c>
      <c r="O6" s="4" t="inlineStr">
        <is>
          <t xml:space="preserve">1 Unidad · Desarrolladores de software</t>
        </is>
      </c>
      <c r="P6" s="2"/>
      <c r="Q6" s="2"/>
      <c r="R6" s="0"/>
      <c r="S6" s="0" t="inlineStr">
        <is>
          <t xml:space="preserve">No</t>
        </is>
      </c>
      <c r="T6" s="4" t="inlineStr">
        <is>
          <t xml:space="preserve">De acuerdo a lo establecido en bases adjuntas</t>
        </is>
      </c>
      <c r="U6" s="0" t="inlineStr">
        <is>
          <t xml:space="preserve">Andrea Fernández</t>
        </is>
      </c>
      <c r="V6" s="4" t="inlineStr">
        <is>
          <t xml:space="preserve">LICENCIA DE SOFTWARE DE OPTIMIZACION MATEMÁTICA AVANZADO PARA PLANIFICACIÓN ENERGÉTICA</t>
        </is>
      </c>
      <c r="W6" s="5" t="str">
        <f>HYPERLINK("https://www.mercadopublico.cl/Procurement/Modules/RFB/DetailsAcquisition.aspx?idlicitacion=584105-34-LE26","descargar bases")</f>
      </c>
    </row>
    <row r="7">
      <c r="A7" s="0" t="inlineStr">
        <is>
          <t xml:space="preserve">721-29-LP26</t>
        </is>
      </c>
      <c r="B7" s="4" t="inlineStr">
        <is>
          <t xml:space="preserve">Respaldo y recuperación plataforma de servidores</t>
        </is>
      </c>
      <c r="C7" s="0" t="inlineStr">
        <is>
          <t xml:space="preserve">Publicada</t>
        </is>
      </c>
      <c r="D7" s="0" t="inlineStr">
        <is>
          <t xml:space="preserve">CAJA DE PREVISION DE LA DEFENSA NACIONAL</t>
        </is>
      </c>
      <c r="E7" s="0" t="inlineStr">
        <is>
          <t xml:space="preserve">CAPREDENA</t>
        </is>
      </c>
      <c r="F7" s="0" t="inlineStr">
        <is>
          <t xml:space="preserve">Región Metropolitana de Santiago</t>
        </is>
      </c>
      <c r="G7" s="0" t="inlineStr">
        <is>
          <t xml:space="preserve">Santiago</t>
        </is>
      </c>
      <c r="H7" s="2">
        <v>46247.698611</v>
      </c>
      <c r="I7" s="2">
        <v>46272.625</v>
      </c>
      <c r="J7" s="0">
        <v>0</v>
      </c>
      <c r="K7" s="3">
        <v>4728.0</v>
      </c>
      <c r="L7" s="0" t="inlineStr">
        <is>
          <t xml:space="preserve">CLF</t>
        </is>
      </c>
      <c r="M7" s="0" t="inlineStr">
        <is>
          <t xml:space="preserve">LP</t>
        </is>
      </c>
      <c r="N7" s="4" t="inlineStr">
        <is>
          <t xml:space="preserve">Tecnologías de la información, telecomunicaciones y radiodifusión / Equipos, plataformas y accesorios de redes multimedia, voz y datos / Equipos de servicio de red</t>
        </is>
      </c>
      <c r="O7" s="4" t="inlineStr">
        <is>
          <t xml:space="preserve">24 Unidad · Servidores de acceso</t>
        </is>
      </c>
      <c r="P7" s="2"/>
      <c r="Q7" s="2"/>
      <c r="R7" s="0" t="inlineStr">
        <is>
          <t xml:space="preserve">24 meses</t>
        </is>
      </c>
      <c r="S7" s="0" t="inlineStr">
        <is>
          <t xml:space="preserve">No</t>
        </is>
      </c>
      <c r="T7" s="4"/>
      <c r="U7" s="0" t="inlineStr">
        <is>
          <t xml:space="preserve">Juan Carlos Villalobos Yáñez</t>
        </is>
      </c>
      <c r="V7" s="4" t="inlineStr">
        <is>
          <t xml:space="preserve">CAPREDENA llama a licitación pública para contratar la prestación del SERVICIO DE RESPALDO Y RECUPERACIÓN DE SU PLATAFORMA DE SERVIDORES DE CAPREDENA, por el periodo de 24 meses, más el plazo de implementación.</t>
        </is>
      </c>
      <c r="W7" s="5" t="str">
        <f>HYPERLINK("https://www.mercadopublico.cl/Procurement/Modules/RFB/DetailsAcquisition.aspx?idlicitacion=721-29-LP26","descargar bases")</f>
      </c>
    </row>
    <row r="8">
      <c r="A8" s="0" t="inlineStr">
        <is>
          <t xml:space="preserve">869591-10-LP26</t>
        </is>
      </c>
      <c r="B8" s="4" t="inlineStr">
        <is>
          <t xml:space="preserve">CONTRATACIÓN DEL SERVICIO DE DISEÑO Y DESARROLLO DEL NUEVO PORTAL API Y CAPA DE DATOS DE NEGOCIO PARA MERCADO PÚBLICO</t>
        </is>
      </c>
      <c r="C8" s="0" t="inlineStr">
        <is>
          <t xml:space="preserve">Publicada</t>
        </is>
      </c>
      <c r="D8" s="0" t="inlineStr">
        <is>
          <t xml:space="preserve">DIRECCION DE COMPRAS Y CONTRATACION PUBLICA</t>
        </is>
      </c>
      <c r="E8" s="0" t="inlineStr">
        <is>
          <t xml:space="preserve">Calidad del Gasto en las Compras Públicas</t>
        </is>
      </c>
      <c r="F8" s="0" t="inlineStr">
        <is>
          <t xml:space="preserve">Región Metropolitana de Santiago</t>
        </is>
      </c>
      <c r="G8" s="0" t="inlineStr">
        <is>
          <t xml:space="preserve">Santiago Centro</t>
        </is>
      </c>
      <c r="H8" s="2">
        <v>46246.440972</v>
      </c>
      <c r="I8" s="2">
        <v>46272.625</v>
      </c>
      <c r="J8" s="0">
        <v>0</v>
      </c>
      <c r="K8" s="3"/>
      <c r="L8" s="0" t="inlineStr">
        <is>
          <t xml:space="preserve">CLF</t>
        </is>
      </c>
      <c r="M8" s="0" t="inlineStr">
        <is>
          <t xml:space="preserve">LP</t>
        </is>
      </c>
      <c r="N8" s="4" t="inlineStr">
        <is>
          <t xml:space="preserve">Servicios profesionales, administrativos y consultorías de gestión empresarial / Servicios de recursos humanos / Contratación de personal</t>
        </is>
      </c>
      <c r="O8" s="4" t="inlineStr">
        <is>
          <t xml:space="preserve">1 Unidad · Desarrolladores de software</t>
        </is>
      </c>
      <c r="P8" s="2"/>
      <c r="Q8" s="2"/>
      <c r="R8" s="0" t="inlineStr">
        <is>
          <t xml:space="preserve">12 meses</t>
        </is>
      </c>
      <c r="S8" s="0" t="inlineStr">
        <is>
          <t xml:space="preserve">No</t>
        </is>
      </c>
      <c r="T8" s="4" t="inlineStr">
        <is>
          <t xml:space="preserve">ver clausula 10 de las bases especiales</t>
        </is>
      </c>
      <c r="U8" s="0" t="inlineStr">
        <is>
          <t xml:space="preserve">Christian Zarria</t>
        </is>
      </c>
      <c r="V8" s="4" t="inlineStr">
        <is>
          <t xml:space="preserve">CONTRATACIÓN DEL SERVICIO DE DISEÑO Y DESARROLLO DEL NUEVO PORTAL API Y CAPA DE DATOS DE NEGOCIO PARA MERCADO PÚBLICO</t>
        </is>
      </c>
      <c r="W8" s="5" t="str">
        <f>HYPERLINK("https://www.mercadopublico.cl/Procurement/Modules/RFB/DetailsAcquisition.aspx?idlicitacion=869591-10-LP26","descargar bases")</f>
      </c>
    </row>
    <row r="9">
      <c r="A9" s="0" t="inlineStr">
        <is>
          <t xml:space="preserve">564162-115-L126</t>
        </is>
      </c>
      <c r="B9" s="4" t="inlineStr">
        <is>
          <t xml:space="preserve">Solicitud N°92870 - Bolsas, etiquetas y cajas con impresión digital - CC112 / PS1772</t>
        </is>
      </c>
      <c r="C9" s="0" t="inlineStr">
        <is>
          <t xml:space="preserve">Publicada</t>
        </is>
      </c>
      <c r="D9" s="0" t="inlineStr">
        <is>
          <t xml:space="preserve">UNIVERSIDAD DE SANTIAGO DE CHILE</t>
        </is>
      </c>
      <c r="E9" s="0" t="inlineStr">
        <is>
          <t xml:space="preserve">VICERRECTORIA DE INVESTIGACION Y DESARROLLO</t>
        </is>
      </c>
      <c r="F9" s="0" t="inlineStr">
        <is>
          <t xml:space="preserve">Región Metropolitana de Santiago</t>
        </is>
      </c>
      <c r="G9" s="0" t="inlineStr">
        <is>
          <t xml:space="preserve">Estación Central</t>
        </is>
      </c>
      <c r="H9" s="2">
        <v>46265.7214</v>
      </c>
      <c r="I9" s="2">
        <v>46272.625</v>
      </c>
      <c r="J9" s="0">
        <v>0</v>
      </c>
      <c r="K9" s="3">
        <v>5210000.0</v>
      </c>
      <c r="L9" s="0" t="inlineStr">
        <is>
          <t xml:space="preserve">CLP</t>
        </is>
      </c>
      <c r="M9" s="0" t="inlineStr">
        <is>
          <t xml:space="preserve">L1</t>
        </is>
      </c>
      <c r="N9"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9" s="4" t="inlineStr">
        <is>
          <t xml:space="preserve">1 Unidad · Cajas para empaquetado · 1 Unidad · Cajas para empaquetado · 1 Unidad · Papel, bolsas o cajas de regalo · y 2 más</t>
        </is>
      </c>
      <c r="P9" s="2"/>
      <c r="Q9" s="2"/>
      <c r="R9" s="0"/>
      <c r="S9" s="0" t="inlineStr">
        <is>
          <t xml:space="preserve">No</t>
        </is>
      </c>
      <c r="T9" s="4"/>
      <c r="U9" s="0"/>
      <c r="V9" s="4" t="inlineStr">
        <is>
          <t xml:space="preserve">La Universidad de Santiago de chile requiere la compra de bolsas, etiquetas y cajas con impresión digital según especificaciones técnicas.</t>
        </is>
      </c>
      <c r="W9" s="5" t="str">
        <f>HYPERLINK("https://www.mercadopublico.cl/Procurement/Modules/RFB/DetailsAcquisition.aspx?idlicitacion=564162-115-L126","descargar bases")</f>
      </c>
    </row>
    <row r="10">
      <c r="A10" s="0" t="inlineStr">
        <is>
          <t xml:space="preserve">2324-109-LE26</t>
        </is>
      </c>
      <c r="B10" s="4" t="inlineStr">
        <is>
          <t xml:space="preserve">LICITACION PÚBLICA N° 52026 “CONTRATACION DE SOFTWARE CONTROL DE OBRAS Y GESTION DE PROYECTOS PARA LA INSPECCION DE OBRAS MUNICIPALES POR 3 AÑOS”</t>
        </is>
      </c>
      <c r="C10" s="0" t="inlineStr">
        <is>
          <t xml:space="preserve">Publicada</t>
        </is>
      </c>
      <c r="D10" s="0" t="inlineStr">
        <is>
          <t xml:space="preserve">I MUNICIPALIDAD DE PUERTO MONTT</t>
        </is>
      </c>
      <c r="E10" s="0" t="inlineStr">
        <is>
          <t xml:space="preserve">Departamento de Licitaciones y gestión de Abastecimiento </t>
        </is>
      </c>
      <c r="F10" s="0" t="inlineStr">
        <is>
          <t xml:space="preserve">Región de los Lagos </t>
        </is>
      </c>
      <c r="G10" s="0" t="inlineStr">
        <is>
          <t xml:space="preserve">Puerto Montt</t>
        </is>
      </c>
      <c r="H10" s="2">
        <v>46262.428472</v>
      </c>
      <c r="I10" s="2">
        <v>46272.625694</v>
      </c>
      <c r="J10" s="0">
        <v>0</v>
      </c>
      <c r="K10" s="3"/>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Global · Programas de gestión de proyectos</t>
        </is>
      </c>
      <c r="P10" s="2"/>
      <c r="Q10" s="2"/>
      <c r="R10" s="0" t="inlineStr">
        <is>
          <t xml:space="preserve">36 meses</t>
        </is>
      </c>
      <c r="S10" s="0" t="inlineStr">
        <is>
          <t xml:space="preserve">No</t>
        </is>
      </c>
      <c r="T10" s="4" t="inlineStr">
        <is>
          <t xml:space="preserve">SEGUN ARTICULO BASES ADMINISTRATIVAS.</t>
        </is>
      </c>
      <c r="U10" s="0" t="inlineStr">
        <is>
          <t xml:space="preserve">JAVIERA  TORRES</t>
        </is>
      </c>
      <c r="V10" s="4" t="inlineStr">
        <is>
          <t xml:space="preserve">LICITACION PÚBLICA N° 5/2026 “CONTRATACION DE SOFTWARE CONTROL DE OBRAS Y GESTION DE PROYECTOS PARA LA INSPECCION DE OBRAS MUNICIPALES POR 3 AÑOS”</t>
        </is>
      </c>
      <c r="W10" s="5" t="str">
        <f>HYPERLINK("https://www.mercadopublico.cl/Procurement/Modules/RFB/DetailsAcquisition.aspx?idlicitacion=2324-109-LE26","descargar bases")</f>
      </c>
    </row>
    <row r="11">
      <c r="A11" s="0" t="inlineStr">
        <is>
          <t xml:space="preserve">29-69-LE26</t>
        </is>
      </c>
      <c r="B11" s="4" t="inlineStr">
        <is>
          <t xml:space="preserve">SERVICIO DE TRANSMISIÓN ELECTRÓNICA DE DATOS</t>
        </is>
      </c>
      <c r="C11" s="0" t="inlineStr">
        <is>
          <t xml:space="preserve">Publicada</t>
        </is>
      </c>
      <c r="D11" s="0" t="inlineStr">
        <is>
          <t xml:space="preserve">FUERZA AEREA DE CHILE COMANDO LOGISTICO</t>
        </is>
      </c>
      <c r="E11" s="0" t="inlineStr">
        <is>
          <t xml:space="preserve">Comando Logístico</t>
        </is>
      </c>
      <c r="F11" s="0" t="inlineStr">
        <is>
          <t xml:space="preserve">Región Metropolitana de Santiago</t>
        </is>
      </c>
      <c r="G11" s="0" t="inlineStr">
        <is>
          <t xml:space="preserve">El Bosque</t>
        </is>
      </c>
      <c r="H11" s="2">
        <v>46258.61147</v>
      </c>
      <c r="I11" s="2">
        <v>46272.625694</v>
      </c>
      <c r="J11" s="0">
        <v>0</v>
      </c>
      <c r="K11" s="3"/>
      <c r="L11" s="0" t="inlineStr">
        <is>
          <t xml:space="preserve">CLP</t>
        </is>
      </c>
      <c r="M11" s="0" t="inlineStr">
        <is>
          <t xml:space="preserve">LE</t>
        </is>
      </c>
      <c r="N11" s="4" t="inlineStr">
        <is>
          <t xml:space="preserve">Servicios de perforación de minería, petróleo y gas / Servicios gestión y proceso de datos e información sobre petróleo y gas / Servicios de comunicación de datos del campo petrolífero</t>
        </is>
      </c>
      <c r="O11" s="4" t="inlineStr">
        <is>
          <t xml:space="preserve">1 Unidad · Servicios de transmisión de datos de registro</t>
        </is>
      </c>
      <c r="P11" s="2"/>
      <c r="Q11" s="2"/>
      <c r="R11" s="0"/>
      <c r="S11" s="0" t="inlineStr">
        <is>
          <t xml:space="preserve">No</t>
        </is>
      </c>
      <c r="T11" s="4"/>
      <c r="U11" s="0" t="inlineStr">
        <is>
          <t xml:space="preserve">Francisco Parra Guarda</t>
        </is>
      </c>
      <c r="V11" s="4" t="inlineStr">
        <is>
          <t xml:space="preserve">SERVICIO DE TRANSMISIÓN ELECTRÓNICA DE DATOS ENTRE LA FUERZA AÉREA DE CHILE Y EL SERVICIO NACIONAL DE ADUANAS.</t>
        </is>
      </c>
      <c r="W11" s="5" t="str">
        <f>HYPERLINK("https://www.mercadopublico.cl/Procurement/Modules/RFB/DetailsAcquisition.aspx?idlicitacion=29-69-LE26","descargar bases")</f>
      </c>
    </row>
    <row r="12">
      <c r="A12" s="0" t="inlineStr">
        <is>
          <t xml:space="preserve">2446-251-LE26</t>
        </is>
      </c>
      <c r="B12" s="4" t="inlineStr">
        <is>
          <t xml:space="preserve">IMPLEMENTACION PLATAFORMA E-LEARNING</t>
        </is>
      </c>
      <c r="C12" s="0" t="inlineStr">
        <is>
          <t xml:space="preserve">Publicada</t>
        </is>
      </c>
      <c r="D12" s="0" t="inlineStr">
        <is>
          <t xml:space="preserve">I MUNICIPALIDAD DE COQUIMBO</t>
        </is>
      </c>
      <c r="E12" s="0" t="inlineStr">
        <is>
          <t xml:space="preserve">IMUNI_COQUIMBO</t>
        </is>
      </c>
      <c r="F12" s="0" t="inlineStr">
        <is>
          <t xml:space="preserve">Región de Coquimbo </t>
        </is>
      </c>
      <c r="G12" s="0" t="inlineStr">
        <is>
          <t xml:space="preserve">Coquimbo</t>
        </is>
      </c>
      <c r="H12" s="2">
        <v>46262.432604</v>
      </c>
      <c r="I12" s="2">
        <v>46272.63125</v>
      </c>
      <c r="J12" s="0">
        <v>0</v>
      </c>
      <c r="K12" s="3">
        <v>14000000.0</v>
      </c>
      <c r="L12" s="0" t="inlineStr">
        <is>
          <t xml:space="preserve">CLP</t>
        </is>
      </c>
      <c r="M12" s="0" t="inlineStr">
        <is>
          <t xml:space="preserve">LE</t>
        </is>
      </c>
      <c r="N12" s="4" t="inlineStr">
        <is>
          <t xml:space="preserve">Educación, formación, entrenamiento y capacitación / Servicios de orientación y tecnología educativa / Tecnología educativa</t>
        </is>
      </c>
      <c r="O12" s="4" t="inlineStr">
        <is>
          <t xml:space="preserve">1 Unidad · E-learning</t>
        </is>
      </c>
      <c r="P12" s="2"/>
      <c r="Q12" s="2"/>
      <c r="R12" s="0" t="inlineStr">
        <is>
          <t xml:space="preserve">730 días</t>
        </is>
      </c>
      <c r="S12" s="0" t="inlineStr">
        <is>
          <t xml:space="preserve">No</t>
        </is>
      </c>
      <c r="T12" s="4"/>
      <c r="U12" s="0" t="inlineStr">
        <is>
          <t xml:space="preserve">ENCARGADO DEPTO DE DESARROLLO HUMANO</t>
        </is>
      </c>
      <c r="V12"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12" s="5" t="str">
        <f>HYPERLINK("https://www.mercadopublico.cl/Procurement/Modules/RFB/DetailsAcquisition.aspx?idlicitacion=2446-251-LE26","descargar bases")</f>
      </c>
    </row>
    <row r="13">
      <c r="A13" s="0" t="inlineStr">
        <is>
          <t xml:space="preserve">2490-81-LP26</t>
        </is>
      </c>
      <c r="B13" s="4" t="inlineStr">
        <is>
          <t xml:space="preserve">“RENOVACIÓN Y ADQUISICIÓN DE SOFTWARE DE LICENCIAS AUTODESK O EQUIVALENTE 2026-2027”</t>
        </is>
      </c>
      <c r="C13" s="0" t="inlineStr">
        <is>
          <t xml:space="preserve">Publicada</t>
        </is>
      </c>
      <c r="D13" s="0" t="inlineStr">
        <is>
          <t xml:space="preserve">I MUNICIPALIDAD DE PROVIDENCIA</t>
        </is>
      </c>
      <c r="E13" s="0" t="inlineStr">
        <is>
          <t xml:space="preserve">Dirección de Secpla</t>
        </is>
      </c>
      <c r="F13" s="0" t="inlineStr">
        <is>
          <t xml:space="preserve">Región Metropolitana de Santiago</t>
        </is>
      </c>
      <c r="G13" s="0" t="inlineStr">
        <is>
          <t xml:space="preserve">Providencia</t>
        </is>
      </c>
      <c r="H13" s="2">
        <v>46251.603472</v>
      </c>
      <c r="I13" s="2">
        <v>46272.631944</v>
      </c>
      <c r="J13" s="0">
        <v>0</v>
      </c>
      <c r="K13" s="3"/>
      <c r="L13" s="0" t="inlineStr">
        <is>
          <t xml:space="preserve">USD</t>
        </is>
      </c>
      <c r="M13" s="0" t="inlineStr">
        <is>
          <t xml:space="preserve">LP</t>
        </is>
      </c>
      <c r="N13" s="4" t="inlineStr">
        <is>
          <t xml:space="preserve">Tecnologías de la información, telecomunicaciones y radiodifusión / Software / Software de gestión</t>
        </is>
      </c>
      <c r="O13" s="4" t="inlineStr">
        <is>
          <t xml:space="preserve">1 Global · Software de gestión de licencias</t>
        </is>
      </c>
      <c r="P13" s="2"/>
      <c r="Q13" s="2"/>
      <c r="R13" s="0" t="inlineStr">
        <is>
          <t xml:space="preserve">12 meses</t>
        </is>
      </c>
      <c r="S13" s="0" t="inlineStr">
        <is>
          <t xml:space="preserve">No</t>
        </is>
      </c>
      <c r="T13" s="4"/>
      <c r="U13" s="0" t="inlineStr">
        <is>
          <t xml:space="preserve">GONZALO SALAZAR</t>
        </is>
      </c>
      <c r="V13"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13" s="5" t="str">
        <f>HYPERLINK("https://www.mercadopublico.cl/Procurement/Modules/RFB/DetailsAcquisition.aspx?idlicitacion=2490-81-LP26","descargar bases")</f>
      </c>
    </row>
    <row r="14">
      <c r="A14" s="0" t="inlineStr">
        <is>
          <t xml:space="preserve">1007793-15-LE26</t>
        </is>
      </c>
      <c r="B14" s="4" t="inlineStr">
        <is>
          <t xml:space="preserve">SOLUCIÓN INFORMÁTICA INSTITUCIONAL PARA EL CFT</t>
        </is>
      </c>
      <c r="C14" s="0" t="inlineStr">
        <is>
          <t xml:space="preserve">Publicada</t>
        </is>
      </c>
      <c r="D14" s="0" t="inlineStr">
        <is>
          <t xml:space="preserve">CENTRO DE FORMACION TECNICA ESTATAL DE LA REGION DE LOS LAGOS</t>
        </is>
      </c>
      <c r="E14" s="0" t="inlineStr">
        <is>
          <t xml:space="preserve">Rectoría</t>
        </is>
      </c>
      <c r="F14" s="0" t="inlineStr">
        <is>
          <t xml:space="preserve">Región de los Lagos </t>
        </is>
      </c>
      <c r="G14" s="0" t="inlineStr">
        <is>
          <t xml:space="preserve">Llanquihue</t>
        </is>
      </c>
      <c r="H14" s="2">
        <v>46253.503472</v>
      </c>
      <c r="I14" s="2">
        <v>46272.645833</v>
      </c>
      <c r="J14" s="0">
        <v>0</v>
      </c>
      <c r="K14" s="3">
        <v>11300000.0</v>
      </c>
      <c r="L14" s="0" t="inlineStr">
        <is>
          <t xml:space="preserve">CLP</t>
        </is>
      </c>
      <c r="M14" s="0" t="inlineStr">
        <is>
          <t xml:space="preserve">LE</t>
        </is>
      </c>
      <c r="N14" s="4" t="inlineStr">
        <is>
          <t xml:space="preserve">Tecnologías de la información, telecomunicaciones y radiodifusión / Software / Programas de desarrollo</t>
        </is>
      </c>
      <c r="O14" s="4" t="inlineStr">
        <is>
          <t xml:space="preserve">1 Unidad · Software de desarrollo de plataforma Web · 1 Unidad · Software de desarrollo de plataforma Web · 1 Unidad · Software de desarrollo de plataforma Web</t>
        </is>
      </c>
      <c r="P14" s="2"/>
      <c r="Q14" s="2"/>
      <c r="R14" s="0" t="inlineStr">
        <is>
          <t xml:space="preserve">24 meses</t>
        </is>
      </c>
      <c r="S14" s="0" t="inlineStr">
        <is>
          <t xml:space="preserve">No</t>
        </is>
      </c>
      <c r="T14" s="4" t="inlineStr">
        <is>
          <t xml:space="preserve">Revisar Res.Ex.98 que aprueba bases de licitación.</t>
        </is>
      </c>
      <c r="U14" s="0" t="inlineStr">
        <is>
          <t xml:space="preserve">Marcela Bravo Novoa</t>
        </is>
      </c>
      <c r="V14" s="4" t="inlineStr">
        <is>
          <t xml:space="preserve">Se requiere la adquisición de una solución informática institucional para la gestión de iniciativas de vinculación con el medio del CFT Estatal de la Región de Los Lagos.</t>
        </is>
      </c>
      <c r="W14" s="5" t="str">
        <f>HYPERLINK("https://www.mercadopublico.cl/Procurement/Modules/RFB/DetailsAcquisition.aspx?idlicitacion=1007793-15-LE26","descargar bases")</f>
      </c>
    </row>
    <row r="15">
      <c r="A15" s="0" t="inlineStr">
        <is>
          <t xml:space="preserve">1978-44-LE26</t>
        </is>
      </c>
      <c r="B15" s="4" t="inlineStr">
        <is>
          <t xml:space="preserve">ADQUISICIÓN DE SOLUCIÓN XDR PARA CIBERSEGURIDAD AVANZADA SERVICIO DE SALUD MAULE</t>
        </is>
      </c>
      <c r="C15" s="0" t="inlineStr">
        <is>
          <t xml:space="preserve">Publicada</t>
        </is>
      </c>
      <c r="D15" s="0" t="inlineStr">
        <is>
          <t xml:space="preserve">SERVICIO DE SALUD DEL MAULE</t>
        </is>
      </c>
      <c r="E15" s="0" t="inlineStr">
        <is>
          <t xml:space="preserve">Servicio de Salud del Maule</t>
        </is>
      </c>
      <c r="F15" s="0" t="inlineStr">
        <is>
          <t xml:space="preserve">Región del Maule </t>
        </is>
      </c>
      <c r="G15" s="0" t="inlineStr">
        <is>
          <t xml:space="preserve">Maule</t>
        </is>
      </c>
      <c r="H15" s="2">
        <v>46259.473611</v>
      </c>
      <c r="I15" s="2">
        <v>46272.645833</v>
      </c>
      <c r="J15" s="0">
        <v>0</v>
      </c>
      <c r="K15" s="3">
        <v>21500000.0</v>
      </c>
      <c r="L15" s="0" t="inlineStr">
        <is>
          <t xml:space="preserve">CLP</t>
        </is>
      </c>
      <c r="M15" s="0" t="inlineStr">
        <is>
          <t xml:space="preserve">LE</t>
        </is>
      </c>
      <c r="N15" s="4" t="inlineStr">
        <is>
          <t xml:space="preserve">Servicios basados en ingeniería, ciencias sociales y tecnología de la información / Servicios informáticos / Administración de sistemas</t>
        </is>
      </c>
      <c r="O15" s="4" t="inlineStr">
        <is>
          <t xml:space="preserve">1 Unidad · Seguridad para computadores, redes e Internet</t>
        </is>
      </c>
      <c r="P15" s="2"/>
      <c r="Q15" s="2"/>
      <c r="R15" s="0" t="inlineStr">
        <is>
          <t xml:space="preserve">24 meses</t>
        </is>
      </c>
      <c r="S15" s="0" t="inlineStr">
        <is>
          <t xml:space="preserve">No</t>
        </is>
      </c>
      <c r="T15" s="4" t="inlineStr">
        <is>
          <t xml:space="preserve">De acuerdo a Resolución Exenta Nº3560 de fecha 21 de agosto de 2026</t>
        </is>
      </c>
      <c r="U15" s="0" t="inlineStr">
        <is>
          <t xml:space="preserve">Héctor Bastidas</t>
        </is>
      </c>
      <c r="V15"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15" s="5" t="str">
        <f>HYPERLINK("https://www.mercadopublico.cl/Procurement/Modules/RFB/DetailsAcquisition.aspx?idlicitacion=1978-44-LE26","descargar bases")</f>
      </c>
    </row>
    <row r="16">
      <c r="A16" s="0" t="inlineStr">
        <is>
          <t xml:space="preserve">730566-21-LP26</t>
        </is>
      </c>
      <c r="B16" s="4" t="inlineStr">
        <is>
          <t xml:space="preserve">RENOVACIÓN DE PLATAFORMA WIFI</t>
        </is>
      </c>
      <c r="C16" s="0" t="inlineStr">
        <is>
          <t xml:space="preserve">Publicada</t>
        </is>
      </c>
      <c r="D16" s="0" t="inlineStr">
        <is>
          <t xml:space="preserve">SUBSECRETARIA DE EVALUACION SOCIAL</t>
        </is>
      </c>
      <c r="E16" s="0" t="inlineStr">
        <is>
          <t xml:space="preserve">Subsecretaría de Evaluación Social</t>
        </is>
      </c>
      <c r="F16" s="0" t="inlineStr">
        <is>
          <t xml:space="preserve">Región Metropolitana de Santiago</t>
        </is>
      </c>
      <c r="G16" s="0" t="inlineStr">
        <is>
          <t xml:space="preserve">Santiago</t>
        </is>
      </c>
      <c r="H16" s="2">
        <v>46258.64375</v>
      </c>
      <c r="I16" s="2">
        <v>46272.645833</v>
      </c>
      <c r="J16" s="0">
        <v>0</v>
      </c>
      <c r="K16" s="3"/>
      <c r="L16" s="0" t="inlineStr">
        <is>
          <t xml:space="preserve">USD</t>
        </is>
      </c>
      <c r="M16" s="0" t="inlineStr">
        <is>
          <t xml:space="preserve">LP</t>
        </is>
      </c>
      <c r="N16"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16" s="4" t="inlineStr">
        <is>
          <t xml:space="preserve">100 Unidad · Dispositivos de acceso de red digital de servicios integrados (RDSI) · 1 Unidad · Plataforma de mensajería unificada</t>
        </is>
      </c>
      <c r="P16" s="2"/>
      <c r="Q16" s="2"/>
      <c r="R16" s="0" t="inlineStr">
        <is>
          <t xml:space="preserve">36 meses</t>
        </is>
      </c>
      <c r="S16" s="0" t="inlineStr">
        <is>
          <t xml:space="preserve">No</t>
        </is>
      </c>
      <c r="T16" s="4" t="inlineStr">
        <is>
          <t xml:space="preserve">Según punto 9 de las bases adjuntas</t>
        </is>
      </c>
      <c r="U16" s="0" t="inlineStr">
        <is>
          <t xml:space="preserve">Fabián Abarca</t>
        </is>
      </c>
      <c r="V16"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16" s="5" t="str">
        <f>HYPERLINK("https://www.mercadopublico.cl/Procurement/Modules/RFB/DetailsAcquisition.aspx?idlicitacion=730566-21-LP26","descargar bases")</f>
      </c>
    </row>
    <row r="17">
      <c r="A17" s="0" t="inlineStr">
        <is>
          <t xml:space="preserve">2422-149-L126</t>
        </is>
      </c>
      <c r="B17" s="4" t="inlineStr">
        <is>
          <t xml:space="preserve">SOL. 945841, SERVISIO DE FABRICACION E INSTALACION DE TABLERO PARA BALNEARIO</t>
        </is>
      </c>
      <c r="C17" s="0" t="inlineStr">
        <is>
          <t xml:space="preserve">Publicada</t>
        </is>
      </c>
      <c r="D17" s="0" t="inlineStr">
        <is>
          <t xml:space="preserve">I MUNICIPALIDAD DE PUENTE ALTO</t>
        </is>
      </c>
      <c r="E17" s="0" t="inlineStr">
        <is>
          <t xml:space="preserve">I MUNICIPALIDAD DE PUENTE ALTO</t>
        </is>
      </c>
      <c r="F17" s="0" t="inlineStr">
        <is>
          <t xml:space="preserve">Región Metropolitana de Santiago</t>
        </is>
      </c>
      <c r="G17" s="0" t="inlineStr">
        <is>
          <t xml:space="preserve">Puente Alto</t>
        </is>
      </c>
      <c r="H17" s="2">
        <v>46265.753669</v>
      </c>
      <c r="I17" s="2">
        <v>46272.65</v>
      </c>
      <c r="J17" s="0">
        <v>0</v>
      </c>
      <c r="K17" s="3">
        <v>4000000.0</v>
      </c>
      <c r="L17" s="0" t="inlineStr">
        <is>
          <t xml:space="preserve">CLP</t>
        </is>
      </c>
      <c r="M17" s="0" t="inlineStr">
        <is>
          <t xml:space="preserve">L1</t>
        </is>
      </c>
      <c r="N17" s="4" t="inlineStr">
        <is>
          <t xml:space="preserve">Servicios de producción y fabricación industrial / Fabricación de maquinarias y equipos de transporte / Fabricación de maquinarias</t>
        </is>
      </c>
      <c r="O17" s="4" t="inlineStr">
        <is>
          <t xml:space="preserve">1 Kit · Servicios de fabricación de calderas para central eléctrica</t>
        </is>
      </c>
      <c r="P17" s="2"/>
      <c r="Q17" s="2"/>
      <c r="R17" s="0"/>
      <c r="S17" s="0" t="inlineStr">
        <is>
          <t xml:space="preserve">No</t>
        </is>
      </c>
      <c r="T17" s="4"/>
      <c r="U17" s="0"/>
      <c r="V17" s="4" t="inlineStr">
        <is>
          <t xml:space="preserve">NECESIDAD DE SERVICIO, PARA ACONDICIONAMIENTO DE AMBIENTE DE LA PISCINA TEMPERADA BALNEARIO MUNICIPAL, SE REQUIERE SERVICIO DE FABRICACION, INSTALACION Y PUESTA EN MARCHA DE TABLERO DE FUERZA Y COMANDO DE MOTOR TRIFASICO.</t>
        </is>
      </c>
      <c r="W17" s="5" t="str">
        <f>HYPERLINK("https://www.mercadopublico.cl/Procurement/Modules/RFB/DetailsAcquisition.aspx?idlicitacion=2422-149-L126","descargar bases")</f>
      </c>
    </row>
    <row r="18">
      <c r="A18" s="0" t="inlineStr">
        <is>
          <t xml:space="preserve">2548-74-LE26</t>
        </is>
      </c>
      <c r="B18" s="4" t="inlineStr">
        <is>
          <t xml:space="preserve">PROVISIÓN AUDÍFONOS RETROAURICULARES DIGITALES</t>
        </is>
      </c>
      <c r="C18" s="0" t="inlineStr">
        <is>
          <t xml:space="preserve">Publicada</t>
        </is>
      </c>
      <c r="D18" s="0" t="inlineStr">
        <is>
          <t xml:space="preserve">I MUNICIPALIDAD DE PADRE LAS CASAS</t>
        </is>
      </c>
      <c r="E18" s="0" t="inlineStr">
        <is>
          <t xml:space="preserve">MUNICIPALIDAD DE PADRE LAS CASAS  SALUD</t>
        </is>
      </c>
      <c r="F18" s="0" t="inlineStr">
        <is>
          <t xml:space="preserve">Región de la Araucanía </t>
        </is>
      </c>
      <c r="G18" s="0" t="inlineStr">
        <is>
          <t xml:space="preserve">Padre Las Casas</t>
        </is>
      </c>
      <c r="H18" s="2">
        <v>46259.532141</v>
      </c>
      <c r="I18" s="2">
        <v>46272.666667</v>
      </c>
      <c r="J18" s="0">
        <v>0</v>
      </c>
      <c r="K18" s="3">
        <v>29790000.0</v>
      </c>
      <c r="L18" s="0" t="inlineStr">
        <is>
          <t xml:space="preserve">CLP</t>
        </is>
      </c>
      <c r="M18" s="0" t="inlineStr">
        <is>
          <t xml:space="preserve">LE</t>
        </is>
      </c>
      <c r="N18" s="4" t="inlineStr">
        <is>
          <t xml:space="preserve">Equipamiento y suministros médicos / Ayuda para personas con discapacidad / Artículos de ayuda para la comunicación de discapacitados</t>
        </is>
      </c>
      <c r="O18" s="4" t="inlineStr">
        <is>
          <t xml:space="preserve">1 Unidad · Audífonos para personas con discapacidad física</t>
        </is>
      </c>
      <c r="P18" s="2"/>
      <c r="Q18" s="2"/>
      <c r="R18" s="0" t="inlineStr">
        <is>
          <t xml:space="preserve">3 meses</t>
        </is>
      </c>
      <c r="S18" s="0" t="inlineStr">
        <is>
          <t xml:space="preserve">No</t>
        </is>
      </c>
      <c r="T18" s="4" t="inlineStr">
        <is>
          <t xml:space="preserve">DE ACUERDO A BASES</t>
        </is>
      </c>
      <c r="U18" s="0" t="inlineStr">
        <is>
          <t xml:space="preserve">ESTEFANI LEIVA CASTRO</t>
        </is>
      </c>
      <c r="V18"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18" s="5" t="str">
        <f>HYPERLINK("https://www.mercadopublico.cl/Procurement/Modules/RFB/DetailsAcquisition.aspx?idlicitacion=2548-74-LE26","descargar bases")</f>
      </c>
    </row>
    <row r="19">
      <c r="A19" s="0" t="inlineStr">
        <is>
          <t xml:space="preserve">3378-51-LP26</t>
        </is>
      </c>
      <c r="B19" s="4" t="inlineStr">
        <is>
          <t xml:space="preserve">SERVICIO DE SOPORTE Y MANTENCIÓN DE SISTEMA Y BASE DE DATOS SAP-HANA BUSINESS ONE PARA EL HMS POR 36 MESES</t>
        </is>
      </c>
      <c r="C19" s="0" t="inlineStr">
        <is>
          <t xml:space="preserve">Publicada</t>
        </is>
      </c>
      <c r="D19" s="0" t="inlineStr">
        <is>
          <t xml:space="preserve">DIVISION LOGISTICA DEL EJERCITO</t>
        </is>
      </c>
      <c r="E19" s="0" t="inlineStr">
        <is>
          <t xml:space="preserve">Hospital Militar de Santiago- HMS</t>
        </is>
      </c>
      <c r="F19" s="0" t="inlineStr">
        <is>
          <t xml:space="preserve">Región Metropolitana de Santiago</t>
        </is>
      </c>
      <c r="G19" s="0" t="inlineStr">
        <is>
          <t xml:space="preserve">La Reina</t>
        </is>
      </c>
      <c r="H19" s="2">
        <v>46251.420347</v>
      </c>
      <c r="I19" s="2">
        <v>46272.666667</v>
      </c>
      <c r="J19" s="0">
        <v>0</v>
      </c>
      <c r="K19" s="3">
        <v>272160000.0</v>
      </c>
      <c r="L19" s="0" t="inlineStr">
        <is>
          <t xml:space="preserve">CLP</t>
        </is>
      </c>
      <c r="M19" s="0" t="inlineStr">
        <is>
          <t xml:space="preserve">LP</t>
        </is>
      </c>
      <c r="N19" s="4" t="inlineStr">
        <is>
          <t xml:space="preserve">Servicios basados en ingeniería, ciencias sociales y tecnología de la información / Servicios informáticos / Administración de sistemas</t>
        </is>
      </c>
      <c r="O19" s="4" t="inlineStr">
        <is>
          <t xml:space="preserve">1 Unidad · Mantenimiento y soporte de sistemas propietarios</t>
        </is>
      </c>
      <c r="P19" s="2"/>
      <c r="Q19" s="2"/>
      <c r="R19" s="0" t="inlineStr">
        <is>
          <t xml:space="preserve">36 meses</t>
        </is>
      </c>
      <c r="S19" s="0" t="inlineStr">
        <is>
          <t xml:space="preserve">No</t>
        </is>
      </c>
      <c r="T19" s="4" t="inlineStr">
        <is>
          <t xml:space="preserve">Según Bases de Licitación adjuntas</t>
        </is>
      </c>
      <c r="U19" s="0" t="inlineStr">
        <is>
          <t xml:space="preserve">Carlos Ramirez Lazo</t>
        </is>
      </c>
      <c r="V19"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19" s="5" t="str">
        <f>HYPERLINK("https://www.mercadopublico.cl/Procurement/Modules/RFB/DetailsAcquisition.aspx?idlicitacion=3378-51-LP26","descargar bases")</f>
      </c>
    </row>
    <row r="20">
      <c r="A20" s="0" t="inlineStr">
        <is>
          <t xml:space="preserve">634-67-LR26</t>
        </is>
      </c>
      <c r="B20" s="4" t="inlineStr">
        <is>
          <t xml:space="preserve">MODERNIZACIÓN DEL SISTEMA ELECTRÓNICO DE SEGURIDAD</t>
        </is>
      </c>
      <c r="C20" s="0" t="inlineStr">
        <is>
          <t xml:space="preserve">Publicada</t>
        </is>
      </c>
      <c r="D20" s="0" t="inlineStr">
        <is>
          <t xml:space="preserve">DIRECCION GENERAL DE GENDARMERIA DE CHIL</t>
        </is>
      </c>
      <c r="E20" s="0" t="inlineStr">
        <is>
          <t xml:space="preserve">Dirección Nacional</t>
        </is>
      </c>
      <c r="F20" s="0" t="inlineStr">
        <is>
          <t xml:space="preserve">Región Metropolitana de Santiago</t>
        </is>
      </c>
      <c r="G20" s="0" t="inlineStr">
        <is>
          <t xml:space="preserve">Santiago</t>
        </is>
      </c>
      <c r="H20" s="2">
        <v>46238.684757</v>
      </c>
      <c r="I20" s="2">
        <v>46272.666667</v>
      </c>
      <c r="J20" s="0">
        <v>0</v>
      </c>
      <c r="K20" s="3">
        <v>927900000.0</v>
      </c>
      <c r="L20" s="0" t="inlineStr">
        <is>
          <t xml:space="preserve">CLP</t>
        </is>
      </c>
      <c r="M20" s="0" t="inlineStr">
        <is>
          <t xml:space="preserve">LR</t>
        </is>
      </c>
      <c r="N20" s="4" t="inlineStr">
        <is>
          <t xml:space="preserve">Servicios de construcción y mantenimiento / Servicios de atención, mantenimiento y reparaciones de edificios / Servicios eléctricos</t>
        </is>
      </c>
      <c r="O20" s="4" t="inlineStr">
        <is>
          <t xml:space="preserve">1 Unidad · Instalación de sistemas de seguridad</t>
        </is>
      </c>
      <c r="P20" s="2"/>
      <c r="Q20" s="2"/>
      <c r="R20" s="0"/>
      <c r="S20" s="0" t="inlineStr">
        <is>
          <t xml:space="preserve">No</t>
        </is>
      </c>
      <c r="T20" s="4"/>
      <c r="U20" s="0" t="inlineStr">
        <is>
          <t xml:space="preserve">Víctor Erices</t>
        </is>
      </c>
      <c r="V20" s="4" t="inlineStr">
        <is>
          <t xml:space="preserve">MODERNIZACIÓN DEL SISTEMA ELECTRÓNICO DE SEGURIDAD DEL CENTRO PENITENCIARIO FEMENINO DE ANTOFAGASTA.</t>
        </is>
      </c>
      <c r="W20" s="5" t="str">
        <f>HYPERLINK("https://www.mercadopublico.cl/Procurement/Modules/RFB/DetailsAcquisition.aspx?idlicitacion=634-67-LR26","descargar bases")</f>
      </c>
    </row>
    <row r="21">
      <c r="A21" s="0" t="inlineStr">
        <is>
          <t xml:space="preserve">932-25-LE26</t>
        </is>
      </c>
      <c r="B21" s="4" t="inlineStr">
        <is>
          <t xml:space="preserve">SERVICIO DE MANTENIMIENTO PREVENTIVO Y CORRECTIVO HABITUAL DEL SISTEMA ELÉCTRICO  CORRIENTES DÉBILES E INFRAESTRUCTURA DE DATOS PARA EL CENTRO DEPORTIVO COMUNITARIO  DE  RANCAGUA</t>
        </is>
      </c>
      <c r="C21" s="0" t="inlineStr">
        <is>
          <t xml:space="preserve">Publicada</t>
        </is>
      </c>
      <c r="D21" s="0" t="inlineStr">
        <is>
          <t xml:space="preserve">INSTITUTO NACIONAL DE DEPORTES DE CHILE</t>
        </is>
      </c>
      <c r="E21" s="0" t="inlineStr">
        <is>
          <t xml:space="preserve">I.N.D. REGION VI</t>
        </is>
      </c>
      <c r="F21" s="0" t="inlineStr">
        <is>
          <t xml:space="preserve">Región del Libertador General Bernardo O´Higgins</t>
        </is>
      </c>
      <c r="G21" s="0" t="inlineStr">
        <is>
          <t xml:space="preserve">Rancagua</t>
        </is>
      </c>
      <c r="H21" s="2">
        <v>46260.589688</v>
      </c>
      <c r="I21" s="2">
        <v>46272.666667</v>
      </c>
      <c r="J21" s="0">
        <v>0</v>
      </c>
      <c r="K21" s="3">
        <v>30000000.0</v>
      </c>
      <c r="L21" s="0" t="inlineStr">
        <is>
          <t xml:space="preserve">CLP</t>
        </is>
      </c>
      <c r="M21" s="0" t="inlineStr">
        <is>
          <t xml:space="preserve">LE</t>
        </is>
      </c>
      <c r="N21" s="4" t="inlineStr">
        <is>
          <t xml:space="preserve">Servicios de producción y fabricación industrial / Servicios de apoyo o soporte a la fabricación / Servicios de mantenimiento y reparación de equipo de fabricación</t>
        </is>
      </c>
      <c r="O21" s="4" t="inlineStr">
        <is>
          <t xml:space="preserve">1 Unidad · Servicio de mantenimiento de equipo de fabricación</t>
        </is>
      </c>
      <c r="P21" s="2"/>
      <c r="Q21" s="2"/>
      <c r="R21" s="0" t="inlineStr">
        <is>
          <t xml:space="preserve">12 meses</t>
        </is>
      </c>
      <c r="S21" s="0" t="inlineStr">
        <is>
          <t xml:space="preserve">No</t>
        </is>
      </c>
      <c r="T21"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21" s="0" t="inlineStr">
        <is>
          <t xml:space="preserve">Cristina Alfonso Aguirre</t>
        </is>
      </c>
      <c r="V21"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21" s="5" t="str">
        <f>HYPERLINK("https://www.mercadopublico.cl/Procurement/Modules/RFB/DetailsAcquisition.aspx?idlicitacion=932-25-LE26","descargar bases")</f>
      </c>
    </row>
    <row r="22">
      <c r="A22" s="0" t="inlineStr">
        <is>
          <t xml:space="preserve">932-22-L126</t>
        </is>
      </c>
      <c r="B22" s="4" t="inlineStr">
        <is>
          <t xml:space="preserve">SERVICIO DE REPARACIÓN DE LUMINARIAS, INSTALACIONES ELECTRICAS Y NORMALIZACIÓN DE TABLERO ELECTRONICO DEL COMPLEJO DEPORTIVO HERMOGENES LIZANA, DEL INSTITUTO NACIONAL DE DEPORTES DE O¨HIGGINS.</t>
        </is>
      </c>
      <c r="C22" s="0" t="inlineStr">
        <is>
          <t xml:space="preserve">Publicada</t>
        </is>
      </c>
      <c r="D22" s="0" t="inlineStr">
        <is>
          <t xml:space="preserve">INSTITUTO NACIONAL DE DEPORTES DE CHILE</t>
        </is>
      </c>
      <c r="E22" s="0" t="inlineStr">
        <is>
          <t xml:space="preserve">I.N.D. REGION VI</t>
        </is>
      </c>
      <c r="F22" s="0" t="inlineStr">
        <is>
          <t xml:space="preserve">Región del Libertador General Bernardo O´Higgins</t>
        </is>
      </c>
      <c r="G22" s="0" t="inlineStr">
        <is>
          <t xml:space="preserve">Rancagua</t>
        </is>
      </c>
      <c r="H22" s="2">
        <v>46265.704213</v>
      </c>
      <c r="I22" s="2">
        <v>46272.666667</v>
      </c>
      <c r="J22" s="0">
        <v>0</v>
      </c>
      <c r="K22" s="3">
        <v>5200000.0</v>
      </c>
      <c r="L22" s="0" t="inlineStr">
        <is>
          <t xml:space="preserve">CLP</t>
        </is>
      </c>
      <c r="M22" s="0" t="inlineStr">
        <is>
          <t xml:space="preserve">L1</t>
        </is>
      </c>
      <c r="N22" s="4" t="inlineStr">
        <is>
          <t xml:space="preserve">Servicios de producción y fabricación industrial / Servicios de apoyo o soporte a la fabricación / Servicios de mantenimiento y reparación de equipo de fabricación</t>
        </is>
      </c>
      <c r="O22" s="4" t="inlineStr">
        <is>
          <t xml:space="preserve">1 Unidad · Servicio de reparación de equipo de fabricación</t>
        </is>
      </c>
      <c r="P22" s="2"/>
      <c r="Q22" s="2"/>
      <c r="R22" s="0"/>
      <c r="S22" s="0" t="inlineStr">
        <is>
          <t xml:space="preserve">No</t>
        </is>
      </c>
      <c r="T22" s="4"/>
      <c r="U22" s="0"/>
      <c r="V22" s="4" t="inlineStr">
        <is>
          <t xml:space="preserve">EL IND DE RANCAGUA,  REQUIERE CONTRATAR  EL "SERVICIO DE REPARACIÓN DE LUMINARIAS, INSTALACIONES ELECTRICAS Y NORMALIZACIÓN DE TABLERO ELECTRONICO DEL COMPLEJO DEPORTIVO HERMOGENES LIZANA, DEL INSTITUTO NACIONAL DE DEPORTES DE O¨HIGGINS",  mediante un proceso de Licitación Publica, siendo necesario, aprobar,  previamente, las Bases Administrativas, Técnicas y Anexos que regulan dicho proceso de contratación.</t>
        </is>
      </c>
      <c r="W22" s="5" t="str">
        <f>HYPERLINK("https://www.mercadopublico.cl/Procurement/Modules/RFB/DetailsAcquisition.aspx?idlicitacion=932-22-L126","descargar bases")</f>
      </c>
    </row>
    <row r="23">
      <c r="A23" s="0" t="inlineStr">
        <is>
          <t xml:space="preserve">2658-284-L126</t>
        </is>
      </c>
      <c r="B23" s="4" t="inlineStr">
        <is>
          <t xml:space="preserve">Suscripción anual a Plataforma de Inteligencia Artificial avanzada</t>
        </is>
      </c>
      <c r="C23" s="0" t="inlineStr">
        <is>
          <t xml:space="preserve">Publicada</t>
        </is>
      </c>
      <c r="D23" s="0" t="inlineStr">
        <is>
          <t xml:space="preserve">I MUNICIPALIDAD DE ANCUD</t>
        </is>
      </c>
      <c r="E23" s="0" t="inlineStr">
        <is>
          <t xml:space="preserve">Municipalidad de Ancud</t>
        </is>
      </c>
      <c r="F23" s="0" t="inlineStr">
        <is>
          <t xml:space="preserve">Región Metropolitana de Santiago</t>
        </is>
      </c>
      <c r="G23" s="0" t="inlineStr">
        <is>
          <t xml:space="preserve">Las Condes</t>
        </is>
      </c>
      <c r="H23" s="2">
        <v>46262.604178</v>
      </c>
      <c r="I23" s="2">
        <v>46272.706944</v>
      </c>
      <c r="J23" s="0">
        <v>0</v>
      </c>
      <c r="K23" s="3">
        <v>1500000.0</v>
      </c>
      <c r="L23" s="0" t="inlineStr">
        <is>
          <t xml:space="preserve">CLP</t>
        </is>
      </c>
      <c r="M23" s="0" t="inlineStr">
        <is>
          <t xml:space="preserve">L1</t>
        </is>
      </c>
      <c r="N23" s="4" t="inlineStr">
        <is>
          <t xml:space="preserve">Tecnologías de la información, telecomunicaciones y radiodifusión / Software / Software de consultas y gestión de datos</t>
        </is>
      </c>
      <c r="O23" s="4" t="inlineStr">
        <is>
          <t xml:space="preserve">5 Unidad · Software de extracción de datos</t>
        </is>
      </c>
      <c r="P23" s="2"/>
      <c r="Q23" s="2"/>
      <c r="R23" s="0"/>
      <c r="S23" s="0" t="inlineStr">
        <is>
          <t xml:space="preserve">No</t>
        </is>
      </c>
      <c r="T23" s="4"/>
      <c r="U23" s="0"/>
      <c r="V23" s="4" t="inlineStr">
        <is>
          <t xml:space="preserve">Lo que seá utilizado como herramientas de apoyo para la optimización de labores tecnicas y administrativas.</t>
        </is>
      </c>
      <c r="W23" s="5" t="str">
        <f>HYPERLINK("https://www.mercadopublico.cl/Procurement/Modules/RFB/DetailsAcquisition.aspx?idlicitacion=2658-284-L126","descargar bases")</f>
      </c>
    </row>
    <row r="24">
      <c r="A24" s="0" t="inlineStr">
        <is>
          <t xml:space="preserve">598-16-LE26</t>
        </is>
      </c>
      <c r="B24" s="4" t="inlineStr">
        <is>
          <t xml:space="preserve">SERVICIO DE CAPACITACIÓN EN PROTECCIÓN DE DATOS PERSONALES GOBERNANZA DE DATOS Y CUMPLIMIENTO NORMATIVO</t>
        </is>
      </c>
      <c r="C24" s="0" t="inlineStr">
        <is>
          <t xml:space="preserve">Publicada</t>
        </is>
      </c>
      <c r="D24" s="0" t="inlineStr">
        <is>
          <t xml:space="preserve">DIRECCION PREVISION DE CARABINEROS DE CHILE</t>
        </is>
      </c>
      <c r="E24" s="0" t="inlineStr">
        <is>
          <t xml:space="preserve">Unidad de Abastecimiento DIPRECA</t>
        </is>
      </c>
      <c r="F24" s="0" t="inlineStr">
        <is>
          <t xml:space="preserve">Región Metropolitana de Santiago</t>
        </is>
      </c>
      <c r="G24" s="0" t="inlineStr">
        <is>
          <t xml:space="preserve">Santiago</t>
        </is>
      </c>
      <c r="H24" s="2">
        <v>46259.463738</v>
      </c>
      <c r="I24" s="2">
        <v>46273.375</v>
      </c>
      <c r="J24" s="0">
        <v>1</v>
      </c>
      <c r="K24" s="3"/>
      <c r="L24" s="0" t="inlineStr">
        <is>
          <t xml:space="preserve">CLP</t>
        </is>
      </c>
      <c r="M24" s="0" t="inlineStr">
        <is>
          <t xml:space="preserve">LE</t>
        </is>
      </c>
      <c r="N24" s="4" t="inlineStr">
        <is>
          <t xml:space="preserve">Servicios profesionales, administrativos y consultorías de gestión empresarial / Servicios de recursos humanos / Consultorías para el desarrollo de recursos humanos</t>
        </is>
      </c>
      <c r="O24" s="4" t="inlineStr">
        <is>
          <t xml:space="preserve">1 Unidad · Formación, capacitación y entrenamiento de personal</t>
        </is>
      </c>
      <c r="P24" s="2"/>
      <c r="Q24" s="2"/>
      <c r="R24" s="0"/>
      <c r="S24" s="0" t="inlineStr">
        <is>
          <t xml:space="preserve">No</t>
        </is>
      </c>
      <c r="T24" s="4"/>
      <c r="U24" s="0" t="inlineStr">
        <is>
          <t xml:space="preserve">Karen Ortiz</t>
        </is>
      </c>
      <c r="V24"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24" s="5" t="str">
        <f>HYPERLINK("https://www.mercadopublico.cl/Procurement/Modules/RFB/DetailsAcquisition.aspx?idlicitacion=598-16-LE26","descargar bases")</f>
      </c>
    </row>
    <row r="25">
      <c r="A25" s="0" t="inlineStr">
        <is>
          <t xml:space="preserve">610-16-LP26</t>
        </is>
      </c>
      <c r="B25" s="4" t="inlineStr">
        <is>
          <t xml:space="preserve">Adquisición de productos y servicios destinados a la “Implementación de software para nueva Plataforma de Virtualización”.</t>
        </is>
      </c>
      <c r="C25" s="0" t="inlineStr">
        <is>
          <t xml:space="preserve">Publicada</t>
        </is>
      </c>
      <c r="D25" s="0" t="inlineStr">
        <is>
          <t xml:space="preserve">Comisión Nacional de Energía</t>
        </is>
      </c>
      <c r="E25" s="0" t="inlineStr">
        <is>
          <t xml:space="preserve">Comisión Nacional de Energía</t>
        </is>
      </c>
      <c r="F25" s="0" t="inlineStr">
        <is>
          <t xml:space="preserve">Región Metropolitana de Santiago</t>
        </is>
      </c>
      <c r="G25" s="0" t="inlineStr">
        <is>
          <t xml:space="preserve">Santiago Centro</t>
        </is>
      </c>
      <c r="H25" s="2">
        <v>46253.476782</v>
      </c>
      <c r="I25" s="2">
        <v>46273.416667</v>
      </c>
      <c r="J25" s="0">
        <v>1</v>
      </c>
      <c r="K25" s="3">
        <v>124000000.0</v>
      </c>
      <c r="L25" s="0" t="inlineStr">
        <is>
          <t xml:space="preserve">CLP</t>
        </is>
      </c>
      <c r="M25" s="0" t="inlineStr">
        <is>
          <t xml:space="preserve">LP</t>
        </is>
      </c>
      <c r="N25" s="4" t="inlineStr">
        <is>
          <t xml:space="preserve">Tecnologías de la información, telecomunicaciones y radiodifusión / Software / Software de gestión</t>
        </is>
      </c>
      <c r="O25" s="4" t="inlineStr">
        <is>
          <t xml:space="preserve">1 Unidad · Paquetes de software para oficinas</t>
        </is>
      </c>
      <c r="P25" s="2"/>
      <c r="Q25" s="2"/>
      <c r="R25" s="0" t="inlineStr">
        <is>
          <t xml:space="preserve">425 días</t>
        </is>
      </c>
      <c r="S25" s="0" t="inlineStr">
        <is>
          <t xml:space="preserve">No</t>
        </is>
      </c>
      <c r="T25" s="4" t="inlineStr">
        <is>
          <t xml:space="preserve">De acuerdo a lo establecido en bases de licitación.</t>
        </is>
      </c>
      <c r="U25" s="0" t="inlineStr">
        <is>
          <t xml:space="preserve">Jaime García Sepúlveda</t>
        </is>
      </c>
      <c r="V25"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25" s="5" t="str">
        <f>HYPERLINK("https://www.mercadopublico.cl/Procurement/Modules/RFB/DetailsAcquisition.aspx?idlicitacion=610-16-LP26","descargar bases")</f>
      </c>
    </row>
    <row r="26">
      <c r="A26" s="0" t="inlineStr">
        <is>
          <t xml:space="preserve">2448-122-L126</t>
        </is>
      </c>
      <c r="B26" s="4" t="inlineStr">
        <is>
          <t xml:space="preserve">ADQ. BOLSA DE CREDITOS DE CONSUMO EN NUBE PUBLICA</t>
        </is>
      </c>
      <c r="C26" s="0" t="inlineStr">
        <is>
          <t xml:space="preserve">Publicada</t>
        </is>
      </c>
      <c r="D26" s="0" t="inlineStr">
        <is>
          <t xml:space="preserve">I MUNICIPALIDAD DE COQUIMBO</t>
        </is>
      </c>
      <c r="E26" s="0" t="inlineStr">
        <is>
          <t xml:space="preserve">Departamento de Salud</t>
        </is>
      </c>
      <c r="F26" s="0" t="inlineStr">
        <is>
          <t xml:space="preserve">Región de Coquimbo </t>
        </is>
      </c>
      <c r="G26" s="0" t="inlineStr">
        <is>
          <t xml:space="preserve">Coquimbo</t>
        </is>
      </c>
      <c r="H26" s="2">
        <v>46265.640903</v>
      </c>
      <c r="I26" s="2">
        <v>46273.625</v>
      </c>
      <c r="J26" s="0">
        <v>1</v>
      </c>
      <c r="K26" s="3">
        <v>3000000.0</v>
      </c>
      <c r="L26" s="0" t="inlineStr">
        <is>
          <t xml:space="preserve">CLP</t>
        </is>
      </c>
      <c r="M26" s="0" t="inlineStr">
        <is>
          <t xml:space="preserve">L1</t>
        </is>
      </c>
      <c r="N26" s="4" t="inlineStr">
        <is>
          <t xml:space="preserve">Tecnologías de la información, telecomunicaciones y radiodifusión / Software / Software de consultas y gestión de datos</t>
        </is>
      </c>
      <c r="O26" s="4" t="inlineStr">
        <is>
          <t xml:space="preserve">1 Año · Software del sistema de administración de bases de datos</t>
        </is>
      </c>
      <c r="P26" s="2"/>
      <c r="Q26" s="2"/>
      <c r="R26" s="0"/>
      <c r="S26" s="0" t="inlineStr">
        <is>
          <t xml:space="preserve">No</t>
        </is>
      </c>
      <c r="T26" s="4"/>
      <c r="U26" s="0"/>
      <c r="V26"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26" s="5" t="str">
        <f>HYPERLINK("https://www.mercadopublico.cl/Procurement/Modules/RFB/DetailsAcquisition.aspx?idlicitacion=2448-122-L126","descargar bases")</f>
      </c>
    </row>
    <row r="27">
      <c r="A27" s="0" t="inlineStr">
        <is>
          <t xml:space="preserve">1754-39-LE26</t>
        </is>
      </c>
      <c r="B27" s="4" t="inlineStr">
        <is>
          <t xml:space="preserve">EQUIPOS E INSUMOS INFORMATICOS SEGUNDO LLAMADO</t>
        </is>
      </c>
      <c r="C27" s="0" t="inlineStr">
        <is>
          <t xml:space="preserve">Publicada</t>
        </is>
      </c>
      <c r="D27" s="0" t="inlineStr">
        <is>
          <t xml:space="preserve">Departamento de Salud Parral</t>
        </is>
      </c>
      <c r="E27" s="0" t="inlineStr">
        <is>
          <t xml:space="preserve">Departamento de Salud Parral</t>
        </is>
      </c>
      <c r="F27" s="0" t="inlineStr">
        <is>
          <t xml:space="preserve">Región del Maule </t>
        </is>
      </c>
      <c r="G27" s="0" t="inlineStr">
        <is>
          <t xml:space="preserve">Parral</t>
        </is>
      </c>
      <c r="H27" s="2">
        <v>46266.507894</v>
      </c>
      <c r="I27" s="2">
        <v>46273.625694</v>
      </c>
      <c r="J27" s="0">
        <v>1</v>
      </c>
      <c r="K27" s="3">
        <v>28000000.0</v>
      </c>
      <c r="L27" s="0" t="inlineStr">
        <is>
          <t xml:space="preserve">CLP</t>
        </is>
      </c>
      <c r="M27" s="0" t="inlineStr">
        <is>
          <t xml:space="preserve">LE</t>
        </is>
      </c>
      <c r="N27" s="4" t="inlineStr">
        <is>
          <t xml:space="preserve">Tecnologías de la información, telecomunicaciones y radiodifusión / Equipos informáticos y accesorios / Computadores</t>
        </is>
      </c>
      <c r="O27" s="4" t="inlineStr">
        <is>
          <t xml:space="preserve">1 Kit · Computadores personales</t>
        </is>
      </c>
      <c r="P27" s="2"/>
      <c r="Q27" s="2"/>
      <c r="R27" s="0" t="inlineStr">
        <is>
          <t xml:space="preserve">12 meses</t>
        </is>
      </c>
      <c r="S27" s="0" t="inlineStr">
        <is>
          <t xml:space="preserve">No</t>
        </is>
      </c>
      <c r="T27" s="4"/>
      <c r="U27" s="0" t="inlineStr">
        <is>
          <t xml:space="preserve">MARIO GAJARDO NAVARRETE</t>
        </is>
      </c>
      <c r="V27" s="4" t="inlineStr">
        <is>
          <t xml:space="preserve">El Departamento de Salud de la Ilustre Municipalidad de Parral requiere licitar la adquisición de equipos e insumos informáticos, con el propósito de garantizar el adecuado funcionamiento del Departamento de Salud y de los distintos establecimientos de salud de la comuna. Lo anterior tiene como finalidad asegurar la continuidad y calidad de las prestaciones otorgadas a la comunidad.</t>
        </is>
      </c>
      <c r="W27" s="5" t="str">
        <f>HYPERLINK("https://www.mercadopublico.cl/Procurement/Modules/RFB/DetailsAcquisition.aspx?idlicitacion=1754-39-LE26","descargar bases")</f>
      </c>
    </row>
    <row r="28">
      <c r="A28" s="0" t="inlineStr">
        <is>
          <t xml:space="preserve">5586-127-LE26</t>
        </is>
      </c>
      <c r="B28" s="4" t="inlineStr">
        <is>
          <t xml:space="preserve">BC SISTEMA DE ADQUISICIÓN DE DATOS INSTRUMENTACIÓN Y MONITOREO DE ENSAYOS EXPERIMENTALES DE SIMULACIÓN SÍSMICA EN MUROS</t>
        </is>
      </c>
      <c r="C28" s="0" t="inlineStr">
        <is>
          <t xml:space="preserve">Publicada</t>
        </is>
      </c>
      <c r="D28" s="0" t="inlineStr">
        <is>
          <t xml:space="preserve">UNIVERSIDAD DE LA FRONTERA</t>
        </is>
      </c>
      <c r="E28" s="0" t="inlineStr">
        <is>
          <t xml:space="preserve">Universidad de la Frontera</t>
        </is>
      </c>
      <c r="F28" s="0" t="inlineStr">
        <is>
          <t xml:space="preserve">Región de la Araucanía </t>
        </is>
      </c>
      <c r="G28" s="0" t="inlineStr">
        <is>
          <t xml:space="preserve">Temuco</t>
        </is>
      </c>
      <c r="H28" s="2">
        <v>46260.454375</v>
      </c>
      <c r="I28" s="2">
        <v>46273.625694</v>
      </c>
      <c r="J28" s="0">
        <v>1</v>
      </c>
      <c r="K28" s="3"/>
      <c r="L28" s="0" t="inlineStr">
        <is>
          <t xml:space="preserve">CLP</t>
        </is>
      </c>
      <c r="M28" s="0" t="inlineStr">
        <is>
          <t xml:space="preserve">LE</t>
        </is>
      </c>
      <c r="N28" s="4" t="inlineStr">
        <is>
          <t xml:space="preserve">Equipamiento para laboratorios / Instrumentos de medida y experimentación / Instrumentos sismológicos</t>
        </is>
      </c>
      <c r="O28" s="4" t="inlineStr">
        <is>
          <t xml:space="preserve">1 Global · Módulos de alarma sísmica</t>
        </is>
      </c>
      <c r="P28" s="2"/>
      <c r="Q28" s="2"/>
      <c r="R28" s="0"/>
      <c r="S28" s="0" t="inlineStr">
        <is>
          <t xml:space="preserve">No</t>
        </is>
      </c>
      <c r="T28" s="4"/>
      <c r="U28" s="0" t="inlineStr">
        <is>
          <t xml:space="preserve">Viviana Letelier González</t>
        </is>
      </c>
      <c r="V28" s="4" t="inlineStr">
        <is>
          <t xml:space="preserve">SISTEMA DE ADQUISICIÓN
DE DATOS INSTRUMENTACIÓN Y MONITOREO DE ENSAYOS EXPERIMENTALES DE
SIMULACIÓN SÍSMICA EN MUROS</t>
        </is>
      </c>
      <c r="W28" s="5" t="str">
        <f>HYPERLINK("https://www.mercadopublico.cl/Procurement/Modules/RFB/DetailsAcquisition.aspx?idlicitacion=5586-127-LE26","descargar bases")</f>
      </c>
    </row>
    <row r="29">
      <c r="A29" s="0" t="inlineStr">
        <is>
          <t xml:space="preserve">1016-8-LE26</t>
        </is>
      </c>
      <c r="B29" s="4" t="inlineStr">
        <is>
          <t xml:space="preserve">Licencias de inteligencia artificial generativa tipo Claude Team o similar para la Dirección de Planeamiento</t>
        </is>
      </c>
      <c r="C29" s="0" t="inlineStr">
        <is>
          <t xml:space="preserve">Publicada</t>
        </is>
      </c>
      <c r="D29" s="0" t="inlineStr">
        <is>
          <t xml:space="preserve">MINISTERIO DE OBRAS PUBLICAS DIREC CION GRAL DE OO PP DCYF</t>
        </is>
      </c>
      <c r="E29" s="0" t="inlineStr">
        <is>
          <t xml:space="preserve">Dirección de Planeamiento - MOP</t>
        </is>
      </c>
      <c r="F29" s="0" t="inlineStr">
        <is>
          <t xml:space="preserve">Región Metropolitana de Santiago</t>
        </is>
      </c>
      <c r="G29" s="0" t="inlineStr">
        <is>
          <t xml:space="preserve">Santiago Centro</t>
        </is>
      </c>
      <c r="H29" s="2">
        <v>46262.57412</v>
      </c>
      <c r="I29" s="2">
        <v>46273.645833</v>
      </c>
      <c r="J29" s="0">
        <v>1</v>
      </c>
      <c r="K29" s="3">
        <v>19980000.0</v>
      </c>
      <c r="L29" s="0" t="inlineStr">
        <is>
          <t xml:space="preserve">CLP</t>
        </is>
      </c>
      <c r="M29" s="0" t="inlineStr">
        <is>
          <t xml:space="preserve">LE</t>
        </is>
      </c>
      <c r="N29" s="4" t="inlineStr">
        <is>
          <t xml:space="preserve">Tecnologías de la información, telecomunicaciones y radiodifusión / Software / Software de consultas y gestión de datos, Tecnologías de la información, telecomunicaciones y radiodifusión / Software / Software de gestión</t>
        </is>
      </c>
      <c r="O29" s="4" t="inlineStr">
        <is>
          <t xml:space="preserve">1 Unidad · Software de sistema experto · 1 Unidad · Software de clasificación o categorización</t>
        </is>
      </c>
      <c r="P29" s="2"/>
      <c r="Q29" s="2"/>
      <c r="R29" s="0"/>
      <c r="S29" s="0" t="inlineStr">
        <is>
          <t xml:space="preserve">No</t>
        </is>
      </c>
      <c r="T29" s="4" t="inlineStr">
        <is>
          <t xml:space="preserve">Se prohíbe la subcontratación ya que se adjudica de acuerdo a la oferta del proveedor y sus características especiales.</t>
        </is>
      </c>
      <c r="U29" s="0" t="inlineStr">
        <is>
          <t xml:space="preserve">Carolina Quintana</t>
        </is>
      </c>
      <c r="V29"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29" s="5" t="str">
        <f>HYPERLINK("https://www.mercadopublico.cl/Procurement/Modules/RFB/DetailsAcquisition.aspx?idlicitacion=1016-8-LE26","descargar bases")</f>
      </c>
    </row>
    <row r="30">
      <c r="A30" s="0" t="inlineStr">
        <is>
          <t xml:space="preserve">1588-28-LE26</t>
        </is>
      </c>
      <c r="B30" s="4" t="inlineStr">
        <is>
          <t xml:space="preserve">Renovación Plataforma Jira Service SAAS y Soporte</t>
        </is>
      </c>
      <c r="C30" s="0" t="inlineStr">
        <is>
          <t xml:space="preserve">Publicada</t>
        </is>
      </c>
      <c r="D30" s="0" t="inlineStr">
        <is>
          <t xml:space="preserve">SERVICIO DE EVALUACION AMBIENTAL</t>
        </is>
      </c>
      <c r="E30" s="0" t="inlineStr">
        <is>
          <t xml:space="preserve">Servicio de Evaluación Ambiental - Sea</t>
        </is>
      </c>
      <c r="F30" s="0" t="inlineStr">
        <is>
          <t xml:space="preserve">Región Metropolitana de Santiago</t>
        </is>
      </c>
      <c r="G30" s="0" t="inlineStr">
        <is>
          <t xml:space="preserve">Santiago</t>
        </is>
      </c>
      <c r="H30" s="2">
        <v>46267.363843</v>
      </c>
      <c r="I30" s="2">
        <v>46273.645833</v>
      </c>
      <c r="J30" s="0">
        <v>1</v>
      </c>
      <c r="K30" s="3"/>
      <c r="L30" s="0" t="inlineStr">
        <is>
          <t xml:space="preserve">CLP</t>
        </is>
      </c>
      <c r="M30" s="0" t="inlineStr">
        <is>
          <t xml:space="preserve">LE</t>
        </is>
      </c>
      <c r="N30" s="4" t="inlineStr">
        <is>
          <t xml:space="preserve">Tecnologías de la información, telecomunicaciones y radiodifusión / Software / Software de gestión</t>
        </is>
      </c>
      <c r="O30" s="4" t="inlineStr">
        <is>
          <t xml:space="preserve">1 Unidad · Software de gestión de licencias · 1 Unidad · Software de gestión de licencias</t>
        </is>
      </c>
      <c r="P30" s="2"/>
      <c r="Q30" s="2"/>
      <c r="R30" s="0" t="inlineStr">
        <is>
          <t xml:space="preserve">12 meses</t>
        </is>
      </c>
      <c r="S30" s="0" t="inlineStr">
        <is>
          <t xml:space="preserve">No</t>
        </is>
      </c>
      <c r="T30" s="4"/>
      <c r="U30" s="0" t="inlineStr">
        <is>
          <t xml:space="preserve">Paola Canales Alvarez</t>
        </is>
      </c>
      <c r="V30"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30" s="5" t="str">
        <f>HYPERLINK("https://www.mercadopublico.cl/Procurement/Modules/RFB/DetailsAcquisition.aspx?idlicitacion=1588-28-LE26","descargar bases")</f>
      </c>
    </row>
    <row r="31">
      <c r="A31" s="0" t="inlineStr">
        <is>
          <t xml:space="preserve">1456835-1-LP26</t>
        </is>
      </c>
      <c r="B31" s="4" t="inlineStr">
        <is>
          <t xml:space="preserve">SERVICIO DE ARRIENDO DE SOFTWARE DE GDP Y REMUNERA</t>
        </is>
      </c>
      <c r="C31" s="0" t="inlineStr">
        <is>
          <t xml:space="preserve">Publicada</t>
        </is>
      </c>
      <c r="D31" s="0" t="inlineStr">
        <is>
          <t xml:space="preserve">SERVICIO LOCAL DE EDUCACIÓN PÚBLICA DEL LITORAL</t>
        </is>
      </c>
      <c r="E31" s="0" t="inlineStr">
        <is>
          <t xml:space="preserve">SERVICIO LOCAL DE EDUCACIÓN PÚBLICA DEL LITORAL</t>
        </is>
      </c>
      <c r="F31" s="0" t="inlineStr">
        <is>
          <t xml:space="preserve">Región de Valparaíso </t>
        </is>
      </c>
      <c r="G31" s="0"/>
      <c r="H31" s="2">
        <v>46252.983947</v>
      </c>
      <c r="I31" s="2">
        <v>46273.666667</v>
      </c>
      <c r="J31" s="0">
        <v>1</v>
      </c>
      <c r="K31" s="3"/>
      <c r="L31" s="0" t="inlineStr">
        <is>
          <t xml:space="preserve">CLP</t>
        </is>
      </c>
      <c r="M31" s="0" t="inlineStr">
        <is>
          <t xml:space="preserve">LP</t>
        </is>
      </c>
      <c r="N31" s="4" t="inlineStr">
        <is>
          <t xml:space="preserve">Tecnologías de la información, telecomunicaciones y radiodifusión / Software / Software de gestión</t>
        </is>
      </c>
      <c r="O31" s="4" t="inlineStr">
        <is>
          <t xml:space="preserve">1 Unidad · Software de gestión de recursos humanos</t>
        </is>
      </c>
      <c r="P31" s="2"/>
      <c r="Q31" s="2"/>
      <c r="R31" s="0" t="inlineStr">
        <is>
          <t xml:space="preserve">24 meses</t>
        </is>
      </c>
      <c r="S31" s="0" t="inlineStr">
        <is>
          <t xml:space="preserve">No</t>
        </is>
      </c>
      <c r="T31" s="4" t="inlineStr">
        <is>
          <t xml:space="preserve">No se permitirá la subcontratación de los servicios objeto del presente contrato.-</t>
        </is>
      </c>
      <c r="U31" s="0" t="inlineStr">
        <is>
          <t xml:space="preserve">Maria Fernanda Gonzalez</t>
        </is>
      </c>
      <c r="V31"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31" s="5" t="str">
        <f>HYPERLINK("https://www.mercadopublico.cl/Procurement/Modules/RFB/DetailsAcquisition.aspx?idlicitacion=1456835-1-LP26","descargar bases")</f>
      </c>
    </row>
    <row r="32">
      <c r="A32" s="0" t="inlineStr">
        <is>
          <t xml:space="preserve">1057531-10-L126</t>
        </is>
      </c>
      <c r="B32" s="4" t="inlineStr">
        <is>
          <t xml:space="preserve">Contratación de Convenio Prótesis Fijas con sistema digital CADCAM 2026-2027</t>
        </is>
      </c>
      <c r="C32" s="0" t="inlineStr">
        <is>
          <t xml:space="preserve">Publicada</t>
        </is>
      </c>
      <c r="D32" s="0" t="inlineStr">
        <is>
          <t xml:space="preserve">SERVICIO NACIONAL DE SALUD HOSPITAL DE RIO NEGRO</t>
        </is>
      </c>
      <c r="E32" s="0" t="inlineStr">
        <is>
          <t xml:space="preserve">Bienes y Servicios</t>
        </is>
      </c>
      <c r="F32" s="0" t="inlineStr">
        <is>
          <t xml:space="preserve">Región Metropolitana de Santiago</t>
        </is>
      </c>
      <c r="G32" s="0" t="inlineStr">
        <is>
          <t xml:space="preserve">Santiago</t>
        </is>
      </c>
      <c r="H32" s="2">
        <v>46265.489178</v>
      </c>
      <c r="I32" s="2">
        <v>46273.666667</v>
      </c>
      <c r="J32" s="0">
        <v>1</v>
      </c>
      <c r="K32" s="3">
        <v>7000000.0</v>
      </c>
      <c r="L32" s="0" t="inlineStr">
        <is>
          <t xml:space="preserve">CLP</t>
        </is>
      </c>
      <c r="M32" s="0" t="inlineStr">
        <is>
          <t xml:space="preserve">L1</t>
        </is>
      </c>
      <c r="N32" s="4" t="inlineStr">
        <is>
          <t xml:space="preserve">Equipamiento y suministros médicos / Equipos y suministros odontológicos / Suministros y equipos de odontología cosmética</t>
        </is>
      </c>
      <c r="O32" s="4" t="inlineStr">
        <is>
          <t xml:space="preserve">15 Unidad no definida · Coronas o formas de coronas</t>
        </is>
      </c>
      <c r="P32" s="2"/>
      <c r="Q32" s="2"/>
      <c r="R32" s="0"/>
      <c r="S32" s="0" t="inlineStr">
        <is>
          <t xml:space="preserve">No</t>
        </is>
      </c>
      <c r="T32" s="4"/>
      <c r="U32" s="0"/>
      <c r="V32"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32" s="5" t="str">
        <f>HYPERLINK("https://www.mercadopublico.cl/Procurement/Modules/RFB/DetailsAcquisition.aspx?idlicitacion=1057531-10-L126","descargar bases")</f>
      </c>
    </row>
    <row r="33">
      <c r="A33" s="0" t="inlineStr">
        <is>
          <t xml:space="preserve">520149-35-L126</t>
        </is>
      </c>
      <c r="B33" s="4" t="inlineStr">
        <is>
          <t xml:space="preserve">SERVICIO DE INSTALACIÓN, TRASLADO Y REPARACIÓN DE PUNTOS DE DATOS, PARA LOS EDIFICIOS JOSÉ MIGUEL CARRERA Y SEDE DE LA ACADEMIA DIPLOMÁTICA BAJO LA MODALIDAD DE CONTRATO DE SUMINISTRO.</t>
        </is>
      </c>
      <c r="C33" s="0" t="inlineStr">
        <is>
          <t xml:space="preserve">Publicada</t>
        </is>
      </c>
      <c r="D33" s="0" t="inlineStr">
        <is>
          <t xml:space="preserve">SUBSECRETARIA DE RELACIONES EXTERIORES</t>
        </is>
      </c>
      <c r="E33" s="0" t="inlineStr">
        <is>
          <t xml:space="preserve">DICOMPRAS</t>
        </is>
      </c>
      <c r="F33" s="0" t="inlineStr">
        <is>
          <t xml:space="preserve">Región Metropolitana de Santiago</t>
        </is>
      </c>
      <c r="G33" s="0" t="inlineStr">
        <is>
          <t xml:space="preserve">Santiago</t>
        </is>
      </c>
      <c r="H33" s="2">
        <v>46265.729988</v>
      </c>
      <c r="I33" s="2">
        <v>46273.666667</v>
      </c>
      <c r="J33" s="0">
        <v>1</v>
      </c>
      <c r="K33" s="3">
        <v>5000000.0</v>
      </c>
      <c r="L33" s="0" t="inlineStr">
        <is>
          <t xml:space="preserve">CLP</t>
        </is>
      </c>
      <c r="M33" s="0" t="inlineStr">
        <is>
          <t xml:space="preserve">L1</t>
        </is>
      </c>
      <c r="N33" s="4" t="inlineStr">
        <is>
          <t xml:space="preserve">Tecnologías de la información, telecomunicaciones y radiodifusión / Componentes para tecnología de la información, difusión o telecomunicaciones / Subconjuntos para dispositivos electrónicos</t>
        </is>
      </c>
      <c r="O33" s="4" t="inlineStr">
        <is>
          <t xml:space="preserve">1 Unidad · Conjuntos de cableado</t>
        </is>
      </c>
      <c r="P33" s="2"/>
      <c r="Q33" s="2"/>
      <c r="R33" s="0"/>
      <c r="S33" s="0" t="inlineStr">
        <is>
          <t xml:space="preserve">No</t>
        </is>
      </c>
      <c r="T33" s="4"/>
      <c r="U33" s="0"/>
      <c r="V33" s="4" t="inlineStr">
        <is>
          <t xml:space="preserve">SERVICIO DE INSTALACIÓN, TRASLADO Y REPARACIÓN DE PUNTOS DE DATOS, PARA LOS EDIFICIOS JOSÉ MIGUEL CARRERA Y SEDE DE LA ACADEMIA DIPLOMÁTICA BAJO LA MODALIDAD DE CONTRATO DE SUMINISTRO.</t>
        </is>
      </c>
      <c r="W33" s="5" t="str">
        <f>HYPERLINK("https://www.mercadopublico.cl/Procurement/Modules/RFB/DetailsAcquisition.aspx?idlicitacion=520149-35-L126","descargar bases")</f>
      </c>
    </row>
    <row r="34">
      <c r="A34" s="0" t="inlineStr">
        <is>
          <t xml:space="preserve">2793-121-LE26</t>
        </is>
      </c>
      <c r="B34" s="4" t="inlineStr">
        <is>
          <t xml:space="preserve">LICENCIAS DE SOFTWARE</t>
        </is>
      </c>
      <c r="C34" s="0" t="inlineStr">
        <is>
          <t xml:space="preserve">Publicada</t>
        </is>
      </c>
      <c r="D34" s="0" t="inlineStr">
        <is>
          <t xml:space="preserve">Municipalidad de Huechuraba</t>
        </is>
      </c>
      <c r="E34" s="0" t="inlineStr">
        <is>
          <t xml:space="preserve">Municipalidad de Huechuraba</t>
        </is>
      </c>
      <c r="F34" s="0" t="inlineStr">
        <is>
          <t xml:space="preserve">Región Metropolitana de Santiago</t>
        </is>
      </c>
      <c r="G34" s="0" t="inlineStr">
        <is>
          <t xml:space="preserve">Huechuraba</t>
        </is>
      </c>
      <c r="H34" s="2">
        <v>46265.69294</v>
      </c>
      <c r="I34" s="2">
        <v>46274.375</v>
      </c>
      <c r="J34" s="0">
        <v>2</v>
      </c>
      <c r="K34" s="3"/>
      <c r="L34" s="0" t="inlineStr">
        <is>
          <t xml:space="preserve">CLP</t>
        </is>
      </c>
      <c r="M34" s="0" t="inlineStr">
        <is>
          <t xml:space="preserve">LE</t>
        </is>
      </c>
      <c r="N34" s="4" t="inlineStr">
        <is>
          <t xml:space="preserve">Tecnologías de la información, telecomunicaciones y radiodifusión / Software / Software de gestión</t>
        </is>
      </c>
      <c r="O34" s="4" t="inlineStr">
        <is>
          <t xml:space="preserve">1 Unidad · Software de gestión de licencias</t>
        </is>
      </c>
      <c r="P34" s="2"/>
      <c r="Q34" s="2"/>
      <c r="R34" s="0"/>
      <c r="S34" s="0" t="inlineStr">
        <is>
          <t xml:space="preserve">No</t>
        </is>
      </c>
      <c r="T34" s="4"/>
      <c r="U34" s="0" t="inlineStr">
        <is>
          <t xml:space="preserve">ASESORIA JURIDICA</t>
        </is>
      </c>
      <c r="V34" s="4" t="inlineStr">
        <is>
          <t xml:space="preserve">LA MUNICIPALIDAD DE HUECHURABA REQUIERE LA ADQUISICIÓN DE LICENCIAS DE SOFTWARE LECTOR, MODIFICADOR Y CREADOR DE DOCUMENTOS PDF, SOLICITADA POR EL DEPARTAMENTO DE INFORMATICA, SEGÚN LO INDICADO EN DOCUMENTACIÓN ADJUNTA.</t>
        </is>
      </c>
      <c r="W34" s="5" t="str">
        <f>HYPERLINK("https://www.mercadopublico.cl/Procurement/Modules/RFB/DetailsAcquisition.aspx?idlicitacion=2793-121-LE26","descargar bases")</f>
      </c>
    </row>
    <row r="35">
      <c r="A35" s="0" t="inlineStr">
        <is>
          <t xml:space="preserve">742475-4-LE26</t>
        </is>
      </c>
      <c r="B35" s="4" t="inlineStr">
        <is>
          <t xml:space="preserve">Adquisición de equipos informáticos para el programa Oficina Local de la Niñez</t>
        </is>
      </c>
      <c r="C35" s="0" t="inlineStr">
        <is>
          <t xml:space="preserve">Publicada</t>
        </is>
      </c>
      <c r="D35" s="0" t="inlineStr">
        <is>
          <t xml:space="preserve">I MUNICIPALIDAD DE VILLA ALEMANA</t>
        </is>
      </c>
      <c r="E35" s="0" t="inlineStr">
        <is>
          <t xml:space="preserve">ABASTECIMIENTO PROGRAMAS</t>
        </is>
      </c>
      <c r="F35" s="0" t="inlineStr">
        <is>
          <t xml:space="preserve">Región de Valparaíso </t>
        </is>
      </c>
      <c r="G35" s="0" t="inlineStr">
        <is>
          <t xml:space="preserve">Villa Alemana</t>
        </is>
      </c>
      <c r="H35" s="2">
        <v>46261.5564</v>
      </c>
      <c r="I35" s="2">
        <v>46274.5</v>
      </c>
      <c r="J35" s="0">
        <v>2</v>
      </c>
      <c r="K35" s="3">
        <v>7167631.0</v>
      </c>
      <c r="L35" s="0" t="inlineStr">
        <is>
          <t xml:space="preserve">CLP</t>
        </is>
      </c>
      <c r="M35" s="0" t="inlineStr">
        <is>
          <t xml:space="preserve">LE</t>
        </is>
      </c>
      <c r="N35" s="4" t="inlineStr">
        <is>
          <t xml:space="preserve">Tecnologías de la información, telecomunicaciones y radiodifusión / Equipos informáticos y accesorios / Computadores</t>
        </is>
      </c>
      <c r="O35" s="4" t="inlineStr">
        <is>
          <t xml:space="preserve">1 Unidad · Notebook, laptop o computador portátil excepto Tablet PC</t>
        </is>
      </c>
      <c r="P35" s="2"/>
      <c r="Q35" s="2"/>
      <c r="R35" s="0"/>
      <c r="S35" s="0" t="inlineStr">
        <is>
          <t xml:space="preserve">No</t>
        </is>
      </c>
      <c r="T35" s="4"/>
      <c r="U35" s="0" t="inlineStr">
        <is>
          <t xml:space="preserve">ALAN RAAD</t>
        </is>
      </c>
      <c r="V35"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35" s="5" t="str">
        <f>HYPERLINK("https://www.mercadopublico.cl/Procurement/Modules/RFB/DetailsAcquisition.aspx?idlicitacion=742475-4-LE26","descargar bases")</f>
      </c>
    </row>
    <row r="36">
      <c r="A36" s="0" t="inlineStr">
        <is>
          <t xml:space="preserve">3890-185-L126</t>
        </is>
      </c>
      <c r="B36" s="4" t="inlineStr">
        <is>
          <t xml:space="preserve">ADQ EQUIPOS INFORMATICOS CENTRO DE LAS MUJERES</t>
        </is>
      </c>
      <c r="C36" s="0" t="inlineStr">
        <is>
          <t xml:space="preserve">Publicada</t>
        </is>
      </c>
      <c r="D36" s="0" t="inlineStr">
        <is>
          <t xml:space="preserve">I MUNICIPALIDAD DE FREIRE</t>
        </is>
      </c>
      <c r="E36" s="0" t="inlineStr">
        <is>
          <t xml:space="preserve">MUNICIPALIDAD DE FREIRE</t>
        </is>
      </c>
      <c r="F36" s="0" t="inlineStr">
        <is>
          <t xml:space="preserve">Región de la Araucanía </t>
        </is>
      </c>
      <c r="G36" s="0" t="inlineStr">
        <is>
          <t xml:space="preserve">Freire</t>
        </is>
      </c>
      <c r="H36" s="2">
        <v>46266.483484</v>
      </c>
      <c r="I36" s="2">
        <v>46274.543056</v>
      </c>
      <c r="J36" s="0">
        <v>2</v>
      </c>
      <c r="K36" s="3">
        <v>1195000.0</v>
      </c>
      <c r="L36" s="0" t="inlineStr">
        <is>
          <t xml:space="preserve">CLP</t>
        </is>
      </c>
      <c r="M36" s="0" t="inlineStr">
        <is>
          <t xml:space="preserve">L1</t>
        </is>
      </c>
      <c r="N36" s="4" t="inlineStr">
        <is>
          <t xml:space="preserve">Tecnologías de la información, telecomunicaciones y radiodifusión / Equipos informáticos y accesorios / Computadores</t>
        </is>
      </c>
      <c r="O36" s="4" t="inlineStr">
        <is>
          <t xml:space="preserve">1 Global · Notebook, laptop o computador portátil excepto Tablet PC</t>
        </is>
      </c>
      <c r="P36" s="2"/>
      <c r="Q36" s="2"/>
      <c r="R36" s="0"/>
      <c r="S36" s="0" t="inlineStr">
        <is>
          <t xml:space="preserve">No</t>
        </is>
      </c>
      <c r="T36" s="4"/>
      <c r="U36" s="0" t="inlineStr">
        <is>
          <t xml:space="preserve">CRISTIAN RIOS ARRIAGADA</t>
        </is>
      </c>
      <c r="V36" s="4" t="inlineStr">
        <is>
          <t xml:space="preserve">ADQUISICION DE EQUIPOS INFORMATICOS PARA PROGRAMA CENTRO DE LAS MUJERES FREIRE</t>
        </is>
      </c>
      <c r="W36" s="5" t="str">
        <f>HYPERLINK("https://www.mercadopublico.cl/Procurement/Modules/RFB/DetailsAcquisition.aspx?idlicitacion=3890-185-L126","descargar bases")</f>
      </c>
    </row>
    <row r="37">
      <c r="A37" s="0" t="inlineStr">
        <is>
          <t xml:space="preserve">1469-175-L126</t>
        </is>
      </c>
      <c r="B37" s="4" t="inlineStr">
        <is>
          <t xml:space="preserve">TABLERO PARA BOMBA SUMERGIBLE, CAMPUS TALCA, UNIVERSIDAD DE TALCA.</t>
        </is>
      </c>
      <c r="C37" s="0" t="inlineStr">
        <is>
          <t xml:space="preserve">Publicada</t>
        </is>
      </c>
      <c r="D37" s="0" t="inlineStr">
        <is>
          <t xml:space="preserve">UNIVERSIDAD DE TALCA</t>
        </is>
      </c>
      <c r="E37" s="0" t="inlineStr">
        <is>
          <t xml:space="preserve">Universidad de Talca</t>
        </is>
      </c>
      <c r="F37" s="0" t="inlineStr">
        <is>
          <t xml:space="preserve">Región del Maule </t>
        </is>
      </c>
      <c r="G37" s="0" t="inlineStr">
        <is>
          <t xml:space="preserve">Talca</t>
        </is>
      </c>
      <c r="H37" s="2">
        <v>46260.508333</v>
      </c>
      <c r="I37" s="2">
        <v>46274.625</v>
      </c>
      <c r="J37" s="0">
        <v>2</v>
      </c>
      <c r="K37" s="3">
        <v>1800000.0</v>
      </c>
      <c r="L37" s="0" t="inlineStr">
        <is>
          <t xml:space="preserve">CLP</t>
        </is>
      </c>
      <c r="M37" s="0" t="inlineStr">
        <is>
          <t xml:space="preserve">L1</t>
        </is>
      </c>
      <c r="N37" s="4" t="inlineStr">
        <is>
          <t xml:space="preserve">Equipamiento para el acondicionamiento, distribución y filtrado de fluidos / Bombas y compresores industriales / Bombas</t>
        </is>
      </c>
      <c r="O37" s="4" t="inlineStr">
        <is>
          <t xml:space="preserve">1 Unidad · Bombas sumergibles</t>
        </is>
      </c>
      <c r="P37" s="2"/>
      <c r="Q37" s="2"/>
      <c r="R37" s="0"/>
      <c r="S37" s="0" t="inlineStr">
        <is>
          <t xml:space="preserve">No</t>
        </is>
      </c>
      <c r="T37" s="4"/>
      <c r="U37" s="0"/>
      <c r="V37" s="4" t="inlineStr">
        <is>
          <t xml:space="preserve">La presente contratación considera la ejecución de obras menores en jardín botánico, para instalar un tablero eléctrico nuevo, el cual debe cumplir con la normativa eléctrica chilena y protecciones para la bomba.</t>
        </is>
      </c>
      <c r="W37" s="5" t="str">
        <f>HYPERLINK("https://www.mercadopublico.cl/Procurement/Modules/RFB/DetailsAcquisition.aspx?idlicitacion=1469-175-L126","descargar bases")</f>
      </c>
    </row>
    <row r="38">
      <c r="A38" s="0" t="inlineStr">
        <is>
          <t xml:space="preserve">1562-52-LE26</t>
        </is>
      </c>
      <c r="B38" s="4" t="inlineStr">
        <is>
          <t xml:space="preserve">ADQUISICIÓN RENOVACIÓN PLATAFORMA ROCSCIENCE</t>
        </is>
      </c>
      <c r="C38" s="0" t="inlineStr">
        <is>
          <t xml:space="preserve">Publicada</t>
        </is>
      </c>
      <c r="D38" s="0" t="inlineStr">
        <is>
          <t xml:space="preserve">SERVICIO NACIONAL DE GEOLOGIA Y MINERIA</t>
        </is>
      </c>
      <c r="E38" s="0" t="inlineStr">
        <is>
          <t xml:space="preserve">Servicio Nacional de Geología y Minería</t>
        </is>
      </c>
      <c r="F38" s="0" t="inlineStr">
        <is>
          <t xml:space="preserve">Región Metropolitana de Santiago</t>
        </is>
      </c>
      <c r="G38" s="0" t="inlineStr">
        <is>
          <t xml:space="preserve">Providencia</t>
        </is>
      </c>
      <c r="H38" s="2">
        <v>46262.475579</v>
      </c>
      <c r="I38" s="2">
        <v>46274.625</v>
      </c>
      <c r="J38" s="0">
        <v>2</v>
      </c>
      <c r="K38" s="3">
        <v>30754000.0</v>
      </c>
      <c r="L38" s="0" t="inlineStr">
        <is>
          <t xml:space="preserve">CLP</t>
        </is>
      </c>
      <c r="M38" s="0" t="inlineStr">
        <is>
          <t xml:space="preserve">LE</t>
        </is>
      </c>
      <c r="N38" s="4" t="inlineStr">
        <is>
          <t xml:space="preserve">Tecnologías de la información, telecomunicaciones y radiodifusión / Software / Software de gestión</t>
        </is>
      </c>
      <c r="O38" s="4" t="inlineStr">
        <is>
          <t xml:space="preserve">1 Unidad · Software de gestión de licencias</t>
        </is>
      </c>
      <c r="P38" s="2"/>
      <c r="Q38" s="2"/>
      <c r="R38" s="0" t="inlineStr">
        <is>
          <t xml:space="preserve">12 meses</t>
        </is>
      </c>
      <c r="S38" s="0" t="inlineStr">
        <is>
          <t xml:space="preserve">No</t>
        </is>
      </c>
      <c r="T38" s="4"/>
      <c r="U38" s="0" t="inlineStr">
        <is>
          <t xml:space="preserve">Hugo Neira</t>
        </is>
      </c>
      <c r="V38"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38" s="5" t="str">
        <f>HYPERLINK("https://www.mercadopublico.cl/Procurement/Modules/RFB/DetailsAcquisition.aspx?idlicitacion=1562-52-LE26","descargar bases")</f>
      </c>
    </row>
    <row r="39">
      <c r="A39" s="0" t="inlineStr">
        <is>
          <t xml:space="preserve">1057390-48-LP26</t>
        </is>
      </c>
      <c r="B39" s="4" t="inlineStr">
        <is>
          <t xml:space="preserve">CONV. RADIOCOMUNICACIÓN DIGITAL SAMU</t>
        </is>
      </c>
      <c r="C39" s="0" t="inlineStr">
        <is>
          <t xml:space="preserve">Publicada</t>
        </is>
      </c>
      <c r="D39" s="0" t="inlineStr">
        <is>
          <t xml:space="preserve">SERVICIO DE SALUD ARAUCANIA NORTE</t>
        </is>
      </c>
      <c r="E39" s="0" t="inlineStr">
        <is>
          <t xml:space="preserve">Bienes y Servicios</t>
        </is>
      </c>
      <c r="F39" s="0" t="inlineStr">
        <is>
          <t xml:space="preserve">Región de la Araucanía </t>
        </is>
      </c>
      <c r="G39" s="0"/>
      <c r="H39" s="2">
        <v>46254.446921</v>
      </c>
      <c r="I39" s="2">
        <v>46274.645833</v>
      </c>
      <c r="J39" s="0">
        <v>2</v>
      </c>
      <c r="K39" s="3">
        <v>180329688.0</v>
      </c>
      <c r="L39" s="0" t="inlineStr">
        <is>
          <t xml:space="preserve">CLP</t>
        </is>
      </c>
      <c r="M39" s="0" t="inlineStr">
        <is>
          <t xml:space="preserve">LP</t>
        </is>
      </c>
      <c r="N39" s="4" t="inlineStr">
        <is>
          <t xml:space="preserve">Servicios básicos y de información pública / Telecomunicaciones / Servicios de radio</t>
        </is>
      </c>
      <c r="O39" s="4" t="inlineStr">
        <is>
          <t xml:space="preserve">1 Mes · Sistemas de radio a pequeña escala</t>
        </is>
      </c>
      <c r="P39" s="2"/>
      <c r="Q39" s="2"/>
      <c r="R39" s="0" t="inlineStr">
        <is>
          <t xml:space="preserve">24 meses</t>
        </is>
      </c>
      <c r="S39" s="0" t="inlineStr">
        <is>
          <t xml:space="preserve">No</t>
        </is>
      </c>
      <c r="T39" s="4"/>
      <c r="U39" s="0" t="inlineStr">
        <is>
          <t xml:space="preserve">Gastón Lorca Troncoso</t>
        </is>
      </c>
      <c r="V39" s="4" t="inlineStr">
        <is>
          <t xml:space="preserve">La presente licitación tiene como objetivo, contratar un servicio mensual de comunicaciones digitales de voz para SAMU Malleco, según Especificaciones Técnicas (Anexo 4).</t>
        </is>
      </c>
      <c r="W39" s="5" t="str">
        <f>HYPERLINK("https://www.mercadopublico.cl/Procurement/Modules/RFB/DetailsAcquisition.aspx?idlicitacion=1057390-48-LP26","descargar bases")</f>
      </c>
    </row>
    <row r="40">
      <c r="A40" s="0" t="inlineStr">
        <is>
          <t xml:space="preserve">2292-58-L126</t>
        </is>
      </c>
      <c r="B40" s="4" t="inlineStr">
        <is>
          <t xml:space="preserve">SERVICIO DE RELATORÍA PARA LA CAPACITACIÓN "CALIDAD, ACREDITACION Y CIBERSEGURIDAD EN ATENCIÓN PRIMARIA"</t>
        </is>
      </c>
      <c r="C40" s="0" t="inlineStr">
        <is>
          <t xml:space="preserve">Publicada</t>
        </is>
      </c>
      <c r="D40" s="0" t="inlineStr">
        <is>
          <t xml:space="preserve">I MUNICIPALIDAD DE TALCA</t>
        </is>
      </c>
      <c r="E40" s="0" t="inlineStr">
        <is>
          <t xml:space="preserve">DIR. COMUNAL DE SALUD</t>
        </is>
      </c>
      <c r="F40" s="0" t="inlineStr">
        <is>
          <t xml:space="preserve">Región del Maule </t>
        </is>
      </c>
      <c r="G40" s="0" t="inlineStr">
        <is>
          <t xml:space="preserve">Talca</t>
        </is>
      </c>
      <c r="H40" s="2">
        <v>46267.705278</v>
      </c>
      <c r="I40" s="2">
        <v>46274.666667</v>
      </c>
      <c r="J40" s="0">
        <v>2</v>
      </c>
      <c r="K40" s="3">
        <v>2853350.0</v>
      </c>
      <c r="L40" s="0" t="inlineStr">
        <is>
          <t xml:space="preserve">CLP</t>
        </is>
      </c>
      <c r="M40" s="0" t="inlineStr">
        <is>
          <t xml:space="preserve">L1</t>
        </is>
      </c>
      <c r="N40" s="4" t="inlineStr">
        <is>
          <t xml:space="preserve">Educación, formación, entrenamiento y capacitación / Sistemas educativos complementarios / Educación de adultos</t>
        </is>
      </c>
      <c r="O40" s="4" t="inlineStr">
        <is>
          <t xml:space="preserve">1 Unidad · Capacitación a empleados</t>
        </is>
      </c>
      <c r="P40" s="2"/>
      <c r="Q40" s="2"/>
      <c r="R40" s="0"/>
      <c r="S40" s="0" t="inlineStr">
        <is>
          <t xml:space="preserve">No</t>
        </is>
      </c>
      <c r="T40" s="4"/>
      <c r="U40" s="0"/>
      <c r="V40" s="4" t="inlineStr">
        <is>
          <t xml:space="preserve">ADQUISICIÓN DE SERVICIO DE RELATORÍA PARA LA CAPACITACIÓN " CALIDAD, ACREDITACION Y CIBERSEGURIDAD", SEGÚN PEDIDO N°002516  DE U. DE CAPACITACIÓN DCS, PARA 1000 FUNCIONARIOS,  DE MANERA PRESENCIAL DISTRIBUIDAS EN JORNADAS DE 09:00 A 17:00 HRS, DE LUNES A VIERNES, PLAZO DE EJECUCIÓN HASTA DICIEMBRE DE 2026 SEGÚN REQUERIMIENTO ADJUNTO. . MONTO DISPONIBLE: $2.853.350 EXENTO DE IVA.  COMPLETAR Y ADJUNTAR ANEXOS Y DOCUMENTACIÓN SOLICITADOS.</t>
        </is>
      </c>
      <c r="W40" s="5" t="str">
        <f>HYPERLINK("https://www.mercadopublico.cl/Procurement/Modules/RFB/DetailsAcquisition.aspx?idlicitacion=2292-58-L126","descargar bases")</f>
      </c>
    </row>
    <row r="41">
      <c r="A41" s="0" t="inlineStr">
        <is>
          <t xml:space="preserve">1180922-21-L126</t>
        </is>
      </c>
      <c r="B41" s="4" t="inlineStr">
        <is>
          <t xml:space="preserve">Adquisición de equipamiento clínico para unidad de Hospitalización de cuidados intensivos de psiquiatría (UHCIP) Infanto adolescente;01 fonendoscopio, 06 termómetro digital y 01 carro de transporte material estéril</t>
        </is>
      </c>
      <c r="C41" s="0" t="inlineStr">
        <is>
          <t xml:space="preserve">Publicada</t>
        </is>
      </c>
      <c r="D41" s="0" t="inlineStr">
        <is>
          <t xml:space="preserve">SERVICIO DE SALUD LOS RIOS</t>
        </is>
      </c>
      <c r="E41" s="0" t="inlineStr">
        <is>
          <t xml:space="preserve">COMPRA CONVENIO GORE VALDIVIA</t>
        </is>
      </c>
      <c r="F41" s="0" t="inlineStr">
        <is>
          <t xml:space="preserve">Región de Los Ríos</t>
        </is>
      </c>
      <c r="G41" s="0" t="inlineStr">
        <is>
          <t xml:space="preserve">La Unión</t>
        </is>
      </c>
      <c r="H41" s="2">
        <v>46267.667361</v>
      </c>
      <c r="I41" s="2">
        <v>46275.375</v>
      </c>
      <c r="J41" s="0">
        <v>3</v>
      </c>
      <c r="K41" s="3">
        <v>5649390.0</v>
      </c>
      <c r="L41" s="0" t="inlineStr">
        <is>
          <t xml:space="preserve">CLP</t>
        </is>
      </c>
      <c r="M41" s="0" t="inlineStr">
        <is>
          <t xml:space="preserve">L1</t>
        </is>
      </c>
      <c r="N41" s="4" t="inlineStr">
        <is>
          <t xml:space="preserve">Equipamiento y suministros médicos / Equipamiento para instalaciones médicas / Transporte de equipo médico y traslado de productos, Equipamiento y suministros médicos / Productos para exámenes y control de pacientes / Equipos y accesorios médicos, Equipamiento y suministros médicos / Productos para exámenes y control de pacientes / Estetoscopio y artículos relacionados</t>
        </is>
      </c>
      <c r="O41" s="4" t="inlineStr">
        <is>
          <t xml:space="preserve">1 Unidad · Estetoscopio mecánico o accesorios · 6 Unidad · Termómetros médicos electrónicos · 1 Unidad · Carros médicos o accesorios</t>
        </is>
      </c>
      <c r="P41" s="2"/>
      <c r="Q41" s="2"/>
      <c r="R41" s="0"/>
      <c r="S41" s="0" t="inlineStr">
        <is>
          <t xml:space="preserve">No</t>
        </is>
      </c>
      <c r="T41" s="4"/>
      <c r="U41" s="0"/>
      <c r="V41" s="4" t="inlineStr">
        <is>
          <t xml:space="preserve">Adquisición de equipamiento clínico para unidad de Hospitalización de cuidados intensivos de psiquiatría (UHCIP) Infanto adolescente;01 fonendoscopio, 06 termómetro digital y 01 carro de transporte material estéril</t>
        </is>
      </c>
      <c r="W41" s="5" t="str">
        <f>HYPERLINK("https://www.mercadopublico.cl/Procurement/Modules/RFB/DetailsAcquisition.aspx?idlicitacion=1180922-21-L126","descargar bases")</f>
      </c>
    </row>
    <row r="42">
      <c r="A42" s="0" t="inlineStr">
        <is>
          <t xml:space="preserve">1110404-183-L126</t>
        </is>
      </c>
      <c r="B42" s="4" t="inlineStr">
        <is>
          <t xml:space="preserve">PROVISIÓN DE TABLERO DE OPERACIONES PARA ESTABLECIMIENTO EDUCACIONAL ESCUELA RICARDO SILVA, PERTENECIENTE AL SLEP CHINCHORRO, ARICA</t>
        </is>
      </c>
      <c r="C42" s="0" t="inlineStr">
        <is>
          <t xml:space="preserve">Publicada</t>
        </is>
      </c>
      <c r="D42" s="0" t="inlineStr">
        <is>
          <t xml:space="preserve">SERVICIO LOCAL DE EDUCACION DE CHINCHORRO</t>
        </is>
      </c>
      <c r="E42" s="0" t="inlineStr">
        <is>
          <t xml:space="preserve">SLEPCH - EE - Programa 02</t>
        </is>
      </c>
      <c r="F42" s="0" t="inlineStr">
        <is>
          <t xml:space="preserve">Región de Arica y Parinacota</t>
        </is>
      </c>
      <c r="G42" s="0" t="inlineStr">
        <is>
          <t xml:space="preserve">Arica</t>
        </is>
      </c>
      <c r="H42" s="2">
        <v>46268.65625</v>
      </c>
      <c r="I42" s="2">
        <v>46275.416667</v>
      </c>
      <c r="J42" s="0">
        <v>3</v>
      </c>
      <c r="K42" s="3"/>
      <c r="L42" s="0" t="inlineStr">
        <is>
          <t xml:space="preserve">CLP</t>
        </is>
      </c>
      <c r="M42" s="0" t="inlineStr">
        <is>
          <t xml:space="preserve">L1</t>
        </is>
      </c>
      <c r="N42" s="4" t="inlineStr">
        <is>
          <t xml:space="preserve">Muebles y mobiliario / Muebles de alojamiento / Muebles</t>
        </is>
      </c>
      <c r="O42" s="4" t="inlineStr">
        <is>
          <t xml:space="preserve">30 Unidad · Mesas</t>
        </is>
      </c>
      <c r="P42" s="2"/>
      <c r="Q42" s="2"/>
      <c r="R42" s="0"/>
      <c r="S42" s="0" t="inlineStr">
        <is>
          <t xml:space="preserve">No</t>
        </is>
      </c>
      <c r="T42" s="4"/>
      <c r="U42" s="0"/>
      <c r="V42" s="4" t="inlineStr">
        <is>
          <t xml:space="preserve">PROVISIÓN DE TABLERO DE OPERACIONES PARA ESTABLECIMIENTO EDUCACIONAL ESCUELA RICARDO SILVA, PERTENECIENTE AL SLEP CHINCHORRO, ARICA</t>
        </is>
      </c>
      <c r="W42" s="5" t="str">
        <f>HYPERLINK("https://www.mercadopublico.cl/Procurement/Modules/RFB/DetailsAcquisition.aspx?idlicitacion=1110404-183-L126","descargar bases")</f>
      </c>
    </row>
    <row r="43">
      <c r="A43" s="0" t="inlineStr">
        <is>
          <t xml:space="preserve">1978-85-LE26</t>
        </is>
      </c>
      <c r="B43" s="4" t="inlineStr">
        <is>
          <t xml:space="preserve">Soporte Acronis Backup Cloud y Acronis Storage</t>
        </is>
      </c>
      <c r="C43" s="0" t="inlineStr">
        <is>
          <t xml:space="preserve">Publicada</t>
        </is>
      </c>
      <c r="D43" s="0" t="inlineStr">
        <is>
          <t xml:space="preserve">SERVICIO DE SALUD DEL MAULE</t>
        </is>
      </c>
      <c r="E43" s="0" t="inlineStr">
        <is>
          <t xml:space="preserve">Servicio de Salud del Maule</t>
        </is>
      </c>
      <c r="F43" s="0" t="inlineStr">
        <is>
          <t xml:space="preserve">Región del Maule </t>
        </is>
      </c>
      <c r="G43" s="0" t="inlineStr">
        <is>
          <t xml:space="preserve">Maule</t>
        </is>
      </c>
      <c r="H43" s="2">
        <v>46260.66875</v>
      </c>
      <c r="I43" s="2">
        <v>46275.463194</v>
      </c>
      <c r="J43" s="0">
        <v>3</v>
      </c>
      <c r="K43" s="3"/>
      <c r="L43" s="0" t="inlineStr">
        <is>
          <t xml:space="preserve">CLP</t>
        </is>
      </c>
      <c r="M43" s="0" t="inlineStr">
        <is>
          <t xml:space="preserve">LE</t>
        </is>
      </c>
      <c r="N43" s="4" t="inlineStr">
        <is>
          <t xml:space="preserve">Tecnologías de la información, telecomunicaciones y radiodifusión / Software / Software de gestión</t>
        </is>
      </c>
      <c r="O43" s="4" t="inlineStr">
        <is>
          <t xml:space="preserve">36 Mes · Software de sistema experto</t>
        </is>
      </c>
      <c r="P43" s="2"/>
      <c r="Q43" s="2"/>
      <c r="R43" s="0" t="inlineStr">
        <is>
          <t xml:space="preserve">36 meses</t>
        </is>
      </c>
      <c r="S43" s="0" t="inlineStr">
        <is>
          <t xml:space="preserve">No</t>
        </is>
      </c>
      <c r="T43" s="4"/>
      <c r="U43" s="0" t="inlineStr">
        <is>
          <t xml:space="preserve">Hector Bastidas V</t>
        </is>
      </c>
      <c r="V43"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43" s="5" t="str">
        <f>HYPERLINK("https://www.mercadopublico.cl/Procurement/Modules/RFB/DetailsAcquisition.aspx?idlicitacion=1978-85-LE26","descargar bases")</f>
      </c>
    </row>
    <row r="44">
      <c r="A44" s="0" t="inlineStr">
        <is>
          <t xml:space="preserve">1057501-488-LE26</t>
        </is>
      </c>
      <c r="B44" s="4" t="inlineStr">
        <is>
          <t xml:space="preserve">ARRIENDO MODULOS BODEGA PARA INFORMÁTICA HSR</t>
        </is>
      </c>
      <c r="C44" s="0" t="inlineStr">
        <is>
          <t xml:space="preserve">Publicada</t>
        </is>
      </c>
      <c r="D44" s="0" t="inlineStr">
        <is>
          <t xml:space="preserve">COMPLEJO ASISTENCIAL DR. SOTERO DEL RIO</t>
        </is>
      </c>
      <c r="E44" s="0" t="inlineStr">
        <is>
          <t xml:space="preserve">COMPLEJO ASISTENCIAL DR. SOTERO DEL RIO</t>
        </is>
      </c>
      <c r="F44" s="0" t="inlineStr">
        <is>
          <t xml:space="preserve">Región Metropolitana de Santiago</t>
        </is>
      </c>
      <c r="G44" s="0" t="inlineStr">
        <is>
          <t xml:space="preserve">Puente Alto</t>
        </is>
      </c>
      <c r="H44" s="2">
        <v>46261.515278</v>
      </c>
      <c r="I44" s="2">
        <v>46275.5</v>
      </c>
      <c r="J44" s="0">
        <v>3</v>
      </c>
      <c r="K44" s="3"/>
      <c r="L44" s="0" t="inlineStr">
        <is>
          <t xml:space="preserve">CLP</t>
        </is>
      </c>
      <c r="M44" s="0" t="inlineStr">
        <is>
          <t xml:space="preserve">LE</t>
        </is>
      </c>
      <c r="N44" s="4" t="inlineStr">
        <is>
          <t xml:space="preserve">Servicios de construcción y mantenimiento / Construcción de edificios en general / Construcción de obras civiles y infraestructuras</t>
        </is>
      </c>
      <c r="O44" s="4" t="inlineStr">
        <is>
          <t xml:space="preserve">2 Unidad · Construcción de obras civiles</t>
        </is>
      </c>
      <c r="P44" s="2"/>
      <c r="Q44" s="2"/>
      <c r="R44" s="0"/>
      <c r="S44" s="0" t="inlineStr">
        <is>
          <t xml:space="preserve">No</t>
        </is>
      </c>
      <c r="T44" s="4" t="inlineStr">
        <is>
          <t xml:space="preserve">16.- PROHIBICIÓN DE CESIÓN</t>
        </is>
      </c>
      <c r="U44" s="0" t="inlineStr">
        <is>
          <t xml:space="preserve">Cristian Diaz</t>
        </is>
      </c>
      <c r="V44"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44" s="5" t="str">
        <f>HYPERLINK("https://www.mercadopublico.cl/Procurement/Modules/RFB/DetailsAcquisition.aspx?idlicitacion=1057501-488-LE26","descargar bases")</f>
      </c>
    </row>
    <row r="45">
      <c r="A45" s="0" t="inlineStr">
        <is>
          <t xml:space="preserve">1020-45-LE26</t>
        </is>
      </c>
      <c r="B45" s="4" t="inlineStr">
        <is>
          <t xml:space="preserve">Renovación Licencias Software Solarwinds Dameware</t>
        </is>
      </c>
      <c r="C45" s="0" t="inlineStr">
        <is>
          <t xml:space="preserve">Publicada</t>
        </is>
      </c>
      <c r="D45" s="0" t="inlineStr">
        <is>
          <t xml:space="preserve">MINISTERIO DE OBRAS PUBLICAS DIREC CION GRAL DE OO PP DCYF</t>
        </is>
      </c>
      <c r="E45" s="0" t="inlineStr">
        <is>
          <t xml:space="preserve">MOP Subsecretaría </t>
        </is>
      </c>
      <c r="F45" s="0" t="inlineStr">
        <is>
          <t xml:space="preserve">Región Metropolitana de Santiago</t>
        </is>
      </c>
      <c r="G45" s="0"/>
      <c r="H45" s="2">
        <v>46262.529931</v>
      </c>
      <c r="I45" s="2">
        <v>46275.625</v>
      </c>
      <c r="J45" s="0">
        <v>3</v>
      </c>
      <c r="K45" s="3">
        <v>26000000.0</v>
      </c>
      <c r="L45" s="0" t="inlineStr">
        <is>
          <t xml:space="preserve">CLP</t>
        </is>
      </c>
      <c r="M45" s="0" t="inlineStr">
        <is>
          <t xml:space="preserve">LE</t>
        </is>
      </c>
      <c r="N45" s="4" t="inlineStr">
        <is>
          <t xml:space="preserve">Tecnologías de la información, telecomunicaciones y radiodifusión / Software / Software de gestión</t>
        </is>
      </c>
      <c r="O45" s="4" t="inlineStr">
        <is>
          <t xml:space="preserve">60 Unidad · Software de gestión de licencias</t>
        </is>
      </c>
      <c r="P45" s="2"/>
      <c r="Q45" s="2"/>
      <c r="R45" s="0"/>
      <c r="S45" s="0" t="inlineStr">
        <is>
          <t xml:space="preserve">No</t>
        </is>
      </c>
      <c r="T45" s="4" t="inlineStr">
        <is>
          <t xml:space="preserve">No permite subcontratación Conforme a lo señalado en el punto 10.5 de las Bases Administrativas, adjuntas.</t>
        </is>
      </c>
      <c r="U45" s="0" t="inlineStr">
        <is>
          <t xml:space="preserve">Juan Carlos Poblete</t>
        </is>
      </c>
      <c r="V45"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45" s="5" t="str">
        <f>HYPERLINK("https://www.mercadopublico.cl/Procurement/Modules/RFB/DetailsAcquisition.aspx?idlicitacion=1020-45-LE26","descargar bases")</f>
      </c>
    </row>
    <row r="46">
      <c r="A46" s="0" t="inlineStr">
        <is>
          <t xml:space="preserve">1057494-50-LR26</t>
        </is>
      </c>
      <c r="B46" s="4" t="inlineStr">
        <is>
          <t xml:space="preserve">SOFTWARE PARA LA GESTIÓN DE LA UNIDAD DE LABORATOR</t>
        </is>
      </c>
      <c r="C46" s="0" t="inlineStr">
        <is>
          <t xml:space="preserve">Publicada</t>
        </is>
      </c>
      <c r="D46" s="0" t="inlineStr">
        <is>
          <t xml:space="preserve">SERVICIO DE SALUD SUR HOSPITAL EXEQUIEL</t>
        </is>
      </c>
      <c r="E46" s="0" t="inlineStr">
        <is>
          <t xml:space="preserve">Bienes y Servicios</t>
        </is>
      </c>
      <c r="F46" s="0" t="inlineStr">
        <is>
          <t xml:space="preserve">Región Metropolitana de Santiago</t>
        </is>
      </c>
      <c r="G46" s="0" t="inlineStr">
        <is>
          <t xml:space="preserve">San Miguel</t>
        </is>
      </c>
      <c r="H46" s="2">
        <v>46245.521528</v>
      </c>
      <c r="I46" s="2">
        <v>46275.666667</v>
      </c>
      <c r="J46" s="0">
        <v>3</v>
      </c>
      <c r="K46" s="3"/>
      <c r="L46" s="0" t="inlineStr">
        <is>
          <t xml:space="preserve">CLP</t>
        </is>
      </c>
      <c r="M46" s="0" t="inlineStr">
        <is>
          <t xml:space="preserve">LR</t>
        </is>
      </c>
      <c r="N46" s="4" t="inlineStr">
        <is>
          <t xml:space="preserve">Equipamiento y suministros médicos / Productos para imágenes y de medicina nuclear / Artículos para archivar información e imágenes radiológicas</t>
        </is>
      </c>
      <c r="O46" s="4" t="inlineStr">
        <is>
          <t xml:space="preserve">1 Unidad · Software de sistemas de archivado de película radiográfica médica</t>
        </is>
      </c>
      <c r="P46" s="2"/>
      <c r="Q46" s="2"/>
      <c r="R46" s="0" t="inlineStr">
        <is>
          <t xml:space="preserve">60 meses</t>
        </is>
      </c>
      <c r="S46" s="0" t="inlineStr">
        <is>
          <t xml:space="preserve">No</t>
        </is>
      </c>
      <c r="T46" s="4"/>
      <c r="U46" s="0" t="inlineStr">
        <is>
          <t xml:space="preserve">Damaris Medinelli Tapia</t>
        </is>
      </c>
      <c r="V46" s="4" t="inlineStr">
        <is>
          <t xml:space="preserve">ARRIENDO DE SOFTWARE PARA LA GESTIÓN DE LA UNIDAD DE LABORATORIO CLÍNICO DEL HOSPITAL DR. EXEQUIEL GONZÁLEZ CORTÉS</t>
        </is>
      </c>
      <c r="W46" s="5" t="str">
        <f>HYPERLINK("https://www.mercadopublico.cl/Procurement/Modules/RFB/DetailsAcquisition.aspx?idlicitacion=1057494-50-LR26","descargar bases")</f>
      </c>
    </row>
    <row r="47">
      <c r="A47" s="0" t="inlineStr">
        <is>
          <t xml:space="preserve">5586-128-LE26</t>
        </is>
      </c>
      <c r="B47" s="4" t="inlineStr">
        <is>
          <t xml:space="preserve">BR CONTRATACIÓN DE PLATAFORMA TECNOLÓGICA TIPO SAAS DE GESTIÓN DIGITAL</t>
        </is>
      </c>
      <c r="C47" s="0" t="inlineStr">
        <is>
          <t xml:space="preserve">Publicada</t>
        </is>
      </c>
      <c r="D47" s="0" t="inlineStr">
        <is>
          <t xml:space="preserve">UNIVERSIDAD DE LA FRONTERA</t>
        </is>
      </c>
      <c r="E47" s="0" t="inlineStr">
        <is>
          <t xml:space="preserve">Universidad de la Frontera</t>
        </is>
      </c>
      <c r="F47" s="0" t="inlineStr">
        <is>
          <t xml:space="preserve">Región de la Araucanía </t>
        </is>
      </c>
      <c r="G47" s="0" t="inlineStr">
        <is>
          <t xml:space="preserve">Temuco</t>
        </is>
      </c>
      <c r="H47" s="2">
        <v>46265.697917</v>
      </c>
      <c r="I47" s="2">
        <v>46276.416667</v>
      </c>
      <c r="J47" s="0">
        <v>4</v>
      </c>
      <c r="K47" s="3">
        <v>13000000.0</v>
      </c>
      <c r="L47" s="0" t="inlineStr">
        <is>
          <t xml:space="preserve">CLP</t>
        </is>
      </c>
      <c r="M47" s="0" t="inlineStr">
        <is>
          <t xml:space="preserve">LE</t>
        </is>
      </c>
      <c r="N47" s="4" t="inlineStr">
        <is>
          <t xml:space="preserve">Tecnologías de la información, telecomunicaciones y radiodifusión / Software / Software de administración de redes</t>
        </is>
      </c>
      <c r="O47" s="4" t="inlineStr">
        <is>
          <t xml:space="preserve">1 Global · Software de administración</t>
        </is>
      </c>
      <c r="P47" s="2"/>
      <c r="Q47" s="2"/>
      <c r="R47" s="0" t="inlineStr">
        <is>
          <t xml:space="preserve">18 meses</t>
        </is>
      </c>
      <c r="S47" s="0" t="inlineStr">
        <is>
          <t xml:space="preserve">No</t>
        </is>
      </c>
      <c r="T47" s="4" t="inlineStr">
        <is>
          <t xml:space="preserve">Lo anterior de acuerdo a lo
indicado en el Art. 128 del Reglamento de Compras públicas.</t>
        </is>
      </c>
      <c r="U47" s="0" t="inlineStr">
        <is>
          <t xml:space="preserve">FERNANDO GONZALEZ</t>
        </is>
      </c>
      <c r="V47" s="4" t="inlineStr">
        <is>
          <t xml:space="preserve">CONTRATACIÓN DE PLATAFORMA TECNOLÓGICA TIPO SAAS DE GESTIÓN DIGITAL, DE ACUERDO A REQUERIMIENTO ADJUNTO</t>
        </is>
      </c>
      <c r="W47" s="5" t="str">
        <f>HYPERLINK("https://www.mercadopublico.cl/Procurement/Modules/RFB/DetailsAcquisition.aspx?idlicitacion=5586-128-LE26","descargar bases")</f>
      </c>
    </row>
    <row r="48">
      <c r="A48" s="0" t="inlineStr">
        <is>
          <t xml:space="preserve">2434-19-LE26</t>
        </is>
      </c>
      <c r="B48" s="4" t="inlineStr">
        <is>
          <t xml:space="preserve">SERV. TELEFONÍA MOVIL DATOS BANDA ANCHA E IP</t>
        </is>
      </c>
      <c r="C48" s="0" t="inlineStr">
        <is>
          <t xml:space="preserve">Publicada</t>
        </is>
      </c>
      <c r="D48" s="0" t="inlineStr">
        <is>
          <t xml:space="preserve">I MUNICIPALIDAD ESTACION CENTRAL</t>
        </is>
      </c>
      <c r="E48" s="0" t="inlineStr">
        <is>
          <t xml:space="preserve">SECRETARIA COMUNAL DE PLANIFICACION</t>
        </is>
      </c>
      <c r="F48" s="0" t="inlineStr">
        <is>
          <t xml:space="preserve">Región Metropolitana de Santiago</t>
        </is>
      </c>
      <c r="G48" s="0" t="inlineStr">
        <is>
          <t xml:space="preserve">Estación Central</t>
        </is>
      </c>
      <c r="H48" s="2">
        <v>46266.435937</v>
      </c>
      <c r="I48" s="2">
        <v>46276.583333</v>
      </c>
      <c r="J48" s="0">
        <v>4</v>
      </c>
      <c r="K48" s="3"/>
      <c r="L48" s="0" t="inlineStr">
        <is>
          <t xml:space="preserve">CLP</t>
        </is>
      </c>
      <c r="M48" s="0" t="inlineStr">
        <is>
          <t xml:space="preserve">LE</t>
        </is>
      </c>
      <c r="N48" s="4" t="inlineStr">
        <is>
          <t xml:space="preserve">Servicios básicos y de información pública / Telecomunicaciones / Comunicaciones móviles</t>
        </is>
      </c>
      <c r="O48" s="4" t="inlineStr">
        <is>
          <t xml:space="preserve">1 Global · Servicios de telefonía móvil</t>
        </is>
      </c>
      <c r="P48" s="2"/>
      <c r="Q48" s="2"/>
      <c r="R48" s="0" t="inlineStr">
        <is>
          <t xml:space="preserve">24 meses</t>
        </is>
      </c>
      <c r="S48" s="0" t="inlineStr">
        <is>
          <t xml:space="preserve">No</t>
        </is>
      </c>
      <c r="T48" s="4"/>
      <c r="U48" s="0" t="inlineStr">
        <is>
          <t xml:space="preserve">Felipe Ramos</t>
        </is>
      </c>
      <c r="V48"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48" s="5" t="str">
        <f>HYPERLINK("https://www.mercadopublico.cl/Procurement/Modules/RFB/DetailsAcquisition.aspx?idlicitacion=2434-19-LE26","descargar bases")</f>
      </c>
    </row>
    <row r="49">
      <c r="A49" s="0" t="inlineStr">
        <is>
          <t xml:space="preserve">1057509-250-LP26</t>
        </is>
      </c>
      <c r="B49" s="4" t="inlineStr">
        <is>
          <t xml:space="preserve">CONVENIO COMPRA DE SERVICIOS DE MANTENCIÓN DE AUTOMATIZACIÓN Y CONTROL vps</t>
        </is>
      </c>
      <c r="C49" s="0" t="inlineStr">
        <is>
          <t xml:space="preserve">Publicada</t>
        </is>
      </c>
      <c r="D49" s="0" t="inlineStr">
        <is>
          <t xml:space="preserve">HOSPITAL CLINICO HERMINDA MARTIN</t>
        </is>
      </c>
      <c r="E49" s="0" t="inlineStr">
        <is>
          <t xml:space="preserve">Bienes y Servicios</t>
        </is>
      </c>
      <c r="F49" s="0" t="inlineStr">
        <is>
          <t xml:space="preserve">Región del Ñuble</t>
        </is>
      </c>
      <c r="G49" s="0" t="inlineStr">
        <is>
          <t xml:space="preserve">Chillán</t>
        </is>
      </c>
      <c r="H49" s="2">
        <v>46266.509549</v>
      </c>
      <c r="I49" s="2">
        <v>46276.625</v>
      </c>
      <c r="J49" s="0">
        <v>4</v>
      </c>
      <c r="K49" s="3"/>
      <c r="L49" s="0" t="inlineStr">
        <is>
          <t xml:space="preserve">CLP</t>
        </is>
      </c>
      <c r="M49" s="0" t="inlineStr">
        <is>
          <t xml:space="preserve">LP</t>
        </is>
      </c>
      <c r="N49" s="4" t="inlineStr">
        <is>
          <t xml:space="preserve">Servicios profesionales, administrativos y consultorías de gestión empresarial / Servicios de recursos humanos / Contratación de personal</t>
        </is>
      </c>
      <c r="O49" s="4" t="inlineStr">
        <is>
          <t xml:space="preserve">1 Unidad · Profesionales</t>
        </is>
      </c>
      <c r="P49" s="2"/>
      <c r="Q49" s="2"/>
      <c r="R49" s="0" t="inlineStr">
        <is>
          <t xml:space="preserve">12 meses</t>
        </is>
      </c>
      <c r="S49" s="0" t="inlineStr">
        <is>
          <t xml:space="preserve">No</t>
        </is>
      </c>
      <c r="T49" s="4" t="inlineStr">
        <is>
          <t xml:space="preserve">Por la naturaleza de los servicios licitados.</t>
        </is>
      </c>
      <c r="U49" s="0" t="inlineStr">
        <is>
          <t xml:space="preserve">...</t>
        </is>
      </c>
      <c r="V49"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49" s="5" t="str">
        <f>HYPERLINK("https://www.mercadopublico.cl/Procurement/Modules/RFB/DetailsAcquisition.aspx?idlicitacion=1057509-250-LP26","descargar bases")</f>
      </c>
    </row>
    <row r="50">
      <c r="A50" s="0" t="inlineStr">
        <is>
          <t xml:space="preserve">1057545-102-L126</t>
        </is>
      </c>
      <c r="B50" s="4" t="inlineStr">
        <is>
          <t xml:space="preserve">Convenio Suministro Servicios de Exámenes Imagenológicos Cone Beam CT y Ortopantomografía Digital (PRAIS)</t>
        </is>
      </c>
      <c r="C50" s="0" t="inlineStr">
        <is>
          <t xml:space="preserve">Publicada</t>
        </is>
      </c>
      <c r="D50" s="0" t="inlineStr">
        <is>
          <t xml:space="preserve">SERVICIO DE SALUD LOS RIOS</t>
        </is>
      </c>
      <c r="E50" s="0" t="inlineStr">
        <is>
          <t xml:space="preserve">Bienes y Servicios</t>
        </is>
      </c>
      <c r="F50" s="0" t="inlineStr">
        <is>
          <t xml:space="preserve">Región de Los Ríos</t>
        </is>
      </c>
      <c r="G50" s="0" t="inlineStr">
        <is>
          <t xml:space="preserve">Valdivia</t>
        </is>
      </c>
      <c r="H50" s="2">
        <v>46269.658229</v>
      </c>
      <c r="I50" s="2">
        <v>46276.625</v>
      </c>
      <c r="J50" s="0">
        <v>4</v>
      </c>
      <c r="K50" s="3">
        <v>4000000.0</v>
      </c>
      <c r="L50" s="0" t="inlineStr">
        <is>
          <t xml:space="preserve">CLP</t>
        </is>
      </c>
      <c r="M50" s="0" t="inlineStr">
        <is>
          <t xml:space="preserve">L1</t>
        </is>
      </c>
      <c r="N50" s="4" t="inlineStr">
        <is>
          <t xml:space="preserve">Equipamiento y suministros médicos / Equipos y suministros odontológicos / Materiales dentales</t>
        </is>
      </c>
      <c r="O50" s="4" t="inlineStr">
        <is>
          <t xml:space="preserve">1 Unidad · Película radiográfica dental intraoral · 1 Unidad · Película radiográfica dental intraoral</t>
        </is>
      </c>
      <c r="P50" s="2"/>
      <c r="Q50" s="2"/>
      <c r="R50" s="0"/>
      <c r="S50" s="0" t="inlineStr">
        <is>
          <t xml:space="preserve">No</t>
        </is>
      </c>
      <c r="T50" s="4"/>
      <c r="U50" s="0"/>
      <c r="V50" s="4" t="inlineStr">
        <is>
          <t xml:space="preserve">SSLR Requiere contratar Convenio Suministro Servicios de Exámenes Imagenológicos Cone Beam CT y Ortopantomografía Digital (PRAIS). 
La presentación de los anexos del N°1 al N°3 y lo solicitado en especificaciones técnicas adjuntas serán considerados obligatorios, de lo contrario la oferta será declarada inadmisible. 
DE IGUAL MANERA SE INFORMA QUE LAS CANTIDADES ANUALES APROXIMADAS SON SOLO INFORMATIVAS Y QUE ESTAS PODRAN AUMENTAR O DISMINUIR DURANTE LA VIGENCIA DEL PRESENTE CONVENIO.</t>
        </is>
      </c>
      <c r="W50" s="5" t="str">
        <f>HYPERLINK("https://www.mercadopublico.cl/Procurement/Modules/RFB/DetailsAcquisition.aspx?idlicitacion=1057545-102-L126","descargar bases")</f>
      </c>
    </row>
    <row r="51">
      <c r="A51" s="0" t="inlineStr">
        <is>
          <t xml:space="preserve">2981-242-LE26</t>
        </is>
      </c>
      <c r="B51" s="4" t="inlineStr">
        <is>
          <t xml:space="preserve">ADQUISICIÓN DE ESTRUCTURA TÓTEM Y LETRAS VOLUMETRICAS DE METAL</t>
        </is>
      </c>
      <c r="C51" s="0" t="inlineStr">
        <is>
          <t xml:space="preserve">Publicada</t>
        </is>
      </c>
      <c r="D51" s="0" t="inlineStr">
        <is>
          <t xml:space="preserve">POLICIA DE INVESTIGACIONES DE CHILE</t>
        </is>
      </c>
      <c r="E51" s="0" t="inlineStr">
        <is>
          <t xml:space="preserve">DEPARTAMENTO ADMINISTRATIVO</t>
        </is>
      </c>
      <c r="F51" s="0" t="inlineStr">
        <is>
          <t xml:space="preserve">Región Metropolitana de Santiago</t>
        </is>
      </c>
      <c r="G51" s="0" t="inlineStr">
        <is>
          <t xml:space="preserve">Santiago Centro</t>
        </is>
      </c>
      <c r="H51" s="2">
        <v>46261.611806</v>
      </c>
      <c r="I51" s="2">
        <v>46276.625</v>
      </c>
      <c r="J51" s="0">
        <v>4</v>
      </c>
      <c r="K51" s="3">
        <v>60000000.0</v>
      </c>
      <c r="L51" s="0" t="inlineStr">
        <is>
          <t xml:space="preserve">CLP</t>
        </is>
      </c>
      <c r="M51" s="0" t="inlineStr">
        <is>
          <t xml:space="preserve">LE</t>
        </is>
      </c>
      <c r="N51" s="4" t="inlineStr">
        <is>
          <t xml:space="preserve">Productos impresos y publicaciones / Etiquetado y accesorios / Etiquetado</t>
        </is>
      </c>
      <c r="O51" s="4" t="inlineStr">
        <is>
          <t xml:space="preserve">1 Unidad no definida · Placas metálicas indicadoras del nombre</t>
        </is>
      </c>
      <c r="P51" s="2"/>
      <c r="Q51" s="2"/>
      <c r="R51" s="0"/>
      <c r="S51" s="0" t="inlineStr">
        <is>
          <t xml:space="preserve">No</t>
        </is>
      </c>
      <c r="T51" s="4" t="inlineStr">
        <is>
          <t xml:space="preserve">SEGÚN RESOLEX N° 668 DE 26.AGO.026, DEPADM</t>
        </is>
      </c>
      <c r="U51" s="0" t="inlineStr">
        <is>
          <t xml:space="preserve">NICOLE PÉREZ RIVERA</t>
        </is>
      </c>
      <c r="V51"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51" s="5" t="str">
        <f>HYPERLINK("https://www.mercadopublico.cl/Procurement/Modules/RFB/DetailsAcquisition.aspx?idlicitacion=2981-242-LE26","descargar bases")</f>
      </c>
    </row>
    <row r="52">
      <c r="A52" s="0" t="inlineStr">
        <is>
          <t xml:space="preserve">3000-30-LE26</t>
        </is>
      </c>
      <c r="B52" s="4" t="inlineStr">
        <is>
          <t xml:space="preserve">Toner y Tintas INFORMÁTICA</t>
        </is>
      </c>
      <c r="C52" s="0" t="inlineStr">
        <is>
          <t xml:space="preserve">Publicada</t>
        </is>
      </c>
      <c r="D52" s="0" t="inlineStr">
        <is>
          <t xml:space="preserve">I MUNICIPALIDAD DE MONTEPATRIA</t>
        </is>
      </c>
      <c r="E52" s="0" t="inlineStr">
        <is>
          <t xml:space="preserve">Dirección  Adm. y  Finanzas</t>
        </is>
      </c>
      <c r="F52" s="0" t="inlineStr">
        <is>
          <t xml:space="preserve">Región de Coquimbo </t>
        </is>
      </c>
      <c r="G52" s="0" t="inlineStr">
        <is>
          <t xml:space="preserve">Monte Patria</t>
        </is>
      </c>
      <c r="H52" s="2">
        <v>46266.389051</v>
      </c>
      <c r="I52" s="2">
        <v>46276.625</v>
      </c>
      <c r="J52" s="0">
        <v>4</v>
      </c>
      <c r="K52" s="3">
        <v>12000000.0</v>
      </c>
      <c r="L52" s="0" t="inlineStr">
        <is>
          <t xml:space="preserve">CLP</t>
        </is>
      </c>
      <c r="M52" s="0" t="inlineStr">
        <is>
          <t xml:space="preserve">LE</t>
        </is>
      </c>
      <c r="N52" s="4" t="inlineStr">
        <is>
          <t xml:space="preserve">Equipos, accesorios y suministros de oficina / Maquinarias, suministros y accesorios de oficina / Suministros para impresora, fax y fotocopiadora</t>
        </is>
      </c>
      <c r="O52" s="4" t="inlineStr">
        <is>
          <t xml:space="preserve">20 Unidad · Tóner · 4 Unidad · Tóner · 6 Unidad · Tóner · y 4 más</t>
        </is>
      </c>
      <c r="P52" s="2"/>
      <c r="Q52" s="2"/>
      <c r="R52" s="0"/>
      <c r="S52" s="0" t="inlineStr">
        <is>
          <t xml:space="preserve">No</t>
        </is>
      </c>
      <c r="T52" s="4"/>
      <c r="U52" s="0" t="inlineStr">
        <is>
          <t xml:space="preserve">Héctor Salinas Rojas</t>
        </is>
      </c>
      <c r="V52" s="4" t="inlineStr">
        <is>
          <t xml:space="preserve">Llámese a participar en la propuesta Pública para la provisión de Tóners y Tintas, para Impresoras de la Municipalidad de Monte Patria.</t>
        </is>
      </c>
      <c r="W52" s="5" t="str">
        <f>HYPERLINK("https://www.mercadopublico.cl/Procurement/Modules/RFB/DetailsAcquisition.aspx?idlicitacion=3000-30-LE26","descargar bases")</f>
      </c>
    </row>
    <row r="53">
      <c r="A53" s="0" t="inlineStr">
        <is>
          <t xml:space="preserve">3671-58-LE26</t>
        </is>
      </c>
      <c r="B53" s="4" t="inlineStr">
        <is>
          <t xml:space="preserve">“HABILITACIÓN DE NUEVAS DEPENDENCIAS DE SEGURIDAD MUNICIPAL E INFORMÁTICA DE LA MUNICIPALIDAD DE CHILLÁN VIEJO”</t>
        </is>
      </c>
      <c r="C53" s="0" t="inlineStr">
        <is>
          <t xml:space="preserve">Publicada</t>
        </is>
      </c>
      <c r="D53" s="0" t="inlineStr">
        <is>
          <t xml:space="preserve">ILUSTRE MUNICIPALIDAD DE CHILLAN VIEJO</t>
        </is>
      </c>
      <c r="E53" s="0" t="inlineStr">
        <is>
          <t xml:space="preserve">Secplan</t>
        </is>
      </c>
      <c r="F53" s="0" t="inlineStr">
        <is>
          <t xml:space="preserve">Región del Ñuble</t>
        </is>
      </c>
      <c r="G53" s="0" t="inlineStr">
        <is>
          <t xml:space="preserve">Chillán Viejo</t>
        </is>
      </c>
      <c r="H53" s="2">
        <v>46261.573044</v>
      </c>
      <c r="I53" s="2">
        <v>46276.625</v>
      </c>
      <c r="J53" s="0">
        <v>4</v>
      </c>
      <c r="K53" s="3"/>
      <c r="L53" s="0" t="inlineStr">
        <is>
          <t xml:space="preserve">CLP</t>
        </is>
      </c>
      <c r="M53" s="0" t="inlineStr">
        <is>
          <t xml:space="preserve">LE</t>
        </is>
      </c>
      <c r="N53" s="4" t="inlineStr">
        <is>
          <t xml:space="preserve">Servicios de construcción y mantenimiento / Construcción de edificios en general / Construcción de obras civiles y infraestructuras</t>
        </is>
      </c>
      <c r="O53" s="4" t="inlineStr">
        <is>
          <t xml:space="preserve">1 Unidad · Construcción de obras civiles</t>
        </is>
      </c>
      <c r="P53" s="2"/>
      <c r="Q53" s="2"/>
      <c r="R53" s="0" t="inlineStr">
        <is>
          <t xml:space="preserve">60 días</t>
        </is>
      </c>
      <c r="S53" s="0" t="inlineStr">
        <is>
          <t xml:space="preserve">No</t>
        </is>
      </c>
      <c r="T53" s="4"/>
      <c r="U53" s="0" t="inlineStr">
        <is>
          <t xml:space="preserve">MARIA PAZ VASQUEZ RAMIREZ</t>
        </is>
      </c>
      <c r="V53"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53" s="5" t="str">
        <f>HYPERLINK("https://www.mercadopublico.cl/Procurement/Modules/RFB/DetailsAcquisition.aspx?idlicitacion=3671-58-LE26","descargar bases")</f>
      </c>
    </row>
    <row r="54">
      <c r="A54" s="0" t="inlineStr">
        <is>
          <t xml:space="preserve">652-37-LP26</t>
        </is>
      </c>
      <c r="B54" s="4" t="inlineStr">
        <is>
          <t xml:space="preserve">ARRIENDO SERVIDOR INFORMATICO PARA PROGRAMA SISSA.</t>
        </is>
      </c>
      <c r="C54" s="0" t="inlineStr">
        <is>
          <t xml:space="preserve">Publicada</t>
        </is>
      </c>
      <c r="D54" s="0" t="inlineStr">
        <is>
          <t xml:space="preserve">SERVICIO DE SALUD ARAUCO</t>
        </is>
      </c>
      <c r="E54" s="0" t="inlineStr">
        <is>
          <t xml:space="preserve">SERVICIO DE SALUD ARAUCO</t>
        </is>
      </c>
      <c r="F54" s="0" t="inlineStr">
        <is>
          <t xml:space="preserve">Región del Biobío </t>
        </is>
      </c>
      <c r="G54" s="0" t="inlineStr">
        <is>
          <t xml:space="preserve">Lebu</t>
        </is>
      </c>
      <c r="H54" s="2">
        <v>46247.794444</v>
      </c>
      <c r="I54" s="2">
        <v>46276.625</v>
      </c>
      <c r="J54" s="0">
        <v>4</v>
      </c>
      <c r="K54" s="3"/>
      <c r="L54" s="0" t="inlineStr">
        <is>
          <t xml:space="preserve">CLP</t>
        </is>
      </c>
      <c r="M54" s="0" t="inlineStr">
        <is>
          <t xml:space="preserve">LP</t>
        </is>
      </c>
      <c r="N54" s="4" t="inlineStr">
        <is>
          <t xml:space="preserve">Tecnologías de la información, telecomunicaciones y radiodifusión / Equipos informáticos y accesorios / Computadores</t>
        </is>
      </c>
      <c r="O54" s="4" t="inlineStr">
        <is>
          <t xml:space="preserve">1 Unidad · Servidores</t>
        </is>
      </c>
      <c r="P54" s="2"/>
      <c r="Q54" s="2"/>
      <c r="R54" s="0" t="inlineStr">
        <is>
          <t xml:space="preserve">36 meses</t>
        </is>
      </c>
      <c r="S54" s="0" t="inlineStr">
        <is>
          <t xml:space="preserve">No</t>
        </is>
      </c>
      <c r="T54" s="4"/>
      <c r="U54" s="0" t="inlineStr">
        <is>
          <t xml:space="preserve">JEFE DEPARTAMENTO TIC SSA</t>
        </is>
      </c>
      <c r="V54"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54" s="5" t="str">
        <f>HYPERLINK("https://www.mercadopublico.cl/Procurement/Modules/RFB/DetailsAcquisition.aspx?idlicitacion=652-37-LP26","descargar bases")</f>
      </c>
    </row>
    <row r="55">
      <c r="A55" s="0" t="inlineStr">
        <is>
          <t xml:space="preserve">1305552-6-LE26</t>
        </is>
      </c>
      <c r="B55" s="4" t="inlineStr">
        <is>
          <t xml:space="preserve">SOFTWARE DE INVENTARIO CARGA Y NORMALIZACIÓN</t>
        </is>
      </c>
      <c r="C55" s="0" t="inlineStr">
        <is>
          <t xml:space="preserve">Publicada</t>
        </is>
      </c>
      <c r="D55" s="0" t="inlineStr">
        <is>
          <t xml:space="preserve">SERVICIO LOCAL DE EDUCACIÓN PÚBLICA TAMARUGAL</t>
        </is>
      </c>
      <c r="E55" s="0" t="inlineStr">
        <is>
          <t xml:space="preserve">COMPRAS Y LICITACIONES</t>
        </is>
      </c>
      <c r="F55" s="0" t="inlineStr">
        <is>
          <t xml:space="preserve">Región de Tarapacá  </t>
        </is>
      </c>
      <c r="G55" s="0" t="inlineStr">
        <is>
          <t xml:space="preserve">Pozo Almonte</t>
        </is>
      </c>
      <c r="H55" s="2">
        <v>46266.566991</v>
      </c>
      <c r="I55" s="2">
        <v>46276.625694</v>
      </c>
      <c r="J55" s="0">
        <v>4</v>
      </c>
      <c r="K55" s="3">
        <v>50000000.0</v>
      </c>
      <c r="L55" s="0" t="inlineStr">
        <is>
          <t xml:space="preserve">CLP</t>
        </is>
      </c>
      <c r="M55" s="0" t="inlineStr">
        <is>
          <t xml:space="preserve">LE</t>
        </is>
      </c>
      <c r="N55" s="4" t="inlineStr">
        <is>
          <t xml:space="preserve">Tecnologías de la información, telecomunicaciones y radiodifusión / Software / Software de gestión</t>
        </is>
      </c>
      <c r="O55" s="4" t="inlineStr">
        <is>
          <t xml:space="preserve">1 Unidad · Programas de gestión de inventario</t>
        </is>
      </c>
      <c r="P55" s="2"/>
      <c r="Q55" s="2"/>
      <c r="R55" s="0" t="inlineStr">
        <is>
          <t xml:space="preserve">24 meses</t>
        </is>
      </c>
      <c r="S55" s="0" t="inlineStr">
        <is>
          <t xml:space="preserve">No</t>
        </is>
      </c>
      <c r="T55" s="4"/>
      <c r="U55" s="0" t="inlineStr">
        <is>
          <t xml:space="preserve">ALVARO CARVALLO</t>
        </is>
      </c>
      <c r="V55" s="4" t="inlineStr">
        <is>
          <t xml:space="preserve">CONTRATACIÓN DE SOFTWARE DE INVENTARIO, CARGA Y NORMALIZACIÓN DE INFORMACIÓN PATRIMONIAL, E IMPLEMENTACIÓN DE PLATAFORMA DE GESTIÓN DE ACTIVOS FIJOS Y BIENES FUNGIBLES PARA EL SERVICIO LOCAL DE EDUCACIÓN PÚBLICA DEL TAMARUGAL,</t>
        </is>
      </c>
      <c r="W55" s="5" t="str">
        <f>HYPERLINK("https://www.mercadopublico.cl/Procurement/Modules/RFB/DetailsAcquisition.aspx?idlicitacion=1305552-6-LE26","descargar bases")</f>
      </c>
    </row>
    <row r="56">
      <c r="A56" s="0" t="inlineStr">
        <is>
          <t xml:space="preserve">425-39-LR26</t>
        </is>
      </c>
      <c r="B56" s="4" t="inlineStr">
        <is>
          <t xml:space="preserve">ADQUISICIÓN Y RENOVACIÓN DE LICENCIAS DE SOFTWARE PARA EL PODER JUDICIAL</t>
        </is>
      </c>
      <c r="C56" s="0" t="inlineStr">
        <is>
          <t xml:space="preserve">Publicada</t>
        </is>
      </c>
      <c r="D56" s="0" t="inlineStr">
        <is>
          <t xml:space="preserve">CORP ADMINISTRATIVA DEL PODER JUDICIAL</t>
        </is>
      </c>
      <c r="E56" s="0" t="inlineStr">
        <is>
          <t xml:space="preserve">Servicios</t>
        </is>
      </c>
      <c r="F56" s="0" t="inlineStr">
        <is>
          <t xml:space="preserve">Región Metropolitana de Santiago</t>
        </is>
      </c>
      <c r="G56" s="0" t="inlineStr">
        <is>
          <t xml:space="preserve">Santiago Centro</t>
        </is>
      </c>
      <c r="H56" s="2">
        <v>46232.502083</v>
      </c>
      <c r="I56" s="2">
        <v>46276.666667</v>
      </c>
      <c r="J56" s="0">
        <v>4</v>
      </c>
      <c r="K56" s="3"/>
      <c r="L56" s="0" t="inlineStr">
        <is>
          <t xml:space="preserve">USD</t>
        </is>
      </c>
      <c r="M56" s="0" t="inlineStr">
        <is>
          <t xml:space="preserve">LR</t>
        </is>
      </c>
      <c r="N56" s="4" t="inlineStr">
        <is>
          <t xml:space="preserve">Tecnologías de la información, telecomunicaciones y radiodifusión / Software / Software de gestión</t>
        </is>
      </c>
      <c r="O56" s="4" t="inlineStr">
        <is>
          <t xml:space="preserve">12 Unidad · Software de gestión de licencias · 4480 Unidad · Software de gestión de licencias · 30 Unidad · Software de gestión de licencias · y 30 más</t>
        </is>
      </c>
      <c r="P56" s="2"/>
      <c r="Q56" s="2"/>
      <c r="R56" s="0"/>
      <c r="S56" s="0" t="inlineStr">
        <is>
          <t xml:space="preserve">No</t>
        </is>
      </c>
      <c r="T56" s="4" t="inlineStr">
        <is>
          <t xml:space="preserve">No se permite subcontratación.</t>
        </is>
      </c>
      <c r="U56" s="0" t="inlineStr">
        <is>
          <t xml:space="preserve">Lisette Ávila</t>
        </is>
      </c>
      <c r="V56" s="4" t="inlineStr">
        <is>
          <t xml:space="preserve">UR(1804) ADQUISICIÓN Y RENOVACIÓN DE LICENCIAS DE SOFTWARE PARA EL PODER JUDICIAL</t>
        </is>
      </c>
      <c r="W56" s="5" t="str">
        <f>HYPERLINK("https://www.mercadopublico.cl/Procurement/Modules/RFB/DetailsAcquisition.aspx?idlicitacion=425-39-LR26","descargar bases")</f>
      </c>
    </row>
    <row r="57">
      <c r="A57" s="0" t="inlineStr">
        <is>
          <t xml:space="preserve">1232565-34-LE26</t>
        </is>
      </c>
      <c r="B57" s="4" t="inlineStr">
        <is>
          <t xml:space="preserve">Renovación de Suscripciones de Software ULS23992</t>
        </is>
      </c>
      <c r="C57" s="0" t="inlineStr">
        <is>
          <t xml:space="preserve">Publicada</t>
        </is>
      </c>
      <c r="D57" s="0" t="inlineStr">
        <is>
          <t xml:space="preserve">UNIVERSIDAD DE LA SERENA</t>
        </is>
      </c>
      <c r="E57" s="0" t="inlineStr">
        <is>
          <t xml:space="preserve">DIRECCIÓN DE GESTIÓN ESTRATÉGICA INSTITUCIONAL</t>
        </is>
      </c>
      <c r="F57" s="0" t="inlineStr">
        <is>
          <t xml:space="preserve">Región de Coquimbo </t>
        </is>
      </c>
      <c r="G57" s="0" t="inlineStr">
        <is>
          <t xml:space="preserve">La Serena</t>
        </is>
      </c>
      <c r="H57" s="2">
        <v>46267.469896</v>
      </c>
      <c r="I57" s="2">
        <v>46276.708333</v>
      </c>
      <c r="J57" s="0">
        <v>4</v>
      </c>
      <c r="K57" s="3"/>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16 Unidad · Software de gestión de licencias · 2 Unidad · Software de gestión de licencias · 5 Unidad · Software de gestión de licencias · y 7 más</t>
        </is>
      </c>
      <c r="P57" s="2"/>
      <c r="Q57" s="2"/>
      <c r="R57" s="0"/>
      <c r="S57" s="0" t="inlineStr">
        <is>
          <t xml:space="preserve">No</t>
        </is>
      </c>
      <c r="T57" s="4"/>
      <c r="U57" s="0" t="inlineStr">
        <is>
          <t xml:space="preserve">Estefania Muñoz Valdivia</t>
        </is>
      </c>
      <c r="V57" s="4" t="inlineStr">
        <is>
          <t xml:space="preserve">Adquisición de renovación de suscripciones de software, Proyecto ULS 23992</t>
        </is>
      </c>
      <c r="W57" s="5" t="str">
        <f>HYPERLINK("https://www.mercadopublico.cl/Procurement/Modules/RFB/DetailsAcquisition.aspx?idlicitacion=1232565-34-LE26","descargar bases")</f>
      </c>
    </row>
    <row r="58">
      <c r="A58" s="0" t="inlineStr">
        <is>
          <t xml:space="preserve">2107-142-LE26</t>
        </is>
      </c>
      <c r="B58" s="4" t="inlineStr">
        <is>
          <t xml:space="preserve">ARRIENDO DE TOTEMS AUTOADMINISTRADOS PARA HSC</t>
        </is>
      </c>
      <c r="C58" s="0" t="inlineStr">
        <is>
          <t xml:space="preserve">Publicada</t>
        </is>
      </c>
      <c r="D58" s="0" t="inlineStr">
        <is>
          <t xml:space="preserve">SERVICIO DE SALUD HOSPITAL DE SANTA CRUZ</t>
        </is>
      </c>
      <c r="E58" s="0" t="inlineStr">
        <is>
          <t xml:space="preserve">Hospital de Santa Cruz</t>
        </is>
      </c>
      <c r="F58" s="0" t="inlineStr">
        <is>
          <t xml:space="preserve">Región del Libertador General Bernardo O´Higgins</t>
        </is>
      </c>
      <c r="G58" s="0" t="inlineStr">
        <is>
          <t xml:space="preserve">Santa Cruz</t>
        </is>
      </c>
      <c r="H58" s="2">
        <v>46265.345752</v>
      </c>
      <c r="I58" s="2">
        <v>46276.747222</v>
      </c>
      <c r="J58" s="0">
        <v>4</v>
      </c>
      <c r="K58" s="3"/>
      <c r="L58" s="0" t="inlineStr">
        <is>
          <t xml:space="preserve">CLP</t>
        </is>
      </c>
      <c r="M58" s="0" t="inlineStr">
        <is>
          <t xml:space="preserve">LE</t>
        </is>
      </c>
      <c r="N58" s="4" t="inlineStr">
        <is>
          <t xml:space="preserve">Tecnologías de la información, telecomunicaciones y radiodifusión / Equipos informáticos y accesorios / Computadores</t>
        </is>
      </c>
      <c r="O58" s="4" t="inlineStr">
        <is>
          <t xml:space="preserve">36 Mes · Servidores de gama alta</t>
        </is>
      </c>
      <c r="P58" s="2"/>
      <c r="Q58" s="2"/>
      <c r="R58" s="0" t="inlineStr">
        <is>
          <t xml:space="preserve">36 meses</t>
        </is>
      </c>
      <c r="S58" s="0" t="inlineStr">
        <is>
          <t xml:space="preserve">No</t>
        </is>
      </c>
      <c r="T58" s="4"/>
      <c r="U58" s="0" t="inlineStr">
        <is>
          <t xml:space="preserve">Nicolás Salgado Marín</t>
        </is>
      </c>
      <c r="V58"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58" s="5" t="str">
        <f>HYPERLINK("https://www.mercadopublico.cl/Procurement/Modules/RFB/DetailsAcquisition.aspx?idlicitacion=2107-142-LE26","descargar bases")</f>
      </c>
    </row>
    <row r="59">
      <c r="A59" s="0" t="inlineStr">
        <is>
          <t xml:space="preserve">1305541-3-LE26</t>
        </is>
      </c>
      <c r="B59" s="4" t="inlineStr">
        <is>
          <t xml:space="preserve">ARRIENDO DE SOFTWARE DE INVENTARIO</t>
        </is>
      </c>
      <c r="C59" s="0" t="inlineStr">
        <is>
          <t xml:space="preserve">Publicada</t>
        </is>
      </c>
      <c r="D59" s="0" t="inlineStr">
        <is>
          <t xml:space="preserve">SERVICIO LOCAL DE EDUCACIÓN PÚBLICA LOS LIBERTADORES</t>
        </is>
      </c>
      <c r="E59" s="0" t="inlineStr">
        <is>
          <t xml:space="preserve">COMPRAS Y LICITACIONES</t>
        </is>
      </c>
      <c r="F59" s="0" t="inlineStr">
        <is>
          <t xml:space="preserve">Región Metropolitana de Santiago</t>
        </is>
      </c>
      <c r="G59" s="0" t="inlineStr">
        <is>
          <t xml:space="preserve">Conchalí</t>
        </is>
      </c>
      <c r="H59" s="2">
        <v>46268.641817</v>
      </c>
      <c r="I59" s="2">
        <v>46279.625</v>
      </c>
      <c r="J59" s="0">
        <v>7</v>
      </c>
      <c r="K59" s="3">
        <v>42000000.0</v>
      </c>
      <c r="L59" s="0" t="inlineStr">
        <is>
          <t xml:space="preserve">CLP</t>
        </is>
      </c>
      <c r="M59" s="0" t="inlineStr">
        <is>
          <t xml:space="preserve">LE</t>
        </is>
      </c>
      <c r="N59" s="4" t="inlineStr">
        <is>
          <t xml:space="preserve">Tecnologías de la información, telecomunicaciones y radiodifusión / Software / Software de gestión</t>
        </is>
      </c>
      <c r="O59" s="4" t="inlineStr">
        <is>
          <t xml:space="preserve">1 Unidad · Programas de gestión de inventario</t>
        </is>
      </c>
      <c r="P59" s="2"/>
      <c r="Q59" s="2"/>
      <c r="R59" s="0" t="inlineStr">
        <is>
          <t xml:space="preserve">36 meses</t>
        </is>
      </c>
      <c r="S59" s="0" t="inlineStr">
        <is>
          <t xml:space="preserve">No</t>
        </is>
      </c>
      <c r="T59" s="4" t="inlineStr">
        <is>
          <t xml:space="preserve">La presente adquisición no podrá ser subcontratada, es decir, no se podrá prestar el servicio por una empresa ajena al proveedor adjudicado subcontratada para efectos del contrato.</t>
        </is>
      </c>
      <c r="U59" s="0" t="inlineStr">
        <is>
          <t xml:space="preserve">Felipe Leiva</t>
        </is>
      </c>
      <c r="V59"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59" s="5" t="str">
        <f>HYPERLINK("https://www.mercadopublico.cl/Procurement/Modules/RFB/DetailsAcquisition.aspx?idlicitacion=1305541-3-LE26","descargar bases")</f>
      </c>
    </row>
    <row r="60">
      <c r="A60" s="0" t="inlineStr">
        <is>
          <t xml:space="preserve">1596-45-LE26</t>
        </is>
      </c>
      <c r="B60" s="4" t="inlineStr">
        <is>
          <t xml:space="preserve">CAPACITACIÓN EN INTELIGENCIA ARTIFICIAL</t>
        </is>
      </c>
      <c r="C60" s="0" t="inlineStr">
        <is>
          <t xml:space="preserve">Publicada</t>
        </is>
      </c>
      <c r="D60" s="0" t="inlineStr">
        <is>
          <t xml:space="preserve">GOBIERNO REGIONAL VII REGION</t>
        </is>
      </c>
      <c r="E60" s="0" t="inlineStr">
        <is>
          <t xml:space="preserve">Gobierno Regional del Maule</t>
        </is>
      </c>
      <c r="F60" s="0" t="inlineStr">
        <is>
          <t xml:space="preserve">Región del Maule </t>
        </is>
      </c>
      <c r="G60" s="0" t="inlineStr">
        <is>
          <t xml:space="preserve">Talca</t>
        </is>
      </c>
      <c r="H60" s="2">
        <v>46268.533796</v>
      </c>
      <c r="I60" s="2">
        <v>46279.625</v>
      </c>
      <c r="J60" s="0">
        <v>7</v>
      </c>
      <c r="K60" s="3">
        <v>17533000.0</v>
      </c>
      <c r="L60" s="0" t="inlineStr">
        <is>
          <t xml:space="preserve">CLP</t>
        </is>
      </c>
      <c r="M60" s="0" t="inlineStr">
        <is>
          <t xml:space="preserve">LE</t>
        </is>
      </c>
      <c r="N60" s="4" t="inlineStr">
        <is>
          <t xml:space="preserve">Educación, formación, entrenamiento y capacitación / Sistemas educativos complementarios / Educación de adultos</t>
        </is>
      </c>
      <c r="O60" s="4" t="inlineStr">
        <is>
          <t xml:space="preserve">1 Unidad · Capacitación a empleados</t>
        </is>
      </c>
      <c r="P60" s="2"/>
      <c r="Q60" s="2"/>
      <c r="R60" s="0"/>
      <c r="S60" s="0" t="inlineStr">
        <is>
          <t xml:space="preserve">No</t>
        </is>
      </c>
      <c r="T60" s="4"/>
      <c r="U60" s="0" t="inlineStr">
        <is>
          <t xml:space="preserve">Francisca San Martín</t>
        </is>
      </c>
      <c r="V60" s="4" t="inlineStr">
        <is>
          <t xml:space="preserve">El Gobierno Regional del Maule requiere contratar un servicio de capacitación presencial en Inteligencia Artificial aplicada a los Consejeros Regionales, orientado al desarrollo y fortalecimiento de competencias digitales que permitan comprender, utilizar y aplicar herramientas de Inteligencia Artificial IA en el ejercicio de sus funciones, con el fin de apoyar su gestión, mejorar la toma de decisiones y optimizar la comunicación con la ciudadanía en su rol de representantes públicos.</t>
        </is>
      </c>
      <c r="W60" s="5" t="str">
        <f>HYPERLINK("https://www.mercadopublico.cl/Procurement/Modules/RFB/DetailsAcquisition.aspx?idlicitacion=1596-45-LE26","descargar bases")</f>
      </c>
    </row>
    <row r="61">
      <c r="A61" s="0" t="inlineStr">
        <is>
          <t xml:space="preserve">1607-10-LR26</t>
        </is>
      </c>
      <c r="B61" s="4" t="inlineStr">
        <is>
          <t xml:space="preserve">servicio hospedaje soporte mantención plataforma</t>
        </is>
      </c>
      <c r="C61" s="0" t="inlineStr">
        <is>
          <t xml:space="preserve">Publicada</t>
        </is>
      </c>
      <c r="D61" s="0" t="inlineStr">
        <is>
          <t xml:space="preserve">SUPERINTENDENCIA DE SEGURIDAD SOCIAL</t>
        </is>
      </c>
      <c r="E61" s="0" t="inlineStr">
        <is>
          <t xml:space="preserve">Superintendencia de Seguridad Social</t>
        </is>
      </c>
      <c r="F61" s="0" t="inlineStr">
        <is>
          <t xml:space="preserve">Región Metropolitana de Santiago</t>
        </is>
      </c>
      <c r="G61" s="0" t="inlineStr">
        <is>
          <t xml:space="preserve">Santiago Centro</t>
        </is>
      </c>
      <c r="H61" s="2">
        <v>46248.628472</v>
      </c>
      <c r="I61" s="2">
        <v>46279.625</v>
      </c>
      <c r="J61" s="0">
        <v>7</v>
      </c>
      <c r="K61" s="3">
        <v>540000000.0</v>
      </c>
      <c r="L61" s="0" t="inlineStr">
        <is>
          <t xml:space="preserve">CLP</t>
        </is>
      </c>
      <c r="M61" s="0" t="inlineStr">
        <is>
          <t xml:space="preserve">LR</t>
        </is>
      </c>
      <c r="N61" s="4" t="inlineStr">
        <is>
          <t xml:space="preserve">Servicios profesionales, administrativos y consultorías de gestión empresarial / Servicios de recursos humanos / Contratación de personal</t>
        </is>
      </c>
      <c r="O61" s="4" t="inlineStr">
        <is>
          <t xml:space="preserve">1 Unidad · Desarrolladores de software</t>
        </is>
      </c>
      <c r="P61" s="2"/>
      <c r="Q61" s="2"/>
      <c r="R61" s="0"/>
      <c r="S61" s="0" t="inlineStr">
        <is>
          <t xml:space="preserve">No</t>
        </is>
      </c>
      <c r="T61"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61" s="0" t="inlineStr">
        <is>
          <t xml:space="preserve">Melissa Pino</t>
        </is>
      </c>
      <c r="V61" s="4" t="inlineStr">
        <is>
          <t xml:space="preserve">contratación del servicio hospedaje, soporte, mantención y actualización de la Plataforma Integrada de Asignación Familiar, Subsidio Único Familiar y Regímenes relacionados PIAS, de la Superintendencia de Seguridad Social.</t>
        </is>
      </c>
      <c r="W61" s="5" t="str">
        <f>HYPERLINK("https://www.mercadopublico.cl/Procurement/Modules/RFB/DetailsAcquisition.aspx?idlicitacion=1607-10-LR26","descargar bases")</f>
      </c>
    </row>
    <row r="62">
      <c r="A62" s="0" t="inlineStr">
        <is>
          <t xml:space="preserve">2413-20-LE26</t>
        </is>
      </c>
      <c r="B62" s="4" t="inlineStr">
        <is>
          <t xml:space="preserve">SISTEMA DE GESTIÓN DOCUMENTAL</t>
        </is>
      </c>
      <c r="C62" s="0" t="inlineStr">
        <is>
          <t xml:space="preserve">Publicada</t>
        </is>
      </c>
      <c r="D62" s="0" t="inlineStr">
        <is>
          <t xml:space="preserve">I MUNICIPALIDAD DE LO PRADO</t>
        </is>
      </c>
      <c r="E62" s="0" t="inlineStr">
        <is>
          <t xml:space="preserve">SECRETARIA PLANIFICACION COMUNAL</t>
        </is>
      </c>
      <c r="F62" s="0" t="inlineStr">
        <is>
          <t xml:space="preserve">Región Metropolitana de Santiago</t>
        </is>
      </c>
      <c r="G62" s="0" t="inlineStr">
        <is>
          <t xml:space="preserve">Lo Prado</t>
        </is>
      </c>
      <c r="H62" s="2">
        <v>46262.778414</v>
      </c>
      <c r="I62" s="2">
        <v>46279.625</v>
      </c>
      <c r="J62" s="0">
        <v>7</v>
      </c>
      <c r="K62" s="3"/>
      <c r="L62" s="0" t="inlineStr">
        <is>
          <t xml:space="preserve">CLF</t>
        </is>
      </c>
      <c r="M62" s="0" t="inlineStr">
        <is>
          <t xml:space="preserve">LE</t>
        </is>
      </c>
      <c r="N62" s="4" t="inlineStr">
        <is>
          <t xml:space="preserve">Servicios profesionales, administrativos y consultorías de gestión empresarial / Servicios de recursos humanos / Contratación de personal</t>
        </is>
      </c>
      <c r="O62" s="4" t="inlineStr">
        <is>
          <t xml:space="preserve">1 Mes · Desarrolladores de software</t>
        </is>
      </c>
      <c r="P62" s="2"/>
      <c r="Q62" s="2"/>
      <c r="R62" s="0"/>
      <c r="S62" s="0" t="inlineStr">
        <is>
          <t xml:space="preserve">No</t>
        </is>
      </c>
      <c r="T62" s="4"/>
      <c r="U62" s="0" t="inlineStr">
        <is>
          <t xml:space="preserve">Paola Moncada Venegas</t>
        </is>
      </c>
      <c r="V62"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62" s="5" t="str">
        <f>HYPERLINK("https://www.mercadopublico.cl/Procurement/Modules/RFB/DetailsAcquisition.aspx?idlicitacion=2413-20-LE26","descargar bases")</f>
      </c>
    </row>
    <row r="63">
      <c r="A63" s="0" t="inlineStr">
        <is>
          <t xml:space="preserve">650-25-LE26</t>
        </is>
      </c>
      <c r="B63" s="4" t="inlineStr">
        <is>
          <t xml:space="preserve">ADQUISICIÓN DE 01 DRON MULTIRROTOR KIT DE ACCESORIOS SOFTWARE DE PROCESAMIENTO CONTROL Y CAPACITACIÓN PARA SERVIU REGIÓN DE ANTOFAGASTA</t>
        </is>
      </c>
      <c r="C63" s="0" t="inlineStr">
        <is>
          <t xml:space="preserve">Publicada</t>
        </is>
      </c>
      <c r="D63" s="0" t="inlineStr">
        <is>
          <t xml:space="preserve">SERVICIO DE VIVIENDA Y URBANIZACION II REGION</t>
        </is>
      </c>
      <c r="E63" s="0" t="inlineStr">
        <is>
          <t xml:space="preserve">SERVIU II Región </t>
        </is>
      </c>
      <c r="F63" s="0" t="inlineStr">
        <is>
          <t xml:space="preserve">Región de Antofagasta </t>
        </is>
      </c>
      <c r="G63" s="0" t="inlineStr">
        <is>
          <t xml:space="preserve">Antofagasta</t>
        </is>
      </c>
      <c r="H63" s="2">
        <v>46269.656956</v>
      </c>
      <c r="I63" s="2">
        <v>46279.625</v>
      </c>
      <c r="J63" s="0">
        <v>7</v>
      </c>
      <c r="K63" s="3"/>
      <c r="L63" s="0" t="inlineStr">
        <is>
          <t xml:space="preserve">CLP</t>
        </is>
      </c>
      <c r="M63" s="0" t="inlineStr">
        <is>
          <t xml:space="preserve">LE</t>
        </is>
      </c>
      <c r="N63" s="4" t="inlineStr">
        <is>
          <t xml:space="preserve">Vehículos y equipamiento en general / Aeronaves / Aeronave de ala fija militar</t>
        </is>
      </c>
      <c r="O63" s="4" t="inlineStr">
        <is>
          <t xml:space="preserve">1 Unidad · Aeronave de reconocimiento o vigilancia</t>
        </is>
      </c>
      <c r="P63" s="2"/>
      <c r="Q63" s="2"/>
      <c r="R63" s="0"/>
      <c r="S63" s="0" t="inlineStr">
        <is>
          <t xml:space="preserve">No</t>
        </is>
      </c>
      <c r="T63" s="4" t="inlineStr">
        <is>
          <t xml:space="preserve">El proveedor no podrá subcontratar, ceder ni transferir en forma alguna, total ni parcialmente, los derechos y obligaciones que nacen del desarrollo de esta licitación y del respectivo contrato que se celebre con la institución contratante.</t>
        </is>
      </c>
      <c r="U63" s="0" t="inlineStr">
        <is>
          <t xml:space="preserve">Rodrigo Villaroel Chávez</t>
        </is>
      </c>
      <c r="V63" s="4" t="inlineStr">
        <is>
          <t xml:space="preserve">Adquisición de instrumental y software para levantamientos topográficos, con capacitación para funcionarios</t>
        </is>
      </c>
      <c r="W63" s="5" t="str">
        <f>HYPERLINK("https://www.mercadopublico.cl/Procurement/Modules/RFB/DetailsAcquisition.aspx?idlicitacion=650-25-LE26","descargar bases")</f>
      </c>
    </row>
    <row r="64">
      <c r="A64" s="0" t="inlineStr">
        <is>
          <t xml:space="preserve">906973-8-LP26</t>
        </is>
      </c>
      <c r="B64" s="4" t="inlineStr">
        <is>
          <t xml:space="preserve">SISTEMAS INFORMÁTICOS DE GESTIÓN MUNICIPAL</t>
        </is>
      </c>
      <c r="C64" s="0" t="inlineStr">
        <is>
          <t xml:space="preserve">Publicada</t>
        </is>
      </c>
      <c r="D64" s="0" t="inlineStr">
        <is>
          <t xml:space="preserve">I MUNICIPALIDAD DE VICHUQUEN</t>
        </is>
      </c>
      <c r="E64" s="0" t="inlineStr">
        <is>
          <t xml:space="preserve">SECPLAC</t>
        </is>
      </c>
      <c r="F64" s="0" t="inlineStr">
        <is>
          <t xml:space="preserve">Región del Maule </t>
        </is>
      </c>
      <c r="G64" s="0" t="inlineStr">
        <is>
          <t xml:space="preserve">Vichuquén</t>
        </is>
      </c>
      <c r="H64" s="2">
        <v>46259.547222</v>
      </c>
      <c r="I64" s="2">
        <v>46279.625</v>
      </c>
      <c r="J64" s="0">
        <v>7</v>
      </c>
      <c r="K64" s="3"/>
      <c r="L64" s="0" t="inlineStr">
        <is>
          <t xml:space="preserve">CLP</t>
        </is>
      </c>
      <c r="M64" s="0" t="inlineStr">
        <is>
          <t xml:space="preserve">LP</t>
        </is>
      </c>
      <c r="N64" s="4" t="inlineStr">
        <is>
          <t xml:space="preserve">Organizaciones y consultorías políticas, demográficas, económicas, sociales y de administración pública / Administración y finanzas públicas / Finanzas públicas</t>
        </is>
      </c>
      <c r="O64" s="4" t="inlineStr">
        <is>
          <t xml:space="preserve">36 Mes · Servicios contables gubernamentales</t>
        </is>
      </c>
      <c r="P64" s="2"/>
      <c r="Q64" s="2"/>
      <c r="R64" s="0"/>
      <c r="S64" s="0" t="inlineStr">
        <is>
          <t xml:space="preserve">No</t>
        </is>
      </c>
      <c r="T64" s="4"/>
      <c r="U64" s="0" t="inlineStr">
        <is>
          <t xml:space="preserve">Ariel Munoz Vasquez</t>
        </is>
      </c>
      <c r="V64"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64" s="5" t="str">
        <f>HYPERLINK("https://www.mercadopublico.cl/Procurement/Modules/RFB/DetailsAcquisition.aspx?idlicitacion=906973-8-LP26","descargar bases")</f>
      </c>
    </row>
    <row r="65">
      <c r="A65" s="0" t="inlineStr">
        <is>
          <t xml:space="preserve">1057548-21-LE26</t>
        </is>
      </c>
      <c r="B65" s="4" t="inlineStr">
        <is>
          <t xml:space="preserve">Convenio Suministro de Servicio de Fotocopiado Impresion y Digitalizacion con Entrega de Equipos</t>
        </is>
      </c>
      <c r="C65" s="0" t="inlineStr">
        <is>
          <t xml:space="preserve">Publicada</t>
        </is>
      </c>
      <c r="D65" s="0" t="inlineStr">
        <is>
          <t xml:space="preserve">SERVICIO DE SALUD VALDIVIA HOSPITAL LA U</t>
        </is>
      </c>
      <c r="E65" s="0" t="inlineStr">
        <is>
          <t xml:space="preserve">Bienes y Servicios</t>
        </is>
      </c>
      <c r="F65" s="0" t="inlineStr">
        <is>
          <t xml:space="preserve">Región de Los Ríos</t>
        </is>
      </c>
      <c r="G65" s="0" t="inlineStr">
        <is>
          <t xml:space="preserve">La Unión</t>
        </is>
      </c>
      <c r="H65" s="2">
        <v>46266.42662</v>
      </c>
      <c r="I65" s="2">
        <v>46279.625694</v>
      </c>
      <c r="J65" s="0">
        <v>7</v>
      </c>
      <c r="K65" s="3"/>
      <c r="L65" s="0" t="inlineStr">
        <is>
          <t xml:space="preserve">CLP</t>
        </is>
      </c>
      <c r="M65" s="0" t="inlineStr">
        <is>
          <t xml:space="preserve">LE</t>
        </is>
      </c>
      <c r="N65" s="4" t="inlineStr">
        <is>
          <t xml:space="preserve">Servicios editoriales, de diseño, publicidad, gráficos y artistas / Servicios de impresión y reproducción / Impresión</t>
        </is>
      </c>
      <c r="O65" s="4" t="inlineStr">
        <is>
          <t xml:space="preserve">1 Unidad · Impresión digital</t>
        </is>
      </c>
      <c r="P65" s="2"/>
      <c r="Q65" s="2"/>
      <c r="R65" s="0" t="inlineStr">
        <is>
          <t xml:space="preserve">24 meses</t>
        </is>
      </c>
      <c r="S65" s="0" t="inlineStr">
        <is>
          <t xml:space="preserve">No</t>
        </is>
      </c>
      <c r="T65" s="4"/>
      <c r="U65" s="0" t="inlineStr">
        <is>
          <t xml:space="preserve">Alvaro jimenez neumann</t>
        </is>
      </c>
      <c r="V65"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65" s="5" t="str">
        <f>HYPERLINK("https://www.mercadopublico.cl/Procurement/Modules/RFB/DetailsAcquisition.aspx?idlicitacion=1057548-21-LE26","descargar bases")</f>
      </c>
    </row>
    <row r="66">
      <c r="A66" s="0" t="inlineStr">
        <is>
          <t xml:space="preserve">858-64-LE26</t>
        </is>
      </c>
      <c r="B66" s="4" t="inlineStr">
        <is>
          <t xml:space="preserve">Mantención sitio web oficial IND por 24 meses</t>
        </is>
      </c>
      <c r="C66" s="0" t="inlineStr">
        <is>
          <t xml:space="preserve">Publicada</t>
        </is>
      </c>
      <c r="D66" s="0" t="inlineStr">
        <is>
          <t xml:space="preserve">INSTITUTO NACIONAL DE DEPORTES DE CHILE</t>
        </is>
      </c>
      <c r="E66" s="0" t="inlineStr">
        <is>
          <t xml:space="preserve">Nivel Central</t>
        </is>
      </c>
      <c r="F66" s="0" t="inlineStr">
        <is>
          <t xml:space="preserve">Región Metropolitana de Santiago</t>
        </is>
      </c>
      <c r="G66" s="0" t="inlineStr">
        <is>
          <t xml:space="preserve">Providencia</t>
        </is>
      </c>
      <c r="H66" s="2">
        <v>46266.768102</v>
      </c>
      <c r="I66" s="2">
        <v>46279.625694</v>
      </c>
      <c r="J66" s="0">
        <v>7</v>
      </c>
      <c r="K66" s="3">
        <v>50000000.0</v>
      </c>
      <c r="L66" s="0" t="inlineStr">
        <is>
          <t xml:space="preserve">CLP</t>
        </is>
      </c>
      <c r="M66" s="0" t="inlineStr">
        <is>
          <t xml:space="preserve">LE</t>
        </is>
      </c>
      <c r="N66" s="4" t="inlineStr">
        <is>
          <t xml:space="preserve">Servicios basados en ingeniería, ciencias sociales y tecnología de la información / Servicios informáticos / Servicios para internet</t>
        </is>
      </c>
      <c r="O66" s="4" t="inlineStr">
        <is>
          <t xml:space="preserve">1 Global · Servicios de diseño de sitio Web</t>
        </is>
      </c>
      <c r="P66" s="2"/>
      <c r="Q66" s="2"/>
      <c r="R66" s="0" t="inlineStr">
        <is>
          <t xml:space="preserve">24 meses</t>
        </is>
      </c>
      <c r="S66" s="0" t="inlineStr">
        <is>
          <t xml:space="preserve">No</t>
        </is>
      </c>
      <c r="T66" s="4"/>
      <c r="U66" s="0" t="inlineStr">
        <is>
          <t xml:space="preserve">Carlos Marchant</t>
        </is>
      </c>
      <c r="V66" s="4" t="inlineStr">
        <is>
          <t xml:space="preserve">Servicio de Actualización, Mantención sitio web oficial del IND y EMAIL Marketing por 24 meses.</t>
        </is>
      </c>
      <c r="W66" s="5" t="str">
        <f>HYPERLINK("https://www.mercadopublico.cl/Procurement/Modules/RFB/DetailsAcquisition.aspx?idlicitacion=858-64-LE26","descargar bases")</f>
      </c>
    </row>
    <row r="67">
      <c r="A67" s="0" t="inlineStr">
        <is>
          <t xml:space="preserve">29-73-LE26</t>
        </is>
      </c>
      <c r="B67" s="4" t="inlineStr">
        <is>
          <t xml:space="preserve">ALR - ADQ. REPUESTOS Y TABLERO ELECT.   GPO. ELECT</t>
        </is>
      </c>
      <c r="C67" s="0" t="inlineStr">
        <is>
          <t xml:space="preserve">Publicada</t>
        </is>
      </c>
      <c r="D67" s="0" t="inlineStr">
        <is>
          <t xml:space="preserve">FUERZA AEREA DE CHILE COMANDO LOGISTICO</t>
        </is>
      </c>
      <c r="E67" s="0" t="inlineStr">
        <is>
          <t xml:space="preserve">Comando Logístico</t>
        </is>
      </c>
      <c r="F67" s="0" t="inlineStr">
        <is>
          <t xml:space="preserve">Región Metropolitana de Santiago</t>
        </is>
      </c>
      <c r="G67" s="0" t="inlineStr">
        <is>
          <t xml:space="preserve">El Bosque</t>
        </is>
      </c>
      <c r="H67" s="2">
        <v>46265.630394</v>
      </c>
      <c r="I67" s="2">
        <v>46279.625694</v>
      </c>
      <c r="J67" s="0">
        <v>7</v>
      </c>
      <c r="K67" s="3"/>
      <c r="L67" s="0" t="inlineStr">
        <is>
          <t xml:space="preserve">USD</t>
        </is>
      </c>
      <c r="M67" s="0" t="inlineStr">
        <is>
          <t xml:space="preserve">LE</t>
        </is>
      </c>
      <c r="N67"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67" s="4" t="inlineStr">
        <is>
          <t xml:space="preserve">1 Unidad · Paneles de control eléctrico para generadores · 2 Unidad · Filtros de aceite · 2 Unidad · Filtros de combustible · y 9 más</t>
        </is>
      </c>
      <c r="P67" s="2"/>
      <c r="Q67" s="2"/>
      <c r="R67" s="0"/>
      <c r="S67" s="0" t="inlineStr">
        <is>
          <t xml:space="preserve">No</t>
        </is>
      </c>
      <c r="T67" s="4"/>
      <c r="U67" s="0" t="inlineStr">
        <is>
          <t xml:space="preserve">SERGIO ROMEROCALQUIN</t>
        </is>
      </c>
      <c r="V67" s="4" t="inlineStr">
        <is>
          <t xml:space="preserve">ADQUISICIÓN DE REPUESTOS Y TABLERO CON INSTALACIÓN PARA GRUPOS ELECTRÓGENOS DE LA FUERZA AÉREA DE CHILE</t>
        </is>
      </c>
      <c r="W67" s="5" t="str">
        <f>HYPERLINK("https://www.mercadopublico.cl/Procurement/Modules/RFB/DetailsAcquisition.aspx?idlicitacion=29-73-LE26","descargar bases")</f>
      </c>
    </row>
    <row r="68">
      <c r="A68" s="0" t="inlineStr">
        <is>
          <t xml:space="preserve">1057922-24-LP26</t>
        </is>
      </c>
      <c r="B68" s="4" t="inlineStr">
        <is>
          <t xml:space="preserve">ADQUISICION EQUIPOS Y EQUIPAMIENTO TECNOLOGÍAS DE LA INFORMACIÓN PARA CESFAM CON SAR RAHUE ALTO</t>
        </is>
      </c>
      <c r="C68" s="0" t="inlineStr">
        <is>
          <t xml:space="preserve">Publicada</t>
        </is>
      </c>
      <c r="D68" s="0" t="inlineStr">
        <is>
          <t xml:space="preserve">SERVICIO DE SALUD OSORNO</t>
        </is>
      </c>
      <c r="E68" s="0" t="inlineStr">
        <is>
          <t xml:space="preserve">Activos Fijos</t>
        </is>
      </c>
      <c r="F68" s="0" t="inlineStr">
        <is>
          <t xml:space="preserve">Región de los Lagos </t>
        </is>
      </c>
      <c r="G68" s="0" t="inlineStr">
        <is>
          <t xml:space="preserve">Osorno</t>
        </is>
      </c>
      <c r="H68" s="2">
        <v>46266.460509</v>
      </c>
      <c r="I68" s="2">
        <v>46279.635417</v>
      </c>
      <c r="J68" s="0">
        <v>7</v>
      </c>
      <c r="K68" s="3">
        <v>133992200.0</v>
      </c>
      <c r="L68" s="0" t="inlineStr">
        <is>
          <t xml:space="preserve">CLP</t>
        </is>
      </c>
      <c r="M68" s="0" t="inlineStr">
        <is>
          <t xml:space="preserve">LP</t>
        </is>
      </c>
      <c r="N68"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68" s="4" t="inlineStr">
        <is>
          <t xml:space="preserve">102 Unidad · Computadores de escritorio · 5 Unidad · Notebook, laptop o computador portátil excepto Tablet PC · 6 Unidad · Tickets o rollos de tickets · y 9 más</t>
        </is>
      </c>
      <c r="P68" s="2"/>
      <c r="Q68" s="2"/>
      <c r="R68" s="0"/>
      <c r="S68" s="0" t="inlineStr">
        <is>
          <t xml:space="preserve">No</t>
        </is>
      </c>
      <c r="T68" s="4" t="inlineStr">
        <is>
          <t xml:space="preserve">De acuerdo a lo establecido en numeral 7.7 de las bases</t>
        </is>
      </c>
      <c r="U68" s="0" t="inlineStr">
        <is>
          <t xml:space="preserve">Bruno Ojeda Álvarez</t>
        </is>
      </c>
      <c r="V68" s="4" t="inlineStr">
        <is>
          <t xml:space="preserve">Adquirir equipos/equipamiento TIC en contexto del proyecto Reposición CESFAM con SAR Rahue Alto, código BIP 30481028.</t>
        </is>
      </c>
      <c r="W68" s="5" t="str">
        <f>HYPERLINK("https://www.mercadopublico.cl/Procurement/Modules/RFB/DetailsAcquisition.aspx?idlicitacion=1057922-24-LP26","descargar bases")</f>
      </c>
    </row>
    <row r="69">
      <c r="A69" s="0" t="inlineStr">
        <is>
          <t xml:space="preserve">831-21-LE26</t>
        </is>
      </c>
      <c r="B69" s="4" t="inlineStr">
        <is>
          <t xml:space="preserve">Capacitación IA y Power BI</t>
        </is>
      </c>
      <c r="C69" s="0" t="inlineStr">
        <is>
          <t xml:space="preserve">Publicada</t>
        </is>
      </c>
      <c r="D69" s="0" t="inlineStr">
        <is>
          <t xml:space="preserve">GOBIERNO REGIONAL DE LA REGION DEL BIO BIO</t>
        </is>
      </c>
      <c r="E69" s="0" t="inlineStr">
        <is>
          <t xml:space="preserve">Gobierno Regional de la Región del Bío Bío</t>
        </is>
      </c>
      <c r="F69" s="0" t="inlineStr">
        <is>
          <t xml:space="preserve">Región del Biobío </t>
        </is>
      </c>
      <c r="G69" s="0" t="inlineStr">
        <is>
          <t xml:space="preserve">Concepción</t>
        </is>
      </c>
      <c r="H69" s="2">
        <v>46267.438519</v>
      </c>
      <c r="I69" s="2">
        <v>46279.645833</v>
      </c>
      <c r="J69" s="0">
        <v>7</v>
      </c>
      <c r="K69" s="3"/>
      <c r="L69" s="0" t="inlineStr">
        <is>
          <t xml:space="preserve">CLP</t>
        </is>
      </c>
      <c r="M69" s="0" t="inlineStr">
        <is>
          <t xml:space="preserve">LE</t>
        </is>
      </c>
      <c r="N69" s="4" t="inlineStr">
        <is>
          <t xml:space="preserve">Servicios profesionales, administrativos y consultorías de gestión empresarial / Servicios de recursos humanos / Consultorías para el desarrollo de recursos humanos</t>
        </is>
      </c>
      <c r="O69" s="4" t="inlineStr">
        <is>
          <t xml:space="preserve">30 Unidad · Formación, capacitación y entrenamiento de personal · 15 Unidad · Formación, capacitación y entrenamiento de personal</t>
        </is>
      </c>
      <c r="P69" s="2"/>
      <c r="Q69" s="2"/>
      <c r="R69" s="0"/>
      <c r="S69" s="0" t="inlineStr">
        <is>
          <t xml:space="preserve">No</t>
        </is>
      </c>
      <c r="T69" s="4"/>
      <c r="U69" s="0" t="inlineStr">
        <is>
          <t xml:space="preserve">Daniela Verscheure</t>
        </is>
      </c>
      <c r="V69" s="4" t="inlineStr">
        <is>
          <t xml:space="preserve">Servicios de capacitación en herramientas de inteligencia artificial para la gestión pública y en Power BI avanzado aplicado a la gestión laboral</t>
        </is>
      </c>
      <c r="W69" s="5" t="str">
        <f>HYPERLINK("https://www.mercadopublico.cl/Procurement/Modules/RFB/DetailsAcquisition.aspx?idlicitacion=831-21-LE26","descargar bases")</f>
      </c>
    </row>
    <row r="70">
      <c r="A70" s="0" t="inlineStr">
        <is>
          <t xml:space="preserve">680504-2-L126</t>
        </is>
      </c>
      <c r="B70" s="4" t="inlineStr">
        <is>
          <t xml:space="preserve">Mantención Anual Tableros Eléctricos del Edificio RPP Curicó</t>
        </is>
      </c>
      <c r="C70" s="0" t="inlineStr">
        <is>
          <t xml:space="preserve">Publicada</t>
        </is>
      </c>
      <c r="D70" s="0" t="inlineStr">
        <is>
          <t xml:space="preserve">CORP ADMINISTRATIVA DEL PODER JUDICIAL</t>
        </is>
      </c>
      <c r="E70" s="0" t="inlineStr">
        <is>
          <t xml:space="preserve">TOP de Curico</t>
        </is>
      </c>
      <c r="F70" s="0" t="inlineStr">
        <is>
          <t xml:space="preserve">Región del Maule </t>
        </is>
      </c>
      <c r="G70" s="0" t="inlineStr">
        <is>
          <t xml:space="preserve">Curicó</t>
        </is>
      </c>
      <c r="H70" s="2">
        <v>46268.619086</v>
      </c>
      <c r="I70" s="2">
        <v>46279.666667</v>
      </c>
      <c r="J70" s="0">
        <v>7</v>
      </c>
      <c r="K70" s="3">
        <v>128.8</v>
      </c>
      <c r="L70" s="0" t="inlineStr">
        <is>
          <t xml:space="preserve">CLF</t>
        </is>
      </c>
      <c r="M70" s="0" t="inlineStr">
        <is>
          <t xml:space="preserve">L1</t>
        </is>
      </c>
      <c r="N70" s="4" t="inlineStr">
        <is>
          <t xml:space="preserve">Servicios de construcción y mantenimiento / Servicios de atención, mantenimiento y reparaciones de edificios / Servicios eléctricos</t>
        </is>
      </c>
      <c r="O70" s="4" t="inlineStr">
        <is>
          <t xml:space="preserve">1 Unidad · Instalación o servicio de sistemas de energía eléctrica</t>
        </is>
      </c>
      <c r="P70" s="2"/>
      <c r="Q70" s="2"/>
      <c r="R70" s="0"/>
      <c r="S70" s="0" t="inlineStr">
        <is>
          <t xml:space="preserve">No</t>
        </is>
      </c>
      <c r="T70" s="4"/>
      <c r="U70" s="0"/>
      <c r="V70" s="4" t="inlineStr">
        <is>
          <t xml:space="preserve">Contrato por Mantención Anual de Tableros Eléctricos del Edificio RPP Curicó, por un periodo de 3  años.</t>
        </is>
      </c>
      <c r="W70" s="5" t="str">
        <f>HYPERLINK("https://www.mercadopublico.cl/Procurement/Modules/RFB/DetailsAcquisition.aspx?idlicitacion=680504-2-L126","descargar bases")</f>
      </c>
    </row>
    <row r="71">
      <c r="A71" s="0" t="inlineStr">
        <is>
          <t xml:space="preserve">875-6-LP26</t>
        </is>
      </c>
      <c r="B71" s="4" t="inlineStr">
        <is>
          <t xml:space="preserve">SERVICIO DE MARKETING DIGITAL</t>
        </is>
      </c>
      <c r="C71" s="0" t="inlineStr">
        <is>
          <t xml:space="preserve">Publicada</t>
        </is>
      </c>
      <c r="D71" s="0" t="inlineStr">
        <is>
          <t xml:space="preserve">AGENCIA DE PROMOCION DE LA INVERSION EXTRANJERA</t>
        </is>
      </c>
      <c r="E71" s="0" t="inlineStr">
        <is>
          <t xml:space="preserve">Agencia de Promoción de la Inversión Extranjera</t>
        </is>
      </c>
      <c r="F71" s="0" t="inlineStr">
        <is>
          <t xml:space="preserve">Región Metropolitana de Santiago</t>
        </is>
      </c>
      <c r="G71" s="0" t="inlineStr">
        <is>
          <t xml:space="preserve">Santiago</t>
        </is>
      </c>
      <c r="H71" s="2">
        <v>46258.740845</v>
      </c>
      <c r="I71" s="2">
        <v>46279.666667</v>
      </c>
      <c r="J71" s="0">
        <v>7</v>
      </c>
      <c r="K71" s="3">
        <v>225000000.0</v>
      </c>
      <c r="L71" s="0" t="inlineStr">
        <is>
          <t xml:space="preserve">CLP</t>
        </is>
      </c>
      <c r="M71" s="0" t="inlineStr">
        <is>
          <t xml:space="preserve">LP</t>
        </is>
      </c>
      <c r="N71" s="4" t="inlineStr">
        <is>
          <t xml:space="preserve">Servicios profesionales, administrativos y consultorías de gestión empresarial / Servicios para la comercialización y distribución / Ventas y marketing</t>
        </is>
      </c>
      <c r="O71" s="4" t="inlineStr">
        <is>
          <t xml:space="preserve">1 Unidad · Campañas publicitarias o de marketing</t>
        </is>
      </c>
      <c r="P71" s="2"/>
      <c r="Q71" s="2"/>
      <c r="R71" s="0" t="inlineStr">
        <is>
          <t xml:space="preserve">12 meses</t>
        </is>
      </c>
      <c r="S71" s="0" t="inlineStr">
        <is>
          <t xml:space="preserve">No</t>
        </is>
      </c>
      <c r="T71" s="4"/>
      <c r="U71" s="0" t="inlineStr">
        <is>
          <t xml:space="preserve">Claudio Álvarez M., o ella funcionarioa que desi</t>
        </is>
      </c>
      <c r="V71"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71" s="5" t="str">
        <f>HYPERLINK("https://www.mercadopublico.cl/Procurement/Modules/RFB/DetailsAcquisition.aspx?idlicitacion=875-6-LP26","descargar bases")</f>
      </c>
    </row>
    <row r="72">
      <c r="A72" s="0" t="inlineStr">
        <is>
          <t xml:space="preserve">885-82-LE26</t>
        </is>
      </c>
      <c r="B72" s="4" t="inlineStr">
        <is>
          <t xml:space="preserve">Renovación y adquisición de licencias de software TOAD para la Contraloría General de la República</t>
        </is>
      </c>
      <c r="C72" s="0" t="inlineStr">
        <is>
          <t xml:space="preserve">Publicada</t>
        </is>
      </c>
      <c r="D72" s="0" t="inlineStr">
        <is>
          <t xml:space="preserve">CONTRALORIA GENERAL DE LA REPUBLICA</t>
        </is>
      </c>
      <c r="E72" s="0" t="inlineStr">
        <is>
          <t xml:space="preserve">Contraloría General de la República</t>
        </is>
      </c>
      <c r="F72" s="0" t="inlineStr">
        <is>
          <t xml:space="preserve">Región Metropolitana de Santiago</t>
        </is>
      </c>
      <c r="G72" s="0"/>
      <c r="H72" s="2">
        <v>46269.467593</v>
      </c>
      <c r="I72" s="2">
        <v>46279.666667</v>
      </c>
      <c r="J72" s="0">
        <v>7</v>
      </c>
      <c r="K72" s="3">
        <v>16500000.0</v>
      </c>
      <c r="L72" s="0" t="inlineStr">
        <is>
          <t xml:space="preserve">CLP</t>
        </is>
      </c>
      <c r="M72" s="0" t="inlineStr">
        <is>
          <t xml:space="preserve">LE</t>
        </is>
      </c>
      <c r="N72" s="4" t="inlineStr">
        <is>
          <t xml:space="preserve">Tecnologías de la información, telecomunicaciones y radiodifusión / Software / Software de gestión</t>
        </is>
      </c>
      <c r="O72" s="4" t="inlineStr">
        <is>
          <t xml:space="preserve">1 Unidad no definida · Software de gestión de licencias</t>
        </is>
      </c>
      <c r="P72" s="2"/>
      <c r="Q72" s="2"/>
      <c r="R72" s="0" t="inlineStr">
        <is>
          <t xml:space="preserve">12 meses</t>
        </is>
      </c>
      <c r="S72" s="0" t="inlineStr">
        <is>
          <t xml:space="preserve">No</t>
        </is>
      </c>
      <c r="T72" s="4"/>
      <c r="U72" s="0" t="inlineStr">
        <is>
          <t xml:space="preserve">Tania Cornejo Abarca</t>
        </is>
      </c>
      <c r="V72" s="4" t="inlineStr">
        <is>
          <t xml:space="preserve">La Contraloría General de la República requiere renovar el soporte y mantención anual de licencias de software TOAD DBA SUITE FOR ORACLE y la adquisición de nuevas licencias TOAD FOR ORACLE DBA PLUS y TOAD FOR ORACLE DEV PLUS, por un período de 12 meses.</t>
        </is>
      </c>
      <c r="W72" s="5" t="str">
        <f>HYPERLINK("https://www.mercadopublico.cl/Procurement/Modules/RFB/DetailsAcquisition.aspx?idlicitacion=885-82-LE26","descargar bases")</f>
      </c>
    </row>
    <row r="73">
      <c r="A73" s="0" t="inlineStr">
        <is>
          <t xml:space="preserve">885-86-LP26</t>
        </is>
      </c>
      <c r="B73" s="4" t="inlineStr">
        <is>
          <t xml:space="preserve">Adquisición de impresora digital para Unidad de Servicios Gráficos</t>
        </is>
      </c>
      <c r="C73" s="0" t="inlineStr">
        <is>
          <t xml:space="preserve">Publicada</t>
        </is>
      </c>
      <c r="D73" s="0" t="inlineStr">
        <is>
          <t xml:space="preserve">CONTRALORIA GENERAL DE LA REPUBLICA</t>
        </is>
      </c>
      <c r="E73" s="0" t="inlineStr">
        <is>
          <t xml:space="preserve">Contraloría General de la República</t>
        </is>
      </c>
      <c r="F73" s="0" t="inlineStr">
        <is>
          <t xml:space="preserve">Región Metropolitana de Santiago</t>
        </is>
      </c>
      <c r="G73" s="0"/>
      <c r="H73" s="2">
        <v>46269.510266</v>
      </c>
      <c r="I73" s="2">
        <v>46279.666667</v>
      </c>
      <c r="J73" s="0">
        <v>7</v>
      </c>
      <c r="K73" s="3">
        <v>80000000.0</v>
      </c>
      <c r="L73" s="0" t="inlineStr">
        <is>
          <t xml:space="preserve">CLP</t>
        </is>
      </c>
      <c r="M73" s="0" t="inlineStr">
        <is>
          <t xml:space="preserve">LP</t>
        </is>
      </c>
      <c r="N73" s="4" t="inlineStr">
        <is>
          <t xml:space="preserve">Equipos y suministros de imprenta, fotográficos y audiovisuales / Equipos de imprenta y publicación / Maquinarias y equipos de imprenta</t>
        </is>
      </c>
      <c r="O73" s="4" t="inlineStr">
        <is>
          <t xml:space="preserve">1 Unidad · Impresora rotativa de ultravioletas (UV)</t>
        </is>
      </c>
      <c r="P73" s="2"/>
      <c r="Q73" s="2"/>
      <c r="R73" s="0"/>
      <c r="S73" s="0" t="inlineStr">
        <is>
          <t xml:space="preserve">No</t>
        </is>
      </c>
      <c r="T73" s="4"/>
      <c r="U73" s="0" t="inlineStr">
        <is>
          <t xml:space="preserve">Álvaro Chamorro González</t>
        </is>
      </c>
      <c r="V73" s="4" t="inlineStr">
        <is>
          <t xml:space="preserve">La Contraloría General de la República requiere la adquisición de una impresora digital de producción de color de alta productividad, destinada a atender los requerimientos de impresión de alto volumen de material gráfico institucional de la Unidad de Servicios Gráficos.</t>
        </is>
      </c>
      <c r="W73" s="5" t="str">
        <f>HYPERLINK("https://www.mercadopublico.cl/Procurement/Modules/RFB/DetailsAcquisition.aspx?idlicitacion=885-86-LP26","descargar bases")</f>
      </c>
    </row>
    <row r="74">
      <c r="A74" s="0" t="inlineStr">
        <is>
          <t xml:space="preserve">757-73-LE26</t>
        </is>
      </c>
      <c r="B74" s="4" t="inlineStr">
        <is>
          <t xml:space="preserve">[DGP] Curso de Inteligencia Artificial Generativa</t>
        </is>
      </c>
      <c r="C74" s="0" t="inlineStr">
        <is>
          <t xml:space="preserve">Publicada</t>
        </is>
      </c>
      <c r="D74" s="0" t="inlineStr">
        <is>
          <t xml:space="preserve">SUBSECRETARIA DE SALUD PUBLICA</t>
        </is>
      </c>
      <c r="E74" s="0" t="inlineStr">
        <is>
          <t xml:space="preserve">Subsecretaría de Salud Pública</t>
        </is>
      </c>
      <c r="F74" s="0" t="inlineStr">
        <is>
          <t xml:space="preserve">Región Metropolitana de Santiago</t>
        </is>
      </c>
      <c r="G74" s="0" t="inlineStr">
        <is>
          <t xml:space="preserve">Santiago Centro</t>
        </is>
      </c>
      <c r="H74" s="2">
        <v>46269.453275</v>
      </c>
      <c r="I74" s="2">
        <v>46279.725694</v>
      </c>
      <c r="J74" s="0">
        <v>7</v>
      </c>
      <c r="K74" s="3"/>
      <c r="L74" s="0" t="inlineStr">
        <is>
          <t xml:space="preserve">CLP</t>
        </is>
      </c>
      <c r="M74" s="0" t="inlineStr">
        <is>
          <t xml:space="preserve">LE</t>
        </is>
      </c>
      <c r="N74" s="4" t="inlineStr">
        <is>
          <t xml:space="preserve">Servicios profesionales, administrativos y consultorías de gestión empresarial / Servicios de recursos humanos / Consultorías para el desarrollo de recursos humanos</t>
        </is>
      </c>
      <c r="O74" s="4" t="inlineStr">
        <is>
          <t xml:space="preserve">1 Unidad · Formación, capacitación y entrenamiento de personal</t>
        </is>
      </c>
      <c r="P74" s="2"/>
      <c r="Q74" s="2"/>
      <c r="R74" s="0"/>
      <c r="S74" s="0" t="inlineStr">
        <is>
          <t xml:space="preserve">No</t>
        </is>
      </c>
      <c r="T74" s="4"/>
      <c r="U74" s="0" t="inlineStr">
        <is>
          <t xml:space="preserve">Andrea Ampuero</t>
        </is>
      </c>
      <c r="V74" s="4" t="inlineStr">
        <is>
          <t xml:space="preserve">OBJETIVO GENERAL
Contratar un servicio de capacitación para impartir un Curso de Inteligencia Artificial dirigido a 6 personas de la Subsecretaría de Salud Pública, para que adquieran competencias y herramientas que les permita una mejor gestión de los recursos en marco de las funciones que desarrollan al interior de la institución.
Se busca que las personas al finalizar esta capacitación hayan desarrollado:
1. Estrategia de Transformación Digital e Inteligencia Artificial Aplicada
2. Aplicaciones Prácticas de IA Generativa, Automatizaciones y gestión de archivos en la nube.</t>
        </is>
      </c>
      <c r="W74" s="5" t="str">
        <f>HYPERLINK("https://www.mercadopublico.cl/Procurement/Modules/RFB/DetailsAcquisition.aspx?idlicitacion=757-73-LE26","descargar bases")</f>
      </c>
    </row>
    <row r="75">
      <c r="A75" s="0" t="inlineStr">
        <is>
          <t xml:space="preserve">434-104-LE26</t>
        </is>
      </c>
      <c r="B75" s="4" t="inlineStr">
        <is>
          <t xml:space="preserve">SERVIDOR DE DATOS SEGUN FORMULARIO N°14 INFORMATICA</t>
        </is>
      </c>
      <c r="C75" s="0" t="inlineStr">
        <is>
          <t xml:space="preserve">Publicada</t>
        </is>
      </c>
      <c r="D75" s="0" t="inlineStr">
        <is>
          <t xml:space="preserve">I MUNICIPALIDAD DE CAUQUENES</t>
        </is>
      </c>
      <c r="E75" s="0" t="inlineStr">
        <is>
          <t xml:space="preserve">Adquisiciones</t>
        </is>
      </c>
      <c r="F75" s="0" t="inlineStr">
        <is>
          <t xml:space="preserve">Región del Maule </t>
        </is>
      </c>
      <c r="G75" s="0" t="inlineStr">
        <is>
          <t xml:space="preserve">Cauquenes</t>
        </is>
      </c>
      <c r="H75" s="2">
        <v>46268.404722</v>
      </c>
      <c r="I75" s="2">
        <v>46280.395833</v>
      </c>
      <c r="J75" s="0">
        <v>8</v>
      </c>
      <c r="K75" s="3">
        <v>20000000.0</v>
      </c>
      <c r="L75" s="0" t="inlineStr">
        <is>
          <t xml:space="preserve">CLP</t>
        </is>
      </c>
      <c r="M75" s="0" t="inlineStr">
        <is>
          <t xml:space="preserve">LE</t>
        </is>
      </c>
      <c r="N75" s="4" t="inlineStr">
        <is>
          <t xml:space="preserve">Tecnologías de la información, telecomunicaciones y radiodifusión / Equipos informáticos y accesorios / Computadores</t>
        </is>
      </c>
      <c r="O75" s="4" t="inlineStr">
        <is>
          <t xml:space="preserve">1 Unidad · Servidores</t>
        </is>
      </c>
      <c r="P75" s="2"/>
      <c r="Q75" s="2"/>
      <c r="R75" s="0"/>
      <c r="S75" s="0" t="inlineStr">
        <is>
          <t xml:space="preserve">No</t>
        </is>
      </c>
      <c r="T75" s="4"/>
      <c r="U75" s="0" t="inlineStr">
        <is>
          <t xml:space="preserve">CHRISTIAN AGUILERA LETELIER</t>
        </is>
      </c>
      <c r="V75" s="4" t="inlineStr">
        <is>
          <t xml:space="preserve">ADQUISICION DE SERVIDOR DE DATOS NECESARIO PARA LOS SISTEMAS DE INFORMACION DE LA MUNICIPALIDAD DE CAUQUENES</t>
        </is>
      </c>
      <c r="W75" s="5" t="str">
        <f>HYPERLINK("https://www.mercadopublico.cl/Procurement/Modules/RFB/DetailsAcquisition.aspx?idlicitacion=434-104-LE26","descargar bases")</f>
      </c>
    </row>
    <row r="76">
      <c r="A76" s="0" t="inlineStr">
        <is>
          <t xml:space="preserve">2348-34-LP26</t>
        </is>
      </c>
      <c r="B76" s="4" t="inlineStr">
        <is>
          <t xml:space="preserve">ADQUISICIÓN DE LICENCIAS DE SOFTWARE</t>
        </is>
      </c>
      <c r="C76" s="0" t="inlineStr">
        <is>
          <t xml:space="preserve">Publicada</t>
        </is>
      </c>
      <c r="D76" s="0" t="inlineStr">
        <is>
          <t xml:space="preserve">I MUNICIPALIDAD DE PUNTA ARENAS</t>
        </is>
      </c>
      <c r="E76" s="0" t="inlineStr">
        <is>
          <t xml:space="preserve">Dirección de Administración y Finanzas</t>
        </is>
      </c>
      <c r="F76" s="0" t="inlineStr">
        <is>
          <t xml:space="preserve">Región de Magallanes y de la Antártica</t>
        </is>
      </c>
      <c r="G76" s="0" t="inlineStr">
        <is>
          <t xml:space="preserve">Punta Arenas</t>
        </is>
      </c>
      <c r="H76" s="2">
        <v>46259.485648</v>
      </c>
      <c r="I76" s="2">
        <v>46280.458333</v>
      </c>
      <c r="J76" s="0">
        <v>8</v>
      </c>
      <c r="K76" s="3">
        <v>163000000.0</v>
      </c>
      <c r="L76" s="0" t="inlineStr">
        <is>
          <t xml:space="preserve">CLP</t>
        </is>
      </c>
      <c r="M76" s="0" t="inlineStr">
        <is>
          <t xml:space="preserve">LP</t>
        </is>
      </c>
      <c r="N76" s="4" t="inlineStr">
        <is>
          <t xml:space="preserve">Tecnologías de la información, telecomunicaciones y radiodifusión / Software / Software de entorno operativo</t>
        </is>
      </c>
      <c r="O76" s="4" t="inlineStr">
        <is>
          <t xml:space="preserve">2 Unidad · Software de sistema operativo · 22 Unidad · Software de sistema operativo · 5 Unidad · Software de sistema operativo · y 7 más</t>
        </is>
      </c>
      <c r="P76" s="2"/>
      <c r="Q76" s="2"/>
      <c r="R76" s="0"/>
      <c r="S76" s="0" t="inlineStr">
        <is>
          <t xml:space="preserve">No</t>
        </is>
      </c>
      <c r="T76" s="4" t="inlineStr">
        <is>
          <t xml:space="preserve">SEGÚN ART. N°43 DE LAS BASES ADMINISTRATIVAS.-</t>
        </is>
      </c>
      <c r="U76" s="0" t="inlineStr">
        <is>
          <t xml:space="preserve">CLAUDIO RADONICH JIMENEZ</t>
        </is>
      </c>
      <c r="V76"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76" s="5" t="str">
        <f>HYPERLINK("https://www.mercadopublico.cl/Procurement/Modules/RFB/DetailsAcquisition.aspx?idlicitacion=2348-34-LP26","descargar bases")</f>
      </c>
    </row>
    <row r="77">
      <c r="A77" s="0" t="inlineStr">
        <is>
          <t xml:space="preserve">1171317-79-LE26</t>
        </is>
      </c>
      <c r="B77" s="4" t="inlineStr">
        <is>
          <t xml:space="preserve">ADQUISICIÓN LICENCIAS DE SOFTWARE CHILLÁN</t>
        </is>
      </c>
      <c r="C77" s="0" t="inlineStr">
        <is>
          <t xml:space="preserve">Publicada</t>
        </is>
      </c>
      <c r="D77" s="0" t="inlineStr">
        <is>
          <t xml:space="preserve">I MUNICIPALIDAD DE CHILLAN</t>
        </is>
      </c>
      <c r="E77" s="0" t="inlineStr">
        <is>
          <t xml:space="preserve">SECPLA</t>
        </is>
      </c>
      <c r="F77" s="0" t="inlineStr">
        <is>
          <t xml:space="preserve">Región del Ñuble</t>
        </is>
      </c>
      <c r="G77" s="0" t="inlineStr">
        <is>
          <t xml:space="preserve">Chillán</t>
        </is>
      </c>
      <c r="H77" s="2">
        <v>46267.414317</v>
      </c>
      <c r="I77" s="2">
        <v>46280.5</v>
      </c>
      <c r="J77" s="0">
        <v>8</v>
      </c>
      <c r="K77" s="3"/>
      <c r="L77" s="0" t="inlineStr">
        <is>
          <t xml:space="preserve">CLP</t>
        </is>
      </c>
      <c r="M77" s="0" t="inlineStr">
        <is>
          <t xml:space="preserve">LE</t>
        </is>
      </c>
      <c r="N77" s="4" t="inlineStr">
        <is>
          <t xml:space="preserve">Tecnologías de la información, telecomunicaciones y radiodifusión / Software / Software de gestión</t>
        </is>
      </c>
      <c r="O77" s="4" t="inlineStr">
        <is>
          <t xml:space="preserve">1 Global · Software de gestión de licencias</t>
        </is>
      </c>
      <c r="P77" s="2"/>
      <c r="Q77" s="2"/>
      <c r="R77" s="0"/>
      <c r="S77" s="0" t="inlineStr">
        <is>
          <t xml:space="preserve">No</t>
        </is>
      </c>
      <c r="T77" s="4"/>
      <c r="U77" s="0" t="inlineStr">
        <is>
          <t xml:space="preserve">Carlos Araya Sandoval</t>
        </is>
      </c>
      <c r="V77" s="4" t="inlineStr">
        <is>
          <t xml:space="preserve">La Municipalidad de Chillán, en el marco de sus funciones y necesidades operativas, convoca a participar en la licitación pública para la “ADQUISICIÓN LICENCIAS DE SOFTWARE, MUNICIPALIDAD DE CHILLÁN”</t>
        </is>
      </c>
      <c r="W77" s="5" t="str">
        <f>HYPERLINK("https://www.mercadopublico.cl/Procurement/Modules/RFB/DetailsAcquisition.aspx?idlicitacion=1171317-79-LE26","descargar bases")</f>
      </c>
    </row>
    <row r="78">
      <c r="A78" s="0" t="inlineStr">
        <is>
          <t xml:space="preserve">2445-109-LP26</t>
        </is>
      </c>
      <c r="B78" s="4" t="inlineStr">
        <is>
          <t xml:space="preserve">SERVICIO SOFTWARE GESTIÓN  ASISTENCIA DEPTO. SALUD</t>
        </is>
      </c>
      <c r="C78" s="0" t="inlineStr">
        <is>
          <t xml:space="preserve">Publicada</t>
        </is>
      </c>
      <c r="D78" s="0" t="inlineStr">
        <is>
          <t xml:space="preserve">I MUNICIPALIDAD DE CURICO</t>
        </is>
      </c>
      <c r="E78" s="0" t="inlineStr">
        <is>
          <t xml:space="preserve">Salud - Adquisiciones</t>
        </is>
      </c>
      <c r="F78" s="0" t="inlineStr">
        <is>
          <t xml:space="preserve">Región del Maule </t>
        </is>
      </c>
      <c r="G78" s="0" t="inlineStr">
        <is>
          <t xml:space="preserve">Curicó</t>
        </is>
      </c>
      <c r="H78" s="2">
        <v>46260.403657</v>
      </c>
      <c r="I78" s="2">
        <v>46280.5</v>
      </c>
      <c r="J78" s="0">
        <v>8</v>
      </c>
      <c r="K78" s="3">
        <v>132232000.0</v>
      </c>
      <c r="L78" s="0" t="inlineStr">
        <is>
          <t xml:space="preserve">CLP</t>
        </is>
      </c>
      <c r="M78" s="0" t="inlineStr">
        <is>
          <t xml:space="preserve">LP</t>
        </is>
      </c>
      <c r="N78" s="4" t="inlineStr">
        <is>
          <t xml:space="preserve">Tecnologías de la información, telecomunicaciones y radiodifusión / Software / Software de gestión</t>
        </is>
      </c>
      <c r="O78" s="4" t="inlineStr">
        <is>
          <t xml:space="preserve">1 Unidad · Software de gestión de recursos humanos</t>
        </is>
      </c>
      <c r="P78" s="2"/>
      <c r="Q78" s="2"/>
      <c r="R78" s="0" t="inlineStr">
        <is>
          <t xml:space="preserve">36 semanas</t>
        </is>
      </c>
      <c r="S78" s="0" t="inlineStr">
        <is>
          <t xml:space="preserve">No</t>
        </is>
      </c>
      <c r="T78" s="4"/>
      <c r="U78" s="0" t="inlineStr">
        <is>
          <t xml:space="preserve">PABLO LEPE</t>
        </is>
      </c>
      <c r="V78"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78" s="5" t="str">
        <f>HYPERLINK("https://www.mercadopublico.cl/Procurement/Modules/RFB/DetailsAcquisition.aspx?idlicitacion=2445-109-LP26","descargar bases")</f>
      </c>
    </row>
    <row r="79">
      <c r="A79" s="0" t="inlineStr">
        <is>
          <t xml:space="preserve">1020-40-LP26</t>
        </is>
      </c>
      <c r="B79" s="4" t="inlineStr">
        <is>
          <t xml:space="preserve">Serv.Cloud Amazon Web Services AWS o Equivalente</t>
        </is>
      </c>
      <c r="C79" s="0" t="inlineStr">
        <is>
          <t xml:space="preserve">Publicada</t>
        </is>
      </c>
      <c r="D79" s="0" t="inlineStr">
        <is>
          <t xml:space="preserve">MINISTERIO DE OBRAS PUBLICAS DIREC CION GRAL DE OO PP DCYF</t>
        </is>
      </c>
      <c r="E79" s="0" t="inlineStr">
        <is>
          <t xml:space="preserve">MOP Subsecretaría </t>
        </is>
      </c>
      <c r="F79" s="0" t="inlineStr">
        <is>
          <t xml:space="preserve">Región Metropolitana de Santiago</t>
        </is>
      </c>
      <c r="G79" s="0"/>
      <c r="H79" s="2">
        <v>46254.652164</v>
      </c>
      <c r="I79" s="2">
        <v>46280.625</v>
      </c>
      <c r="J79" s="0">
        <v>8</v>
      </c>
      <c r="K79" s="3">
        <v>295121.0</v>
      </c>
      <c r="L79" s="0" t="inlineStr">
        <is>
          <t xml:space="preserve">USD</t>
        </is>
      </c>
      <c r="M79" s="0" t="inlineStr">
        <is>
          <t xml:space="preserve">LP</t>
        </is>
      </c>
      <c r="N79" s="4" t="inlineStr">
        <is>
          <t xml:space="preserve">Tecnologías de la información, telecomunicaciones y radiodifusión / Software / Software de consultas y gestión de datos</t>
        </is>
      </c>
      <c r="O79" s="4" t="inlineStr">
        <is>
          <t xml:space="preserve">1 Unidad · Software del sistema de administración de bases de datos</t>
        </is>
      </c>
      <c r="P79" s="2"/>
      <c r="Q79" s="2"/>
      <c r="R79" s="0" t="inlineStr">
        <is>
          <t xml:space="preserve">36 meses</t>
        </is>
      </c>
      <c r="S79" s="0" t="inlineStr">
        <is>
          <t xml:space="preserve">No</t>
        </is>
      </c>
      <c r="T79" s="4" t="inlineStr">
        <is>
          <t xml:space="preserve">Ver numeral 10.5 de las Bases Administrativas, en archivo adjunto.</t>
        </is>
      </c>
      <c r="U79" s="0" t="inlineStr">
        <is>
          <t xml:space="preserve">Carmen Gloria Ponce Pérez</t>
        </is>
      </c>
      <c r="V79"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79" s="5" t="str">
        <f>HYPERLINK("https://www.mercadopublico.cl/Procurement/Modules/RFB/DetailsAcquisition.aspx?idlicitacion=1020-40-LP26","descargar bases")</f>
      </c>
    </row>
    <row r="80">
      <c r="A80" s="0" t="inlineStr">
        <is>
          <t xml:space="preserve">1562-55-LE26</t>
        </is>
      </c>
      <c r="B80" s="4" t="inlineStr">
        <is>
          <t xml:space="preserve">RESTAURACIÓN MANTENCIÓN Y SOPORTE DE PLATAFORMAS</t>
        </is>
      </c>
      <c r="C80" s="0" t="inlineStr">
        <is>
          <t xml:space="preserve">Publicada</t>
        </is>
      </c>
      <c r="D80" s="0" t="inlineStr">
        <is>
          <t xml:space="preserve">SERVICIO NACIONAL DE GEOLOGIA Y MINERIA</t>
        </is>
      </c>
      <c r="E80" s="0" t="inlineStr">
        <is>
          <t xml:space="preserve">Servicio Nacional de Geología y Minería</t>
        </is>
      </c>
      <c r="F80" s="0" t="inlineStr">
        <is>
          <t xml:space="preserve">Región Metropolitana de Santiago</t>
        </is>
      </c>
      <c r="G80" s="0" t="inlineStr">
        <is>
          <t xml:space="preserve">Providencia</t>
        </is>
      </c>
      <c r="H80" s="2">
        <v>46267.742361</v>
      </c>
      <c r="I80" s="2">
        <v>46280.625</v>
      </c>
      <c r="J80" s="0">
        <v>8</v>
      </c>
      <c r="K80" s="3">
        <v>12971000.0</v>
      </c>
      <c r="L80" s="0" t="inlineStr">
        <is>
          <t xml:space="preserve">CLP</t>
        </is>
      </c>
      <c r="M80" s="0" t="inlineStr">
        <is>
          <t xml:space="preserve">LE</t>
        </is>
      </c>
      <c r="N80" s="4" t="inlineStr">
        <is>
          <t xml:space="preserve">Tecnologías de la información, telecomunicaciones y radiodifusión / Software / Software específico para la industria</t>
        </is>
      </c>
      <c r="O80" s="4" t="inlineStr">
        <is>
          <t xml:space="preserve">1 Unidad · Software de biblioteca · 1 Unidad · Software de biblioteca</t>
        </is>
      </c>
      <c r="P80" s="2"/>
      <c r="Q80" s="2"/>
      <c r="R80" s="0" t="inlineStr">
        <is>
          <t xml:space="preserve">5 meses</t>
        </is>
      </c>
      <c r="S80" s="0" t="inlineStr">
        <is>
          <t xml:space="preserve">No</t>
        </is>
      </c>
      <c r="T80" s="4"/>
      <c r="U80" s="0" t="inlineStr">
        <is>
          <t xml:space="preserve">Maria Teresa Cortes</t>
        </is>
      </c>
      <c r="V80"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80" s="5" t="str">
        <f>HYPERLINK("https://www.mercadopublico.cl/Procurement/Modules/RFB/DetailsAcquisition.aspx?idlicitacion=1562-55-LE26","descargar bases")</f>
      </c>
    </row>
    <row r="81">
      <c r="A81" s="0" t="inlineStr">
        <is>
          <t xml:space="preserve">4079-43-LP26</t>
        </is>
      </c>
      <c r="B81" s="4" t="inlineStr">
        <is>
          <t xml:space="preserve">SERV DE INTERNET FIREWALL NUBES VIRTUALES Y DISP</t>
        </is>
      </c>
      <c r="C81" s="0" t="inlineStr">
        <is>
          <t xml:space="preserve">Publicada</t>
        </is>
      </c>
      <c r="D81" s="0" t="inlineStr">
        <is>
          <t xml:space="preserve">I MUNICIPALIDAD DE CABRERO</t>
        </is>
      </c>
      <c r="E81" s="0" t="inlineStr">
        <is>
          <t xml:space="preserve">Administración y Finanzas</t>
        </is>
      </c>
      <c r="F81" s="0" t="inlineStr">
        <is>
          <t xml:space="preserve">Región del Biobío </t>
        </is>
      </c>
      <c r="G81" s="0" t="inlineStr">
        <is>
          <t xml:space="preserve">Cabrero</t>
        </is>
      </c>
      <c r="H81" s="2">
        <v>46266.701389</v>
      </c>
      <c r="I81" s="2">
        <v>46280.625694</v>
      </c>
      <c r="J81" s="0">
        <v>8</v>
      </c>
      <c r="K81" s="3">
        <v>165000000.0</v>
      </c>
      <c r="L81" s="0" t="inlineStr">
        <is>
          <t xml:space="preserve">CLP</t>
        </is>
      </c>
      <c r="M81" s="0" t="inlineStr">
        <is>
          <t xml:space="preserve">LP</t>
        </is>
      </c>
      <c r="N81" s="4" t="inlineStr">
        <is>
          <t xml:space="preserve">Servicios basados en ingeniería, ciencias sociales y tecnología de la información / Servicios informáticos / Servicios para internet</t>
        </is>
      </c>
      <c r="O81" s="4" t="inlineStr">
        <is>
          <t xml:space="preserve">36 Mes · Proveedores de servicio de Internet (ISP)</t>
        </is>
      </c>
      <c r="P81" s="2"/>
      <c r="Q81" s="2"/>
      <c r="R81" s="0" t="inlineStr">
        <is>
          <t xml:space="preserve">36 meses</t>
        </is>
      </c>
      <c r="S81" s="0" t="inlineStr">
        <is>
          <t xml:space="preserve">No</t>
        </is>
      </c>
      <c r="T81" s="4"/>
      <c r="U81" s="0" t="inlineStr">
        <is>
          <t xml:space="preserve">MARCO BUCAREY ZAGAL</t>
        </is>
      </c>
      <c r="V81" s="4" t="inlineStr">
        <is>
          <t xml:space="preserve">La Ilustre Municipalidad de Cabrero requiere contratar por un periodo de 36 meses servicio de internet para 08 dependencias Municipales, seguridad perimetral Firewall, además de 15 nubes virtuales y 12 dispositivos wifi móviles.</t>
        </is>
      </c>
      <c r="W81" s="5" t="str">
        <f>HYPERLINK("https://www.mercadopublico.cl/Procurement/Modules/RFB/DetailsAcquisition.aspx?idlicitacion=4079-43-LP26","descargar bases")</f>
      </c>
    </row>
    <row r="82">
      <c r="A82" s="0" t="inlineStr">
        <is>
          <t xml:space="preserve">3902-39-LP26</t>
        </is>
      </c>
      <c r="B82" s="4" t="inlineStr">
        <is>
          <t xml:space="preserve">SERVICIO SOFTWARE SISTEMAS DE INFORMACIÓN BULNES.</t>
        </is>
      </c>
      <c r="C82" s="0" t="inlineStr">
        <is>
          <t xml:space="preserve">Publicada</t>
        </is>
      </c>
      <c r="D82" s="0" t="inlineStr">
        <is>
          <t xml:space="preserve">I MUNICIPALIDAD DE BULNES</t>
        </is>
      </c>
      <c r="E82" s="0" t="inlineStr">
        <is>
          <t xml:space="preserve">I MUNICIPALIDAD DE BULNES</t>
        </is>
      </c>
      <c r="F82" s="0" t="inlineStr">
        <is>
          <t xml:space="preserve">Región del Ñuble</t>
        </is>
      </c>
      <c r="G82" s="0" t="inlineStr">
        <is>
          <t xml:space="preserve">Bulnes</t>
        </is>
      </c>
      <c r="H82" s="2">
        <v>46261.708333</v>
      </c>
      <c r="I82" s="2">
        <v>46280.6375</v>
      </c>
      <c r="J82" s="0">
        <v>8</v>
      </c>
      <c r="K82" s="3"/>
      <c r="L82" s="0" t="inlineStr">
        <is>
          <t xml:space="preserve">CLP</t>
        </is>
      </c>
      <c r="M82" s="0" t="inlineStr">
        <is>
          <t xml:space="preserve">LP</t>
        </is>
      </c>
      <c r="N82" s="4" t="inlineStr">
        <is>
          <t xml:space="preserve">Tecnologías de la información, telecomunicaciones y radiodifusión / Software / Software de gestión</t>
        </is>
      </c>
      <c r="O82" s="4" t="inlineStr">
        <is>
          <t xml:space="preserve">1 Global · Paquetes de software para oficinas</t>
        </is>
      </c>
      <c r="P82" s="2"/>
      <c r="Q82" s="2"/>
      <c r="R82" s="0" t="inlineStr">
        <is>
          <t xml:space="preserve">24 meses</t>
        </is>
      </c>
      <c r="S82" s="0" t="inlineStr">
        <is>
          <t xml:space="preserve">No</t>
        </is>
      </c>
      <c r="T82" s="4"/>
      <c r="U82" s="0" t="inlineStr">
        <is>
          <t xml:space="preserve">ULISES AEDO VALDÉS</t>
        </is>
      </c>
      <c r="V82"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82" s="5" t="str">
        <f>HYPERLINK("https://www.mercadopublico.cl/Procurement/Modules/RFB/DetailsAcquisition.aspx?idlicitacion=3902-39-LP26","descargar bases")</f>
      </c>
    </row>
    <row r="83">
      <c r="A83" s="0" t="inlineStr">
        <is>
          <t xml:space="preserve">2434-20-LP26</t>
        </is>
      </c>
      <c r="B83" s="4" t="inlineStr">
        <is>
          <t xml:space="preserve">SERV. PLATAFORMA INTEGRAL PARA GESTION MUNICIPAL</t>
        </is>
      </c>
      <c r="C83" s="0" t="inlineStr">
        <is>
          <t xml:space="preserve">Publicada</t>
        </is>
      </c>
      <c r="D83" s="0" t="inlineStr">
        <is>
          <t xml:space="preserve">I MUNICIPALIDAD ESTACION CENTRAL</t>
        </is>
      </c>
      <c r="E83" s="0" t="inlineStr">
        <is>
          <t xml:space="preserve">SECRETARIA COMUNAL DE PLANIFICACION</t>
        </is>
      </c>
      <c r="F83" s="0" t="inlineStr">
        <is>
          <t xml:space="preserve">Región Metropolitana de Santiago</t>
        </is>
      </c>
      <c r="G83" s="0" t="inlineStr">
        <is>
          <t xml:space="preserve">Estación Central</t>
        </is>
      </c>
      <c r="H83" s="2">
        <v>46261.839757</v>
      </c>
      <c r="I83" s="2">
        <v>46281.583333</v>
      </c>
      <c r="J83" s="0">
        <v>9</v>
      </c>
      <c r="K83" s="3">
        <v>204000000.0</v>
      </c>
      <c r="L83" s="0" t="inlineStr">
        <is>
          <t xml:space="preserve">CLP</t>
        </is>
      </c>
      <c r="M83" s="0" t="inlineStr">
        <is>
          <t xml:space="preserve">LP</t>
        </is>
      </c>
      <c r="N83" s="4" t="inlineStr">
        <is>
          <t xml:space="preserve">Tecnologías de la información, telecomunicaciones y radiodifusión / Software / Software para trabajo en redes</t>
        </is>
      </c>
      <c r="O83" s="4" t="inlineStr">
        <is>
          <t xml:space="preserve">1 Global · Software de interconectividad de plataformas</t>
        </is>
      </c>
      <c r="P83" s="2"/>
      <c r="Q83" s="2"/>
      <c r="R83" s="0" t="inlineStr">
        <is>
          <t xml:space="preserve">12 meses</t>
        </is>
      </c>
      <c r="S83" s="0" t="inlineStr">
        <is>
          <t xml:space="preserve">No</t>
        </is>
      </c>
      <c r="T83" s="4"/>
      <c r="U83" s="0" t="inlineStr">
        <is>
          <t xml:space="preserve">Iván Ahumada</t>
        </is>
      </c>
      <c r="V83"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83" s="5" t="str">
        <f>HYPERLINK("https://www.mercadopublico.cl/Procurement/Modules/RFB/DetailsAcquisition.aspx?idlicitacion=2434-20-LP26","descargar bases")</f>
      </c>
    </row>
    <row r="84">
      <c r="A84" s="0" t="inlineStr">
        <is>
          <t xml:space="preserve">4127-36-LE26</t>
        </is>
      </c>
      <c r="B84" s="4" t="inlineStr">
        <is>
          <t xml:space="preserve">[TIC] Suscripción licencias de software escáner de</t>
        </is>
      </c>
      <c r="C84" s="0" t="inlineStr">
        <is>
          <t xml:space="preserve">Publicada</t>
        </is>
      </c>
      <c r="D84" s="0" t="inlineStr">
        <is>
          <t xml:space="preserve">SUBSECRETARIA DE SALUD PUBLICA</t>
        </is>
      </c>
      <c r="E84" s="0" t="inlineStr">
        <is>
          <t xml:space="preserve">Subsecretaria de Redes Asistenciales</t>
        </is>
      </c>
      <c r="F84" s="0" t="inlineStr">
        <is>
          <t xml:space="preserve">Región Metropolitana de Santiago</t>
        </is>
      </c>
      <c r="G84" s="0" t="inlineStr">
        <is>
          <t xml:space="preserve">Santiago</t>
        </is>
      </c>
      <c r="H84" s="2">
        <v>46269.685023</v>
      </c>
      <c r="I84" s="2">
        <v>46281.625</v>
      </c>
      <c r="J84" s="0">
        <v>9</v>
      </c>
      <c r="K84" s="3"/>
      <c r="L84" s="0" t="inlineStr">
        <is>
          <t xml:space="preserve">CLP</t>
        </is>
      </c>
      <c r="M84" s="0" t="inlineStr">
        <is>
          <t xml:space="preserve">LE</t>
        </is>
      </c>
      <c r="N84" s="4" t="inlineStr">
        <is>
          <t xml:space="preserve">Servicios basados en ingeniería, ciencias sociales y tecnología de la información / Servicios informáticos / Administración de sistemas</t>
        </is>
      </c>
      <c r="O84" s="4" t="inlineStr">
        <is>
          <t xml:space="preserve">1 Unidad · Seguridad para computadores, redes e Internet</t>
        </is>
      </c>
      <c r="P84" s="2"/>
      <c r="Q84" s="2"/>
      <c r="R84" s="0" t="inlineStr">
        <is>
          <t xml:space="preserve">8760 horas</t>
        </is>
      </c>
      <c r="S84" s="0" t="inlineStr">
        <is>
          <t xml:space="preserve">No</t>
        </is>
      </c>
      <c r="T84" s="4"/>
      <c r="U84" s="0" t="inlineStr">
        <is>
          <t xml:space="preserve">Jéssica Escobar Henríquez</t>
        </is>
      </c>
      <c r="V84"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84" s="5" t="str">
        <f>HYPERLINK("https://www.mercadopublico.cl/Procurement/Modules/RFB/DetailsAcquisition.aspx?idlicitacion=4127-36-LE26","descargar bases")</f>
      </c>
    </row>
    <row r="85">
      <c r="A85" s="0" t="inlineStr">
        <is>
          <t xml:space="preserve">85-35-LE26</t>
        </is>
      </c>
      <c r="B85" s="4" t="inlineStr">
        <is>
          <t xml:space="preserve">ADQUISICIÓN LICENCIAS IA GENERATIVA</t>
        </is>
      </c>
      <c r="C85" s="0" t="inlineStr">
        <is>
          <t xml:space="preserve">Publicada</t>
        </is>
      </c>
      <c r="D85" s="0" t="inlineStr">
        <is>
          <t xml:space="preserve">JUNTA NACIONAL DE AUXILIO ESCOLAR Y BECA</t>
        </is>
      </c>
      <c r="E85" s="0" t="inlineStr">
        <is>
          <t xml:space="preserve">JUNTA NACIONAL DE AUXILIO ESCOLAR Y BECA</t>
        </is>
      </c>
      <c r="F85" s="0" t="inlineStr">
        <is>
          <t xml:space="preserve">Región Metropolitana de Santiago</t>
        </is>
      </c>
      <c r="G85" s="0" t="inlineStr">
        <is>
          <t xml:space="preserve">Santiago Centro</t>
        </is>
      </c>
      <c r="H85" s="2">
        <v>46266.683773</v>
      </c>
      <c r="I85" s="2">
        <v>46281.625</v>
      </c>
      <c r="J85" s="0">
        <v>9</v>
      </c>
      <c r="K85" s="3"/>
      <c r="L85" s="0" t="inlineStr">
        <is>
          <t xml:space="preserve">CLP</t>
        </is>
      </c>
      <c r="M85" s="0" t="inlineStr">
        <is>
          <t xml:space="preserve">LE</t>
        </is>
      </c>
      <c r="N85" s="4" t="inlineStr">
        <is>
          <t xml:space="preserve">Tecnologías de la información, telecomunicaciones y radiodifusión / Software / Software de gestión</t>
        </is>
      </c>
      <c r="O85" s="4" t="inlineStr">
        <is>
          <t xml:space="preserve">1 Unidad · Software de gestión de licencias</t>
        </is>
      </c>
      <c r="P85" s="2"/>
      <c r="Q85" s="2"/>
      <c r="R85" s="0" t="inlineStr">
        <is>
          <t xml:space="preserve">12 meses</t>
        </is>
      </c>
      <c r="S85" s="0" t="inlineStr">
        <is>
          <t xml:space="preserve">No</t>
        </is>
      </c>
      <c r="T85" s="4" t="inlineStr">
        <is>
          <t xml:space="preserve">De acuerdo a lo establecido en el titulo Nro. 19 de las bases administrativas.</t>
        </is>
      </c>
      <c r="U85" s="0" t="inlineStr">
        <is>
          <t xml:space="preserve">Fernando Peña Rivera</t>
        </is>
      </c>
      <c r="V85"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85" s="5" t="str">
        <f>HYPERLINK("https://www.mercadopublico.cl/Procurement/Modules/RFB/DetailsAcquisition.aspx?idlicitacion=85-35-LE26","descargar bases")</f>
      </c>
    </row>
    <row r="86">
      <c r="A86" s="0" t="inlineStr">
        <is>
          <t xml:space="preserve">1020-46-LE26</t>
        </is>
      </c>
      <c r="B86" s="4" t="inlineStr">
        <is>
          <t xml:space="preserve">Adq. Sopor. y Actual. Software ServiceTonic MOP.</t>
        </is>
      </c>
      <c r="C86" s="0" t="inlineStr">
        <is>
          <t xml:space="preserve">Publicada</t>
        </is>
      </c>
      <c r="D86" s="0" t="inlineStr">
        <is>
          <t xml:space="preserve">MINISTERIO DE OBRAS PUBLICAS DIREC CION GRAL DE OO PP DCYF</t>
        </is>
      </c>
      <c r="E86" s="0" t="inlineStr">
        <is>
          <t xml:space="preserve">MOP Subsecretaría </t>
        </is>
      </c>
      <c r="F86" s="0" t="inlineStr">
        <is>
          <t xml:space="preserve">Región Metropolitana de Santiago</t>
        </is>
      </c>
      <c r="G86" s="0"/>
      <c r="H86" s="2">
        <v>46265.634387</v>
      </c>
      <c r="I86" s="2">
        <v>46281.625</v>
      </c>
      <c r="J86" s="0">
        <v>9</v>
      </c>
      <c r="K86" s="3">
        <v>22500000.0</v>
      </c>
      <c r="L86" s="0" t="inlineStr">
        <is>
          <t xml:space="preserve">CLP</t>
        </is>
      </c>
      <c r="M86" s="0" t="inlineStr">
        <is>
          <t xml:space="preserve">LE</t>
        </is>
      </c>
      <c r="N86" s="4" t="inlineStr">
        <is>
          <t xml:space="preserve">Tecnologías de la información, telecomunicaciones y radiodifusión / Software / Software de gestión</t>
        </is>
      </c>
      <c r="O86" s="4" t="inlineStr">
        <is>
          <t xml:space="preserve">50 Unidad · Software de gestión de licencias</t>
        </is>
      </c>
      <c r="P86" s="2"/>
      <c r="Q86" s="2"/>
      <c r="R86" s="0" t="inlineStr">
        <is>
          <t xml:space="preserve">12 meses</t>
        </is>
      </c>
      <c r="S86" s="0" t="inlineStr">
        <is>
          <t xml:space="preserve">No</t>
        </is>
      </c>
      <c r="T86" s="4" t="inlineStr">
        <is>
          <t xml:space="preserve">No permite subcontratación El oferente adjudicado, no podrá subcontratar los servicios derivados de la ejecución del Contrato.</t>
        </is>
      </c>
      <c r="U86" s="0" t="inlineStr">
        <is>
          <t xml:space="preserve">Carmen Gloria Ponce</t>
        </is>
      </c>
      <c r="V86" s="4" t="inlineStr">
        <is>
          <t xml:space="preserve">El objetivo de la Adquisición de Soporte y Actualizaciones Software ServiceTonic Licencias en modalidad On-Premise, usuarios nombrados, por 12 meses.</t>
        </is>
      </c>
      <c r="W86" s="5" t="str">
        <f>HYPERLINK("https://www.mercadopublico.cl/Procurement/Modules/RFB/DetailsAcquisition.aspx?idlicitacion=1020-46-LE26","descargar bases")</f>
      </c>
    </row>
    <row r="87">
      <c r="A87" s="0" t="inlineStr">
        <is>
          <t xml:space="preserve">1393093-98-LE26</t>
        </is>
      </c>
      <c r="B87" s="4" t="inlineStr">
        <is>
          <t xml:space="preserve">CONTRATACIÓN DE SERV. DE DESA.SOFTWARE RENDICIONES</t>
        </is>
      </c>
      <c r="C87" s="0" t="inlineStr">
        <is>
          <t xml:space="preserve">Publicada</t>
        </is>
      </c>
      <c r="D87" s="0" t="inlineStr">
        <is>
          <t xml:space="preserve">SERVICIO LOCAL DE EDUCACIÓN PÚBLICA DE CHILOÉ</t>
        </is>
      </c>
      <c r="E87" s="0" t="inlineStr">
        <is>
          <t xml:space="preserve">Compras y Licitaciones</t>
        </is>
      </c>
      <c r="F87" s="0" t="inlineStr">
        <is>
          <t xml:space="preserve">Región de los Lagos </t>
        </is>
      </c>
      <c r="G87" s="0"/>
      <c r="H87" s="2">
        <v>46269.399988</v>
      </c>
      <c r="I87" s="2">
        <v>46281.666667</v>
      </c>
      <c r="J87" s="0">
        <v>9</v>
      </c>
      <c r="K87" s="3"/>
      <c r="L87" s="0" t="inlineStr">
        <is>
          <t xml:space="preserve">CLP</t>
        </is>
      </c>
      <c r="M87" s="0" t="inlineStr">
        <is>
          <t xml:space="preserve">LE</t>
        </is>
      </c>
      <c r="N87" s="4" t="inlineStr">
        <is>
          <t xml:space="preserve">Servicios profesionales, administrativos y consultorías de gestión empresarial / Servicios de recursos humanos / Servicios de personal temporal</t>
        </is>
      </c>
      <c r="O87" s="4" t="inlineStr">
        <is>
          <t xml:space="preserve">1 Unidad · Desarrolladores temporales de software</t>
        </is>
      </c>
      <c r="P87" s="2"/>
      <c r="Q87" s="2"/>
      <c r="R87" s="0" t="inlineStr">
        <is>
          <t xml:space="preserve">24 meses</t>
        </is>
      </c>
      <c r="S87" s="0" t="inlineStr">
        <is>
          <t xml:space="preserve">No</t>
        </is>
      </c>
      <c r="T87" s="4"/>
      <c r="U87" s="0" t="inlineStr">
        <is>
          <t xml:space="preserve">YESIKA DIAZ</t>
        </is>
      </c>
      <c r="V87"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87" s="5" t="str">
        <f>HYPERLINK("https://www.mercadopublico.cl/Procurement/Modules/RFB/DetailsAcquisition.aspx?idlicitacion=1393093-98-LE26","descargar bases")</f>
      </c>
    </row>
    <row r="88">
      <c r="A88" s="0" t="inlineStr">
        <is>
          <t xml:space="preserve">1133353-43-LR26</t>
        </is>
      </c>
      <c r="B88" s="4" t="inlineStr">
        <is>
          <t xml:space="preserve">ARRIENDO DE SOFTWARE INTEGRAL PARA LA GESTIÓN MUNICIPAL ÁREAS DE SALUD Y MUNICIPAL COMUNA DE RAUCO</t>
        </is>
      </c>
      <c r="C88" s="0" t="inlineStr">
        <is>
          <t xml:space="preserve">Publicada</t>
        </is>
      </c>
      <c r="D88" s="0" t="inlineStr">
        <is>
          <t xml:space="preserve">I MUNICIPALIDAD DE RAUCO</t>
        </is>
      </c>
      <c r="E88" s="0" t="inlineStr">
        <is>
          <t xml:space="preserve">SECPLAC</t>
        </is>
      </c>
      <c r="F88" s="0" t="inlineStr">
        <is>
          <t xml:space="preserve">Región del Maule </t>
        </is>
      </c>
      <c r="G88" s="0"/>
      <c r="H88" s="2">
        <v>46251.511435</v>
      </c>
      <c r="I88" s="2">
        <v>46281.729167</v>
      </c>
      <c r="J88" s="0">
        <v>9</v>
      </c>
      <c r="K88" s="3">
        <v>388644480.0</v>
      </c>
      <c r="L88" s="0" t="inlineStr">
        <is>
          <t xml:space="preserve">CLP</t>
        </is>
      </c>
      <c r="M88" s="0" t="inlineStr">
        <is>
          <t xml:space="preserve">LR</t>
        </is>
      </c>
      <c r="N88" s="4" t="inlineStr">
        <is>
          <t xml:space="preserve">Tecnologías de la información, telecomunicaciones y radiodifusión / Software / Software de administración de redes</t>
        </is>
      </c>
      <c r="O88" s="4" t="inlineStr">
        <is>
          <t xml:space="preserve">1 Global · Software de administración</t>
        </is>
      </c>
      <c r="P88" s="2"/>
      <c r="Q88" s="2"/>
      <c r="R88" s="0" t="inlineStr">
        <is>
          <t xml:space="preserve">72 meses</t>
        </is>
      </c>
      <c r="S88" s="0" t="inlineStr">
        <is>
          <t xml:space="preserve">No</t>
        </is>
      </c>
      <c r="T88" s="4"/>
      <c r="U88" s="0" t="inlineStr">
        <is>
          <t xml:space="preserve">LUIS GALLARDO NARANJO</t>
        </is>
      </c>
      <c r="V88"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88" s="5" t="str">
        <f>HYPERLINK("https://www.mercadopublico.cl/Procurement/Modules/RFB/DetailsAcquisition.aspx?idlicitacion=1133353-43-LR26","descargar bases")</f>
      </c>
    </row>
    <row r="89">
      <c r="A89" s="0" t="inlineStr">
        <is>
          <t xml:space="preserve">2408-160-LP26</t>
        </is>
      </c>
      <c r="B89" s="4" t="inlineStr">
        <is>
          <t xml:space="preserve">EQUIPOS INFORMÁTICOS PARA DEPENDENCIAS MUNICIPALES</t>
        </is>
      </c>
      <c r="C89" s="0" t="inlineStr">
        <is>
          <t xml:space="preserve">Publicada</t>
        </is>
      </c>
      <c r="D89" s="0" t="inlineStr">
        <is>
          <t xml:space="preserve">I MUNICIPALIDAD DE LOS ANGELES</t>
        </is>
      </c>
      <c r="E89" s="0" t="inlineStr">
        <is>
          <t xml:space="preserve">IMUNI_LOSANGELES ADQUISICIONES</t>
        </is>
      </c>
      <c r="F89" s="0" t="inlineStr">
        <is>
          <t xml:space="preserve">Región del Biobío </t>
        </is>
      </c>
      <c r="G89" s="0" t="inlineStr">
        <is>
          <t xml:space="preserve">Los Angeles</t>
        </is>
      </c>
      <c r="H89" s="2">
        <v>46261.357963</v>
      </c>
      <c r="I89" s="2">
        <v>46282.375</v>
      </c>
      <c r="J89" s="0">
        <v>10</v>
      </c>
      <c r="K89" s="3">
        <v>80000000.0</v>
      </c>
      <c r="L89" s="0" t="inlineStr">
        <is>
          <t xml:space="preserve">CLP</t>
        </is>
      </c>
      <c r="M89" s="0" t="inlineStr">
        <is>
          <t xml:space="preserve">LP</t>
        </is>
      </c>
      <c r="N89"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89" s="4" t="inlineStr">
        <is>
          <t xml:space="preserve">40 Unidad · Escáner · 70 Unidad · Impresoras de chorro de tinta · 3 Unidad · Trazadoras de gráficos · y 3 más</t>
        </is>
      </c>
      <c r="P89" s="2"/>
      <c r="Q89" s="2"/>
      <c r="R89" s="0"/>
      <c r="S89" s="0" t="inlineStr">
        <is>
          <t xml:space="preserve">No</t>
        </is>
      </c>
      <c r="T89" s="4" t="inlineStr">
        <is>
          <t xml:space="preserve">De acuerdo a lo señalado en la cláusula N°9.27 de las bases administrativas.</t>
        </is>
      </c>
      <c r="U89" s="0" t="inlineStr">
        <is>
          <t xml:space="preserve">María Pamela Vega Garcés</t>
        </is>
      </c>
      <c r="V89" s="4" t="inlineStr">
        <is>
          <t xml:space="preserve">Se requiere la adquisición de equipos informáticos para la municipalidad de los ángeles.</t>
        </is>
      </c>
      <c r="W89" s="5" t="str">
        <f>HYPERLINK("https://www.mercadopublico.cl/Procurement/Modules/RFB/DetailsAcquisition.aspx?idlicitacion=2408-160-LP26","descargar bases")</f>
      </c>
    </row>
    <row r="90">
      <c r="A90" s="0" t="inlineStr">
        <is>
          <t xml:space="preserve">1725-196-LE26</t>
        </is>
      </c>
      <c r="B90" s="4" t="inlineStr">
        <is>
          <t xml:space="preserve">DIFUSIÓN PLATAFORMA WEB APLICACIÓN MÓVIL CHILE CUL</t>
        </is>
      </c>
      <c r="C90" s="0" t="inlineStr">
        <is>
          <t xml:space="preserve">Publicada</t>
        </is>
      </c>
      <c r="D90" s="0" t="inlineStr">
        <is>
          <t xml:space="preserve">SUBSECRETARÍA DE LAS CULTURAS Y LAS ARTES</t>
        </is>
      </c>
      <c r="E90" s="0" t="inlineStr">
        <is>
          <t xml:space="preserve">SUBSECRETARIA DE LAS CULTURAS Y LAS ARTES</t>
        </is>
      </c>
      <c r="F90" s="0" t="inlineStr">
        <is>
          <t xml:space="preserve">Región de Valparaíso </t>
        </is>
      </c>
      <c r="G90" s="0" t="inlineStr">
        <is>
          <t xml:space="preserve">Valparaíso</t>
        </is>
      </c>
      <c r="H90" s="2">
        <v>46266.575417</v>
      </c>
      <c r="I90" s="2">
        <v>46282.499306</v>
      </c>
      <c r="J90" s="0">
        <v>10</v>
      </c>
      <c r="K90" s="3">
        <v>50000000.0</v>
      </c>
      <c r="L90" s="0" t="inlineStr">
        <is>
          <t xml:space="preserve">CLP</t>
        </is>
      </c>
      <c r="M90" s="0" t="inlineStr">
        <is>
          <t xml:space="preserve">LE</t>
        </is>
      </c>
      <c r="N90" s="4" t="inlineStr">
        <is>
          <t xml:space="preserve">Servicios editoriales, de diseño, publicidad, gráficos y artistas / Publicidad / Publicidad en medios no impresos</t>
        </is>
      </c>
      <c r="O90" s="4" t="inlineStr">
        <is>
          <t xml:space="preserve">1 Unidad · Publicidad en radio</t>
        </is>
      </c>
      <c r="P90" s="2"/>
      <c r="Q90" s="2"/>
      <c r="R90" s="0"/>
      <c r="S90" s="0" t="inlineStr">
        <is>
          <t xml:space="preserve">No</t>
        </is>
      </c>
      <c r="T90" s="4"/>
      <c r="U90" s="0" t="inlineStr">
        <is>
          <t xml:space="preserve">Departamento de Comunicaciones</t>
        </is>
      </c>
      <c r="V90" s="4" t="inlineStr">
        <is>
          <t xml:space="preserve">SERVICIO DE PLANIFICACIÓN, PRODUCCIÓN E IMPLEMENTACIÓN EN MEDIOS PARA DIFUSIÓN DE LA PLATAFORMA WEB Y APLICACIÓN MÓVIL CHILE CULTURA</t>
        </is>
      </c>
      <c r="W90" s="5" t="str">
        <f>HYPERLINK("https://www.mercadopublico.cl/Procurement/Modules/RFB/DetailsAcquisition.aspx?idlicitacion=1725-196-LE26","descargar bases")</f>
      </c>
    </row>
    <row r="91">
      <c r="A91" s="0" t="inlineStr">
        <is>
          <t xml:space="preserve">903031-11-L126</t>
        </is>
      </c>
      <c r="B91" s="4" t="inlineStr">
        <is>
          <t xml:space="preserve">“Servicio profesional para asistencia en la plataforma SISREC-CGR (Sistema de Rendición Electrónica de Cuentas)”</t>
        </is>
      </c>
      <c r="C91" s="0" t="inlineStr">
        <is>
          <t xml:space="preserve">Publicada</t>
        </is>
      </c>
      <c r="D91" s="0" t="inlineStr">
        <is>
          <t xml:space="preserve">SERVICIO NACIONAL DEL PATRIMONIO CULTURAL</t>
        </is>
      </c>
      <c r="E91" s="0" t="inlineStr">
        <is>
          <t xml:space="preserve">SUBDIRECCIÓN NACIONAL DE GESTIÓN PATRIMONIAL</t>
        </is>
      </c>
      <c r="F91" s="0" t="inlineStr">
        <is>
          <t xml:space="preserve">Región Metropolitana de Santiago</t>
        </is>
      </c>
      <c r="G91" s="0" t="inlineStr">
        <is>
          <t xml:space="preserve">Santiago</t>
        </is>
      </c>
      <c r="H91" s="2">
        <v>46269.664236</v>
      </c>
      <c r="I91" s="2">
        <v>46282.75</v>
      </c>
      <c r="J91" s="0">
        <v>10</v>
      </c>
      <c r="K91" s="3">
        <v>3000000.0</v>
      </c>
      <c r="L91" s="0" t="inlineStr">
        <is>
          <t xml:space="preserve">CLP</t>
        </is>
      </c>
      <c r="M91" s="0" t="inlineStr">
        <is>
          <t xml:space="preserve">L1</t>
        </is>
      </c>
      <c r="N91" s="4" t="inlineStr">
        <is>
          <t xml:space="preserve">Servicios profesionales, administrativos y consultorías de gestión empresarial / Servicios de recursos humanos / Contratación de personal</t>
        </is>
      </c>
      <c r="O91" s="4" t="inlineStr">
        <is>
          <t xml:space="preserve">1 Unidad · Profesionales</t>
        </is>
      </c>
      <c r="P91" s="2"/>
      <c r="Q91" s="2"/>
      <c r="R91" s="0"/>
      <c r="S91" s="0" t="inlineStr">
        <is>
          <t xml:space="preserve">No</t>
        </is>
      </c>
      <c r="T91" s="4"/>
      <c r="U91" s="0"/>
      <c r="V91" s="4" t="inlineStr">
        <is>
          <t xml:space="preserve">“Servicio profesional para asistencia en la plataforma SISREC-CGR (Sistema de Rendición Electrónica de Cuentas)”</t>
        </is>
      </c>
      <c r="W91" s="5" t="str">
        <f>HYPERLINK("https://www.mercadopublico.cl/Procurement/Modules/RFB/DetailsAcquisition.aspx?idlicitacion=903031-11-L126","descargar bases")</f>
      </c>
    </row>
    <row r="92">
      <c r="A92" s="0" t="inlineStr">
        <is>
          <t xml:space="preserve">1593-24-LP26</t>
        </is>
      </c>
      <c r="B92" s="4" t="inlineStr">
        <is>
          <t xml:space="preserve">Adquisición instalación plataforma almacenamiento</t>
        </is>
      </c>
      <c r="C92" s="0" t="inlineStr">
        <is>
          <t xml:space="preserve">Publicada</t>
        </is>
      </c>
      <c r="D92" s="0" t="inlineStr">
        <is>
          <t xml:space="preserve">SUPERINTENDENCIA DE SERVICIOS SANITARIOS</t>
        </is>
      </c>
      <c r="E92" s="0" t="inlineStr">
        <is>
          <t xml:space="preserve">Superintendencia de Servicios Sanitarios - SISS</t>
        </is>
      </c>
      <c r="F92" s="0" t="inlineStr">
        <is>
          <t xml:space="preserve">Región Metropolitana de Santiago</t>
        </is>
      </c>
      <c r="G92" s="0" t="inlineStr">
        <is>
          <t xml:space="preserve">Santiago</t>
        </is>
      </c>
      <c r="H92" s="2">
        <v>46262.944444</v>
      </c>
      <c r="I92" s="2">
        <v>46286.625694</v>
      </c>
      <c r="J92" s="0">
        <v>14</v>
      </c>
      <c r="K92" s="3">
        <v>177000000.0</v>
      </c>
      <c r="L92" s="0" t="inlineStr">
        <is>
          <t xml:space="preserve">CLP</t>
        </is>
      </c>
      <c r="M92" s="0" t="inlineStr">
        <is>
          <t xml:space="preserve">LP</t>
        </is>
      </c>
      <c r="N92" s="4" t="inlineStr">
        <is>
          <t xml:space="preserve">Servicios basados en ingeniería, ciencias sociales y tecnología de la información / Servicios informáticos / Administración de sistemas</t>
        </is>
      </c>
      <c r="O92" s="4" t="inlineStr">
        <is>
          <t xml:space="preserve">1 Unidad · Almacenamiento de datos</t>
        </is>
      </c>
      <c r="P92" s="2"/>
      <c r="Q92" s="2"/>
      <c r="R92" s="0" t="inlineStr">
        <is>
          <t xml:space="preserve">60 días</t>
        </is>
      </c>
      <c r="S92" s="0" t="inlineStr">
        <is>
          <t xml:space="preserve">No</t>
        </is>
      </c>
      <c r="T92" s="4"/>
      <c r="U92" s="0" t="inlineStr">
        <is>
          <t xml:space="preserve">Fernando Iriarte</t>
        </is>
      </c>
      <c r="V92"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92" s="5" t="str">
        <f>HYPERLINK("https://www.mercadopublico.cl/Procurement/Modules/RFB/DetailsAcquisition.aspx?idlicitacion=1593-24-LP26","descargar bases")</f>
      </c>
    </row>
    <row r="93">
      <c r="A93" s="0" t="inlineStr">
        <is>
          <t xml:space="preserve">2345-148-LE26</t>
        </is>
      </c>
      <c r="B93" s="4" t="inlineStr">
        <is>
          <t xml:space="preserve">ADQUISICIÓN DE CAMIÓN CON CARROCERIA Y PLATAFORMA DE ELEVACIÓN</t>
        </is>
      </c>
      <c r="C93" s="0" t="inlineStr">
        <is>
          <t xml:space="preserve">Publicada</t>
        </is>
      </c>
      <c r="D93" s="0" t="inlineStr">
        <is>
          <t xml:space="preserve">I MUNICIPALIDAD DE LAS CONDES</t>
        </is>
      </c>
      <c r="E93" s="0" t="inlineStr">
        <is>
          <t xml:space="preserve">I MUNICIPALIDAD DE LAS CONDES</t>
        </is>
      </c>
      <c r="F93" s="0" t="inlineStr">
        <is>
          <t xml:space="preserve">Región Metropolitana de Santiago</t>
        </is>
      </c>
      <c r="G93" s="0" t="inlineStr">
        <is>
          <t xml:space="preserve">Las Condes</t>
        </is>
      </c>
      <c r="H93" s="2">
        <v>46269.376991</v>
      </c>
      <c r="I93" s="2">
        <v>46286.625694</v>
      </c>
      <c r="J93" s="0">
        <v>14</v>
      </c>
      <c r="K93" s="3"/>
      <c r="L93" s="0" t="inlineStr">
        <is>
          <t xml:space="preserve">CLP</t>
        </is>
      </c>
      <c r="M93" s="0" t="inlineStr">
        <is>
          <t xml:space="preserve">LE</t>
        </is>
      </c>
      <c r="N93" s="4" t="inlineStr">
        <is>
          <t xml:space="preserve">Equipamiento para manejo y estiba de materiales / Maquinaria para manejo de materiales / Camiones, carros y carretillas industriales</t>
        </is>
      </c>
      <c r="O93" s="4" t="inlineStr">
        <is>
          <t xml:space="preserve">1 Unidad · Camión volcador</t>
        </is>
      </c>
      <c r="P93" s="2"/>
      <c r="Q93" s="2"/>
      <c r="R93" s="0"/>
      <c r="S93" s="0" t="inlineStr">
        <is>
          <t xml:space="preserve">No</t>
        </is>
      </c>
      <c r="T93" s="4"/>
      <c r="U93" s="0" t="inlineStr">
        <is>
          <t xml:space="preserve">Servicios Generales</t>
        </is>
      </c>
      <c r="V93" s="4" t="inlineStr">
        <is>
          <t xml:space="preserve">El objetivo de este proceso de licitación es la adquisición de un camión nuevo con carrocería y plataforma de elevación para realizar trabajos en altura</t>
        </is>
      </c>
      <c r="W93" s="5" t="str">
        <f>HYPERLINK("https://www.mercadopublico.cl/Procurement/Modules/RFB/DetailsAcquisition.aspx?idlicitacion=2345-148-LE26","descargar bases")</f>
      </c>
    </row>
    <row r="94">
      <c r="A94" s="0" t="inlineStr">
        <is>
          <t xml:space="preserve">2563-34-LR26</t>
        </is>
      </c>
      <c r="B94" s="4" t="inlineStr">
        <is>
          <t xml:space="preserve">EQUIPOS PARA REDES INFORMÁTICAS Y LICENCIAS</t>
        </is>
      </c>
      <c r="C94" s="0" t="inlineStr">
        <is>
          <t xml:space="preserve">Publicada</t>
        </is>
      </c>
      <c r="D94" s="0" t="inlineStr">
        <is>
          <t xml:space="preserve">DIRECCION GENERAL DE AERONAUTICA CIVIL</t>
        </is>
      </c>
      <c r="E94" s="0" t="inlineStr">
        <is>
          <t xml:space="preserve">UNIDAD DE COMPRA CONTRATOS NACIONALES</t>
        </is>
      </c>
      <c r="F94" s="0" t="inlineStr">
        <is>
          <t xml:space="preserve">Región Metropolitana de Santiago</t>
        </is>
      </c>
      <c r="G94" s="0" t="inlineStr">
        <is>
          <t xml:space="preserve">Providencia</t>
        </is>
      </c>
      <c r="H94" s="2">
        <v>46254.631817</v>
      </c>
      <c r="I94" s="2">
        <v>46286.625694</v>
      </c>
      <c r="J94" s="0">
        <v>14</v>
      </c>
      <c r="K94" s="3">
        <v>453590167.0</v>
      </c>
      <c r="L94" s="0" t="inlineStr">
        <is>
          <t xml:space="preserve">CLP</t>
        </is>
      </c>
      <c r="M94" s="0" t="inlineStr">
        <is>
          <t xml:space="preserve">LR</t>
        </is>
      </c>
      <c r="N94" s="4" t="inlineStr">
        <is>
          <t xml:space="preserve">Tecnologías de la información, telecomunicaciones y radiodifusión / Equipos informáticos y accesorios / Accesorios de computador</t>
        </is>
      </c>
      <c r="O94" s="4" t="inlineStr">
        <is>
          <t xml:space="preserve">10 Unidad · Cajas de conmutación de computadores · 11 Unidad · Cajas de conmutación de computadores · 1 Unidad · Cajas de conmutación de computadores · y 14 más</t>
        </is>
      </c>
      <c r="P94" s="2"/>
      <c r="Q94" s="2"/>
      <c r="R94" s="0"/>
      <c r="S94" s="0" t="inlineStr">
        <is>
          <t xml:space="preserve">No</t>
        </is>
      </c>
      <c r="T94" s="4"/>
      <c r="U94" s="0" t="inlineStr">
        <is>
          <t xml:space="preserve">Javier Pacheco Barahona</t>
        </is>
      </c>
      <c r="V94"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4" s="5" t="str">
        <f>HYPERLINK("https://www.mercadopublico.cl/Procurement/Modules/RFB/DetailsAcquisition.aspx?idlicitacion=2563-34-LR26","descargar bases")</f>
      </c>
    </row>
    <row r="95">
      <c r="A95" s="0" t="inlineStr">
        <is>
          <t xml:space="preserve">2785-78-LE26</t>
        </is>
      </c>
      <c r="B95" s="4" t="inlineStr">
        <is>
          <t xml:space="preserve">SDA 6375 SERVICIOS DE PUBLICIDAD Y DIFUSIÓN GESTIÓN MUNICIPAL EN MEDIOS DIGITALES Y PANTALLA LED</t>
        </is>
      </c>
      <c r="C95" s="0" t="inlineStr">
        <is>
          <t xml:space="preserve">Publicada</t>
        </is>
      </c>
      <c r="D95" s="0" t="inlineStr">
        <is>
          <t xml:space="preserve">I MUNICIPALIDAD DE SAN PEDRO DE LA PAZ</t>
        </is>
      </c>
      <c r="E95" s="0" t="inlineStr">
        <is>
          <t xml:space="preserve">I MUNICIPALIDAD DE SAN PEDRO DE LA PAZ</t>
        </is>
      </c>
      <c r="F95" s="0" t="inlineStr">
        <is>
          <t xml:space="preserve">Región del Biobío </t>
        </is>
      </c>
      <c r="G95" s="0" t="inlineStr">
        <is>
          <t xml:space="preserve">San Pedro de La Paz</t>
        </is>
      </c>
      <c r="H95" s="2">
        <v>46269.724884</v>
      </c>
      <c r="I95" s="2">
        <v>46286.625694</v>
      </c>
      <c r="J95" s="0">
        <v>14</v>
      </c>
      <c r="K95" s="3">
        <v>19800000.0</v>
      </c>
      <c r="L95" s="0" t="inlineStr">
        <is>
          <t xml:space="preserve">CLP</t>
        </is>
      </c>
      <c r="M95" s="0" t="inlineStr">
        <is>
          <t xml:space="preserve">LE</t>
        </is>
      </c>
      <c r="N95" s="4" t="inlineStr">
        <is>
          <t xml:space="preserve">Servicios editoriales, de diseño, publicidad, gráficos y artistas / Publicidad / Agencias de publicidad, Servicios editoriales, de diseño, publicidad, gráficos y artistas / Publicidad / Publicidad en medios no impresos</t>
        </is>
      </c>
      <c r="O95" s="4" t="inlineStr">
        <is>
          <t xml:space="preserve">3 Mes · Campañas publicitarias · 2 Mes · Publicidad en Internet</t>
        </is>
      </c>
      <c r="P95" s="2"/>
      <c r="Q95" s="2"/>
      <c r="R95" s="0" t="inlineStr">
        <is>
          <t xml:space="preserve">3 meses</t>
        </is>
      </c>
      <c r="S95" s="0" t="inlineStr">
        <is>
          <t xml:space="preserve">No</t>
        </is>
      </c>
      <c r="T95" s="4"/>
      <c r="U95" s="0" t="inlineStr">
        <is>
          <t xml:space="preserve">ANDRES BUSTAMANTE CONTRERAS</t>
        </is>
      </c>
      <c r="V95" s="4" t="inlineStr">
        <is>
          <t xml:space="preserve">SERVICIOS DE PUBLICIDAD Y DIFUSIÓN GESTIÓN MUNICIPAL, SOLICITADOS POR EL DEPARTAMENTO DE COMUNICACIONES, PERIODO OCTUBRE DICIEMBRE 2026, SEGUN REQUERIMIENTOS EN BASES ADMINISTRATIVAS Y TECNICAS</t>
        </is>
      </c>
      <c r="W95" s="5" t="str">
        <f>HYPERLINK("https://www.mercadopublico.cl/Procurement/Modules/RFB/DetailsAcquisition.aspx?idlicitacion=2785-78-LE26","descargar bases")</f>
      </c>
    </row>
    <row r="96">
      <c r="A96" s="0" t="inlineStr">
        <is>
          <t xml:space="preserve">598-20-LE26</t>
        </is>
      </c>
      <c r="B96" s="4" t="inlineStr">
        <is>
          <t xml:space="preserve">Adquisición Licencias de Software para DIPRECA</t>
        </is>
      </c>
      <c r="C96" s="0" t="inlineStr">
        <is>
          <t xml:space="preserve">Publicada</t>
        </is>
      </c>
      <c r="D96" s="0" t="inlineStr">
        <is>
          <t xml:space="preserve">DIRECCION PREVISION DE CARABINEROS DE CHILE</t>
        </is>
      </c>
      <c r="E96" s="0" t="inlineStr">
        <is>
          <t xml:space="preserve">Unidad de Abastecimiento DIPRECA</t>
        </is>
      </c>
      <c r="F96" s="0" t="inlineStr">
        <is>
          <t xml:space="preserve">Región Metropolitana de Santiago</t>
        </is>
      </c>
      <c r="G96" s="0" t="inlineStr">
        <is>
          <t xml:space="preserve">Santiago</t>
        </is>
      </c>
      <c r="H96" s="2">
        <v>46268.704826</v>
      </c>
      <c r="I96" s="2">
        <v>46286.625694</v>
      </c>
      <c r="J96" s="0">
        <v>14</v>
      </c>
      <c r="K96" s="3"/>
      <c r="L96" s="0" t="inlineStr">
        <is>
          <t xml:space="preserve">CLP</t>
        </is>
      </c>
      <c r="M96" s="0" t="inlineStr">
        <is>
          <t xml:space="preserve">LE</t>
        </is>
      </c>
      <c r="N96" s="4" t="inlineStr">
        <is>
          <t xml:space="preserve">Tecnologías de la información, telecomunicaciones y radiodifusión / Software / Software de gestión</t>
        </is>
      </c>
      <c r="O96" s="4" t="inlineStr">
        <is>
          <t xml:space="preserve">1 Unidad · Software de gestión de licencias · 3 Unidad · Software de gestión de licencias · 4 Unidad · Software de gestión de licencias · y 1 más</t>
        </is>
      </c>
      <c r="P96" s="2"/>
      <c r="Q96" s="2"/>
      <c r="R96" s="0" t="inlineStr">
        <is>
          <t xml:space="preserve">36 meses</t>
        </is>
      </c>
      <c r="S96" s="0" t="inlineStr">
        <is>
          <t xml:space="preserve">No</t>
        </is>
      </c>
      <c r="T96" s="4"/>
      <c r="U96" s="0" t="inlineStr">
        <is>
          <t xml:space="preserve">Alex Saavedra Carrasco</t>
        </is>
      </c>
      <c r="V96"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96" s="5" t="str">
        <f>HYPERLINK("https://www.mercadopublico.cl/Procurement/Modules/RFB/DetailsAcquisition.aspx?idlicitacion=598-20-LE26","descargar bases")</f>
      </c>
    </row>
    <row r="97">
      <c r="A97" s="0" t="inlineStr">
        <is>
          <t xml:space="preserve">85-41-LE26</t>
        </is>
      </c>
      <c r="B97" s="4" t="inlineStr">
        <is>
          <t xml:space="preserve">PLATAFORMA INTEGRAL SOPORTE TI CON CONTROL REMOTO</t>
        </is>
      </c>
      <c r="C97" s="0" t="inlineStr">
        <is>
          <t xml:space="preserve">Publicada</t>
        </is>
      </c>
      <c r="D97" s="0" t="inlineStr">
        <is>
          <t xml:space="preserve">JUNTA NACIONAL DE AUXILIO ESCOLAR Y BECA</t>
        </is>
      </c>
      <c r="E97" s="0" t="inlineStr">
        <is>
          <t xml:space="preserve">JUNTA NACIONAL DE AUXILIO ESCOLAR Y BECA</t>
        </is>
      </c>
      <c r="F97" s="0" t="inlineStr">
        <is>
          <t xml:space="preserve">Región Metropolitana de Santiago</t>
        </is>
      </c>
      <c r="G97" s="0" t="inlineStr">
        <is>
          <t xml:space="preserve">Santiago Centro</t>
        </is>
      </c>
      <c r="H97" s="2">
        <v>46268.655532</v>
      </c>
      <c r="I97" s="2">
        <v>46286.625694</v>
      </c>
      <c r="J97" s="0">
        <v>14</v>
      </c>
      <c r="K97" s="3"/>
      <c r="L97" s="0" t="inlineStr">
        <is>
          <t xml:space="preserve">CLP</t>
        </is>
      </c>
      <c r="M97" s="0" t="inlineStr">
        <is>
          <t xml:space="preserve">LE</t>
        </is>
      </c>
      <c r="N97" s="4" t="inlineStr">
        <is>
          <t xml:space="preserve">Tecnologías de la información, telecomunicaciones y radiodifusión / Software / Programas de desarrollo</t>
        </is>
      </c>
      <c r="O97" s="4" t="inlineStr">
        <is>
          <t xml:space="preserve">1 Unidad · Software de desarrollo de plataforma Web</t>
        </is>
      </c>
      <c r="P97" s="2"/>
      <c r="Q97" s="2"/>
      <c r="R97" s="0" t="inlineStr">
        <is>
          <t xml:space="preserve">36 meses</t>
        </is>
      </c>
      <c r="S97" s="0" t="inlineStr">
        <is>
          <t xml:space="preserve">No</t>
        </is>
      </c>
      <c r="T97" s="4" t="inlineStr">
        <is>
          <t xml:space="preserve">SEGÚN LO INDICADO EN EL TÍTULO 19 DE LAS BASES ADMINISTRATIVAS.</t>
        </is>
      </c>
      <c r="U97" s="0" t="inlineStr">
        <is>
          <t xml:space="preserve">Fernando Peña Rivera</t>
        </is>
      </c>
      <c r="V97"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97" s="5" t="str">
        <f>HYPERLINK("https://www.mercadopublico.cl/Procurement/Modules/RFB/DetailsAcquisition.aspx?idlicitacion=85-41-LE26","descargar bases")</f>
      </c>
    </row>
    <row r="98">
      <c r="A98" s="0" t="inlineStr">
        <is>
          <t xml:space="preserve">45-48-LE26</t>
        </is>
      </c>
      <c r="B98" s="4" t="inlineStr">
        <is>
          <t xml:space="preserve">SERVICIO DE MANTENCIÓN DE NUBES ACÚSTICAS PARA LAS DEPENDENCIAS DEL PRIMER PISO SENCE NIVEL CENTRAL</t>
        </is>
      </c>
      <c r="C98" s="0" t="inlineStr">
        <is>
          <t xml:space="preserve">Publicada</t>
        </is>
      </c>
      <c r="D98" s="0" t="inlineStr">
        <is>
          <t xml:space="preserve">SERVICIO NACIONAL DE CAPACITACION Y EMPLEO</t>
        </is>
      </c>
      <c r="E98" s="0" t="inlineStr">
        <is>
          <t xml:space="preserve">Servicio Nacional de Capacitación y Empleo</t>
        </is>
      </c>
      <c r="F98" s="0" t="inlineStr">
        <is>
          <t xml:space="preserve">Región Metropolitana de Santiago</t>
        </is>
      </c>
      <c r="G98" s="0"/>
      <c r="H98" s="2">
        <v>46272.504109</v>
      </c>
      <c r="I98" s="2">
        <v>46286.625694</v>
      </c>
      <c r="J98" s="0">
        <v>14</v>
      </c>
      <c r="K98" s="3">
        <v>10620000.0</v>
      </c>
      <c r="L98" s="0" t="inlineStr">
        <is>
          <t xml:space="preserve">CLP</t>
        </is>
      </c>
      <c r="M98" s="0" t="inlineStr">
        <is>
          <t xml:space="preserve">LE</t>
        </is>
      </c>
      <c r="N98" s="4" t="inlineStr">
        <is>
          <t xml:space="preserve">Servicios medioambientales / Servicios de seguimiento, control o rehabilitación de agentes contaminantes / Control de la contaminación acústica</t>
        </is>
      </c>
      <c r="O98" s="4" t="inlineStr">
        <is>
          <t xml:space="preserve">1 Unidad · Servicios de control de la contaminación acústica</t>
        </is>
      </c>
      <c r="P98" s="2"/>
      <c r="Q98" s="2"/>
      <c r="R98" s="0" t="inlineStr">
        <is>
          <t xml:space="preserve">40 días</t>
        </is>
      </c>
      <c r="S98" s="0" t="inlineStr">
        <is>
          <t xml:space="preserve">No</t>
        </is>
      </c>
      <c r="T98" s="4"/>
      <c r="U98" s="0" t="inlineStr">
        <is>
          <t xml:space="preserve">Diego Figueroa Muñoz</t>
        </is>
      </c>
      <c r="V98"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98" s="5" t="str">
        <f>HYPERLINK("https://www.mercadopublico.cl/Procurement/Modules/RFB/DetailsAcquisition.aspx?idlicitacion=45-48-LE26","descargar bases")</f>
      </c>
    </row>
    <row r="99">
      <c r="A99" s="0" t="inlineStr">
        <is>
          <t xml:space="preserve">1259850-4-LP26</t>
        </is>
      </c>
      <c r="B99" s="4" t="inlineStr">
        <is>
          <t xml:space="preserve">GORE COMPRA DE EQUIPOS INFORMATICOS</t>
        </is>
      </c>
      <c r="C99" s="0" t="inlineStr">
        <is>
          <t xml:space="preserve">Publicada</t>
        </is>
      </c>
      <c r="D99" s="0" t="inlineStr">
        <is>
          <t xml:space="preserve">DIRECCION GENERAL DE GENDARMERIA DE CHIL</t>
        </is>
      </c>
      <c r="E99" s="0" t="inlineStr">
        <is>
          <t xml:space="preserve">Compras GORE Arica y Parinacota</t>
        </is>
      </c>
      <c r="F99" s="0" t="inlineStr">
        <is>
          <t xml:space="preserve">Región de Arica y Parinacota</t>
        </is>
      </c>
      <c r="G99" s="0" t="inlineStr">
        <is>
          <t xml:space="preserve">Arica</t>
        </is>
      </c>
      <c r="H99" s="2">
        <v>46255.670162</v>
      </c>
      <c r="I99" s="2">
        <v>46286.645833</v>
      </c>
      <c r="J99" s="0">
        <v>14</v>
      </c>
      <c r="K99" s="3"/>
      <c r="L99" s="0" t="inlineStr">
        <is>
          <t xml:space="preserve">CLP</t>
        </is>
      </c>
      <c r="M99" s="0" t="inlineStr">
        <is>
          <t xml:space="preserve">LP</t>
        </is>
      </c>
      <c r="N99"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9" s="4" t="inlineStr">
        <is>
          <t xml:space="preserve">66 Unidad · Computadores de escritorio · 15 Unidad · Impresoras multifunción o multifuncionales · 4 Unidad · Escáner</t>
        </is>
      </c>
      <c r="P99" s="2"/>
      <c r="Q99" s="2"/>
      <c r="R99" s="0"/>
      <c r="S99" s="0" t="inlineStr">
        <is>
          <t xml:space="preserve">No</t>
        </is>
      </c>
      <c r="T99" s="4"/>
      <c r="U99" s="0" t="inlineStr">
        <is>
          <t xml:space="preserve">ALEX MEDINA MEDINA</t>
        </is>
      </c>
      <c r="V99" s="4" t="inlineStr">
        <is>
          <t xml:space="preserve">GOBIERNO REGIONAL ADQUISICION DE COMPUTADORES IMPRESORAS Y ESCANER PROYECTO REPOSICION E INCORPORACION DE EQUIPOS INFORMATICOS DE ALTA SEGURIDAD PARA RECINTOS PENITENCIARIOS.</t>
        </is>
      </c>
      <c r="W99" s="5" t="str">
        <f>HYPERLINK("https://www.mercadopublico.cl/Procurement/Modules/RFB/DetailsAcquisition.aspx?idlicitacion=1259850-4-LP26","descargar bases")</f>
      </c>
    </row>
    <row r="100">
      <c r="A100" s="0" t="inlineStr">
        <is>
          <t xml:space="preserve">1016-9-LE26</t>
        </is>
      </c>
      <c r="B100" s="4" t="inlineStr">
        <is>
          <t xml:space="preserve">Equipamiento Informático 11 Notebook Workstation</t>
        </is>
      </c>
      <c r="C100" s="0" t="inlineStr">
        <is>
          <t xml:space="preserve">Publicada</t>
        </is>
      </c>
      <c r="D100" s="0" t="inlineStr">
        <is>
          <t xml:space="preserve">MINISTERIO DE OBRAS PUBLICAS DIREC CION GRAL DE OO PP DCYF</t>
        </is>
      </c>
      <c r="E100" s="0" t="inlineStr">
        <is>
          <t xml:space="preserve">Dirección de Planeamiento - MOP</t>
        </is>
      </c>
      <c r="F100" s="0" t="inlineStr">
        <is>
          <t xml:space="preserve">Región Metropolitana de Santiago</t>
        </is>
      </c>
      <c r="G100" s="0" t="inlineStr">
        <is>
          <t xml:space="preserve">Santiago Centro</t>
        </is>
      </c>
      <c r="H100" s="2">
        <v>46272.40037</v>
      </c>
      <c r="I100" s="2">
        <v>46286.645833</v>
      </c>
      <c r="J100" s="0">
        <v>14</v>
      </c>
      <c r="K100" s="3">
        <v>35750000.0</v>
      </c>
      <c r="L100" s="0" t="inlineStr">
        <is>
          <t xml:space="preserve">CLP</t>
        </is>
      </c>
      <c r="M100" s="0" t="inlineStr">
        <is>
          <t xml:space="preserve">LE</t>
        </is>
      </c>
      <c r="N100" s="4" t="inlineStr">
        <is>
          <t xml:space="preserve">Tecnologías de la información, telecomunicaciones y radiodifusión / Equipos informáticos y accesorios / Computadores</t>
        </is>
      </c>
      <c r="O100" s="4" t="inlineStr">
        <is>
          <t xml:space="preserve">11 Unidad · Notebook, laptop o computador portátil excepto Tablet PC</t>
        </is>
      </c>
      <c r="P100" s="2"/>
      <c r="Q100" s="2"/>
      <c r="R100" s="0"/>
      <c r="S100" s="0" t="inlineStr">
        <is>
          <t xml:space="preserve">No</t>
        </is>
      </c>
      <c r="T100" s="4" t="inlineStr">
        <is>
          <t xml:space="preserve">Se prohíbe la subcontratación ya que se adjudica de acuerdo a la oferta del proveedor y sus características especiales.</t>
        </is>
      </c>
      <c r="U100" s="0" t="inlineStr">
        <is>
          <t xml:space="preserve">Leonardo Rivera Llanquiman</t>
        </is>
      </c>
      <c r="V100"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100" s="5" t="str">
        <f>HYPERLINK("https://www.mercadopublico.cl/Procurement/Modules/RFB/DetailsAcquisition.aspx?idlicitacion=1016-9-LE26","descargar bases")</f>
      </c>
    </row>
    <row r="101">
      <c r="A101" s="0" t="inlineStr">
        <is>
          <t xml:space="preserve">2069-141-LR26</t>
        </is>
      </c>
      <c r="B101" s="4" t="inlineStr">
        <is>
          <t xml:space="preserve">CGM ADQ. TORRE DE ENDOSCOPIA DIGESTIVA CON IA</t>
        </is>
      </c>
      <c r="C101" s="0" t="inlineStr">
        <is>
          <t xml:space="preserve">Publicada</t>
        </is>
      </c>
      <c r="D101" s="0" t="inlineStr">
        <is>
          <t xml:space="preserve">SERVICIO DE SALUD METROPOLITANO SUR HOSP</t>
        </is>
      </c>
      <c r="E101" s="0" t="inlineStr">
        <is>
          <t xml:space="preserve">HOSPITAL BARROS LUCO TRUDEAU</t>
        </is>
      </c>
      <c r="F101" s="0" t="inlineStr">
        <is>
          <t xml:space="preserve">Región Metropolitana de Santiago</t>
        </is>
      </c>
      <c r="G101" s="0" t="inlineStr">
        <is>
          <t xml:space="preserve">San Miguel</t>
        </is>
      </c>
      <c r="H101" s="2">
        <v>46252.66316</v>
      </c>
      <c r="I101" s="2">
        <v>46286.666667</v>
      </c>
      <c r="J101" s="0">
        <v>14</v>
      </c>
      <c r="K101" s="3"/>
      <c r="L101" s="0" t="inlineStr">
        <is>
          <t xml:space="preserve">CLP</t>
        </is>
      </c>
      <c r="M101" s="0" t="inlineStr">
        <is>
          <t xml:space="preserve">LR</t>
        </is>
      </c>
      <c r="N101" s="4" t="inlineStr">
        <is>
          <t xml:space="preserve">Equipamiento y suministros médicos / Productos quirúrgicos / Equipo endoscópico, accesorios y productos relacionados</t>
        </is>
      </c>
      <c r="O101" s="4" t="inlineStr">
        <is>
          <t xml:space="preserve">2 Unidad · Equipo endoscópico o carritos de procedimiento o accesorios</t>
        </is>
      </c>
      <c r="P101" s="2"/>
      <c r="Q101" s="2"/>
      <c r="R101" s="0"/>
      <c r="S101" s="0" t="inlineStr">
        <is>
          <t xml:space="preserve">No</t>
        </is>
      </c>
      <c r="T101" s="4" t="inlineStr">
        <is>
          <t xml:space="preserve">Véase numeral 16 Subcontratación</t>
        </is>
      </c>
      <c r="U101" s="0" t="inlineStr">
        <is>
          <t xml:space="preserve">Jefa de unidad de adquisiciones de mantención y se</t>
        </is>
      </c>
      <c r="V101"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101" s="5" t="str">
        <f>HYPERLINK("https://www.mercadopublico.cl/Procurement/Modules/RFB/DetailsAcquisition.aspx?idlicitacion=2069-141-LR26","descargar bases")</f>
      </c>
    </row>
    <row r="102">
      <c r="A102" s="0" t="inlineStr">
        <is>
          <t xml:space="preserve">885-81-LP26</t>
        </is>
      </c>
      <c r="B102" s="4" t="inlineStr">
        <is>
          <t xml:space="preserve">Renovación de suscripciones para la plataforma de parchado virtual vRx Vicarius</t>
        </is>
      </c>
      <c r="C102" s="0" t="inlineStr">
        <is>
          <t xml:space="preserve">Publicada</t>
        </is>
      </c>
      <c r="D102" s="0" t="inlineStr">
        <is>
          <t xml:space="preserve">CONTRALORIA GENERAL DE LA REPUBLICA</t>
        </is>
      </c>
      <c r="E102" s="0" t="inlineStr">
        <is>
          <t xml:space="preserve">Contraloría General de la República</t>
        </is>
      </c>
      <c r="F102" s="0" t="inlineStr">
        <is>
          <t xml:space="preserve">Región Metropolitana de Santiago</t>
        </is>
      </c>
      <c r="G102" s="0"/>
      <c r="H102" s="2">
        <v>46266.688958</v>
      </c>
      <c r="I102" s="2">
        <v>46286.666667</v>
      </c>
      <c r="J102" s="0">
        <v>14</v>
      </c>
      <c r="K102" s="3">
        <v>95000000.0</v>
      </c>
      <c r="L102" s="0" t="inlineStr">
        <is>
          <t xml:space="preserve">CLP</t>
        </is>
      </c>
      <c r="M102" s="0" t="inlineStr">
        <is>
          <t xml:space="preserve">LP</t>
        </is>
      </c>
      <c r="N102" s="4" t="inlineStr">
        <is>
          <t xml:space="preserve">Tecnologías de la información, telecomunicaciones y radiodifusión / Software / Software de gestión</t>
        </is>
      </c>
      <c r="O102" s="4" t="inlineStr">
        <is>
          <t xml:space="preserve">1 Global · Software de gestión de licencias</t>
        </is>
      </c>
      <c r="P102" s="2"/>
      <c r="Q102" s="2"/>
      <c r="R102" s="0" t="inlineStr">
        <is>
          <t xml:space="preserve">12 meses</t>
        </is>
      </c>
      <c r="S102" s="0" t="inlineStr">
        <is>
          <t xml:space="preserve">No</t>
        </is>
      </c>
      <c r="T102" s="4"/>
      <c r="U102" s="0" t="inlineStr">
        <is>
          <t xml:space="preserve">Antonio Alejandro Alcázar Garrido</t>
        </is>
      </c>
      <c r="V102" s="4" t="inlineStr">
        <is>
          <t xml:space="preserve">La Contraloría General de la República requiere la renovación de suscripciones para la plataforma de parchado virtual vRx Vicarius por el período de 12 meses.</t>
        </is>
      </c>
      <c r="W102" s="5" t="str">
        <f>HYPERLINK("https://www.mercadopublico.cl/Procurement/Modules/RFB/DetailsAcquisition.aspx?idlicitacion=885-81-LP26","descargar bases")</f>
      </c>
    </row>
    <row r="103">
      <c r="A103" s="0" t="inlineStr">
        <is>
          <t xml:space="preserve">5531-4-B226</t>
        </is>
      </c>
      <c r="B103" s="4" t="inlineStr">
        <is>
          <t xml:space="preserve">Servicios de publicidad digital para el DII</t>
        </is>
      </c>
      <c r="C103" s="0" t="inlineStr">
        <is>
          <t xml:space="preserve">Publicada</t>
        </is>
      </c>
      <c r="D103" s="0" t="inlineStr">
        <is>
          <t xml:space="preserve">UNIVERSIDAD DE CHILE</t>
        </is>
      </c>
      <c r="E103" s="0" t="inlineStr">
        <is>
          <t xml:space="preserve">FCFM Departamento de Ingeniería Industrial</t>
        </is>
      </c>
      <c r="F103" s="0" t="inlineStr">
        <is>
          <t xml:space="preserve">Región Metropolitana de Santiago</t>
        </is>
      </c>
      <c r="G103" s="0" t="inlineStr">
        <is>
          <t xml:space="preserve">San Joaquín</t>
        </is>
      </c>
      <c r="H103" s="2">
        <v>46265.698692</v>
      </c>
      <c r="I103" s="2">
        <v>46286.666667</v>
      </c>
      <c r="J103" s="0">
        <v>14</v>
      </c>
      <c r="K103" s="3"/>
      <c r="L103" s="0" t="inlineStr">
        <is>
          <t xml:space="preserve">CLP</t>
        </is>
      </c>
      <c r="M103" s="0" t="inlineStr">
        <is>
          <t xml:space="preserve">B2</t>
        </is>
      </c>
      <c r="N103" s="4" t="inlineStr">
        <is>
          <t xml:space="preserve">Servicios editoriales, de diseño, publicidad, gráficos y artistas / Publicidad / Agencias de publicidad</t>
        </is>
      </c>
      <c r="O103" s="4" t="inlineStr">
        <is>
          <t xml:space="preserve">1 Unidad · Campañas publicitarias</t>
        </is>
      </c>
      <c r="P103" s="2"/>
      <c r="Q103" s="2"/>
      <c r="R103" s="0" t="inlineStr">
        <is>
          <t xml:space="preserve">36 meses</t>
        </is>
      </c>
      <c r="S103" s="0" t="inlineStr">
        <is>
          <t xml:space="preserve">No</t>
        </is>
      </c>
      <c r="T103" s="4" t="inlineStr">
        <is>
          <t xml:space="preserve">ver bases administrativas numeral 29 Subcontratación</t>
        </is>
      </c>
      <c r="U103" s="0" t="inlineStr">
        <is>
          <t xml:space="preserve">Karina Pérez</t>
        </is>
      </c>
      <c r="V103"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103" s="5" t="str">
        <f>HYPERLINK("https://www.mercadopublico.cl/Procurement/Modules/RFB/DetailsAcquisition.aspx?idlicitacion=5531-4-B226","descargar bases")</f>
      </c>
    </row>
    <row r="104">
      <c r="A104" s="0" t="inlineStr">
        <is>
          <t xml:space="preserve">5251-70-LP26</t>
        </is>
      </c>
      <c r="B104" s="4" t="inlineStr">
        <is>
          <t xml:space="preserve">Tótems solares sustentables RED22993</t>
        </is>
      </c>
      <c r="C104" s="0" t="inlineStr">
        <is>
          <t xml:space="preserve">Publicada</t>
        </is>
      </c>
      <c r="D104" s="0" t="inlineStr">
        <is>
          <t xml:space="preserve">UNIVERSIDAD TECNOLOGICA METROPOLITANA</t>
        </is>
      </c>
      <c r="E104" s="0" t="inlineStr">
        <is>
          <t xml:space="preserve">DEPARTAMENTO DE ABASTECIMIENTO</t>
        </is>
      </c>
      <c r="F104" s="0" t="inlineStr">
        <is>
          <t xml:space="preserve">Región Metropolitana de Santiago</t>
        </is>
      </c>
      <c r="G104" s="0" t="inlineStr">
        <is>
          <t xml:space="preserve">Santiago</t>
        </is>
      </c>
      <c r="H104" s="2">
        <v>46266.759664</v>
      </c>
      <c r="I104" s="2">
        <v>46286.75</v>
      </c>
      <c r="J104" s="0">
        <v>14</v>
      </c>
      <c r="K104" s="3">
        <v>154800005.0</v>
      </c>
      <c r="L104" s="0" t="inlineStr">
        <is>
          <t xml:space="preserve">CLP</t>
        </is>
      </c>
      <c r="M104" s="0" t="inlineStr">
        <is>
          <t xml:space="preserve">LP</t>
        </is>
      </c>
      <c r="N104" s="4" t="inlineStr">
        <is>
          <t xml:space="preserve">Maquinaria para generación y distribución de energía / Transmisión de energía eléctrica, mecánica y cinética / Grupos electrógenos</t>
        </is>
      </c>
      <c r="O104" s="4" t="inlineStr">
        <is>
          <t xml:space="preserve">18 Unidad · Generadores solares</t>
        </is>
      </c>
      <c r="P104" s="2"/>
      <c r="Q104" s="2"/>
      <c r="R104" s="0" t="inlineStr">
        <is>
          <t xml:space="preserve">45 días</t>
        </is>
      </c>
      <c r="S104" s="0" t="inlineStr">
        <is>
          <t xml:space="preserve">No</t>
        </is>
      </c>
      <c r="T104" s="4"/>
      <c r="U104" s="0" t="inlineStr">
        <is>
          <t xml:space="preserve">Catalina Fuentes Castro</t>
        </is>
      </c>
      <c r="V104"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104" s="5" t="str">
        <f>HYPERLINK("https://www.mercadopublico.cl/Procurement/Modules/RFB/DetailsAcquisition.aspx?idlicitacion=5251-70-LP26","descargar bases")</f>
      </c>
    </row>
    <row r="105">
      <c r="A105" s="0" t="inlineStr">
        <is>
          <t xml:space="preserve">1020-38-LP26</t>
        </is>
      </c>
      <c r="B105" s="4" t="inlineStr">
        <is>
          <t xml:space="preserve">Adquisición de Plataforma Next Generation Firewall</t>
        </is>
      </c>
      <c r="C105" s="0" t="inlineStr">
        <is>
          <t xml:space="preserve">Publicada</t>
        </is>
      </c>
      <c r="D105" s="0" t="inlineStr">
        <is>
          <t xml:space="preserve">MINISTERIO DE OBRAS PUBLICAS DIREC CION GRAL DE OO PP DCYF</t>
        </is>
      </c>
      <c r="E105" s="0" t="inlineStr">
        <is>
          <t xml:space="preserve">MOP Subsecretaría </t>
        </is>
      </c>
      <c r="F105" s="0" t="inlineStr">
        <is>
          <t xml:space="preserve">Región Metropolitana de Santiago</t>
        </is>
      </c>
      <c r="G105" s="0"/>
      <c r="H105" s="2">
        <v>46252.442361</v>
      </c>
      <c r="I105" s="2">
        <v>46287.625</v>
      </c>
      <c r="J105" s="0">
        <v>15</v>
      </c>
      <c r="K105" s="3">
        <v>240000000.0</v>
      </c>
      <c r="L105" s="0" t="inlineStr">
        <is>
          <t xml:space="preserve">CLP</t>
        </is>
      </c>
      <c r="M105" s="0" t="inlineStr">
        <is>
          <t xml:space="preserve">LP</t>
        </is>
      </c>
      <c r="N105"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105" s="4" t="inlineStr">
        <is>
          <t xml:space="preserve">2 Unidad · Equipo de seguridad de red de firewall · 1 Unidad · Software de vigilancia de redes</t>
        </is>
      </c>
      <c r="P105" s="2"/>
      <c r="Q105" s="2"/>
      <c r="R105" s="0" t="inlineStr">
        <is>
          <t xml:space="preserve">16 meses</t>
        </is>
      </c>
      <c r="S105" s="0" t="inlineStr">
        <is>
          <t xml:space="preserve">No</t>
        </is>
      </c>
      <c r="T105" s="4" t="inlineStr">
        <is>
          <t xml:space="preserve">Conforme al punto 10.5 de las Bases Administrativas, el oferente adjudicado no podrá subcontratar los servicios derivados de la ejecución del Contrato</t>
        </is>
      </c>
      <c r="U105" s="0" t="inlineStr">
        <is>
          <t xml:space="preserve">Francisco Borques</t>
        </is>
      </c>
      <c r="V105"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105" s="5" t="str">
        <f>HYPERLINK("https://www.mercadopublico.cl/Procurement/Modules/RFB/DetailsAcquisition.aspx?idlicitacion=1020-38-LP26","descargar bases")</f>
      </c>
    </row>
    <row r="106">
      <c r="A106" s="0" t="inlineStr">
        <is>
          <t xml:space="preserve">1562-49-LR26</t>
        </is>
      </c>
      <c r="B106" s="4" t="inlineStr">
        <is>
          <t xml:space="preserve">Sistema de monitoreo integral de ciberseguridad</t>
        </is>
      </c>
      <c r="C106" s="0" t="inlineStr">
        <is>
          <t xml:space="preserve">Publicada</t>
        </is>
      </c>
      <c r="D106" s="0" t="inlineStr">
        <is>
          <t xml:space="preserve">SERVICIO NACIONAL DE GEOLOGIA Y MINERIA</t>
        </is>
      </c>
      <c r="E106" s="0" t="inlineStr">
        <is>
          <t xml:space="preserve">Servicio Nacional de Geología y Minería</t>
        </is>
      </c>
      <c r="F106" s="0" t="inlineStr">
        <is>
          <t xml:space="preserve">Región Metropolitana de Santiago</t>
        </is>
      </c>
      <c r="G106" s="0" t="inlineStr">
        <is>
          <t xml:space="preserve">Providencia</t>
        </is>
      </c>
      <c r="H106" s="2">
        <v>46254.764514</v>
      </c>
      <c r="I106" s="2">
        <v>46287.625</v>
      </c>
      <c r="J106" s="0">
        <v>15</v>
      </c>
      <c r="K106" s="3">
        <v>366678654.0</v>
      </c>
      <c r="L106" s="0" t="inlineStr">
        <is>
          <t xml:space="preserve">CLP</t>
        </is>
      </c>
      <c r="M106" s="0" t="inlineStr">
        <is>
          <t xml:space="preserve">LR</t>
        </is>
      </c>
      <c r="N106" s="4" t="inlineStr">
        <is>
          <t xml:space="preserve">Tecnologías de la información, telecomunicaciones y radiodifusión / Equipos, plataformas y accesorios de redes multimedia, voz y datos / Equipos de seguridad de red</t>
        </is>
      </c>
      <c r="O106" s="4" t="inlineStr">
        <is>
          <t xml:space="preserve">1 Unidad · Equipo de seguridad de evaluación de vulnerabilidad</t>
        </is>
      </c>
      <c r="P106" s="2"/>
      <c r="Q106" s="2"/>
      <c r="R106" s="0" t="inlineStr">
        <is>
          <t xml:space="preserve">12 meses</t>
        </is>
      </c>
      <c r="S106" s="0" t="inlineStr">
        <is>
          <t xml:space="preserve">No</t>
        </is>
      </c>
      <c r="T106" s="4"/>
      <c r="U106" s="0" t="inlineStr">
        <is>
          <t xml:space="preserve">Gonzalo Palet</t>
        </is>
      </c>
      <c r="V106"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106" s="5" t="str">
        <f>HYPERLINK("https://www.mercadopublico.cl/Procurement/Modules/RFB/DetailsAcquisition.aspx?idlicitacion=1562-49-LR26","descargar bases")</f>
      </c>
    </row>
    <row r="107">
      <c r="A107" s="0" t="inlineStr">
        <is>
          <t xml:space="preserve">586-52-LP26</t>
        </is>
      </c>
      <c r="B107" s="4" t="inlineStr">
        <is>
          <t xml:space="preserve">Adquisición de licencias de software Redhat</t>
        </is>
      </c>
      <c r="C107" s="0" t="inlineStr">
        <is>
          <t xml:space="preserve">Publicada</t>
        </is>
      </c>
      <c r="D107" s="0" t="inlineStr">
        <is>
          <t xml:space="preserve">SERVICIO NACIONAL DE ADUANAS</t>
        </is>
      </c>
      <c r="E107" s="0" t="inlineStr">
        <is>
          <t xml:space="preserve">Dirección Nacional de Aduanas</t>
        </is>
      </c>
      <c r="F107" s="0" t="inlineStr">
        <is>
          <t xml:space="preserve">Región de Valparaíso </t>
        </is>
      </c>
      <c r="G107" s="0" t="inlineStr">
        <is>
          <t xml:space="preserve">Valparaíso</t>
        </is>
      </c>
      <c r="H107" s="2">
        <v>46261.817222</v>
      </c>
      <c r="I107" s="2">
        <v>46287.625</v>
      </c>
      <c r="J107" s="0">
        <v>15</v>
      </c>
      <c r="K107" s="3"/>
      <c r="L107" s="0" t="inlineStr">
        <is>
          <t xml:space="preserve">USD</t>
        </is>
      </c>
      <c r="M107" s="0" t="inlineStr">
        <is>
          <t xml:space="preserve">LP</t>
        </is>
      </c>
      <c r="N107" s="4" t="inlineStr">
        <is>
          <t xml:space="preserve">Tecnologías de la información, telecomunicaciones y radiodifusión / Software / Software de gestión</t>
        </is>
      </c>
      <c r="O107" s="4" t="inlineStr">
        <is>
          <t xml:space="preserve">1 Unidad · Software de gestión de licencias</t>
        </is>
      </c>
      <c r="P107" s="2"/>
      <c r="Q107" s="2"/>
      <c r="R107" s="0" t="inlineStr">
        <is>
          <t xml:space="preserve">12 meses</t>
        </is>
      </c>
      <c r="S107" s="0" t="inlineStr">
        <is>
          <t xml:space="preserve">No</t>
        </is>
      </c>
      <c r="T107" s="4" t="inlineStr">
        <is>
          <t xml:space="preserve">Conforme a numeral VII.1 de las Bases Administrativas</t>
        </is>
      </c>
      <c r="U107" s="0" t="inlineStr">
        <is>
          <t xml:space="preserve">Marcelo Reyes</t>
        </is>
      </c>
      <c r="V107" s="4" t="inlineStr">
        <is>
          <t xml:space="preserve">Adquisición de suscripciones de licencias de software Redhat, conforme a bases de licitación</t>
        </is>
      </c>
      <c r="W107" s="5" t="str">
        <f>HYPERLINK("https://www.mercadopublico.cl/Procurement/Modules/RFB/DetailsAcquisition.aspx?idlicitacion=586-52-LP26","descargar bases")</f>
      </c>
    </row>
    <row r="108">
      <c r="A108" s="0" t="inlineStr">
        <is>
          <t xml:space="preserve">3084-31-LE26</t>
        </is>
      </c>
      <c r="B108" s="4" t="inlineStr">
        <is>
          <t xml:space="preserve">SERVICIO REPARACIÓN DE OFICINAS PARA LA DIRECCIÓN DE TELECOMUNICACIONES E INFORMÁTICA DE LA ARMADA.</t>
        </is>
      </c>
      <c r="C108" s="0" t="inlineStr">
        <is>
          <t xml:space="preserve">Publicada</t>
        </is>
      </c>
      <c r="D108" s="0" t="inlineStr">
        <is>
          <t xml:space="preserve">DIRECCION DE ABASTECIMIENTO DE LA ARMADA</t>
        </is>
      </c>
      <c r="E108" s="0" t="inlineStr">
        <is>
          <t xml:space="preserve">Dirección de Telecomunicaciones e Informática de la Armada</t>
        </is>
      </c>
      <c r="F108" s="0" t="inlineStr">
        <is>
          <t xml:space="preserve">Región de Valparaíso </t>
        </is>
      </c>
      <c r="G108" s="0"/>
      <c r="H108" s="2">
        <v>46262.346319</v>
      </c>
      <c r="I108" s="2">
        <v>46287.625694</v>
      </c>
      <c r="J108" s="0">
        <v>15</v>
      </c>
      <c r="K108" s="3">
        <v>10000000.0</v>
      </c>
      <c r="L108" s="0" t="inlineStr">
        <is>
          <t xml:space="preserve">CLP</t>
        </is>
      </c>
      <c r="M108" s="0" t="inlineStr">
        <is>
          <t xml:space="preserve">LE</t>
        </is>
      </c>
      <c r="N108" s="4" t="inlineStr">
        <is>
          <t xml:space="preserve">Servicios profesionales, administrativos y consultorías de gestión empresarial / Servicios de recursos humanos / Servicios de personal temporal</t>
        </is>
      </c>
      <c r="O108" s="4" t="inlineStr">
        <is>
          <t xml:space="preserve">1 Unidad · Mano de obra temporal</t>
        </is>
      </c>
      <c r="P108" s="2"/>
      <c r="Q108" s="2"/>
      <c r="R108" s="0"/>
      <c r="S108" s="0" t="inlineStr">
        <is>
          <t xml:space="preserve">No</t>
        </is>
      </c>
      <c r="T108"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108" s="0" t="inlineStr">
        <is>
          <t xml:space="preserve">Karen Arellano</t>
        </is>
      </c>
      <c r="V108" s="4" t="inlineStr">
        <is>
          <t xml:space="preserve">SERVICIO REPARACIÓN DE OFICINAS PARA LA DIRECCIÓN DE TELECOMUNICACIONES E INFORMÁTICA DE LA ARMADA.</t>
        </is>
      </c>
      <c r="W108" s="5" t="str">
        <f>HYPERLINK("https://www.mercadopublico.cl/Procurement/Modules/RFB/DetailsAcquisition.aspx?idlicitacion=3084-31-LE26","descargar bases")</f>
      </c>
    </row>
    <row r="109">
      <c r="A109" s="0" t="inlineStr">
        <is>
          <t xml:space="preserve">5413-71-LE26</t>
        </is>
      </c>
      <c r="B109" s="4" t="inlineStr">
        <is>
          <t xml:space="preserve">SERVICIO DE PLATAFORMA DE LIBROS CONTABLES Y AUXILIARES ELECTRÓNICOS Y DOCUMENTOS TRIBUTARIOS ELECTRÓNICOS DTE PARA LA UNIVERSIDAD DE LOS LAGOS</t>
        </is>
      </c>
      <c r="C109" s="0" t="inlineStr">
        <is>
          <t xml:space="preserve">Publicada</t>
        </is>
      </c>
      <c r="D109" s="0" t="inlineStr">
        <is>
          <t xml:space="preserve">UNIVERSIDAD DE LOS LAGOS</t>
        </is>
      </c>
      <c r="E109" s="0" t="inlineStr">
        <is>
          <t xml:space="preserve">CAMPUS OSORNO</t>
        </is>
      </c>
      <c r="F109" s="0" t="inlineStr">
        <is>
          <t xml:space="preserve">Región de los Lagos </t>
        </is>
      </c>
      <c r="G109" s="0" t="inlineStr">
        <is>
          <t xml:space="preserve">Osorno</t>
        </is>
      </c>
      <c r="H109" s="2">
        <v>46269.381134</v>
      </c>
      <c r="I109" s="2">
        <v>46287.645833</v>
      </c>
      <c r="J109" s="0">
        <v>15</v>
      </c>
      <c r="K109" s="3"/>
      <c r="L109" s="0" t="inlineStr">
        <is>
          <t xml:space="preserve">CLP</t>
        </is>
      </c>
      <c r="M109" s="0" t="inlineStr">
        <is>
          <t xml:space="preserve">LE</t>
        </is>
      </c>
      <c r="N109"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109" s="4" t="inlineStr">
        <is>
          <t xml:space="preserve">36 Mes · Mantenimiento y soporte de sistemas propietarios · 36 Mes · Desarrolladores de software · 36 Mes · Desarrolladores de software</t>
        </is>
      </c>
      <c r="P109" s="2"/>
      <c r="Q109" s="2"/>
      <c r="R109" s="0" t="inlineStr">
        <is>
          <t xml:space="preserve">36 meses</t>
        </is>
      </c>
      <c r="S109" s="0" t="inlineStr">
        <is>
          <t xml:space="preserve">No</t>
        </is>
      </c>
      <c r="T109" s="4"/>
      <c r="U109" s="0" t="inlineStr">
        <is>
          <t xml:space="preserve">Sandra Peñailillo</t>
        </is>
      </c>
      <c r="V109" s="4" t="inlineStr">
        <is>
          <t xml:space="preserve">UNIVERSIDAD DE LOS LAGOS, REQUIERE SERVICIO DE PLATAFORMA DE LIBROS CONTABLES Y AUXILIARES ELECTRÓNICOS Y DOCUMENTOS TRIBUTARIOS ELECTRÓNICOS (DTE) PARA LA UNIVERSIDAD DE LOS LAGOS.
SEGÚN SASERVI N°83203.</t>
        </is>
      </c>
      <c r="W109" s="5" t="str">
        <f>HYPERLINK("https://www.mercadopublico.cl/Procurement/Modules/RFB/DetailsAcquisition.aspx?idlicitacion=5413-71-LE26","descargar bases")</f>
      </c>
    </row>
    <row r="110">
      <c r="A110" s="0" t="inlineStr">
        <is>
          <t xml:space="preserve">837-101-LP26</t>
        </is>
      </c>
      <c r="B110" s="4" t="inlineStr">
        <is>
          <t xml:space="preserve">CDP 477 SERVICIO DE OPERACIÓN SISTEMA DE CONTROL CENTRALIZADO BMS Y SISTEMA DE TELEVIGILANCIA SOFTWARE HIKCENTRAL PROFESSIONAL DE EDIFICIO INSTITUCIONAL SML SANTIAGO</t>
        </is>
      </c>
      <c r="C110" s="0" t="inlineStr">
        <is>
          <t xml:space="preserve">Publicada</t>
        </is>
      </c>
      <c r="D110" s="0" t="inlineStr">
        <is>
          <t xml:space="preserve">SERVICIO MEDICO LEGAL</t>
        </is>
      </c>
      <c r="E110" s="0" t="inlineStr">
        <is>
          <t xml:space="preserve">SERVICIO MEDICO LEGAL</t>
        </is>
      </c>
      <c r="F110" s="0" t="inlineStr">
        <is>
          <t xml:space="preserve">Región Metropolitana de Santiago</t>
        </is>
      </c>
      <c r="G110" s="0"/>
      <c r="H110" s="2">
        <v>46265.419491</v>
      </c>
      <c r="I110" s="2">
        <v>46287.645833</v>
      </c>
      <c r="J110" s="0">
        <v>15</v>
      </c>
      <c r="K110" s="3">
        <v>346885000.0</v>
      </c>
      <c r="L110" s="0" t="inlineStr">
        <is>
          <t xml:space="preserve">CLP</t>
        </is>
      </c>
      <c r="M110" s="0" t="inlineStr">
        <is>
          <t xml:space="preserve">LP</t>
        </is>
      </c>
      <c r="N110"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110" s="4" t="inlineStr">
        <is>
          <t xml:space="preserve">12 Mes · Software de administración · 12 Mes · Sistemas de control de acceso o de seguridad</t>
        </is>
      </c>
      <c r="P110" s="2"/>
      <c r="Q110" s="2"/>
      <c r="R110" s="0" t="inlineStr">
        <is>
          <t xml:space="preserve">12 meses</t>
        </is>
      </c>
      <c r="S110" s="0" t="inlineStr">
        <is>
          <t xml:space="preserve">No</t>
        </is>
      </c>
      <c r="T110" s="4"/>
      <c r="U110" s="0" t="inlineStr">
        <is>
          <t xml:space="preserve">Vicente Muñoz, profesional DLI</t>
        </is>
      </c>
      <c r="V110"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110" s="5" t="str">
        <f>HYPERLINK("https://www.mercadopublico.cl/Procurement/Modules/RFB/DetailsAcquisition.aspx?idlicitacion=837-101-LP26","descargar bases")</f>
      </c>
    </row>
    <row r="111">
      <c r="A111" s="0" t="inlineStr">
        <is>
          <t xml:space="preserve">4778-14-LP26</t>
        </is>
      </c>
      <c r="B111" s="4" t="inlineStr">
        <is>
          <t xml:space="preserve">SERV. ADMINISTRADO CONTACT CENTER OMNICANAL CON IA</t>
        </is>
      </c>
      <c r="C111" s="0" t="inlineStr">
        <is>
          <t xml:space="preserve">Publicada</t>
        </is>
      </c>
      <c r="D111" s="0" t="inlineStr">
        <is>
          <t xml:space="preserve">SERVICIO NACIONAL DE SALUD HOSPITAL DE C</t>
        </is>
      </c>
      <c r="E111" s="0" t="inlineStr">
        <is>
          <t xml:space="preserve">Compras de Insumos y Servicios Generales</t>
        </is>
      </c>
      <c r="F111" s="0" t="inlineStr">
        <is>
          <t xml:space="preserve">Región Aysén del General Carlos Ibáñez del Campo</t>
        </is>
      </c>
      <c r="G111" s="0" t="inlineStr">
        <is>
          <t xml:space="preserve">Coyhaique</t>
        </is>
      </c>
      <c r="H111" s="2">
        <v>46254.698611</v>
      </c>
      <c r="I111" s="2">
        <v>46287.666667</v>
      </c>
      <c r="J111" s="0">
        <v>15</v>
      </c>
      <c r="K111" s="3"/>
      <c r="L111" s="0" t="inlineStr">
        <is>
          <t xml:space="preserve">CLP</t>
        </is>
      </c>
      <c r="M111" s="0" t="inlineStr">
        <is>
          <t xml:space="preserve">LP</t>
        </is>
      </c>
      <c r="N111" s="4" t="inlineStr">
        <is>
          <t xml:space="preserve">Tecnologías de la información, telecomunicaciones y radiodifusión / Software / Software para trabajo en redes</t>
        </is>
      </c>
      <c r="O111" s="4" t="inlineStr">
        <is>
          <t xml:space="preserve">24 Unidad · Software para centrales de comunicación digital</t>
        </is>
      </c>
      <c r="P111" s="2"/>
      <c r="Q111" s="2"/>
      <c r="R111" s="0" t="inlineStr">
        <is>
          <t xml:space="preserve">24 meses</t>
        </is>
      </c>
      <c r="S111" s="0" t="inlineStr">
        <is>
          <t xml:space="preserve">No</t>
        </is>
      </c>
      <c r="T111" s="4" t="inlineStr">
        <is>
          <t xml:space="preserve">Ver Bases Administrativas Especiales, punto 3.</t>
        </is>
      </c>
      <c r="U111" s="0" t="inlineStr">
        <is>
          <t xml:space="preserve">Carolina Pérez Alfaro</t>
        </is>
      </c>
      <c r="V111" s="4" t="inlineStr">
        <is>
          <t xml:space="preserve">Servicio Administrado de Contact Center Omnicanal con Inteligencia Artificial para la Gestión Integral de la Contactabilidad de Usuarios del Hospital Regional Coyhaique.</t>
        </is>
      </c>
      <c r="W111" s="5" t="str">
        <f>HYPERLINK("https://www.mercadopublico.cl/Procurement/Modules/RFB/DetailsAcquisition.aspx?idlicitacion=4778-14-LP26","descargar bases")</f>
      </c>
    </row>
    <row r="112">
      <c r="A112" s="0" t="inlineStr">
        <is>
          <t xml:space="preserve">885-83-LE26</t>
        </is>
      </c>
      <c r="B112" s="4" t="inlineStr">
        <is>
          <t xml:space="preserve">Servicios de soporte y mantenimiento de la plataforma de seguridad F5 de la Contraloría General de la República</t>
        </is>
      </c>
      <c r="C112" s="0" t="inlineStr">
        <is>
          <t xml:space="preserve">Publicada</t>
        </is>
      </c>
      <c r="D112" s="0" t="inlineStr">
        <is>
          <t xml:space="preserve">CONTRALORIA GENERAL DE LA REPUBLICA</t>
        </is>
      </c>
      <c r="E112" s="0" t="inlineStr">
        <is>
          <t xml:space="preserve">Contraloría General de la República</t>
        </is>
      </c>
      <c r="F112" s="0" t="inlineStr">
        <is>
          <t xml:space="preserve">Región Metropolitana de Santiago</t>
        </is>
      </c>
      <c r="G112" s="0"/>
      <c r="H112" s="2">
        <v>46272.494688</v>
      </c>
      <c r="I112" s="2">
        <v>46287.666667</v>
      </c>
      <c r="J112" s="0">
        <v>15</v>
      </c>
      <c r="K112" s="3">
        <v>16000000.0</v>
      </c>
      <c r="L112" s="0" t="inlineStr">
        <is>
          <t xml:space="preserve">CLP</t>
        </is>
      </c>
      <c r="M112" s="0" t="inlineStr">
        <is>
          <t xml:space="preserve">LE</t>
        </is>
      </c>
      <c r="N112" s="4" t="inlineStr">
        <is>
          <t xml:space="preserve">Tecnologías de la información, telecomunicaciones y radiodifusión / Equipos, plataformas y accesorios de redes multimedia, voz y datos / Equipos de seguridad de red</t>
        </is>
      </c>
      <c r="O112" s="4" t="inlineStr">
        <is>
          <t xml:space="preserve">1 Unidad · Equipo de seguridad de red de firewall</t>
        </is>
      </c>
      <c r="P112" s="2"/>
      <c r="Q112" s="2"/>
      <c r="R112" s="0" t="inlineStr">
        <is>
          <t xml:space="preserve">12 meses</t>
        </is>
      </c>
      <c r="S112" s="0" t="inlineStr">
        <is>
          <t xml:space="preserve">No</t>
        </is>
      </c>
      <c r="T112" s="4"/>
      <c r="U112" s="0" t="inlineStr">
        <is>
          <t xml:space="preserve">Cristian Leon</t>
        </is>
      </c>
      <c r="V112"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112" s="5" t="str">
        <f>HYPERLINK("https://www.mercadopublico.cl/Procurement/Modules/RFB/DetailsAcquisition.aspx?idlicitacion=885-83-LE26","descargar bases")</f>
      </c>
    </row>
    <row r="113">
      <c r="A113" s="0" t="inlineStr">
        <is>
          <t xml:space="preserve">1725-197-LP26</t>
        </is>
      </c>
      <c r="B113" s="4" t="inlineStr">
        <is>
          <t xml:space="preserve">INFRAESTRUC.TECNOLÓGICA PLATAFORMA FONDOS CONCURSA</t>
        </is>
      </c>
      <c r="C113" s="0" t="inlineStr">
        <is>
          <t xml:space="preserve">Publicada</t>
        </is>
      </c>
      <c r="D113" s="0" t="inlineStr">
        <is>
          <t xml:space="preserve">SUBSECRETARÍA DE LAS CULTURAS Y LAS ARTES</t>
        </is>
      </c>
      <c r="E113" s="0" t="inlineStr">
        <is>
          <t xml:space="preserve">SUBSECRETARIA DE LAS CULTURAS Y LAS ARTES</t>
        </is>
      </c>
      <c r="F113" s="0" t="inlineStr">
        <is>
          <t xml:space="preserve">Región de Valparaíso </t>
        </is>
      </c>
      <c r="G113" s="0" t="inlineStr">
        <is>
          <t xml:space="preserve">Valparaíso</t>
        </is>
      </c>
      <c r="H113" s="2">
        <v>46267.441169</v>
      </c>
      <c r="I113" s="2">
        <v>46288.5</v>
      </c>
      <c r="J113" s="0">
        <v>16</v>
      </c>
      <c r="K113" s="3">
        <v>170000000.0</v>
      </c>
      <c r="L113" s="0" t="inlineStr">
        <is>
          <t xml:space="preserve">CLP</t>
        </is>
      </c>
      <c r="M113" s="0" t="inlineStr">
        <is>
          <t xml:space="preserve">LP</t>
        </is>
      </c>
      <c r="N113" s="4" t="inlineStr">
        <is>
          <t xml:space="preserve">Tecnologías de la información, telecomunicaciones y radiodifusión / Software / Programas de desarrollo</t>
        </is>
      </c>
      <c r="O113" s="4" t="inlineStr">
        <is>
          <t xml:space="preserve">1 Unidad · Software de desarrollo de plataforma Web</t>
        </is>
      </c>
      <c r="P113" s="2"/>
      <c r="Q113" s="2"/>
      <c r="R113" s="0"/>
      <c r="S113" s="0" t="inlineStr">
        <is>
          <t xml:space="preserve">No</t>
        </is>
      </c>
      <c r="T113" s="4"/>
      <c r="U113" s="0" t="inlineStr">
        <is>
          <t xml:space="preserve">TIC</t>
        </is>
      </c>
      <c r="V113" s="4" t="inlineStr">
        <is>
          <t xml:space="preserve">SERVICIOS DE IMPLEMENTACIÓN Y EXPLOTACIÓN DE INFRAESTRUCTURA TECNOLÓGICA PARA LA PLATAFORMA DE FONDOS CONCURSABLES DE LA SUBSECRETARÍA DE LAS CULTURAS Y LAS ARTES</t>
        </is>
      </c>
      <c r="W113" s="5" t="str">
        <f>HYPERLINK("https://www.mercadopublico.cl/Procurement/Modules/RFB/DetailsAcquisition.aspx?idlicitacion=1725-197-LP26","descargar bases")</f>
      </c>
    </row>
    <row r="114">
      <c r="A114" s="0" t="inlineStr">
        <is>
          <t xml:space="preserve">2200-23-LR26</t>
        </is>
      </c>
      <c r="B114" s="4" t="inlineStr">
        <is>
          <t xml:space="preserve">SERVICIO DE ARRIENDO DE SOFTWARE DE REGISTRO CLÍNICO ELECTRÓNICO RCE ATENCIÓN PRIMARIA - TIC</t>
        </is>
      </c>
      <c r="C114" s="0" t="inlineStr">
        <is>
          <t xml:space="preserve">Publicada</t>
        </is>
      </c>
      <c r="D114" s="0" t="inlineStr">
        <is>
          <t xml:space="preserve">SERVICIO DE SALUD ACONCAGUA</t>
        </is>
      </c>
      <c r="E114" s="0" t="inlineStr">
        <is>
          <t xml:space="preserve">Servicio de Salud Aconcagua</t>
        </is>
      </c>
      <c r="F114" s="0" t="inlineStr">
        <is>
          <t xml:space="preserve">Región de Valparaíso </t>
        </is>
      </c>
      <c r="G114" s="0" t="inlineStr">
        <is>
          <t xml:space="preserve">San Felipe</t>
        </is>
      </c>
      <c r="H114" s="2">
        <v>46259.424259</v>
      </c>
      <c r="I114" s="2">
        <v>46289.625</v>
      </c>
      <c r="J114" s="0">
        <v>17</v>
      </c>
      <c r="K114" s="3"/>
      <c r="L114" s="0" t="inlineStr">
        <is>
          <t xml:space="preserve">CLP</t>
        </is>
      </c>
      <c r="M114" s="0" t="inlineStr">
        <is>
          <t xml:space="preserve">LR</t>
        </is>
      </c>
      <c r="N114" s="4" t="inlineStr">
        <is>
          <t xml:space="preserve">Servicios profesionales, administrativos y consultorías de gestión empresarial / Servicios de recursos humanos / Contratación de personal</t>
        </is>
      </c>
      <c r="O114" s="4" t="inlineStr">
        <is>
          <t xml:space="preserve">1700 Unidad · Desarrolladores de software</t>
        </is>
      </c>
      <c r="P114" s="2"/>
      <c r="Q114" s="2"/>
      <c r="R114" s="0" t="inlineStr">
        <is>
          <t xml:space="preserve">18 meses</t>
        </is>
      </c>
      <c r="S114" s="0" t="inlineStr">
        <is>
          <t xml:space="preserve">No</t>
        </is>
      </c>
      <c r="T114" s="4"/>
      <c r="U114" s="0" t="inlineStr">
        <is>
          <t xml:space="preserve">MASIEL BALBOA GONZALEZ</t>
        </is>
      </c>
      <c r="V114"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14" s="5" t="str">
        <f>HYPERLINK("https://www.mercadopublico.cl/Procurement/Modules/RFB/DetailsAcquisition.aspx?idlicitacion=2200-23-LR26","descargar bases")</f>
      </c>
    </row>
    <row r="115">
      <c r="A115" s="0" t="inlineStr">
        <is>
          <t xml:space="preserve">85-34-LP26</t>
        </is>
      </c>
      <c r="B115" s="4" t="inlineStr">
        <is>
          <t xml:space="preserve">PLATAFORMA GESTIÓN Y CONTROL SEGURIDAD INFORMACIÓN</t>
        </is>
      </c>
      <c r="C115" s="0" t="inlineStr">
        <is>
          <t xml:space="preserve">Publicada</t>
        </is>
      </c>
      <c r="D115" s="0" t="inlineStr">
        <is>
          <t xml:space="preserve">JUNTA NACIONAL DE AUXILIO ESCOLAR Y BECA</t>
        </is>
      </c>
      <c r="E115" s="0" t="inlineStr">
        <is>
          <t xml:space="preserve">JUNTA NACIONAL DE AUXILIO ESCOLAR Y BECA</t>
        </is>
      </c>
      <c r="F115" s="0" t="inlineStr">
        <is>
          <t xml:space="preserve">Región Metropolitana de Santiago</t>
        </is>
      </c>
      <c r="G115" s="0" t="inlineStr">
        <is>
          <t xml:space="preserve">Santiago Centro</t>
        </is>
      </c>
      <c r="H115" s="2">
        <v>46266.726447</v>
      </c>
      <c r="I115" s="2">
        <v>46289.625</v>
      </c>
      <c r="J115" s="0">
        <v>17</v>
      </c>
      <c r="K115" s="3"/>
      <c r="L115" s="0" t="inlineStr">
        <is>
          <t xml:space="preserve">CLP</t>
        </is>
      </c>
      <c r="M115" s="0" t="inlineStr">
        <is>
          <t xml:space="preserve">LP</t>
        </is>
      </c>
      <c r="N115" s="4" t="inlineStr">
        <is>
          <t xml:space="preserve">Tecnologías de la información, telecomunicaciones y radiodifusión / Equipos, plataformas y accesorios de redes multimedia, voz y datos / Equipos de seguridad de red</t>
        </is>
      </c>
      <c r="O115" s="4" t="inlineStr">
        <is>
          <t xml:space="preserve">1 Unidad · Equipo de seguridad de evaluación de vulnerabilidad</t>
        </is>
      </c>
      <c r="P115" s="2"/>
      <c r="Q115" s="2"/>
      <c r="R115" s="0" t="inlineStr">
        <is>
          <t xml:space="preserve">13 meses</t>
        </is>
      </c>
      <c r="S115" s="0" t="inlineStr">
        <is>
          <t xml:space="preserve">No</t>
        </is>
      </c>
      <c r="T115" s="4"/>
      <c r="U115" s="0" t="inlineStr">
        <is>
          <t xml:space="preserve">Fernando Peña Rivera</t>
        </is>
      </c>
      <c r="V115"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115" s="5" t="str">
        <f>HYPERLINK("https://www.mercadopublico.cl/Procurement/Modules/RFB/DetailsAcquisition.aspx?idlicitacion=85-34-LP26","descargar bases")</f>
      </c>
    </row>
    <row r="116">
      <c r="A116" s="0" t="inlineStr">
        <is>
          <t xml:space="preserve">732434-20-LP26</t>
        </is>
      </c>
      <c r="B116" s="4" t="inlineStr">
        <is>
          <t xml:space="preserve">SERVICIO INFORMÁTICO PARA EL CENTRO DE SANGRE CONC</t>
        </is>
      </c>
      <c r="C116" s="0" t="inlineStr">
        <is>
          <t xml:space="preserve">Publicada</t>
        </is>
      </c>
      <c r="D116" s="0" t="inlineStr">
        <is>
          <t xml:space="preserve">SERVICIO DE SALUD CONCEPCION</t>
        </is>
      </c>
      <c r="E116" s="0" t="inlineStr">
        <is>
          <t xml:space="preserve">Centro de Sangre</t>
        </is>
      </c>
      <c r="F116" s="0" t="inlineStr">
        <is>
          <t xml:space="preserve">Región del Biobío </t>
        </is>
      </c>
      <c r="G116" s="0"/>
      <c r="H116" s="2">
        <v>46268.542164</v>
      </c>
      <c r="I116" s="2">
        <v>46289.708333</v>
      </c>
      <c r="J116" s="0">
        <v>17</v>
      </c>
      <c r="K116" s="3"/>
      <c r="L116" s="0" t="inlineStr">
        <is>
          <t xml:space="preserve">CLP</t>
        </is>
      </c>
      <c r="M116" s="0" t="inlineStr">
        <is>
          <t xml:space="preserve">LP</t>
        </is>
      </c>
      <c r="N116" s="4" t="inlineStr">
        <is>
          <t xml:space="preserve">Servicios basados en ingeniería, ciencias sociales y tecnología de la información / Servicios informáticos / Ingeniería en computación e informática</t>
        </is>
      </c>
      <c r="O116" s="4" t="inlineStr">
        <is>
          <t xml:space="preserve">1 Unidad · Diseño de aplicaciones para mainframe</t>
        </is>
      </c>
      <c r="P116" s="2"/>
      <c r="Q116" s="2"/>
      <c r="R116" s="0" t="inlineStr">
        <is>
          <t xml:space="preserve">36 meses</t>
        </is>
      </c>
      <c r="S116" s="0" t="inlineStr">
        <is>
          <t xml:space="preserve">No</t>
        </is>
      </c>
      <c r="T116" s="4"/>
      <c r="U116" s="0" t="inlineStr">
        <is>
          <t xml:space="preserve">Ricardo Ferreira Hormazabal</t>
        </is>
      </c>
      <c r="V116"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116" s="5" t="str">
        <f>HYPERLINK("https://www.mercadopublico.cl/Procurement/Modules/RFB/DetailsAcquisition.aspx?idlicitacion=732434-20-LP26","descargar bases")</f>
      </c>
    </row>
    <row r="117">
      <c r="A117" s="0" t="inlineStr">
        <is>
          <t xml:space="preserve">1973-93-LR26</t>
        </is>
      </c>
      <c r="B117" s="4" t="inlineStr">
        <is>
          <t xml:space="preserve">SISTEMA DE INFORMACIÓN DE GESTIÓN ADMINISTRATIVA Y FARMACIA</t>
        </is>
      </c>
      <c r="C117" s="0" t="inlineStr">
        <is>
          <t xml:space="preserve">Publicada</t>
        </is>
      </c>
      <c r="D117" s="0" t="inlineStr">
        <is>
          <t xml:space="preserve">CENTRO DE REFERENCIA DE SALUD DE PENALOLEN CORDILLERA ORIENTE</t>
        </is>
      </c>
      <c r="E117" s="0" t="inlineStr">
        <is>
          <t xml:space="preserve">CRS de Peñalolen Cordillera Oriente</t>
        </is>
      </c>
      <c r="F117" s="0" t="inlineStr">
        <is>
          <t xml:space="preserve">Región Metropolitana de Santiago</t>
        </is>
      </c>
      <c r="G117" s="0" t="inlineStr">
        <is>
          <t xml:space="preserve">Peñalolén</t>
        </is>
      </c>
      <c r="H117" s="2">
        <v>46259.456759</v>
      </c>
      <c r="I117" s="2">
        <v>46289.729167</v>
      </c>
      <c r="J117" s="0">
        <v>17</v>
      </c>
      <c r="K117" s="3">
        <v>414000000.0</v>
      </c>
      <c r="L117" s="0" t="inlineStr">
        <is>
          <t xml:space="preserve">CLP</t>
        </is>
      </c>
      <c r="M117" s="0" t="inlineStr">
        <is>
          <t xml:space="preserve">LR</t>
        </is>
      </c>
      <c r="N117" s="4" t="inlineStr">
        <is>
          <t xml:space="preserve">Tecnologías de la información, telecomunicaciones y radiodifusión / Software / Software de planificación de recursos empresariales (ERP) y contabilidad financiera</t>
        </is>
      </c>
      <c r="O117" s="4" t="inlineStr">
        <is>
          <t xml:space="preserve">1 Global · Software de planificación de recursos empresariales (ERP)</t>
        </is>
      </c>
      <c r="P117" s="2"/>
      <c r="Q117" s="2"/>
      <c r="R117" s="0" t="inlineStr">
        <is>
          <t xml:space="preserve">60 meses</t>
        </is>
      </c>
      <c r="S117" s="0" t="inlineStr">
        <is>
          <t xml:space="preserve">No</t>
        </is>
      </c>
      <c r="T117" s="4"/>
      <c r="U117" s="0" t="inlineStr">
        <is>
          <t xml:space="preserve">JEFE TICS</t>
        </is>
      </c>
      <c r="V117"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17" s="5" t="str">
        <f>HYPERLINK("https://www.mercadopublico.cl/Procurement/Modules/RFB/DetailsAcquisition.aspx?idlicitacion=1973-93-LR26","descargar bases")</f>
      </c>
    </row>
    <row r="118">
      <c r="A118" s="0" t="inlineStr">
        <is>
          <t xml:space="preserve">2048-57-LP26</t>
        </is>
      </c>
      <c r="B118" s="4" t="inlineStr">
        <is>
          <t xml:space="preserve">Convenio de Software de Gestión de Mantenimiento</t>
        </is>
      </c>
      <c r="C118" s="0" t="inlineStr">
        <is>
          <t xml:space="preserve">Publicada</t>
        </is>
      </c>
      <c r="D118" s="0" t="inlineStr">
        <is>
          <t xml:space="preserve">SERVICIO DE SALUD CHILOE</t>
        </is>
      </c>
      <c r="E118" s="0" t="inlineStr">
        <is>
          <t xml:space="preserve">Hospital de Ancud</t>
        </is>
      </c>
      <c r="F118" s="0" t="inlineStr">
        <is>
          <t xml:space="preserve">Región de los Lagos </t>
        </is>
      </c>
      <c r="G118" s="0"/>
      <c r="H118" s="2">
        <v>46269.407778</v>
      </c>
      <c r="I118" s="2">
        <v>46290.625</v>
      </c>
      <c r="J118" s="0">
        <v>18</v>
      </c>
      <c r="K118" s="3"/>
      <c r="L118" s="0" t="inlineStr">
        <is>
          <t xml:space="preserve">CLP</t>
        </is>
      </c>
      <c r="M118" s="0" t="inlineStr">
        <is>
          <t xml:space="preserve">LP</t>
        </is>
      </c>
      <c r="N118" s="4" t="inlineStr">
        <is>
          <t xml:space="preserve">Tecnologías de la información, telecomunicaciones y radiodifusión / Software / Software de administración de redes</t>
        </is>
      </c>
      <c r="O118" s="4" t="inlineStr">
        <is>
          <t xml:space="preserve">1 Unidad no definida · Software de administración</t>
        </is>
      </c>
      <c r="P118" s="2"/>
      <c r="Q118" s="2"/>
      <c r="R118" s="0" t="inlineStr">
        <is>
          <t xml:space="preserve">60 meses</t>
        </is>
      </c>
      <c r="S118" s="0" t="inlineStr">
        <is>
          <t xml:space="preserve">No</t>
        </is>
      </c>
      <c r="T118" s="4" t="inlineStr">
        <is>
          <t xml:space="preserve">El adjudicatario no podrá ceder ni transferir en forma alguna, total ni parcialmente los derechos y obligaciones que nacen del desarrollo de la licitación. No se permite subcontratación</t>
        </is>
      </c>
      <c r="U118" s="0" t="inlineStr">
        <is>
          <t xml:space="preserve">Gissela Arriagada Vilches</t>
        </is>
      </c>
      <c r="V118"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118" s="5" t="str">
        <f>HYPERLINK("https://www.mercadopublico.cl/Procurement/Modules/RFB/DetailsAcquisition.aspx?idlicitacion=2048-57-LP26","descargar bases")</f>
      </c>
    </row>
    <row r="119">
      <c r="A119" s="0" t="inlineStr">
        <is>
          <t xml:space="preserve">2239-2-LR26</t>
        </is>
      </c>
      <c r="B119" s="4" t="inlineStr">
        <is>
          <t xml:space="preserve">Convenio Marco Desarrollo de software</t>
        </is>
      </c>
      <c r="C119" s="0" t="inlineStr">
        <is>
          <t xml:space="preserve">Publicada</t>
        </is>
      </c>
      <c r="D119" s="0" t="inlineStr">
        <is>
          <t xml:space="preserve">DIRECCION DE COMPRAS Y CONTRATACION PUBLICA</t>
        </is>
      </c>
      <c r="E119" s="0" t="inlineStr">
        <is>
          <t xml:space="preserve">División de Convenio Marco</t>
        </is>
      </c>
      <c r="F119" s="0" t="inlineStr">
        <is>
          <t xml:space="preserve">Región Metropolitana de Santiago</t>
        </is>
      </c>
      <c r="G119" s="0" t="inlineStr">
        <is>
          <t xml:space="preserve">Santiago</t>
        </is>
      </c>
      <c r="H119" s="2">
        <v>46217.7375</v>
      </c>
      <c r="I119" s="2">
        <v>46290.625</v>
      </c>
      <c r="J119" s="0">
        <v>18</v>
      </c>
      <c r="K119" s="3"/>
      <c r="L119" s="0" t="inlineStr">
        <is>
          <t xml:space="preserve">UTM</t>
        </is>
      </c>
      <c r="M119" s="0" t="inlineStr">
        <is>
          <t xml:space="preserve">LR</t>
        </is>
      </c>
      <c r="N119" s="4" t="inlineStr">
        <is>
          <t xml:space="preserve">Servicios profesionales, administrativos y consultorías de gestión empresarial / Servicios de recursos humanos / Contratación de personal</t>
        </is>
      </c>
      <c r="O119" s="4" t="inlineStr">
        <is>
          <t xml:space="preserve">1 Unidad · Desarrolladores de software</t>
        </is>
      </c>
      <c r="P119" s="2"/>
      <c r="Q119" s="2"/>
      <c r="R119" s="0"/>
      <c r="S119" s="0" t="inlineStr">
        <is>
          <t xml:space="preserve">No</t>
        </is>
      </c>
      <c r="T119"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19" s="0" t="inlineStr">
        <is>
          <t xml:space="preserve">Convenio Marco</t>
        </is>
      </c>
      <c r="V119" s="4" t="inlineStr">
        <is>
          <t xml:space="preserve">Convenio Marco para la adquisición de los Servicios de Desarrollo y Mantención de Software, Servicios Profesionales TI y Cloud Computing</t>
        </is>
      </c>
      <c r="W119" s="5" t="str">
        <f>HYPERLINK("https://www.mercadopublico.cl/Procurement/Modules/RFB/DetailsAcquisition.aspx?idlicitacion=2239-2-LR26","descargar bases")</f>
      </c>
    </row>
    <row r="120">
      <c r="A120" s="0" t="inlineStr">
        <is>
          <t xml:space="preserve">1607-13-LR26</t>
        </is>
      </c>
      <c r="B120" s="4" t="inlineStr">
        <is>
          <t xml:space="preserve">servicio SD-WAN LAN telefonía en la nube y enlaces</t>
        </is>
      </c>
      <c r="C120" s="0" t="inlineStr">
        <is>
          <t xml:space="preserve">Publicada</t>
        </is>
      </c>
      <c r="D120" s="0" t="inlineStr">
        <is>
          <t xml:space="preserve">SUPERINTENDENCIA DE SEGURIDAD SOCIAL</t>
        </is>
      </c>
      <c r="E120" s="0" t="inlineStr">
        <is>
          <t xml:space="preserve">Superintendencia de Seguridad Social</t>
        </is>
      </c>
      <c r="F120" s="0" t="inlineStr">
        <is>
          <t xml:space="preserve">Región Metropolitana de Santiago</t>
        </is>
      </c>
      <c r="G120" s="0" t="inlineStr">
        <is>
          <t xml:space="preserve">Santiago Centro</t>
        </is>
      </c>
      <c r="H120" s="2">
        <v>46262.635741</v>
      </c>
      <c r="I120" s="2">
        <v>46293.645833</v>
      </c>
      <c r="J120" s="0">
        <v>21</v>
      </c>
      <c r="K120" s="3">
        <v>450000000.0</v>
      </c>
      <c r="L120" s="0" t="inlineStr">
        <is>
          <t xml:space="preserve">CLP</t>
        </is>
      </c>
      <c r="M120" s="0" t="inlineStr">
        <is>
          <t xml:space="preserve">LR</t>
        </is>
      </c>
      <c r="N120" s="4" t="inlineStr">
        <is>
          <t xml:space="preserve">Servicios basados en ingeniería, ciencias sociales y tecnología de la información / Servicios informáticos / Sistemas de información</t>
        </is>
      </c>
      <c r="O120" s="4" t="inlineStr">
        <is>
          <t xml:space="preserve">1 Unidad · Diseño de redes de comunicación de cobertura amplia (WAN)</t>
        </is>
      </c>
      <c r="P120" s="2"/>
      <c r="Q120" s="2"/>
      <c r="R120" s="0"/>
      <c r="S120" s="0" t="inlineStr">
        <is>
          <t xml:space="preserve">No</t>
        </is>
      </c>
      <c r="T120"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20" s="0" t="inlineStr">
        <is>
          <t xml:space="preserve">Henry Gonzalez</t>
        </is>
      </c>
      <c r="V120"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20" s="5" t="str">
        <f>HYPERLINK("https://www.mercadopublico.cl/Procurement/Modules/RFB/DetailsAcquisition.aspx?idlicitacion=1607-13-LR26","descargar bases")</f>
      </c>
    </row>
    <row r="121">
      <c r="A121" s="0" t="inlineStr">
        <is>
          <t xml:space="preserve">4051-16-LP26</t>
        </is>
      </c>
      <c r="B121" s="4" t="inlineStr">
        <is>
          <t xml:space="preserve">SERVICIO ADMINISTRADO DE INTERNET RED DE DATOS Y</t>
        </is>
      </c>
      <c r="C121" s="0" t="inlineStr">
        <is>
          <t xml:space="preserve">Publicada</t>
        </is>
      </c>
      <c r="D121" s="0" t="inlineStr">
        <is>
          <t xml:space="preserve">I MUNICIPALIDAD DE OLLAGUE</t>
        </is>
      </c>
      <c r="E121" s="0" t="inlineStr">
        <is>
          <t xml:space="preserve">Municipalidad de Ollagüe</t>
        </is>
      </c>
      <c r="F121" s="0" t="inlineStr">
        <is>
          <t xml:space="preserve">Región de Antofagasta </t>
        </is>
      </c>
      <c r="G121" s="0" t="inlineStr">
        <is>
          <t xml:space="preserve">Ollague</t>
        </is>
      </c>
      <c r="H121" s="2">
        <v>46269.532604</v>
      </c>
      <c r="I121" s="2">
        <v>46293.666667</v>
      </c>
      <c r="J121" s="0">
        <v>21</v>
      </c>
      <c r="K121" s="3"/>
      <c r="L121" s="0" t="inlineStr">
        <is>
          <t xml:space="preserve">CLF</t>
        </is>
      </c>
      <c r="M121" s="0" t="inlineStr">
        <is>
          <t xml:space="preserve">LP</t>
        </is>
      </c>
      <c r="N121" s="4" t="inlineStr">
        <is>
          <t xml:space="preserve">Servicios basados en ingeniería, ciencias sociales y tecnología de la información / Servicios informáticos / Servicios para internet</t>
        </is>
      </c>
      <c r="O121" s="4" t="inlineStr">
        <is>
          <t xml:space="preserve">1 Unidad · Proveedores de servicio de Internet (ISP)</t>
        </is>
      </c>
      <c r="P121" s="2"/>
      <c r="Q121" s="2"/>
      <c r="R121" s="0" t="inlineStr">
        <is>
          <t xml:space="preserve">48 meses</t>
        </is>
      </c>
      <c r="S121" s="0" t="inlineStr">
        <is>
          <t xml:space="preserve">No</t>
        </is>
      </c>
      <c r="T121" s="4"/>
      <c r="U121" s="0" t="inlineStr">
        <is>
          <t xml:space="preserve">Jhean Ramírez Domínguez</t>
        </is>
      </c>
      <c r="V121"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21" s="5" t="str">
        <f>HYPERLINK("https://www.mercadopublico.cl/Procurement/Modules/RFB/DetailsAcquisition.aspx?idlicitacion=4051-16-LP26","descargar bases")</f>
      </c>
    </row>
    <row r="122">
      <c r="A122" s="0" t="inlineStr">
        <is>
          <t xml:space="preserve">726931-1-LE26</t>
        </is>
      </c>
      <c r="B122" s="4" t="inlineStr">
        <is>
          <t xml:space="preserve">PLATAFORMA INTEGRAL ALUMNI Y EMPLEABILIDAD UTA</t>
        </is>
      </c>
      <c r="C122" s="0" t="inlineStr">
        <is>
          <t xml:space="preserve">Publicada</t>
        </is>
      </c>
      <c r="D122" s="0" t="inlineStr">
        <is>
          <t xml:space="preserve">UNIVERSIDAD DE TARAPACA</t>
        </is>
      </c>
      <c r="E122" s="0" t="inlineStr">
        <is>
          <t xml:space="preserve">Direccion General de  Vinculacion con el Medio</t>
        </is>
      </c>
      <c r="F122" s="0" t="inlineStr">
        <is>
          <t xml:space="preserve">Región de Arica y Parinacota</t>
        </is>
      </c>
      <c r="G122" s="0" t="inlineStr">
        <is>
          <t xml:space="preserve">Arica</t>
        </is>
      </c>
      <c r="H122" s="2">
        <v>46269.717674</v>
      </c>
      <c r="I122" s="2">
        <v>46293.666667</v>
      </c>
      <c r="J122" s="0">
        <v>21</v>
      </c>
      <c r="K122" s="3">
        <v>15000000.0</v>
      </c>
      <c r="L122" s="0" t="inlineStr">
        <is>
          <t xml:space="preserve">CLP</t>
        </is>
      </c>
      <c r="M122" s="0" t="inlineStr">
        <is>
          <t xml:space="preserve">LE</t>
        </is>
      </c>
      <c r="N122" s="4" t="inlineStr">
        <is>
          <t xml:space="preserve">Tecnologías de la información, telecomunicaciones y radiodifusión / Software / Programas de desarrollo</t>
        </is>
      </c>
      <c r="O122" s="4" t="inlineStr">
        <is>
          <t xml:space="preserve">1 Global · Software de desarrollo de plataforma Web</t>
        </is>
      </c>
      <c r="P122" s="2"/>
      <c r="Q122" s="2"/>
      <c r="R122" s="0"/>
      <c r="S122" s="0" t="inlineStr">
        <is>
          <t xml:space="preserve">No</t>
        </is>
      </c>
      <c r="T122" s="4" t="inlineStr">
        <is>
          <t xml:space="preserve">De acuerdo al Capítulo VIII Contrato de suministro y servicio, párrafo 4 Cesión y subcontratación, Artículo 128. Subcontratación del reglamento de Ley Nº 19.886 sobre compras públicas.</t>
        </is>
      </c>
      <c r="U122" s="0" t="inlineStr">
        <is>
          <t xml:space="preserve">Daniela González Erber</t>
        </is>
      </c>
      <c r="V122"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22" s="5" t="str">
        <f>HYPERLINK("https://www.mercadopublico.cl/Procurement/Modules/RFB/DetailsAcquisition.aspx?idlicitacion=726931-1-LE26","descargar bases")</f>
      </c>
    </row>
    <row r="123">
      <c r="A123" s="0" t="inlineStr">
        <is>
          <t xml:space="preserve">1274285-45-LP26</t>
        </is>
      </c>
      <c r="B123" s="4" t="inlineStr">
        <is>
          <t xml:space="preserve">Software de gestión Droguería Comunal</t>
        </is>
      </c>
      <c r="C123" s="0" t="inlineStr">
        <is>
          <t xml:space="preserve">Publicada</t>
        </is>
      </c>
      <c r="D123" s="0" t="inlineStr">
        <is>
          <t xml:space="preserve">CORPORACION MUNICIPAL DE EDUCACION Y SALUD DE SAN BERNARDO</t>
        </is>
      </c>
      <c r="E123" s="0" t="inlineStr">
        <is>
          <t xml:space="preserve">SALUD</t>
        </is>
      </c>
      <c r="F123" s="0" t="inlineStr">
        <is>
          <t xml:space="preserve">Región Metropolitana de Santiago</t>
        </is>
      </c>
      <c r="G123" s="0"/>
      <c r="H123" s="2">
        <v>46265.493137</v>
      </c>
      <c r="I123" s="2">
        <v>46293.75</v>
      </c>
      <c r="J123" s="0">
        <v>21</v>
      </c>
      <c r="K123" s="3"/>
      <c r="L123" s="0" t="inlineStr">
        <is>
          <t xml:space="preserve">CLP</t>
        </is>
      </c>
      <c r="M123" s="0" t="inlineStr">
        <is>
          <t xml:space="preserve">LP</t>
        </is>
      </c>
      <c r="N123" s="4" t="inlineStr">
        <is>
          <t xml:space="preserve">Tecnologías de la información, telecomunicaciones y radiodifusión / Software / Software de gestión</t>
        </is>
      </c>
      <c r="O123" s="4" t="inlineStr">
        <is>
          <t xml:space="preserve">1 Unidad · Software de cadena de suministro y logística de planificación de requisitos de materiales</t>
        </is>
      </c>
      <c r="P123" s="2"/>
      <c r="Q123" s="2"/>
      <c r="R123" s="0" t="inlineStr">
        <is>
          <t xml:space="preserve">36 meses</t>
        </is>
      </c>
      <c r="S123" s="0" t="inlineStr">
        <is>
          <t xml:space="preserve">No</t>
        </is>
      </c>
      <c r="T123" s="4"/>
      <c r="U123" s="0" t="inlineStr">
        <is>
          <t xml:space="preserve">Erwin Rodriguez Basulto</t>
        </is>
      </c>
      <c r="V123"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23" s="5" t="str">
        <f>HYPERLINK("https://www.mercadopublico.cl/Procurement/Modules/RFB/DetailsAcquisition.aspx?idlicitacion=1274285-45-LP26","descargar bases")</f>
      </c>
    </row>
    <row r="124">
      <c r="A124" s="0" t="inlineStr">
        <is>
          <t xml:space="preserve">548874-72-LR26</t>
        </is>
      </c>
      <c r="B124" s="4" t="inlineStr">
        <is>
          <t xml:space="preserve">SERV. DE ADMINISTRACION PLATAFORMAS TECNOLOGICAS</t>
        </is>
      </c>
      <c r="C124" s="0" t="inlineStr">
        <is>
          <t xml:space="preserve">Publicada</t>
        </is>
      </c>
      <c r="D124" s="0" t="inlineStr">
        <is>
          <t xml:space="preserve">INSTITUTO DE PREVISION SOCIAL</t>
        </is>
      </c>
      <c r="E124" s="0" t="inlineStr">
        <is>
          <t xml:space="preserve">IPS Oficina Central de Compras</t>
        </is>
      </c>
      <c r="F124" s="0" t="inlineStr">
        <is>
          <t xml:space="preserve">Región Metropolitana de Santiago</t>
        </is>
      </c>
      <c r="G124" s="0" t="inlineStr">
        <is>
          <t xml:space="preserve">Santiago</t>
        </is>
      </c>
      <c r="H124" s="2">
        <v>46258.545255</v>
      </c>
      <c r="I124" s="2">
        <v>46295.625</v>
      </c>
      <c r="J124" s="0">
        <v>23</v>
      </c>
      <c r="K124" s="3">
        <v>24000.0</v>
      </c>
      <c r="L124" s="0" t="inlineStr">
        <is>
          <t xml:space="preserve">CLF</t>
        </is>
      </c>
      <c r="M124" s="0" t="inlineStr">
        <is>
          <t xml:space="preserve">LR</t>
        </is>
      </c>
      <c r="N124" s="4" t="inlineStr">
        <is>
          <t xml:space="preserve">Tecnologías de la información, telecomunicaciones y radiodifusión / Software / Software de consultas y gestión de datos</t>
        </is>
      </c>
      <c r="O124" s="4" t="inlineStr">
        <is>
          <t xml:space="preserve">1 Global · Software del sistema de administración de bases de datos</t>
        </is>
      </c>
      <c r="P124" s="2"/>
      <c r="Q124" s="2"/>
      <c r="R124" s="0" t="inlineStr">
        <is>
          <t xml:space="preserve">12 meses</t>
        </is>
      </c>
      <c r="S124" s="0" t="inlineStr">
        <is>
          <t xml:space="preserve">No</t>
        </is>
      </c>
      <c r="T124" s="4" t="inlineStr">
        <is>
          <t xml:space="preserve">Ver bases administrativas punto 16.</t>
        </is>
      </c>
      <c r="U124" s="0" t="inlineStr">
        <is>
          <t xml:space="preserve">Por Definir</t>
        </is>
      </c>
      <c r="V124" s="4" t="inlineStr">
        <is>
          <t xml:space="preserve">SERVICIO DE ADMINISTRACION, GESTION, CONFIGURACION, RESPALDOS Y
MANTENCION DE LAS PLATAFORMAS TECNOLOGICAS DE IPS– E1O2RT8</t>
        </is>
      </c>
      <c r="W124" s="5" t="str">
        <f>HYPERLINK("https://www.mercadopublico.cl/Procurement/Modules/RFB/DetailsAcquisition.aspx?idlicitacion=548874-72-LR26","descargar bases")</f>
      </c>
    </row>
    <row r="125">
      <c r="A125" s="0" t="inlineStr">
        <is>
          <t xml:space="preserve">4295-67-LP26</t>
        </is>
      </c>
      <c r="B125" s="4" t="inlineStr">
        <is>
          <t xml:space="preserve">Servicio de enlace de datos voz IP y CCTV para oficinas remotas</t>
        </is>
      </c>
      <c r="C125" s="0" t="inlineStr">
        <is>
          <t xml:space="preserve">Publicada</t>
        </is>
      </c>
      <c r="D125" s="0" t="inlineStr">
        <is>
          <t xml:space="preserve">ILUSTRE MUNICIPALIDAD DE LA SERENA</t>
        </is>
      </c>
      <c r="E125" s="0" t="inlineStr">
        <is>
          <t xml:space="preserve">SECRETARIA COMUNAL DE PLANIFICACION</t>
        </is>
      </c>
      <c r="F125" s="0" t="inlineStr">
        <is>
          <t xml:space="preserve">Región de Coquimbo </t>
        </is>
      </c>
      <c r="G125" s="0" t="inlineStr">
        <is>
          <t xml:space="preserve">La Serena</t>
        </is>
      </c>
      <c r="H125" s="2">
        <v>46268.383877</v>
      </c>
      <c r="I125" s="2">
        <v>46296.416667</v>
      </c>
      <c r="J125" s="0">
        <v>24</v>
      </c>
      <c r="K125" s="3">
        <v>108000000.0</v>
      </c>
      <c r="L125" s="0" t="inlineStr">
        <is>
          <t xml:space="preserve">CLP</t>
        </is>
      </c>
      <c r="M125" s="0" t="inlineStr">
        <is>
          <t xml:space="preserve">LP</t>
        </is>
      </c>
      <c r="N125" s="4" t="inlineStr">
        <is>
          <t xml:space="preserve">Servicios básicos y de información pública / Telecomunicaciones / Comunicaciones móviles</t>
        </is>
      </c>
      <c r="O125" s="4" t="inlineStr">
        <is>
          <t xml:space="preserve">1 Unidad · Servicio de redes para mejorar la señal de telecomunicaciones</t>
        </is>
      </c>
      <c r="P125" s="2"/>
      <c r="Q125" s="2"/>
      <c r="R125" s="0" t="inlineStr">
        <is>
          <t xml:space="preserve">36 meses</t>
        </is>
      </c>
      <c r="S125" s="0" t="inlineStr">
        <is>
          <t xml:space="preserve">No</t>
        </is>
      </c>
      <c r="T125" s="4" t="inlineStr">
        <is>
          <t xml:space="preserve">Ver Bases Administrativas</t>
        </is>
      </c>
      <c r="U125" s="0" t="inlineStr">
        <is>
          <t xml:space="preserve">Departamento de Modernización y TIC`s</t>
        </is>
      </c>
      <c r="V125"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25" s="5" t="str">
        <f>HYPERLINK("https://www.mercadopublico.cl/Procurement/Modules/RFB/DetailsAcquisition.aspx?idlicitacion=4295-67-LP26","descargar bases")</f>
      </c>
    </row>
    <row r="126">
      <c r="A126" s="0" t="inlineStr">
        <is>
          <t xml:space="preserve">548874-74-LR26</t>
        </is>
      </c>
      <c r="B126" s="4" t="inlineStr">
        <is>
          <t xml:space="preserve">SERV DE PLATAFORMA SIEM NUEVA GENERACIÓN SAAS IPS</t>
        </is>
      </c>
      <c r="C126" s="0" t="inlineStr">
        <is>
          <t xml:space="preserve">Publicada</t>
        </is>
      </c>
      <c r="D126" s="0" t="inlineStr">
        <is>
          <t xml:space="preserve">INSTITUTO DE PREVISION SOCIAL</t>
        </is>
      </c>
      <c r="E126" s="0" t="inlineStr">
        <is>
          <t xml:space="preserve">IPS Oficina Central de Compras</t>
        </is>
      </c>
      <c r="F126" s="0" t="inlineStr">
        <is>
          <t xml:space="preserve">Región Metropolitana de Santiago</t>
        </is>
      </c>
      <c r="G126" s="0" t="inlineStr">
        <is>
          <t xml:space="preserve">Santiago</t>
        </is>
      </c>
      <c r="H126" s="2">
        <v>46260.456458</v>
      </c>
      <c r="I126" s="2">
        <v>46297.625</v>
      </c>
      <c r="J126" s="0">
        <v>25</v>
      </c>
      <c r="K126" s="3">
        <v>565250.0</v>
      </c>
      <c r="L126" s="0" t="inlineStr">
        <is>
          <t xml:space="preserve">USD</t>
        </is>
      </c>
      <c r="M126" s="0" t="inlineStr">
        <is>
          <t xml:space="preserve">LR</t>
        </is>
      </c>
      <c r="N126" s="4" t="inlineStr">
        <is>
          <t xml:space="preserve">Tecnologías de la información, telecomunicaciones y radiodifusión / Software / Software de seguridad y protección</t>
        </is>
      </c>
      <c r="O126" s="4" t="inlineStr">
        <is>
          <t xml:space="preserve">1 Global · Software de protección antivirus y de seguridad de transacciones</t>
        </is>
      </c>
      <c r="P126" s="2"/>
      <c r="Q126" s="2"/>
      <c r="R126" s="0" t="inlineStr">
        <is>
          <t xml:space="preserve">12 meses</t>
        </is>
      </c>
      <c r="S126" s="0" t="inlineStr">
        <is>
          <t xml:space="preserve">No</t>
        </is>
      </c>
      <c r="T126" s="4" t="inlineStr">
        <is>
          <t xml:space="preserve">Según punto 16 de las bases</t>
        </is>
      </c>
      <c r="U126" s="0" t="inlineStr">
        <is>
          <t xml:space="preserve">por definir</t>
        </is>
      </c>
      <c r="V126" s="4" t="inlineStr">
        <is>
          <t xml:space="preserve">E102RT8 - SERVICIO DE PLATAFORMA SIEM DE NUEVA GENERACIÓN EN MODALIDAD SAAS PARA EL INSTITUTO DE PREVISIÓN SOCIAL</t>
        </is>
      </c>
      <c r="W126" s="5" t="str">
        <f>HYPERLINK("https://www.mercadopublico.cl/Procurement/Modules/RFB/DetailsAcquisition.aspx?idlicitacion=548874-74-LR26","descargar bases")</f>
      </c>
    </row>
    <row r="127">
      <c r="A127" s="0" t="inlineStr">
        <is>
          <t xml:space="preserve">1057049-332-LR26</t>
        </is>
      </c>
      <c r="B127" s="4" t="inlineStr">
        <is>
          <t xml:space="preserve">JLL BASES SERVICIO DE TURNOS PROFESIONALES PARA DESARROLLO DE SOFTWARE INTERNO DEL HOSPITAL CLÍNICO SAN BORJA ARRIARÁN</t>
        </is>
      </c>
      <c r="C127" s="0" t="inlineStr">
        <is>
          <t xml:space="preserve">Publicada</t>
        </is>
      </c>
      <c r="D127" s="0" t="inlineStr">
        <is>
          <t xml:space="preserve">SERV SALUD METROPOLITANO CENTRAL HOSPITAL CLINICO SAN BORJA ARRIARAN</t>
        </is>
      </c>
      <c r="E127" s="0" t="inlineStr">
        <is>
          <t xml:space="preserve">Bienes y Servicios</t>
        </is>
      </c>
      <c r="F127" s="0" t="inlineStr">
        <is>
          <t xml:space="preserve">Región Metropolitana de Santiago</t>
        </is>
      </c>
      <c r="G127" s="0" t="inlineStr">
        <is>
          <t xml:space="preserve">Santiago</t>
        </is>
      </c>
      <c r="H127" s="2">
        <v>46267.711424</v>
      </c>
      <c r="I127" s="2">
        <v>46300.645833</v>
      </c>
      <c r="J127" s="0">
        <v>28</v>
      </c>
      <c r="K127" s="3">
        <v>819072000.0</v>
      </c>
      <c r="L127" s="0" t="inlineStr">
        <is>
          <t xml:space="preserve">CLP</t>
        </is>
      </c>
      <c r="M127" s="0" t="inlineStr">
        <is>
          <t xml:space="preserve">LR</t>
        </is>
      </c>
      <c r="N127" s="4" t="inlineStr">
        <is>
          <t xml:space="preserve">Servicios profesionales, administrativos y consultorías de gestión empresarial / Servicios de recursos humanos / Servicios de personal temporal</t>
        </is>
      </c>
      <c r="O127" s="4" t="inlineStr">
        <is>
          <t xml:space="preserve">1 Global · Personal técnico temporal</t>
        </is>
      </c>
      <c r="P127" s="2"/>
      <c r="Q127" s="2"/>
      <c r="R127" s="0" t="inlineStr">
        <is>
          <t xml:space="preserve">24 meses</t>
        </is>
      </c>
      <c r="S127" s="0" t="inlineStr">
        <is>
          <t xml:space="preserve">No</t>
        </is>
      </c>
      <c r="T127" s="4"/>
      <c r="U127" s="0" t="inlineStr">
        <is>
          <t xml:space="preserve">JUAN CARLOS LAFONT</t>
        </is>
      </c>
      <c r="V127" s="4" t="inlineStr">
        <is>
          <t xml:space="preserve">CONTRATACION DE TURNOS PROFESIONALES PARA DESARROLLO DE SOFTWARE INTERNO DEL HOSPITAL CLÍNICO SAN BORJA ARRIARÁN</t>
        </is>
      </c>
      <c r="W127" s="5" t="str">
        <f>HYPERLINK("https://www.mercadopublico.cl/Procurement/Modules/RFB/DetailsAcquisition.aspx?idlicitacion=1057049-332-LR26","descargar bases")</f>
      </c>
    </row>
    <row r="128">
      <c r="A128" s="0" t="inlineStr">
        <is>
          <t xml:space="preserve">548874-77-LR26</t>
        </is>
      </c>
      <c r="B128" s="4" t="inlineStr">
        <is>
          <t xml:space="preserve">MANTENCIÓN Y MEJORA SISTEMA CIBERSEGURIDAD NCH ISO</t>
        </is>
      </c>
      <c r="C128" s="0" t="inlineStr">
        <is>
          <t xml:space="preserve">Publicada</t>
        </is>
      </c>
      <c r="D128" s="0" t="inlineStr">
        <is>
          <t xml:space="preserve">INSTITUTO DE PREVISION SOCIAL</t>
        </is>
      </c>
      <c r="E128" s="0" t="inlineStr">
        <is>
          <t xml:space="preserve">IPS Oficina Central de Compras</t>
        </is>
      </c>
      <c r="F128" s="0" t="inlineStr">
        <is>
          <t xml:space="preserve">Región Metropolitana de Santiago</t>
        </is>
      </c>
      <c r="G128" s="0" t="inlineStr">
        <is>
          <t xml:space="preserve">Santiago</t>
        </is>
      </c>
      <c r="H128" s="2">
        <v>46265.660069</v>
      </c>
      <c r="I128" s="2">
        <v>46301.625</v>
      </c>
      <c r="J128" s="0">
        <v>29</v>
      </c>
      <c r="K128" s="3">
        <v>11000.0</v>
      </c>
      <c r="L128" s="0" t="inlineStr">
        <is>
          <t xml:space="preserve">CLF</t>
        </is>
      </c>
      <c r="M128" s="0" t="inlineStr">
        <is>
          <t xml:space="preserve">LR</t>
        </is>
      </c>
      <c r="N128" s="4" t="inlineStr">
        <is>
          <t xml:space="preserve">Tecnologías de la información, telecomunicaciones y radiodifusión / Software / Software de seguridad y protección</t>
        </is>
      </c>
      <c r="O128" s="4" t="inlineStr">
        <is>
          <t xml:space="preserve">1 Global · Software de administración de red privada virtual (VPN) o de seguridad de red</t>
        </is>
      </c>
      <c r="P128" s="2"/>
      <c r="Q128" s="2"/>
      <c r="R128" s="0" t="inlineStr">
        <is>
          <t xml:space="preserve">24 meses</t>
        </is>
      </c>
      <c r="S128" s="0" t="inlineStr">
        <is>
          <t xml:space="preserve">No</t>
        </is>
      </c>
      <c r="T128" s="4" t="inlineStr">
        <is>
          <t xml:space="preserve">Ver bases punto 16</t>
        </is>
      </c>
      <c r="U128" s="0" t="inlineStr">
        <is>
          <t xml:space="preserve">por definir</t>
        </is>
      </c>
      <c r="V128" s="4" t="inlineStr">
        <is>
          <t xml:space="preserve">E1O2RT8 - SERVICIO DE MANTENCIÓN Y MEJORA DEL SISTEMA DE GESTIÓN DE SEGURIDAD DE LA INFORMACIÓN Y CIBERSEGURIDAD INSTITUCIONAL NCH ISOIEC 27001</t>
        </is>
      </c>
      <c r="W128" s="5" t="str">
        <f>HYPERLINK("https://www.mercadopublico.cl/Procurement/Modules/RFB/DetailsAcquisition.aspx?idlicitacion=548874-77-LR26","descargar bases")</f>
      </c>
    </row>
    <row r="129">
      <c r="A129" s="0" t="inlineStr">
        <is>
          <t xml:space="preserve">1605-36-LR26</t>
        </is>
      </c>
      <c r="B129" s="4" t="inlineStr">
        <is>
          <t xml:space="preserve">LR-4252 Servicio de Red Datos WAN</t>
        </is>
      </c>
      <c r="C129" s="0" t="inlineStr">
        <is>
          <t xml:space="preserve">Publicada</t>
        </is>
      </c>
      <c r="D129" s="0" t="inlineStr">
        <is>
          <t xml:space="preserve">SERVICIO DE IMPUESTOS INTERNOS DIRECCION</t>
        </is>
      </c>
      <c r="E129" s="0" t="inlineStr">
        <is>
          <t xml:space="preserve">SII Dirección Nacional</t>
        </is>
      </c>
      <c r="F129" s="0" t="inlineStr">
        <is>
          <t xml:space="preserve">Región Metropolitana de Santiago</t>
        </is>
      </c>
      <c r="G129" s="0" t="inlineStr">
        <is>
          <t xml:space="preserve">Santiago</t>
        </is>
      </c>
      <c r="H129" s="2">
        <v>46195.661111</v>
      </c>
      <c r="I129" s="2">
        <v>46303.666667</v>
      </c>
      <c r="J129" s="0">
        <v>31</v>
      </c>
      <c r="K129" s="3">
        <v>232851.0</v>
      </c>
      <c r="L129" s="0" t="inlineStr">
        <is>
          <t xml:space="preserve">CLF</t>
        </is>
      </c>
      <c r="M129" s="0" t="inlineStr">
        <is>
          <t xml:space="preserve">LR</t>
        </is>
      </c>
      <c r="N129" s="4" t="inlineStr">
        <is>
          <t xml:space="preserve">Servicios basados en ingeniería, ciencias sociales y tecnología de la información / Servicios informáticos / Servicios para internet</t>
        </is>
      </c>
      <c r="O129" s="4" t="inlineStr">
        <is>
          <t xml:space="preserve">72 Mes · Proveedores de servicio de Internet (ISP) · 72 Mes · Proveedores de servicio de Internet (ISP)</t>
        </is>
      </c>
      <c r="P129" s="2"/>
      <c r="Q129" s="2"/>
      <c r="R129" s="0" t="inlineStr">
        <is>
          <t xml:space="preserve">72 meses</t>
        </is>
      </c>
      <c r="S129" s="0" t="inlineStr">
        <is>
          <t xml:space="preserve">No</t>
        </is>
      </c>
      <c r="T129" s="4"/>
      <c r="U129" s="0" t="inlineStr">
        <is>
          <t xml:space="preserve">Luis Venegas</t>
        </is>
      </c>
      <c r="V129"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29" s="5" t="str">
        <f>HYPERLINK("https://www.mercadopublico.cl/Procurement/Modules/RFB/DetailsAcquisition.aspx?idlicitacion=1605-36-LR26","descargar bases")</f>
      </c>
    </row>
    <row r="130">
      <c r="A130" s="0" t="inlineStr">
        <is>
          <t xml:space="preserve">976-15-O126</t>
        </is>
      </c>
      <c r="B130" s="4" t="inlineStr">
        <is>
          <t xml:space="preserve">Ampliación Plataformas Comercial y General Ad. El Loa</t>
        </is>
      </c>
      <c r="C130" s="0" t="inlineStr">
        <is>
          <t xml:space="preserve">Publicada</t>
        </is>
      </c>
      <c r="D130" s="0" t="inlineStr">
        <is>
          <t xml:space="preserve">MINISTERIO DE OBRAS PUBLICAS DIREC CION GRAL DE OO PP DCYF</t>
        </is>
      </c>
      <c r="E130" s="0" t="inlineStr">
        <is>
          <t xml:space="preserve">Dirección de Aeropuertos - MOPTT</t>
        </is>
      </c>
      <c r="F130" s="0" t="inlineStr">
        <is>
          <t xml:space="preserve">Región de Antofagasta </t>
        </is>
      </c>
      <c r="G130" s="0" t="inlineStr">
        <is>
          <t xml:space="preserve">Santiago</t>
        </is>
      </c>
      <c r="H130" s="2">
        <v>46265.342303</v>
      </c>
      <c r="I130" s="2">
        <v>46304.458333</v>
      </c>
      <c r="J130" s="0">
        <v>32</v>
      </c>
      <c r="K130" s="3"/>
      <c r="L130" s="0" t="inlineStr">
        <is>
          <t xml:space="preserve">CLP</t>
        </is>
      </c>
      <c r="M130" s="0" t="inlineStr">
        <is>
          <t xml:space="preserve">O1</t>
        </is>
      </c>
      <c r="N130" s="4" t="inlineStr">
        <is>
          <t xml:space="preserve">Consultoria / Consultoria / Planificación y Factibilidad</t>
        </is>
      </c>
      <c r="O130" s="4" t="inlineStr">
        <is>
          <t xml:space="preserve">1 Unidad · Licitación Pública de Obra</t>
        </is>
      </c>
      <c r="P130" s="2"/>
      <c r="Q130" s="2"/>
      <c r="R130" s="0"/>
      <c r="S130" s="0" t="inlineStr">
        <is>
          <t xml:space="preserve">No</t>
        </is>
      </c>
      <c r="T130" s="4"/>
      <c r="U130" s="0"/>
      <c r="V130" s="4" t="inlineStr">
        <is>
          <t xml:space="preserve">Esta Dirección necesita llamar a licitación para contratar la obra Ampliación Plataformas Comercial y General Aeródromo El Loa.</t>
        </is>
      </c>
      <c r="W130" s="5" t="str">
        <f>HYPERLINK("https://www.mercadopublico.cl/Procurement/Modules/RFB/DetailsAcquisition.aspx?idlicitacion=976-15-O126","descargar bases")</f>
      </c>
    </row>
    <row r="131">
      <c r="A131" s="0" t="inlineStr">
        <is>
          <t xml:space="preserve">605-17-LP26</t>
        </is>
      </c>
      <c r="B131" s="4" t="inlineStr">
        <is>
          <t xml:space="preserve">TELEFONÍA FIJA Y RED PRIVADA DE DATOS</t>
        </is>
      </c>
      <c r="C131" s="0" t="inlineStr">
        <is>
          <t xml:space="preserve">Publicada</t>
        </is>
      </c>
      <c r="D131" s="0" t="inlineStr">
        <is>
          <t xml:space="preserve">Consejo de Defensa del Estado</t>
        </is>
      </c>
      <c r="E131" s="0" t="inlineStr">
        <is>
          <t xml:space="preserve">Consejo de Defensa del Estado</t>
        </is>
      </c>
      <c r="F131" s="0" t="inlineStr">
        <is>
          <t xml:space="preserve">Región Metropolitana de Santiago</t>
        </is>
      </c>
      <c r="G131" s="0" t="inlineStr">
        <is>
          <t xml:space="preserve">Santiago</t>
        </is>
      </c>
      <c r="H131" s="2">
        <v>46267.455012</v>
      </c>
      <c r="I131" s="2">
        <v>46317.625</v>
      </c>
      <c r="J131" s="0">
        <v>45</v>
      </c>
      <c r="K131" s="3">
        <v>8500.0</v>
      </c>
      <c r="L131" s="0" t="inlineStr">
        <is>
          <t xml:space="preserve">CLF</t>
        </is>
      </c>
      <c r="M131" s="0" t="inlineStr">
        <is>
          <t xml:space="preserve">LP</t>
        </is>
      </c>
      <c r="N131" s="4" t="inlineStr">
        <is>
          <t xml:space="preserve">Servicios básicos y de información pública / Telecomunicaciones / Telefonía local y de larga distancia</t>
        </is>
      </c>
      <c r="O131" s="4" t="inlineStr">
        <is>
          <t xml:space="preserve">1 Unidad · Servicio telefónico local · 1 Unidad · Servicio de comunicación IP</t>
        </is>
      </c>
      <c r="P131" s="2"/>
      <c r="Q131" s="2"/>
      <c r="R131" s="0" t="inlineStr">
        <is>
          <t xml:space="preserve">24 meses</t>
        </is>
      </c>
      <c r="S131" s="0" t="inlineStr">
        <is>
          <t xml:space="preserve">No</t>
        </is>
      </c>
      <c r="T131"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31" s="0" t="inlineStr">
        <is>
          <t xml:space="preserve">IVANHOE AGUIRRE RIVERA</t>
        </is>
      </c>
      <c r="V131"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31" s="5" t="str">
        <f>HYPERLINK("https://www.mercadopublico.cl/Procurement/Modules/RFB/DetailsAcquisition.aspx?idlicitacion=605-17-LP26","descargar bases")</f>
      </c>
    </row>
    <row r="132">
      <c r="A132" s="0" t="inlineStr">
        <is>
          <t xml:space="preserve">1969-34-LS19</t>
        </is>
      </c>
      <c r="B132" s="4" t="inlineStr">
        <is>
          <t xml:space="preserve">AUTOMATIZACIÓN PORTÓN ACCESO A LINEA DE FUEGO</t>
        </is>
      </c>
      <c r="C132" s="0" t="inlineStr">
        <is>
          <t xml:space="preserve">Publicada</t>
        </is>
      </c>
      <c r="D132" s="0" t="inlineStr">
        <is>
          <t xml:space="preserve">DIRECCION GENERAL DE GENDARMERIA DE CHIL</t>
        </is>
      </c>
      <c r="E132" s="0" t="inlineStr">
        <is>
          <t xml:space="preserve">Región del Bio Bío</t>
        </is>
      </c>
      <c r="F132" s="0" t="inlineStr">
        <is>
          <t xml:space="preserve">Región del Biobío </t>
        </is>
      </c>
      <c r="G132" s="0" t="inlineStr">
        <is>
          <t xml:space="preserve">Concepción</t>
        </is>
      </c>
      <c r="H132" s="2">
        <v>43588.74809</v>
      </c>
      <c r="I132" s="2"/>
      <c r="J132" s="0"/>
      <c r="K132" s="3"/>
      <c r="L132" s="0" t="inlineStr">
        <is>
          <t xml:space="preserve">CLP</t>
        </is>
      </c>
      <c r="M132" s="0" t="inlineStr">
        <is>
          <t xml:space="preserve">LS</t>
        </is>
      </c>
      <c r="N132" s="4" t="inlineStr">
        <is>
          <t xml:space="preserve">Artículos para estructuras, obras y construcciones / Puertas, ventanas y vidrios / Puertas</t>
        </is>
      </c>
      <c r="O132" s="4" t="inlineStr">
        <is>
          <t xml:space="preserve">1 Unidad · Puertas de metal</t>
        </is>
      </c>
      <c r="P132" s="2"/>
      <c r="Q132" s="2"/>
      <c r="R132" s="0"/>
      <c r="S132" s="0" t="inlineStr">
        <is>
          <t xml:space="preserve">No</t>
        </is>
      </c>
      <c r="T132" s="4"/>
      <c r="U132" s="0" t="inlineStr">
        <is>
          <t xml:space="preserve">Héctor Polma Lillo</t>
        </is>
      </c>
      <c r="V132" s="4" t="inlineStr">
        <is>
          <t xml:space="preserve">AUTOMATIZACIÓN DE PORTÓN ACCESO A LINEA DE FUEGO C.P. CONCEPCIÓN</t>
        </is>
      </c>
      <c r="W132" s="5" t="str">
        <f>HYPERLINK("https://www.mercadopublico.cl/Procurement/Modules/RFB/DetailsAcquisition.aspx?idlicitacion=1969-34-LS19","descargar bases")</f>
      </c>
    </row>
  </sheetData>
  <autoFilter ref="A1:W132"/>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1057448-47-L126</t>
        </is>
      </c>
      <c r="B2" s="4" t="inlineStr">
        <is>
          <t xml:space="preserve">CÁPSULA DIGITAL MOODLE – SALUD MENTAL Y RIESGO SUICIDA</t>
        </is>
      </c>
      <c r="C2" s="0">
        <v>1</v>
      </c>
      <c r="D2" s="4" t="inlineStr">
        <is>
          <t xml:space="preserve">Formación, capacitación y entrenamiento de personal</t>
        </is>
      </c>
      <c r="E2" s="4" t="inlineStr">
        <is>
          <t xml:space="preserve">Servicios profesionales, administrativos y consultorías de gestión empresarial / Servicios de recursos humanos / Consultorías para el desarrollo de recursos humanos</t>
        </is>
      </c>
      <c r="F2" s="0">
        <v>1.0</v>
      </c>
      <c r="G2" s="0" t="inlineStr">
        <is>
          <t xml:space="preserve">Unidad</t>
        </is>
      </c>
      <c r="H2" s="4" t="inlineStr">
        <is>
          <t xml:space="preserve">Curso Moodle de suicidio Seguridad y calidad de la atención de pacientes con requerimientos de atención en salud mental.</t>
        </is>
      </c>
    </row>
    <row r="3">
      <c r="A3" s="0" t="inlineStr">
        <is>
          <t xml:space="preserve">1431841-53-LE26</t>
        </is>
      </c>
      <c r="B3" s="4" t="inlineStr">
        <is>
          <t xml:space="preserve">ADQUISICIÓN DE CREDITOS GOOGLE CLOUD PLATFORM</t>
        </is>
      </c>
      <c r="C3" s="0">
        <v>1</v>
      </c>
      <c r="D3" s="4" t="inlineStr">
        <is>
          <t xml:space="preserve">Software de servidor de aplicaciones</t>
        </is>
      </c>
      <c r="E3" s="4" t="inlineStr">
        <is>
          <t xml:space="preserve">Tecnologías de la información, telecomunicaciones y radiodifusión / Software / Software de aplicaciones de red</t>
        </is>
      </c>
      <c r="F3" s="0">
        <v>1.0</v>
      </c>
      <c r="G3" s="0" t="inlineStr">
        <is>
          <t xml:space="preserve">Global</t>
        </is>
      </c>
      <c r="H3" s="4" t="inlineStr">
        <is>
          <t xml:space="preserve">Valor Neto Total de la ADQUISICIÓN DE CRÉDITOS PARA GOOGLE CLOUD PLATFORM (GCP) PARA LA MUNICIPALIDAD DE RECOLETA</t>
        </is>
      </c>
    </row>
    <row r="4">
      <c r="A4" s="0" t="inlineStr">
        <is>
          <t xml:space="preserve">1469-186-L126</t>
        </is>
      </c>
      <c r="B4"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4" s="0">
        <v>1</v>
      </c>
      <c r="D4" s="4" t="inlineStr">
        <is>
          <t xml:space="preserve">Asesorías Informáticas</t>
        </is>
      </c>
      <c r="E4" s="4" t="inlineStr">
        <is>
          <t xml:space="preserve">Servicios profesionales, administrativos y consultorías de gestión empresarial / Consultorías o asesorías en gestión empresarial / Servicios de consultoría en gestión de empresas</t>
        </is>
      </c>
      <c r="F4" s="0">
        <v>1.0</v>
      </c>
      <c r="G4" s="0" t="inlineStr">
        <is>
          <t xml:space="preserve">Unidad</t>
        </is>
      </c>
      <c r="H4"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row>
    <row r="5">
      <c r="A5" s="0" t="inlineStr">
        <is>
          <t xml:space="preserve">3820-25-LE26</t>
        </is>
      </c>
      <c r="B5" s="4" t="inlineStr">
        <is>
          <t xml:space="preserve">ADQUISICION Y RENOVACION DE LICENCIAS DE SOFTWARE</t>
        </is>
      </c>
      <c r="C5" s="0">
        <v>1</v>
      </c>
      <c r="D5" s="4" t="inlineStr">
        <is>
          <t xml:space="preserve">Software de gestión de licencias</t>
        </is>
      </c>
      <c r="E5" s="4" t="inlineStr">
        <is>
          <t xml:space="preserve">Tecnologías de la información, telecomunicaciones y radiodifusión / Software / Software de gestión</t>
        </is>
      </c>
      <c r="F5" s="0">
        <v>1.0</v>
      </c>
      <c r="G5" s="0" t="inlineStr">
        <is>
          <t xml:space="preserve">Unidad</t>
        </is>
      </c>
      <c r="H5"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6">
      <c r="A6" s="0" t="inlineStr">
        <is>
          <t xml:space="preserve">584105-34-LE26</t>
        </is>
      </c>
      <c r="B6" s="4" t="inlineStr">
        <is>
          <t xml:space="preserve">Licitacion licencia de software</t>
        </is>
      </c>
      <c r="C6" s="0">
        <v>1</v>
      </c>
      <c r="D6" s="4" t="inlineStr">
        <is>
          <t xml:space="preserve">Desarrolladores de software</t>
        </is>
      </c>
      <c r="E6" s="4" t="inlineStr">
        <is>
          <t xml:space="preserve">Servicios profesionales, administrativos y consultorías de gestión empresarial / Servicios de recursos humanos / Contratación de personal</t>
        </is>
      </c>
      <c r="F6" s="0">
        <v>1.0</v>
      </c>
      <c r="G6" s="0" t="inlineStr">
        <is>
          <t xml:space="preserve">Unidad</t>
        </is>
      </c>
      <c r="H6" s="4" t="inlineStr">
        <is>
          <t xml:space="preserve">LICITACIÓN PÚBLICA PARA LA “ADQUISICIÓN DE LICENCIA DE SOFTWARE NECESARIO PARA LA PLANIFICACIÓN ENERGÉTICA DE LA SUBSECRETARÍA DE ENERGÍA</t>
        </is>
      </c>
    </row>
    <row r="7">
      <c r="A7" s="0" t="inlineStr">
        <is>
          <t xml:space="preserve">721-29-LP26</t>
        </is>
      </c>
      <c r="B7" s="4" t="inlineStr">
        <is>
          <t xml:space="preserve">Respaldo y recuperación plataforma de servidores</t>
        </is>
      </c>
      <c r="C7" s="0">
        <v>1</v>
      </c>
      <c r="D7" s="4" t="inlineStr">
        <is>
          <t xml:space="preserve">Servidores de acceso</t>
        </is>
      </c>
      <c r="E7" s="4" t="inlineStr">
        <is>
          <t xml:space="preserve">Tecnologías de la información, telecomunicaciones y radiodifusión / Equipos, plataformas y accesorios de redes multimedia, voz y datos / Equipos de servicio de red</t>
        </is>
      </c>
      <c r="F7" s="0">
        <v>24.0</v>
      </c>
      <c r="G7" s="0" t="inlineStr">
        <is>
          <t xml:space="preserve">Unidad</t>
        </is>
      </c>
      <c r="H7" s="4" t="inlineStr">
        <is>
          <t xml:space="preserve">Servicio de respaldo y recuperación de su plataforma de servidores. Ofertar por el VALOR NETO MENSUAL DEL SERVICIO (valor de un mes de servicio) e indicar el detalle en el Anexo N°4 “Oferta Económica y Plazo de Implementación”</t>
        </is>
      </c>
    </row>
    <row r="8">
      <c r="A8" s="0" t="inlineStr">
        <is>
          <t xml:space="preserve">869591-10-LP26</t>
        </is>
      </c>
      <c r="B8" s="4" t="inlineStr">
        <is>
          <t xml:space="preserve">CONTRATACIÓN DEL SERVICIO DE DISEÑO Y DESARROLLO DEL NUEVO PORTAL API Y CAPA DE DATOS DE NEGOCIO PARA MERCADO PÚBLICO</t>
        </is>
      </c>
      <c r="C8" s="0">
        <v>1</v>
      </c>
      <c r="D8" s="4" t="inlineStr">
        <is>
          <t xml:space="preserve">Desarrolladores de software</t>
        </is>
      </c>
      <c r="E8" s="4" t="inlineStr">
        <is>
          <t xml:space="preserve">Servicios profesionales, administrativos y consultorías de gestión empresarial / Servicios de recursos humanos / Contratación de personal</t>
        </is>
      </c>
      <c r="F8" s="0">
        <v>1.0</v>
      </c>
      <c r="G8" s="0" t="inlineStr">
        <is>
          <t xml:space="preserve">Unidad</t>
        </is>
      </c>
      <c r="H8" s="4" t="inlineStr">
        <is>
          <t xml:space="preserve">CONTRATACIÓN DEL SERVICIO DE DISEÑO Y DESARROLLO DEL NUEVO PORTAL API Y CAPA DE DATOS DE NEGOCIO PARA MERCADO PÚBLICO</t>
        </is>
      </c>
    </row>
    <row r="9">
      <c r="A9" s="0" t="inlineStr">
        <is>
          <t xml:space="preserve">564162-115-L126</t>
        </is>
      </c>
      <c r="B9" s="4" t="inlineStr">
        <is>
          <t xml:space="preserve">Solicitud N°92870 - Bolsas, etiquetas y cajas con impresión digital - CC112 / PS1772</t>
        </is>
      </c>
      <c r="C9" s="0">
        <v>1</v>
      </c>
      <c r="D9" s="4" t="inlineStr">
        <is>
          <t xml:space="preserve">Cajas para empaquetado</t>
        </is>
      </c>
      <c r="E9" s="4" t="inlineStr">
        <is>
          <t xml:space="preserve">Equipamiento para manejo y estiba de materiales / Materiales para envasado / Cajas, bolsas y sacos para envasado</t>
        </is>
      </c>
      <c r="F9" s="0">
        <v>1.0</v>
      </c>
      <c r="G9" s="0" t="inlineStr">
        <is>
          <t xml:space="preserve">Unidad</t>
        </is>
      </c>
      <c r="H9" s="4" t="inlineStr">
        <is>
          <t xml:space="preserve">800 Cajas de cartón y 800 juego tabiques con impresión.</t>
        </is>
      </c>
    </row>
    <row r="10">
      <c r="A10" s="0" t="inlineStr">
        <is>
          <t xml:space="preserve">564162-115-L126</t>
        </is>
      </c>
      <c r="B10" s="4" t="inlineStr">
        <is>
          <t xml:space="preserve">Solicitud N°92870 - Bolsas, etiquetas y cajas con impresión digital - CC112 / PS1772</t>
        </is>
      </c>
      <c r="C10" s="0">
        <v>2</v>
      </c>
      <c r="D10" s="4" t="inlineStr">
        <is>
          <t xml:space="preserve">Cajas para empaquetado</t>
        </is>
      </c>
      <c r="E10" s="4" t="inlineStr">
        <is>
          <t xml:space="preserve">Equipamiento para manejo y estiba de materiales / Materiales para envasado / Cajas, bolsas y sacos para envasado</t>
        </is>
      </c>
      <c r="F10" s="0">
        <v>1.0</v>
      </c>
      <c r="G10" s="0" t="inlineStr">
        <is>
          <t xml:space="preserve">Unidad</t>
        </is>
      </c>
      <c r="H10" s="4" t="inlineStr">
        <is>
          <t xml:space="preserve">850 cajas de cartón y 850 juego tabiques con impresión.</t>
        </is>
      </c>
    </row>
    <row r="11">
      <c r="A11" s="0" t="inlineStr">
        <is>
          <t xml:space="preserve">564162-115-L126</t>
        </is>
      </c>
      <c r="B11" s="4" t="inlineStr">
        <is>
          <t xml:space="preserve">Solicitud N°92870 - Bolsas, etiquetas y cajas con impresión digital - CC112 / PS1772</t>
        </is>
      </c>
      <c r="C11" s="0">
        <v>3</v>
      </c>
      <c r="D11" s="4" t="inlineStr">
        <is>
          <t xml:space="preserve">Papel, bolsas o cajas de regalo</t>
        </is>
      </c>
      <c r="E11" s="4" t="inlineStr">
        <is>
          <t xml:space="preserve">Productos de papel / Productos de papel / Papel fantasía</t>
        </is>
      </c>
      <c r="F11" s="0">
        <v>1.0</v>
      </c>
      <c r="G11" s="0" t="inlineStr">
        <is>
          <t xml:space="preserve">Unidad</t>
        </is>
      </c>
      <c r="H11" s="4" t="inlineStr">
        <is>
          <t xml:space="preserve">Bolsas de papel para botellas. 1.000 unidades.</t>
        </is>
      </c>
    </row>
    <row r="12">
      <c r="A12" s="0" t="inlineStr">
        <is>
          <t xml:space="preserve">564162-115-L126</t>
        </is>
      </c>
      <c r="B12" s="4" t="inlineStr">
        <is>
          <t xml:space="preserve">Solicitud N°92870 - Bolsas, etiquetas y cajas con impresión digital - CC112 / PS1772</t>
        </is>
      </c>
      <c r="C12" s="0">
        <v>4</v>
      </c>
      <c r="D12" s="4" t="inlineStr">
        <is>
          <t xml:space="preserve">Etiquetas autoadhesivas</t>
        </is>
      </c>
      <c r="E12" s="4" t="inlineStr">
        <is>
          <t xml:space="preserve">Productos impresos y publicaciones / Etiquetado y accesorios / Etiquetas</t>
        </is>
      </c>
      <c r="F12" s="0">
        <v>1.0</v>
      </c>
      <c r="G12" s="0" t="inlineStr">
        <is>
          <t xml:space="preserve">Unidad</t>
        </is>
      </c>
      <c r="H12" s="4" t="inlineStr">
        <is>
          <t xml:space="preserve">Etiquetas frontales. 5.081 unidades con impresión digital.
Contraetiquetas. 5.081 unidades con impresión digital.</t>
        </is>
      </c>
    </row>
    <row r="13">
      <c r="A13" s="0" t="inlineStr">
        <is>
          <t xml:space="preserve">564162-115-L126</t>
        </is>
      </c>
      <c r="B13" s="4" t="inlineStr">
        <is>
          <t xml:space="preserve">Solicitud N°92870 - Bolsas, etiquetas y cajas con impresión digital - CC112 / PS1772</t>
        </is>
      </c>
      <c r="C13" s="0">
        <v>5</v>
      </c>
      <c r="D13" s="4" t="inlineStr">
        <is>
          <t xml:space="preserve">Etiquetas autoadhesivas</t>
        </is>
      </c>
      <c r="E13" s="4" t="inlineStr">
        <is>
          <t xml:space="preserve">Productos impresos y publicaciones / Etiquetado y accesorios / Etiquetas</t>
        </is>
      </c>
      <c r="F13" s="0">
        <v>1.0</v>
      </c>
      <c r="G13" s="0" t="inlineStr">
        <is>
          <t xml:space="preserve">Unidad</t>
        </is>
      </c>
      <c r="H13" s="4" t="inlineStr">
        <is>
          <t xml:space="preserve">Etiquetas colgantes para botellas de vino. 5.081 unidades.</t>
        </is>
      </c>
    </row>
    <row r="14">
      <c r="A14" s="0" t="inlineStr">
        <is>
          <t xml:space="preserve">2324-109-LE26</t>
        </is>
      </c>
      <c r="B14" s="4" t="inlineStr">
        <is>
          <t xml:space="preserve">LICITACION PÚBLICA N° 52026 “CONTRATACION DE SOFTWARE CONTROL DE OBRAS Y GESTION DE PROYECTOS PARA LA INSPECCION DE OBRAS MUNICIPALES POR 3 AÑOS”</t>
        </is>
      </c>
      <c r="C14" s="0">
        <v>1</v>
      </c>
      <c r="D14" s="4" t="inlineStr">
        <is>
          <t xml:space="preserve">Programas de gestión de proyectos</t>
        </is>
      </c>
      <c r="E14" s="4" t="inlineStr">
        <is>
          <t xml:space="preserve">Tecnologías de la información, telecomunicaciones y radiodifusión / Software / Software de gestión</t>
        </is>
      </c>
      <c r="F14" s="0">
        <v>1.0</v>
      </c>
      <c r="G14" s="0" t="inlineStr">
        <is>
          <t xml:space="preserve">Global</t>
        </is>
      </c>
      <c r="H14" s="4" t="inlineStr">
        <is>
          <t xml:space="preserve">CONTRATCION DE SISTEMA DE PLATAFORMA CONTROL DE OBRAS Y GESTION PARA LA INSPECCION TECNICA DE OBRAS DE PROYECTOS FISCALIZADOS POR DIRECCION DE OBRAS MUNICIPALES.  (SEGÚN TERMINOS TECNICOS DE REFERENCIA ADJUNTA)</t>
        </is>
      </c>
    </row>
    <row r="15">
      <c r="A15" s="0" t="inlineStr">
        <is>
          <t xml:space="preserve">29-69-LE26</t>
        </is>
      </c>
      <c r="B15" s="4" t="inlineStr">
        <is>
          <t xml:space="preserve">SERVICIO DE TRANSMISIÓN ELECTRÓNICA DE DATOS</t>
        </is>
      </c>
      <c r="C15" s="0">
        <v>1</v>
      </c>
      <c r="D15" s="4" t="inlineStr">
        <is>
          <t xml:space="preserve">Servicios de transmisión de datos de registro</t>
        </is>
      </c>
      <c r="E15" s="4" t="inlineStr">
        <is>
          <t xml:space="preserve">Servicios de perforación de minería, petróleo y gas / Servicios gestión y proceso de datos e información sobre petróleo y gas / Servicios de comunicación de datos del campo petrolífero</t>
        </is>
      </c>
      <c r="F15" s="0">
        <v>1.0</v>
      </c>
      <c r="G15" s="0" t="inlineStr">
        <is>
          <t xml:space="preserve">Unidad</t>
        </is>
      </c>
      <c r="H15" s="4" t="inlineStr">
        <is>
          <t xml:space="preserve">SERVICIO DE TRANSMISIÓN ELECTRÓNICA DE DATOS ENTRE LA FUERZA AÉREA DE CHILE Y EL SERVICIO NACIONAL DE ADUANAS.</t>
        </is>
      </c>
    </row>
    <row r="16">
      <c r="A16" s="0" t="inlineStr">
        <is>
          <t xml:space="preserve">2446-251-LE26</t>
        </is>
      </c>
      <c r="B16" s="4" t="inlineStr">
        <is>
          <t xml:space="preserve">IMPLEMENTACION PLATAFORMA E-LEARNING</t>
        </is>
      </c>
      <c r="C16" s="0">
        <v>1</v>
      </c>
      <c r="D16" s="4" t="inlineStr">
        <is>
          <t xml:space="preserve">E-learning</t>
        </is>
      </c>
      <c r="E16" s="4" t="inlineStr">
        <is>
          <t xml:space="preserve">Educación, formación, entrenamiento y capacitación / Servicios de orientación y tecnología educativa / Tecnología educativa</t>
        </is>
      </c>
      <c r="F16" s="0">
        <v>1.0</v>
      </c>
      <c r="G16" s="0" t="inlineStr">
        <is>
          <t xml:space="preserve">Unidad</t>
        </is>
      </c>
      <c r="H16" s="4" t="inlineStr">
        <is>
          <t xml:space="preserve">PROGRAMA DE IMPLEMENTACIÓN PLATAFORMA E-LEARNING PARA ENSEÑANZA DE IDIOMA INGLÉS, SEGÚN ESPECIFICACIONES TÉCNICAS ADJUNTAS</t>
        </is>
      </c>
    </row>
    <row r="17">
      <c r="A17" s="0" t="inlineStr">
        <is>
          <t xml:space="preserve">2490-81-LP26</t>
        </is>
      </c>
      <c r="B17" s="4" t="inlineStr">
        <is>
          <t xml:space="preserve">“RENOVACIÓN Y ADQUISICIÓN DE SOFTWARE DE LICENCIAS AUTODESK O EQUIVALENTE 2026-2027”</t>
        </is>
      </c>
      <c r="C17" s="0">
        <v>1</v>
      </c>
      <c r="D17" s="4" t="inlineStr">
        <is>
          <t xml:space="preserve">Software de gestión de licencias</t>
        </is>
      </c>
      <c r="E17" s="4" t="inlineStr">
        <is>
          <t xml:space="preserve">Tecnologías de la información, telecomunicaciones y radiodifusión / Software / Software de gestión</t>
        </is>
      </c>
      <c r="F17" s="0">
        <v>1.0</v>
      </c>
      <c r="G17" s="0" t="inlineStr">
        <is>
          <t xml:space="preserve">Global</t>
        </is>
      </c>
      <c r="H17" s="4" t="inlineStr">
        <is>
          <t xml:space="preserve">VALOR NETO TOTAL PARA EL SERVICIO “RENOVACIÓN Y ADQUISICIÓN DE SOFTWARE DE LICENCIAS AUTODESK O EQUIVALENTE 2026-2027”, EN USD, SEGÚN LO OFERTADO EN FORMULARIO N°4.</t>
        </is>
      </c>
    </row>
    <row r="18">
      <c r="A18" s="0" t="inlineStr">
        <is>
          <t xml:space="preserve">1007793-15-LE26</t>
        </is>
      </c>
      <c r="B18" s="4" t="inlineStr">
        <is>
          <t xml:space="preserve">SOLUCIÓN INFORMÁTICA INSTITUCIONAL PARA EL CFT</t>
        </is>
      </c>
      <c r="C18" s="0">
        <v>1</v>
      </c>
      <c r="D18" s="4" t="inlineStr">
        <is>
          <t xml:space="preserve">Software de desarrollo de plataforma Web</t>
        </is>
      </c>
      <c r="E18" s="4" t="inlineStr">
        <is>
          <t xml:space="preserve">Tecnologías de la información, telecomunicaciones y radiodifusión / Software / Programas de desarrollo</t>
        </is>
      </c>
      <c r="F18" s="0">
        <v>1.0</v>
      </c>
      <c r="G18" s="0" t="inlineStr">
        <is>
          <t xml:space="preserve">Unidad</t>
        </is>
      </c>
      <c r="H18" s="4" t="inlineStr">
        <is>
          <t xml:space="preserve">Solución informática para la gestión de iniciativas de Vinculación con el Medio.</t>
        </is>
      </c>
    </row>
    <row r="19">
      <c r="A19" s="0" t="inlineStr">
        <is>
          <t xml:space="preserve">1007793-15-LE26</t>
        </is>
      </c>
      <c r="B19" s="4" t="inlineStr">
        <is>
          <t xml:space="preserve">SOLUCIÓN INFORMÁTICA INSTITUCIONAL PARA EL CFT</t>
        </is>
      </c>
      <c r="C19" s="0">
        <v>2</v>
      </c>
      <c r="D19" s="4" t="inlineStr">
        <is>
          <t xml:space="preserve">Software de desarrollo de plataforma Web</t>
        </is>
      </c>
      <c r="E19" s="4" t="inlineStr">
        <is>
          <t xml:space="preserve">Tecnologías de la información, telecomunicaciones y radiodifusión / Software / Programas de desarrollo</t>
        </is>
      </c>
      <c r="F19" s="0">
        <v>1.0</v>
      </c>
      <c r="G19" s="0" t="inlineStr">
        <is>
          <t xml:space="preserve">Unidad</t>
        </is>
      </c>
      <c r="H19" s="4" t="inlineStr">
        <is>
          <t xml:space="preserve">Implementación y puesta en marcha de la solución</t>
        </is>
      </c>
    </row>
    <row r="20">
      <c r="A20" s="0" t="inlineStr">
        <is>
          <t xml:space="preserve">1007793-15-LE26</t>
        </is>
      </c>
      <c r="B20" s="4" t="inlineStr">
        <is>
          <t xml:space="preserve">SOLUCIÓN INFORMÁTICA INSTITUCIONAL PARA EL CFT</t>
        </is>
      </c>
      <c r="C20" s="0">
        <v>3</v>
      </c>
      <c r="D20" s="4" t="inlineStr">
        <is>
          <t xml:space="preserve">Software de desarrollo de plataforma Web</t>
        </is>
      </c>
      <c r="E20" s="4" t="inlineStr">
        <is>
          <t xml:space="preserve">Tecnologías de la información, telecomunicaciones y radiodifusión / Software / Programas de desarrollo</t>
        </is>
      </c>
      <c r="F20" s="0">
        <v>1.0</v>
      </c>
      <c r="G20" s="0" t="inlineStr">
        <is>
          <t xml:space="preserve">Unidad</t>
        </is>
      </c>
      <c r="H20" s="4" t="inlineStr">
        <is>
          <t xml:space="preserve">Soporte técnico por 24 meses.</t>
        </is>
      </c>
    </row>
    <row r="21">
      <c r="A21" s="0" t="inlineStr">
        <is>
          <t xml:space="preserve">1978-44-LE26</t>
        </is>
      </c>
      <c r="B21" s="4" t="inlineStr">
        <is>
          <t xml:space="preserve">ADQUISICIÓN DE SOLUCIÓN XDR PARA CIBERSEGURIDAD AVANZADA SERVICIO DE SALUD MAULE</t>
        </is>
      </c>
      <c r="C21" s="0">
        <v>1</v>
      </c>
      <c r="D21" s="4" t="inlineStr">
        <is>
          <t xml:space="preserve">Seguridad para computadores, redes e Internet</t>
        </is>
      </c>
      <c r="E21" s="4" t="inlineStr">
        <is>
          <t xml:space="preserve">Servicios basados en ingeniería, ciencias sociales y tecnología de la información / Servicios informáticos / Administración de sistemas</t>
        </is>
      </c>
      <c r="F21" s="0">
        <v>1.0</v>
      </c>
      <c r="G21" s="0" t="inlineStr">
        <is>
          <t xml:space="preserve">Unidad</t>
        </is>
      </c>
      <c r="H21" s="4" t="inlineStr">
        <is>
          <t xml:space="preserve">Suscripción y el licenciamiento de una solución XDR para Servicio de Salud Maule.</t>
        </is>
      </c>
    </row>
    <row r="22">
      <c r="A22" s="0" t="inlineStr">
        <is>
          <t xml:space="preserve">730566-21-LP26</t>
        </is>
      </c>
      <c r="B22" s="4" t="inlineStr">
        <is>
          <t xml:space="preserve">RENOVACIÓN DE PLATAFORMA WIFI</t>
        </is>
      </c>
      <c r="C22" s="0">
        <v>1</v>
      </c>
      <c r="D22" s="4" t="inlineStr">
        <is>
          <t xml:space="preserve">Dispositivos de acceso de red digital de servicios integrados (RDSI)</t>
        </is>
      </c>
      <c r="E22" s="4" t="inlineStr">
        <is>
          <t xml:space="preserve">Tecnologías de la información, telecomunicaciones y radiodifusión / Equipos, plataformas y accesorios de redes multimedia, voz y datos / Equipos de servicio de red</t>
        </is>
      </c>
      <c r="F22" s="0">
        <v>100.0</v>
      </c>
      <c r="G22" s="0" t="inlineStr">
        <is>
          <t xml:space="preserve">Unidad</t>
        </is>
      </c>
      <c r="H22" s="4" t="inlineStr">
        <is>
          <t xml:space="preserve">access point Tecnología Wi-Fi 6E (802.11ax); Triple radio:( 2.4 GHz, 5 GHz y 6 GHz); Hasta 3.5 Gbps de throughput agregado; Gestión centralizada; Puerto Ethernet multigigabit 5GE; Alimentación PoE+; soporte para WPA3; soporte con 3 años 24/7</t>
        </is>
      </c>
    </row>
    <row r="23">
      <c r="A23" s="0" t="inlineStr">
        <is>
          <t xml:space="preserve">730566-21-LP26</t>
        </is>
      </c>
      <c r="B23" s="4" t="inlineStr">
        <is>
          <t xml:space="preserve">RENOVACIÓN DE PLATAFORMA WIFI</t>
        </is>
      </c>
      <c r="C23" s="0">
        <v>2</v>
      </c>
      <c r="D23" s="4" t="inlineStr">
        <is>
          <t xml:space="preserve">Plataforma de mensajería unificada</t>
        </is>
      </c>
      <c r="E23" s="4" t="inlineStr">
        <is>
          <t xml:space="preserve">Tecnologías de la información, telecomunicaciones y radiodifusión / Equipos, plataformas y accesorios de redes multimedia, voz y datos / Plataformas de mensajería por móvil</t>
        </is>
      </c>
      <c r="F23" s="0">
        <v>1.0</v>
      </c>
      <c r="G23" s="0" t="inlineStr">
        <is>
          <t xml:space="preserve">Unidad</t>
        </is>
      </c>
      <c r="H23"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24">
      <c r="A24" s="0" t="inlineStr">
        <is>
          <t xml:space="preserve">2422-149-L126</t>
        </is>
      </c>
      <c r="B24" s="4" t="inlineStr">
        <is>
          <t xml:space="preserve">SOL. 945841, SERVISIO DE FABRICACION E INSTALACION DE TABLERO PARA BALNEARIO</t>
        </is>
      </c>
      <c r="C24" s="0">
        <v>1</v>
      </c>
      <c r="D24" s="4" t="inlineStr">
        <is>
          <t xml:space="preserve">Servicios de fabricación de calderas para central eléctrica</t>
        </is>
      </c>
      <c r="E24" s="4" t="inlineStr">
        <is>
          <t xml:space="preserve">Servicios de producción y fabricación industrial / Fabricación de maquinarias y equipos de transporte / Fabricación de maquinarias</t>
        </is>
      </c>
      <c r="F24" s="0">
        <v>1.0</v>
      </c>
      <c r="G24" s="0" t="inlineStr">
        <is>
          <t xml:space="preserve">Kit</t>
        </is>
      </c>
      <c r="H24" s="4" t="inlineStr">
        <is>
          <t xml:space="preserve">PARA ACONDICIONAMIENTO DE AMBIENTE DE LA PISCINA TEMPERADA BALNERAIO MUNICIPAL SE REQUIERE SERVICIO DE FABRICACION, INSTLACION Y PUESTA EN MARCHA DE TABLERO DE FUERZA Y COMANDO DE MOTOR TRIFASICO, SEGUN ESPECIFICACIONES TECNICAS ADJUNTAS.</t>
        </is>
      </c>
    </row>
    <row r="25">
      <c r="A25" s="0" t="inlineStr">
        <is>
          <t xml:space="preserve">2548-74-LE26</t>
        </is>
      </c>
      <c r="B25" s="4" t="inlineStr">
        <is>
          <t xml:space="preserve">PROVISIÓN AUDÍFONOS RETROAURICULARES DIGITALES</t>
        </is>
      </c>
      <c r="C25" s="0">
        <v>1</v>
      </c>
      <c r="D25" s="4" t="inlineStr">
        <is>
          <t xml:space="preserve">Audífonos para personas con discapacidad física</t>
        </is>
      </c>
      <c r="E25" s="4" t="inlineStr">
        <is>
          <t xml:space="preserve">Equipamiento y suministros médicos / Ayuda para personas con discapacidad / Artículos de ayuda para la comunicación de discapacitados</t>
        </is>
      </c>
      <c r="F25" s="0">
        <v>1.0</v>
      </c>
      <c r="G25" s="0" t="inlineStr">
        <is>
          <t xml:space="preserve">Unidad</t>
        </is>
      </c>
      <c r="H25" s="4" t="inlineStr">
        <is>
          <t xml:space="preserve">AUDÍFONOS RETROAURICULARES DIGITALES. DE ACUERDO A BASES TÉCNICAS</t>
        </is>
      </c>
    </row>
    <row r="26">
      <c r="A26" s="0" t="inlineStr">
        <is>
          <t xml:space="preserve">3378-51-LP26</t>
        </is>
      </c>
      <c r="B26" s="4" t="inlineStr">
        <is>
          <t xml:space="preserve">SERVICIO DE SOPORTE Y MANTENCIÓN DE SISTEMA Y BASE DE DATOS SAP-HANA BUSINESS ONE PARA EL HMS POR 36 MESES</t>
        </is>
      </c>
      <c r="C26" s="0">
        <v>1</v>
      </c>
      <c r="D26" s="4" t="inlineStr">
        <is>
          <t xml:space="preserve">Mantenimiento y soporte de sistemas propietarios</t>
        </is>
      </c>
      <c r="E26" s="4" t="inlineStr">
        <is>
          <t xml:space="preserve">Servicios basados en ingeniería, ciencias sociales y tecnología de la información / Servicios informáticos / Administración de sistemas</t>
        </is>
      </c>
      <c r="F26" s="0">
        <v>1.0</v>
      </c>
      <c r="G26" s="0" t="inlineStr">
        <is>
          <t xml:space="preserve">Unidad</t>
        </is>
      </c>
      <c r="H26" s="4" t="inlineStr">
        <is>
          <t xml:space="preserve">SOPORTE Y MANTENCION DE SISTEMA Y BASE DE DATOS SAP-HANA BUSINESS ONE</t>
        </is>
      </c>
    </row>
    <row r="27">
      <c r="A27" s="0" t="inlineStr">
        <is>
          <t xml:space="preserve">634-67-LR26</t>
        </is>
      </c>
      <c r="B27" s="4" t="inlineStr">
        <is>
          <t xml:space="preserve">MODERNIZACIÓN DEL SISTEMA ELECTRÓNICO DE SEGURIDAD</t>
        </is>
      </c>
      <c r="C27" s="0">
        <v>1</v>
      </c>
      <c r="D27" s="4" t="inlineStr">
        <is>
          <t xml:space="preserve">Instalación de sistemas de seguridad</t>
        </is>
      </c>
      <c r="E27" s="4" t="inlineStr">
        <is>
          <t xml:space="preserve">Servicios de construcción y mantenimiento / Servicios de atención, mantenimiento y reparaciones de edificios / Servicios eléctricos</t>
        </is>
      </c>
      <c r="F27" s="0">
        <v>1.0</v>
      </c>
      <c r="G27" s="0" t="inlineStr">
        <is>
          <t xml:space="preserve">Unidad</t>
        </is>
      </c>
      <c r="H27" s="4" t="inlineStr">
        <is>
          <t xml:space="preserve">MODERNIZACIÓN DEL SISTEMA ELECTRÓNICO DE SEGURIDAD DEL CENTRO PENITENCIARIO FEMENINO DE ANTOFAGASTA.</t>
        </is>
      </c>
    </row>
    <row r="28">
      <c r="A28" s="0" t="inlineStr">
        <is>
          <t xml:space="preserve">932-25-LE26</t>
        </is>
      </c>
      <c r="B28" s="4" t="inlineStr">
        <is>
          <t xml:space="preserve">SERVICIO DE MANTENIMIENTO PREVENTIVO Y CORRECTIVO HABITUAL DEL SISTEMA ELÉCTRICO  CORRIENTES DÉBILES E INFRAESTRUCTURA DE DATOS PARA EL CENTRO DEPORTIVO COMUNITARIO  DE  RANCAGUA</t>
        </is>
      </c>
      <c r="C28" s="0">
        <v>1</v>
      </c>
      <c r="D28" s="4" t="inlineStr">
        <is>
          <t xml:space="preserve">Servicio de mantenimiento de equipo de fabricación</t>
        </is>
      </c>
      <c r="E28" s="4" t="inlineStr">
        <is>
          <t xml:space="preserve">Servicios de producción y fabricación industrial / Servicios de apoyo o soporte a la fabricación / Servicios de mantenimiento y reparación de equipo de fabricación</t>
        </is>
      </c>
      <c r="F28" s="0">
        <v>1.0</v>
      </c>
      <c r="G28" s="0" t="inlineStr">
        <is>
          <t xml:space="preserve">Unidad</t>
        </is>
      </c>
      <c r="H28"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29">
      <c r="A29" s="0" t="inlineStr">
        <is>
          <t xml:space="preserve">932-22-L126</t>
        </is>
      </c>
      <c r="B29" s="4" t="inlineStr">
        <is>
          <t xml:space="preserve">SERVICIO DE REPARACIÓN DE LUMINARIAS, INSTALACIONES ELECTRICAS Y NORMALIZACIÓN DE TABLERO ELECTRONICO DEL COMPLEJO DEPORTIVO HERMOGENES LIZANA, DEL INSTITUTO NACIONAL DE DEPORTES DE O¨HIGGINS.</t>
        </is>
      </c>
      <c r="C29" s="0">
        <v>1</v>
      </c>
      <c r="D29" s="4" t="inlineStr">
        <is>
          <t xml:space="preserve">Servicio de reparación de equipo de fabricación</t>
        </is>
      </c>
      <c r="E29" s="4" t="inlineStr">
        <is>
          <t xml:space="preserve">Servicios de producción y fabricación industrial / Servicios de apoyo o soporte a la fabricación / Servicios de mantenimiento y reparación de equipo de fabricación</t>
        </is>
      </c>
      <c r="F29" s="0">
        <v>1.0</v>
      </c>
      <c r="G29" s="0" t="inlineStr">
        <is>
          <t xml:space="preserve">Unidad</t>
        </is>
      </c>
      <c r="H29" s="4" t="inlineStr">
        <is>
          <t xml:space="preserve">DE SERVICIO DE REPARACIÓN DE LUMINARIAS, INSTALACIONES ELÉCTRICAS Y NORMALIZACIÓN DE TABLERO ELECTRÓNICO EN EL COMPLEJO DEPORTIVO HERMÓGENES LIZANA, DEL INSTITUTO NACIONAL DE DEPORTES, REGIÓN DE OHIGGINS, De acuerdo a especificaciones adjuntas.-</t>
        </is>
      </c>
    </row>
    <row r="30">
      <c r="A30" s="0" t="inlineStr">
        <is>
          <t xml:space="preserve">2658-284-L126</t>
        </is>
      </c>
      <c r="B30" s="4" t="inlineStr">
        <is>
          <t xml:space="preserve">Suscripción anual a Plataforma de Inteligencia Artificial avanzada</t>
        </is>
      </c>
      <c r="C30" s="0">
        <v>1</v>
      </c>
      <c r="D30" s="4" t="inlineStr">
        <is>
          <t xml:space="preserve">Software de extracción de datos</t>
        </is>
      </c>
      <c r="E30" s="4" t="inlineStr">
        <is>
          <t xml:space="preserve">Tecnologías de la información, telecomunicaciones y radiodifusión / Software / Software de consultas y gestión de datos</t>
        </is>
      </c>
      <c r="F30" s="0">
        <v>5.0</v>
      </c>
      <c r="G30" s="0" t="inlineStr">
        <is>
          <t xml:space="preserve">Unidad</t>
        </is>
      </c>
      <c r="H30" s="4" t="inlineStr">
        <is>
          <t xml:space="preserve">Suscripción anual (12 meses) a plataforma de inteligencia artificial avanzada - CHATGPT PLUS (OPEN AI), según detalles adjunto en orden de pedido.</t>
        </is>
      </c>
    </row>
    <row r="31">
      <c r="A31" s="0" t="inlineStr">
        <is>
          <t xml:space="preserve">598-16-LE26</t>
        </is>
      </c>
      <c r="B31" s="4" t="inlineStr">
        <is>
          <t xml:space="preserve">SERVICIO DE CAPACITACIÓN EN PROTECCIÓN DE DATOS PERSONALES GOBERNANZA DE DATOS Y CUMPLIMIENTO NORMATIVO</t>
        </is>
      </c>
      <c r="C31" s="0">
        <v>1</v>
      </c>
      <c r="D31" s="4" t="inlineStr">
        <is>
          <t xml:space="preserve">Formación, capacitación y entrenamiento de personal</t>
        </is>
      </c>
      <c r="E31" s="4" t="inlineStr">
        <is>
          <t xml:space="preserve">Servicios profesionales, administrativos y consultorías de gestión empresarial / Servicios de recursos humanos / Consultorías para el desarrollo de recursos humanos</t>
        </is>
      </c>
      <c r="F31" s="0">
        <v>1.0</v>
      </c>
      <c r="G31" s="0" t="inlineStr">
        <is>
          <t xml:space="preserve">Unidad</t>
        </is>
      </c>
      <c r="H31" s="4" t="inlineStr">
        <is>
          <t xml:space="preserve">DIPRECA requiere la contratación de servicios
especializados de capacitación en materias de protección de datos personales, tratamiento de datos, gobernanza de datos y cumplimiento normativo.</t>
        </is>
      </c>
    </row>
    <row r="32">
      <c r="A32" s="0" t="inlineStr">
        <is>
          <t xml:space="preserve">610-16-LP26</t>
        </is>
      </c>
      <c r="B32" s="4" t="inlineStr">
        <is>
          <t xml:space="preserve">Adquisición de productos y servicios destinados a la “Implementación de software para nueva Plataforma de Virtualización”.</t>
        </is>
      </c>
      <c r="C32" s="0">
        <v>1</v>
      </c>
      <c r="D32" s="4" t="inlineStr">
        <is>
          <t xml:space="preserve">Paquetes de software para oficinas</t>
        </is>
      </c>
      <c r="E32" s="4" t="inlineStr">
        <is>
          <t xml:space="preserve">Tecnologías de la información, telecomunicaciones y radiodifusión / Software / Software de gestión</t>
        </is>
      </c>
      <c r="F32" s="0">
        <v>1.0</v>
      </c>
      <c r="G32" s="0" t="inlineStr">
        <is>
          <t xml:space="preserve">Unidad</t>
        </is>
      </c>
      <c r="H32" s="4" t="inlineStr">
        <is>
          <t xml:space="preserve">Adquisición de productos y servicios destinados a la “Implementación de software para nueva Plataforma de Virtualización”.</t>
        </is>
      </c>
    </row>
    <row r="33">
      <c r="A33" s="0" t="inlineStr">
        <is>
          <t xml:space="preserve">2448-122-L126</t>
        </is>
      </c>
      <c r="B33" s="4" t="inlineStr">
        <is>
          <t xml:space="preserve">ADQ. BOLSA DE CREDITOS DE CONSUMO EN NUBE PUBLICA</t>
        </is>
      </c>
      <c r="C33" s="0">
        <v>1</v>
      </c>
      <c r="D33" s="4" t="inlineStr">
        <is>
          <t xml:space="preserve">Software del sistema de administración de bases de datos</t>
        </is>
      </c>
      <c r="E33" s="4" t="inlineStr">
        <is>
          <t xml:space="preserve">Tecnologías de la información, telecomunicaciones y radiodifusión / Software / Software de consultas y gestión de datos</t>
        </is>
      </c>
      <c r="F33" s="0">
        <v>1.0</v>
      </c>
      <c r="G33" s="0" t="inlineStr">
        <is>
          <t xml:space="preserve">Año</t>
        </is>
      </c>
      <c r="H33" s="4" t="inlineStr">
        <is>
          <t xml:space="preserve">Bolsa de Créditos de Consumo en Nube Pública (IaaS/PaaS)</t>
        </is>
      </c>
    </row>
    <row r="34">
      <c r="A34" s="0" t="inlineStr">
        <is>
          <t xml:space="preserve">1754-39-LE26</t>
        </is>
      </c>
      <c r="B34" s="4" t="inlineStr">
        <is>
          <t xml:space="preserve">EQUIPOS E INSUMOS INFORMATICOS SEGUNDO LLAMADO</t>
        </is>
      </c>
      <c r="C34" s="0">
        <v>1</v>
      </c>
      <c r="D34" s="4" t="inlineStr">
        <is>
          <t xml:space="preserve">Computadores personales</t>
        </is>
      </c>
      <c r="E34" s="4" t="inlineStr">
        <is>
          <t xml:space="preserve">Tecnologías de la información, telecomunicaciones y radiodifusión / Equipos informáticos y accesorios / Computadores</t>
        </is>
      </c>
      <c r="F34" s="0">
        <v>1.0</v>
      </c>
      <c r="G34" s="0" t="inlineStr">
        <is>
          <t xml:space="preserve">Kit</t>
        </is>
      </c>
      <c r="H34" s="4" t="inlineStr">
        <is>
          <t xml:space="preserve">EQUIPOS E INSUMOS INFORMÁTICOS SEGÚN BASES ADMINISTRATIVAS, TERMINOS DE REFERENCIA Y DEMÁS DOCUMENTACIÓN ADJUNTA QUE REGIRAN EN EL PROCESO</t>
        </is>
      </c>
    </row>
    <row r="35">
      <c r="A35" s="0" t="inlineStr">
        <is>
          <t xml:space="preserve">5586-127-LE26</t>
        </is>
      </c>
      <c r="B35" s="4" t="inlineStr">
        <is>
          <t xml:space="preserve">BC SISTEMA DE ADQUISICIÓN DE DATOS INSTRUMENTACIÓN Y MONITOREO DE ENSAYOS EXPERIMENTALES DE SIMULACIÓN SÍSMICA EN MUROS</t>
        </is>
      </c>
      <c r="C35" s="0">
        <v>1</v>
      </c>
      <c r="D35" s="4" t="inlineStr">
        <is>
          <t xml:space="preserve">Módulos de alarma sísmica</t>
        </is>
      </c>
      <c r="E35" s="4" t="inlineStr">
        <is>
          <t xml:space="preserve">Equipamiento para laboratorios / Instrumentos de medida y experimentación / Instrumentos sismológicos</t>
        </is>
      </c>
      <c r="F35" s="0">
        <v>1.0</v>
      </c>
      <c r="G35" s="0" t="inlineStr">
        <is>
          <t xml:space="preserve">Global</t>
        </is>
      </c>
      <c r="H35" s="4" t="inlineStr">
        <is>
          <t xml:space="preserve">SISTEMA DE ADQUISICIÓN DE DATOS INSTRUMENTACIÓN Y MONITOREO DE ENSAYOS EXPERIMENTALES DE SIMULACIÓN SÍSMICA EN MUROS, DE ACUERDO A DETALLE DOCUMENTO ADJUNTO</t>
        </is>
      </c>
    </row>
    <row r="36">
      <c r="A36" s="0" t="inlineStr">
        <is>
          <t xml:space="preserve">1016-8-LE26</t>
        </is>
      </c>
      <c r="B36" s="4" t="inlineStr">
        <is>
          <t xml:space="preserve">Licencias de inteligencia artificial generativa tipo Claude Team o similar para la Dirección de Planeamiento</t>
        </is>
      </c>
      <c r="C36" s="0">
        <v>1</v>
      </c>
      <c r="D36" s="4" t="inlineStr">
        <is>
          <t xml:space="preserve">Software de sistema experto</t>
        </is>
      </c>
      <c r="E36" s="4" t="inlineStr">
        <is>
          <t xml:space="preserve">Tecnologías de la información, telecomunicaciones y radiodifusión / Software / Software de gestión</t>
        </is>
      </c>
      <c r="F36" s="0">
        <v>1.0</v>
      </c>
      <c r="G36" s="0" t="inlineStr">
        <is>
          <t xml:space="preserve">Unidad</t>
        </is>
      </c>
      <c r="H36" s="4" t="inlineStr">
        <is>
          <t xml:space="preserve">Licencias Premium de IAGen tipo Claude Team o Similar</t>
        </is>
      </c>
    </row>
    <row r="37">
      <c r="A37" s="0" t="inlineStr">
        <is>
          <t xml:space="preserve">1016-8-LE26</t>
        </is>
      </c>
      <c r="B37" s="4" t="inlineStr">
        <is>
          <t xml:space="preserve">Licencias de inteligencia artificial generativa tipo Claude Team o similar para la Dirección de Planeamiento</t>
        </is>
      </c>
      <c r="C37" s="0">
        <v>2</v>
      </c>
      <c r="D37" s="4" t="inlineStr">
        <is>
          <t xml:space="preserve">Software de clasificación o categorización</t>
        </is>
      </c>
      <c r="E37" s="4" t="inlineStr">
        <is>
          <t xml:space="preserve">Tecnologías de la información, telecomunicaciones y radiodifusión / Software / Software de consultas y gestión de datos</t>
        </is>
      </c>
      <c r="F37" s="0">
        <v>1.0</v>
      </c>
      <c r="G37" s="0" t="inlineStr">
        <is>
          <t xml:space="preserve">Unidad</t>
        </is>
      </c>
      <c r="H37" s="4" t="inlineStr">
        <is>
          <t xml:space="preserve">Licencias Standard de IAGen tipo Claude Team o Similar</t>
        </is>
      </c>
    </row>
    <row r="38">
      <c r="A38" s="0" t="inlineStr">
        <is>
          <t xml:space="preserve">1588-28-LE26</t>
        </is>
      </c>
      <c r="B38" s="4" t="inlineStr">
        <is>
          <t xml:space="preserve">Renovación Plataforma Jira Service SAAS y Soporte</t>
        </is>
      </c>
      <c r="C38" s="0">
        <v>1</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Unidad</t>
        </is>
      </c>
      <c r="H38" s="4" t="inlineStr">
        <is>
          <t xml:space="preserve">Renovación anual de 50 licencias de agente de Jira Service Management, Confluence en la nube y componente compatible con 
Google Analytics 4.</t>
        </is>
      </c>
    </row>
    <row r="39">
      <c r="A39" s="0" t="inlineStr">
        <is>
          <t xml:space="preserve">1588-28-LE26</t>
        </is>
      </c>
      <c r="B39" s="4" t="inlineStr">
        <is>
          <t xml:space="preserve">Renovación Plataforma Jira Service SAAS y Soporte</t>
        </is>
      </c>
      <c r="C39" s="0">
        <v>2</v>
      </c>
      <c r="D39" s="4" t="inlineStr">
        <is>
          <t xml:space="preserve">Software de gestión de licencias</t>
        </is>
      </c>
      <c r="E39" s="4" t="inlineStr">
        <is>
          <t xml:space="preserve">Tecnologías de la información, telecomunicaciones y radiodifusión / Software / Software de gestión</t>
        </is>
      </c>
      <c r="F39" s="0">
        <v>1.0</v>
      </c>
      <c r="G39" s="0" t="inlineStr">
        <is>
          <t xml:space="preserve">Unidad</t>
        </is>
      </c>
      <c r="H39" s="4" t="inlineStr">
        <is>
          <t xml:space="preserve">Servicio de Soporte (el valor adjudicado será dividido en 12 cuotas de igual monto y se pagará de forma mensual)</t>
        </is>
      </c>
    </row>
    <row r="40">
      <c r="A40" s="0" t="inlineStr">
        <is>
          <t xml:space="preserve">1456835-1-LP26</t>
        </is>
      </c>
      <c r="B40" s="4" t="inlineStr">
        <is>
          <t xml:space="preserve">SERVICIO DE ARRIENDO DE SOFTWARE DE GDP Y REMUNERA</t>
        </is>
      </c>
      <c r="C40" s="0">
        <v>1</v>
      </c>
      <c r="D40" s="4" t="inlineStr">
        <is>
          <t xml:space="preserve">Software de gestión de recursos humanos</t>
        </is>
      </c>
      <c r="E40" s="4" t="inlineStr">
        <is>
          <t xml:space="preserve">Tecnologías de la información, telecomunicaciones y radiodifusión / Software / Software de gestión</t>
        </is>
      </c>
      <c r="F40" s="0">
        <v>1.0</v>
      </c>
      <c r="G40" s="0" t="inlineStr">
        <is>
          <t xml:space="preserve">Unidad</t>
        </is>
      </c>
      <c r="H40" s="4" t="inlineStr">
        <is>
          <t xml:space="preserve">SERVICIO DE ARRIENDO DE SOFTWARE DE GESTIÓN DE PERSONAS Y REMUNERACIONES PARA EL SERVICIO LOCAL DE EDUCACIÓN PÚBLICA DEL LITORAL, P01 y P02.</t>
        </is>
      </c>
    </row>
    <row r="41">
      <c r="A41" s="0" t="inlineStr">
        <is>
          <t xml:space="preserve">1057531-10-L126</t>
        </is>
      </c>
      <c r="B41" s="4" t="inlineStr">
        <is>
          <t xml:space="preserve">Contratación de Convenio Prótesis Fijas con sistema digital CADCAM 2026-2027</t>
        </is>
      </c>
      <c r="C41" s="0">
        <v>1</v>
      </c>
      <c r="D41" s="4" t="inlineStr">
        <is>
          <t xml:space="preserve">Coronas o formas de coronas</t>
        </is>
      </c>
      <c r="E41" s="4" t="inlineStr">
        <is>
          <t xml:space="preserve">Equipamiento y suministros médicos / Equipos y suministros odontológicos / Suministros y equipos de odontología cosmética</t>
        </is>
      </c>
      <c r="F41" s="0">
        <v>15.0</v>
      </c>
      <c r="G41" s="0" t="inlineStr">
        <is>
          <t xml:space="preserve">Unidad no definida</t>
        </is>
      </c>
      <c r="H41" s="4" t="inlineStr">
        <is>
          <t xml:space="preserve">Contratación de servicios de convenio Prótesis Fijas con sistema digital CADCAM, para Beneficiarios del HRN para los años 2026-2027</t>
        </is>
      </c>
    </row>
    <row r="42">
      <c r="A42" s="0" t="inlineStr">
        <is>
          <t xml:space="preserve">520149-35-L126</t>
        </is>
      </c>
      <c r="B42" s="4" t="inlineStr">
        <is>
          <t xml:space="preserve">SERVICIO DE INSTALACIÓN, TRASLADO Y REPARACIÓN DE PUNTOS DE DATOS, PARA LOS EDIFICIOS JOSÉ MIGUEL CARRERA Y SEDE DE LA ACADEMIA DIPLOMÁTICA BAJO LA MODALIDAD DE CONTRATO DE SUMINISTRO.</t>
        </is>
      </c>
      <c r="C42" s="0">
        <v>1</v>
      </c>
      <c r="D42" s="4" t="inlineStr">
        <is>
          <t xml:space="preserve">Conjuntos de cableado</t>
        </is>
      </c>
      <c r="E42" s="4" t="inlineStr">
        <is>
          <t xml:space="preserve">Tecnologías de la información, telecomunicaciones y radiodifusión / Componentes para tecnología de la información, difusión o telecomunicaciones / Subconjuntos para dispositivos electrónicos</t>
        </is>
      </c>
      <c r="F42" s="0">
        <v>1.0</v>
      </c>
      <c r="G42" s="0" t="inlineStr">
        <is>
          <t xml:space="preserve">Unidad</t>
        </is>
      </c>
      <c r="H42" s="4" t="inlineStr">
        <is>
          <t xml:space="preserve">Servicio de instalación, traslado y reparación de puntos de datos, conforme las especificaciones técnicas en adelante descritas, para los edificios José Miguel Carrera y sede de la Academia Diplomática</t>
        </is>
      </c>
    </row>
    <row r="43">
      <c r="A43" s="0" t="inlineStr">
        <is>
          <t xml:space="preserve">2793-121-LE26</t>
        </is>
      </c>
      <c r="B43" s="4" t="inlineStr">
        <is>
          <t xml:space="preserve">LICENCIAS DE SOFTWARE</t>
        </is>
      </c>
      <c r="C43" s="0">
        <v>1</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Unidad</t>
        </is>
      </c>
      <c r="H43" s="4" t="inlineStr">
        <is>
          <t xml:space="preserve">LICENCIAS DE SOFTWARE LECTOR, MODIFICADOR Y CREADOR DE DOCUMENTOS PDF, SEGÚN BASES ADJUNTAS.</t>
        </is>
      </c>
    </row>
    <row r="44">
      <c r="A44" s="0" t="inlineStr">
        <is>
          <t xml:space="preserve">742475-4-LE26</t>
        </is>
      </c>
      <c r="B44" s="4" t="inlineStr">
        <is>
          <t xml:space="preserve">Adquisición de equipos informáticos para el programa Oficina Local de la Niñez</t>
        </is>
      </c>
      <c r="C44" s="0">
        <v>1</v>
      </c>
      <c r="D44" s="4" t="inlineStr">
        <is>
          <t xml:space="preserve">Notebook, laptop o computador portátil excepto Tablet PC</t>
        </is>
      </c>
      <c r="E44" s="4" t="inlineStr">
        <is>
          <t xml:space="preserve">Tecnologías de la información, telecomunicaciones y radiodifusión / Equipos informáticos y accesorios / Computadores</t>
        </is>
      </c>
      <c r="F44" s="0">
        <v>1.0</v>
      </c>
      <c r="G44" s="0" t="inlineStr">
        <is>
          <t xml:space="preserve">Unidad</t>
        </is>
      </c>
      <c r="H44" s="4" t="inlineStr">
        <is>
          <t xml:space="preserve">ADQUISICIÓN DE EQUIPOS INFORMÁTICOS PARA EL PROGRAMA OFICINA LOCAL DE LA NIÑEZ. DE ACUERDO A BASES TÉCNICAS</t>
        </is>
      </c>
    </row>
    <row r="45">
      <c r="A45" s="0" t="inlineStr">
        <is>
          <t xml:space="preserve">3890-185-L126</t>
        </is>
      </c>
      <c r="B45" s="4" t="inlineStr">
        <is>
          <t xml:space="preserve">ADQ EQUIPOS INFORMATICOS CENTRO DE LAS MUJERES</t>
        </is>
      </c>
      <c r="C45" s="0">
        <v>1</v>
      </c>
      <c r="D45" s="4" t="inlineStr">
        <is>
          <t xml:space="preserve">Notebook, laptop o computador portátil excepto Tablet PC</t>
        </is>
      </c>
      <c r="E45" s="4" t="inlineStr">
        <is>
          <t xml:space="preserve">Tecnologías de la información, telecomunicaciones y radiodifusión / Equipos informáticos y accesorios / Computadores</t>
        </is>
      </c>
      <c r="F45" s="0">
        <v>1.0</v>
      </c>
      <c r="G45" s="0" t="inlineStr">
        <is>
          <t xml:space="preserve">Global</t>
        </is>
      </c>
      <c r="H45" s="4" t="inlineStr">
        <is>
          <t xml:space="preserve">ADQUISICION DE EQUIPOS INFORMATICOS PARA PROGRAMA CENTRO DE LAS MUJERES FREIRE, SEGUN BASES</t>
        </is>
      </c>
    </row>
    <row r="46">
      <c r="A46" s="0" t="inlineStr">
        <is>
          <t xml:space="preserve">1469-175-L126</t>
        </is>
      </c>
      <c r="B46" s="4" t="inlineStr">
        <is>
          <t xml:space="preserve">TABLERO PARA BOMBA SUMERGIBLE, CAMPUS TALCA, UNIVERSIDAD DE TALCA.</t>
        </is>
      </c>
      <c r="C46" s="0">
        <v>1</v>
      </c>
      <c r="D46" s="4" t="inlineStr">
        <is>
          <t xml:space="preserve">Bombas sumergibles</t>
        </is>
      </c>
      <c r="E46" s="4" t="inlineStr">
        <is>
          <t xml:space="preserve">Equipamiento para el acondicionamiento, distribución y filtrado de fluidos / Bombas y compresores industriales / Bombas</t>
        </is>
      </c>
      <c r="F46" s="0">
        <v>1.0</v>
      </c>
      <c r="G46" s="0" t="inlineStr">
        <is>
          <t xml:space="preserve">Unidad</t>
        </is>
      </c>
      <c r="H46" s="4" t="inlineStr">
        <is>
          <t xml:space="preserve">La Universidad de Talca requiere de los servicios de retiro e instalación de nuevo tablero de control para bomba sumergible.</t>
        </is>
      </c>
    </row>
    <row r="47">
      <c r="A47" s="0" t="inlineStr">
        <is>
          <t xml:space="preserve">1562-52-LE26</t>
        </is>
      </c>
      <c r="B47" s="4" t="inlineStr">
        <is>
          <t xml:space="preserve">ADQUISICIÓN RENOVACIÓN PLATAFORMA ROCSCIENCE</t>
        </is>
      </c>
      <c r="C47" s="0">
        <v>1</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Unidad</t>
        </is>
      </c>
      <c r="H47"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48">
      <c r="A48" s="0" t="inlineStr">
        <is>
          <t xml:space="preserve">1057390-48-LP26</t>
        </is>
      </c>
      <c r="B48" s="4" t="inlineStr">
        <is>
          <t xml:space="preserve">CONV. RADIOCOMUNICACIÓN DIGITAL SAMU</t>
        </is>
      </c>
      <c r="C48" s="0">
        <v>1</v>
      </c>
      <c r="D48" s="4" t="inlineStr">
        <is>
          <t xml:space="preserve">Sistemas de radio a pequeña escala</t>
        </is>
      </c>
      <c r="E48" s="4" t="inlineStr">
        <is>
          <t xml:space="preserve">Servicios básicos y de información pública / Telecomunicaciones / Servicios de radio</t>
        </is>
      </c>
      <c r="F48" s="0">
        <v>1.0</v>
      </c>
      <c r="G48" s="0" t="inlineStr">
        <is>
          <t xml:space="preserve">Mes</t>
        </is>
      </c>
      <c r="H48" s="4" t="inlineStr">
        <is>
          <t xml:space="preserve">Prestación mensual de servicio de comunicaciones digitales de voz tipo PTT (Push To Talk) sobre redes de banda ancha, para el SAMU Malleco, dependiente del Servicio de Salud Araucanía Norte. Total Anexo 1 .</t>
        </is>
      </c>
    </row>
    <row r="49">
      <c r="A49" s="0" t="inlineStr">
        <is>
          <t xml:space="preserve">2292-58-L126</t>
        </is>
      </c>
      <c r="B49" s="4" t="inlineStr">
        <is>
          <t xml:space="preserve">SERVICIO DE RELATORÍA PARA LA CAPACITACIÓN "CALIDAD, ACREDITACION Y CIBERSEGURIDAD EN ATENCIÓN PRIMARIA"</t>
        </is>
      </c>
      <c r="C49" s="0">
        <v>1</v>
      </c>
      <c r="D49" s="4" t="inlineStr">
        <is>
          <t xml:space="preserve">Capacitación a empleados</t>
        </is>
      </c>
      <c r="E49" s="4" t="inlineStr">
        <is>
          <t xml:space="preserve">Educación, formación, entrenamiento y capacitación / Sistemas educativos complementarios / Educación de adultos</t>
        </is>
      </c>
      <c r="F49" s="0">
        <v>1.0</v>
      </c>
      <c r="G49" s="0" t="inlineStr">
        <is>
          <t xml:space="preserve">Unidad</t>
        </is>
      </c>
      <c r="H49" s="4" t="inlineStr">
        <is>
          <t xml:space="preserve">SERVICIO DE RELATORÍA PARA LA CAPACITACIÓN "CALIDAD, ACREDITACION Y CIBERSEGURIDAD EN ATENCIÓN PRIMARIA"</t>
        </is>
      </c>
    </row>
    <row r="50">
      <c r="A50" s="0" t="inlineStr">
        <is>
          <t xml:space="preserve">1180922-21-L126</t>
        </is>
      </c>
      <c r="B50" s="4" t="inlineStr">
        <is>
          <t xml:space="preserve">Adquisición de equipamiento clínico para unidad de Hospitalización de cuidados intensivos de psiquiatría (UHCIP) Infanto adolescente;01 fonendoscopio, 06 termómetro digital y 01 carro de transporte material estéril</t>
        </is>
      </c>
      <c r="C50" s="0">
        <v>1</v>
      </c>
      <c r="D50" s="4" t="inlineStr">
        <is>
          <t xml:space="preserve">Estetoscopio mecánico o accesorios</t>
        </is>
      </c>
      <c r="E50" s="4" t="inlineStr">
        <is>
          <t xml:space="preserve">Equipamiento y suministros médicos / Productos para exámenes y control de pacientes / Estetoscopio y artículos relacionados</t>
        </is>
      </c>
      <c r="F50" s="0">
        <v>1.0</v>
      </c>
      <c r="G50" s="0" t="inlineStr">
        <is>
          <t xml:space="preserve">Unidad</t>
        </is>
      </c>
      <c r="H50" s="4" t="inlineStr">
        <is>
          <t xml:space="preserve">FONENDOSCOPIO</t>
        </is>
      </c>
    </row>
    <row r="51">
      <c r="A51" s="0" t="inlineStr">
        <is>
          <t xml:space="preserve">1180922-21-L126</t>
        </is>
      </c>
      <c r="B51" s="4" t="inlineStr">
        <is>
          <t xml:space="preserve">Adquisición de equipamiento clínico para unidad de Hospitalización de cuidados intensivos de psiquiatría (UHCIP) Infanto adolescente;01 fonendoscopio, 06 termómetro digital y 01 carro de transporte material estéril</t>
        </is>
      </c>
      <c r="C51" s="0">
        <v>2</v>
      </c>
      <c r="D51" s="4" t="inlineStr">
        <is>
          <t xml:space="preserve">Termómetros médicos electrónicos</t>
        </is>
      </c>
      <c r="E51" s="4" t="inlineStr">
        <is>
          <t xml:space="preserve">Equipamiento y suministros médicos / Productos para exámenes y control de pacientes / Equipos y accesorios médicos</t>
        </is>
      </c>
      <c r="F51" s="0">
        <v>6.0</v>
      </c>
      <c r="G51" s="0" t="inlineStr">
        <is>
          <t xml:space="preserve">Unidad</t>
        </is>
      </c>
      <c r="H51" s="4" t="inlineStr">
        <is>
          <t xml:space="preserve">TERMÓMETRO DIGITAL</t>
        </is>
      </c>
    </row>
    <row r="52">
      <c r="A52" s="0" t="inlineStr">
        <is>
          <t xml:space="preserve">1180922-21-L126</t>
        </is>
      </c>
      <c r="B52" s="4" t="inlineStr">
        <is>
          <t xml:space="preserve">Adquisición de equipamiento clínico para unidad de Hospitalización de cuidados intensivos de psiquiatría (UHCIP) Infanto adolescente;01 fonendoscopio, 06 termómetro digital y 01 carro de transporte material estéril</t>
        </is>
      </c>
      <c r="C52" s="0">
        <v>3</v>
      </c>
      <c r="D52" s="4" t="inlineStr">
        <is>
          <t xml:space="preserve">Carros médicos o accesorios</t>
        </is>
      </c>
      <c r="E52" s="4" t="inlineStr">
        <is>
          <t xml:space="preserve">Equipamiento y suministros médicos / Equipamiento para instalaciones médicas / Transporte de equipo médico y traslado de productos</t>
        </is>
      </c>
      <c r="F52" s="0">
        <v>1.0</v>
      </c>
      <c r="G52" s="0" t="inlineStr">
        <is>
          <t xml:space="preserve">Unidad</t>
        </is>
      </c>
      <c r="H52" s="4" t="inlineStr">
        <is>
          <t xml:space="preserve">CARRO DE TRANSPORTE MATERIAL ESTÉRIL</t>
        </is>
      </c>
    </row>
    <row r="53">
      <c r="A53" s="0" t="inlineStr">
        <is>
          <t xml:space="preserve">1110404-183-L126</t>
        </is>
      </c>
      <c r="B53" s="4" t="inlineStr">
        <is>
          <t xml:space="preserve">PROVISIÓN DE TABLERO DE OPERACIONES PARA ESTABLECIMIENTO EDUCACIONAL ESCUELA RICARDO SILVA, PERTENECIENTE AL SLEP CHINCHORRO, ARICA</t>
        </is>
      </c>
      <c r="C53" s="0">
        <v>1</v>
      </c>
      <c r="D53" s="4" t="inlineStr">
        <is>
          <t xml:space="preserve">Mesas</t>
        </is>
      </c>
      <c r="E53" s="4" t="inlineStr">
        <is>
          <t xml:space="preserve">Muebles y mobiliario / Muebles de alojamiento / Muebles</t>
        </is>
      </c>
      <c r="F53" s="0">
        <v>30.0</v>
      </c>
      <c r="G53" s="0" t="inlineStr">
        <is>
          <t xml:space="preserve">Unidad</t>
        </is>
      </c>
      <c r="H53" s="4" t="inlineStr">
        <is>
          <t xml:space="preserve">PROVISIÓN DE TABLERO DE OPERACIONES PARA ESTABLECIMIENTO EDUCACIONAL ESCUELA RICARDO SILVA, PERTENECIENTE AL SLEP CHINCHORRO, ARICA</t>
        </is>
      </c>
    </row>
    <row r="54">
      <c r="A54" s="0" t="inlineStr">
        <is>
          <t xml:space="preserve">1978-85-LE26</t>
        </is>
      </c>
      <c r="B54" s="4" t="inlineStr">
        <is>
          <t xml:space="preserve">Soporte Acronis Backup Cloud y Acronis Storage</t>
        </is>
      </c>
      <c r="C54" s="0">
        <v>1</v>
      </c>
      <c r="D54" s="4" t="inlineStr">
        <is>
          <t xml:space="preserve">Software de sistema experto</t>
        </is>
      </c>
      <c r="E54" s="4" t="inlineStr">
        <is>
          <t xml:space="preserve">Tecnologías de la información, telecomunicaciones y radiodifusión / Software / Software de gestión</t>
        </is>
      </c>
      <c r="F54" s="0">
        <v>36.0</v>
      </c>
      <c r="G54" s="0" t="inlineStr">
        <is>
          <t xml:space="preserve">Mes</t>
        </is>
      </c>
      <c r="H54" s="4" t="inlineStr">
        <is>
          <t xml:space="preserve">Soporte Acronis Backup Cloud y Acronis Storage</t>
        </is>
      </c>
    </row>
    <row r="55">
      <c r="A55" s="0" t="inlineStr">
        <is>
          <t xml:space="preserve">1057501-488-LE26</t>
        </is>
      </c>
      <c r="B55" s="4" t="inlineStr">
        <is>
          <t xml:space="preserve">ARRIENDO MODULOS BODEGA PARA INFORMÁTICA HSR</t>
        </is>
      </c>
      <c r="C55" s="0">
        <v>1</v>
      </c>
      <c r="D55" s="4" t="inlineStr">
        <is>
          <t xml:space="preserve">Construcción de obras civiles</t>
        </is>
      </c>
      <c r="E55" s="4" t="inlineStr">
        <is>
          <t xml:space="preserve">Servicios de construcción y mantenimiento / Construcción de edificios en general / Construcción de obras civiles y infraestructuras</t>
        </is>
      </c>
      <c r="F55" s="0">
        <v>2.0</v>
      </c>
      <c r="G55" s="0" t="inlineStr">
        <is>
          <t xml:space="preserve">Unidad</t>
        </is>
      </c>
      <c r="H55" s="4" t="inlineStr">
        <is>
          <t xml:space="preserve">77-002-004-017-00 ARRIENDO MODULOS BODEGA PARA LA UNIDAD DE
INFORMATICA</t>
        </is>
      </c>
    </row>
    <row r="56">
      <c r="A56" s="0" t="inlineStr">
        <is>
          <t xml:space="preserve">1020-45-LE26</t>
        </is>
      </c>
      <c r="B56" s="4" t="inlineStr">
        <is>
          <t xml:space="preserve">Renovación Licencias Software Solarwinds Dameware</t>
        </is>
      </c>
      <c r="C56" s="0">
        <v>1</v>
      </c>
      <c r="D56" s="4" t="inlineStr">
        <is>
          <t xml:space="preserve">Software de gestión de licencias</t>
        </is>
      </c>
      <c r="E56" s="4" t="inlineStr">
        <is>
          <t xml:space="preserve">Tecnologías de la información, telecomunicaciones y radiodifusión / Software / Software de gestión</t>
        </is>
      </c>
      <c r="F56" s="0">
        <v>60.0</v>
      </c>
      <c r="G56" s="0" t="inlineStr">
        <is>
          <t xml:space="preserve">Unidad</t>
        </is>
      </c>
      <c r="H56"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57">
      <c r="A57" s="0" t="inlineStr">
        <is>
          <t xml:space="preserve">1057494-50-LR26</t>
        </is>
      </c>
      <c r="B57" s="4" t="inlineStr">
        <is>
          <t xml:space="preserve">SOFTWARE PARA LA GESTIÓN DE LA UNIDAD DE LABORATOR</t>
        </is>
      </c>
      <c r="C57" s="0">
        <v>1</v>
      </c>
      <c r="D57" s="4" t="inlineStr">
        <is>
          <t xml:space="preserve">Software de sistemas de archivado de película radiográfica médica</t>
        </is>
      </c>
      <c r="E57" s="4" t="inlineStr">
        <is>
          <t xml:space="preserve">Equipamiento y suministros médicos / Productos para imágenes y de medicina nuclear / Artículos para archivar información e imágenes radiológicas</t>
        </is>
      </c>
      <c r="F57" s="0">
        <v>1.0</v>
      </c>
      <c r="G57" s="0" t="inlineStr">
        <is>
          <t xml:space="preserve">Unidad</t>
        </is>
      </c>
      <c r="H57" s="4" t="inlineStr">
        <is>
          <t xml:space="preserve">ARRIENDO DE SOFTWARE PARA LA GESTIÓN DE LA UNIDAD DE LABORATORIO CLÍNICO DEL HOSPITAL DR. EXEQUIEL GONZÁLEZ CORTÉS</t>
        </is>
      </c>
    </row>
    <row r="58">
      <c r="A58" s="0" t="inlineStr">
        <is>
          <t xml:space="preserve">5586-128-LE26</t>
        </is>
      </c>
      <c r="B58" s="4" t="inlineStr">
        <is>
          <t xml:space="preserve">BR CONTRATACIÓN DE PLATAFORMA TECNOLÓGICA TIPO SAAS DE GESTIÓN DIGITAL</t>
        </is>
      </c>
      <c r="C58" s="0">
        <v>1</v>
      </c>
      <c r="D58" s="4" t="inlineStr">
        <is>
          <t xml:space="preserve">Software de administración</t>
        </is>
      </c>
      <c r="E58" s="4" t="inlineStr">
        <is>
          <t xml:space="preserve">Tecnologías de la información, telecomunicaciones y radiodifusión / Software / Software de administración de redes</t>
        </is>
      </c>
      <c r="F58" s="0">
        <v>1.0</v>
      </c>
      <c r="G58" s="0" t="inlineStr">
        <is>
          <t xml:space="preserve">Global</t>
        </is>
      </c>
      <c r="H58" s="4" t="inlineStr">
        <is>
          <t xml:space="preserve">CONTRATACIÓN DE PLATAFORMA TECNOLÓGICA TIPO SAAS DE GESTIÓN DIGITAL, DE ACUERDO A REQUERIMIENTO ADJUNTO</t>
        </is>
      </c>
    </row>
    <row r="59">
      <c r="A59" s="0" t="inlineStr">
        <is>
          <t xml:space="preserve">2434-19-LE26</t>
        </is>
      </c>
      <c r="B59" s="4" t="inlineStr">
        <is>
          <t xml:space="preserve">SERV. TELEFONÍA MOVIL DATOS BANDA ANCHA E IP</t>
        </is>
      </c>
      <c r="C59" s="0">
        <v>1</v>
      </c>
      <c r="D59" s="4" t="inlineStr">
        <is>
          <t xml:space="preserve">Servicios de telefonía móvil</t>
        </is>
      </c>
      <c r="E59" s="4" t="inlineStr">
        <is>
          <t xml:space="preserve">Servicios básicos y de información pública / Telecomunicaciones / Comunicaciones móviles</t>
        </is>
      </c>
      <c r="F59" s="0">
        <v>1.0</v>
      </c>
      <c r="G59" s="0" t="inlineStr">
        <is>
          <t xml:space="preserve">Global</t>
        </is>
      </c>
      <c r="H59" s="4" t="inlineStr">
        <is>
          <t xml:space="preserve">SERVICIO DE TELEFONÍA IP. SERVICIOS DE TELEFONÍA MÓVIL DE VOZ, DATOS MÓVILES Y BANDA ANCHA MÓVIL (BAM), DE ACUERDO A BASES DE LICITACIÓN.</t>
        </is>
      </c>
    </row>
    <row r="60">
      <c r="A60" s="0" t="inlineStr">
        <is>
          <t xml:space="preserve">1057509-250-LP26</t>
        </is>
      </c>
      <c r="B60" s="4" t="inlineStr">
        <is>
          <t xml:space="preserve">CONVENIO COMPRA DE SERVICIOS DE MANTENCIÓN DE AUTOMATIZACIÓN Y CONTROL vps</t>
        </is>
      </c>
      <c r="C60" s="0">
        <v>1</v>
      </c>
      <c r="D60" s="4" t="inlineStr">
        <is>
          <t xml:space="preserve">Profesionales</t>
        </is>
      </c>
      <c r="E60" s="4" t="inlineStr">
        <is>
          <t xml:space="preserve">Servicios profesionales, administrativos y consultorías de gestión empresarial / Servicios de recursos humanos / Contratación de personal</t>
        </is>
      </c>
      <c r="F60" s="0">
        <v>1.0</v>
      </c>
      <c r="G60" s="0" t="inlineStr">
        <is>
          <t xml:space="preserve">Unidad</t>
        </is>
      </c>
      <c r="H60" s="4" t="inlineStr">
        <is>
          <t xml:space="preserve">Técnico en Telecomunicaciones, Técnico en Automatización (44 hrs semanales y 4to Turno). Las prestaciones deberán ser realizadas en la Sección de Automatización y Control Centralizado, perteneciente al Departamento de Ingeniería en el Hospital Regional de</t>
        </is>
      </c>
    </row>
    <row r="61">
      <c r="A61" s="0" t="inlineStr">
        <is>
          <t xml:space="preserve">1057545-102-L126</t>
        </is>
      </c>
      <c r="B61" s="4" t="inlineStr">
        <is>
          <t xml:space="preserve">Convenio Suministro Servicios de Exámenes Imagenológicos Cone Beam CT y Ortopantomografía Digital (PRAIS)</t>
        </is>
      </c>
      <c r="C61" s="0">
        <v>1</v>
      </c>
      <c r="D61" s="4" t="inlineStr">
        <is>
          <t xml:space="preserve">Película radiográfica dental intraoral</t>
        </is>
      </c>
      <c r="E61" s="4" t="inlineStr">
        <is>
          <t xml:space="preserve">Equipamiento y suministros médicos / Equipos y suministros odontológicos / Materiales dentales</t>
        </is>
      </c>
      <c r="F61" s="0">
        <v>1.0</v>
      </c>
      <c r="G61" s="0" t="inlineStr">
        <is>
          <t xml:space="preserve">Unidad</t>
        </is>
      </c>
      <c r="H61" s="4" t="inlineStr">
        <is>
          <t xml:space="preserve">Examen imagenológicos Cone Beam CT</t>
        </is>
      </c>
    </row>
    <row r="62">
      <c r="A62" s="0" t="inlineStr">
        <is>
          <t xml:space="preserve">1057545-102-L126</t>
        </is>
      </c>
      <c r="B62" s="4" t="inlineStr">
        <is>
          <t xml:space="preserve">Convenio Suministro Servicios de Exámenes Imagenológicos Cone Beam CT y Ortopantomografía Digital (PRAIS)</t>
        </is>
      </c>
      <c r="C62" s="0">
        <v>2</v>
      </c>
      <c r="D62" s="4" t="inlineStr">
        <is>
          <t xml:space="preserve">Película radiográfica dental intraoral</t>
        </is>
      </c>
      <c r="E62" s="4" t="inlineStr">
        <is>
          <t xml:space="preserve">Equipamiento y suministros médicos / Equipos y suministros odontológicos / Materiales dentales</t>
        </is>
      </c>
      <c r="F62" s="0">
        <v>1.0</v>
      </c>
      <c r="G62" s="0" t="inlineStr">
        <is>
          <t xml:space="preserve">Unidad</t>
        </is>
      </c>
      <c r="H62" s="4" t="inlineStr">
        <is>
          <t xml:space="preserve">Exámenes imagenológicos Ortopantomografía digital</t>
        </is>
      </c>
    </row>
    <row r="63">
      <c r="A63" s="0" t="inlineStr">
        <is>
          <t xml:space="preserve">2981-242-LE26</t>
        </is>
      </c>
      <c r="B63" s="4" t="inlineStr">
        <is>
          <t xml:space="preserve">ADQUISICIÓN DE ESTRUCTURA TÓTEM Y LETRAS VOLUMETRICAS DE METAL</t>
        </is>
      </c>
      <c r="C63" s="0">
        <v>1</v>
      </c>
      <c r="D63" s="4" t="inlineStr">
        <is>
          <t xml:space="preserve">Placas metálicas indicadoras del nombre</t>
        </is>
      </c>
      <c r="E63" s="4" t="inlineStr">
        <is>
          <t xml:space="preserve">Productos impresos y publicaciones / Etiquetado y accesorios / Etiquetado</t>
        </is>
      </c>
      <c r="F63" s="0">
        <v>1.0</v>
      </c>
      <c r="G63" s="0" t="inlineStr">
        <is>
          <t xml:space="preserve">Unidad no definida</t>
        </is>
      </c>
      <c r="H63" s="4" t="inlineStr">
        <is>
          <t xml:space="preserve">FABRICACION, INSTALACION Y HABILITACION DE ESTRUCTURA TÓTEM Y LETRAS VOLUMETRICAS PDI, SEGUN ESPECIFICACIONES TECNICAS ADJUNTAS</t>
        </is>
      </c>
    </row>
    <row r="64">
      <c r="A64" s="0" t="inlineStr">
        <is>
          <t xml:space="preserve">3000-30-LE26</t>
        </is>
      </c>
      <c r="B64" s="4" t="inlineStr">
        <is>
          <t xml:space="preserve">Toner y Tintas INFORMÁTICA</t>
        </is>
      </c>
      <c r="C64" s="0">
        <v>1</v>
      </c>
      <c r="D64" s="4" t="inlineStr">
        <is>
          <t xml:space="preserve">Tóner</t>
        </is>
      </c>
      <c r="E64" s="4" t="inlineStr">
        <is>
          <t xml:space="preserve">Equipos, accesorios y suministros de oficina / Maquinarias, suministros y accesorios de oficina / Suministros para impresora, fax y fotocopiadora</t>
        </is>
      </c>
      <c r="F64" s="0">
        <v>20.0</v>
      </c>
      <c r="G64" s="0" t="inlineStr">
        <is>
          <t xml:space="preserve">Unidad</t>
        </is>
      </c>
      <c r="H64" s="4" t="inlineStr">
        <is>
          <t xml:space="preserve">TONER MODELO TN3609XXL PARA IMPRESORA BROTHER MODELO MFC-L6915DW CON RENDIMIENTO DE 11000 HOJAS POR UNIDAD</t>
        </is>
      </c>
    </row>
    <row r="65">
      <c r="A65" s="0" t="inlineStr">
        <is>
          <t xml:space="preserve">3000-30-LE26</t>
        </is>
      </c>
      <c r="B65" s="4" t="inlineStr">
        <is>
          <t xml:space="preserve">Toner y Tintas INFORMÁTICA</t>
        </is>
      </c>
      <c r="C65" s="0">
        <v>2</v>
      </c>
      <c r="D65" s="4" t="inlineStr">
        <is>
          <t xml:space="preserve">Tóner</t>
        </is>
      </c>
      <c r="E65" s="4" t="inlineStr">
        <is>
          <t xml:space="preserve">Equipos, accesorios y suministros de oficina / Maquinarias, suministros y accesorios de oficina / Suministros para impresora, fax y fotocopiadora</t>
        </is>
      </c>
      <c r="F65" s="0">
        <v>4.0</v>
      </c>
      <c r="G65" s="0" t="inlineStr">
        <is>
          <t xml:space="preserve">Unidad</t>
        </is>
      </c>
      <c r="H65" s="4" t="inlineStr">
        <is>
          <t xml:space="preserve">TONER MODELO DR3609 PARA IMPRESORA BROTHER MODELO MFC-L6915DW CON RENDIMIENTO DE 75000 HOJAS POR UNIDAD</t>
        </is>
      </c>
    </row>
    <row r="66">
      <c r="A66" s="0" t="inlineStr">
        <is>
          <t xml:space="preserve">3000-30-LE26</t>
        </is>
      </c>
      <c r="B66" s="4" t="inlineStr">
        <is>
          <t xml:space="preserve">Toner y Tintas INFORMÁTICA</t>
        </is>
      </c>
      <c r="C66" s="0">
        <v>3</v>
      </c>
      <c r="D66" s="4" t="inlineStr">
        <is>
          <t xml:space="preserve">Tóner</t>
        </is>
      </c>
      <c r="E66" s="4" t="inlineStr">
        <is>
          <t xml:space="preserve">Equipos, accesorios y suministros de oficina / Maquinarias, suministros y accesorios de oficina / Suministros para impresora, fax y fotocopiadora</t>
        </is>
      </c>
      <c r="F66" s="0">
        <v>6.0</v>
      </c>
      <c r="G66" s="0" t="inlineStr">
        <is>
          <t xml:space="preserve">Unidad</t>
        </is>
      </c>
      <c r="H66" s="4" t="inlineStr">
        <is>
          <t xml:space="preserve">TONER MODELO CF226X PARA IMPRESORA HP MODELO LASERJET M402/M426/ CON RENDIMIENTO DE 9000 HOJAS POR UNIDAD</t>
        </is>
      </c>
    </row>
    <row r="67">
      <c r="A67" s="0" t="inlineStr">
        <is>
          <t xml:space="preserve">3000-30-LE26</t>
        </is>
      </c>
      <c r="B67" s="4" t="inlineStr">
        <is>
          <t xml:space="preserve">Toner y Tintas INFORMÁTICA</t>
        </is>
      </c>
      <c r="C67" s="0">
        <v>4</v>
      </c>
      <c r="D67" s="4" t="inlineStr">
        <is>
          <t xml:space="preserve">Tóner</t>
        </is>
      </c>
      <c r="E67" s="4" t="inlineStr">
        <is>
          <t xml:space="preserve">Equipos, accesorios y suministros de oficina / Maquinarias, suministros y accesorios de oficina / Suministros para impresora, fax y fotocopiadora</t>
        </is>
      </c>
      <c r="F67" s="0">
        <v>11.0</v>
      </c>
      <c r="G67" s="0" t="inlineStr">
        <is>
          <t xml:space="preserve">Unidad</t>
        </is>
      </c>
      <c r="H67" s="4" t="inlineStr">
        <is>
          <t xml:space="preserve">TONER MODELO CF287X PARA IMPRESORA HP MODELO LASERJET M527/ CON RENDIMIENTO DE 10000 HOJAS POR UNIDAD.</t>
        </is>
      </c>
    </row>
    <row r="68">
      <c r="A68" s="0" t="inlineStr">
        <is>
          <t xml:space="preserve">3000-30-LE26</t>
        </is>
      </c>
      <c r="B68" s="4" t="inlineStr">
        <is>
          <t xml:space="preserve">Toner y Tintas INFORMÁTICA</t>
        </is>
      </c>
      <c r="C68" s="0">
        <v>5</v>
      </c>
      <c r="D68" s="4" t="inlineStr">
        <is>
          <t xml:space="preserve">Tóner</t>
        </is>
      </c>
      <c r="E68" s="4" t="inlineStr">
        <is>
          <t xml:space="preserve">Equipos, accesorios y suministros de oficina / Maquinarias, suministros y accesorios de oficina / Suministros para impresora, fax y fotocopiadora</t>
        </is>
      </c>
      <c r="F68" s="0">
        <v>2.0</v>
      </c>
      <c r="G68" s="0" t="inlineStr">
        <is>
          <t xml:space="preserve">Unidad</t>
        </is>
      </c>
      <c r="H68" s="4" t="inlineStr">
        <is>
          <t xml:space="preserve">TONER MODELO CF280X PARA IMPRESORA HP MODELO LASERJET M421/M425 CON RENDIMIENTO DE 6900 HOJAS POR UNIDAD</t>
        </is>
      </c>
    </row>
    <row r="69">
      <c r="A69" s="0" t="inlineStr">
        <is>
          <t xml:space="preserve">3000-30-LE26</t>
        </is>
      </c>
      <c r="B69" s="4" t="inlineStr">
        <is>
          <t xml:space="preserve">Toner y Tintas INFORMÁTICA</t>
        </is>
      </c>
      <c r="C69" s="0">
        <v>6</v>
      </c>
      <c r="D69" s="4" t="inlineStr">
        <is>
          <t xml:space="preserve">Tóner</t>
        </is>
      </c>
      <c r="E69" s="4" t="inlineStr">
        <is>
          <t xml:space="preserve">Equipos, accesorios y suministros de oficina / Maquinarias, suministros y accesorios de oficina / Suministros para impresora, fax y fotocopiadora</t>
        </is>
      </c>
      <c r="F69" s="0">
        <v>2.0</v>
      </c>
      <c r="G69" s="0" t="inlineStr">
        <is>
          <t xml:space="preserve">Unidad</t>
        </is>
      </c>
      <c r="H69" s="4" t="inlineStr">
        <is>
          <t xml:space="preserve">TONER MODELO CF258X PARA IMPRESORA HP MODELO LASERJET M428 CON RENDIMIENTO DE 10000 HOJAS POR UNIDAD.</t>
        </is>
      </c>
    </row>
    <row r="70">
      <c r="A70" s="0" t="inlineStr">
        <is>
          <t xml:space="preserve">3000-30-LE26</t>
        </is>
      </c>
      <c r="B70" s="4" t="inlineStr">
        <is>
          <t xml:space="preserve">Toner y Tintas INFORMÁTICA</t>
        </is>
      </c>
      <c r="C70" s="0">
        <v>7</v>
      </c>
      <c r="D70" s="4" t="inlineStr">
        <is>
          <t xml:space="preserve">Tóner</t>
        </is>
      </c>
      <c r="E70" s="4" t="inlineStr">
        <is>
          <t xml:space="preserve">Equipos, accesorios y suministros de oficina / Maquinarias, suministros y accesorios de oficina / Suministros para impresora, fax y fotocopiadora</t>
        </is>
      </c>
      <c r="F70" s="0">
        <v>2.0</v>
      </c>
      <c r="G70" s="0" t="inlineStr">
        <is>
          <t xml:space="preserve">Unidad</t>
        </is>
      </c>
      <c r="H70" s="4" t="inlineStr">
        <is>
          <t xml:space="preserve">TONER MODELO T06 PARA IMPRESORA CANON MODELO IMAGERUNER 1643IF CON RENDIMIENTO DE 20500 HOJAS POR UNIDAD</t>
        </is>
      </c>
    </row>
    <row r="71">
      <c r="A71" s="0" t="inlineStr">
        <is>
          <t xml:space="preserve">3671-58-LE26</t>
        </is>
      </c>
      <c r="B71" s="4" t="inlineStr">
        <is>
          <t xml:space="preserve">“HABILITACIÓN DE NUEVAS DEPENDENCIAS DE SEGURIDAD MUNICIPAL E INFORMÁTICA DE LA MUNICIPALIDAD DE CHILLÁN VIEJO”</t>
        </is>
      </c>
      <c r="C71" s="0">
        <v>1</v>
      </c>
      <c r="D71" s="4" t="inlineStr">
        <is>
          <t xml:space="preserve">Construcción de obras civiles</t>
        </is>
      </c>
      <c r="E71" s="4" t="inlineStr">
        <is>
          <t xml:space="preserve">Servicios de construcción y mantenimiento / Construcción de edificios en general / Construcción de obras civiles y infraestructuras</t>
        </is>
      </c>
      <c r="F71" s="0">
        <v>1.0</v>
      </c>
      <c r="G71" s="0" t="inlineStr">
        <is>
          <t xml:space="preserve">Unidad</t>
        </is>
      </c>
      <c r="H71" s="4" t="inlineStr">
        <is>
          <t xml:space="preserve">HABILITACION DE NUEVAS DEPENDENCIAS DE SEGURIDAD MUNICIPAL E INFORMATICA DE LA MUNICIPALIDAD DE CHILLAN VIEJO</t>
        </is>
      </c>
    </row>
    <row r="72">
      <c r="A72" s="0" t="inlineStr">
        <is>
          <t xml:space="preserve">652-37-LP26</t>
        </is>
      </c>
      <c r="B72" s="4" t="inlineStr">
        <is>
          <t xml:space="preserve">ARRIENDO SERVIDOR INFORMATICO PARA PROGRAMA SISSA.</t>
        </is>
      </c>
      <c r="C72" s="0">
        <v>1</v>
      </c>
      <c r="D72" s="4" t="inlineStr">
        <is>
          <t xml:space="preserve">Servidores</t>
        </is>
      </c>
      <c r="E72" s="4" t="inlineStr">
        <is>
          <t xml:space="preserve">Tecnologías de la información, telecomunicaciones y radiodifusión / Equipos informáticos y accesorios / Computadores</t>
        </is>
      </c>
      <c r="F72" s="0">
        <v>1.0</v>
      </c>
      <c r="G72" s="0" t="inlineStr">
        <is>
          <t xml:space="preserve">Unidad</t>
        </is>
      </c>
      <c r="H72" s="4" t="inlineStr">
        <is>
          <t xml:space="preserve">CONVENIO ARRIENDO SERVIDOR INFORMATICO PARA ELPROGRAMA SISSA POR UN PERIODO DE 36 MESES, SERVICIO DE SALUD ARAUCO PARA EL SERVICIO DE SALUD ARAUCANIA SUR, SEGUN REQUERIMIENTOS TECNICOS ADJUNTOS.</t>
        </is>
      </c>
    </row>
    <row r="73">
      <c r="A73" s="0" t="inlineStr">
        <is>
          <t xml:space="preserve">1305552-6-LE26</t>
        </is>
      </c>
      <c r="B73" s="4" t="inlineStr">
        <is>
          <t xml:space="preserve">SOFTWARE DE INVENTARIO CARGA Y NORMALIZACIÓN</t>
        </is>
      </c>
      <c r="C73" s="0">
        <v>1</v>
      </c>
      <c r="D73" s="4" t="inlineStr">
        <is>
          <t xml:space="preserve">Programas de gestión de inventario</t>
        </is>
      </c>
      <c r="E73" s="4" t="inlineStr">
        <is>
          <t xml:space="preserve">Tecnologías de la información, telecomunicaciones y radiodifusión / Software / Software de gestión</t>
        </is>
      </c>
      <c r="F73" s="0">
        <v>1.0</v>
      </c>
      <c r="G73" s="0" t="inlineStr">
        <is>
          <t xml:space="preserve">Unidad</t>
        </is>
      </c>
      <c r="H73" s="4" t="inlineStr">
        <is>
          <t xml:space="preserve">DE SOFTWARE DE INVENTARIO, CARGA Y NORMALIZACIÓN DE INFORMACIÓN PATRIMONIAL, E IMPLEMENTACIÓN DE PLATAFORMA DE GESTIÓN DE ACTIVOS FIJOS Y BIENES FUNGIBLES PARA EL SERVICIO LOCAL DE EDUCACIÓN PÚBLICA DEL TAMARUGAL,</t>
        </is>
      </c>
    </row>
    <row r="74">
      <c r="A74" s="0" t="inlineStr">
        <is>
          <t xml:space="preserve">425-39-LR26</t>
        </is>
      </c>
      <c r="B74" s="4" t="inlineStr">
        <is>
          <t xml:space="preserve">ADQUISICIÓN Y RENOVACIÓN DE LICENCIAS DE SOFTWARE PARA EL PODER JUDICIAL</t>
        </is>
      </c>
      <c r="C74" s="0">
        <v>1</v>
      </c>
      <c r="D74" s="4" t="inlineStr">
        <is>
          <t xml:space="preserve">Software de gestión de licencias</t>
        </is>
      </c>
      <c r="E74" s="4" t="inlineStr">
        <is>
          <t xml:space="preserve">Tecnologías de la información, telecomunicaciones y radiodifusión / Software / Software de gestión</t>
        </is>
      </c>
      <c r="F74" s="0">
        <v>12.0</v>
      </c>
      <c r="G74" s="0" t="inlineStr">
        <is>
          <t xml:space="preserve">Unidad</t>
        </is>
      </c>
      <c r="H74" s="4" t="inlineStr">
        <is>
          <t xml:space="preserve">Item 1 Adquisición licencias NETBACKUP ENTERPRISE XPLAT 1 FRONT END TB ONPREM STANDARD, Valor neto según Formulario Económico N°1 (en caso de discrepancia entre el valor y el Formulario Económico N° 1 primará este último)</t>
        </is>
      </c>
    </row>
    <row r="75">
      <c r="A75" s="0" t="inlineStr">
        <is>
          <t xml:space="preserve">425-39-LR26</t>
        </is>
      </c>
      <c r="B75" s="4" t="inlineStr">
        <is>
          <t xml:space="preserve">ADQUISICIÓN Y RENOVACIÓN DE LICENCIAS DE SOFTWARE PARA EL PODER JUDICIAL</t>
        </is>
      </c>
      <c r="C75" s="0">
        <v>2</v>
      </c>
      <c r="D75" s="4" t="inlineStr">
        <is>
          <t xml:space="preserve">Software de gestión de licencias</t>
        </is>
      </c>
      <c r="E75" s="4" t="inlineStr">
        <is>
          <t xml:space="preserve">Tecnologías de la información, telecomunicaciones y radiodifusión / Software / Software de gestión</t>
        </is>
      </c>
      <c r="F75" s="0">
        <v>4480.0</v>
      </c>
      <c r="G75" s="0" t="inlineStr">
        <is>
          <t xml:space="preserve">Unidad</t>
        </is>
      </c>
      <c r="H75" s="4" t="inlineStr">
        <is>
          <t xml:space="preserve">Item 2 Renovación Licencias WAS,Valor neto según Formulario Económico N°1 (en caso de discrepancia entre el valor y el Formulario Económico N° 1 primará este último)</t>
        </is>
      </c>
    </row>
    <row r="76">
      <c r="A76" s="0" t="inlineStr">
        <is>
          <t xml:space="preserve">425-39-LR26</t>
        </is>
      </c>
      <c r="B76" s="4" t="inlineStr">
        <is>
          <t xml:space="preserve">ADQUISICIÓN Y RENOVACIÓN DE LICENCIAS DE SOFTWARE PARA EL PODER JUDICIAL</t>
        </is>
      </c>
      <c r="C76" s="0">
        <v>3</v>
      </c>
      <c r="D76" s="4" t="inlineStr">
        <is>
          <t xml:space="preserve">Software de gestión de licencias</t>
        </is>
      </c>
      <c r="E76" s="4" t="inlineStr">
        <is>
          <t xml:space="preserve">Tecnologías de la información, telecomunicaciones y radiodifusión / Software / Software de gestión</t>
        </is>
      </c>
      <c r="F76" s="0">
        <v>30.0</v>
      </c>
      <c r="G76" s="0" t="inlineStr">
        <is>
          <t xml:space="preserve">Unidad</t>
        </is>
      </c>
      <c r="H76" s="4" t="inlineStr">
        <is>
          <t xml:space="preserve">Item 3 Suscripción Licencias Instana,Valor neto según Formulario Económico N°1 (en caso de discrepancia entre el valor y el Formulario Económico N° 1 primará este último)</t>
        </is>
      </c>
    </row>
    <row r="77">
      <c r="A77" s="0" t="inlineStr">
        <is>
          <t xml:space="preserve">425-39-LR26</t>
        </is>
      </c>
      <c r="B77" s="4" t="inlineStr">
        <is>
          <t xml:space="preserve">ADQUISICIÓN Y RENOVACIÓN DE LICENCIAS DE SOFTWARE PARA EL PODER JUDICIAL</t>
        </is>
      </c>
      <c r="C77" s="0">
        <v>4</v>
      </c>
      <c r="D77" s="4" t="inlineStr">
        <is>
          <t xml:space="preserve">Software de gestión de licencias</t>
        </is>
      </c>
      <c r="E77" s="4" t="inlineStr">
        <is>
          <t xml:space="preserve">Tecnologías de la información, telecomunicaciones y radiodifusión / Software / Software de gestión</t>
        </is>
      </c>
      <c r="F77" s="0">
        <v>74.0</v>
      </c>
      <c r="G77" s="0" t="inlineStr">
        <is>
          <t xml:space="preserve">Unidad</t>
        </is>
      </c>
      <c r="H77" s="4" t="inlineStr">
        <is>
          <t xml:space="preserve">Item 3 Suscripción Licencias Instana, Valor neto según Formulario Económico N°1 (en caso de discrepancia entre el valor y el Formulario Económico N° 1 primará este último)</t>
        </is>
      </c>
    </row>
    <row r="78">
      <c r="A78" s="0" t="inlineStr">
        <is>
          <t xml:space="preserve">425-39-LR26</t>
        </is>
      </c>
      <c r="B78" s="4" t="inlineStr">
        <is>
          <t xml:space="preserve">ADQUISICIÓN Y RENOVACIÓN DE LICENCIAS DE SOFTWARE PARA EL PODER JUDICIAL</t>
        </is>
      </c>
      <c r="C78" s="0">
        <v>5</v>
      </c>
      <c r="D78" s="4" t="inlineStr">
        <is>
          <t xml:space="preserve">Software de gestión de licencias</t>
        </is>
      </c>
      <c r="E78" s="4" t="inlineStr">
        <is>
          <t xml:space="preserve">Tecnologías de la información, telecomunicaciones y radiodifusión / Software / Software de gestión</t>
        </is>
      </c>
      <c r="F78" s="0">
        <v>4.0</v>
      </c>
      <c r="G78" s="0" t="inlineStr">
        <is>
          <t xml:space="preserve">Unidad</t>
        </is>
      </c>
      <c r="H78" s="4" t="inlineStr">
        <is>
          <t xml:space="preserve">Item 4, Suscripción Licencias Red Hat Openshift, Valor neto según Formulario Económico N°1 (en caso de discrepancia entre el valor y el Formulario Económico N° 1 primará este último)</t>
        </is>
      </c>
    </row>
    <row r="79">
      <c r="A79" s="0" t="inlineStr">
        <is>
          <t xml:space="preserve">425-39-LR26</t>
        </is>
      </c>
      <c r="B79" s="4" t="inlineStr">
        <is>
          <t xml:space="preserve">ADQUISICIÓN Y RENOVACIÓN DE LICENCIAS DE SOFTWARE PARA EL PODER JUDICIAL</t>
        </is>
      </c>
      <c r="C79" s="0">
        <v>6</v>
      </c>
      <c r="D79" s="4" t="inlineStr">
        <is>
          <t xml:space="preserve">Software de gestión de licencias</t>
        </is>
      </c>
      <c r="E79" s="4" t="inlineStr">
        <is>
          <t xml:space="preserve">Tecnologías de la información, telecomunicaciones y radiodifusión / Software / Software de gestión</t>
        </is>
      </c>
      <c r="F79" s="0">
        <v>8.0</v>
      </c>
      <c r="G79" s="0" t="inlineStr">
        <is>
          <t xml:space="preserve">Unidad</t>
        </is>
      </c>
      <c r="H79" s="4" t="inlineStr">
        <is>
          <t xml:space="preserve">Item 4, Suscripción Licencias Red Hat Openshift, Valor neto según Formulario Económico N°1 (en caso de discrepancia entre el valor y el Formulario Económico N° 1 primará este último)</t>
        </is>
      </c>
    </row>
    <row r="80">
      <c r="A80" s="0" t="inlineStr">
        <is>
          <t xml:space="preserve">425-39-LR26</t>
        </is>
      </c>
      <c r="B80" s="4" t="inlineStr">
        <is>
          <t xml:space="preserve">ADQUISICIÓN Y RENOVACIÓN DE LICENCIAS DE SOFTWARE PARA EL PODER JUDICIAL</t>
        </is>
      </c>
      <c r="C80" s="0">
        <v>7</v>
      </c>
      <c r="D80" s="4" t="inlineStr">
        <is>
          <t xml:space="preserve">Software de gestión de licencias</t>
        </is>
      </c>
      <c r="E80" s="4" t="inlineStr">
        <is>
          <t xml:space="preserve">Tecnologías de la información, telecomunicaciones y radiodifusión / Software / Software de gestión</t>
        </is>
      </c>
      <c r="F80" s="0">
        <v>19.0</v>
      </c>
      <c r="G80" s="0" t="inlineStr">
        <is>
          <t xml:space="preserve">Unidad</t>
        </is>
      </c>
      <c r="H80" s="4" t="inlineStr">
        <is>
          <t xml:space="preserve">Item 4, Suscripción Licencias Red Hat Openshift, Valor neto según Formulario Económico N°1 (en caso de discrepancia entre el valor y el Formulario Económico N° 1 primará este último)</t>
        </is>
      </c>
    </row>
    <row r="81">
      <c r="A81" s="0" t="inlineStr">
        <is>
          <t xml:space="preserve">425-39-LR26</t>
        </is>
      </c>
      <c r="B81" s="4" t="inlineStr">
        <is>
          <t xml:space="preserve">ADQUISICIÓN Y RENOVACIÓN DE LICENCIAS DE SOFTWARE PARA EL PODER JUDICIAL</t>
        </is>
      </c>
      <c r="C81" s="0">
        <v>8</v>
      </c>
      <c r="D81" s="4" t="inlineStr">
        <is>
          <t xml:space="preserve">Software de gestión de licencias</t>
        </is>
      </c>
      <c r="E81" s="4" t="inlineStr">
        <is>
          <t xml:space="preserve">Tecnologías de la información, telecomunicaciones y radiodifusión / Software / Software de gestión</t>
        </is>
      </c>
      <c r="F81" s="0">
        <v>17.0</v>
      </c>
      <c r="G81" s="0" t="inlineStr">
        <is>
          <t xml:space="preserve">Unidad</t>
        </is>
      </c>
      <c r="H81" s="4" t="inlineStr">
        <is>
          <t xml:space="preserve">Item 4, Suscripción Licencias Red Hat Openshift, Valor neto según Formulario Económico N°1 (en caso de discrepancia entre el valor y el Formulario Económico N° 1 primará este último)</t>
        </is>
      </c>
    </row>
    <row r="82">
      <c r="A82" s="0" t="inlineStr">
        <is>
          <t xml:space="preserve">425-39-LR26</t>
        </is>
      </c>
      <c r="B82" s="4" t="inlineStr">
        <is>
          <t xml:space="preserve">ADQUISICIÓN Y RENOVACIÓN DE LICENCIAS DE SOFTWARE PARA EL PODER JUDICIAL</t>
        </is>
      </c>
      <c r="C82" s="0">
        <v>9</v>
      </c>
      <c r="D82" s="4" t="inlineStr">
        <is>
          <t xml:space="preserve">Software de gestión de licencias</t>
        </is>
      </c>
      <c r="E82" s="4" t="inlineStr">
        <is>
          <t xml:space="preserve">Tecnologías de la información, telecomunicaciones y radiodifusión / Software / Software de gestión</t>
        </is>
      </c>
      <c r="F82" s="0">
        <v>2.0</v>
      </c>
      <c r="G82" s="0" t="inlineStr">
        <is>
          <t xml:space="preserve">Unidad</t>
        </is>
      </c>
      <c r="H82" s="4" t="inlineStr">
        <is>
          <t xml:space="preserve">Item 5 Red Hat Enterprise Linux Server, Standard (Physical or Virtual Nodes) ,Valor neto según Formulario Económico N°1 (en caso de discrepancia entre el valor y el Formulario Económico N° 1 primará este último)</t>
        </is>
      </c>
    </row>
    <row r="83">
      <c r="A83" s="0" t="inlineStr">
        <is>
          <t xml:space="preserve">425-39-LR26</t>
        </is>
      </c>
      <c r="B83" s="4" t="inlineStr">
        <is>
          <t xml:space="preserve">ADQUISICIÓN Y RENOVACIÓN DE LICENCIAS DE SOFTWARE PARA EL PODER JUDICIAL</t>
        </is>
      </c>
      <c r="C83" s="0">
        <v>10</v>
      </c>
      <c r="D83" s="4" t="inlineStr">
        <is>
          <t xml:space="preserve">Software de gestión de licencias</t>
        </is>
      </c>
      <c r="E83" s="4" t="inlineStr">
        <is>
          <t xml:space="preserve">Tecnologías de la información, telecomunicaciones y radiodifusión / Software / Software de gestión</t>
        </is>
      </c>
      <c r="F83" s="0">
        <v>1.0</v>
      </c>
      <c r="G83" s="0" t="inlineStr">
        <is>
          <t xml:space="preserve">Unidad</t>
        </is>
      </c>
      <c r="H83" s="4" t="inlineStr">
        <is>
          <t xml:space="preserve">Item 5 Red Hat Enterprise Linux for Virtual Datacenters, Standard, Valor neto según Formulario Económico N°1 (en caso de discrepancia entre el valor y el Formulario Económico N° 1 primará este último)</t>
        </is>
      </c>
    </row>
    <row r="84">
      <c r="A84" s="0" t="inlineStr">
        <is>
          <t xml:space="preserve">425-39-LR26</t>
        </is>
      </c>
      <c r="B84" s="4" t="inlineStr">
        <is>
          <t xml:space="preserve">ADQUISICIÓN Y RENOVACIÓN DE LICENCIAS DE SOFTWARE PARA EL PODER JUDICIAL</t>
        </is>
      </c>
      <c r="C84" s="0">
        <v>11</v>
      </c>
      <c r="D84" s="4" t="inlineStr">
        <is>
          <t xml:space="preserve">Software de gestión de licencias</t>
        </is>
      </c>
      <c r="E84" s="4" t="inlineStr">
        <is>
          <t xml:space="preserve">Tecnologías de la información, telecomunicaciones y radiodifusión / Software / Software de gestión</t>
        </is>
      </c>
      <c r="F84" s="0">
        <v>1.0</v>
      </c>
      <c r="G84" s="0" t="inlineStr">
        <is>
          <t xml:space="preserve">Unidad</t>
        </is>
      </c>
      <c r="H84" s="4" t="inlineStr">
        <is>
          <t xml:space="preserve">Item 5 Red Hat Enterprise Linux for Virtual Datacenters, Standard, Valor neto según Formulario Económico N°1 (en caso de discrepancia entre el valor y el Formulario Económico N° 1 primará este último)</t>
        </is>
      </c>
    </row>
    <row r="85">
      <c r="A85" s="0" t="inlineStr">
        <is>
          <t xml:space="preserve">425-39-LR26</t>
        </is>
      </c>
      <c r="B85" s="4" t="inlineStr">
        <is>
          <t xml:space="preserve">ADQUISICIÓN Y RENOVACIÓN DE LICENCIAS DE SOFTWARE PARA EL PODER JUDICIAL</t>
        </is>
      </c>
      <c r="C85" s="0">
        <v>12</v>
      </c>
      <c r="D85" s="4" t="inlineStr">
        <is>
          <t xml:space="preserve">Software de gestión de licencias</t>
        </is>
      </c>
      <c r="E85" s="4" t="inlineStr">
        <is>
          <t xml:space="preserve">Tecnologías de la información, telecomunicaciones y radiodifusión / Software / Software de gestión</t>
        </is>
      </c>
      <c r="F85" s="0">
        <v>5.0</v>
      </c>
      <c r="G85" s="0" t="inlineStr">
        <is>
          <t xml:space="preserve">Unidad</t>
        </is>
      </c>
      <c r="H85" s="4" t="inlineStr">
        <is>
          <t xml:space="preserve">Item 5 Red Hat Enterprise Linux Server, Standard (Physical or Virtual Nodes), Valor neto según Formulario Económico N°1 (en caso de discrepancia entre el valor y el Formulario Económico N° 1 primará este último)</t>
        </is>
      </c>
    </row>
    <row r="86">
      <c r="A86" s="0" t="inlineStr">
        <is>
          <t xml:space="preserve">425-39-LR26</t>
        </is>
      </c>
      <c r="B86" s="4" t="inlineStr">
        <is>
          <t xml:space="preserve">ADQUISICIÓN Y RENOVACIÓN DE LICENCIAS DE SOFTWARE PARA EL PODER JUDICIAL</t>
        </is>
      </c>
      <c r="C86" s="0">
        <v>13</v>
      </c>
      <c r="D86" s="4" t="inlineStr">
        <is>
          <t xml:space="preserve">Software de gestión de licencias</t>
        </is>
      </c>
      <c r="E86" s="4" t="inlineStr">
        <is>
          <t xml:space="preserve">Tecnologías de la información, telecomunicaciones y radiodifusión / Software / Software de gestión</t>
        </is>
      </c>
      <c r="F86" s="0">
        <v>28.0</v>
      </c>
      <c r="G86" s="0" t="inlineStr">
        <is>
          <t xml:space="preserve">Unidad</t>
        </is>
      </c>
      <c r="H86" s="4" t="inlineStr">
        <is>
          <t xml:space="preserve">Item 6 Suscripción Arquitecture Enginering Collection, Valor neto según Formulario Económico N°1 (en caso de discrepancia entre el valor y el Formulario Económico N° 1 primará este último)</t>
        </is>
      </c>
    </row>
    <row r="87">
      <c r="A87" s="0" t="inlineStr">
        <is>
          <t xml:space="preserve">425-39-LR26</t>
        </is>
      </c>
      <c r="B87" s="4" t="inlineStr">
        <is>
          <t xml:space="preserve">ADQUISICIÓN Y RENOVACIÓN DE LICENCIAS DE SOFTWARE PARA EL PODER JUDICIAL</t>
        </is>
      </c>
      <c r="C87" s="0">
        <v>14</v>
      </c>
      <c r="D87" s="4" t="inlineStr">
        <is>
          <t xml:space="preserve">Software de gestión de licencias</t>
        </is>
      </c>
      <c r="E87" s="4" t="inlineStr">
        <is>
          <t xml:space="preserve">Tecnologías de la información, telecomunicaciones y radiodifusión / Software / Software de gestión</t>
        </is>
      </c>
      <c r="F87" s="0">
        <v>12.0</v>
      </c>
      <c r="G87" s="0" t="inlineStr">
        <is>
          <t xml:space="preserve">Unidad</t>
        </is>
      </c>
      <c r="H87" s="4" t="inlineStr">
        <is>
          <t xml:space="preserve">Item 6 Suscripción Arquitecture Enginering Collection, Valor neto según Formulario Económico N°1 (en caso de discrepancia entre el valor y el Formulario Económico N° 1 primará este último)</t>
        </is>
      </c>
    </row>
    <row r="88">
      <c r="A88" s="0" t="inlineStr">
        <is>
          <t xml:space="preserve">425-39-LR26</t>
        </is>
      </c>
      <c r="B88" s="4" t="inlineStr">
        <is>
          <t xml:space="preserve">ADQUISICIÓN Y RENOVACIÓN DE LICENCIAS DE SOFTWARE PARA EL PODER JUDICIAL</t>
        </is>
      </c>
      <c r="C88" s="0">
        <v>15</v>
      </c>
      <c r="D88" s="4" t="inlineStr">
        <is>
          <t xml:space="preserve">Software de gestión de licencias</t>
        </is>
      </c>
      <c r="E88" s="4" t="inlineStr">
        <is>
          <t xml:space="preserve">Tecnologías de la información, telecomunicaciones y radiodifusión / Software / Software de gestión</t>
        </is>
      </c>
      <c r="F88" s="0">
        <v>4500.0</v>
      </c>
      <c r="G88" s="0" t="inlineStr">
        <is>
          <t xml:space="preserve">Unidad</t>
        </is>
      </c>
      <c r="H88" s="4" t="inlineStr">
        <is>
          <t xml:space="preserve">Ítem 7 Suscripción Licencias Kaspersky, Valor neto según Formulario Económico N°1 (en caso de discrepancia entre el valor y el Formulario Económico N° 1 primará este último)</t>
        </is>
      </c>
    </row>
    <row r="89">
      <c r="A89" s="0" t="inlineStr">
        <is>
          <t xml:space="preserve">1232565-34-LE26</t>
        </is>
      </c>
      <c r="B89" s="4" t="inlineStr">
        <is>
          <t xml:space="preserve">Renovación de Suscripciones de Software ULS23992</t>
        </is>
      </c>
      <c r="C89" s="0">
        <v>1</v>
      </c>
      <c r="D89" s="4" t="inlineStr">
        <is>
          <t xml:space="preserve">Software de gestión de licencias</t>
        </is>
      </c>
      <c r="E89" s="4" t="inlineStr">
        <is>
          <t xml:space="preserve">Tecnologías de la información, telecomunicaciones y radiodifusión / Software / Software de gestión</t>
        </is>
      </c>
      <c r="F89" s="0">
        <v>16.0</v>
      </c>
      <c r="G89" s="0" t="inlineStr">
        <is>
          <t xml:space="preserve">Unidad</t>
        </is>
      </c>
      <c r="H89" s="4" t="inlineStr">
        <is>
          <t xml:space="preserve">Suscripción Canva Negocios</t>
        </is>
      </c>
    </row>
    <row r="90">
      <c r="A90" s="0" t="inlineStr">
        <is>
          <t xml:space="preserve">1232565-34-LE26</t>
        </is>
      </c>
      <c r="B90" s="4" t="inlineStr">
        <is>
          <t xml:space="preserve">Renovación de Suscripciones de Software ULS23992</t>
        </is>
      </c>
      <c r="C90" s="0">
        <v>2</v>
      </c>
      <c r="D90" s="4" t="inlineStr">
        <is>
          <t xml:space="preserve">Software de gestión de licencias</t>
        </is>
      </c>
      <c r="E90" s="4" t="inlineStr">
        <is>
          <t xml:space="preserve">Tecnologías de la información, telecomunicaciones y radiodifusión / Software / Software de gestión</t>
        </is>
      </c>
      <c r="F90" s="0">
        <v>2.0</v>
      </c>
      <c r="G90" s="0" t="inlineStr">
        <is>
          <t xml:space="preserve">Unidad</t>
        </is>
      </c>
      <c r="H90" s="4" t="inlineStr">
        <is>
          <t xml:space="preserve">Suscripción Kahoot Edu Pro Higer edu Institution</t>
        </is>
      </c>
    </row>
    <row r="91">
      <c r="A91" s="0" t="inlineStr">
        <is>
          <t xml:space="preserve">1232565-34-LE26</t>
        </is>
      </c>
      <c r="B91" s="4" t="inlineStr">
        <is>
          <t xml:space="preserve">Renovación de Suscripciones de Software ULS23992</t>
        </is>
      </c>
      <c r="C91" s="0">
        <v>3</v>
      </c>
      <c r="D91" s="4" t="inlineStr">
        <is>
          <t xml:space="preserve">Software de gestión de licencias</t>
        </is>
      </c>
      <c r="E91" s="4" t="inlineStr">
        <is>
          <t xml:space="preserve">Tecnologías de la información, telecomunicaciones y radiodifusión / Software / Software de gestión</t>
        </is>
      </c>
      <c r="F91" s="0">
        <v>5.0</v>
      </c>
      <c r="G91" s="0" t="inlineStr">
        <is>
          <t xml:space="preserve">Unidad</t>
        </is>
      </c>
      <c r="H91" s="4" t="inlineStr">
        <is>
          <t xml:space="preserve">Suscripción TRELLO Premiium</t>
        </is>
      </c>
    </row>
    <row r="92">
      <c r="A92" s="0" t="inlineStr">
        <is>
          <t xml:space="preserve">1232565-34-LE26</t>
        </is>
      </c>
      <c r="B92" s="4" t="inlineStr">
        <is>
          <t xml:space="preserve">Renovación de Suscripciones de Software ULS23992</t>
        </is>
      </c>
      <c r="C92" s="0">
        <v>4</v>
      </c>
      <c r="D92" s="4" t="inlineStr">
        <is>
          <t xml:space="preserve">Software de gestión de licencias</t>
        </is>
      </c>
      <c r="E92" s="4" t="inlineStr">
        <is>
          <t xml:space="preserve">Tecnologías de la información, telecomunicaciones y radiodifusión / Software / Software de gestión</t>
        </is>
      </c>
      <c r="F92" s="0">
        <v>1.0</v>
      </c>
      <c r="G92" s="0" t="inlineStr">
        <is>
          <t xml:space="preserve">Unidad</t>
        </is>
      </c>
      <c r="H92" s="4" t="inlineStr">
        <is>
          <t xml:space="preserve">Suscripción Power BI Premium Per User (Education Faculty Pricing)</t>
        </is>
      </c>
    </row>
    <row r="93">
      <c r="A93" s="0" t="inlineStr">
        <is>
          <t xml:space="preserve">1232565-34-LE26</t>
        </is>
      </c>
      <c r="B93" s="4" t="inlineStr">
        <is>
          <t xml:space="preserve">Renovación de Suscripciones de Software ULS23992</t>
        </is>
      </c>
      <c r="C93" s="0">
        <v>5</v>
      </c>
      <c r="D93" s="4" t="inlineStr">
        <is>
          <t xml:space="preserve">Software de gestión de licencias</t>
        </is>
      </c>
      <c r="E93" s="4" t="inlineStr">
        <is>
          <t xml:space="preserve">Tecnologías de la información, telecomunicaciones y radiodifusión / Software / Software de gestión</t>
        </is>
      </c>
      <c r="F93" s="0">
        <v>3.0</v>
      </c>
      <c r="G93" s="0" t="inlineStr">
        <is>
          <t xml:space="preserve">Unidad</t>
        </is>
      </c>
      <c r="H93" s="4" t="inlineStr">
        <is>
          <t xml:space="preserve">Suscripción Notion Plus</t>
        </is>
      </c>
    </row>
    <row r="94">
      <c r="A94" s="0" t="inlineStr">
        <is>
          <t xml:space="preserve">1232565-34-LE26</t>
        </is>
      </c>
      <c r="B94" s="4" t="inlineStr">
        <is>
          <t xml:space="preserve">Renovación de Suscripciones de Software ULS23992</t>
        </is>
      </c>
      <c r="C94" s="0">
        <v>6</v>
      </c>
      <c r="D94" s="4" t="inlineStr">
        <is>
          <t xml:space="preserve">Software de gestión de licencias</t>
        </is>
      </c>
      <c r="E94" s="4" t="inlineStr">
        <is>
          <t xml:space="preserve">Tecnologías de la información, telecomunicaciones y radiodifusión / Software / Software de gestión</t>
        </is>
      </c>
      <c r="F94" s="0">
        <v>1.0</v>
      </c>
      <c r="G94" s="0" t="inlineStr">
        <is>
          <t xml:space="preserve">Unidad</t>
        </is>
      </c>
      <c r="H94" s="4" t="inlineStr">
        <is>
          <t xml:space="preserve">Suscripción Manychat Pro</t>
        </is>
      </c>
    </row>
    <row r="95">
      <c r="A95" s="0" t="inlineStr">
        <is>
          <t xml:space="preserve">1232565-34-LE26</t>
        </is>
      </c>
      <c r="B95" s="4" t="inlineStr">
        <is>
          <t xml:space="preserve">Renovación de Suscripciones de Software ULS23992</t>
        </is>
      </c>
      <c r="C95" s="0">
        <v>7</v>
      </c>
      <c r="D95" s="4" t="inlineStr">
        <is>
          <t xml:space="preserve">Software de gestión de licencias</t>
        </is>
      </c>
      <c r="E95" s="4" t="inlineStr">
        <is>
          <t xml:space="preserve">Tecnologías de la información, telecomunicaciones y radiodifusión / Software / Software de gestión</t>
        </is>
      </c>
      <c r="F95" s="0">
        <v>1.0</v>
      </c>
      <c r="G95" s="0" t="inlineStr">
        <is>
          <t xml:space="preserve">Unidad</t>
        </is>
      </c>
      <c r="H95" s="4" t="inlineStr">
        <is>
          <t xml:space="preserve">Suscripción Metricool Starter</t>
        </is>
      </c>
    </row>
    <row r="96">
      <c r="A96" s="0" t="inlineStr">
        <is>
          <t xml:space="preserve">1232565-34-LE26</t>
        </is>
      </c>
      <c r="B96" s="4" t="inlineStr">
        <is>
          <t xml:space="preserve">Renovación de Suscripciones de Software ULS23992</t>
        </is>
      </c>
      <c r="C96" s="0">
        <v>8</v>
      </c>
      <c r="D96" s="4" t="inlineStr">
        <is>
          <t xml:space="preserve">Software de gestión de licencias</t>
        </is>
      </c>
      <c r="E96" s="4" t="inlineStr">
        <is>
          <t xml:space="preserve">Tecnologías de la información, telecomunicaciones y radiodifusión / Software / Software de gestión</t>
        </is>
      </c>
      <c r="F96" s="0">
        <v>1.0</v>
      </c>
      <c r="G96" s="0" t="inlineStr">
        <is>
          <t xml:space="preserve">Unidad</t>
        </is>
      </c>
      <c r="H96" s="4" t="inlineStr">
        <is>
          <t xml:space="preserve">Suscripción ATLAS TI Educacional</t>
        </is>
      </c>
    </row>
    <row r="97">
      <c r="A97" s="0" t="inlineStr">
        <is>
          <t xml:space="preserve">1232565-34-LE26</t>
        </is>
      </c>
      <c r="B97" s="4" t="inlineStr">
        <is>
          <t xml:space="preserve">Renovación de Suscripciones de Software ULS23992</t>
        </is>
      </c>
      <c r="C97" s="0">
        <v>9</v>
      </c>
      <c r="D97" s="4" t="inlineStr">
        <is>
          <t xml:space="preserve">Software de gestión de licencias</t>
        </is>
      </c>
      <c r="E97" s="4" t="inlineStr">
        <is>
          <t xml:space="preserve">Tecnologías de la información, telecomunicaciones y radiodifusión / Software / Software de gestión</t>
        </is>
      </c>
      <c r="F97" s="0">
        <v>1.0</v>
      </c>
      <c r="G97" s="0" t="inlineStr">
        <is>
          <t xml:space="preserve">Unidad</t>
        </is>
      </c>
      <c r="H97" s="4" t="inlineStr">
        <is>
          <t xml:space="preserve">Suscripción CapCut Pro</t>
        </is>
      </c>
    </row>
    <row r="98">
      <c r="A98" s="0" t="inlineStr">
        <is>
          <t xml:space="preserve">1232565-34-LE26</t>
        </is>
      </c>
      <c r="B98" s="4" t="inlineStr">
        <is>
          <t xml:space="preserve">Renovación de Suscripciones de Software ULS23992</t>
        </is>
      </c>
      <c r="C98" s="0">
        <v>10</v>
      </c>
      <c r="D98" s="4" t="inlineStr">
        <is>
          <t xml:space="preserve">Software de gestión de licencias</t>
        </is>
      </c>
      <c r="E98" s="4" t="inlineStr">
        <is>
          <t xml:space="preserve">Tecnologías de la información, telecomunicaciones y radiodifusión / Software / Software de gestión</t>
        </is>
      </c>
      <c r="F98" s="0">
        <v>1.0</v>
      </c>
      <c r="G98" s="0" t="inlineStr">
        <is>
          <t xml:space="preserve">Unidad</t>
        </is>
      </c>
      <c r="H98" s="4" t="inlineStr">
        <is>
          <t xml:space="preserve">Suscripción Magnific (Freepik) Premium</t>
        </is>
      </c>
    </row>
    <row r="99">
      <c r="A99" s="0" t="inlineStr">
        <is>
          <t xml:space="preserve">2107-142-LE26</t>
        </is>
      </c>
      <c r="B99" s="4" t="inlineStr">
        <is>
          <t xml:space="preserve">ARRIENDO DE TOTEMS AUTOADMINISTRADOS PARA HSC</t>
        </is>
      </c>
      <c r="C99" s="0">
        <v>1</v>
      </c>
      <c r="D99" s="4" t="inlineStr">
        <is>
          <t xml:space="preserve">Servidores de gama alta</t>
        </is>
      </c>
      <c r="E99" s="4" t="inlineStr">
        <is>
          <t xml:space="preserve">Tecnologías de la información, telecomunicaciones y radiodifusión / Equipos informáticos y accesorios / Computadores</t>
        </is>
      </c>
      <c r="F99" s="0">
        <v>36.0</v>
      </c>
      <c r="G99" s="0" t="inlineStr">
        <is>
          <t xml:space="preserve">Mes</t>
        </is>
      </c>
      <c r="H99" s="4" t="inlineStr">
        <is>
          <t xml:space="preserve">SERVICIO MENSUAL DE ARRIENDO DE 3 TOTEMS AUTOADMINISTRADOS SEGUN BASES</t>
        </is>
      </c>
    </row>
    <row r="100">
      <c r="A100" s="0" t="inlineStr">
        <is>
          <t xml:space="preserve">1305541-3-LE26</t>
        </is>
      </c>
      <c r="B100" s="4" t="inlineStr">
        <is>
          <t xml:space="preserve">ARRIENDO DE SOFTWARE DE INVENTARIO</t>
        </is>
      </c>
      <c r="C100" s="0">
        <v>1</v>
      </c>
      <c r="D100" s="4" t="inlineStr">
        <is>
          <t xml:space="preserve">Programas de gestión de inventario</t>
        </is>
      </c>
      <c r="E100" s="4" t="inlineStr">
        <is>
          <t xml:space="preserve">Tecnologías de la información, telecomunicaciones y radiodifusión / Software / Software de gestión</t>
        </is>
      </c>
      <c r="F100" s="0">
        <v>1.0</v>
      </c>
      <c r="G100" s="0" t="inlineStr">
        <is>
          <t xml:space="preserve">Unidad</t>
        </is>
      </c>
      <c r="H100" s="4" t="inlineStr">
        <is>
          <t xml:space="preserve">ARRIENDO DE SOFTWARE DE INVENTARIO, BODEGA Y ACTIVO FIJO PARA EL SERVICIO LOCAL DE EDUCACIÓN PÚBLICA DE LOS LIBERTADORES</t>
        </is>
      </c>
    </row>
    <row r="101">
      <c r="A101" s="0" t="inlineStr">
        <is>
          <t xml:space="preserve">1596-45-LE26</t>
        </is>
      </c>
      <c r="B101" s="4" t="inlineStr">
        <is>
          <t xml:space="preserve">CAPACITACIÓN EN INTELIGENCIA ARTIFICIAL</t>
        </is>
      </c>
      <c r="C101" s="0">
        <v>1</v>
      </c>
      <c r="D101" s="4" t="inlineStr">
        <is>
          <t xml:space="preserve">Capacitación a empleados</t>
        </is>
      </c>
      <c r="E101" s="4" t="inlineStr">
        <is>
          <t xml:space="preserve">Educación, formación, entrenamiento y capacitación / Sistemas educativos complementarios / Educación de adultos</t>
        </is>
      </c>
      <c r="F101" s="0">
        <v>1.0</v>
      </c>
      <c r="G101" s="0" t="inlineStr">
        <is>
          <t xml:space="preserve">Unidad</t>
        </is>
      </c>
      <c r="H101" s="4" t="inlineStr">
        <is>
          <t xml:space="preserve">CAPACITACIÓN EN INTELIGENCIA ARTIFICIAL APLICADA A LOS CONSEJEROS REGIONALES</t>
        </is>
      </c>
    </row>
    <row r="102">
      <c r="A102" s="0" t="inlineStr">
        <is>
          <t xml:space="preserve">1607-10-LR26</t>
        </is>
      </c>
      <c r="B102" s="4" t="inlineStr">
        <is>
          <t xml:space="preserve">servicio hospedaje soporte mantención plataforma</t>
        </is>
      </c>
      <c r="C102" s="0">
        <v>1</v>
      </c>
      <c r="D102" s="4" t="inlineStr">
        <is>
          <t xml:space="preserve">Desarrolladores de software</t>
        </is>
      </c>
      <c r="E102" s="4" t="inlineStr">
        <is>
          <t xml:space="preserve">Servicios profesionales, administrativos y consultorías de gestión empresarial / Servicios de recursos humanos / Contratación de personal</t>
        </is>
      </c>
      <c r="F102" s="0">
        <v>1.0</v>
      </c>
      <c r="G102" s="0" t="inlineStr">
        <is>
          <t xml:space="preserve">Unidad</t>
        </is>
      </c>
      <c r="H102" s="4" t="inlineStr">
        <is>
          <t xml:space="preserve">servicio hospedaje, soporte, mantención y actualización de la Plataforma Integrada de Asignación Familiar, Subsidio Único Familiar y Regímenes relacionados (PIAS), de la Superintendencia de Seguridad Social.</t>
        </is>
      </c>
    </row>
    <row r="103">
      <c r="A103" s="0" t="inlineStr">
        <is>
          <t xml:space="preserve">2413-20-LE26</t>
        </is>
      </c>
      <c r="B103" s="4" t="inlineStr">
        <is>
          <t xml:space="preserve">SISTEMA DE GESTIÓN DOCUMENTAL</t>
        </is>
      </c>
      <c r="C103" s="0">
        <v>1</v>
      </c>
      <c r="D103" s="4" t="inlineStr">
        <is>
          <t xml:space="preserve">Desarrolladores de software</t>
        </is>
      </c>
      <c r="E103" s="4" t="inlineStr">
        <is>
          <t xml:space="preserve">Servicios profesionales, administrativos y consultorías de gestión empresarial / Servicios de recursos humanos / Contratación de personal</t>
        </is>
      </c>
      <c r="F103" s="0">
        <v>1.0</v>
      </c>
      <c r="G103" s="0" t="inlineStr">
        <is>
          <t xml:space="preserve">Mes</t>
        </is>
      </c>
      <c r="H103" s="4" t="inlineStr">
        <is>
          <t xml:space="preserve">Valor Mensual por el arriendo del “Sistema de Gestión Documental”.</t>
        </is>
      </c>
    </row>
    <row r="104">
      <c r="A104" s="0" t="inlineStr">
        <is>
          <t xml:space="preserve">650-25-LE26</t>
        </is>
      </c>
      <c r="B104" s="4" t="inlineStr">
        <is>
          <t xml:space="preserve">ADQUISICIÓN DE 01 DRON MULTIRROTOR KIT DE ACCESORIOS SOFTWARE DE PROCESAMIENTO CONTROL Y CAPACITACIÓN PARA SERVIU REGIÓN DE ANTOFAGASTA</t>
        </is>
      </c>
      <c r="C104" s="0">
        <v>1</v>
      </c>
      <c r="D104" s="4" t="inlineStr">
        <is>
          <t xml:space="preserve">Aeronave de reconocimiento o vigilancia</t>
        </is>
      </c>
      <c r="E104" s="4" t="inlineStr">
        <is>
          <t xml:space="preserve">Vehículos y equipamiento en general / Aeronaves / Aeronave de ala fija militar</t>
        </is>
      </c>
      <c r="F104" s="0">
        <v>1.0</v>
      </c>
      <c r="G104" s="0" t="inlineStr">
        <is>
          <t xml:space="preserve">Unidad</t>
        </is>
      </c>
      <c r="H104" s="4" t="inlineStr">
        <is>
          <t xml:space="preserve">01 Drone, accesorios, 03 licencias de software y capacitación</t>
        </is>
      </c>
    </row>
    <row r="105">
      <c r="A105" s="0" t="inlineStr">
        <is>
          <t xml:space="preserve">906973-8-LP26</t>
        </is>
      </c>
      <c r="B105" s="4" t="inlineStr">
        <is>
          <t xml:space="preserve">SISTEMAS INFORMÁTICOS DE GESTIÓN MUNICIPAL</t>
        </is>
      </c>
      <c r="C105" s="0">
        <v>1</v>
      </c>
      <c r="D105" s="4" t="inlineStr">
        <is>
          <t xml:space="preserve">Servicios contables gubernamentales</t>
        </is>
      </c>
      <c r="E105" s="4" t="inlineStr">
        <is>
          <t xml:space="preserve">Organizaciones y consultorías políticas, demográficas, económicas, sociales y de administración pública / Administración y finanzas públicas / Finanzas públicas</t>
        </is>
      </c>
      <c r="F105" s="0">
        <v>36.0</v>
      </c>
      <c r="G105" s="0" t="inlineStr">
        <is>
          <t xml:space="preserve">Mes</t>
        </is>
      </c>
      <c r="H105"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06">
      <c r="A106" s="0" t="inlineStr">
        <is>
          <t xml:space="preserve">1057548-21-LE26</t>
        </is>
      </c>
      <c r="B106" s="4" t="inlineStr">
        <is>
          <t xml:space="preserve">Convenio Suministro de Servicio de Fotocopiado Impresion y Digitalizacion con Entrega de Equipos</t>
        </is>
      </c>
      <c r="C106" s="0">
        <v>1</v>
      </c>
      <c r="D106" s="4" t="inlineStr">
        <is>
          <t xml:space="preserve">Impresión digital</t>
        </is>
      </c>
      <c r="E106" s="4" t="inlineStr">
        <is>
          <t xml:space="preserve">Servicios editoriales, de diseño, publicidad, gráficos y artistas / Servicios de impresión y reproducción / Impresión</t>
        </is>
      </c>
      <c r="F106" s="0">
        <v>1.0</v>
      </c>
      <c r="G106" s="0" t="inlineStr">
        <is>
          <t xml:space="preserve">Unidad</t>
        </is>
      </c>
      <c r="H106" s="4"/>
    </row>
    <row r="107">
      <c r="A107" s="0" t="inlineStr">
        <is>
          <t xml:space="preserve">858-64-LE26</t>
        </is>
      </c>
      <c r="B107" s="4" t="inlineStr">
        <is>
          <t xml:space="preserve">Mantención sitio web oficial IND por 24 meses</t>
        </is>
      </c>
      <c r="C107" s="0">
        <v>1</v>
      </c>
      <c r="D107" s="4" t="inlineStr">
        <is>
          <t xml:space="preserve">Servicios de diseño de sitio Web</t>
        </is>
      </c>
      <c r="E107" s="4" t="inlineStr">
        <is>
          <t xml:space="preserve">Servicios basados en ingeniería, ciencias sociales y tecnología de la información / Servicios informáticos / Servicios para internet</t>
        </is>
      </c>
      <c r="F107" s="0">
        <v>1.0</v>
      </c>
      <c r="G107" s="0" t="inlineStr">
        <is>
          <t xml:space="preserve">Global</t>
        </is>
      </c>
      <c r="H107" s="4" t="inlineStr">
        <is>
          <t xml:space="preserve">Servicio de Actualización, Mantención sitio web oficial del IND y EMAIL Marketing por 24 meses.</t>
        </is>
      </c>
    </row>
    <row r="108">
      <c r="A108" s="0" t="inlineStr">
        <is>
          <t xml:space="preserve">29-73-LE26</t>
        </is>
      </c>
      <c r="B108" s="4" t="inlineStr">
        <is>
          <t xml:space="preserve">ALR - ADQ. REPUESTOS Y TABLERO ELECT.   GPO. ELECT</t>
        </is>
      </c>
      <c r="C108" s="0">
        <v>1</v>
      </c>
      <c r="D108" s="4" t="inlineStr">
        <is>
          <t xml:space="preserve">Paneles de control eléctrico para generadores</t>
        </is>
      </c>
      <c r="E108" s="4" t="inlineStr">
        <is>
          <t xml:space="preserve">Maquinaria para generación y distribución de energía / Generación de energía / Equipo para control de producción de energía</t>
        </is>
      </c>
      <c r="F108" s="0">
        <v>1.0</v>
      </c>
      <c r="G108" s="0" t="inlineStr">
        <is>
          <t xml:space="preserve">Unidad</t>
        </is>
      </c>
      <c r="H108" s="4" t="inlineStr">
        <is>
          <t xml:space="preserve">ADQUISICIÓN DE 01 TABLERO DE CONTROL N° 5925153.000 CON INSTALACIÓN INCLUIDA, EN LA BASE AÉREA CERRO MORENO S/Nº RUTA A-1, CUIDAD DE ANTOFAGASTA, PARA GRUPO ELECTRÓGENO MARCA CATERPILLAR, MODELO C32 DE 1.000 KVA.</t>
        </is>
      </c>
    </row>
    <row r="109">
      <c r="A109" s="0" t="inlineStr">
        <is>
          <t xml:space="preserve">29-73-LE26</t>
        </is>
      </c>
      <c r="B109" s="4" t="inlineStr">
        <is>
          <t xml:space="preserve">ALR - ADQ. REPUESTOS Y TABLERO ELECT.   GPO. ELECT</t>
        </is>
      </c>
      <c r="C109" s="0">
        <v>2</v>
      </c>
      <c r="D109" s="4" t="inlineStr">
        <is>
          <t xml:space="preserve">Filtros de aceite</t>
        </is>
      </c>
      <c r="E109" s="4" t="inlineStr">
        <is>
          <t xml:space="preserve">Equipamiento para el acondicionamiento, distribución y filtrado de fluidos / Filtros y purificación industrial / Filtros</t>
        </is>
      </c>
      <c r="F109" s="0">
        <v>2.0</v>
      </c>
      <c r="G109" s="0" t="inlineStr">
        <is>
          <t xml:space="preserve">Unidad</t>
        </is>
      </c>
      <c r="H109" s="4" t="inlineStr">
        <is>
          <t xml:space="preserve">FILTROS DE ACEITE LF 3883.</t>
        </is>
      </c>
    </row>
    <row r="110">
      <c r="A110" s="0" t="inlineStr">
        <is>
          <t xml:space="preserve">29-73-LE26</t>
        </is>
      </c>
      <c r="B110" s="4" t="inlineStr">
        <is>
          <t xml:space="preserve">ALR - ADQ. REPUESTOS Y TABLERO ELECT.   GPO. ELECT</t>
        </is>
      </c>
      <c r="C110" s="0">
        <v>3</v>
      </c>
      <c r="D110" s="4" t="inlineStr">
        <is>
          <t xml:space="preserve">Filtros de combustible</t>
        </is>
      </c>
      <c r="E110" s="4" t="inlineStr">
        <is>
          <t xml:space="preserve">Equipamiento para el acondicionamiento, distribución y filtrado de fluidos / Filtros y purificación industrial / Filtros</t>
        </is>
      </c>
      <c r="F110" s="0">
        <v>2.0</v>
      </c>
      <c r="G110" s="0" t="inlineStr">
        <is>
          <t xml:space="preserve">Unidad</t>
        </is>
      </c>
      <c r="H110" s="4" t="inlineStr">
        <is>
          <t xml:space="preserve">FILTROS DE COMBUSTIBLE P552603.</t>
        </is>
      </c>
    </row>
    <row r="111">
      <c r="A111" s="0" t="inlineStr">
        <is>
          <t xml:space="preserve">29-73-LE26</t>
        </is>
      </c>
      <c r="B111" s="4" t="inlineStr">
        <is>
          <t xml:space="preserve">ALR - ADQ. REPUESTOS Y TABLERO ELECT.   GPO. ELECT</t>
        </is>
      </c>
      <c r="C111" s="0">
        <v>4</v>
      </c>
      <c r="D111" s="4" t="inlineStr">
        <is>
          <t xml:space="preserve">Filtros hidráulicos</t>
        </is>
      </c>
      <c r="E111" s="4" t="inlineStr">
        <is>
          <t xml:space="preserve">Equipamiento para el acondicionamiento, distribución y filtrado de fluidos / Filtros y purificación industrial / Filtros</t>
        </is>
      </c>
      <c r="F111" s="0">
        <v>2.0</v>
      </c>
      <c r="G111" s="0" t="inlineStr">
        <is>
          <t xml:space="preserve">Unidad</t>
        </is>
      </c>
      <c r="H111" s="4" t="inlineStr">
        <is>
          <t xml:space="preserve">FILTROS DE REFRIGERANTE WF2074.</t>
        </is>
      </c>
    </row>
    <row r="112">
      <c r="A112" s="0" t="inlineStr">
        <is>
          <t xml:space="preserve">29-73-LE26</t>
        </is>
      </c>
      <c r="B112" s="4" t="inlineStr">
        <is>
          <t xml:space="preserve">ALR - ADQ. REPUESTOS Y TABLERO ELECT.   GPO. ELECT</t>
        </is>
      </c>
      <c r="C112" s="0">
        <v>5</v>
      </c>
      <c r="D112" s="4" t="inlineStr">
        <is>
          <t xml:space="preserve">Filtros de aceite</t>
        </is>
      </c>
      <c r="E112" s="4" t="inlineStr">
        <is>
          <t xml:space="preserve">Equipamiento para el acondicionamiento, distribución y filtrado de fluidos / Filtros y purificación industrial / Filtros</t>
        </is>
      </c>
      <c r="F112" s="0">
        <v>2.0</v>
      </c>
      <c r="G112" s="0" t="inlineStr">
        <is>
          <t xml:space="preserve">Unidad</t>
        </is>
      </c>
      <c r="H112" s="4" t="inlineStr">
        <is>
          <t xml:space="preserve">FILTROS DE ACEITE P558615.</t>
        </is>
      </c>
    </row>
    <row r="113">
      <c r="A113" s="0" t="inlineStr">
        <is>
          <t xml:space="preserve">29-73-LE26</t>
        </is>
      </c>
      <c r="B113" s="4" t="inlineStr">
        <is>
          <t xml:space="preserve">ALR - ADQ. REPUESTOS Y TABLERO ELECT.   GPO. ELECT</t>
        </is>
      </c>
      <c r="C113" s="0">
        <v>6</v>
      </c>
      <c r="D113" s="4" t="inlineStr">
        <is>
          <t xml:space="preserve">Filtros de combustible</t>
        </is>
      </c>
      <c r="E113" s="4" t="inlineStr">
        <is>
          <t xml:space="preserve">Equipamiento para el acondicionamiento, distribución y filtrado de fluidos / Filtros y purificación industrial / Filtros</t>
        </is>
      </c>
      <c r="F113" s="0">
        <v>2.0</v>
      </c>
      <c r="G113" s="0" t="inlineStr">
        <is>
          <t xml:space="preserve">Unidad</t>
        </is>
      </c>
      <c r="H113" s="4" t="inlineStr">
        <is>
          <t xml:space="preserve">FILTROS DE COMBUSTIBLE PRIMARIO FS1280.</t>
        </is>
      </c>
    </row>
    <row r="114">
      <c r="A114" s="0" t="inlineStr">
        <is>
          <t xml:space="preserve">29-73-LE26</t>
        </is>
      </c>
      <c r="B114" s="4" t="inlineStr">
        <is>
          <t xml:space="preserve">ALR - ADQ. REPUESTOS Y TABLERO ELECT.   GPO. ELECT</t>
        </is>
      </c>
      <c r="C114" s="0">
        <v>7</v>
      </c>
      <c r="D114" s="4" t="inlineStr">
        <is>
          <t xml:space="preserve">Filtros de combustible</t>
        </is>
      </c>
      <c r="E114" s="4" t="inlineStr">
        <is>
          <t xml:space="preserve">Equipamiento para el acondicionamiento, distribución y filtrado de fluidos / Filtros y purificación industrial / Filtros</t>
        </is>
      </c>
      <c r="F114" s="0">
        <v>2.0</v>
      </c>
      <c r="G114" s="0" t="inlineStr">
        <is>
          <t xml:space="preserve">Unidad</t>
        </is>
      </c>
      <c r="H114" s="4" t="inlineStr">
        <is>
          <t xml:space="preserve">FILTROS DE COMBUSTIBLE SECUNDARIO FF5052.</t>
        </is>
      </c>
    </row>
    <row r="115">
      <c r="A115" s="0" t="inlineStr">
        <is>
          <t xml:space="preserve">29-73-LE26</t>
        </is>
      </c>
      <c r="B115" s="4" t="inlineStr">
        <is>
          <t xml:space="preserve">ALR - ADQ. REPUESTOS Y TABLERO ELECT.   GPO. ELECT</t>
        </is>
      </c>
      <c r="C115" s="0">
        <v>8</v>
      </c>
      <c r="D115" s="4" t="inlineStr">
        <is>
          <t xml:space="preserve">Baterías para vehículos</t>
        </is>
      </c>
      <c r="E115" s="4" t="inlineStr">
        <is>
          <t xml:space="preserve">Maquinaria para generación y distribución de energía / Transmisión de energía eléctrica, mecánica y cinética / Baterías, pilas y accesorios</t>
        </is>
      </c>
      <c r="F115" s="0">
        <v>2.0</v>
      </c>
      <c r="G115" s="0" t="inlineStr">
        <is>
          <t xml:space="preserve">Unidad</t>
        </is>
      </c>
      <c r="H115" s="4" t="inlineStr">
        <is>
          <t xml:space="preserve">BATERÍAS 12 VOLTS, 100 AMP. 650-700 CCA DE ARRANQUE EN FRIO.</t>
        </is>
      </c>
    </row>
    <row r="116">
      <c r="A116" s="0" t="inlineStr">
        <is>
          <t xml:space="preserve">29-73-LE26</t>
        </is>
      </c>
      <c r="B116" s="4" t="inlineStr">
        <is>
          <t xml:space="preserve">ALR - ADQ. REPUESTOS Y TABLERO ELECT.   GPO. ELECT</t>
        </is>
      </c>
      <c r="C116" s="0">
        <v>9</v>
      </c>
      <c r="D116" s="4" t="inlineStr">
        <is>
          <t xml:space="preserve">Filtros de aceite</t>
        </is>
      </c>
      <c r="E116" s="4" t="inlineStr">
        <is>
          <t xml:space="preserve">Equipamiento para el acondicionamiento, distribución y filtrado de fluidos / Filtros y purificación industrial / Filtros</t>
        </is>
      </c>
      <c r="F116" s="0">
        <v>2.0</v>
      </c>
      <c r="G116" s="0" t="inlineStr">
        <is>
          <t xml:space="preserve">Unidad</t>
        </is>
      </c>
      <c r="H116" s="4" t="inlineStr">
        <is>
          <t xml:space="preserve">FILTROS DE ACEITE CAT 1R-1808.</t>
        </is>
      </c>
    </row>
    <row r="117">
      <c r="A117" s="0" t="inlineStr">
        <is>
          <t xml:space="preserve">29-73-LE26</t>
        </is>
      </c>
      <c r="B117" s="4" t="inlineStr">
        <is>
          <t xml:space="preserve">ALR - ADQ. REPUESTOS Y TABLERO ELECT.   GPO. ELECT</t>
        </is>
      </c>
      <c r="C117" s="0">
        <v>10</v>
      </c>
      <c r="D117" s="4" t="inlineStr">
        <is>
          <t xml:space="preserve">Filtros de combustible</t>
        </is>
      </c>
      <c r="E117" s="4" t="inlineStr">
        <is>
          <t xml:space="preserve">Equipamiento para el acondicionamiento, distribución y filtrado de fluidos / Filtros y purificación industrial / Filtros</t>
        </is>
      </c>
      <c r="F117" s="0">
        <v>2.0</v>
      </c>
      <c r="G117" s="0" t="inlineStr">
        <is>
          <t xml:space="preserve">Unidad</t>
        </is>
      </c>
      <c r="H117" s="4" t="inlineStr">
        <is>
          <t xml:space="preserve">FILTROS DE COMBUSTIBLE BF 7587.</t>
        </is>
      </c>
    </row>
    <row r="118">
      <c r="A118" s="0" t="inlineStr">
        <is>
          <t xml:space="preserve">29-73-LE26</t>
        </is>
      </c>
      <c r="B118" s="4" t="inlineStr">
        <is>
          <t xml:space="preserve">ALR - ADQ. REPUESTOS Y TABLERO ELECT.   GPO. ELECT</t>
        </is>
      </c>
      <c r="C118" s="0">
        <v>11</v>
      </c>
      <c r="D118" s="4" t="inlineStr">
        <is>
          <t xml:space="preserve">Filtros de aire</t>
        </is>
      </c>
      <c r="E118" s="4" t="inlineStr">
        <is>
          <t xml:space="preserve">Equipamiento para el acondicionamiento, distribución y filtrado de fluidos / Filtros y purificación industrial / Filtros</t>
        </is>
      </c>
      <c r="F118" s="0">
        <v>2.0</v>
      </c>
      <c r="G118" s="0" t="inlineStr">
        <is>
          <t xml:space="preserve">Unidad</t>
        </is>
      </c>
      <c r="H118" s="4" t="inlineStr">
        <is>
          <t xml:space="preserve">FILTROS DE AIRE 6L 4714.</t>
        </is>
      </c>
    </row>
    <row r="119">
      <c r="A119" s="0" t="inlineStr">
        <is>
          <t xml:space="preserve">29-73-LE26</t>
        </is>
      </c>
      <c r="B119" s="4" t="inlineStr">
        <is>
          <t xml:space="preserve">ALR - ADQ. REPUESTOS Y TABLERO ELECT.   GPO. ELECT</t>
        </is>
      </c>
      <c r="C119" s="0">
        <v>12</v>
      </c>
      <c r="D119" s="4" t="inlineStr">
        <is>
          <t xml:space="preserve">Baterías para vehículos</t>
        </is>
      </c>
      <c r="E119" s="4" t="inlineStr">
        <is>
          <t xml:space="preserve">Maquinaria para generación y distribución de energía / Transmisión de energía eléctrica, mecánica y cinética / Baterías, pilas y accesorios</t>
        </is>
      </c>
      <c r="F119" s="0">
        <v>2.0</v>
      </c>
      <c r="G119" s="0" t="inlineStr">
        <is>
          <t xml:space="preserve">Unidad</t>
        </is>
      </c>
      <c r="H119" s="4" t="inlineStr">
        <is>
          <t xml:space="preserve">BATERÍAS 12 VOLTS, 150 AMP.</t>
        </is>
      </c>
    </row>
    <row r="120">
      <c r="A120" s="0" t="inlineStr">
        <is>
          <t xml:space="preserve">1057922-24-LP26</t>
        </is>
      </c>
      <c r="B120" s="4" t="inlineStr">
        <is>
          <t xml:space="preserve">ADQUISICION EQUIPOS Y EQUIPAMIENTO TECNOLOGÍAS DE LA INFORMACIÓN PARA CESFAM CON SAR RAHUE ALTO</t>
        </is>
      </c>
      <c r="C120" s="0">
        <v>1</v>
      </c>
      <c r="D120" s="4" t="inlineStr">
        <is>
          <t xml:space="preserve">Computadores de escritorio</t>
        </is>
      </c>
      <c r="E120" s="4" t="inlineStr">
        <is>
          <t xml:space="preserve">Tecnologías de la información, telecomunicaciones y radiodifusión / Equipos informáticos y accesorios / Computadores</t>
        </is>
      </c>
      <c r="F120" s="0">
        <v>102.0</v>
      </c>
      <c r="G120" s="0" t="inlineStr">
        <is>
          <t xml:space="preserve">Unidad</t>
        </is>
      </c>
      <c r="H120" s="4" t="inlineStr">
        <is>
          <t xml:space="preserve">COMPUTADOR AIO</t>
        </is>
      </c>
    </row>
    <row r="121">
      <c r="A121" s="0" t="inlineStr">
        <is>
          <t xml:space="preserve">1057922-24-LP26</t>
        </is>
      </c>
      <c r="B121" s="4" t="inlineStr">
        <is>
          <t xml:space="preserve">ADQUISICION EQUIPOS Y EQUIPAMIENTO TECNOLOGÍAS DE LA INFORMACIÓN PARA CESFAM CON SAR RAHUE ALTO</t>
        </is>
      </c>
      <c r="C121" s="0">
        <v>2</v>
      </c>
      <c r="D121" s="4" t="inlineStr">
        <is>
          <t xml:space="preserve">Notebook, laptop o computador portátil excepto Tablet PC</t>
        </is>
      </c>
      <c r="E121" s="4" t="inlineStr">
        <is>
          <t xml:space="preserve">Tecnologías de la información, telecomunicaciones y radiodifusión / Equipos informáticos y accesorios / Computadores</t>
        </is>
      </c>
      <c r="F121" s="0">
        <v>5.0</v>
      </c>
      <c r="G121" s="0" t="inlineStr">
        <is>
          <t xml:space="preserve">Unidad</t>
        </is>
      </c>
      <c r="H121" s="4" t="inlineStr">
        <is>
          <t xml:space="preserve">NOTEBOOK</t>
        </is>
      </c>
    </row>
    <row r="122">
      <c r="A122" s="0" t="inlineStr">
        <is>
          <t xml:space="preserve">1057922-24-LP26</t>
        </is>
      </c>
      <c r="B122" s="4" t="inlineStr">
        <is>
          <t xml:space="preserve">ADQUISICION EQUIPOS Y EQUIPAMIENTO TECNOLOGÍAS DE LA INFORMACIÓN PARA CESFAM CON SAR RAHUE ALTO</t>
        </is>
      </c>
      <c r="C122" s="0">
        <v>3</v>
      </c>
      <c r="D122" s="4" t="inlineStr">
        <is>
          <t xml:space="preserve">Tickets o rollos de tickets</t>
        </is>
      </c>
      <c r="E122" s="4" t="inlineStr">
        <is>
          <t xml:space="preserve">Productos de papel / Productos de papel / Papeles comerciales</t>
        </is>
      </c>
      <c r="F122" s="0">
        <v>6.0</v>
      </c>
      <c r="G122" s="0" t="inlineStr">
        <is>
          <t xml:space="preserve">Unidad</t>
        </is>
      </c>
      <c r="H122" s="4" t="inlineStr">
        <is>
          <t xml:space="preserve">TURNOMÁTICO</t>
        </is>
      </c>
    </row>
    <row r="123">
      <c r="A123" s="0" t="inlineStr">
        <is>
          <t xml:space="preserve">1057922-24-LP26</t>
        </is>
      </c>
      <c r="B123" s="4" t="inlineStr">
        <is>
          <t xml:space="preserve">ADQUISICION EQUIPOS Y EQUIPAMIENTO TECNOLOGÍAS DE LA INFORMACIÓN PARA CESFAM CON SAR RAHUE ALTO</t>
        </is>
      </c>
      <c r="C123" s="0">
        <v>4</v>
      </c>
      <c r="D123" s="4" t="inlineStr">
        <is>
          <t xml:space="preserve">Impresoras de cinta térmica</t>
        </is>
      </c>
      <c r="E123" s="4" t="inlineStr">
        <is>
          <t xml:space="preserve">Tecnologías de la información, telecomunicaciones y radiodifusión / Equipos informáticos y accesorios / Impresoras</t>
        </is>
      </c>
      <c r="F123" s="0">
        <v>6.0</v>
      </c>
      <c r="G123" s="0" t="inlineStr">
        <is>
          <t xml:space="preserve">Unidad</t>
        </is>
      </c>
      <c r="H123" s="4" t="inlineStr">
        <is>
          <t xml:space="preserve">IMPRESORA DE ETIQUETAS</t>
        </is>
      </c>
    </row>
    <row r="124">
      <c r="A124" s="0" t="inlineStr">
        <is>
          <t xml:space="preserve">1057922-24-LP26</t>
        </is>
      </c>
      <c r="B124" s="4" t="inlineStr">
        <is>
          <t xml:space="preserve">ADQUISICION EQUIPOS Y EQUIPAMIENTO TECNOLOGÍAS DE LA INFORMACIÓN PARA CESFAM CON SAR RAHUE ALTO</t>
        </is>
      </c>
      <c r="C124" s="0">
        <v>5</v>
      </c>
      <c r="D124" s="4" t="inlineStr">
        <is>
          <t xml:space="preserve">Impresoras de cinta térmica</t>
        </is>
      </c>
      <c r="E124" s="4" t="inlineStr">
        <is>
          <t xml:space="preserve">Tecnologías de la información, telecomunicaciones y radiodifusión / Equipos informáticos y accesorios / Impresoras</t>
        </is>
      </c>
      <c r="F124" s="0">
        <v>2.0</v>
      </c>
      <c r="G124" s="0" t="inlineStr">
        <is>
          <t xml:space="preserve">Unidad</t>
        </is>
      </c>
      <c r="H124" s="4" t="inlineStr">
        <is>
          <t xml:space="preserve">IMPRESORA DE VOUCHER</t>
        </is>
      </c>
    </row>
    <row r="125">
      <c r="A125" s="0" t="inlineStr">
        <is>
          <t xml:space="preserve">1057922-24-LP26</t>
        </is>
      </c>
      <c r="B125" s="4" t="inlineStr">
        <is>
          <t xml:space="preserve">ADQUISICION EQUIPOS Y EQUIPAMIENTO TECNOLOGÍAS DE LA INFORMACIÓN PARA CESFAM CON SAR RAHUE ALTO</t>
        </is>
      </c>
      <c r="C125" s="0">
        <v>6</v>
      </c>
      <c r="D125" s="4" t="inlineStr">
        <is>
          <t xml:space="preserve">Impresoras de cinta térmica</t>
        </is>
      </c>
      <c r="E125" s="4" t="inlineStr">
        <is>
          <t xml:space="preserve">Tecnologías de la información, telecomunicaciones y radiodifusión / Equipos informáticos y accesorios / Impresoras</t>
        </is>
      </c>
      <c r="F125" s="0">
        <v>2.0</v>
      </c>
      <c r="G125" s="0" t="inlineStr">
        <is>
          <t xml:space="preserve">Unidad</t>
        </is>
      </c>
      <c r="H125" s="4" t="inlineStr">
        <is>
          <t xml:space="preserve">IMPRESORA DE BRAZALETES</t>
        </is>
      </c>
    </row>
    <row r="126">
      <c r="A126" s="0" t="inlineStr">
        <is>
          <t xml:space="preserve">1057922-24-LP26</t>
        </is>
      </c>
      <c r="B126" s="4" t="inlineStr">
        <is>
          <t xml:space="preserve">ADQUISICION EQUIPOS Y EQUIPAMIENTO TECNOLOGÍAS DE LA INFORMACIÓN PARA CESFAM CON SAR RAHUE ALTO</t>
        </is>
      </c>
      <c r="C126" s="0">
        <v>7</v>
      </c>
      <c r="D126" s="4" t="inlineStr">
        <is>
          <t xml:space="preserve">Proyectores multimedia</t>
        </is>
      </c>
      <c r="E126" s="4" t="inlineStr">
        <is>
          <t xml:space="preserve">Equipos y suministros de imprenta, fotográficos y audiovisuales / Equipos de composición y presentación audiovisual / Proyectores y suministros</t>
        </is>
      </c>
      <c r="F126" s="0">
        <v>4.0</v>
      </c>
      <c r="G126" s="0" t="inlineStr">
        <is>
          <t xml:space="preserve">Unidad</t>
        </is>
      </c>
      <c r="H126" s="4" t="inlineStr">
        <is>
          <t xml:space="preserve">PROYECTOR ANDROID TV</t>
        </is>
      </c>
    </row>
    <row r="127">
      <c r="A127" s="0" t="inlineStr">
        <is>
          <t xml:space="preserve">1057922-24-LP26</t>
        </is>
      </c>
      <c r="B127" s="4" t="inlineStr">
        <is>
          <t xml:space="preserve">ADQUISICION EQUIPOS Y EQUIPAMIENTO TECNOLOGÍAS DE LA INFORMACIÓN PARA CESFAM CON SAR RAHUE ALTO</t>
        </is>
      </c>
      <c r="C127" s="0">
        <v>8</v>
      </c>
      <c r="D127" s="4" t="inlineStr">
        <is>
          <t xml:space="preserve">Televisores convencionales, de plasma y LCD</t>
        </is>
      </c>
      <c r="E127" s="4" t="inlineStr">
        <is>
          <t xml:space="preserve">Muebles, accesorios, electrodomésticos y productos electrónicos / Equipos y accesorios audiovisuales / Equipos audiovisuales y de electrónica menor</t>
        </is>
      </c>
      <c r="F127" s="0">
        <v>4.0</v>
      </c>
      <c r="G127" s="0" t="inlineStr">
        <is>
          <t xml:space="preserve">Unidad</t>
        </is>
      </c>
      <c r="H127" s="4" t="inlineStr">
        <is>
          <t xml:space="preserve">TELEVISOR 32"</t>
        </is>
      </c>
    </row>
    <row r="128">
      <c r="A128" s="0" t="inlineStr">
        <is>
          <t xml:space="preserve">1057922-24-LP26</t>
        </is>
      </c>
      <c r="B128" s="4" t="inlineStr">
        <is>
          <t xml:space="preserve">ADQUISICION EQUIPOS Y EQUIPAMIENTO TECNOLOGÍAS DE LA INFORMACIÓN PARA CESFAM CON SAR RAHUE ALTO</t>
        </is>
      </c>
      <c r="C128" s="0">
        <v>9</v>
      </c>
      <c r="D128" s="4" t="inlineStr">
        <is>
          <t xml:space="preserve">Televisores convencionales, de plasma y LCD</t>
        </is>
      </c>
      <c r="E128" s="4" t="inlineStr">
        <is>
          <t xml:space="preserve">Muebles, accesorios, electrodomésticos y productos electrónicos / Equipos y accesorios audiovisuales / Equipos audiovisuales y de electrónica menor</t>
        </is>
      </c>
      <c r="F128" s="0">
        <v>3.0</v>
      </c>
      <c r="G128" s="0" t="inlineStr">
        <is>
          <t xml:space="preserve">Unidad</t>
        </is>
      </c>
      <c r="H128" s="4" t="inlineStr">
        <is>
          <t xml:space="preserve">TELEVISOR 40"</t>
        </is>
      </c>
    </row>
    <row r="129">
      <c r="A129" s="0" t="inlineStr">
        <is>
          <t xml:space="preserve">1057922-24-LP26</t>
        </is>
      </c>
      <c r="B129" s="4" t="inlineStr">
        <is>
          <t xml:space="preserve">ADQUISICION EQUIPOS Y EQUIPAMIENTO TECNOLOGÍAS DE LA INFORMACIÓN PARA CESFAM CON SAR RAHUE ALTO</t>
        </is>
      </c>
      <c r="C129" s="0">
        <v>10</v>
      </c>
      <c r="D129" s="4" t="inlineStr">
        <is>
          <t xml:space="preserve">Televisores convencionales, de plasma y LCD</t>
        </is>
      </c>
      <c r="E129" s="4" t="inlineStr">
        <is>
          <t xml:space="preserve">Muebles, accesorios, electrodomésticos y productos electrónicos / Equipos y accesorios audiovisuales / Equipos audiovisuales y de electrónica menor</t>
        </is>
      </c>
      <c r="F129" s="0">
        <v>3.0</v>
      </c>
      <c r="G129" s="0" t="inlineStr">
        <is>
          <t xml:space="preserve">Unidad</t>
        </is>
      </c>
      <c r="H129" s="4" t="inlineStr">
        <is>
          <t xml:space="preserve">TELEVISOR 50"</t>
        </is>
      </c>
    </row>
    <row r="130">
      <c r="A130" s="0" t="inlineStr">
        <is>
          <t xml:space="preserve">1057922-24-LP26</t>
        </is>
      </c>
      <c r="B130" s="4" t="inlineStr">
        <is>
          <t xml:space="preserve">ADQUISICION EQUIPOS Y EQUIPAMIENTO TECNOLOGÍAS DE LA INFORMACIÓN PARA CESFAM CON SAR RAHUE ALTO</t>
        </is>
      </c>
      <c r="C130" s="0">
        <v>11</v>
      </c>
      <c r="D130" s="4" t="inlineStr">
        <is>
          <t xml:space="preserve">Equipo para huellas dactilares</t>
        </is>
      </c>
      <c r="E130" s="4" t="inlineStr">
        <is>
          <t xml:space="preserve">Equipos y suministros de defensa, orden público, protección y seguridad / Equipos para orden público / Equipo forense, accesorios y suministros</t>
        </is>
      </c>
      <c r="F130" s="0">
        <v>32.0</v>
      </c>
      <c r="G130" s="0" t="inlineStr">
        <is>
          <t xml:space="preserve">Unidad</t>
        </is>
      </c>
      <c r="H130" s="4" t="inlineStr">
        <is>
          <t xml:space="preserve">HUELLEROS BIOMÉTRICOS</t>
        </is>
      </c>
    </row>
    <row r="131">
      <c r="A131" s="0" t="inlineStr">
        <is>
          <t xml:space="preserve">1057922-24-LP26</t>
        </is>
      </c>
      <c r="B131" s="4" t="inlineStr">
        <is>
          <t xml:space="preserve">ADQUISICION EQUIPOS Y EQUIPAMIENTO TECNOLOGÍAS DE LA INFORMACIÓN PARA CESFAM CON SAR RAHUE ALTO</t>
        </is>
      </c>
      <c r="C131" s="0">
        <v>12</v>
      </c>
      <c r="D131" s="4" t="inlineStr">
        <is>
          <t xml:space="preserve">Atriles de pie</t>
        </is>
      </c>
      <c r="E131" s="4" t="inlineStr">
        <is>
          <t xml:space="preserve">Equipos y suministros de imprenta, fotográficos y audiovisuales / Equipos de composición y presentación audiovisual / Atriles, sistemas de sonido y accesorios</t>
        </is>
      </c>
      <c r="F131" s="0">
        <v>1.0</v>
      </c>
      <c r="G131" s="0" t="inlineStr">
        <is>
          <t xml:space="preserve">Unidad</t>
        </is>
      </c>
      <c r="H131" s="4" t="inlineStr">
        <is>
          <t xml:space="preserve">TELÓN PARA PROYECTOR</t>
        </is>
      </c>
    </row>
    <row r="132">
      <c r="A132" s="0" t="inlineStr">
        <is>
          <t xml:space="preserve">831-21-LE26</t>
        </is>
      </c>
      <c r="B132" s="4" t="inlineStr">
        <is>
          <t xml:space="preserve">Capacitación IA y Power BI</t>
        </is>
      </c>
      <c r="C132" s="0">
        <v>1</v>
      </c>
      <c r="D132" s="4" t="inlineStr">
        <is>
          <t xml:space="preserve">Formación, capacitación y entrenamiento de personal</t>
        </is>
      </c>
      <c r="E132" s="4" t="inlineStr">
        <is>
          <t xml:space="preserve">Servicios profesionales, administrativos y consultorías de gestión empresarial / Servicios de recursos humanos / Consultorías para el desarrollo de recursos humanos</t>
        </is>
      </c>
      <c r="F132" s="0">
        <v>30.0</v>
      </c>
      <c r="G132" s="0" t="inlineStr">
        <is>
          <t xml:space="preserve">Unidad</t>
        </is>
      </c>
      <c r="H132" s="4" t="inlineStr">
        <is>
          <t xml:space="preserve">Herramientas de inteligencia artificial para la gestión pública. Curso online, 16 horas cronológicas sincrónicas.</t>
        </is>
      </c>
    </row>
    <row r="133">
      <c r="A133" s="0" t="inlineStr">
        <is>
          <t xml:space="preserve">831-21-LE26</t>
        </is>
      </c>
      <c r="B133" s="4" t="inlineStr">
        <is>
          <t xml:space="preserve">Capacitación IA y Power BI</t>
        </is>
      </c>
      <c r="C133" s="0">
        <v>2</v>
      </c>
      <c r="D133" s="4" t="inlineStr">
        <is>
          <t xml:space="preserve">Formación, capacitación y entrenamiento de personal</t>
        </is>
      </c>
      <c r="E133" s="4" t="inlineStr">
        <is>
          <t xml:space="preserve">Servicios profesionales, administrativos y consultorías de gestión empresarial / Servicios de recursos humanos / Consultorías para el desarrollo de recursos humanos</t>
        </is>
      </c>
      <c r="F133" s="0">
        <v>15.0</v>
      </c>
      <c r="G133" s="0" t="inlineStr">
        <is>
          <t xml:space="preserve">Unidad</t>
        </is>
      </c>
      <c r="H133" s="4" t="inlineStr">
        <is>
          <t xml:space="preserve">Power BI avanzado aplicado a la gestión laboral. Curso online, 45 horas cronológicas.</t>
        </is>
      </c>
    </row>
    <row r="134">
      <c r="A134" s="0" t="inlineStr">
        <is>
          <t xml:space="preserve">680504-2-L126</t>
        </is>
      </c>
      <c r="B134" s="4" t="inlineStr">
        <is>
          <t xml:space="preserve">Mantención Anual Tableros Eléctricos del Edificio RPP Curicó</t>
        </is>
      </c>
      <c r="C134" s="0">
        <v>1</v>
      </c>
      <c r="D134" s="4" t="inlineStr">
        <is>
          <t xml:space="preserve">Instalación o servicio de sistemas de energía eléctrica</t>
        </is>
      </c>
      <c r="E134" s="4" t="inlineStr">
        <is>
          <t xml:space="preserve">Servicios de construcción y mantenimiento / Servicios de atención, mantenimiento y reparaciones de edificios / Servicios eléctricos</t>
        </is>
      </c>
      <c r="F134" s="0">
        <v>1.0</v>
      </c>
      <c r="G134" s="0" t="inlineStr">
        <is>
          <t xml:space="preserve">Unidad</t>
        </is>
      </c>
      <c r="H134" s="4" t="inlineStr">
        <is>
          <t xml:space="preserve">Contrato por Mantención Anual de Tableros Eléctricos del Edificio RPP Curicó, por un periodo de 3  años.</t>
        </is>
      </c>
    </row>
    <row r="135">
      <c r="A135" s="0" t="inlineStr">
        <is>
          <t xml:space="preserve">875-6-LP26</t>
        </is>
      </c>
      <c r="B135" s="4" t="inlineStr">
        <is>
          <t xml:space="preserve">SERVICIO DE MARKETING DIGITAL</t>
        </is>
      </c>
      <c r="C135" s="0">
        <v>1</v>
      </c>
      <c r="D135" s="4" t="inlineStr">
        <is>
          <t xml:space="preserve">Campañas publicitarias o de marketing</t>
        </is>
      </c>
      <c r="E135" s="4" t="inlineStr">
        <is>
          <t xml:space="preserve">Servicios profesionales, administrativos y consultorías de gestión empresarial / Servicios para la comercialización y distribución / Ventas y marketing</t>
        </is>
      </c>
      <c r="F135" s="0">
        <v>1.0</v>
      </c>
      <c r="G135" s="0" t="inlineStr">
        <is>
          <t xml:space="preserve">Unidad</t>
        </is>
      </c>
      <c r="H135" s="4" t="inlineStr">
        <is>
          <t xml:space="preserve">SERVICIO DE MARKETING DIGITAL</t>
        </is>
      </c>
    </row>
    <row r="136">
      <c r="A136" s="0" t="inlineStr">
        <is>
          <t xml:space="preserve">885-82-LE26</t>
        </is>
      </c>
      <c r="B136" s="4" t="inlineStr">
        <is>
          <t xml:space="preserve">Renovación y adquisición de licencias de software TOAD para la Contraloría General de la República</t>
        </is>
      </c>
      <c r="C136" s="0">
        <v>1</v>
      </c>
      <c r="D136" s="4" t="inlineStr">
        <is>
          <t xml:space="preserve">Software de gestión de licencias</t>
        </is>
      </c>
      <c r="E136" s="4" t="inlineStr">
        <is>
          <t xml:space="preserve">Tecnologías de la información, telecomunicaciones y radiodifusión / Software / Software de gestión</t>
        </is>
      </c>
      <c r="F136" s="0">
        <v>1.0</v>
      </c>
      <c r="G136" s="0" t="inlineStr">
        <is>
          <t xml:space="preserve">Unidad no definida</t>
        </is>
      </c>
      <c r="H136" s="4" t="inlineStr">
        <is>
          <t xml:space="preserve">Renovación del soporte y mantención anual de licencias de software TOAD DBA SUITE FOR ORACLE y adquisición de nuevas licencias TOAD FOR ORACLE DBA PLUS y TOAD FOR ORACLE DEV PLUS por un período de 12 meses.</t>
        </is>
      </c>
    </row>
    <row r="137">
      <c r="A137" s="0" t="inlineStr">
        <is>
          <t xml:space="preserve">885-86-LP26</t>
        </is>
      </c>
      <c r="B137" s="4" t="inlineStr">
        <is>
          <t xml:space="preserve">Adquisición de impresora digital para Unidad de Servicios Gráficos</t>
        </is>
      </c>
      <c r="C137" s="0">
        <v>1</v>
      </c>
      <c r="D137" s="4" t="inlineStr">
        <is>
          <t xml:space="preserve">Impresora rotativa de ultravioletas (UV)</t>
        </is>
      </c>
      <c r="E137" s="4" t="inlineStr">
        <is>
          <t xml:space="preserve">Equipos y suministros de imprenta, fotográficos y audiovisuales / Equipos de imprenta y publicación / Maquinarias y equipos de imprenta</t>
        </is>
      </c>
      <c r="F137" s="0">
        <v>1.0</v>
      </c>
      <c r="G137" s="0" t="inlineStr">
        <is>
          <t xml:space="preserve">Unidad</t>
        </is>
      </c>
      <c r="H137" s="4" t="inlineStr">
        <is>
          <t xml:space="preserve">Impresora digital de producción a color de alta productividad, destinada a atender los requerimientos de impresión de alto volumen de material gráfico institucional de la Unidad de Servicios Gráficos, proporcionando capacidad de operación continua, calida</t>
        </is>
      </c>
    </row>
    <row r="138">
      <c r="A138" s="0" t="inlineStr">
        <is>
          <t xml:space="preserve">757-73-LE26</t>
        </is>
      </c>
      <c r="B138" s="4" t="inlineStr">
        <is>
          <t xml:space="preserve">[DGP] Curso de Inteligencia Artificial Generativa</t>
        </is>
      </c>
      <c r="C138" s="0">
        <v>1</v>
      </c>
      <c r="D138" s="4" t="inlineStr">
        <is>
          <t xml:space="preserve">Formación, capacitación y entrenamiento de personal</t>
        </is>
      </c>
      <c r="E138" s="4" t="inlineStr">
        <is>
          <t xml:space="preserve">Servicios profesionales, administrativos y consultorías de gestión empresarial / Servicios de recursos humanos / Consultorías para el desarrollo de recursos humanos</t>
        </is>
      </c>
      <c r="F138" s="0">
        <v>1.0</v>
      </c>
      <c r="G138" s="0" t="inlineStr">
        <is>
          <t xml:space="preserve">Unidad</t>
        </is>
      </c>
      <c r="H138" s="4" t="inlineStr">
        <is>
          <t xml:space="preserve">Contratar un servicio de capacitación para impartir un Curso de Inteligencia Artificial dirigido a 6 personas de la Subsecretaría de Salud Pública, para que adquieran competencias y herramientas que les permita una mejor gestión.</t>
        </is>
      </c>
    </row>
    <row r="139">
      <c r="A139" s="0" t="inlineStr">
        <is>
          <t xml:space="preserve">434-104-LE26</t>
        </is>
      </c>
      <c r="B139" s="4" t="inlineStr">
        <is>
          <t xml:space="preserve">SERVIDOR DE DATOS SEGUN FORMULARIO N°14 INFORMATICA</t>
        </is>
      </c>
      <c r="C139" s="0">
        <v>1</v>
      </c>
      <c r="D139" s="4" t="inlineStr">
        <is>
          <t xml:space="preserve">Servidores</t>
        </is>
      </c>
      <c r="E139" s="4" t="inlineStr">
        <is>
          <t xml:space="preserve">Tecnologías de la información, telecomunicaciones y radiodifusión / Equipos informáticos y accesorios / Computadores</t>
        </is>
      </c>
      <c r="F139" s="0">
        <v>1.0</v>
      </c>
      <c r="G139" s="0" t="inlineStr">
        <is>
          <t xml:space="preserve">Unidad</t>
        </is>
      </c>
      <c r="H139" s="4" t="inlineStr">
        <is>
          <t xml:space="preserve">SERVIDOR DE DATOS SEGUN FORMULARIO N°14 INFORMATICA CON BASES TECNICAS</t>
        </is>
      </c>
    </row>
    <row r="140">
      <c r="A140" s="0" t="inlineStr">
        <is>
          <t xml:space="preserve">2348-34-LP26</t>
        </is>
      </c>
      <c r="B140" s="4" t="inlineStr">
        <is>
          <t xml:space="preserve">ADQUISICIÓN DE LICENCIAS DE SOFTWARE</t>
        </is>
      </c>
      <c r="C140" s="0">
        <v>1</v>
      </c>
      <c r="D140" s="4" t="inlineStr">
        <is>
          <t xml:space="preserve">Software de sistema operativo</t>
        </is>
      </c>
      <c r="E140" s="4" t="inlineStr">
        <is>
          <t xml:space="preserve">Tecnologías de la información, telecomunicaciones y radiodifusión / Software / Software de entorno operativo</t>
        </is>
      </c>
      <c r="F140" s="0">
        <v>2.0</v>
      </c>
      <c r="G140" s="0" t="inlineStr">
        <is>
          <t xml:space="preserve">Unidad</t>
        </is>
      </c>
      <c r="H140"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41">
      <c r="A141" s="0" t="inlineStr">
        <is>
          <t xml:space="preserve">2348-34-LP26</t>
        </is>
      </c>
      <c r="B141" s="4" t="inlineStr">
        <is>
          <t xml:space="preserve">ADQUISICIÓN DE LICENCIAS DE SOFTWARE</t>
        </is>
      </c>
      <c r="C141" s="0">
        <v>2</v>
      </c>
      <c r="D141" s="4" t="inlineStr">
        <is>
          <t xml:space="preserve">Software de sistema operativo</t>
        </is>
      </c>
      <c r="E141" s="4" t="inlineStr">
        <is>
          <t xml:space="preserve">Tecnologías de la información, telecomunicaciones y radiodifusión / Software / Software de entorno operativo</t>
        </is>
      </c>
      <c r="F141" s="0">
        <v>22.0</v>
      </c>
      <c r="G141" s="0" t="inlineStr">
        <is>
          <t xml:space="preserve">Unidad</t>
        </is>
      </c>
      <c r="H141"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42">
      <c r="A142" s="0" t="inlineStr">
        <is>
          <t xml:space="preserve">2348-34-LP26</t>
        </is>
      </c>
      <c r="B142" s="4" t="inlineStr">
        <is>
          <t xml:space="preserve">ADQUISICIÓN DE LICENCIAS DE SOFTWARE</t>
        </is>
      </c>
      <c r="C142" s="0">
        <v>3</v>
      </c>
      <c r="D142" s="4" t="inlineStr">
        <is>
          <t xml:space="preserve">Software de sistema operativo</t>
        </is>
      </c>
      <c r="E142" s="4" t="inlineStr">
        <is>
          <t xml:space="preserve">Tecnologías de la información, telecomunicaciones y radiodifusión / Software / Software de entorno operativo</t>
        </is>
      </c>
      <c r="F142" s="0">
        <v>5.0</v>
      </c>
      <c r="G142" s="0" t="inlineStr">
        <is>
          <t xml:space="preserve">Unidad</t>
        </is>
      </c>
      <c r="H142"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43">
      <c r="A143" s="0" t="inlineStr">
        <is>
          <t xml:space="preserve">2348-34-LP26</t>
        </is>
      </c>
      <c r="B143" s="4" t="inlineStr">
        <is>
          <t xml:space="preserve">ADQUISICIÓN DE LICENCIAS DE SOFTWARE</t>
        </is>
      </c>
      <c r="C143" s="0">
        <v>4</v>
      </c>
      <c r="D143" s="4" t="inlineStr">
        <is>
          <t xml:space="preserve">Software de sistema operativo</t>
        </is>
      </c>
      <c r="E143" s="4" t="inlineStr">
        <is>
          <t xml:space="preserve">Tecnologías de la información, telecomunicaciones y radiodifusión / Software / Software de entorno operativo</t>
        </is>
      </c>
      <c r="F143" s="0">
        <v>1.0</v>
      </c>
      <c r="G143" s="0" t="inlineStr">
        <is>
          <t xml:space="preserve">Unidad</t>
        </is>
      </c>
      <c r="H143"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44">
      <c r="A144" s="0" t="inlineStr">
        <is>
          <t xml:space="preserve">2348-34-LP26</t>
        </is>
      </c>
      <c r="B144" s="4" t="inlineStr">
        <is>
          <t xml:space="preserve">ADQUISICIÓN DE LICENCIAS DE SOFTWARE</t>
        </is>
      </c>
      <c r="C144" s="0">
        <v>5</v>
      </c>
      <c r="D144" s="4" t="inlineStr">
        <is>
          <t xml:space="preserve">Software de sistema operativo</t>
        </is>
      </c>
      <c r="E144" s="4" t="inlineStr">
        <is>
          <t xml:space="preserve">Tecnologías de la información, telecomunicaciones y radiodifusión / Software / Software de entorno operativo</t>
        </is>
      </c>
      <c r="F144" s="0">
        <v>2.0</v>
      </c>
      <c r="G144" s="0" t="inlineStr">
        <is>
          <t xml:space="preserve">Unidad</t>
        </is>
      </c>
      <c r="H144" s="4" t="inlineStr">
        <is>
          <t xml:space="preserve">ZOOM PRO - Licencias de usuario Pro, hasta 100 Invitados por Videoconferencia, duración llamadas ilimitadas, Agendamiento de Reuniones, Presentaciones en calidad HD - 36 meses de Suscripción.</t>
        </is>
      </c>
    </row>
    <row r="145">
      <c r="A145" s="0" t="inlineStr">
        <is>
          <t xml:space="preserve">2348-34-LP26</t>
        </is>
      </c>
      <c r="B145" s="4" t="inlineStr">
        <is>
          <t xml:space="preserve">ADQUISICIÓN DE LICENCIAS DE SOFTWARE</t>
        </is>
      </c>
      <c r="C145" s="0">
        <v>6</v>
      </c>
      <c r="D145" s="4" t="inlineStr">
        <is>
          <t xml:space="preserve">Software de sistema operativo</t>
        </is>
      </c>
      <c r="E145" s="4" t="inlineStr">
        <is>
          <t xml:space="preserve">Tecnologías de la información, telecomunicaciones y radiodifusión / Software / Software de entorno operativo</t>
        </is>
      </c>
      <c r="F145" s="0">
        <v>1.0</v>
      </c>
      <c r="G145" s="0" t="inlineStr">
        <is>
          <t xml:space="preserve">Unidad</t>
        </is>
      </c>
      <c r="H145" s="4" t="inlineStr">
        <is>
          <t xml:space="preserve">Protocolo DMARC por un periodo de 36 meses, con soporte técnico y con correos emitidos ilimitadamente</t>
        </is>
      </c>
    </row>
    <row r="146">
      <c r="A146" s="0" t="inlineStr">
        <is>
          <t xml:space="preserve">2348-34-LP26</t>
        </is>
      </c>
      <c r="B146" s="4" t="inlineStr">
        <is>
          <t xml:space="preserve">ADQUISICIÓN DE LICENCIAS DE SOFTWARE</t>
        </is>
      </c>
      <c r="C146" s="0">
        <v>7</v>
      </c>
      <c r="D146" s="4" t="inlineStr">
        <is>
          <t xml:space="preserve">Software de sistema operativo</t>
        </is>
      </c>
      <c r="E146" s="4" t="inlineStr">
        <is>
          <t xml:space="preserve">Tecnologías de la información, telecomunicaciones y radiodifusión / Software / Software de entorno operativo</t>
        </is>
      </c>
      <c r="F146" s="0">
        <v>1.0</v>
      </c>
      <c r="G146" s="0" t="inlineStr">
        <is>
          <t xml:space="preserve">Unidad</t>
        </is>
      </c>
      <c r="H146" s="4" t="inlineStr">
        <is>
          <t xml:space="preserve">LICENCIA CLOUD VNNOX, para pantallas HITO 500 AÑOS. LICENCIA POR 36 MESES</t>
        </is>
      </c>
    </row>
    <row r="147">
      <c r="A147" s="0" t="inlineStr">
        <is>
          <t xml:space="preserve">2348-34-LP26</t>
        </is>
      </c>
      <c r="B147" s="4" t="inlineStr">
        <is>
          <t xml:space="preserve">ADQUISICIÓN DE LICENCIAS DE SOFTWARE</t>
        </is>
      </c>
      <c r="C147" s="0">
        <v>8</v>
      </c>
      <c r="D147" s="4" t="inlineStr">
        <is>
          <t xml:space="preserve">Software de sistema operativo</t>
        </is>
      </c>
      <c r="E147" s="4" t="inlineStr">
        <is>
          <t xml:space="preserve">Tecnologías de la información, telecomunicaciones y radiodifusión / Software / Software de entorno operativo</t>
        </is>
      </c>
      <c r="F147" s="0">
        <v>5.0</v>
      </c>
      <c r="G147" s="0" t="inlineStr">
        <is>
          <t xml:space="preserve">Unidad</t>
        </is>
      </c>
      <c r="H147" s="4" t="inlineStr">
        <is>
          <t xml:space="preserve">SQL Server 2025 - 1 User CAL Perpetua</t>
        </is>
      </c>
    </row>
    <row r="148">
      <c r="A148" s="0" t="inlineStr">
        <is>
          <t xml:space="preserve">2348-34-LP26</t>
        </is>
      </c>
      <c r="B148" s="4" t="inlineStr">
        <is>
          <t xml:space="preserve">ADQUISICIÓN DE LICENCIAS DE SOFTWARE</t>
        </is>
      </c>
      <c r="C148" s="0">
        <v>9</v>
      </c>
      <c r="D148" s="4" t="inlineStr">
        <is>
          <t xml:space="preserve">Software de sistema operativo</t>
        </is>
      </c>
      <c r="E148" s="4" t="inlineStr">
        <is>
          <t xml:space="preserve">Tecnologías de la información, telecomunicaciones y radiodifusión / Software / Software de entorno operativo</t>
        </is>
      </c>
      <c r="F148" s="0">
        <v>2.0</v>
      </c>
      <c r="G148" s="0" t="inlineStr">
        <is>
          <t xml:space="preserve">Unidad</t>
        </is>
      </c>
      <c r="H148" s="4" t="inlineStr">
        <is>
          <t xml:space="preserve">SQL Server 2025 Standard Edition Perpetuo</t>
        </is>
      </c>
    </row>
    <row r="149">
      <c r="A149" s="0" t="inlineStr">
        <is>
          <t xml:space="preserve">2348-34-LP26</t>
        </is>
      </c>
      <c r="B149" s="4" t="inlineStr">
        <is>
          <t xml:space="preserve">ADQUISICIÓN DE LICENCIAS DE SOFTWARE</t>
        </is>
      </c>
      <c r="C149" s="0">
        <v>10</v>
      </c>
      <c r="D149" s="4" t="inlineStr">
        <is>
          <t xml:space="preserve">Software de sistema operativo</t>
        </is>
      </c>
      <c r="E149" s="4" t="inlineStr">
        <is>
          <t xml:space="preserve">Tecnologías de la información, telecomunicaciones y radiodifusión / Software / Software de entorno operativo</t>
        </is>
      </c>
      <c r="F149" s="0">
        <v>8.0</v>
      </c>
      <c r="G149" s="0" t="inlineStr">
        <is>
          <t xml:space="preserve">Unidad</t>
        </is>
      </c>
      <c r="H149" s="4" t="inlineStr">
        <is>
          <t xml:space="preserve">SQL Server 2025 Standard Core - License Pack 2 Core Perpetuo</t>
        </is>
      </c>
    </row>
    <row r="150">
      <c r="A150" s="0" t="inlineStr">
        <is>
          <t xml:space="preserve">1171317-79-LE26</t>
        </is>
      </c>
      <c r="B150" s="4" t="inlineStr">
        <is>
          <t xml:space="preserve">ADQUISICIÓN LICENCIAS DE SOFTWARE CHILLÁN</t>
        </is>
      </c>
      <c r="C150" s="0">
        <v>1</v>
      </c>
      <c r="D150" s="4" t="inlineStr">
        <is>
          <t xml:space="preserve">Software de gestión de licencias</t>
        </is>
      </c>
      <c r="E150" s="4" t="inlineStr">
        <is>
          <t xml:space="preserve">Tecnologías de la información, telecomunicaciones y radiodifusión / Software / Software de gestión</t>
        </is>
      </c>
      <c r="F150" s="0">
        <v>1.0</v>
      </c>
      <c r="G150" s="0" t="inlineStr">
        <is>
          <t xml:space="preserve">Global</t>
        </is>
      </c>
      <c r="H150" s="4" t="inlineStr">
        <is>
          <t xml:space="preserve">Según lo indicado en Formulario N°4 "Oferta Económica y Plazo a Ofertar"</t>
        </is>
      </c>
    </row>
    <row r="151">
      <c r="A151" s="0" t="inlineStr">
        <is>
          <t xml:space="preserve">2445-109-LP26</t>
        </is>
      </c>
      <c r="B151" s="4" t="inlineStr">
        <is>
          <t xml:space="preserve">SERVICIO SOFTWARE GESTIÓN  ASISTENCIA DEPTO. SALUD</t>
        </is>
      </c>
      <c r="C151" s="0">
        <v>1</v>
      </c>
      <c r="D151" s="4" t="inlineStr">
        <is>
          <t xml:space="preserve">Software de gestión de recursos humanos</t>
        </is>
      </c>
      <c r="E151" s="4" t="inlineStr">
        <is>
          <t xml:space="preserve">Tecnologías de la información, telecomunicaciones y radiodifusión / Software / Software de gestión</t>
        </is>
      </c>
      <c r="F151" s="0">
        <v>1.0</v>
      </c>
      <c r="G151" s="0" t="inlineStr">
        <is>
          <t xml:space="preserve">Unidad</t>
        </is>
      </c>
      <c r="H151" s="4" t="inlineStr">
        <is>
          <t xml:space="preserve">SERVICIO DE ARRIENDO, IMPLEMENTACIÓN, MANTENCIÓN Y SOPORTE DE SOFTWARE  CLOUD PARA GESTIÓN DE ASISTENCIA Y TERMINALES BIOMÉTRICOS PARA EL DEPARTAMENTO DE SALUD CURICO, POR UN PERIODO DE 36 MESES</t>
        </is>
      </c>
    </row>
    <row r="152">
      <c r="A152" s="0" t="inlineStr">
        <is>
          <t xml:space="preserve">1020-40-LP26</t>
        </is>
      </c>
      <c r="B152" s="4" t="inlineStr">
        <is>
          <t xml:space="preserve">Serv.Cloud Amazon Web Services AWS o Equivalente</t>
        </is>
      </c>
      <c r="C152" s="0">
        <v>1</v>
      </c>
      <c r="D152" s="4" t="inlineStr">
        <is>
          <t xml:space="preserve">Software del sistema de administración de bases de datos</t>
        </is>
      </c>
      <c r="E152" s="4" t="inlineStr">
        <is>
          <t xml:space="preserve">Tecnologías de la información, telecomunicaciones y radiodifusión / Software / Software de consultas y gestión de datos</t>
        </is>
      </c>
      <c r="F152" s="0">
        <v>1.0</v>
      </c>
      <c r="G152" s="0" t="inlineStr">
        <is>
          <t xml:space="preserve">Unidad</t>
        </is>
      </c>
      <c r="H152" s="4" t="inlineStr">
        <is>
          <t xml:space="preserve">PRECIO TOTAL NETO OFERTADO (SIN IVA), según Formulario N°1 "Oferta Económica" (Incluye los señalado en el numeral 5.1.1 de las Bases Administrativas, en archivo adjunto).</t>
        </is>
      </c>
    </row>
    <row r="153">
      <c r="A153" s="0" t="inlineStr">
        <is>
          <t xml:space="preserve">1562-55-LE26</t>
        </is>
      </c>
      <c r="B153" s="4" t="inlineStr">
        <is>
          <t xml:space="preserve">RESTAURACIÓN MANTENCIÓN Y SOPORTE DE PLATAFORMAS</t>
        </is>
      </c>
      <c r="C153" s="0">
        <v>1</v>
      </c>
      <c r="D153" s="4" t="inlineStr">
        <is>
          <t xml:space="preserve">Software de biblioteca</t>
        </is>
      </c>
      <c r="E153" s="4" t="inlineStr">
        <is>
          <t xml:space="preserve">Tecnologías de la información, telecomunicaciones y radiodifusión / Software / Software específico para la industria</t>
        </is>
      </c>
      <c r="F153" s="0">
        <v>1.0</v>
      </c>
      <c r="G153" s="0" t="inlineStr">
        <is>
          <t xml:space="preserve">Unidad</t>
        </is>
      </c>
      <c r="H153" s="4" t="inlineStr">
        <is>
          <t xml:space="preserve">Servicio de restauración, mantención y soporte para la plataforma repositorio
digital Sernageomin (RDS) con software DSpace – 2026</t>
        </is>
      </c>
    </row>
    <row r="154">
      <c r="A154" s="0" t="inlineStr">
        <is>
          <t xml:space="preserve">1562-55-LE26</t>
        </is>
      </c>
      <c r="B154" s="4" t="inlineStr">
        <is>
          <t xml:space="preserve">RESTAURACIÓN MANTENCIÓN Y SOPORTE DE PLATAFORMAS</t>
        </is>
      </c>
      <c r="C154" s="0">
        <v>2</v>
      </c>
      <c r="D154" s="4" t="inlineStr">
        <is>
          <t xml:space="preserve">Software de biblioteca</t>
        </is>
      </c>
      <c r="E154" s="4" t="inlineStr">
        <is>
          <t xml:space="preserve">Tecnologías de la información, telecomunicaciones y radiodifusión / Software / Software específico para la industria</t>
        </is>
      </c>
      <c r="F154" s="0">
        <v>1.0</v>
      </c>
      <c r="G154" s="0" t="inlineStr">
        <is>
          <t xml:space="preserve">Unidad</t>
        </is>
      </c>
      <c r="H154" s="4" t="inlineStr">
        <is>
          <t xml:space="preserve">Servicio de restauración, mantención y soporte para la plataforma de
administración de biblioteca con software Koha</t>
        </is>
      </c>
    </row>
    <row r="155">
      <c r="A155" s="0" t="inlineStr">
        <is>
          <t xml:space="preserve">4079-43-LP26</t>
        </is>
      </c>
      <c r="B155" s="4" t="inlineStr">
        <is>
          <t xml:space="preserve">SERV DE INTERNET FIREWALL NUBES VIRTUALES Y DISP</t>
        </is>
      </c>
      <c r="C155" s="0">
        <v>1</v>
      </c>
      <c r="D155" s="4" t="inlineStr">
        <is>
          <t xml:space="preserve">Proveedores de servicio de Internet (ISP)</t>
        </is>
      </c>
      <c r="E155" s="4" t="inlineStr">
        <is>
          <t xml:space="preserve">Servicios basados en ingeniería, ciencias sociales y tecnología de la información / Servicios informáticos / Servicios para internet</t>
        </is>
      </c>
      <c r="F155" s="0">
        <v>36.0</v>
      </c>
      <c r="G155" s="0" t="inlineStr">
        <is>
          <t xml:space="preserve">Mes</t>
        </is>
      </c>
      <c r="H155" s="4" t="inlineStr">
        <is>
          <t xml:space="preserve">SERVICIO DE INTERNET, FIREWALL, NUBES VIRTUALES Y DISPOSITIVOS WIFI MOVILES, POR UN PERIODO DE 36 MESES, SEGÚN REQUERIMIENTO TÉCNICO N°60 Y BASES ADMINISTRATIVAS.</t>
        </is>
      </c>
    </row>
    <row r="156">
      <c r="A156" s="0" t="inlineStr">
        <is>
          <t xml:space="preserve">3902-39-LP26</t>
        </is>
      </c>
      <c r="B156" s="4" t="inlineStr">
        <is>
          <t xml:space="preserve">SERVICIO SOFTWARE SISTEMAS DE INFORMACIÓN BULNES.</t>
        </is>
      </c>
      <c r="C156" s="0">
        <v>1</v>
      </c>
      <c r="D156" s="4" t="inlineStr">
        <is>
          <t xml:space="preserve">Paquetes de software para oficinas</t>
        </is>
      </c>
      <c r="E156" s="4" t="inlineStr">
        <is>
          <t xml:space="preserve">Tecnologías de la información, telecomunicaciones y radiodifusión / Software / Software de gestión</t>
        </is>
      </c>
      <c r="F156" s="0">
        <v>1.0</v>
      </c>
      <c r="G156" s="0" t="inlineStr">
        <is>
          <t xml:space="preserve">Global</t>
        </is>
      </c>
      <c r="H156"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57">
      <c r="A157" s="0" t="inlineStr">
        <is>
          <t xml:space="preserve">2434-20-LP26</t>
        </is>
      </c>
      <c r="B157" s="4" t="inlineStr">
        <is>
          <t xml:space="preserve">SERV. PLATAFORMA INTEGRAL PARA GESTION MUNICIPAL</t>
        </is>
      </c>
      <c r="C157" s="0">
        <v>1</v>
      </c>
      <c r="D157" s="4" t="inlineStr">
        <is>
          <t xml:space="preserve">Software de interconectividad de plataformas</t>
        </is>
      </c>
      <c r="E157" s="4" t="inlineStr">
        <is>
          <t xml:space="preserve">Tecnologías de la información, telecomunicaciones y radiodifusión / Software / Software para trabajo en redes</t>
        </is>
      </c>
      <c r="F157" s="0">
        <v>1.0</v>
      </c>
      <c r="G157" s="0" t="inlineStr">
        <is>
          <t xml:space="preserve">Global</t>
        </is>
      </c>
      <c r="H157" s="4" t="inlineStr">
        <is>
          <t xml:space="preserve">Servicio de Plataforma Integral de Gestión Municipal y Servicios Digitales, Municipalidad de Estación Central.</t>
        </is>
      </c>
    </row>
    <row r="158">
      <c r="A158" s="0" t="inlineStr">
        <is>
          <t xml:space="preserve">4127-36-LE26</t>
        </is>
      </c>
      <c r="B158" s="4" t="inlineStr">
        <is>
          <t xml:space="preserve">[TIC] Suscripción licencias de software escáner de</t>
        </is>
      </c>
      <c r="C158" s="0">
        <v>1</v>
      </c>
      <c r="D158" s="4" t="inlineStr">
        <is>
          <t xml:space="preserve">Seguridad para computadores, redes e Internet</t>
        </is>
      </c>
      <c r="E158" s="4" t="inlineStr">
        <is>
          <t xml:space="preserve">Servicios basados en ingeniería, ciencias sociales y tecnología de la información / Servicios informáticos / Administración de sistemas</t>
        </is>
      </c>
      <c r="F158" s="0">
        <v>1.0</v>
      </c>
      <c r="G158" s="0" t="inlineStr">
        <is>
          <t xml:space="preserve">Unidad</t>
        </is>
      </c>
      <c r="H158"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159">
      <c r="A159" s="0" t="inlineStr">
        <is>
          <t xml:space="preserve">85-35-LE26</t>
        </is>
      </c>
      <c r="B159" s="4" t="inlineStr">
        <is>
          <t xml:space="preserve">ADQUISICIÓN LICENCIAS IA GENERATIVA</t>
        </is>
      </c>
      <c r="C159" s="0">
        <v>1</v>
      </c>
      <c r="D159" s="4" t="inlineStr">
        <is>
          <t xml:space="preserve">Software de gestión de licencias</t>
        </is>
      </c>
      <c r="E159" s="4" t="inlineStr">
        <is>
          <t xml:space="preserve">Tecnologías de la información, telecomunicaciones y radiodifusión / Software / Software de gestión</t>
        </is>
      </c>
      <c r="F159" s="0">
        <v>1.0</v>
      </c>
      <c r="G159" s="0" t="inlineStr">
        <is>
          <t xml:space="preserve">Unidad</t>
        </is>
      </c>
      <c r="H159" s="4" t="inlineStr">
        <is>
          <t xml:space="preserve">ADQUISICIÓN DE 45 LICENCIAS DE INTELIGENCIA ARTIFICIAL GENERATIVA.</t>
        </is>
      </c>
    </row>
    <row r="160">
      <c r="A160" s="0" t="inlineStr">
        <is>
          <t xml:space="preserve">1020-46-LE26</t>
        </is>
      </c>
      <c r="B160" s="4" t="inlineStr">
        <is>
          <t xml:space="preserve">Adq. Sopor. y Actual. Software ServiceTonic MOP.</t>
        </is>
      </c>
      <c r="C160" s="0">
        <v>1</v>
      </c>
      <c r="D160" s="4" t="inlineStr">
        <is>
          <t xml:space="preserve">Software de gestión de licencias</t>
        </is>
      </c>
      <c r="E160" s="4" t="inlineStr">
        <is>
          <t xml:space="preserve">Tecnologías de la información, telecomunicaciones y radiodifusión / Software / Software de gestión</t>
        </is>
      </c>
      <c r="F160" s="0">
        <v>50.0</v>
      </c>
      <c r="G160" s="0" t="inlineStr">
        <is>
          <t xml:space="preserve">Unidad</t>
        </is>
      </c>
      <c r="H160" s="4" t="inlineStr">
        <is>
          <t xml:space="preserve">Soporte y Actualizaciones Software ServiceTonic Licencias en modalidad On-Premise, usuarios nombrados, por 12 meses. Desde el 20 de octubre de 2026, hasta el 19 de Octubre de 2027. VER BASES TÉCNICA, Páginas 28 y 29.</t>
        </is>
      </c>
    </row>
    <row r="161">
      <c r="A161" s="0" t="inlineStr">
        <is>
          <t xml:space="preserve">1393093-98-LE26</t>
        </is>
      </c>
      <c r="B161" s="4" t="inlineStr">
        <is>
          <t xml:space="preserve">CONTRATACIÓN DE SERV. DE DESA.SOFTWARE RENDICIONES</t>
        </is>
      </c>
      <c r="C161" s="0">
        <v>1</v>
      </c>
      <c r="D161" s="4" t="inlineStr">
        <is>
          <t xml:space="preserve">Desarrolladores temporales de software</t>
        </is>
      </c>
      <c r="E161" s="4" t="inlineStr">
        <is>
          <t xml:space="preserve">Servicios profesionales, administrativos y consultorías de gestión empresarial / Servicios de recursos humanos / Servicios de personal temporal</t>
        </is>
      </c>
      <c r="F161" s="0">
        <v>1.0</v>
      </c>
      <c r="G161" s="0" t="inlineStr">
        <is>
          <t xml:space="preserve">Unidad</t>
        </is>
      </c>
      <c r="H161" s="4" t="inlineStr">
        <is>
          <t xml:space="preserve">SERV. DESARROLLO SOFTWARE RENDICONES</t>
        </is>
      </c>
    </row>
    <row r="162">
      <c r="A162" s="0" t="inlineStr">
        <is>
          <t xml:space="preserve">1133353-43-LR26</t>
        </is>
      </c>
      <c r="B162" s="4" t="inlineStr">
        <is>
          <t xml:space="preserve">ARRIENDO DE SOFTWARE INTEGRAL PARA LA GESTIÓN MUNICIPAL ÁREAS DE SALUD Y MUNICIPAL COMUNA DE RAUCO</t>
        </is>
      </c>
      <c r="C162" s="0">
        <v>1</v>
      </c>
      <c r="D162" s="4" t="inlineStr">
        <is>
          <t xml:space="preserve">Software de administración</t>
        </is>
      </c>
      <c r="E162" s="4" t="inlineStr">
        <is>
          <t xml:space="preserve">Tecnologías de la información, telecomunicaciones y radiodifusión / Software / Software de administración de redes</t>
        </is>
      </c>
      <c r="F162" s="0">
        <v>1.0</v>
      </c>
      <c r="G162" s="0" t="inlineStr">
        <is>
          <t xml:space="preserve">Global</t>
        </is>
      </c>
      <c r="H162" s="4" t="inlineStr">
        <is>
          <t xml:space="preserve">SOFTWARE INTEGRAL PARA LA GESTIÓN MUNICIPAL</t>
        </is>
      </c>
    </row>
    <row r="163">
      <c r="A163" s="0" t="inlineStr">
        <is>
          <t xml:space="preserve">2408-160-LP26</t>
        </is>
      </c>
      <c r="B163" s="4" t="inlineStr">
        <is>
          <t xml:space="preserve">EQUIPOS INFORMÁTICOS PARA DEPENDENCIAS MUNICIPALES</t>
        </is>
      </c>
      <c r="C163" s="0">
        <v>1</v>
      </c>
      <c r="D163" s="4" t="inlineStr">
        <is>
          <t xml:space="preserve">Escáner</t>
        </is>
      </c>
      <c r="E163" s="4" t="inlineStr">
        <is>
          <t xml:space="preserve">Tecnologías de la información, telecomunicaciones y radiodifusión / Equipos informáticos y accesorios / Dispositivos informáticos de entrada de datos</t>
        </is>
      </c>
      <c r="F163" s="0">
        <v>40.0</v>
      </c>
      <c r="G163" s="0" t="inlineStr">
        <is>
          <t xml:space="preserve">Unidad</t>
        </is>
      </c>
      <c r="H163" s="4" t="inlineStr">
        <is>
          <t xml:space="preserve">Se requiere scanner, según bases técnicas adjuntas.</t>
        </is>
      </c>
    </row>
    <row r="164">
      <c r="A164" s="0" t="inlineStr">
        <is>
          <t xml:space="preserve">2408-160-LP26</t>
        </is>
      </c>
      <c r="B164" s="4" t="inlineStr">
        <is>
          <t xml:space="preserve">EQUIPOS INFORMÁTICOS PARA DEPENDENCIAS MUNICIPALES</t>
        </is>
      </c>
      <c r="C164" s="0">
        <v>2</v>
      </c>
      <c r="D164" s="4" t="inlineStr">
        <is>
          <t xml:space="preserve">Impresoras de chorro de tinta</t>
        </is>
      </c>
      <c r="E164" s="4" t="inlineStr">
        <is>
          <t xml:space="preserve">Tecnologías de la información, telecomunicaciones y radiodifusión / Equipos informáticos y accesorios / Impresoras</t>
        </is>
      </c>
      <c r="F164" s="0">
        <v>70.0</v>
      </c>
      <c r="G164" s="0" t="inlineStr">
        <is>
          <t xml:space="preserve">Unidad</t>
        </is>
      </c>
      <c r="H164" s="4" t="inlineStr">
        <is>
          <t xml:space="preserve">Se requiere impresoras, según bases técnicas adjuntas.</t>
        </is>
      </c>
    </row>
    <row r="165">
      <c r="A165" s="0" t="inlineStr">
        <is>
          <t xml:space="preserve">2408-160-LP26</t>
        </is>
      </c>
      <c r="B165" s="4" t="inlineStr">
        <is>
          <t xml:space="preserve">EQUIPOS INFORMÁTICOS PARA DEPENDENCIAS MUNICIPALES</t>
        </is>
      </c>
      <c r="C165" s="0">
        <v>3</v>
      </c>
      <c r="D165" s="4" t="inlineStr">
        <is>
          <t xml:space="preserve">Trazadoras de gráficos</t>
        </is>
      </c>
      <c r="E165" s="4" t="inlineStr">
        <is>
          <t xml:space="preserve">Tecnologías de la información, telecomunicaciones y radiodifusión / Equipos informáticos y accesorios / Impresoras</t>
        </is>
      </c>
      <c r="F165" s="0">
        <v>3.0</v>
      </c>
      <c r="G165" s="0" t="inlineStr">
        <is>
          <t xml:space="preserve">Unidad</t>
        </is>
      </c>
      <c r="H165" s="4" t="inlineStr">
        <is>
          <t xml:space="preserve">Se requiere plóter, según bases técnicas adjuntas.</t>
        </is>
      </c>
    </row>
    <row r="166">
      <c r="A166" s="0" t="inlineStr">
        <is>
          <t xml:space="preserve">2408-160-LP26</t>
        </is>
      </c>
      <c r="B166" s="4" t="inlineStr">
        <is>
          <t xml:space="preserve">EQUIPOS INFORMÁTICOS PARA DEPENDENCIAS MUNICIPALES</t>
        </is>
      </c>
      <c r="C166" s="0">
        <v>4</v>
      </c>
      <c r="D166" s="4" t="inlineStr">
        <is>
          <t xml:space="preserve">Computadores personales</t>
        </is>
      </c>
      <c r="E166" s="4" t="inlineStr">
        <is>
          <t xml:space="preserve">Tecnologías de la información, telecomunicaciones y radiodifusión / Equipos informáticos y accesorios / Computadores</t>
        </is>
      </c>
      <c r="F166" s="0">
        <v>12.0</v>
      </c>
      <c r="G166" s="0" t="inlineStr">
        <is>
          <t xml:space="preserve">Unidad</t>
        </is>
      </c>
      <c r="H166" s="4" t="inlineStr">
        <is>
          <t xml:space="preserve">Se requiere computadores touch, según bases técnicas adjuntas.</t>
        </is>
      </c>
    </row>
    <row r="167">
      <c r="A167" s="0" t="inlineStr">
        <is>
          <t xml:space="preserve">2408-160-LP26</t>
        </is>
      </c>
      <c r="B167" s="4" t="inlineStr">
        <is>
          <t xml:space="preserve">EQUIPOS INFORMÁTICOS PARA DEPENDENCIAS MUNICIPALES</t>
        </is>
      </c>
      <c r="C167" s="0">
        <v>5</v>
      </c>
      <c r="D167" s="4" t="inlineStr">
        <is>
          <t xml:space="preserve">Computadores de escritorio</t>
        </is>
      </c>
      <c r="E167" s="4" t="inlineStr">
        <is>
          <t xml:space="preserve">Tecnologías de la información, telecomunicaciones y radiodifusión / Equipos informáticos y accesorios / Computadores</t>
        </is>
      </c>
      <c r="F167" s="0">
        <v>1.0</v>
      </c>
      <c r="G167" s="0" t="inlineStr">
        <is>
          <t xml:space="preserve">Unidad</t>
        </is>
      </c>
      <c r="H167" s="4" t="inlineStr">
        <is>
          <t xml:space="preserve">Se requiere PC para streaming, según bases técnicas adjuntas.</t>
        </is>
      </c>
    </row>
    <row r="168">
      <c r="A168" s="0" t="inlineStr">
        <is>
          <t xml:space="preserve">2408-160-LP26</t>
        </is>
      </c>
      <c r="B168" s="4" t="inlineStr">
        <is>
          <t xml:space="preserve">EQUIPOS INFORMÁTICOS PARA DEPENDENCIAS MUNICIPALES</t>
        </is>
      </c>
      <c r="C168" s="0">
        <v>6</v>
      </c>
      <c r="D168" s="4" t="inlineStr">
        <is>
          <t xml:space="preserve">Computadores de escritorio</t>
        </is>
      </c>
      <c r="E168" s="4" t="inlineStr">
        <is>
          <t xml:space="preserve">Tecnologías de la información, telecomunicaciones y radiodifusión / Equipos informáticos y accesorios / Computadores</t>
        </is>
      </c>
      <c r="F168" s="0">
        <v>6.0</v>
      </c>
      <c r="G168" s="0" t="inlineStr">
        <is>
          <t xml:space="preserve">Unidad</t>
        </is>
      </c>
      <c r="H168" s="4" t="inlineStr">
        <is>
          <t xml:space="preserve">Se requiere PC, según bases técnicas adjuntas.</t>
        </is>
      </c>
    </row>
    <row r="169">
      <c r="A169" s="0" t="inlineStr">
        <is>
          <t xml:space="preserve">1725-196-LE26</t>
        </is>
      </c>
      <c r="B169" s="4" t="inlineStr">
        <is>
          <t xml:space="preserve">DIFUSIÓN PLATAFORMA WEB APLICACIÓN MÓVIL CHILE CUL</t>
        </is>
      </c>
      <c r="C169" s="0">
        <v>1</v>
      </c>
      <c r="D169" s="4" t="inlineStr">
        <is>
          <t xml:space="preserve">Publicidad en radio</t>
        </is>
      </c>
      <c r="E169" s="4" t="inlineStr">
        <is>
          <t xml:space="preserve">Servicios editoriales, de diseño, publicidad, gráficos y artistas / Publicidad / Publicidad en medios no impresos</t>
        </is>
      </c>
      <c r="F169" s="0">
        <v>1.0</v>
      </c>
      <c r="G169" s="0" t="inlineStr">
        <is>
          <t xml:space="preserve">Unidad</t>
        </is>
      </c>
      <c r="H169" s="4" t="inlineStr">
        <is>
          <t xml:space="preserve">SERVICIO DE PLANIFICACIÓN, PRODUCCIÓN E
IMPLEMENTACIÓN EN MEDIOS PARA DIFUSIÓN DE LA PLATAFORMA WEB Y APLICACIÓN MÓVIL CHILE CULTURA</t>
        </is>
      </c>
    </row>
    <row r="170">
      <c r="A170" s="0" t="inlineStr">
        <is>
          <t xml:space="preserve">903031-11-L126</t>
        </is>
      </c>
      <c r="B170" s="4" t="inlineStr">
        <is>
          <t xml:space="preserve">“Servicio profesional para asistencia en la plataforma SISREC-CGR (Sistema de Rendición Electrónica de Cuentas)”</t>
        </is>
      </c>
      <c r="C170" s="0">
        <v>1</v>
      </c>
      <c r="D170" s="4" t="inlineStr">
        <is>
          <t xml:space="preserve">Profesionales</t>
        </is>
      </c>
      <c r="E170" s="4" t="inlineStr">
        <is>
          <t xml:space="preserve">Servicios profesionales, administrativos y consultorías de gestión empresarial / Servicios de recursos humanos / Contratación de personal</t>
        </is>
      </c>
      <c r="F170" s="0">
        <v>1.0</v>
      </c>
      <c r="G170" s="0" t="inlineStr">
        <is>
          <t xml:space="preserve">Unidad</t>
        </is>
      </c>
      <c r="H170" s="4" t="inlineStr">
        <is>
          <t xml:space="preserve">Contar con el apoyo de una persona con experiencia en uso de SISREC, tanto en el rol de persona analista, como de persona encargada ejecutora, que coordine con la persona encargada de Supervisión de proyectos de la UFP</t>
        </is>
      </c>
    </row>
    <row r="171">
      <c r="A171" s="0" t="inlineStr">
        <is>
          <t xml:space="preserve">1593-24-LP26</t>
        </is>
      </c>
      <c r="B171" s="4" t="inlineStr">
        <is>
          <t xml:space="preserve">Adquisición instalación plataforma almacenamiento</t>
        </is>
      </c>
      <c r="C171" s="0">
        <v>1</v>
      </c>
      <c r="D171" s="4" t="inlineStr">
        <is>
          <t xml:space="preserve">Almacenamiento de datos</t>
        </is>
      </c>
      <c r="E171" s="4" t="inlineStr">
        <is>
          <t xml:space="preserve">Servicios basados en ingeniería, ciencias sociales y tecnología de la información / Servicios informáticos / Administración de sistemas</t>
        </is>
      </c>
      <c r="F171" s="0">
        <v>1.0</v>
      </c>
      <c r="G171" s="0" t="inlineStr">
        <is>
          <t xml:space="preserve">Unidad</t>
        </is>
      </c>
      <c r="H171" s="4" t="inlineStr">
        <is>
          <t xml:space="preserve">Adquisición e instalación de plataforma de almacenamiento para la Superintendencia de
Servicios Sanitarios.</t>
        </is>
      </c>
    </row>
    <row r="172">
      <c r="A172" s="0" t="inlineStr">
        <is>
          <t xml:space="preserve">2345-148-LE26</t>
        </is>
      </c>
      <c r="B172" s="4" t="inlineStr">
        <is>
          <t xml:space="preserve">ADQUISICIÓN DE CAMIÓN CON CARROCERIA Y PLATAFORMA DE ELEVACIÓN</t>
        </is>
      </c>
      <c r="C172" s="0">
        <v>1</v>
      </c>
      <c r="D172" s="4" t="inlineStr">
        <is>
          <t xml:space="preserve">Camión volcador</t>
        </is>
      </c>
      <c r="E172" s="4" t="inlineStr">
        <is>
          <t xml:space="preserve">Equipamiento para manejo y estiba de materiales / Maquinaria para manejo de materiales / Camiones, carros y carretillas industriales</t>
        </is>
      </c>
      <c r="F172" s="0">
        <v>1.0</v>
      </c>
      <c r="G172" s="0" t="inlineStr">
        <is>
          <t xml:space="preserve">Unidad</t>
        </is>
      </c>
      <c r="H172" s="4" t="inlineStr">
        <is>
          <t xml:space="preserve">ANEXO N°3
OFERTA ECONÓMICA NETA
Camión con carrocería y plataforma de
elevación
(Incluye documentación del vehículo)</t>
        </is>
      </c>
    </row>
    <row r="173">
      <c r="A173" s="0" t="inlineStr">
        <is>
          <t xml:space="preserve">2563-34-LR26</t>
        </is>
      </c>
      <c r="B173" s="4" t="inlineStr">
        <is>
          <t xml:space="preserve">EQUIPOS PARA REDES INFORMÁTICAS Y LICENCIAS</t>
        </is>
      </c>
      <c r="C173" s="0">
        <v>1</v>
      </c>
      <c r="D173" s="4" t="inlineStr">
        <is>
          <t xml:space="preserve">Cajas de conmutación de computadores</t>
        </is>
      </c>
      <c r="E173" s="4" t="inlineStr">
        <is>
          <t xml:space="preserve">Tecnologías de la información, telecomunicaciones y radiodifusión / Equipos informáticos y accesorios / Accesorios de computador</t>
        </is>
      </c>
      <c r="F173" s="0">
        <v>10.0</v>
      </c>
      <c r="G173" s="0" t="inlineStr">
        <is>
          <t xml:space="preserve">Unidad</t>
        </is>
      </c>
      <c r="H173" s="4" t="inlineStr">
        <is>
          <t xml:space="preserve">Switch 48G PoE 4SFP+ (equivalente al modelo JL727B) / Control de Acceso</t>
        </is>
      </c>
    </row>
    <row r="174">
      <c r="A174" s="0" t="inlineStr">
        <is>
          <t xml:space="preserve">2563-34-LR26</t>
        </is>
      </c>
      <c r="B174" s="4" t="inlineStr">
        <is>
          <t xml:space="preserve">EQUIPOS PARA REDES INFORMÁTICAS Y LICENCIAS</t>
        </is>
      </c>
      <c r="C174" s="0">
        <v>2</v>
      </c>
      <c r="D174" s="4" t="inlineStr">
        <is>
          <t xml:space="preserve">Cajas de conmutación de computadores</t>
        </is>
      </c>
      <c r="E174" s="4" t="inlineStr">
        <is>
          <t xml:space="preserve">Tecnologías de la información, telecomunicaciones y radiodifusión / Equipos informáticos y accesorios / Accesorios de computador</t>
        </is>
      </c>
      <c r="F174" s="0">
        <v>11.0</v>
      </c>
      <c r="G174" s="0" t="inlineStr">
        <is>
          <t xml:space="preserve">Unidad</t>
        </is>
      </c>
      <c r="H174" s="4" t="inlineStr">
        <is>
          <t xml:space="preserve">Switch 48G PoE 4SFP+ (equivalente al modelo JL727B) /Aeroportuarios</t>
        </is>
      </c>
    </row>
    <row r="175">
      <c r="A175" s="0" t="inlineStr">
        <is>
          <t xml:space="preserve">2563-34-LR26</t>
        </is>
      </c>
      <c r="B175" s="4" t="inlineStr">
        <is>
          <t xml:space="preserve">EQUIPOS PARA REDES INFORMÁTICAS Y LICENCIAS</t>
        </is>
      </c>
      <c r="C175" s="0">
        <v>3</v>
      </c>
      <c r="D175" s="4" t="inlineStr">
        <is>
          <t xml:space="preserve">Cajas de conmutación de computadores</t>
        </is>
      </c>
      <c r="E175" s="4" t="inlineStr">
        <is>
          <t xml:space="preserve">Tecnologías de la información, telecomunicaciones y radiodifusión / Equipos informáticos y accesorios / Accesorios de computador</t>
        </is>
      </c>
      <c r="F175" s="0">
        <v>1.0</v>
      </c>
      <c r="G175" s="0" t="inlineStr">
        <is>
          <t xml:space="preserve">Unidad</t>
        </is>
      </c>
      <c r="H175" s="4" t="inlineStr">
        <is>
          <t xml:space="preserve">Switch 24G PoE 4SFP+(equivalente al modelo JL261A) /Aeroportuario</t>
        </is>
      </c>
    </row>
    <row r="176">
      <c r="A176" s="0" t="inlineStr">
        <is>
          <t xml:space="preserve">2563-34-LR26</t>
        </is>
      </c>
      <c r="B176" s="4" t="inlineStr">
        <is>
          <t xml:space="preserve">EQUIPOS PARA REDES INFORMÁTICAS Y LICENCIAS</t>
        </is>
      </c>
      <c r="C176" s="0">
        <v>4</v>
      </c>
      <c r="D176" s="4" t="inlineStr">
        <is>
          <t xml:space="preserve">Cajas de conmutación de computadores</t>
        </is>
      </c>
      <c r="E176" s="4" t="inlineStr">
        <is>
          <t xml:space="preserve">Tecnologías de la información, telecomunicaciones y radiodifusión / Equipos informáticos y accesorios / Accesorios de computador</t>
        </is>
      </c>
      <c r="F176" s="0">
        <v>7.0</v>
      </c>
      <c r="G176" s="0" t="inlineStr">
        <is>
          <t xml:space="preserve">Unidad</t>
        </is>
      </c>
      <c r="H176" s="4" t="inlineStr">
        <is>
          <t xml:space="preserve">Switch 12G PoE 2SFP+ (equivalente al modelo R8Q72A) /Aeroportuario</t>
        </is>
      </c>
    </row>
    <row r="177">
      <c r="A177" s="0" t="inlineStr">
        <is>
          <t xml:space="preserve">2563-34-LR26</t>
        </is>
      </c>
      <c r="B177" s="4" t="inlineStr">
        <is>
          <t xml:space="preserve">EQUIPOS PARA REDES INFORMÁTICAS Y LICENCIAS</t>
        </is>
      </c>
      <c r="C177" s="0">
        <v>5</v>
      </c>
      <c r="D177" s="4" t="inlineStr">
        <is>
          <t xml:space="preserve">Cajas de conmutación de computadores</t>
        </is>
      </c>
      <c r="E177" s="4" t="inlineStr">
        <is>
          <t xml:space="preserve">Tecnologías de la información, telecomunicaciones y radiodifusión / Equipos informáticos y accesorios / Accesorios de computador</t>
        </is>
      </c>
      <c r="F177" s="0">
        <v>4.0</v>
      </c>
      <c r="G177" s="0" t="inlineStr">
        <is>
          <t xml:space="preserve">Unidad</t>
        </is>
      </c>
      <c r="H177" s="4" t="inlineStr">
        <is>
          <t xml:space="preserve">Access Point Desktop (equivalente al modelo R3V46A) /Control de acceso</t>
        </is>
      </c>
    </row>
    <row r="178">
      <c r="A178" s="0" t="inlineStr">
        <is>
          <t xml:space="preserve">2563-34-LR26</t>
        </is>
      </c>
      <c r="B178" s="4" t="inlineStr">
        <is>
          <t xml:space="preserve">EQUIPOS PARA REDES INFORMÁTICAS Y LICENCIAS</t>
        </is>
      </c>
      <c r="C178" s="0">
        <v>6</v>
      </c>
      <c r="D178" s="4" t="inlineStr">
        <is>
          <t xml:space="preserve">Cajas de conmutación de computadores</t>
        </is>
      </c>
      <c r="E178" s="4" t="inlineStr">
        <is>
          <t xml:space="preserve">Tecnologías de la información, telecomunicaciones y radiodifusión / Equipos informáticos y accesorios / Accesorios de computador</t>
        </is>
      </c>
      <c r="F178" s="0">
        <v>20.0</v>
      </c>
      <c r="G178" s="0" t="inlineStr">
        <is>
          <t xml:space="preserve">Unidad</t>
        </is>
      </c>
      <c r="H178" s="4" t="inlineStr">
        <is>
          <t xml:space="preserve">Access Point
(equivalente al modelo JZ336A) /Control de Acceso</t>
        </is>
      </c>
    </row>
    <row r="179">
      <c r="A179" s="0" t="inlineStr">
        <is>
          <t xml:space="preserve">2563-34-LR26</t>
        </is>
      </c>
      <c r="B179" s="4" t="inlineStr">
        <is>
          <t xml:space="preserve">EQUIPOS PARA REDES INFORMÁTICAS Y LICENCIAS</t>
        </is>
      </c>
      <c r="C179" s="0">
        <v>7</v>
      </c>
      <c r="D179" s="4" t="inlineStr">
        <is>
          <t xml:space="preserve">Cajas de conmutación de computadores</t>
        </is>
      </c>
      <c r="E179" s="4" t="inlineStr">
        <is>
          <t xml:space="preserve">Tecnologías de la información, telecomunicaciones y radiodifusión / Equipos informáticos y accesorios / Accesorios de computador</t>
        </is>
      </c>
      <c r="F179" s="0">
        <v>11.0</v>
      </c>
      <c r="G179" s="0" t="inlineStr">
        <is>
          <t xml:space="preserve">Unidad</t>
        </is>
      </c>
      <c r="H179" s="4" t="inlineStr">
        <is>
          <t xml:space="preserve">Access Point
(equivalente al modelo JZ336A) /Aeroportuarios</t>
        </is>
      </c>
    </row>
    <row r="180">
      <c r="A180" s="0" t="inlineStr">
        <is>
          <t xml:space="preserve">2563-34-LR26</t>
        </is>
      </c>
      <c r="B180" s="4" t="inlineStr">
        <is>
          <t xml:space="preserve">EQUIPOS PARA REDES INFORMÁTICAS Y LICENCIAS</t>
        </is>
      </c>
      <c r="C180" s="0">
        <v>8</v>
      </c>
      <c r="D180" s="4" t="inlineStr">
        <is>
          <t xml:space="preserve">Cajas de conmutación de computadores</t>
        </is>
      </c>
      <c r="E180" s="4" t="inlineStr">
        <is>
          <t xml:space="preserve">Tecnologías de la información, telecomunicaciones y radiodifusión / Equipos informáticos y accesorios / Accesorios de computador</t>
        </is>
      </c>
      <c r="F180" s="0">
        <v>6.0</v>
      </c>
      <c r="G180" s="0" t="inlineStr">
        <is>
          <t xml:space="preserve">Unidad</t>
        </is>
      </c>
      <c r="H180" s="4" t="inlineStr">
        <is>
          <t xml:space="preserve">Access Point Exterior
(equivalente al modelo R7T05A) /Control de Acceso</t>
        </is>
      </c>
    </row>
    <row r="181">
      <c r="A181" s="0" t="inlineStr">
        <is>
          <t xml:space="preserve">2563-34-LR26</t>
        </is>
      </c>
      <c r="B181" s="4" t="inlineStr">
        <is>
          <t xml:space="preserve">EQUIPOS PARA REDES INFORMÁTICAS Y LICENCIAS</t>
        </is>
      </c>
      <c r="C181" s="0">
        <v>9</v>
      </c>
      <c r="D181" s="4" t="inlineStr">
        <is>
          <t xml:space="preserve">Cajas de conmutación de computadores</t>
        </is>
      </c>
      <c r="E181" s="4" t="inlineStr">
        <is>
          <t xml:space="preserve">Tecnologías de la información, telecomunicaciones y radiodifusión / Equipos informáticos y accesorios / Accesorios de computador</t>
        </is>
      </c>
      <c r="F181" s="0">
        <v>3.0</v>
      </c>
      <c r="G181" s="0" t="inlineStr">
        <is>
          <t xml:space="preserve">Unidad</t>
        </is>
      </c>
      <c r="H181" s="4" t="inlineStr">
        <is>
          <t xml:space="preserve">Soporte anclaje para riel cielo falso plano 9/16'' Pack 10 unidades. /Aeroportuarios</t>
        </is>
      </c>
    </row>
    <row r="182">
      <c r="A182" s="0" t="inlineStr">
        <is>
          <t xml:space="preserve">2563-34-LR26</t>
        </is>
      </c>
      <c r="B182" s="4" t="inlineStr">
        <is>
          <t xml:space="preserve">EQUIPOS PARA REDES INFORMÁTICAS Y LICENCIAS</t>
        </is>
      </c>
      <c r="C182" s="0">
        <v>10</v>
      </c>
      <c r="D182" s="4" t="inlineStr">
        <is>
          <t xml:space="preserve">Cajas de conmutación de computadores</t>
        </is>
      </c>
      <c r="E182" s="4" t="inlineStr">
        <is>
          <t xml:space="preserve">Tecnologías de la información, telecomunicaciones y radiodifusión / Equipos informáticos y accesorios / Accesorios de computador</t>
        </is>
      </c>
      <c r="F182" s="0">
        <v>3.0</v>
      </c>
      <c r="G182" s="0" t="inlineStr">
        <is>
          <t xml:space="preserve">Unidad</t>
        </is>
      </c>
      <c r="H182" s="4" t="inlineStr">
        <is>
          <t xml:space="preserve">Soporte anclaje para superficie sólida Pack 10 unidades. /Aeroportuarios</t>
        </is>
      </c>
    </row>
    <row r="183">
      <c r="A183" s="0" t="inlineStr">
        <is>
          <t xml:space="preserve">2563-34-LR26</t>
        </is>
      </c>
      <c r="B183" s="4" t="inlineStr">
        <is>
          <t xml:space="preserve">EQUIPOS PARA REDES INFORMÁTICAS Y LICENCIAS</t>
        </is>
      </c>
      <c r="C183" s="0">
        <v>11</v>
      </c>
      <c r="D183" s="4" t="inlineStr">
        <is>
          <t xml:space="preserve">Cajas de conmutación de computadores</t>
        </is>
      </c>
      <c r="E183" s="4" t="inlineStr">
        <is>
          <t xml:space="preserve">Tecnologías de la información, telecomunicaciones y radiodifusión / Equipos informáticos y accesorios / Accesorios de computador</t>
        </is>
      </c>
      <c r="F183" s="0">
        <v>10.0</v>
      </c>
      <c r="G183" s="0" t="inlineStr">
        <is>
          <t xml:space="preserve">Unidad</t>
        </is>
      </c>
      <c r="H183" s="4" t="inlineStr">
        <is>
          <t xml:space="preserve">Módulo 10G SFP+ LC LR 10km
(equivalente al modelo J9151E) /Control de Acceso</t>
        </is>
      </c>
    </row>
    <row r="184">
      <c r="A184" s="0" t="inlineStr">
        <is>
          <t xml:space="preserve">2563-34-LR26</t>
        </is>
      </c>
      <c r="B184" s="4" t="inlineStr">
        <is>
          <t xml:space="preserve">EQUIPOS PARA REDES INFORMÁTICAS Y LICENCIAS</t>
        </is>
      </c>
      <c r="C184" s="0">
        <v>12</v>
      </c>
      <c r="D184" s="4" t="inlineStr">
        <is>
          <t xml:space="preserve">Cajas de conmutación de computadores</t>
        </is>
      </c>
      <c r="E184" s="4" t="inlineStr">
        <is>
          <t xml:space="preserve">Tecnologías de la información, telecomunicaciones y radiodifusión / Equipos informáticos y accesorios / Accesorios de computador</t>
        </is>
      </c>
      <c r="F184" s="0">
        <v>10.0</v>
      </c>
      <c r="G184" s="0" t="inlineStr">
        <is>
          <t xml:space="preserve">Unidad</t>
        </is>
      </c>
      <c r="H184" s="4" t="inlineStr">
        <is>
          <t xml:space="preserve">Módulo FO (SM) 1G SFP LC LX 10km
(equivalente al modelo J4859D) /Control de Acceso</t>
        </is>
      </c>
    </row>
    <row r="185">
      <c r="A185" s="0" t="inlineStr">
        <is>
          <t xml:space="preserve">2563-34-LR26</t>
        </is>
      </c>
      <c r="B185" s="4" t="inlineStr">
        <is>
          <t xml:space="preserve">EQUIPOS PARA REDES INFORMÁTICAS Y LICENCIAS</t>
        </is>
      </c>
      <c r="C185" s="0">
        <v>13</v>
      </c>
      <c r="D185" s="4" t="inlineStr">
        <is>
          <t xml:space="preserve">Cajas de conmutación de computadores</t>
        </is>
      </c>
      <c r="E185" s="4" t="inlineStr">
        <is>
          <t xml:space="preserve">Tecnologías de la información, telecomunicaciones y radiodifusión / Equipos informáticos y accesorios / Accesorios de computador</t>
        </is>
      </c>
      <c r="F185" s="0">
        <v>24.0</v>
      </c>
      <c r="G185" s="0" t="inlineStr">
        <is>
          <t xml:space="preserve">Unidad</t>
        </is>
      </c>
      <c r="H185" s="4" t="inlineStr">
        <is>
          <t xml:space="preserve">Módulo FO (SM) 1G SFP LC LX 10km (equivalente al modelo J4859D) /Aeroportuarios</t>
        </is>
      </c>
    </row>
    <row r="186">
      <c r="A186" s="0" t="inlineStr">
        <is>
          <t xml:space="preserve">2563-34-LR26</t>
        </is>
      </c>
      <c r="B186" s="4" t="inlineStr">
        <is>
          <t xml:space="preserve">EQUIPOS PARA REDES INFORMÁTICAS Y LICENCIAS</t>
        </is>
      </c>
      <c r="C186" s="0">
        <v>14</v>
      </c>
      <c r="D186" s="4" t="inlineStr">
        <is>
          <t xml:space="preserve">Cajas de conmutación de computadores</t>
        </is>
      </c>
      <c r="E186" s="4" t="inlineStr">
        <is>
          <t xml:space="preserve">Tecnologías de la información, telecomunicaciones y radiodifusión / Equipos informáticos y accesorios / Accesorios de computador</t>
        </is>
      </c>
      <c r="F186" s="0">
        <v>1.0</v>
      </c>
      <c r="G186" s="0" t="inlineStr">
        <is>
          <t xml:space="preserve">Unidad</t>
        </is>
      </c>
      <c r="H186" s="4" t="inlineStr">
        <is>
          <t xml:space="preserve">Equipo de protección de enlaces de red frente a ataques DDoS y amenazas avanzadas, actuando directamente en el borde de la red (edge), donde se conectan los enlaces de Internet principal y de respaldo. /Control de Acceso</t>
        </is>
      </c>
    </row>
    <row r="187">
      <c r="A187" s="0" t="inlineStr">
        <is>
          <t xml:space="preserve">2563-34-LR26</t>
        </is>
      </c>
      <c r="B187" s="4" t="inlineStr">
        <is>
          <t xml:space="preserve">EQUIPOS PARA REDES INFORMÁTICAS Y LICENCIAS</t>
        </is>
      </c>
      <c r="C187" s="0">
        <v>15</v>
      </c>
      <c r="D187" s="4" t="inlineStr">
        <is>
          <t xml:space="preserve">Cajas de conmutación de computadores</t>
        </is>
      </c>
      <c r="E187" s="4" t="inlineStr">
        <is>
          <t xml:space="preserve">Tecnologías de la información, telecomunicaciones y radiodifusión / Equipos informáticos y accesorios / Accesorios de computador</t>
        </is>
      </c>
      <c r="F187" s="0">
        <v>1.0</v>
      </c>
      <c r="G187" s="0" t="inlineStr">
        <is>
          <t xml:space="preserve">Unidad</t>
        </is>
      </c>
      <c r="H187" s="4" t="inlineStr">
        <is>
          <t xml:space="preserve">Licencia para el funcionamiento del equipo de protección de enlaces de red frente a ataques DDoS y amenazas avanzadas. /Control de Acceso</t>
        </is>
      </c>
    </row>
    <row r="188">
      <c r="A188" s="0" t="inlineStr">
        <is>
          <t xml:space="preserve">2785-78-LE26</t>
        </is>
      </c>
      <c r="B188" s="4" t="inlineStr">
        <is>
          <t xml:space="preserve">SDA 6375 SERVICIOS DE PUBLICIDAD Y DIFUSIÓN GESTIÓN MUNICIPAL EN MEDIOS DIGITALES Y PANTALLA LED</t>
        </is>
      </c>
      <c r="C188" s="0">
        <v>1</v>
      </c>
      <c r="D188" s="4" t="inlineStr">
        <is>
          <t xml:space="preserve">Campañas publicitarias</t>
        </is>
      </c>
      <c r="E188" s="4" t="inlineStr">
        <is>
          <t xml:space="preserve">Servicios editoriales, de diseño, publicidad, gráficos y artistas / Publicidad / Agencias de publicidad</t>
        </is>
      </c>
      <c r="F188" s="0">
        <v>3.0</v>
      </c>
      <c r="G188" s="0" t="inlineStr">
        <is>
          <t xml:space="preserve">Mes</t>
        </is>
      </c>
      <c r="H188" s="4" t="inlineStr">
        <is>
          <t xml:space="preserve">Ítem 2.1 Servicio de difusión y publicidad en pantallas LED, según requerimientos técnicos indicados en Bases Administrativas y Técnicas de la Licitación. Ingresar oferta con valor neto mensual.</t>
        </is>
      </c>
    </row>
    <row r="189">
      <c r="A189" s="0" t="inlineStr">
        <is>
          <t xml:space="preserve">2785-78-LE26</t>
        </is>
      </c>
      <c r="B189" s="4" t="inlineStr">
        <is>
          <t xml:space="preserve">SDA 6375 SERVICIOS DE PUBLICIDAD Y DIFUSIÓN GESTIÓN MUNICIPAL EN MEDIOS DIGITALES Y PANTALLA LED</t>
        </is>
      </c>
      <c r="C189" s="0">
        <v>2</v>
      </c>
      <c r="D189" s="4" t="inlineStr">
        <is>
          <t xml:space="preserve">Publicidad en Internet</t>
        </is>
      </c>
      <c r="E189" s="4" t="inlineStr">
        <is>
          <t xml:space="preserve">Servicios editoriales, de diseño, publicidad, gráficos y artistas / Publicidad / Publicidad en medios no impresos</t>
        </is>
      </c>
      <c r="F189" s="0">
        <v>2.0</v>
      </c>
      <c r="G189" s="0" t="inlineStr">
        <is>
          <t xml:space="preserve">Mes</t>
        </is>
      </c>
      <c r="H189"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190">
      <c r="A190" s="0" t="inlineStr">
        <is>
          <t xml:space="preserve">598-20-LE26</t>
        </is>
      </c>
      <c r="B190" s="4" t="inlineStr">
        <is>
          <t xml:space="preserve">Adquisición Licencias de Software para DIPRECA</t>
        </is>
      </c>
      <c r="C190" s="0">
        <v>1</v>
      </c>
      <c r="D190" s="4" t="inlineStr">
        <is>
          <t xml:space="preserve">Software de gestión de licencias</t>
        </is>
      </c>
      <c r="E190" s="4" t="inlineStr">
        <is>
          <t xml:space="preserve">Tecnologías de la información, telecomunicaciones y radiodifusión / Software / Software de gestión</t>
        </is>
      </c>
      <c r="F190" s="0">
        <v>1.0</v>
      </c>
      <c r="G190" s="0" t="inlineStr">
        <is>
          <t xml:space="preserve">Unidad</t>
        </is>
      </c>
      <c r="H190" s="4" t="inlineStr">
        <is>
          <t xml:space="preserve">Licencia Cloudflare Business por un periodo de 36 meses.</t>
        </is>
      </c>
    </row>
    <row r="191">
      <c r="A191" s="0" t="inlineStr">
        <is>
          <t xml:space="preserve">598-20-LE26</t>
        </is>
      </c>
      <c r="B191" s="4" t="inlineStr">
        <is>
          <t xml:space="preserve">Adquisición Licencias de Software para DIPRECA</t>
        </is>
      </c>
      <c r="C191" s="0">
        <v>2</v>
      </c>
      <c r="D191" s="4" t="inlineStr">
        <is>
          <t xml:space="preserve">Software de gestión de licencias</t>
        </is>
      </c>
      <c r="E191" s="4" t="inlineStr">
        <is>
          <t xml:space="preserve">Tecnologías de la información, telecomunicaciones y radiodifusión / Software / Software de gestión</t>
        </is>
      </c>
      <c r="F191" s="0">
        <v>3.0</v>
      </c>
      <c r="G191" s="0" t="inlineStr">
        <is>
          <t xml:space="preserve">Unidad</t>
        </is>
      </c>
      <c r="H191" s="4" t="inlineStr">
        <is>
          <t xml:space="preserve">Licencia Crowdsec por un periodo de 36 meses.</t>
        </is>
      </c>
    </row>
    <row r="192">
      <c r="A192" s="0" t="inlineStr">
        <is>
          <t xml:space="preserve">598-20-LE26</t>
        </is>
      </c>
      <c r="B192" s="4" t="inlineStr">
        <is>
          <t xml:space="preserve">Adquisición Licencias de Software para DIPRECA</t>
        </is>
      </c>
      <c r="C192" s="0">
        <v>3</v>
      </c>
      <c r="D192" s="4" t="inlineStr">
        <is>
          <t xml:space="preserve">Software de gestión de licencias</t>
        </is>
      </c>
      <c r="E192" s="4" t="inlineStr">
        <is>
          <t xml:space="preserve">Tecnologías de la información, telecomunicaciones y radiodifusión / Software / Software de gestión</t>
        </is>
      </c>
      <c r="F192" s="0">
        <v>4.0</v>
      </c>
      <c r="G192" s="0" t="inlineStr">
        <is>
          <t xml:space="preserve">Unidad</t>
        </is>
      </c>
      <c r="H192" s="4" t="inlineStr">
        <is>
          <t xml:space="preserve">Licencias Intellij Software (pack completo de 11 IDE, según detalle adjunto) por un periodo de 36 meses.</t>
        </is>
      </c>
    </row>
    <row r="193">
      <c r="A193" s="0" t="inlineStr">
        <is>
          <t xml:space="preserve">598-20-LE26</t>
        </is>
      </c>
      <c r="B193" s="4" t="inlineStr">
        <is>
          <t xml:space="preserve">Adquisición Licencias de Software para DIPRECA</t>
        </is>
      </c>
      <c r="C193" s="0">
        <v>4</v>
      </c>
      <c r="D193" s="4" t="inlineStr">
        <is>
          <t xml:space="preserve">Software de gestión de licencias</t>
        </is>
      </c>
      <c r="E193" s="4" t="inlineStr">
        <is>
          <t xml:space="preserve">Tecnologías de la información, telecomunicaciones y radiodifusión / Software / Software de gestión</t>
        </is>
      </c>
      <c r="F193" s="0">
        <v>2.0</v>
      </c>
      <c r="G193" s="0" t="inlineStr">
        <is>
          <t xml:space="preserve">Unidad</t>
        </is>
      </c>
      <c r="H193" s="4" t="inlineStr">
        <is>
          <t xml:space="preserve">Licencia trae IA, entorno de desarrollo integrado Ultra por un periodo de 36 meses.</t>
        </is>
      </c>
    </row>
    <row r="194">
      <c r="A194" s="0" t="inlineStr">
        <is>
          <t xml:space="preserve">85-41-LE26</t>
        </is>
      </c>
      <c r="B194" s="4" t="inlineStr">
        <is>
          <t xml:space="preserve">PLATAFORMA INTEGRAL SOPORTE TI CON CONTROL REMOTO</t>
        </is>
      </c>
      <c r="C194" s="0">
        <v>1</v>
      </c>
      <c r="D194" s="4" t="inlineStr">
        <is>
          <t xml:space="preserve">Software de desarrollo de plataforma Web</t>
        </is>
      </c>
      <c r="E194" s="4" t="inlineStr">
        <is>
          <t xml:space="preserve">Tecnologías de la información, telecomunicaciones y radiodifusión / Software / Programas de desarrollo</t>
        </is>
      </c>
      <c r="F194" s="0">
        <v>1.0</v>
      </c>
      <c r="G194" s="0" t="inlineStr">
        <is>
          <t xml:space="preserve">Unidad</t>
        </is>
      </c>
      <c r="H194" s="4" t="inlineStr">
        <is>
          <t xml:space="preserve">PLATAFORMA INTEGRAL PARA SOPORTE TI CON FUNCIONALIDADES DE CONTROL REMOTO DE EQUIPOS POR PARTE DEL SUBDEPARTAMENTO DE INFORMÁTICA PERTENECIENTE A JUNAEB</t>
        </is>
      </c>
    </row>
    <row r="195">
      <c r="A195" s="0" t="inlineStr">
        <is>
          <t xml:space="preserve">45-48-LE26</t>
        </is>
      </c>
      <c r="B195" s="4" t="inlineStr">
        <is>
          <t xml:space="preserve">SERVICIO DE MANTENCIÓN DE NUBES ACÚSTICAS PARA LAS DEPENDENCIAS DEL PRIMER PISO SENCE NIVEL CENTRAL</t>
        </is>
      </c>
      <c r="C195" s="0">
        <v>1</v>
      </c>
      <c r="D195" s="4" t="inlineStr">
        <is>
          <t xml:space="preserve">Servicios de control de la contaminación acústica</t>
        </is>
      </c>
      <c r="E195" s="4" t="inlineStr">
        <is>
          <t xml:space="preserve">Servicios medioambientales / Servicios de seguimiento, control o rehabilitación de agentes contaminantes / Control de la contaminación acústica</t>
        </is>
      </c>
      <c r="F195" s="0">
        <v>1.0</v>
      </c>
      <c r="G195" s="0" t="inlineStr">
        <is>
          <t xml:space="preserve">Unidad</t>
        </is>
      </c>
      <c r="H195" s="4" t="inlineStr">
        <is>
          <t xml:space="preserve">SERVICIO DE MANTENCIÓN DE NUBES ACÚSTICAS PARA LAS DEPENDENCIAS DEL PRIMER PISO SENCE NIVEL CENTRAL</t>
        </is>
      </c>
    </row>
    <row r="196">
      <c r="A196" s="0" t="inlineStr">
        <is>
          <t xml:space="preserve">1259850-4-LP26</t>
        </is>
      </c>
      <c r="B196" s="4" t="inlineStr">
        <is>
          <t xml:space="preserve">GORE COMPRA DE EQUIPOS INFORMATICOS</t>
        </is>
      </c>
      <c r="C196" s="0">
        <v>1</v>
      </c>
      <c r="D196" s="4" t="inlineStr">
        <is>
          <t xml:space="preserve">Computadores de escritorio</t>
        </is>
      </c>
      <c r="E196" s="4" t="inlineStr">
        <is>
          <t xml:space="preserve">Tecnologías de la información, telecomunicaciones y radiodifusión / Equipos informáticos y accesorios / Computadores</t>
        </is>
      </c>
      <c r="F196" s="0">
        <v>66.0</v>
      </c>
      <c r="G196" s="0" t="inlineStr">
        <is>
          <t xml:space="preserve">Unidad</t>
        </is>
      </c>
      <c r="H196" s="4" t="inlineStr">
        <is>
          <t xml:space="preserve">EQUIPOS INFORMATICOS INTEL CORE I7.
SE ADJUNTA BASES DE LICITACION.</t>
        </is>
      </c>
    </row>
    <row r="197">
      <c r="A197" s="0" t="inlineStr">
        <is>
          <t xml:space="preserve">1259850-4-LP26</t>
        </is>
      </c>
      <c r="B197" s="4" t="inlineStr">
        <is>
          <t xml:space="preserve">GORE COMPRA DE EQUIPOS INFORMATICOS</t>
        </is>
      </c>
      <c r="C197" s="0">
        <v>2</v>
      </c>
      <c r="D197" s="4" t="inlineStr">
        <is>
          <t xml:space="preserve">Impresoras multifunción o multifuncionales</t>
        </is>
      </c>
      <c r="E197" s="4" t="inlineStr">
        <is>
          <t xml:space="preserve">Tecnologías de la información, telecomunicaciones y radiodifusión / Equipos informáticos y accesorios / Impresoras</t>
        </is>
      </c>
      <c r="F197" s="0">
        <v>15.0</v>
      </c>
      <c r="G197" s="0" t="inlineStr">
        <is>
          <t xml:space="preserve">Unidad</t>
        </is>
      </c>
      <c r="H197" s="4" t="inlineStr">
        <is>
          <t xml:space="preserve">IMPRESORA MULTIFUNCIONAL.
SE ADJUNTA BASES DE LICITACION.</t>
        </is>
      </c>
    </row>
    <row r="198">
      <c r="A198" s="0" t="inlineStr">
        <is>
          <t xml:space="preserve">1259850-4-LP26</t>
        </is>
      </c>
      <c r="B198" s="4" t="inlineStr">
        <is>
          <t xml:space="preserve">GORE COMPRA DE EQUIPOS INFORMATICOS</t>
        </is>
      </c>
      <c r="C198" s="0">
        <v>3</v>
      </c>
      <c r="D198" s="4" t="inlineStr">
        <is>
          <t xml:space="preserve">Escáner</t>
        </is>
      </c>
      <c r="E198" s="4" t="inlineStr">
        <is>
          <t xml:space="preserve">Tecnologías de la información, telecomunicaciones y radiodifusión / Equipos informáticos y accesorios / Dispositivos informáticos de entrada de datos</t>
        </is>
      </c>
      <c r="F198" s="0">
        <v>4.0</v>
      </c>
      <c r="G198" s="0" t="inlineStr">
        <is>
          <t xml:space="preserve">Unidad</t>
        </is>
      </c>
      <c r="H198" s="4" t="inlineStr">
        <is>
          <t xml:space="preserve">ESCANER DE ALTO RENDIMIENTO.
SE ADJUNTA ESPECIFICACIONES TECNICAS.</t>
        </is>
      </c>
    </row>
    <row r="199">
      <c r="A199" s="0" t="inlineStr">
        <is>
          <t xml:space="preserve">1016-9-LE26</t>
        </is>
      </c>
      <c r="B199" s="4" t="inlineStr">
        <is>
          <t xml:space="preserve">Equipamiento Informático 11 Notebook Workstation</t>
        </is>
      </c>
      <c r="C199" s="0">
        <v>1</v>
      </c>
      <c r="D199" s="4" t="inlineStr">
        <is>
          <t xml:space="preserve">Notebook, laptop o computador portátil excepto Tablet PC</t>
        </is>
      </c>
      <c r="E199" s="4" t="inlineStr">
        <is>
          <t xml:space="preserve">Tecnologías de la información, telecomunicaciones y radiodifusión / Equipos informáticos y accesorios / Computadores</t>
        </is>
      </c>
      <c r="F199" s="0">
        <v>11.0</v>
      </c>
      <c r="G199" s="0" t="inlineStr">
        <is>
          <t xml:space="preserve">Unidad</t>
        </is>
      </c>
      <c r="H199" s="4" t="inlineStr">
        <is>
          <t xml:space="preserve">PORTATIL Notebook Workstation</t>
        </is>
      </c>
    </row>
    <row r="200">
      <c r="A200" s="0" t="inlineStr">
        <is>
          <t xml:space="preserve">2069-141-LR26</t>
        </is>
      </c>
      <c r="B200" s="4" t="inlineStr">
        <is>
          <t xml:space="preserve">CGM ADQ. TORRE DE ENDOSCOPIA DIGESTIVA CON IA</t>
        </is>
      </c>
      <c r="C200" s="0">
        <v>1</v>
      </c>
      <c r="D200" s="4" t="inlineStr">
        <is>
          <t xml:space="preserve">Equipo endoscópico o carritos de procedimiento o accesorios</t>
        </is>
      </c>
      <c r="E200" s="4" t="inlineStr">
        <is>
          <t xml:space="preserve">Equipamiento y suministros médicos / Productos quirúrgicos / Equipo endoscópico, accesorios y productos relacionados</t>
        </is>
      </c>
      <c r="F200" s="0">
        <v>2.0</v>
      </c>
      <c r="G200" s="0" t="inlineStr">
        <is>
          <t xml:space="preserve">Unidad</t>
        </is>
      </c>
      <c r="H200" s="4" t="inlineStr">
        <is>
          <t xml:space="preserve">TORRE DE ENDOSCOPIA DIGESTIVA CON INTELIGENCIA ARTIFICIAL</t>
        </is>
      </c>
    </row>
    <row r="201">
      <c r="A201" s="0" t="inlineStr">
        <is>
          <t xml:space="preserve">885-81-LP26</t>
        </is>
      </c>
      <c r="B201" s="4" t="inlineStr">
        <is>
          <t xml:space="preserve">Renovación de suscripciones para la plataforma de parchado virtual vRx Vicarius</t>
        </is>
      </c>
      <c r="C201" s="0">
        <v>1</v>
      </c>
      <c r="D201" s="4" t="inlineStr">
        <is>
          <t xml:space="preserve">Software de gestión de licencias</t>
        </is>
      </c>
      <c r="E201" s="4" t="inlineStr">
        <is>
          <t xml:space="preserve">Tecnologías de la información, telecomunicaciones y radiodifusión / Software / Software de gestión</t>
        </is>
      </c>
      <c r="F201" s="0">
        <v>1.0</v>
      </c>
      <c r="G201" s="0" t="inlineStr">
        <is>
          <t xml:space="preserve">Global</t>
        </is>
      </c>
      <c r="H201" s="4" t="inlineStr">
        <is>
          <t xml:space="preserve">Renovación de suscripción por 3000 activos para la plataforma de parchado virtual vRx Vicarius.</t>
        </is>
      </c>
    </row>
    <row r="202">
      <c r="A202" s="0" t="inlineStr">
        <is>
          <t xml:space="preserve">5531-4-B226</t>
        </is>
      </c>
      <c r="B202" s="4" t="inlineStr">
        <is>
          <t xml:space="preserve">Servicios de publicidad digital para el DII</t>
        </is>
      </c>
      <c r="C202" s="0">
        <v>1</v>
      </c>
      <c r="D202" s="4" t="inlineStr">
        <is>
          <t xml:space="preserve">Campañas publicitarias</t>
        </is>
      </c>
      <c r="E202" s="4" t="inlineStr">
        <is>
          <t xml:space="preserve">Servicios editoriales, de diseño, publicidad, gráficos y artistas / Publicidad / Agencias de publicidad</t>
        </is>
      </c>
      <c r="F202" s="0">
        <v>1.0</v>
      </c>
      <c r="G202" s="0" t="inlineStr">
        <is>
          <t xml:space="preserve">Unidad</t>
        </is>
      </c>
      <c r="H202" s="4" t="inlineStr">
        <is>
          <t xml:space="preserve">Servicios de publicidad digital, para el Departamento de Ingeniería Industrial</t>
        </is>
      </c>
    </row>
    <row r="203">
      <c r="A203" s="0" t="inlineStr">
        <is>
          <t xml:space="preserve">5251-70-LP26</t>
        </is>
      </c>
      <c r="B203" s="4" t="inlineStr">
        <is>
          <t xml:space="preserve">Tótems solares sustentables RED22993</t>
        </is>
      </c>
      <c r="C203" s="0">
        <v>1</v>
      </c>
      <c r="D203" s="4" t="inlineStr">
        <is>
          <t xml:space="preserve">Generadores solares</t>
        </is>
      </c>
      <c r="E203" s="4" t="inlineStr">
        <is>
          <t xml:space="preserve">Maquinaria para generación y distribución de energía / Transmisión de energía eléctrica, mecánica y cinética / Grupos electrógenos</t>
        </is>
      </c>
      <c r="F203" s="0">
        <v>18.0</v>
      </c>
      <c r="G203" s="0" t="inlineStr">
        <is>
          <t xml:space="preserve">Unidad</t>
        </is>
      </c>
      <c r="H203"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204">
      <c r="A204" s="0" t="inlineStr">
        <is>
          <t xml:space="preserve">1020-38-LP26</t>
        </is>
      </c>
      <c r="B204" s="4" t="inlineStr">
        <is>
          <t xml:space="preserve">Adquisición de Plataforma Next Generation Firewall</t>
        </is>
      </c>
      <c r="C204" s="0">
        <v>1</v>
      </c>
      <c r="D204" s="4" t="inlineStr">
        <is>
          <t xml:space="preserve">Equipo de seguridad de red de firewall</t>
        </is>
      </c>
      <c r="E204" s="4" t="inlineStr">
        <is>
          <t xml:space="preserve">Tecnologías de la información, telecomunicaciones y radiodifusión / Equipos, plataformas y accesorios de redes multimedia, voz y datos / Equipos de seguridad de red</t>
        </is>
      </c>
      <c r="F204" s="0">
        <v>2.0</v>
      </c>
      <c r="G204" s="0" t="inlineStr">
        <is>
          <t xml:space="preserve">Unidad</t>
        </is>
      </c>
      <c r="H204" s="4" t="inlineStr">
        <is>
          <t xml:space="preserve">Equipos.</t>
        </is>
      </c>
    </row>
    <row r="205">
      <c r="A205" s="0" t="inlineStr">
        <is>
          <t xml:space="preserve">1020-38-LP26</t>
        </is>
      </c>
      <c r="B205" s="4" t="inlineStr">
        <is>
          <t xml:space="preserve">Adquisición de Plataforma Next Generation Firewall</t>
        </is>
      </c>
      <c r="C205" s="0">
        <v>2</v>
      </c>
      <c r="D205" s="4" t="inlineStr">
        <is>
          <t xml:space="preserve">Software de vigilancia de redes</t>
        </is>
      </c>
      <c r="E205" s="4" t="inlineStr">
        <is>
          <t xml:space="preserve">Tecnologías de la información, telecomunicaciones y radiodifusión / Software / Software de administración de redes</t>
        </is>
      </c>
      <c r="F205" s="0">
        <v>1.0</v>
      </c>
      <c r="G205" s="0" t="inlineStr">
        <is>
          <t xml:space="preserve">Unidad</t>
        </is>
      </c>
      <c r="H205" s="4" t="inlineStr">
        <is>
          <t xml:space="preserve">Licenciamiento de software para la Plataforma Next Generation Firewall (NGFW)</t>
        </is>
      </c>
    </row>
    <row r="206">
      <c r="A206" s="0" t="inlineStr">
        <is>
          <t xml:space="preserve">1562-49-LR26</t>
        </is>
      </c>
      <c r="B206" s="4" t="inlineStr">
        <is>
          <t xml:space="preserve">Sistema de monitoreo integral de ciberseguridad</t>
        </is>
      </c>
      <c r="C206" s="0">
        <v>1</v>
      </c>
      <c r="D206" s="4" t="inlineStr">
        <is>
          <t xml:space="preserve">Equipo de seguridad de evaluación de vulnerabilidad</t>
        </is>
      </c>
      <c r="E206" s="4" t="inlineStr">
        <is>
          <t xml:space="preserve">Tecnologías de la información, telecomunicaciones y radiodifusión / Equipos, plataformas y accesorios de redes multimedia, voz y datos / Equipos de seguridad de red</t>
        </is>
      </c>
      <c r="F206" s="0">
        <v>1.0</v>
      </c>
      <c r="G206" s="0" t="inlineStr">
        <is>
          <t xml:space="preserve">Unidad</t>
        </is>
      </c>
      <c r="H206"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207">
      <c r="A207" s="0" t="inlineStr">
        <is>
          <t xml:space="preserve">586-52-LP26</t>
        </is>
      </c>
      <c r="B207" s="4" t="inlineStr">
        <is>
          <t xml:space="preserve">Adquisición de licencias de software Redhat</t>
        </is>
      </c>
      <c r="C207" s="0">
        <v>1</v>
      </c>
      <c r="D207" s="4" t="inlineStr">
        <is>
          <t xml:space="preserve">Software de gestión de licencias</t>
        </is>
      </c>
      <c r="E207" s="4" t="inlineStr">
        <is>
          <t xml:space="preserve">Tecnologías de la información, telecomunicaciones y radiodifusión / Software / Software de gestión</t>
        </is>
      </c>
      <c r="F207" s="0">
        <v>1.0</v>
      </c>
      <c r="G207" s="0" t="inlineStr">
        <is>
          <t xml:space="preserve">Unidad</t>
        </is>
      </c>
      <c r="H207" s="4" t="inlineStr">
        <is>
          <t xml:space="preserve">Adquisición de suscripciones de licencias de software Redhat, conforme a bases de licitación</t>
        </is>
      </c>
    </row>
    <row r="208">
      <c r="A208" s="0" t="inlineStr">
        <is>
          <t xml:space="preserve">3084-31-LE26</t>
        </is>
      </c>
      <c r="B208" s="4" t="inlineStr">
        <is>
          <t xml:space="preserve">SERVICIO REPARACIÓN DE OFICINAS PARA LA DIRECCIÓN DE TELECOMUNICACIONES E INFORMÁTICA DE LA ARMADA.</t>
        </is>
      </c>
      <c r="C208" s="0">
        <v>1</v>
      </c>
      <c r="D208" s="4" t="inlineStr">
        <is>
          <t xml:space="preserve">Mano de obra temporal</t>
        </is>
      </c>
      <c r="E208" s="4" t="inlineStr">
        <is>
          <t xml:space="preserve">Servicios profesionales, administrativos y consultorías de gestión empresarial / Servicios de recursos humanos / Servicios de personal temporal</t>
        </is>
      </c>
      <c r="F208" s="0">
        <v>1.0</v>
      </c>
      <c r="G208" s="0" t="inlineStr">
        <is>
          <t xml:space="preserve">Unidad</t>
        </is>
      </c>
      <c r="H208" s="4" t="inlineStr">
        <is>
          <t xml:space="preserve">Contratación del Servicio de Reparación de Oficinas, de acuerdo a Especificaciones Técnicas.</t>
        </is>
      </c>
    </row>
    <row r="209">
      <c r="A209" s="0" t="inlineStr">
        <is>
          <t xml:space="preserve">5413-71-LE26</t>
        </is>
      </c>
      <c r="B209" s="4" t="inlineStr">
        <is>
          <t xml:space="preserve">SERVICIO DE PLATAFORMA DE LIBROS CONTABLES Y AUXILIARES ELECTRÓNICOS Y DOCUMENTOS TRIBUTARIOS ELECTRÓNICOS DTE PARA LA UNIVERSIDAD DE LOS LAGOS</t>
        </is>
      </c>
      <c r="C209" s="0">
        <v>1</v>
      </c>
      <c r="D209" s="4" t="inlineStr">
        <is>
          <t xml:space="preserve">Mantenimiento y soporte de sistemas propietarios</t>
        </is>
      </c>
      <c r="E209" s="4" t="inlineStr">
        <is>
          <t xml:space="preserve">Servicios basados en ingeniería, ciencias sociales y tecnología de la información / Servicios informáticos / Administración de sistemas</t>
        </is>
      </c>
      <c r="F209" s="0">
        <v>36.0</v>
      </c>
      <c r="G209" s="0" t="inlineStr">
        <is>
          <t xml:space="preserve">Mes</t>
        </is>
      </c>
      <c r="H209" s="4" t="inlineStr">
        <is>
          <t xml:space="preserve">SERVICIOS DE EMISIÓN Y RECEPCIÓN DE DOCUMENTOS TRIBUTARIOS ELECTRÓNICO.</t>
        </is>
      </c>
    </row>
    <row r="210">
      <c r="A210" s="0" t="inlineStr">
        <is>
          <t xml:space="preserve">5413-71-LE26</t>
        </is>
      </c>
      <c r="B210" s="4" t="inlineStr">
        <is>
          <t xml:space="preserve">SERVICIO DE PLATAFORMA DE LIBROS CONTABLES Y AUXILIARES ELECTRÓNICOS Y DOCUMENTOS TRIBUTARIOS ELECTRÓNICOS DTE PARA LA UNIVERSIDAD DE LOS LAGOS</t>
        </is>
      </c>
      <c r="C210" s="0">
        <v>2</v>
      </c>
      <c r="D210" s="4" t="inlineStr">
        <is>
          <t xml:space="preserve">Desarrolladores de software</t>
        </is>
      </c>
      <c r="E210" s="4" t="inlineStr">
        <is>
          <t xml:space="preserve">Servicios profesionales, administrativos y consultorías de gestión empresarial / Servicios de recursos humanos / Contratación de personal</t>
        </is>
      </c>
      <c r="F210" s="0">
        <v>36.0</v>
      </c>
      <c r="G210" s="0" t="inlineStr">
        <is>
          <t xml:space="preserve">Mes</t>
        </is>
      </c>
      <c r="H210" s="4" t="inlineStr">
        <is>
          <t xml:space="preserve">SERVICIO DE PLATAFORMA DE LIBROS CONTABLES ELECTRÓNICOS.</t>
        </is>
      </c>
    </row>
    <row r="211">
      <c r="A211" s="0" t="inlineStr">
        <is>
          <t xml:space="preserve">5413-71-LE26</t>
        </is>
      </c>
      <c r="B211" s="4" t="inlineStr">
        <is>
          <t xml:space="preserve">SERVICIO DE PLATAFORMA DE LIBROS CONTABLES Y AUXILIARES ELECTRÓNICOS Y DOCUMENTOS TRIBUTARIOS ELECTRÓNICOS DTE PARA LA UNIVERSIDAD DE LOS LAGOS</t>
        </is>
      </c>
      <c r="C211" s="0">
        <v>3</v>
      </c>
      <c r="D211" s="4" t="inlineStr">
        <is>
          <t xml:space="preserve">Desarrolladores de software</t>
        </is>
      </c>
      <c r="E211" s="4" t="inlineStr">
        <is>
          <t xml:space="preserve">Servicios profesionales, administrativos y consultorías de gestión empresarial / Servicios de recursos humanos / Contratación de personal</t>
        </is>
      </c>
      <c r="F211" s="0">
        <v>36.0</v>
      </c>
      <c r="G211" s="0" t="inlineStr">
        <is>
          <t xml:space="preserve">Mes</t>
        </is>
      </c>
      <c r="H211" s="4" t="inlineStr">
        <is>
          <t xml:space="preserve">SERVICIO DE PLATAFORMA DE LIBROS AUXILIARES ELECTRÓNICOS.</t>
        </is>
      </c>
    </row>
    <row r="212">
      <c r="A212" s="0" t="inlineStr">
        <is>
          <t xml:space="preserve">837-101-LP26</t>
        </is>
      </c>
      <c r="B212" s="4" t="inlineStr">
        <is>
          <t xml:space="preserve">CDP 477 SERVICIO DE OPERACIÓN SISTEMA DE CONTROL CENTRALIZADO BMS Y SISTEMA DE TELEVIGILANCIA SOFTWARE HIKCENTRAL PROFESSIONAL DE EDIFICIO INSTITUCIONAL SML SANTIAGO</t>
        </is>
      </c>
      <c r="C212" s="0">
        <v>1</v>
      </c>
      <c r="D212" s="4" t="inlineStr">
        <is>
          <t xml:space="preserve">Software de administración</t>
        </is>
      </c>
      <c r="E212" s="4" t="inlineStr">
        <is>
          <t xml:space="preserve">Tecnologías de la información, telecomunicaciones y radiodifusión / Software / Software de administración de redes</t>
        </is>
      </c>
      <c r="F212" s="0">
        <v>12.0</v>
      </c>
      <c r="G212" s="0" t="inlineStr">
        <is>
          <t xml:space="preserve">Mes</t>
        </is>
      </c>
      <c r="H212" s="4" t="inlineStr">
        <is>
          <t xml:space="preserve">SERVICIO DE OPERACIÓN PARA EL SISTEMA DE CONTROL CENTRALIZADO (BMS) SOFTWARE ENTELIWEB</t>
        </is>
      </c>
    </row>
    <row r="213">
      <c r="A213" s="0" t="inlineStr">
        <is>
          <t xml:space="preserve">837-101-LP26</t>
        </is>
      </c>
      <c r="B213" s="4" t="inlineStr">
        <is>
          <t xml:space="preserve">CDP 477 SERVICIO DE OPERACIÓN SISTEMA DE CONTROL CENTRALIZADO BMS Y SISTEMA DE TELEVIGILANCIA SOFTWARE HIKCENTRAL PROFESSIONAL DE EDIFICIO INSTITUCIONAL SML SANTIAGO</t>
        </is>
      </c>
      <c r="C213" s="0">
        <v>2</v>
      </c>
      <c r="D213" s="4" t="inlineStr">
        <is>
          <t xml:space="preserve">Sistemas de control de acceso o de seguridad</t>
        </is>
      </c>
      <c r="E213" s="4" t="inlineStr">
        <is>
          <t xml:space="preserve">Equipos y suministros de defensa, orden público, protección y seguridad / Seguridad, vigilancia y detección / Equipo de vigilancia y detección</t>
        </is>
      </c>
      <c r="F213" s="0">
        <v>12.0</v>
      </c>
      <c r="G213" s="0" t="inlineStr">
        <is>
          <t xml:space="preserve">Mes</t>
        </is>
      </c>
      <c r="H213" s="4" t="inlineStr">
        <is>
          <t xml:space="preserve">SERVICIO DE OPERACIÓN PARA EL SISTEMA DE TELEVIGILANCIA SOFTWARE HIKCENTRAL PROFESSIONAL</t>
        </is>
      </c>
    </row>
    <row r="214">
      <c r="A214" s="0" t="inlineStr">
        <is>
          <t xml:space="preserve">4778-14-LP26</t>
        </is>
      </c>
      <c r="B214" s="4" t="inlineStr">
        <is>
          <t xml:space="preserve">SERV. ADMINISTRADO CONTACT CENTER OMNICANAL CON IA</t>
        </is>
      </c>
      <c r="C214" s="0">
        <v>1</v>
      </c>
      <c r="D214" s="4" t="inlineStr">
        <is>
          <t xml:space="preserve">Software para centrales de comunicación digital</t>
        </is>
      </c>
      <c r="E214" s="4" t="inlineStr">
        <is>
          <t xml:space="preserve">Tecnologías de la información, telecomunicaciones y radiodifusión / Software / Software para trabajo en redes</t>
        </is>
      </c>
      <c r="F214" s="0">
        <v>24.0</v>
      </c>
      <c r="G214" s="0" t="inlineStr">
        <is>
          <t xml:space="preserve">Unidad</t>
        </is>
      </c>
      <c r="H214" s="4" t="inlineStr">
        <is>
          <t xml:space="preserve">Servicio Administrado de Contact Center Omnicanal con IA</t>
        </is>
      </c>
    </row>
    <row r="215">
      <c r="A215" s="0" t="inlineStr">
        <is>
          <t xml:space="preserve">885-83-LE26</t>
        </is>
      </c>
      <c r="B215" s="4" t="inlineStr">
        <is>
          <t xml:space="preserve">Servicios de soporte y mantenimiento de la plataforma de seguridad F5 de la Contraloría General de la República</t>
        </is>
      </c>
      <c r="C215" s="0">
        <v>1</v>
      </c>
      <c r="D215" s="4" t="inlineStr">
        <is>
          <t xml:space="preserve">Equipo de seguridad de red de firewall</t>
        </is>
      </c>
      <c r="E215" s="4" t="inlineStr">
        <is>
          <t xml:space="preserve">Tecnologías de la información, telecomunicaciones y radiodifusión / Equipos, plataformas y accesorios de redes multimedia, voz y datos / Equipos de seguridad de red</t>
        </is>
      </c>
      <c r="F215" s="0">
        <v>1.0</v>
      </c>
      <c r="G215" s="0" t="inlineStr">
        <is>
          <t xml:space="preserve">Unidad</t>
        </is>
      </c>
      <c r="H215" s="4" t="inlineStr">
        <is>
          <t xml:space="preserve">Servicios de soporte y mantenimiento de su plataforma de seguridad, correspondiente a Balanceador de carga y cortafuego de aplicaciones F5, para zona productiva por un periodo de 12 meses</t>
        </is>
      </c>
    </row>
    <row r="216">
      <c r="A216" s="0" t="inlineStr">
        <is>
          <t xml:space="preserve">1725-197-LP26</t>
        </is>
      </c>
      <c r="B216" s="4" t="inlineStr">
        <is>
          <t xml:space="preserve">INFRAESTRUC.TECNOLÓGICA PLATAFORMA FONDOS CONCURSA</t>
        </is>
      </c>
      <c r="C216" s="0">
        <v>1</v>
      </c>
      <c r="D216" s="4" t="inlineStr">
        <is>
          <t xml:space="preserve">Software de desarrollo de plataforma Web</t>
        </is>
      </c>
      <c r="E216" s="4" t="inlineStr">
        <is>
          <t xml:space="preserve">Tecnologías de la información, telecomunicaciones y radiodifusión / Software / Programas de desarrollo</t>
        </is>
      </c>
      <c r="F216" s="0">
        <v>1.0</v>
      </c>
      <c r="G216" s="0" t="inlineStr">
        <is>
          <t xml:space="preserve">Unidad</t>
        </is>
      </c>
      <c r="H216" s="4" t="inlineStr">
        <is>
          <t xml:space="preserve">SERVICIOS DE IMPLEMENTACIÓN Y EXPLOTACIÓN DE INFRAESTRUCTURA TECNOLÓGICA PARA LA PLATAFORMA DE FONDOS CONCURSABLES DE LA SUBSECRETARÍA DE LAS CULTURAS Y LAS ARTES</t>
        </is>
      </c>
    </row>
    <row r="217">
      <c r="A217" s="0" t="inlineStr">
        <is>
          <t xml:space="preserve">2200-23-LR26</t>
        </is>
      </c>
      <c r="B217" s="4" t="inlineStr">
        <is>
          <t xml:space="preserve">SERVICIO DE ARRIENDO DE SOFTWARE DE REGISTRO CLÍNICO ELECTRÓNICO RCE ATENCIÓN PRIMARIA - TIC</t>
        </is>
      </c>
      <c r="C217" s="0">
        <v>1</v>
      </c>
      <c r="D217" s="4" t="inlineStr">
        <is>
          <t xml:space="preserve">Desarrolladores de software</t>
        </is>
      </c>
      <c r="E217" s="4" t="inlineStr">
        <is>
          <t xml:space="preserve">Servicios profesionales, administrativos y consultorías de gestión empresarial / Servicios de recursos humanos / Contratación de personal</t>
        </is>
      </c>
      <c r="F217" s="0">
        <v>1700.0</v>
      </c>
      <c r="G217" s="0" t="inlineStr">
        <is>
          <t xml:space="preserve">Unidad</t>
        </is>
      </c>
      <c r="H217" s="4" t="inlineStr">
        <is>
          <t xml:space="preserve">SERVICIO DE ARRIENDO DE SOFTWARE DE REGISTRO CLÍNICO ELECTRÓNICO (RCE) ATENCIÓN PRIMARIA - TIC, SE ADJUNTA ESPECIFICACIONES TÉCNICAS, ANEXOS</t>
        </is>
      </c>
    </row>
    <row r="218">
      <c r="A218" s="0" t="inlineStr">
        <is>
          <t xml:space="preserve">85-34-LP26</t>
        </is>
      </c>
      <c r="B218" s="4" t="inlineStr">
        <is>
          <t xml:space="preserve">PLATAFORMA GESTIÓN Y CONTROL SEGURIDAD INFORMACIÓN</t>
        </is>
      </c>
      <c r="C218" s="0">
        <v>1</v>
      </c>
      <c r="D218" s="4" t="inlineStr">
        <is>
          <t xml:space="preserve">Equipo de seguridad de evaluación de vulnerabilidad</t>
        </is>
      </c>
      <c r="E218" s="4" t="inlineStr">
        <is>
          <t xml:space="preserve">Tecnologías de la información, telecomunicaciones y radiodifusión / Equipos, plataformas y accesorios de redes multimedia, voz y datos / Equipos de seguridad de red</t>
        </is>
      </c>
      <c r="F218" s="0">
        <v>1.0</v>
      </c>
      <c r="G218" s="0" t="inlineStr">
        <is>
          <t xml:space="preserve">Unidad</t>
        </is>
      </c>
      <c r="H218" s="4" t="inlineStr">
        <is>
          <t xml:space="preserve">Adquisición e implementación de plataforma tecnológica para la gestión y control de la seguridad de la información y continuidad operativa.</t>
        </is>
      </c>
    </row>
    <row r="219">
      <c r="A219" s="0" t="inlineStr">
        <is>
          <t xml:space="preserve">732434-20-LP26</t>
        </is>
      </c>
      <c r="B219" s="4" t="inlineStr">
        <is>
          <t xml:space="preserve">SERVICIO INFORMÁTICO PARA EL CENTRO DE SANGRE CONC</t>
        </is>
      </c>
      <c r="C219" s="0">
        <v>1</v>
      </c>
      <c r="D219" s="4" t="inlineStr">
        <is>
          <t xml:space="preserve">Diseño de aplicaciones para mainframe</t>
        </is>
      </c>
      <c r="E219" s="4" t="inlineStr">
        <is>
          <t xml:space="preserve">Servicios basados en ingeniería, ciencias sociales y tecnología de la información / Servicios informáticos / Ingeniería en computación e informática</t>
        </is>
      </c>
      <c r="F219" s="0">
        <v>1.0</v>
      </c>
      <c r="G219" s="0" t="inlineStr">
        <is>
          <t xml:space="preserve">Unidad</t>
        </is>
      </c>
      <c r="H219" s="4" t="inlineStr">
        <is>
          <t xml:space="preserve">Servicio informático para el Centro de Sangre de Concepción por 36 meses, contemplando todo lo solicitado en las EETT.
Ingresar monto total neto. Se evaluará en relación al Formulario N° 4.</t>
        </is>
      </c>
    </row>
    <row r="220">
      <c r="A220" s="0" t="inlineStr">
        <is>
          <t xml:space="preserve">1973-93-LR26</t>
        </is>
      </c>
      <c r="B220" s="4" t="inlineStr">
        <is>
          <t xml:space="preserve">SISTEMA DE INFORMACIÓN DE GESTIÓN ADMINISTRATIVA Y FARMACIA</t>
        </is>
      </c>
      <c r="C220" s="0">
        <v>1</v>
      </c>
      <c r="D220" s="4" t="inlineStr">
        <is>
          <t xml:space="preserve">Software de planificación de recursos empresariales (ERP)</t>
        </is>
      </c>
      <c r="E220" s="4" t="inlineStr">
        <is>
          <t xml:space="preserve">Tecnologías de la información, telecomunicaciones y radiodifusión / Software / Software de planificación de recursos empresariales (ERP) y contabilidad financiera</t>
        </is>
      </c>
      <c r="F220" s="0">
        <v>1.0</v>
      </c>
      <c r="G220" s="0" t="inlineStr">
        <is>
          <t xml:space="preserve">Global</t>
        </is>
      </c>
      <c r="H220" s="4" t="inlineStr">
        <is>
          <t xml:space="preserve">TOTAL PROYECTO (Parametrización, implementación y puesta en marcha  / Arriendo, operación, soporte y mantenimiento por el período de 60 meses)</t>
        </is>
      </c>
    </row>
    <row r="221">
      <c r="A221" s="0" t="inlineStr">
        <is>
          <t xml:space="preserve">2048-57-LP26</t>
        </is>
      </c>
      <c r="B221" s="4" t="inlineStr">
        <is>
          <t xml:space="preserve">Convenio de Software de Gestión de Mantenimiento</t>
        </is>
      </c>
      <c r="C221" s="0">
        <v>1</v>
      </c>
      <c r="D221" s="4" t="inlineStr">
        <is>
          <t xml:space="preserve">Software de administración</t>
        </is>
      </c>
      <c r="E221" s="4" t="inlineStr">
        <is>
          <t xml:space="preserve">Tecnologías de la información, telecomunicaciones y radiodifusión / Software / Software de administración de redes</t>
        </is>
      </c>
      <c r="F221" s="0">
        <v>1.0</v>
      </c>
      <c r="G221" s="0" t="inlineStr">
        <is>
          <t xml:space="preserve">Unidad no definida</t>
        </is>
      </c>
      <c r="H221" s="4" t="inlineStr">
        <is>
          <t xml:space="preserve">SOFTWARE DE GESTION DE MANTENIMIENTO (INGRESAR PRECIO TOTAL DEL CONVENIO, SEGUN ANEXO ECONOMICO N°1)</t>
        </is>
      </c>
    </row>
    <row r="222">
      <c r="A222" s="0" t="inlineStr">
        <is>
          <t xml:space="preserve">2239-2-LR26</t>
        </is>
      </c>
      <c r="B222" s="4" t="inlineStr">
        <is>
          <t xml:space="preserve">Convenio Marco Desarrollo de software</t>
        </is>
      </c>
      <c r="C222" s="0">
        <v>1</v>
      </c>
      <c r="D222" s="4" t="inlineStr">
        <is>
          <t xml:space="preserve">Desarrolladores de software</t>
        </is>
      </c>
      <c r="E222" s="4" t="inlineStr">
        <is>
          <t xml:space="preserve">Servicios profesionales, administrativos y consultorías de gestión empresarial / Servicios de recursos humanos / Contratación de personal</t>
        </is>
      </c>
      <c r="F222" s="0">
        <v>1.0</v>
      </c>
      <c r="G222" s="0" t="inlineStr">
        <is>
          <t xml:space="preserve">Unidad</t>
        </is>
      </c>
      <c r="H222" s="4" t="inlineStr">
        <is>
          <t xml:space="preserve">Convenio Marco para la adquisición de los Servicios de Desarrollo y Mantención de Software, Servicios Profesionales TI y Cloud Computing</t>
        </is>
      </c>
    </row>
    <row r="223">
      <c r="A223" s="0" t="inlineStr">
        <is>
          <t xml:space="preserve">1607-13-LR26</t>
        </is>
      </c>
      <c r="B223" s="4" t="inlineStr">
        <is>
          <t xml:space="preserve">servicio SD-WAN LAN telefonía en la nube y enlaces</t>
        </is>
      </c>
      <c r="C223" s="0">
        <v>1</v>
      </c>
      <c r="D223" s="4" t="inlineStr">
        <is>
          <t xml:space="preserve">Diseño de redes de comunicación de cobertura amplia (WAN)</t>
        </is>
      </c>
      <c r="E223" s="4" t="inlineStr">
        <is>
          <t xml:space="preserve">Servicios basados en ingeniería, ciencias sociales y tecnología de la información / Servicios informáticos / Sistemas de información</t>
        </is>
      </c>
      <c r="F223" s="0">
        <v>1.0</v>
      </c>
      <c r="G223" s="0" t="inlineStr">
        <is>
          <t xml:space="preserve">Unidad</t>
        </is>
      </c>
      <c r="H223" s="4" t="inlineStr">
        <is>
          <t xml:space="preserve">servicios SD-WAN, LAN, telefonía en la nube y enlaces internet para la Superintendencia de Seguridad Social.</t>
        </is>
      </c>
    </row>
    <row r="224">
      <c r="A224" s="0" t="inlineStr">
        <is>
          <t xml:space="preserve">4051-16-LP26</t>
        </is>
      </c>
      <c r="B224" s="4" t="inlineStr">
        <is>
          <t xml:space="preserve">SERVICIO ADMINISTRADO DE INTERNET RED DE DATOS Y</t>
        </is>
      </c>
      <c r="C224" s="0">
        <v>1</v>
      </c>
      <c r="D224" s="4" t="inlineStr">
        <is>
          <t xml:space="preserve">Proveedores de servicio de Internet (ISP)</t>
        </is>
      </c>
      <c r="E224" s="4" t="inlineStr">
        <is>
          <t xml:space="preserve">Servicios basados en ingeniería, ciencias sociales y tecnología de la información / Servicios informáticos / Servicios para internet</t>
        </is>
      </c>
      <c r="F224" s="0">
        <v>1.0</v>
      </c>
      <c r="G224" s="0" t="inlineStr">
        <is>
          <t xml:space="preserve">Unidad</t>
        </is>
      </c>
      <c r="H224"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25">
      <c r="A225" s="0" t="inlineStr">
        <is>
          <t xml:space="preserve">726931-1-LE26</t>
        </is>
      </c>
      <c r="B225" s="4" t="inlineStr">
        <is>
          <t xml:space="preserve">PLATAFORMA INTEGRAL ALUMNI Y EMPLEABILIDAD UTA</t>
        </is>
      </c>
      <c r="C225" s="0">
        <v>1</v>
      </c>
      <c r="D225" s="4" t="inlineStr">
        <is>
          <t xml:space="preserve">Software de desarrollo de plataforma Web</t>
        </is>
      </c>
      <c r="E225" s="4" t="inlineStr">
        <is>
          <t xml:space="preserve">Tecnologías de la información, telecomunicaciones y radiodifusión / Software / Programas de desarrollo</t>
        </is>
      </c>
      <c r="F225" s="0">
        <v>1.0</v>
      </c>
      <c r="G225" s="0" t="inlineStr">
        <is>
          <t xml:space="preserve">Global</t>
        </is>
      </c>
      <c r="H225" s="4" t="inlineStr">
        <is>
          <t xml:space="preserve">Adquisición de servicio de plataforma integral ALUMNI y empleabilidad para estudiantes, egresados y titulados de la Universidad de Tarapacá, por un periodo de 24 meses de duración.</t>
        </is>
      </c>
    </row>
    <row r="226">
      <c r="A226" s="0" t="inlineStr">
        <is>
          <t xml:space="preserve">1274285-45-LP26</t>
        </is>
      </c>
      <c r="B226" s="4" t="inlineStr">
        <is>
          <t xml:space="preserve">Software de gestión Droguería Comunal</t>
        </is>
      </c>
      <c r="C226" s="0">
        <v>1</v>
      </c>
      <c r="D226" s="4" t="inlineStr">
        <is>
          <t xml:space="preserve">Software de cadena de suministro y logística de planificación de requisitos de materiales</t>
        </is>
      </c>
      <c r="E226" s="4" t="inlineStr">
        <is>
          <t xml:space="preserve">Tecnologías de la información, telecomunicaciones y radiodifusión / Software / Software de gestión</t>
        </is>
      </c>
      <c r="F226" s="0">
        <v>1.0</v>
      </c>
      <c r="G226" s="0" t="inlineStr">
        <is>
          <t xml:space="preserve">Unidad</t>
        </is>
      </c>
      <c r="H226" s="4" t="inlineStr">
        <is>
          <t xml:space="preserve">Software de cadena de suministro para droguería comunal y centros de salud de la corporación municipal de salud de San Bernardo, para las siguientes áreas: recepción, Almacenamiento, Despacho, Inventario y Reportes de gestión</t>
        </is>
      </c>
    </row>
    <row r="227">
      <c r="A227" s="0" t="inlineStr">
        <is>
          <t xml:space="preserve">548874-72-LR26</t>
        </is>
      </c>
      <c r="B227" s="4" t="inlineStr">
        <is>
          <t xml:space="preserve">SERV. DE ADMINISTRACION PLATAFORMAS TECNOLOGICAS</t>
        </is>
      </c>
      <c r="C227" s="0">
        <v>1</v>
      </c>
      <c r="D227" s="4" t="inlineStr">
        <is>
          <t xml:space="preserve">Software del sistema de administración de bases de datos</t>
        </is>
      </c>
      <c r="E227" s="4" t="inlineStr">
        <is>
          <t xml:space="preserve">Tecnologías de la información, telecomunicaciones y radiodifusión / Software / Software de consultas y gestión de datos</t>
        </is>
      </c>
      <c r="F227" s="0">
        <v>1.0</v>
      </c>
      <c r="G227" s="0" t="inlineStr">
        <is>
          <t xml:space="preserve">Global</t>
        </is>
      </c>
      <c r="H227" s="4" t="inlineStr">
        <is>
          <t xml:space="preserve">SERVICIO DE
ADMINISTRACION,
GESTION,
CONFIGURACION,
RESPALDOS Y
MANTENCION DE LAS
PLATAFORMAS
TECNOLOGICAS DE
IPS</t>
        </is>
      </c>
    </row>
    <row r="228">
      <c r="A228" s="0" t="inlineStr">
        <is>
          <t xml:space="preserve">4295-67-LP26</t>
        </is>
      </c>
      <c r="B228" s="4" t="inlineStr">
        <is>
          <t xml:space="preserve">Servicio de enlace de datos voz IP y CCTV para oficinas remotas</t>
        </is>
      </c>
      <c r="C228" s="0">
        <v>1</v>
      </c>
      <c r="D228" s="4" t="inlineStr">
        <is>
          <t xml:space="preserve">Servicio de redes para mejorar la señal de telecomunicaciones</t>
        </is>
      </c>
      <c r="E228" s="4" t="inlineStr">
        <is>
          <t xml:space="preserve">Servicios básicos y de información pública / Telecomunicaciones / Comunicaciones móviles</t>
        </is>
      </c>
      <c r="F228" s="0">
        <v>1.0</v>
      </c>
      <c r="G228" s="0" t="inlineStr">
        <is>
          <t xml:space="preserve">Unidad</t>
        </is>
      </c>
      <c r="H228" s="4" t="inlineStr">
        <is>
          <t xml:space="preserve">De acuerdo a especificaciones técnicas</t>
        </is>
      </c>
    </row>
    <row r="229">
      <c r="A229" s="0" t="inlineStr">
        <is>
          <t xml:space="preserve">548874-74-LR26</t>
        </is>
      </c>
      <c r="B229" s="4" t="inlineStr">
        <is>
          <t xml:space="preserve">SERV DE PLATAFORMA SIEM NUEVA GENERACIÓN SAAS IPS</t>
        </is>
      </c>
      <c r="C229" s="0">
        <v>1</v>
      </c>
      <c r="D229" s="4" t="inlineStr">
        <is>
          <t xml:space="preserve">Software de protección antivirus y de seguridad de transacciones</t>
        </is>
      </c>
      <c r="E229" s="4" t="inlineStr">
        <is>
          <t xml:space="preserve">Tecnologías de la información, telecomunicaciones y radiodifusión / Software / Software de seguridad y protección</t>
        </is>
      </c>
      <c r="F229" s="0">
        <v>1.0</v>
      </c>
      <c r="G229" s="0" t="inlineStr">
        <is>
          <t xml:space="preserve">Global</t>
        </is>
      </c>
      <c r="H229" s="4" t="inlineStr">
        <is>
          <t xml:space="preserve">SERVICIO DE PLATAFORMA SIEM DE NUEVA GENERACIÓN EN MODALIDAD SAAS PARA EL INSTITUTO DE PREVISIÓN SOCIAL</t>
        </is>
      </c>
    </row>
    <row r="230">
      <c r="A230" s="0" t="inlineStr">
        <is>
          <t xml:space="preserve">1057049-332-LR26</t>
        </is>
      </c>
      <c r="B230" s="4" t="inlineStr">
        <is>
          <t xml:space="preserve">JLL BASES SERVICIO DE TURNOS PROFESIONALES PARA DESARROLLO DE SOFTWARE INTERNO DEL HOSPITAL CLÍNICO SAN BORJA ARRIARÁN</t>
        </is>
      </c>
      <c r="C230" s="0">
        <v>1</v>
      </c>
      <c r="D230" s="4" t="inlineStr">
        <is>
          <t xml:space="preserve">Personal técnico temporal</t>
        </is>
      </c>
      <c r="E230" s="4" t="inlineStr">
        <is>
          <t xml:space="preserve">Servicios profesionales, administrativos y consultorías de gestión empresarial / Servicios de recursos humanos / Servicios de personal temporal</t>
        </is>
      </c>
      <c r="F230" s="0">
        <v>1.0</v>
      </c>
      <c r="G230" s="0" t="inlineStr">
        <is>
          <t xml:space="preserve">Global</t>
        </is>
      </c>
      <c r="H230" s="4" t="inlineStr">
        <is>
          <t xml:space="preserve">COD. 704-0022 CONTRATACION DE SERVICIO DE TURNOS PROFESIONALES PARA DESARROLLO DE SOFTWARE INTERNO DEL HOSPITAL CLINICO SAN BORJA ARRIARAN POR 24 MESES</t>
        </is>
      </c>
    </row>
    <row r="231">
      <c r="A231" s="0" t="inlineStr">
        <is>
          <t xml:space="preserve">548874-77-LR26</t>
        </is>
      </c>
      <c r="B231" s="4" t="inlineStr">
        <is>
          <t xml:space="preserve">MANTENCIÓN Y MEJORA SISTEMA CIBERSEGURIDAD NCH ISO</t>
        </is>
      </c>
      <c r="C231" s="0">
        <v>1</v>
      </c>
      <c r="D231" s="4" t="inlineStr">
        <is>
          <t xml:space="preserve">Software de administración de red privada virtual (VPN) o de seguridad de red</t>
        </is>
      </c>
      <c r="E231" s="4" t="inlineStr">
        <is>
          <t xml:space="preserve">Tecnologías de la información, telecomunicaciones y radiodifusión / Software / Software de seguridad y protección</t>
        </is>
      </c>
      <c r="F231" s="0">
        <v>1.0</v>
      </c>
      <c r="G231" s="0" t="inlineStr">
        <is>
          <t xml:space="preserve">Global</t>
        </is>
      </c>
      <c r="H231" s="4" t="inlineStr">
        <is>
          <t xml:space="preserve">E1O2RT8 - SERVICIO DE MANTENCIÓN Y MEJORA DEL SISTEMA DE GESTIÓN DE SEGURIDAD DE LA INFORMACIÓN Y CIBERSEGURIDAD INSTITUCIONAL NCH ISO/ IEC 27001</t>
        </is>
      </c>
    </row>
    <row r="232">
      <c r="A232" s="0" t="inlineStr">
        <is>
          <t xml:space="preserve">1605-36-LR26</t>
        </is>
      </c>
      <c r="B232" s="4" t="inlineStr">
        <is>
          <t xml:space="preserve">LR-4252 Servicio de Red Datos WAN</t>
        </is>
      </c>
      <c r="C232" s="0">
        <v>1</v>
      </c>
      <c r="D232" s="4" t="inlineStr">
        <is>
          <t xml:space="preserve">Proveedores de servicio de Internet (ISP)</t>
        </is>
      </c>
      <c r="E232" s="4" t="inlineStr">
        <is>
          <t xml:space="preserve">Servicios basados en ingeniería, ciencias sociales y tecnología de la información / Servicios informáticos / Servicios para internet</t>
        </is>
      </c>
      <c r="F232" s="0">
        <v>72.0</v>
      </c>
      <c r="G232" s="0" t="inlineStr">
        <is>
          <t xml:space="preserve">Mes</t>
        </is>
      </c>
      <c r="H232" s="4" t="inlineStr">
        <is>
          <t xml:space="preserve">1. Servicio de conectividad de datos.
2. Infraestructura tipo SD-WAN y LAN
3. Servicio de conectividad inalámbrica Wifi.
4. Servicio de telefonía IP institucional.</t>
        </is>
      </c>
    </row>
    <row r="233">
      <c r="A233" s="0" t="inlineStr">
        <is>
          <t xml:space="preserve">1605-36-LR26</t>
        </is>
      </c>
      <c r="B233" s="4" t="inlineStr">
        <is>
          <t xml:space="preserve">LR-4252 Servicio de Red Datos WAN</t>
        </is>
      </c>
      <c r="C233" s="0">
        <v>2</v>
      </c>
      <c r="D233" s="4" t="inlineStr">
        <is>
          <t xml:space="preserve">Proveedores de servicio de Internet (ISP)</t>
        </is>
      </c>
      <c r="E233" s="4" t="inlineStr">
        <is>
          <t xml:space="preserve">Servicios basados en ingeniería, ciencias sociales y tecnología de la información / Servicios informáticos / Servicios para internet</t>
        </is>
      </c>
      <c r="F233" s="0">
        <v>72.0</v>
      </c>
      <c r="G233" s="0" t="inlineStr">
        <is>
          <t xml:space="preserve">Mes</t>
        </is>
      </c>
      <c r="H233" s="4" t="inlineStr">
        <is>
          <t xml:space="preserve">5. Monitoreo y gestión de las componentes 1 a 4.</t>
        </is>
      </c>
    </row>
    <row r="234">
      <c r="A234" s="0" t="inlineStr">
        <is>
          <t xml:space="preserve">976-15-O126</t>
        </is>
      </c>
      <c r="B234" s="4" t="inlineStr">
        <is>
          <t xml:space="preserve">Ampliación Plataformas Comercial y General Ad. El Loa</t>
        </is>
      </c>
      <c r="C234" s="0">
        <v>1</v>
      </c>
      <c r="D234" s="4" t="inlineStr">
        <is>
          <t xml:space="preserve">Licitación Pública de Obra</t>
        </is>
      </c>
      <c r="E234" s="4" t="inlineStr">
        <is>
          <t xml:space="preserve">Consultoria / Consultoria / Planificación y Factibilidad</t>
        </is>
      </c>
      <c r="F234" s="0">
        <v>1.0</v>
      </c>
      <c r="G234" s="0" t="inlineStr">
        <is>
          <t xml:space="preserve">Unidad</t>
        </is>
      </c>
      <c r="H234" s="4" t="inlineStr">
        <is>
          <t xml:space="preserve">Licitación Pública de Obra</t>
        </is>
      </c>
    </row>
    <row r="235">
      <c r="A235" s="0" t="inlineStr">
        <is>
          <t xml:space="preserve">605-17-LP26</t>
        </is>
      </c>
      <c r="B235" s="4" t="inlineStr">
        <is>
          <t xml:space="preserve">TELEFONÍA FIJA Y RED PRIVADA DE DATOS</t>
        </is>
      </c>
      <c r="C235" s="0">
        <v>1</v>
      </c>
      <c r="D235" s="4" t="inlineStr">
        <is>
          <t xml:space="preserve">Servicio telefónico local</t>
        </is>
      </c>
      <c r="E235" s="4" t="inlineStr">
        <is>
          <t xml:space="preserve">Servicios básicos y de información pública / Telecomunicaciones / Telefonía local y de larga distancia</t>
        </is>
      </c>
      <c r="F235" s="0">
        <v>1.0</v>
      </c>
      <c r="G235" s="0" t="inlineStr">
        <is>
          <t xml:space="preserve">Unidad</t>
        </is>
      </c>
      <c r="H235"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36">
      <c r="A236" s="0" t="inlineStr">
        <is>
          <t xml:space="preserve">605-17-LP26</t>
        </is>
      </c>
      <c r="B236" s="4" t="inlineStr">
        <is>
          <t xml:space="preserve">TELEFONÍA FIJA Y RED PRIVADA DE DATOS</t>
        </is>
      </c>
      <c r="C236" s="0">
        <v>2</v>
      </c>
      <c r="D236" s="4" t="inlineStr">
        <is>
          <t xml:space="preserve">Servicio de comunicación IP</t>
        </is>
      </c>
      <c r="E236" s="4" t="inlineStr">
        <is>
          <t xml:space="preserve">Servicios básicos y de información pública / Telecomunicaciones / Telefonía local y de larga distancia</t>
        </is>
      </c>
      <c r="F236" s="0">
        <v>1.0</v>
      </c>
      <c r="G236" s="0" t="inlineStr">
        <is>
          <t xml:space="preserve">Unidad</t>
        </is>
      </c>
      <c r="H236"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37">
      <c r="A237" s="0" t="inlineStr">
        <is>
          <t xml:space="preserve">1969-34-LS19</t>
        </is>
      </c>
      <c r="B237" s="4" t="inlineStr">
        <is>
          <t xml:space="preserve">AUTOMATIZACIÓN PORTÓN ACCESO A LINEA DE FUEGO</t>
        </is>
      </c>
      <c r="C237" s="0">
        <v>1</v>
      </c>
      <c r="D237" s="4" t="inlineStr">
        <is>
          <t xml:space="preserve">Puertas de metal</t>
        </is>
      </c>
      <c r="E237" s="4" t="inlineStr">
        <is>
          <t xml:space="preserve">Artículos para estructuras, obras y construcciones / Puertas, ventanas y vidrios / Puertas</t>
        </is>
      </c>
      <c r="F237" s="0">
        <v>1.0</v>
      </c>
      <c r="G237" s="0" t="inlineStr">
        <is>
          <t xml:space="preserve">Unidad</t>
        </is>
      </c>
      <c r="H237" s="4" t="inlineStr">
        <is>
          <t xml:space="preserve">AUTOMATIZACIÓN DE PORTÓN ACCESO A LINEA DE FUEGO C.P. CONCEPCIÓN</t>
        </is>
      </c>
    </row>
  </sheetData>
  <autoFilter ref="A1:H237"/>
</worksheet>
</file>