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1606-32-LE26</t>
        </is>
      </c>
      <c r="B2" s="4" t="inlineStr">
        <is>
          <t xml:space="preserve">CONTRATACIÓN SERVICIO DE DIAGRAMACIÓN DE PIEZAS GRÁFICAS Y WEB DEL PROYECTO “FORTALECIMIENTO DE LAS CAPACIDADES DE LATINOAMÉRICA Y EL CARIBE EN MATERIA DE CIBERSEGURIDAD” FINANCIADO POR LA UNIÓN EUROPEA.</t>
        </is>
      </c>
      <c r="C2" s="0" t="inlineStr">
        <is>
          <t xml:space="preserve">Publicada</t>
        </is>
      </c>
      <c r="D2" s="0" t="inlineStr">
        <is>
          <t xml:space="preserve">AGENCIA CHILENA DE COOPERACION INTERNACIONAL PARA EL DESARROLLO</t>
        </is>
      </c>
      <c r="E2" s="0" t="inlineStr">
        <is>
          <t xml:space="preserve">AGCID</t>
        </is>
      </c>
      <c r="F2" s="0" t="inlineStr">
        <is>
          <t xml:space="preserve">Región Metropolitana de Santiago</t>
        </is>
      </c>
      <c r="G2" s="0" t="inlineStr">
        <is>
          <t xml:space="preserve">Santiago</t>
        </is>
      </c>
      <c r="H2" s="2">
        <v>46282.40625</v>
      </c>
      <c r="I2" s="2">
        <v>46297.631944</v>
      </c>
      <c r="J2" s="0">
        <v>5</v>
      </c>
      <c r="K2" s="3"/>
      <c r="L2" s="0" t="inlineStr">
        <is>
          <t xml:space="preserve">EUR</t>
        </is>
      </c>
      <c r="M2" s="0" t="inlineStr">
        <is>
          <t xml:space="preserve">LE</t>
        </is>
      </c>
      <c r="N2" s="4" t="inlineStr">
        <is>
          <t xml:space="preserve">Servicios editoriales, de diseño, publicidad, gráficos y artistas / Servicios de impresión y reproducción / Impresión</t>
        </is>
      </c>
      <c r="O2" s="4" t="inlineStr">
        <is>
          <t xml:space="preserve">1 Unidad · Diagramación</t>
        </is>
      </c>
      <c r="P2" s="2"/>
      <c r="Q2" s="2"/>
      <c r="R2" s="0" t="inlineStr">
        <is>
          <t xml:space="preserve">7 meses</t>
        </is>
      </c>
      <c r="S2" s="0" t="inlineStr">
        <is>
          <t xml:space="preserve">No</t>
        </is>
      </c>
      <c r="T2" s="4" t="inlineStr">
        <is>
          <t xml:space="preserve">Según bases de licitación</t>
        </is>
      </c>
      <c r="U2" s="0" t="inlineStr">
        <is>
          <t xml:space="preserve">Paula Krautz</t>
        </is>
      </c>
      <c r="V2"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2" s="5" t="str">
        <f>HYPERLINK("https://www.mercadopublico.cl/Procurement/Modules/Attachment/ViewAttachment.aspx?enc=zXmbHupHIsN8dKX%2bFWH03ii%2fEzTYJLuxt65YP21ChUjZN4RJ%2bYV3dwpTwgG%2bieR5WLSmTUBCsmSK11aBSzs4OCKslUR9QbMJJM2qlJFPr5zHbbNY5qIS5VUSIbStEleLGzTNFupKz2YEFqDOcKcy3ZuwnEZyTZ5spTN9xoDOJULHrvnk2AqsY3%2fj0t9q2uhP3xpP3ob6Qet85AiunH60x7S0IgydDACYRBWSxIZEnHz0q6zg3363rN77HZvqEPsEWWYbCXoIL9j9%2fP%2bbv1Qx0crskjAAaMhH9qhL%2bP%2b9haxgZsgQRd%2b89pruFBQJM%2bq6","descargar bases")</f>
      </c>
    </row>
  </sheetData>
  <autoFilter ref="A1:W2"/>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3269-10-LP26</t>
        </is>
      </c>
      <c r="B2" s="4" t="inlineStr">
        <is>
          <t xml:space="preserve">S.A. 68 SOPORTE Y MANTTO PLATAFORMA DATOS QUMULO</t>
        </is>
      </c>
      <c r="C2" s="0" t="inlineStr">
        <is>
          <t xml:space="preserve">Publicada</t>
        </is>
      </c>
      <c r="D2" s="0" t="inlineStr">
        <is>
          <t xml:space="preserve">FUERZA AEREA DE CHILE COMANDO LOGISTICO</t>
        </is>
      </c>
      <c r="E2" s="0" t="inlineStr">
        <is>
          <t xml:space="preserve">Servicio Aerofotogramétrico</t>
        </is>
      </c>
      <c r="F2" s="0" t="inlineStr">
        <is>
          <t xml:space="preserve">Región Metropolitana de Santiago</t>
        </is>
      </c>
      <c r="G2" s="0" t="inlineStr">
        <is>
          <t xml:space="preserve">Pudahuel</t>
        </is>
      </c>
      <c r="H2" s="2">
        <v>46275.512801</v>
      </c>
      <c r="I2" s="2">
        <v>46295.5</v>
      </c>
      <c r="J2" s="0">
        <v>3</v>
      </c>
      <c r="K2" s="3">
        <v>94099000.0</v>
      </c>
      <c r="L2" s="0" t="inlineStr">
        <is>
          <t xml:space="preserve">CLP</t>
        </is>
      </c>
      <c r="M2" s="0" t="inlineStr">
        <is>
          <t xml:space="preserve">LP</t>
        </is>
      </c>
      <c r="N2" s="4" t="inlineStr">
        <is>
          <t xml:space="preserve">Servicios basados en ingeniería, ciencias sociales y tecnología de la información / Servicios informáticos / Servicios de datos</t>
        </is>
      </c>
      <c r="O2" s="4" t="inlineStr">
        <is>
          <t xml:space="preserve">1 Unidad · Servicios de almacenamiento de datos</t>
        </is>
      </c>
      <c r="P2" s="2"/>
      <c r="Q2" s="2"/>
      <c r="R2" s="0"/>
      <c r="S2" s="0" t="inlineStr">
        <is>
          <t xml:space="preserve">No</t>
        </is>
      </c>
      <c r="T2"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2" s="0" t="inlineStr">
        <is>
          <t xml:space="preserve">Giovanni Albornoz Pinto</t>
        </is>
      </c>
      <c r="V2" s="4" t="inlineStr">
        <is>
          <t xml:space="preserve">Contratación del servicio de soporte, mantención preventiva, correctiva para la plataforma de procesamiento y almacenamiento de datos Qumulo, hardware y software para el Servicio Aerofotogramétrico.</t>
        </is>
      </c>
      <c r="W2" s="5" t="str">
        <f>HYPERLINK("https://www.mercadopublico.cl/Procurement/Modules/Attachment/ViewAttachment.aspx?enc=OXTsVu0ByU6%2biHahCZv%2fYkasSdS2STdT7qBHOdHEzvXiPglFT%2fH3ksJhBeXDR5dI6ibxqVxXkzr1eWCLxLo5QSlIgdgLY1xJ3inPGKumvtXAp%2byHubUXd9CiS5CmA9E9yYAS%2bRVzCSAALiLtA7LHcew6PXLvBplegcNLAPtHkXF%2b6jL0YggZD1KteY58Wb9lka70b72Rmn5UqP1Zb2V61Q%2b%2fQmQnEME4yoMuNbTcPbM7LieDaRrmfuYiAH3OpPGPLHd7f40OTtcJIRxccc7nG4kC1rrOPGAi22EliNz1ff5kw%2fDgYcIELQRqdD81PmlO","descargar bases")</f>
      </c>
    </row>
    <row r="3">
      <c r="A3" s="0" t="inlineStr">
        <is>
          <t xml:space="preserve">1057489-285-LP26</t>
        </is>
      </c>
      <c r="B3" s="4" t="inlineStr">
        <is>
          <t xml:space="preserve">Arriendo de Huelleros digitales y Pistola Escáner</t>
        </is>
      </c>
      <c r="C3" s="0" t="inlineStr">
        <is>
          <t xml:space="preserve">Publicada</t>
        </is>
      </c>
      <c r="D3" s="0" t="inlineStr">
        <is>
          <t xml:space="preserve">SERVICIO DE SALUD ORIENTE HOSPITAL DEL SALVADOR</t>
        </is>
      </c>
      <c r="E3" s="0" t="inlineStr">
        <is>
          <t xml:space="preserve">Bienes y Servicios</t>
        </is>
      </c>
      <c r="F3" s="0" t="inlineStr">
        <is>
          <t xml:space="preserve">Región Metropolitana de Santiago</t>
        </is>
      </c>
      <c r="G3" s="0" t="inlineStr">
        <is>
          <t xml:space="preserve">Providencia</t>
        </is>
      </c>
      <c r="H3" s="2">
        <v>46275.701123</v>
      </c>
      <c r="I3" s="2">
        <v>46295.625</v>
      </c>
      <c r="J3" s="0">
        <v>3</v>
      </c>
      <c r="K3" s="3">
        <v>160000000.0</v>
      </c>
      <c r="L3" s="0" t="inlineStr">
        <is>
          <t xml:space="preserve">CLP</t>
        </is>
      </c>
      <c r="M3" s="0" t="inlineStr">
        <is>
          <t xml:space="preserve">LP</t>
        </is>
      </c>
      <c r="N3" s="4" t="inlineStr">
        <is>
          <t xml:space="preserve">Tecnologías de la información, telecomunicaciones y radiodifusión / Equipos informáticos y accesorios / Dispositivos informáticos de entrada de datos</t>
        </is>
      </c>
      <c r="O3" s="4" t="inlineStr">
        <is>
          <t xml:space="preserve">1 Unidad · Equipo de lector de código de barras</t>
        </is>
      </c>
      <c r="P3" s="2"/>
      <c r="Q3" s="2"/>
      <c r="R3" s="0" t="inlineStr">
        <is>
          <t xml:space="preserve">36 meses</t>
        </is>
      </c>
      <c r="S3" s="0" t="inlineStr">
        <is>
          <t xml:space="preserve">No</t>
        </is>
      </c>
      <c r="T3" s="4"/>
      <c r="U3" s="0" t="inlineStr">
        <is>
          <t xml:space="preserve">CARLOS CONSTELA</t>
        </is>
      </c>
      <c r="V3"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3" s="5" t="str">
        <f>HYPERLINK("https://www.mercadopublico.cl/Procurement/Modules/Attachment/ViewAttachment.aspx?enc=L5IMYLMFyQMLi%2fH%2bKi66NZNLzoTnWreh5hX0FlpYMncrlfUzB7vMvvjDk03G7xCt62Ukne6wBsYB99kQOv59xBVMCKz9kD1I7vBfWuXvl7K513OPMT8OjMr7fVct9PFC21HKCXjrfLrARwa8Coq%2bZ4Bw3xF5heYDj3IHUTMw%2blOvhvTCmKJnkk0CZ%2fUkn1BpCmACQrxbKrzoeHo8bfomf8WGHhu0paVg1ytJ0B7bE7yssRD8LZFT7IkUPL0AxIf2o1cggU0ObUclN3sNOA1%2bPRNWdg0vD6nWd4IyNa5PY40XQ%2bidnrBCFNSMOe8Yi7O5","descargar bases")</f>
      </c>
    </row>
    <row r="4">
      <c r="A4" s="0" t="inlineStr">
        <is>
          <t xml:space="preserve">1469-222-L126</t>
        </is>
      </c>
      <c r="B4" s="4" t="inlineStr">
        <is>
          <t xml:space="preserve">Servicio de plataforma e-learning para cursos de capacitación – Educación Continua, Facultad de Odontología, Universidad de Talca</t>
        </is>
      </c>
      <c r="C4" s="0" t="inlineStr">
        <is>
          <t xml:space="preserve">Publicada</t>
        </is>
      </c>
      <c r="D4" s="0" t="inlineStr">
        <is>
          <t xml:space="preserve">UNIVERSIDAD DE TALCA</t>
        </is>
      </c>
      <c r="E4" s="0" t="inlineStr">
        <is>
          <t xml:space="preserve">Universidad de Talca</t>
        </is>
      </c>
      <c r="F4" s="0" t="inlineStr">
        <is>
          <t xml:space="preserve">Región del Maule </t>
        </is>
      </c>
      <c r="G4" s="0" t="inlineStr">
        <is>
          <t xml:space="preserve">Talca</t>
        </is>
      </c>
      <c r="H4" s="2">
        <v>46288.513565</v>
      </c>
      <c r="I4" s="2">
        <v>46295.625</v>
      </c>
      <c r="J4" s="0">
        <v>3</v>
      </c>
      <c r="K4" s="3">
        <v>6600000.0</v>
      </c>
      <c r="L4" s="0" t="inlineStr">
        <is>
          <t xml:space="preserve">CLP</t>
        </is>
      </c>
      <c r="M4" s="0" t="inlineStr">
        <is>
          <t xml:space="preserve">L1</t>
        </is>
      </c>
      <c r="N4" s="4" t="inlineStr">
        <is>
          <t xml:space="preserve">Tecnologías de la información, telecomunicaciones y radiodifusión / Software / Software de gestión</t>
        </is>
      </c>
      <c r="O4" s="4" t="inlineStr">
        <is>
          <t xml:space="preserve">1 Unidad · Software de gestión de licencias</t>
        </is>
      </c>
      <c r="P4" s="2"/>
      <c r="Q4" s="2"/>
      <c r="R4" s="0"/>
      <c r="S4" s="0" t="inlineStr">
        <is>
          <t xml:space="preserve">No</t>
        </is>
      </c>
      <c r="T4" s="4"/>
      <c r="U4" s="0"/>
      <c r="V4" s="4" t="inlineStr">
        <is>
          <t xml:space="preserve">Proveer oportunamente una plataforma e-learning robusta y adecuada para la correcta ejecución de los programas de capacitación de Educación Continua, garantizando la continuidad, calidad y accesibilidad en el proceso de enseñanza y el cumplimiento de los objetivos académicos definidos.</t>
        </is>
      </c>
      <c r="W4" s="5" t="str">
        <f>HYPERLINK("https://www.mercadopublico.cl/Procurement/Modules/Attachment/ViewAttachment.aspx?enc=88fmKQUUNqf7yq4vVTG%2b5iCCjr9jqL87HqcOMGZBBuuAwa2qoCXNx7zpkwDJrDTJAJctFee%2faIGti0J0BIpq9ywHmu%2bQYSvZtzDPzVocgL4Igq1MJ9os9pOOtMYsTvFfhubjl%2fg9FPZ5ucYyv6JMxGjT9stxoWBfgW5MjG46gTkO8QngnW%2fW%2fH1rNrjBigt3S%2bhX3dvwViGDivDdNEH2tNq4IdQtn%2bj%2fXVhD1xcyrJGQm2u8OZScXSlX2Dgkh8KUGWf85Z9yQ%2fFFCQ9UwVdn5pMU8jPIbTh3vL1vuAuycx8AvN2YKaUluEJLWQMBvJzR","descargar bases")</f>
      </c>
    </row>
    <row r="5">
      <c r="A5" s="0" t="inlineStr">
        <is>
          <t xml:space="preserve">4511-53-LE26</t>
        </is>
      </c>
      <c r="B5" s="4" t="inlineStr">
        <is>
          <t xml:space="preserve">CONTRATACIÓN SISTEMA DE GESTIÓN DOCUMENTAL</t>
        </is>
      </c>
      <c r="C5" s="0" t="inlineStr">
        <is>
          <t xml:space="preserve">Publicada</t>
        </is>
      </c>
      <c r="D5" s="0" t="inlineStr">
        <is>
          <t xml:space="preserve">ILUSTRE MUNICIPALIDAD DE RETIRO</t>
        </is>
      </c>
      <c r="E5" s="0" t="inlineStr">
        <is>
          <t xml:space="preserve">Secpla</t>
        </is>
      </c>
      <c r="F5" s="0" t="inlineStr">
        <is>
          <t xml:space="preserve">Región del Maule </t>
        </is>
      </c>
      <c r="G5" s="0" t="inlineStr">
        <is>
          <t xml:space="preserve">Retiro</t>
        </is>
      </c>
      <c r="H5" s="2">
        <v>46279.616667</v>
      </c>
      <c r="I5" s="2">
        <v>46295.625</v>
      </c>
      <c r="J5" s="0">
        <v>3</v>
      </c>
      <c r="K5" s="3"/>
      <c r="L5" s="0" t="inlineStr">
        <is>
          <t xml:space="preserve">CLP</t>
        </is>
      </c>
      <c r="M5" s="0" t="inlineStr">
        <is>
          <t xml:space="preserve">LE</t>
        </is>
      </c>
      <c r="N5" s="4" t="inlineStr">
        <is>
          <t xml:space="preserve">Tecnologías de la información, telecomunicaciones y radiodifusión / Software / Software de consultas y gestión de datos</t>
        </is>
      </c>
      <c r="O5" s="4" t="inlineStr">
        <is>
          <t xml:space="preserve">1 Global · Software de creación de informes de bases de datos</t>
        </is>
      </c>
      <c r="P5" s="2"/>
      <c r="Q5" s="2"/>
      <c r="R5" s="0" t="inlineStr">
        <is>
          <t xml:space="preserve">24 meses</t>
        </is>
      </c>
      <c r="S5" s="0" t="inlineStr">
        <is>
          <t xml:space="preserve">No</t>
        </is>
      </c>
      <c r="T5" s="4" t="inlineStr">
        <is>
          <t xml:space="preserve">CONFORME NUMERAl 21.8</t>
        </is>
      </c>
      <c r="U5" s="0" t="inlineStr">
        <is>
          <t xml:space="preserve">ADELQUI MILLAR</t>
        </is>
      </c>
      <c r="V5"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5" s="5" t="str">
        <f>HYPERLINK("https://www.mercadopublico.cl/Procurement/Modules/Attachment/ViewAttachment.aspx?enc=YBXMJ2hsZgAf%2f%2bBzUiUwPUuc8TuzFeJptoMup%2bQ7b%2fiRDT1NDVbPGySh8fT07ZPMoT%2fnZLtoXb%2bJee%2f%2fca8HoVyGb50gbAsQChQnfakTca54%2fuQU74GcBXXd9gc4nOBUT9J%2f3zyrsICXk%2foXqfVzHT5eUczUonrdP9oWJQ7%2fL%2bBOOD3diZVR05ia79guy%2bHzt3kYcpoGTJEUCIUEX6K6hdV5Joh4rjrIMsIRpHOGFe7ERi%2fWhi2UCXUnmJhWjoG6y7Txm2kxrLjDclQKi3eLY4O8uwYOmSWix2%2bJfljVc4c%2fSeDzV4M2lgVt13x8jk9R","descargar bases")</f>
      </c>
    </row>
    <row r="6">
      <c r="A6" s="0" t="inlineStr">
        <is>
          <t xml:space="preserve">548874-72-LR26</t>
        </is>
      </c>
      <c r="B6" s="4" t="inlineStr">
        <is>
          <t xml:space="preserve">SERV. DE ADMINISTRACION PLATAFORMAS TECNOLOGICAS</t>
        </is>
      </c>
      <c r="C6" s="0" t="inlineStr">
        <is>
          <t xml:space="preserve">Publicada</t>
        </is>
      </c>
      <c r="D6" s="0" t="inlineStr">
        <is>
          <t xml:space="preserve">INSTITUTO DE PREVISION SOCIAL</t>
        </is>
      </c>
      <c r="E6" s="0" t="inlineStr">
        <is>
          <t xml:space="preserve">IPS Oficina Central de Compras</t>
        </is>
      </c>
      <c r="F6" s="0" t="inlineStr">
        <is>
          <t xml:space="preserve">Región Metropolitana de Santiago</t>
        </is>
      </c>
      <c r="G6" s="0" t="inlineStr">
        <is>
          <t xml:space="preserve">Santiago</t>
        </is>
      </c>
      <c r="H6" s="2">
        <v>46258.545255</v>
      </c>
      <c r="I6" s="2">
        <v>46295.625</v>
      </c>
      <c r="J6" s="0">
        <v>3</v>
      </c>
      <c r="K6" s="3">
        <v>24000.0</v>
      </c>
      <c r="L6" s="0" t="inlineStr">
        <is>
          <t xml:space="preserve">CLF</t>
        </is>
      </c>
      <c r="M6" s="0" t="inlineStr">
        <is>
          <t xml:space="preserve">LR</t>
        </is>
      </c>
      <c r="N6" s="4" t="inlineStr">
        <is>
          <t xml:space="preserve">Tecnologías de la información, telecomunicaciones y radiodifusión / Software / Software de consultas y gestión de datos</t>
        </is>
      </c>
      <c r="O6" s="4" t="inlineStr">
        <is>
          <t xml:space="preserve">1 Global · Software del sistema de administración de bases de datos</t>
        </is>
      </c>
      <c r="P6" s="2"/>
      <c r="Q6" s="2"/>
      <c r="R6" s="0" t="inlineStr">
        <is>
          <t xml:space="preserve">12 meses</t>
        </is>
      </c>
      <c r="S6" s="0" t="inlineStr">
        <is>
          <t xml:space="preserve">No</t>
        </is>
      </c>
      <c r="T6" s="4" t="inlineStr">
        <is>
          <t xml:space="preserve">Ver bases administrativas punto 16.</t>
        </is>
      </c>
      <c r="U6" s="0" t="inlineStr">
        <is>
          <t xml:space="preserve">Por Definir</t>
        </is>
      </c>
      <c r="V6" s="4" t="inlineStr">
        <is>
          <t xml:space="preserve">SERVICIO DE ADMINISTRACION, GESTION, CONFIGURACION, RESPALDOS Y
MANTENCION DE LAS PLATAFORMAS TECNOLOGICAS DE IPS– E1O2RT8</t>
        </is>
      </c>
      <c r="W6" s="5" t="str">
        <f>HYPERLINK("https://www.mercadopublico.cl/Procurement/Modules/Attachment/ViewAttachment.aspx?enc=3jRScobL55TXBVTDniw4FZ2%2bGl8N4URv%2bxEZqVwX72vZDVr1MB1YgHZGMJJK6NX9cIhLmrMaekv5HE2p27V%2bnZm8diqvJoWqQly3bnzEFCt9JF9FZZzNUZouIPyWeQ%2f92mLGwZ2KX9HGTp2PZAJVWr3spc3RjzT7MGtfdb64Jf0gw%2bHxXzsa625LHXfPptubyBVWnTAzFhvqRJRm46UNk1eM1ue0ykfEIOOioxFbrBaJEqw9MlYvUxhfrYjXKSwaHrG8Tu%2b0d3Xk1MpfVYPoRdSs%2bwbKs19Gd0Gbr5eZQJQQGibuxZQGEDDDmvnDPl3U","descargar bases")</f>
      </c>
    </row>
    <row r="7">
      <c r="A7" s="0" t="inlineStr">
        <is>
          <t xml:space="preserve">2020-21-LE26</t>
        </is>
      </c>
      <c r="B7" s="4" t="inlineStr">
        <is>
          <t xml:space="preserve">MEJORA DE LA PLATAFORMA INFORMÁTICA PARA LA BCN.</t>
        </is>
      </c>
      <c r="C7" s="0" t="inlineStr">
        <is>
          <t xml:space="preserve">Publicada</t>
        </is>
      </c>
      <c r="D7" s="0" t="inlineStr">
        <is>
          <t xml:space="preserve">Biblioteca del Congreso Nacional</t>
        </is>
      </c>
      <c r="E7" s="0" t="inlineStr">
        <is>
          <t xml:space="preserve">Biblioteca del Congreso Nacional</t>
        </is>
      </c>
      <c r="F7" s="0" t="inlineStr">
        <is>
          <t xml:space="preserve">Región Metropolitana de Santiago</t>
        </is>
      </c>
      <c r="G7" s="0" t="inlineStr">
        <is>
          <t xml:space="preserve">Santiago Centro</t>
        </is>
      </c>
      <c r="H7" s="2">
        <v>46273.642361</v>
      </c>
      <c r="I7" s="2">
        <v>46295.625694</v>
      </c>
      <c r="J7" s="0">
        <v>3</v>
      </c>
      <c r="K7" s="3">
        <v>30000000.0</v>
      </c>
      <c r="L7" s="0" t="inlineStr">
        <is>
          <t xml:space="preserve">CLP</t>
        </is>
      </c>
      <c r="M7" s="0" t="inlineStr">
        <is>
          <t xml:space="preserve">LE</t>
        </is>
      </c>
      <c r="N7" s="4" t="inlineStr">
        <is>
          <t xml:space="preserve">Servicios basados en ingeniería, ciencias sociales y tecnología de la información / Servicios informáticos / Mantenimiento y soporte de software</t>
        </is>
      </c>
      <c r="O7" s="4" t="inlineStr">
        <is>
          <t xml:space="preserve">1 Unidad · Up grade de software</t>
        </is>
      </c>
      <c r="P7" s="2"/>
      <c r="Q7" s="2"/>
      <c r="R7" s="0" t="inlineStr">
        <is>
          <t xml:space="preserve">120 días</t>
        </is>
      </c>
      <c r="S7" s="0" t="inlineStr">
        <is>
          <t xml:space="preserve">No</t>
        </is>
      </c>
      <c r="T7" s="4" t="inlineStr">
        <is>
          <t xml:space="preserve">Según restricciones establecidas en el numeral 26. Subcontratación de las Bases de Licitación Adjuntas.</t>
        </is>
      </c>
      <c r="U7" s="0" t="inlineStr">
        <is>
          <t xml:space="preserve">SISRED</t>
        </is>
      </c>
      <c r="V7" s="4" t="inlineStr">
        <is>
          <t xml:space="preserve">PROYECTO DE MEJORA DE LA PLATAFORMA INFORMÁTICA DEL SISTEMA HISTORIA DE LA LEY Y LABOR PARLAMENTARIA PARA LA BIBLIOTECA DEL CONGRESO NACIONAL.</t>
        </is>
      </c>
      <c r="W7" s="5" t="str">
        <f>HYPERLINK("https://www.mercadopublico.cl/Procurement/Modules/Attachment/ViewAttachment.aspx?enc=QoCHtdteRSGOaUaqK6YCv2A%2bw81%2f5m592MidS%2fSfLlkK%2bWL9IYrdVqB9l5XhFeRrhGBODgT00XWpp9YyFDItqg0pYjsQUI7fK%2f%2beZwIzt8%2bU0nLNI%2f%2bwSEoEvLbU587f1Q%2fYwJLirqo%2fylN7g%2bixhacnz8ogpbEsZ%2bulb0aaqSvMC8oTkyj3A24kFXPsKwAJo9EtnNUg%2bLQe8EfeeRVJMe%2fh7hEkcwNc4htzL6PFpq2h%2b%2ffWVwoQxyFZrQzz7fsK0hOfQd1oFWis0S8b3Eu7IU1KPrJMCHpz%2fHfy4yoXfhS4r%2fTc2UFmyLUJQSOL2PLV","descargar bases")</f>
      </c>
    </row>
    <row r="8">
      <c r="A8" s="0" t="inlineStr">
        <is>
          <t xml:space="preserve">5482-103-LP26</t>
        </is>
      </c>
      <c r="B8" s="4" t="inlineStr">
        <is>
          <t xml:space="preserve">PLATAFORMA DE GESTIÓN TERRITORIAL Y DE RENTAS</t>
        </is>
      </c>
      <c r="C8" s="0" t="inlineStr">
        <is>
          <t xml:space="preserve">Publicada</t>
        </is>
      </c>
      <c r="D8" s="0" t="inlineStr">
        <is>
          <t xml:space="preserve">I MUNICIPALIDAD DE NUNOA</t>
        </is>
      </c>
      <c r="E8" s="0" t="inlineStr">
        <is>
          <t xml:space="preserve">SECPLANUNOA</t>
        </is>
      </c>
      <c r="F8" s="0" t="inlineStr">
        <is>
          <t xml:space="preserve">Región Metropolitana de Santiago</t>
        </is>
      </c>
      <c r="G8" s="0" t="inlineStr">
        <is>
          <t xml:space="preserve">Ñuñoa</t>
        </is>
      </c>
      <c r="H8" s="2">
        <v>46275.765127</v>
      </c>
      <c r="I8" s="2">
        <v>46295.625694</v>
      </c>
      <c r="J8" s="0">
        <v>3</v>
      </c>
      <c r="K8" s="3"/>
      <c r="L8" s="0" t="inlineStr">
        <is>
          <t xml:space="preserve">CLF</t>
        </is>
      </c>
      <c r="M8" s="0" t="inlineStr">
        <is>
          <t xml:space="preserve">LP</t>
        </is>
      </c>
      <c r="N8" s="4" t="inlineStr">
        <is>
          <t xml:space="preserve">Tecnologías de la información, telecomunicaciones y radiodifusión / Software / Programas de desarrollo</t>
        </is>
      </c>
      <c r="O8" s="4" t="inlineStr">
        <is>
          <t xml:space="preserve">30 Mes · Software de desarrollo de plataforma Web</t>
        </is>
      </c>
      <c r="P8" s="2"/>
      <c r="Q8" s="2"/>
      <c r="R8" s="0" t="inlineStr">
        <is>
          <t xml:space="preserve">30 meses</t>
        </is>
      </c>
      <c r="S8" s="0" t="inlineStr">
        <is>
          <t xml:space="preserve">No</t>
        </is>
      </c>
      <c r="T8" s="4"/>
      <c r="U8" s="0" t="inlineStr">
        <is>
          <t xml:space="preserve">Katherinne Ayala</t>
        </is>
      </c>
      <c r="V8"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8" s="5" t="str">
        <f>HYPERLINK("https://www.mercadopublico.cl/Procurement/Modules/Attachment/ViewAttachment.aspx?enc=1AVKXnWyWoLxZ8zT%2fVnykAbSwbTO1CdNerREO%2bhXE5TcOeOQk611SLjGxD3kAborVUastQwuCIFddbC0M4fJcTHXSRq5gkAwcqsvYmJASUbcMVrYtfAM5B%2bXiTw%2fpF0QrFyxAVh%2fLsBDQ%2bQA20Zy4qBI9VWggI%2brdNYVkTAdW2sOdAj%2f1PUbqLRHJJtSkATPn0KMIG52Jd05XFADrGN9%2fNmckpb3iaMX1qNUOeTAXBZWv125Bn9qMN2PfxH5bjkGcXssw928AXoFy9oGn5DCfVIty6Kwxqa7GvK5M9Pc7kriqY0dkYWdn8rm8JUESWE4","descargar bases")</f>
      </c>
    </row>
    <row r="9">
      <c r="A9" s="0" t="inlineStr">
        <is>
          <t xml:space="preserve">721703-40-LP26</t>
        </is>
      </c>
      <c r="B9" s="4" t="inlineStr">
        <is>
          <t xml:space="preserve">Diagramación ilustración y digitalización SNE y DIA 2027</t>
        </is>
      </c>
      <c r="C9" s="0" t="inlineStr">
        <is>
          <t xml:space="preserve">Publicada</t>
        </is>
      </c>
      <c r="D9" s="0" t="inlineStr">
        <is>
          <t xml:space="preserve">AGENCIA DE CALIDAD DE LA EDUCACION</t>
        </is>
      </c>
      <c r="E9" s="0" t="inlineStr">
        <is>
          <t xml:space="preserve">Nivel Central</t>
        </is>
      </c>
      <c r="F9" s="0" t="inlineStr">
        <is>
          <t xml:space="preserve">Región Metropolitana de Santiago</t>
        </is>
      </c>
      <c r="G9" s="0" t="inlineStr">
        <is>
          <t xml:space="preserve">Santiago</t>
        </is>
      </c>
      <c r="H9" s="2">
        <v>46274.6461</v>
      </c>
      <c r="I9" s="2">
        <v>46295.625694</v>
      </c>
      <c r="J9" s="0">
        <v>3</v>
      </c>
      <c r="K9" s="3">
        <v>130132269.0</v>
      </c>
      <c r="L9" s="0" t="inlineStr">
        <is>
          <t xml:space="preserve">CLP</t>
        </is>
      </c>
      <c r="M9" s="0" t="inlineStr">
        <is>
          <t xml:space="preserve">LP</t>
        </is>
      </c>
      <c r="N9" s="4" t="inlineStr">
        <is>
          <t xml:space="preserve">Servicios editoriales, de diseño, publicidad, gráficos y artistas / Servicios de impresión y reproducción / Impresión</t>
        </is>
      </c>
      <c r="O9" s="4" t="inlineStr">
        <is>
          <t xml:space="preserve">1 Global · Diagramación</t>
        </is>
      </c>
      <c r="P9" s="2"/>
      <c r="Q9" s="2"/>
      <c r="R9" s="0" t="inlineStr">
        <is>
          <t xml:space="preserve">15 meses</t>
        </is>
      </c>
      <c r="S9" s="0" t="inlineStr">
        <is>
          <t xml:space="preserve">No</t>
        </is>
      </c>
      <c r="T9" s="4" t="inlineStr">
        <is>
          <t xml:space="preserve">Conforme a lo establecido en el punto 9.7 de las bases administrativas.</t>
        </is>
      </c>
      <c r="U9" s="0" t="inlineStr">
        <is>
          <t xml:space="preserve">Paulina Videla</t>
        </is>
      </c>
      <c r="V9"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9" s="5" t="str">
        <f>HYPERLINK("https://www.mercadopublico.cl/Procurement/Modules/Attachment/ViewAttachment.aspx?enc=WmcZxkh%2bFACCah8Gl6edHkN1ruZv6mAyHMLBdKL9rKDypGQPnPzbl%2fqnSOCg2QrUdr51LxGBrd%2bbA6T1zATnTQvpGK31qHBYeCHOjTp%2fav0vxz%2bEcxwTgzurzSHyLIxy%2fBrAWE3kbWEuKyFf%2bEocixkAfnrFGSO4El1EXFaAHPISJT6Wshqi5%2bbRJ0ygQx4pqALcaL8cgek49ewweHKlOtL4W5LYmXBksxH3vNlGf6I%2foXMvP4AbUQQv8QqBgsDpgl73rrTAGxvc0TY0K%2b8BG79zxyJ21Y8TyD2NfCI3GhaylKiwfbq0MaJgGVZrRCz1","descargar bases")</f>
      </c>
    </row>
    <row r="10">
      <c r="A10" s="0" t="inlineStr">
        <is>
          <t xml:space="preserve">85-41-LE26</t>
        </is>
      </c>
      <c r="B10" s="4" t="inlineStr">
        <is>
          <t xml:space="preserve">PLATAFORMA INTEGRAL SOPORTE TI CON CONTROL REMOTO</t>
        </is>
      </c>
      <c r="C10" s="0" t="inlineStr">
        <is>
          <t xml:space="preserve">Publicada</t>
        </is>
      </c>
      <c r="D10" s="0" t="inlineStr">
        <is>
          <t xml:space="preserve">JUNTA NACIONAL DE AUXILIO ESCOLAR Y BECA</t>
        </is>
      </c>
      <c r="E10" s="0" t="inlineStr">
        <is>
          <t xml:space="preserve">JUNTA NACIONAL DE AUXILIO ESCOLAR Y BECA</t>
        </is>
      </c>
      <c r="F10" s="0" t="inlineStr">
        <is>
          <t xml:space="preserve">Región Metropolitana de Santiago</t>
        </is>
      </c>
      <c r="G10" s="0" t="inlineStr">
        <is>
          <t xml:space="preserve">Santiago Centro</t>
        </is>
      </c>
      <c r="H10" s="2">
        <v>46268.654861</v>
      </c>
      <c r="I10" s="2">
        <v>46295.625694</v>
      </c>
      <c r="J10" s="0">
        <v>3</v>
      </c>
      <c r="K10" s="3"/>
      <c r="L10" s="0" t="inlineStr">
        <is>
          <t xml:space="preserve">CLP</t>
        </is>
      </c>
      <c r="M10" s="0" t="inlineStr">
        <is>
          <t xml:space="preserve">LE</t>
        </is>
      </c>
      <c r="N10" s="4" t="inlineStr">
        <is>
          <t xml:space="preserve">Tecnologías de la información, telecomunicaciones y radiodifusión / Software / Programas de desarrollo</t>
        </is>
      </c>
      <c r="O10" s="4" t="inlineStr">
        <is>
          <t xml:space="preserve">1 Unidad · Software de desarrollo de plataforma Web</t>
        </is>
      </c>
      <c r="P10" s="2"/>
      <c r="Q10" s="2"/>
      <c r="R10" s="0" t="inlineStr">
        <is>
          <t xml:space="preserve">36 meses</t>
        </is>
      </c>
      <c r="S10" s="0" t="inlineStr">
        <is>
          <t xml:space="preserve">No</t>
        </is>
      </c>
      <c r="T10" s="4" t="inlineStr">
        <is>
          <t xml:space="preserve">SEGÚN LO INDICADO EN EL TÍTULO 19 DE LAS BASES ADMINISTRATIVAS.</t>
        </is>
      </c>
      <c r="U10" s="0" t="inlineStr">
        <is>
          <t xml:space="preserve">Fernando Peña Rivera</t>
        </is>
      </c>
      <c r="V10"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10" s="5" t="str">
        <f>HYPERLINK("https://www.mercadopublico.cl/Procurement/Modules/Attachment/ViewAttachment.aspx?enc=FGvpXcjej4QfW5z1DVWbjPlZd1gI9uDgFu%2ftTmJqEt6dm9QEgbBzRQR%2b6eoSHiQXIWjqUWxS%2faC1VoHgLJNaSRJ%2fiRpNTyjgLyKEJfdedCq1u59hwJgyqjwBH6086ERhny5ddPnRLoZHC6sihp%2f0RsHZBv0lSpeDCNP%2bGq6Mq7v0iy%2b1KcAnoKPLbwLTlzrBjP%2bq2NsTZ19JnKk4PwnCnKkBlHoZkzNepqpYKqafVLyuLvljld9eMgkeA%2fn6wAk%2fD5lyBIY4F4ZMjq3Lc5Dv6Ey34heU0MrXQEnZBVbA4Nsh3ip38QuxeapQk8sBRbAd","descargar bases")</f>
      </c>
    </row>
    <row r="11">
      <c r="A11" s="0" t="inlineStr">
        <is>
          <t xml:space="preserve">2358-23-LE26</t>
        </is>
      </c>
      <c r="B11" s="4" t="inlineStr">
        <is>
          <t xml:space="preserve">©sc 1 Depto. Informática-Insumos para impresoras de los deptos. municipales.</t>
        </is>
      </c>
      <c r="C11" s="0" t="inlineStr">
        <is>
          <t xml:space="preserve">Publicada</t>
        </is>
      </c>
      <c r="D11" s="0" t="inlineStr">
        <is>
          <t xml:space="preserve">I MUNICIPALIDAD DE TALCAHUANO</t>
        </is>
      </c>
      <c r="E11" s="0" t="inlineStr">
        <is>
          <t xml:space="preserve">DEPARTAMENTO DE FINANZAS</t>
        </is>
      </c>
      <c r="F11" s="0" t="inlineStr">
        <is>
          <t xml:space="preserve">Región del Biobío </t>
        </is>
      </c>
      <c r="G11" s="0" t="inlineStr">
        <is>
          <t xml:space="preserve">Talcahuano</t>
        </is>
      </c>
      <c r="H11" s="2">
        <v>46289.492674</v>
      </c>
      <c r="I11" s="2">
        <v>46295.645833</v>
      </c>
      <c r="J11" s="0">
        <v>3</v>
      </c>
      <c r="K11" s="3">
        <v>26000000.0</v>
      </c>
      <c r="L11" s="0" t="inlineStr">
        <is>
          <t xml:space="preserve">CLP</t>
        </is>
      </c>
      <c r="M11" s="0" t="inlineStr">
        <is>
          <t xml:space="preserve">LE</t>
        </is>
      </c>
      <c r="N11" s="4" t="inlineStr">
        <is>
          <t xml:space="preserve">Equipos, accesorios y suministros de oficina / Maquinarias, suministros y accesorios de oficina / Suministros para impresora, fax y fotocopiadora</t>
        </is>
      </c>
      <c r="O11" s="4" t="inlineStr">
        <is>
          <t xml:space="preserve">1 Global · Tóner</t>
        </is>
      </c>
      <c r="P11" s="2"/>
      <c r="Q11" s="2"/>
      <c r="R11" s="0"/>
      <c r="S11" s="0" t="inlineStr">
        <is>
          <t xml:space="preserve">No</t>
        </is>
      </c>
      <c r="T11" s="4" t="inlineStr">
        <is>
          <t xml:space="preserve">Insumos</t>
        </is>
      </c>
      <c r="U11" s="0" t="inlineStr">
        <is>
          <t xml:space="preserve">Dirección de Adm. y Finanzas-Adquisiciones</t>
        </is>
      </c>
      <c r="V11" s="4" t="inlineStr">
        <is>
          <t xml:space="preserve">©sc 1 Depto. Informática-Insumos para impresoras de los deptos. municipales.</t>
        </is>
      </c>
      <c r="W11" s="5" t="str">
        <f>HYPERLINK("https://www.mercadopublico.cl/Procurement/Modules/Attachment/ViewAttachment.aspx?enc=LPf0TMxdi3I8zQytoMHFCOpqDmNBUhv%2bTpmRPM4pFu9bM7qf1eWmCFiIn3rLQ8J1YNyuOJ1Pyn7z2nGBugrRNnDOiRiS1qzcqtXNPdVUNQJhOD24JlcHwP0a%2bgzqzHYKOmQnO5pCCGdiFQPa77UvWBpNdH%2fir3RNwHWm0%2b4M7zwwj%2fz8Kl6RF%2f6A6w%2fWQZ3i8lgbwvOQmcrR2YVMZUoJv38wDn71AFtL1PbHILV5A95MM08nWnn79eGCWVza9Rw0tcwTikHxYe%2bX2V0Ld5NNwpJMebS0wDVO5wCxgx3TrSvHZycOzTP662zajkTQ85iM","descargar bases")</f>
      </c>
    </row>
    <row r="12">
      <c r="A12" s="0" t="inlineStr">
        <is>
          <t xml:space="preserve">5413-72-LP26</t>
        </is>
      </c>
      <c r="B12" s="4" t="inlineStr">
        <is>
          <t xml:space="preserve">Cámaras digitales y lentes de cámara. Proyecto RED</t>
        </is>
      </c>
      <c r="C12" s="0" t="inlineStr">
        <is>
          <t xml:space="preserve">Publicada</t>
        </is>
      </c>
      <c r="D12" s="0" t="inlineStr">
        <is>
          <t xml:space="preserve">UNIVERSIDAD DE LOS LAGOS</t>
        </is>
      </c>
      <c r="E12" s="0" t="inlineStr">
        <is>
          <t xml:space="preserve">CAMPUS OSORNO</t>
        </is>
      </c>
      <c r="F12" s="0" t="inlineStr">
        <is>
          <t xml:space="preserve">Región de los Lagos </t>
        </is>
      </c>
      <c r="G12" s="0"/>
      <c r="H12" s="2">
        <v>46272.748611</v>
      </c>
      <c r="I12" s="2">
        <v>46295.645833</v>
      </c>
      <c r="J12" s="0">
        <v>3</v>
      </c>
      <c r="K12" s="3">
        <v>98588644.0</v>
      </c>
      <c r="L12" s="0" t="inlineStr">
        <is>
          <t xml:space="preserve">CLP</t>
        </is>
      </c>
      <c r="M12" s="0" t="inlineStr">
        <is>
          <t xml:space="preserve">LP</t>
        </is>
      </c>
      <c r="N12" s="4" t="inlineStr">
        <is>
          <t xml:space="preserve">Equipos y suministros de imprenta, fotográficos y audiovisuales / Equipos de video, filmación o fotografía / Cámaras</t>
        </is>
      </c>
      <c r="O12" s="4" t="inlineStr">
        <is>
          <t xml:space="preserve">19 Unidad · Videocámaras portátiles · 19 Unidad · Videocámaras portátiles</t>
        </is>
      </c>
      <c r="P12" s="2"/>
      <c r="Q12" s="2"/>
      <c r="R12" s="0"/>
      <c r="S12" s="0" t="inlineStr">
        <is>
          <t xml:space="preserve">No</t>
        </is>
      </c>
      <c r="T12" s="4"/>
      <c r="U12" s="0" t="inlineStr">
        <is>
          <t xml:space="preserve">Claudia Millán Rute</t>
        </is>
      </c>
      <c r="V12"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12" s="5" t="str">
        <f>HYPERLINK("https://www.mercadopublico.cl/Procurement/Modules/Attachment/ViewAttachment.aspx?enc=XqN2M1bMQmsK9jWtxQAaxhhzDss89XxHEWDdirScWqU45nd%2fXI4zvR%2bb3dxoMzYhMilMSYTxbfgV6a%2b%2f%2bhf5VE6cshB%2f1BQmTKeumsEBbwoHSEd08yCwIu68QSWnCghL2Fm2HVkR6hZokFOvGjRv6rxKUfSs5Hx2Ex%2fnp2vobxFhqRhV7p3S1Benx7ZDVPR3OISzmL8HysUiJBia%2bnwWzw41G11GrwpU8xGhn9Tswa3p1Y4Wtw6mPCAuFAa9FqSQ2MjGsEuwH%2fYX4DMXM1%2fvtVv9EjOdSLWoNouBlD0e2xGM%2fLKXLg%2bYnsXxgabcZNnX","descargar bases")</f>
      </c>
    </row>
    <row r="13">
      <c r="A13" s="0" t="inlineStr">
        <is>
          <t xml:space="preserve">609-28-LE26</t>
        </is>
      </c>
      <c r="B13" s="4" t="inlineStr">
        <is>
          <t xml:space="preserve">Adquisición de licencias prevención de datos</t>
        </is>
      </c>
      <c r="C13" s="0" t="inlineStr">
        <is>
          <t xml:space="preserve">Publicada</t>
        </is>
      </c>
      <c r="D13" s="0" t="inlineStr">
        <is>
          <t xml:space="preserve">INSTITUTO DE DESARROLLO AGROPECUARIO</t>
        </is>
      </c>
      <c r="E13" s="0" t="inlineStr">
        <is>
          <t xml:space="preserve">Instituto de Desarrollo Agropecuario - INDAP</t>
        </is>
      </c>
      <c r="F13" s="0" t="inlineStr">
        <is>
          <t xml:space="preserve">Región Metropolitana de Santiago</t>
        </is>
      </c>
      <c r="G13" s="0" t="inlineStr">
        <is>
          <t xml:space="preserve">Santiago</t>
        </is>
      </c>
      <c r="H13" s="2">
        <v>46280.638287</v>
      </c>
      <c r="I13" s="2">
        <v>46295.645833</v>
      </c>
      <c r="J13" s="0">
        <v>3</v>
      </c>
      <c r="K13" s="3"/>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1 Unidad · Software de gestión de licencias</t>
        </is>
      </c>
      <c r="P13" s="2"/>
      <c r="Q13" s="2"/>
      <c r="R13" s="0" t="inlineStr">
        <is>
          <t xml:space="preserve">12 meses</t>
        </is>
      </c>
      <c r="S13" s="0" t="inlineStr">
        <is>
          <t xml:space="preserve">No</t>
        </is>
      </c>
      <c r="T13" s="4" t="inlineStr">
        <is>
          <t xml:space="preserve">Remítase a Resolución Exenta adjunta.</t>
        </is>
      </c>
      <c r="U13" s="0" t="inlineStr">
        <is>
          <t xml:space="preserve">Mauricio Beltran</t>
        </is>
      </c>
      <c r="V13" s="4" t="inlineStr">
        <is>
          <t xml:space="preserve">Se requiere la contratación de un oferente del ramo, que provea la adquisición de licencias para la autentificación de doble factor y prevención de pérdida de datos.</t>
        </is>
      </c>
      <c r="W13" s="5" t="str">
        <f>HYPERLINK("https://www.mercadopublico.cl/Procurement/Modules/Attachment/ViewAttachment.aspx?enc=3bw%2fm7v2AUPA%2fS0bLhpDfMKr%2f7nPdwbDZJr%2bsfKfqqJZmbCHFY4uIUE5ijdXm7olS7qFVWZ3BrcfP%2bfFQ0kID38n6ohi%2fODQsL9gJJ3Jk3QLokQyLrt3jm1nYOtnZS8pBIlw6K7UMWe6bBOdvACrzxXZORk5LLfNTBmzZJsvaiQgmWwYzPe5kA9LjcUImgppIm73intyyWuZKgK9m4ATZFd6kNGEnEr7SARMhM5y7ZD6RW1NAXDTHvouVVvVWdiw5mGKaKMFAhuj1jtQnAu%2ffrdFU3Dmg7mNsqXii33gMeFzrkVeGKHO1lyCVYofXjnb","descargar bases")</f>
      </c>
    </row>
    <row r="14">
      <c r="A14" s="0" t="inlineStr">
        <is>
          <t xml:space="preserve">1005498-22-LE26</t>
        </is>
      </c>
      <c r="B14" s="4" t="inlineStr">
        <is>
          <t xml:space="preserve">Servicio de implementación de Jira o similar en modalidad Cloud</t>
        </is>
      </c>
      <c r="C14" s="0" t="inlineStr">
        <is>
          <t xml:space="preserve">Publicada</t>
        </is>
      </c>
      <c r="D14" s="0" t="inlineStr">
        <is>
          <t xml:space="preserve">COMISION PARA EL MERCADO FINANCIERO</t>
        </is>
      </c>
      <c r="E14" s="0" t="inlineStr">
        <is>
          <t xml:space="preserve">COMISION PARA EL MERCADO FINANCIERO</t>
        </is>
      </c>
      <c r="F14" s="0" t="inlineStr">
        <is>
          <t xml:space="preserve">Región Metropolitana de Santiago</t>
        </is>
      </c>
      <c r="G14" s="0" t="inlineStr">
        <is>
          <t xml:space="preserve">Santiago Centro</t>
        </is>
      </c>
      <c r="H14" s="2">
        <v>46286.534248</v>
      </c>
      <c r="I14" s="2">
        <v>46295.666667</v>
      </c>
      <c r="J14" s="0">
        <v>3</v>
      </c>
      <c r="K14" s="3">
        <v>20000000.0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Global · Programas de gestión de proyectos</t>
        </is>
      </c>
      <c r="P14" s="2"/>
      <c r="Q14" s="2"/>
      <c r="R14" s="0" t="inlineStr">
        <is>
          <t xml:space="preserve">2 meses</t>
        </is>
      </c>
      <c r="S14" s="0" t="inlineStr">
        <is>
          <t xml:space="preserve">No</t>
        </is>
      </c>
      <c r="T14" s="4" t="inlineStr">
        <is>
          <t xml:space="preserve">NO SE PERMITE</t>
        </is>
      </c>
      <c r="U14" s="0" t="inlineStr">
        <is>
          <t xml:space="preserve">Osvaldo Rosales</t>
        </is>
      </c>
      <c r="V14" s="4" t="inlineStr">
        <is>
          <t xml:space="preserve">servicio de implementación de Jira (o similar) en modalidad Cloud para la CMF</t>
        </is>
      </c>
      <c r="W14" s="5" t="str">
        <f>HYPERLINK("https://www.mercadopublico.cl/Procurement/Modules/Attachment/ViewAttachment.aspx?enc=LuNJajRiWtCCrjobINJEgfgVUMobUtRD9cWqYGmRk1SjZkqGAVPDqyXFB7nSQrqKUp%2f7%2fLUKgjNRtDvw1ZzjtxabqjNeB9g2SrcOupSTlZI7NVJX0bcpsCas655eJWPU1v488Hae3YhXdMr4IqkJfEj%2bhjp9pET3WgzVTjN%2bcathBOXkNSBvTWH%2fHyZLgwjmlN6ba%2bR0S9hSCFIxEl8cv%2bLCVz4%2byd9IgzqDM99oQVU2L%2fY4mPn0rnuvD7PG2jjSGXpBv4zG97DQoHMdb6Dlnf7WNdmBNCIpTAgnglp2aMWtimT27L8c64B9vqh6fwrD","descargar bases")</f>
      </c>
    </row>
    <row r="15">
      <c r="A15" s="0" t="inlineStr">
        <is>
          <t xml:space="preserve">4051-16-LP26</t>
        </is>
      </c>
      <c r="B15" s="4" t="inlineStr">
        <is>
          <t xml:space="preserve">SERVICIO ADMINISTRADO DE INTERNET RED DE DATOS Y</t>
        </is>
      </c>
      <c r="C15" s="0" t="inlineStr">
        <is>
          <t xml:space="preserve">Publicada</t>
        </is>
      </c>
      <c r="D15" s="0" t="inlineStr">
        <is>
          <t xml:space="preserve">I MUNICIPALIDAD DE OLLAGUE</t>
        </is>
      </c>
      <c r="E15" s="0" t="inlineStr">
        <is>
          <t xml:space="preserve">Municipalidad de Ollagüe</t>
        </is>
      </c>
      <c r="F15" s="0" t="inlineStr">
        <is>
          <t xml:space="preserve">Región de Antofagasta </t>
        </is>
      </c>
      <c r="G15" s="0" t="inlineStr">
        <is>
          <t xml:space="preserve">Ollague</t>
        </is>
      </c>
      <c r="H15" s="2">
        <v>46269.531944</v>
      </c>
      <c r="I15" s="2">
        <v>46295.666667</v>
      </c>
      <c r="J15" s="0">
        <v>3</v>
      </c>
      <c r="K15" s="3"/>
      <c r="L15" s="0" t="inlineStr">
        <is>
          <t xml:space="preserve">CLF</t>
        </is>
      </c>
      <c r="M15" s="0" t="inlineStr">
        <is>
          <t xml:space="preserve">LP</t>
        </is>
      </c>
      <c r="N15" s="4" t="inlineStr">
        <is>
          <t xml:space="preserve">Servicios basados en ingeniería, ciencias sociales y tecnología de la información / Servicios informáticos / Servicios para internet</t>
        </is>
      </c>
      <c r="O15" s="4" t="inlineStr">
        <is>
          <t xml:space="preserve">1 Unidad · Proveedores de servicio de Internet (ISP)</t>
        </is>
      </c>
      <c r="P15" s="2"/>
      <c r="Q15" s="2"/>
      <c r="R15" s="0" t="inlineStr">
        <is>
          <t xml:space="preserve">48 meses</t>
        </is>
      </c>
      <c r="S15" s="0" t="inlineStr">
        <is>
          <t xml:space="preserve">No</t>
        </is>
      </c>
      <c r="T15" s="4"/>
      <c r="U15" s="0" t="inlineStr">
        <is>
          <t xml:space="preserve">Jhean Ramírez Domínguez</t>
        </is>
      </c>
      <c r="V15"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5" s="5" t="str">
        <f>HYPERLINK("https://www.mercadopublico.cl/Procurement/Modules/Attachment/ViewAttachment.aspx?enc=W91ZlupXUHmhQszv52svVL4j4I6kOM%2bOhTavbZ%2bqAYRNODmlSz0DtYgKzpnqdld6QRyCXT%2b09vS2RA2JWsfNS%2buz7Lmawq%2fhhF5s3hT4C8BMJKXlnumCaOQRRNJ%2bxA5ToG4gyLObNaCOE6KGcXqmarf11rPKapplmERoIx7EomeEE5S2i4eJ%2fSYXm9jad5%2bflHXk8UN27IEL6Vgflms%2fGJoTJ450E3v0iVENcTF0RB%2b%2bpPdCp9DIEGl%2bemwaDU%2b4wp5UFnQvz8pghqmfuyUnSaH38klSQN%2fCdzLFSLKAtoPdfDBsCbYJ9JMAS7gC4lz7","descargar bases")</f>
      </c>
    </row>
    <row r="16">
      <c r="A16" s="0" t="inlineStr">
        <is>
          <t xml:space="preserve">591-26-LP26</t>
        </is>
      </c>
      <c r="B16" s="4" t="inlineStr">
        <is>
          <t xml:space="preserve">PLATAFORMA DE OBSERVABILIDAD AVANZADA MULTICLOUD PARA FONASA.</t>
        </is>
      </c>
      <c r="C16" s="0" t="inlineStr">
        <is>
          <t xml:space="preserve">Publicada</t>
        </is>
      </c>
      <c r="D16" s="0" t="inlineStr">
        <is>
          <t xml:space="preserve">FONDO NACIONAL DE SALUD</t>
        </is>
      </c>
      <c r="E16" s="0" t="inlineStr">
        <is>
          <t xml:space="preserve">FONASA, Nivel Central</t>
        </is>
      </c>
      <c r="F16" s="0" t="inlineStr">
        <is>
          <t xml:space="preserve">Región Metropolitana de Santiago</t>
        </is>
      </c>
      <c r="G16" s="0"/>
      <c r="H16" s="2">
        <v>46275.725197</v>
      </c>
      <c r="I16" s="2">
        <v>46295.666667</v>
      </c>
      <c r="J16" s="0">
        <v>3</v>
      </c>
      <c r="K16" s="3"/>
      <c r="L16" s="0" t="inlineStr">
        <is>
          <t xml:space="preserve">CLP</t>
        </is>
      </c>
      <c r="M16" s="0" t="inlineStr">
        <is>
          <t xml:space="preserve">LP</t>
        </is>
      </c>
      <c r="N16" s="4" t="inlineStr">
        <is>
          <t xml:space="preserve">Tecnologías de la información, telecomunicaciones y radiodifusión / Software / Software de gestión</t>
        </is>
      </c>
      <c r="O16" s="4" t="inlineStr">
        <is>
          <t xml:space="preserve">1 Unidad · Software de gestión de licencias</t>
        </is>
      </c>
      <c r="P16" s="2"/>
      <c r="Q16" s="2"/>
      <c r="R16" s="0" t="inlineStr">
        <is>
          <t xml:space="preserve">15 meses</t>
        </is>
      </c>
      <c r="S16" s="0" t="inlineStr">
        <is>
          <t xml:space="preserve">No</t>
        </is>
      </c>
      <c r="T16" s="4"/>
      <c r="U16" s="0" t="inlineStr">
        <is>
          <t xml:space="preserve">Marcelo Gonzalez</t>
        </is>
      </c>
      <c r="V16" s="4" t="inlineStr">
        <is>
          <t xml:space="preserve">El Oferente para la provisión de una plataforma de observabilidad SaaS y la prestación de servicios profesionales especializados para su configuración, despliegue multicloud y transferencia tecnológica</t>
        </is>
      </c>
      <c r="W16" s="5" t="str">
        <f>HYPERLINK("https://www.mercadopublico.cl/Procurement/Modules/Attachment/ViewAttachment.aspx?enc=XLxGH%2b32f8LzwK7GzOmKefEow0J6qrhb7Q4ACf6uPpNwdyJle1NA7iHMWEF7ea4wXPGvXbwZN5joxNcIBk6jM2X731%2bMg8jeZVrxWAvrVBy0RbfMJMCOnToooxKE3mOET2DUVM0FbHhPRJ1gl99g4cEVF8jmnwlErUJZNIETjrh1evap0QWCRFRTa0FEIOnq2QHnLeySULpP%2fmdmFNr2W%2bUrIp6%2fq%2fPlEXQsCt9N2%2ftXBoA6j5mRC%2bP0MtActT4P7ukL0r6OD3PvNBZatk14xHBL7cQeKX0JzY2zAj1Yl%2bcHvwAsz35nUY1buJSGNsIn","descargar bases")</f>
      </c>
    </row>
    <row r="17">
      <c r="A17" s="0" t="inlineStr">
        <is>
          <t xml:space="preserve">885-84-LE26</t>
        </is>
      </c>
      <c r="B17" s="4" t="inlineStr">
        <is>
          <t xml:space="preserve">Soporte mantención y monitoreo plataforma legacy IBM Spectrum para la Contraloría General de la República</t>
        </is>
      </c>
      <c r="C17" s="0" t="inlineStr">
        <is>
          <t xml:space="preserve">Publicada</t>
        </is>
      </c>
      <c r="D17" s="0" t="inlineStr">
        <is>
          <t xml:space="preserve">CONTRALORIA GENERAL DE LA REPUBLICA</t>
        </is>
      </c>
      <c r="E17" s="0" t="inlineStr">
        <is>
          <t xml:space="preserve">Contraloría General de la República</t>
        </is>
      </c>
      <c r="F17" s="0" t="inlineStr">
        <is>
          <t xml:space="preserve">Región Metropolitana de Santiago</t>
        </is>
      </c>
      <c r="G17" s="0"/>
      <c r="H17" s="2">
        <v>46280.726771</v>
      </c>
      <c r="I17" s="2">
        <v>46295.666667</v>
      </c>
      <c r="J17" s="0">
        <v>3</v>
      </c>
      <c r="K17" s="3">
        <v>30000000.0</v>
      </c>
      <c r="L17" s="0" t="inlineStr">
        <is>
          <t xml:space="preserve">CLP</t>
        </is>
      </c>
      <c r="M17" s="0" t="inlineStr">
        <is>
          <t xml:space="preserve">LE</t>
        </is>
      </c>
      <c r="N17" s="4" t="inlineStr">
        <is>
          <t xml:space="preserve">Servicios basados en ingeniería, ciencias sociales y tecnología de la información / Servicios informáticos / Administración de sistemas</t>
        </is>
      </c>
      <c r="O17" s="4" t="inlineStr">
        <is>
          <t xml:space="preserve">1 Global · Mantenimiento y soporte de hardware</t>
        </is>
      </c>
      <c r="P17" s="2"/>
      <c r="Q17" s="2"/>
      <c r="R17" s="0" t="inlineStr">
        <is>
          <t xml:space="preserve">12 meses</t>
        </is>
      </c>
      <c r="S17" s="0" t="inlineStr">
        <is>
          <t xml:space="preserve">No</t>
        </is>
      </c>
      <c r="T17" s="4"/>
      <c r="U17" s="0" t="inlineStr">
        <is>
          <t xml:space="preserve">Antonio Alejandro Alcázar Garrido</t>
        </is>
      </c>
      <c r="V17"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17" s="5" t="str">
        <f>HYPERLINK("https://www.mercadopublico.cl/Procurement/Modules/Attachment/ViewAttachment.aspx?enc=hglaIMJMqL1ET2glAmo3SwOeSt4O4kdLgNkIPsnYGsDL6bxW0En7UtYjwlh%2bbbYZK8K0Doa81lVXhOR1wmde0fCwVTk7ID0ZwhG7lR2hHIkiWnt5kDzLXr8yVVWuQ8lNTcfL6q6q22g1wn1kGJrnOwQMqoVoxjYUv9ZiIbQ2PWtuk7BfYaYdZibc0wwkQR5d3OInltbAen0hknWbdIRb7QdzXsxH7HbQnkosPS9O2fKMmSxzNmQWDYaYXmD4ppuQ%2fieXHM61mWMnPw4tPDHorgach4OnWgwEk7UjrjB7mazd%2bUJAXPN2bbgy2DBGytiC","descargar bases")</f>
      </c>
    </row>
    <row r="18">
      <c r="A18" s="0" t="inlineStr">
        <is>
          <t xml:space="preserve">1551861-2-LE26</t>
        </is>
      </c>
      <c r="B18" s="4" t="inlineStr">
        <is>
          <t xml:space="preserve">Equipamiento TI accesorios y software para ESJ VI</t>
        </is>
      </c>
      <c r="C18" s="0" t="inlineStr">
        <is>
          <t xml:space="preserve">Publicada</t>
        </is>
      </c>
      <c r="D18" s="0" t="inlineStr">
        <is>
          <t xml:space="preserve">Corporación de Asistencia Judicial RM</t>
        </is>
      </c>
      <c r="E18" s="0" t="inlineStr">
        <is>
          <t xml:space="preserve">Compras Convenio Subsecretaría de Justicia</t>
        </is>
      </c>
      <c r="F18" s="0" t="inlineStr">
        <is>
          <t xml:space="preserve">Región Metropolitana de Santiago</t>
        </is>
      </c>
      <c r="G18" s="0" t="inlineStr">
        <is>
          <t xml:space="preserve">Santiago Centro</t>
        </is>
      </c>
      <c r="H18" s="2">
        <v>46280.735845</v>
      </c>
      <c r="I18" s="2">
        <v>46295.6875</v>
      </c>
      <c r="J18" s="0">
        <v>3</v>
      </c>
      <c r="K18" s="3">
        <v>59757469.0</v>
      </c>
      <c r="L18" s="0" t="inlineStr">
        <is>
          <t xml:space="preserve">CLP</t>
        </is>
      </c>
      <c r="M18" s="0" t="inlineStr">
        <is>
          <t xml:space="preserve">LE</t>
        </is>
      </c>
      <c r="N18"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18" s="4" t="inlineStr">
        <is>
          <t xml:space="preserve">1 Unidad · Software de diseño asistido por computador (CAD) · 1 Unidad · Trazadoras de gráficos · 1 Unidad · Kit de herramienta para computadores · y 1 más</t>
        </is>
      </c>
      <c r="P18" s="2"/>
      <c r="Q18" s="2"/>
      <c r="R18" s="0"/>
      <c r="S18" s="0" t="inlineStr">
        <is>
          <t xml:space="preserve">No</t>
        </is>
      </c>
      <c r="T18" s="4"/>
      <c r="U18" s="0" t="inlineStr">
        <is>
          <t xml:space="preserve">Nicolás Araya Martín</t>
        </is>
      </c>
      <c r="V18" s="4" t="inlineStr">
        <is>
          <t xml:space="preserve">Adquisición de equipamiento TI, accesorios y licencias de software para servicios usuarios del Edificio Sector Justicia de la Región del Libertador Bernardo O’Higgins.</t>
        </is>
      </c>
      <c r="W18" s="5" t="str">
        <f>HYPERLINK("https://www.mercadopublico.cl/Procurement/Modules/Attachment/ViewAttachment.aspx?enc=71HAQYGszyib37aiDeZuc2H4V4iyfaSH28qqKqXz5mesijO%2bwwNxhZnCrQhHK%2bcRN4LVLwWff3tIILTaTW%2bOvTZ8N5wmANXlpkw2QCVAkBIv8cIrmb29ZOPaYYrNknVZAxCR1juRj%2fWjoMCx7GRrGNkb1AGmCT3UmqCyYZbyOqQ5Nt4g3HGDEhkXGpVc181ogG9BlR8Hwes64LK8i%2bz6IhRv%2fxhSKfNIEVxdcNDUsFCZ2pmjYNoii4hJu%2bqyZ0i9ySH2s3rfVLn69nGDf0ezJF7snfZKFAVNTG8hSbfaas5vIxlQBBnB7WI8WQepGjJ6","descargar bases")</f>
      </c>
    </row>
    <row r="19">
      <c r="A19" s="0" t="inlineStr">
        <is>
          <t xml:space="preserve">4768-48-LE26</t>
        </is>
      </c>
      <c r="B19" s="4" t="inlineStr">
        <is>
          <t xml:space="preserve">MODIFICACION Y MODERNIZACION SEL SITIO WEB</t>
        </is>
      </c>
      <c r="C19" s="0" t="inlineStr">
        <is>
          <t xml:space="preserve">Publicada</t>
        </is>
      </c>
      <c r="D19" s="0" t="inlineStr">
        <is>
          <t xml:space="preserve">I MUNICIPALIDAD DE LA ESTRELLA</t>
        </is>
      </c>
      <c r="E19" s="0" t="inlineStr">
        <is>
          <t xml:space="preserve">D.A.F</t>
        </is>
      </c>
      <c r="F19" s="0" t="inlineStr">
        <is>
          <t xml:space="preserve">Región del Libertador General Bernardo O´Higgins</t>
        </is>
      </c>
      <c r="G19" s="0" t="inlineStr">
        <is>
          <t xml:space="preserve">La Estrella</t>
        </is>
      </c>
      <c r="H19" s="2">
        <v>46290.536956</v>
      </c>
      <c r="I19" s="2">
        <v>46295.739583</v>
      </c>
      <c r="J19" s="0">
        <v>3</v>
      </c>
      <c r="K19" s="3">
        <v>9000000.0</v>
      </c>
      <c r="L19" s="0" t="inlineStr">
        <is>
          <t xml:space="preserve">CLP</t>
        </is>
      </c>
      <c r="M19" s="0" t="inlineStr">
        <is>
          <t xml:space="preserve">LE</t>
        </is>
      </c>
      <c r="N19" s="4" t="inlineStr">
        <is>
          <t xml:space="preserve">Tecnologías de la información, telecomunicaciones y radiodifusión / Software / Programas de desarrollo</t>
        </is>
      </c>
      <c r="O19" s="4" t="inlineStr">
        <is>
          <t xml:space="preserve">1 Global · Software de desarrollo de plataforma Web</t>
        </is>
      </c>
      <c r="P19" s="2"/>
      <c r="Q19" s="2"/>
      <c r="R19" s="0"/>
      <c r="S19" s="0" t="inlineStr">
        <is>
          <t xml:space="preserve">No</t>
        </is>
      </c>
      <c r="T19" s="4" t="inlineStr">
        <is>
          <t xml:space="preserve">SEGUN LO INDICADO EN LAS BASES DE LICITACION</t>
        </is>
      </c>
      <c r="U19" s="0" t="inlineStr">
        <is>
          <t xml:space="preserve">GUISSEL LUCERO MADRID</t>
        </is>
      </c>
      <c r="V19" s="4" t="inlineStr">
        <is>
          <t xml:space="preserve">Contratar el servicio de diseño, modificación, modernización, desarrollo, implementación, puesta en marcha, capacitación y soporte del sitio web institucional de la Municipalidad de La Estrella.</t>
        </is>
      </c>
      <c r="W19" s="5" t="str">
        <f>HYPERLINK("https://www.mercadopublico.cl/Procurement/Modules/Attachment/ViewAttachment.aspx?enc=crDZNCTe3jYzDc%2fiocSI4O2I4qva0NnqBfd9izvIhUGFgPOTk%2bCvw3%2f57XcIJt%2bUZWcqKaCc2zXoPT4Z3RU83IWBIoj%2b5rfYT1NBvJbtcXibgRO%2fACihr9V3%2bBPZunMYfWBkQuRzTSNi9ByQ8gw06SUb2h2DvHm3CxltktZrGyDQ7uQMU84jxJGfG2RgvEr1fgE3xbLvG7YxAYOC8caLakIbuLF9GeE%2fWUaaGRdcZIRyzlgE%2btPZcOGM5GM1eRVquKI1sDF3eIRW7pABKufJCe8DMm2sdkUQa7Bqu%2fzh5z7lgwg3PD%2fz%2fqz7aLAiJa2y","descargar bases")</f>
      </c>
    </row>
    <row r="20">
      <c r="A20" s="0" t="inlineStr">
        <is>
          <t xml:space="preserve">1002592-6-LP26</t>
        </is>
      </c>
      <c r="B20" s="4" t="inlineStr">
        <is>
          <t xml:space="preserve">Servicio integral de Cloud Computing con Hosting</t>
        </is>
      </c>
      <c r="C20" s="0" t="inlineStr">
        <is>
          <t xml:space="preserve">Publicada</t>
        </is>
      </c>
      <c r="D20" s="0" t="inlineStr">
        <is>
          <t xml:space="preserve">SERVICIO LOCAL DE EDUCACION LAS BARRANCAS</t>
        </is>
      </c>
      <c r="E20" s="0" t="inlineStr">
        <is>
          <t xml:space="preserve">SLEPB PROGRAMA 1</t>
        </is>
      </c>
      <c r="F20" s="0" t="inlineStr">
        <is>
          <t xml:space="preserve">Región Metropolitana de Santiago</t>
        </is>
      </c>
      <c r="G20" s="0" t="inlineStr">
        <is>
          <t xml:space="preserve">Pudahuel</t>
        </is>
      </c>
      <c r="H20" s="2">
        <v>46275.645544</v>
      </c>
      <c r="I20" s="2">
        <v>46295.75</v>
      </c>
      <c r="J20" s="0">
        <v>3</v>
      </c>
      <c r="K20" s="3">
        <v>135000000.0</v>
      </c>
      <c r="L20" s="0" t="inlineStr">
        <is>
          <t xml:space="preserve">CLP</t>
        </is>
      </c>
      <c r="M20" s="0" t="inlineStr">
        <is>
          <t xml:space="preserve">LP</t>
        </is>
      </c>
      <c r="N20" s="4" t="inlineStr">
        <is>
          <t xml:space="preserve">Servicios basados en ingeniería, ciencias sociales y tecnología de la información / Servicios informáticos / Servicios para internet</t>
        </is>
      </c>
      <c r="O20" s="4" t="inlineStr">
        <is>
          <t xml:space="preserve">1 Unidad · Web Hosting</t>
        </is>
      </c>
      <c r="P20" s="2"/>
      <c r="Q20" s="2"/>
      <c r="R20" s="0" t="inlineStr">
        <is>
          <t xml:space="preserve">36 meses</t>
        </is>
      </c>
      <c r="S20" s="0" t="inlineStr">
        <is>
          <t xml:space="preserve">No</t>
        </is>
      </c>
      <c r="T20" s="4"/>
      <c r="U20" s="0" t="inlineStr">
        <is>
          <t xml:space="preserve">Unidad de Tecnologías de la Información</t>
        </is>
      </c>
      <c r="V20"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20" s="5" t="str">
        <f>HYPERLINK("https://www.mercadopublico.cl/Procurement/Modules/Attachment/ViewAttachment.aspx?enc=yO%2flc%2fnmTGofASj0x5TGNjVjSEzJhQSh79gDMQwoVTGtmuOvv7P9QgL7LA1Q5xX%2bGh7Vh0SFRRZ%2bqoPl1DZfWUTdDTB8XwKYN%2f0%2f%2b4mVjfVNoC%2bXvYnOek00osP2O4BJrIFJvUAfiseTREXXeQarosQNq%2bPM25kM15LE0UpDl3PDgYonhNsUFEL4OOFBJMYF74c5s0vW62Ivw2cQBe5I8Jc%2bj47ezXjjqiVcUcZSVanRjiiwZrR%2fvD8bQ%2bsGF342f6WxBQoVUkfiC%2fruP%2fAC6RlbDHqt6JR0H9AAi8ejvxSWDcaAigo62xyZP1QeeklC","descargar bases")</f>
      </c>
    </row>
    <row r="21">
      <c r="A21" s="0" t="inlineStr">
        <is>
          <t xml:space="preserve">4295-67-LP26</t>
        </is>
      </c>
      <c r="B21" s="4" t="inlineStr">
        <is>
          <t xml:space="preserve">Servicio de enlace de datos voz IP y CCTV para oficinas remotas</t>
        </is>
      </c>
      <c r="C21" s="0" t="inlineStr">
        <is>
          <t xml:space="preserve">Publicada</t>
        </is>
      </c>
      <c r="D21" s="0" t="inlineStr">
        <is>
          <t xml:space="preserve">ILUSTRE MUNICIPALIDAD DE LA SERENA</t>
        </is>
      </c>
      <c r="E21" s="0" t="inlineStr">
        <is>
          <t xml:space="preserve">SECRETARIA COMUNAL DE PLANIFICACION</t>
        </is>
      </c>
      <c r="F21" s="0" t="inlineStr">
        <is>
          <t xml:space="preserve">Región de Coquimbo </t>
        </is>
      </c>
      <c r="G21" s="0" t="inlineStr">
        <is>
          <t xml:space="preserve">La Serena</t>
        </is>
      </c>
      <c r="H21" s="2">
        <v>46268.383877</v>
      </c>
      <c r="I21" s="2">
        <v>46296.416667</v>
      </c>
      <c r="J21" s="0">
        <v>4</v>
      </c>
      <c r="K21" s="3">
        <v>108000000.0</v>
      </c>
      <c r="L21" s="0" t="inlineStr">
        <is>
          <t xml:space="preserve">CLP</t>
        </is>
      </c>
      <c r="M21" s="0" t="inlineStr">
        <is>
          <t xml:space="preserve">LP</t>
        </is>
      </c>
      <c r="N21" s="4" t="inlineStr">
        <is>
          <t xml:space="preserve">Servicios básicos y de información pública / Telecomunicaciones / Comunicaciones móviles</t>
        </is>
      </c>
      <c r="O21" s="4" t="inlineStr">
        <is>
          <t xml:space="preserve">1 Unidad · Servicio de redes para mejorar la señal de telecomunicaciones</t>
        </is>
      </c>
      <c r="P21" s="2"/>
      <c r="Q21" s="2"/>
      <c r="R21" s="0" t="inlineStr">
        <is>
          <t xml:space="preserve">36 meses</t>
        </is>
      </c>
      <c r="S21" s="0" t="inlineStr">
        <is>
          <t xml:space="preserve">No</t>
        </is>
      </c>
      <c r="T21" s="4" t="inlineStr">
        <is>
          <t xml:space="preserve">Ver Bases Administrativas</t>
        </is>
      </c>
      <c r="U21" s="0" t="inlineStr">
        <is>
          <t xml:space="preserve">Departamento de Modernización y TIC`s</t>
        </is>
      </c>
      <c r="V21"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21" s="5" t="str">
        <f>HYPERLINK("https://www.mercadopublico.cl/Procurement/Modules/Attachment/ViewAttachment.aspx?enc=6elDcEQ8FF%2b5JvA356WTxUPjxmPNgLWj5oixW%2f1eV%2bD9tGp%2ffdF22jLdKNFpVLZyJ9WG0XBieom6U3RaV%2flkFf7PhbleXsx9EL%2b8qOKHFVGtBYJuwiv4sK2cuRt7zAN968pgEMrAMGbQCIZYp6OldS9LjcdkNpB%2b5yrwHCfdXfw66uNEEFFyEF4x%2fHjhDVV6T3uUCq%2b6tPahbr%2bwMC6PQ6X2DHBqkaOdFp7HP1gUQVP1vvPMUcIqzVtKv4zX%2bZ9Q%2bMK9Unm5NS7OO8yLEt8k3C6lOhSTbS7DICKtlMZRz9FQxpNOt3K8QFjvJGNYfrAm","descargar bases")</f>
      </c>
    </row>
    <row r="22">
      <c r="A22" s="0" t="inlineStr">
        <is>
          <t xml:space="preserve">673663-31-LE26</t>
        </is>
      </c>
      <c r="B22" s="4" t="inlineStr">
        <is>
          <t xml:space="preserve">ADQUISICIÓN DE PANTALLA LED EXTERIOR Y TRES TOTEM</t>
        </is>
      </c>
      <c r="C22" s="0" t="inlineStr">
        <is>
          <t xml:space="preserve">Publicada</t>
        </is>
      </c>
      <c r="D22" s="0" t="inlineStr">
        <is>
          <t xml:space="preserve">I MUNICIPALIDAD DE ANDACOLLO</t>
        </is>
      </c>
      <c r="E22" s="0" t="inlineStr">
        <is>
          <t xml:space="preserve">Secplan</t>
        </is>
      </c>
      <c r="F22" s="0" t="inlineStr">
        <is>
          <t xml:space="preserve">Región de Coquimbo </t>
        </is>
      </c>
      <c r="G22" s="0" t="inlineStr">
        <is>
          <t xml:space="preserve">Andacollo</t>
        </is>
      </c>
      <c r="H22" s="2">
        <v>46281.669201</v>
      </c>
      <c r="I22" s="2">
        <v>46296.458333</v>
      </c>
      <c r="J22" s="0">
        <v>4</v>
      </c>
      <c r="K22" s="3"/>
      <c r="L22" s="0" t="inlineStr">
        <is>
          <t xml:space="preserve">CLP</t>
        </is>
      </c>
      <c r="M22" s="0" t="inlineStr">
        <is>
          <t xml:space="preserve">LE</t>
        </is>
      </c>
      <c r="N22" s="4" t="inlineStr">
        <is>
          <t xml:space="preserve">Tecnologías de la información, telecomunicaciones y radiodifusión / Equipos informáticos y accesorios / Pantallas o monitores de computador</t>
        </is>
      </c>
      <c r="O22" s="4" t="inlineStr">
        <is>
          <t xml:space="preserve">1 Global · Monitores de pantalla táctil</t>
        </is>
      </c>
      <c r="P22" s="2"/>
      <c r="Q22" s="2"/>
      <c r="R22" s="0"/>
      <c r="S22" s="0" t="inlineStr">
        <is>
          <t xml:space="preserve">No</t>
        </is>
      </c>
      <c r="T22" s="4"/>
      <c r="U22" s="0" t="inlineStr">
        <is>
          <t xml:space="preserve">JUAN CARLOS ALFARO ARAVENA</t>
        </is>
      </c>
      <c r="V22" s="4" t="inlineStr">
        <is>
          <t xml:space="preserve">ADQUISICIÓN DE PANTALLA LED EXTERIOR Y TRES TOTEM PUBLICITARIOS LED</t>
        </is>
      </c>
      <c r="W22" s="5" t="str">
        <f>HYPERLINK("https://www.mercadopublico.cl/Procurement/Modules/Attachment/ViewAttachment.aspx?enc=A3vrs%2b6hvzixGsdBUzXTptqViYYIK5RiecM0M1vQWLDTVQEBbYs7s4mD9RR5cXtNT8LfxIXvpPUsVV2KLEVf12%2fdFT2vcP%2fkc4tLT%2fHe%2fdRMENYx%2fUG13v%2bHxRdH%2bHZzyFqjkSnVvztMD%2b8ImxEDYkxMvgxmXi6LzcgX4HPdZV6wpE%2bkBdVvnRb%2bEk20xUZLDW5HNjONEi4tI%2fEAZi3pYJsMpUsuawo4r%2f6CIVvZZXAYotgdUOIgQI9BA89z9W9lHhSE%2b8dBH6HP9%2f95ULiFpZL4%2f3uRZ688bSLj4tBe5PiknBHIghNVDiFYzjwV%2f6bZ","descargar bases")</f>
      </c>
    </row>
    <row r="23">
      <c r="A23" s="0" t="inlineStr">
        <is>
          <t xml:space="preserve">1375760-10-LE26</t>
        </is>
      </c>
      <c r="B23" s="4" t="inlineStr">
        <is>
          <t xml:space="preserve">SERVICIO DIGITALIZACIÓN EXPEDIENTES FUNCIONARIOS</t>
        </is>
      </c>
      <c r="C23" s="0" t="inlineStr">
        <is>
          <t xml:space="preserve">Publicada</t>
        </is>
      </c>
      <c r="D23" s="0" t="inlineStr">
        <is>
          <t xml:space="preserve">SERVICIO LOCAL DE EDUCACIÓN PÚBLICA VALLE CACHAPOAL</t>
        </is>
      </c>
      <c r="E23" s="0" t="inlineStr">
        <is>
          <t xml:space="preserve">COMPRAS Y LICITACIONES</t>
        </is>
      </c>
      <c r="F23" s="0" t="inlineStr">
        <is>
          <t xml:space="preserve">Región del Libertador General Bernardo O´Higgins</t>
        </is>
      </c>
      <c r="G23" s="0" t="inlineStr">
        <is>
          <t xml:space="preserve">Rengo</t>
        </is>
      </c>
      <c r="H23" s="2">
        <v>46286.51515</v>
      </c>
      <c r="I23" s="2">
        <v>46296.5</v>
      </c>
      <c r="J23" s="0">
        <v>4</v>
      </c>
      <c r="K23" s="3">
        <v>35000000.0</v>
      </c>
      <c r="L23" s="0" t="inlineStr">
        <is>
          <t xml:space="preserve">CLP</t>
        </is>
      </c>
      <c r="M23" s="0" t="inlineStr">
        <is>
          <t xml:space="preserve">LE</t>
        </is>
      </c>
      <c r="N23" s="4" t="inlineStr">
        <is>
          <t xml:space="preserve">Servicios basados en ingeniería, ciencias sociales y tecnología de la información / Servicios informáticos / Servicios de datos</t>
        </is>
      </c>
      <c r="O23" s="4" t="inlineStr">
        <is>
          <t xml:space="preserve">1 Unidad · Servicios de digitalización de documentos</t>
        </is>
      </c>
      <c r="P23" s="2"/>
      <c r="Q23" s="2"/>
      <c r="R23" s="0" t="inlineStr">
        <is>
          <t xml:space="preserve">2 meses</t>
        </is>
      </c>
      <c r="S23" s="0" t="inlineStr">
        <is>
          <t xml:space="preserve">No</t>
        </is>
      </c>
      <c r="T23" s="4"/>
      <c r="U23" s="0" t="inlineStr">
        <is>
          <t xml:space="preserve">Ernesto Gálvez Miranda</t>
        </is>
      </c>
      <c r="V23" s="4" t="inlineStr">
        <is>
          <t xml:space="preserve">SERVICIO DE DIGITALIZACIÓN, CONSTRUCCIÓN Y SISTEMATIZACIÓN DE EXPEDIENTES FUNCIONARIOS DEL PERSONAL QUE SE TRASPASARÁ AL SERVICIO LOCAL DE EDUCACIÓN PÚBLICA DE VALLE CACHAPOAL</t>
        </is>
      </c>
      <c r="W23" s="5" t="str">
        <f>HYPERLINK("https://www.mercadopublico.cl/Procurement/Modules/Attachment/ViewAttachment.aspx?enc=q1kvtUc6G5FnvVU7Zas7gXzuYt178jIBbemBd3Qg0zb8Lga8c0xna7AqzQOFBp5BOGsUGyYHnherLTrX%2bxZvthwzweOzoP7%2fJTUB8NU4hTKCo4LEDg%2bM70Y5mn6Co%2f5G3HgfaCugJ0W4EOzJfr%2fTMpAvkDGwJn0Mq1d2herWKhFaPA4Fe7%2fSkdvb8EF%2bp5U45l7ODzrwaiBD%2bDEw3cZ%2fe%2foHVY4v7rxZt7ru%2b0uDhaKw47F1X21EQ3c5TE06thDjz4KBUvH%2boPSZ4oFK0iUyNpUhTj8IphWw80KJ%2bEix1NGBaylydFe2xqQD5bKthKqX","descargar bases")</f>
      </c>
    </row>
    <row r="24">
      <c r="A24" s="0" t="inlineStr">
        <is>
          <t xml:space="preserve">1057539-138-LP26</t>
        </is>
      </c>
      <c r="B24" s="4" t="inlineStr">
        <is>
          <t xml:space="preserve">SERVICIOS PROFESIONALES PERSONAL APOYO INFORMATICA</t>
        </is>
      </c>
      <c r="C24" s="0" t="inlineStr">
        <is>
          <t xml:space="preserve">Publicada</t>
        </is>
      </c>
      <c r="D24" s="0" t="inlineStr">
        <is>
          <t xml:space="preserve">HOSPITAL PUERTO MONTT SERVICIO DE SALUD DEL RELONCAVI</t>
        </is>
      </c>
      <c r="E24" s="0" t="inlineStr">
        <is>
          <t xml:space="preserve">Bienes y Servicios</t>
        </is>
      </c>
      <c r="F24" s="0" t="inlineStr">
        <is>
          <t xml:space="preserve">Región de los Lagos </t>
        </is>
      </c>
      <c r="G24" s="0"/>
      <c r="H24" s="2">
        <v>46275.575752</v>
      </c>
      <c r="I24" s="2">
        <v>46296.625</v>
      </c>
      <c r="J24" s="0">
        <v>4</v>
      </c>
      <c r="K24" s="3">
        <v>184212000.0</v>
      </c>
      <c r="L24" s="0" t="inlineStr">
        <is>
          <t xml:space="preserve">CLP</t>
        </is>
      </c>
      <c r="M24" s="0" t="inlineStr">
        <is>
          <t xml:space="preserve">LP</t>
        </is>
      </c>
      <c r="N24" s="4" t="inlineStr">
        <is>
          <t xml:space="preserve">Servicios profesionales, administrativos y consultorías de gestión empresarial / Servicios de recursos humanos / Contratación de personal</t>
        </is>
      </c>
      <c r="O24" s="4" t="inlineStr">
        <is>
          <t xml:space="preserve">1 Unidad · Profesionales</t>
        </is>
      </c>
      <c r="P24" s="2"/>
      <c r="Q24" s="2"/>
      <c r="R24" s="0" t="inlineStr">
        <is>
          <t xml:space="preserve">12 meses</t>
        </is>
      </c>
      <c r="S24" s="0" t="inlineStr">
        <is>
          <t xml:space="preserve">No</t>
        </is>
      </c>
      <c r="T24" s="4"/>
      <c r="U24" s="0" t="inlineStr">
        <is>
          <t xml:space="preserve">Vanessa Soto</t>
        </is>
      </c>
      <c r="V24"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24" s="5" t="str">
        <f>HYPERLINK("https://www.mercadopublico.cl/Procurement/Modules/Attachment/ViewAttachment.aspx?enc=YQwMvJ0sJ5AGWnoWzcHEycHlbFj1jKzKUVK%2bevhkwXZ6LKfVbJcZs2Nzzie6sNxPqC%2bl%2fwbRawrzy%2bT4lu%2bVtBXuGb9sMX1aJcZJvVIGunc%2fcjKDBE3nYfCKMKk3qqam%2f5DxkO8SCrdT%2bKFp0aI9nLEIjg%2bWoBt%2f4PyKqyQj4NESV2Kaam%2bQWhJW9NmCnLJYdVh0gnxwyRUtiAgtifpKdJvGfZb7GmQZ0CuwlFBvvKFgXNPSMPuWuxttkeyJmi%2fEed%2b9eck1imVRGsfEwZOQrQF9zu3BsxRgEXjQc%2fMW9NpXvWpyDzDFvbmwYmZoniMq","descargar bases")</f>
      </c>
    </row>
    <row r="25">
      <c r="A25" s="0" t="inlineStr">
        <is>
          <t xml:space="preserve">1305527-5-LP26</t>
        </is>
      </c>
      <c r="B25" s="4" t="inlineStr">
        <is>
          <t xml:space="preserve">Contratación de infraestructura Cloud</t>
        </is>
      </c>
      <c r="C25" s="0" t="inlineStr">
        <is>
          <t xml:space="preserve">Publicada</t>
        </is>
      </c>
      <c r="D25" s="0" t="inlineStr">
        <is>
          <t xml:space="preserve">SERVICIO LOCAL DE EDUCACIÓN PÚBLICA DEL PINO</t>
        </is>
      </c>
      <c r="E25" s="0" t="inlineStr">
        <is>
          <t xml:space="preserve">SLEP Del Pino 01</t>
        </is>
      </c>
      <c r="F25" s="0" t="inlineStr">
        <is>
          <t xml:space="preserve">Región Metropolitana de Santiago</t>
        </is>
      </c>
      <c r="G25" s="0" t="inlineStr">
        <is>
          <t xml:space="preserve">San Bernardo</t>
        </is>
      </c>
      <c r="H25" s="2">
        <v>46273.456944</v>
      </c>
      <c r="I25" s="2">
        <v>46296.625</v>
      </c>
      <c r="J25" s="0">
        <v>4</v>
      </c>
      <c r="K25" s="3">
        <v>75000000.0</v>
      </c>
      <c r="L25" s="0" t="inlineStr">
        <is>
          <t xml:space="preserve">CLP</t>
        </is>
      </c>
      <c r="M25" s="0" t="inlineStr">
        <is>
          <t xml:space="preserve">LP</t>
        </is>
      </c>
      <c r="N25" s="4" t="inlineStr">
        <is>
          <t xml:space="preserve">Servicios basados en ingeniería, ciencias sociales y tecnología de la información / Servicios informáticos / Servicios para internet</t>
        </is>
      </c>
      <c r="O25" s="4" t="inlineStr">
        <is>
          <t xml:space="preserve">1 Unidad · Web Hosting</t>
        </is>
      </c>
      <c r="P25" s="2"/>
      <c r="Q25" s="2"/>
      <c r="R25" s="0" t="inlineStr">
        <is>
          <t xml:space="preserve">36 meses</t>
        </is>
      </c>
      <c r="S25" s="0" t="inlineStr">
        <is>
          <t xml:space="preserve">No</t>
        </is>
      </c>
      <c r="T25" s="4" t="inlineStr">
        <is>
          <t xml:space="preserve">Ver Resolución Exenta N°1988 de 2026.</t>
        </is>
      </c>
      <c r="U25" s="0" t="inlineStr">
        <is>
          <t xml:space="preserve">Cristóbal Illanes</t>
        </is>
      </c>
      <c r="V25"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25" s="5" t="str">
        <f>HYPERLINK("https://www.mercadopublico.cl/Procurement/Modules/Attachment/ViewAttachment.aspx?enc=q0buIkC1exbbKGheHDBht2W837a2T%2fmrePcv%2fxbCjZp7h0v%2bvs2AWLBRlp7HqHJXcEWthENUmc2oz8rR86s6ySbeCrw43h5ZHplo%2fAJB%2fHtvexy0zb7JG8oN%2bNzdpvrSlv%2b%2fxZl5OaVyAADS81BAxXRWSpVcRUJlIBVLLxksq0HMbh2YvBIJLL8xA3wCRvgP%2b9XgfxYF7sSWY94UYe70CwNADk3ZTtAIff%2bBmKZTU3fKgQ95DcDpbQloQefzUhUPj3ElhdbPKDwqL0ygRf22bmQGhLtqiHWD9SgkVFsBBduaGHYALXGSrp0jbNmappNo","descargar bases")</f>
      </c>
    </row>
    <row r="26">
      <c r="A26" s="0" t="inlineStr">
        <is>
          <t xml:space="preserve">1469-224-L126</t>
        </is>
      </c>
      <c r="B26" s="4" t="inlineStr">
        <is>
          <t xml:space="preserve">ARRIENDO DE TÓTEMS INTERACTIVOS PARA PROYECTO MUNDOS INFINITOS CP25-E05, UNIVERSIDAD DE TALCA</t>
        </is>
      </c>
      <c r="C26" s="0" t="inlineStr">
        <is>
          <t xml:space="preserve">Publicada</t>
        </is>
      </c>
      <c r="D26" s="0" t="inlineStr">
        <is>
          <t xml:space="preserve">UNIVERSIDAD DE TALCA</t>
        </is>
      </c>
      <c r="E26" s="0" t="inlineStr">
        <is>
          <t xml:space="preserve">Universidad de Talca</t>
        </is>
      </c>
      <c r="F26" s="0" t="inlineStr">
        <is>
          <t xml:space="preserve">Región del Maule </t>
        </is>
      </c>
      <c r="G26" s="0" t="inlineStr">
        <is>
          <t xml:space="preserve">Talca</t>
        </is>
      </c>
      <c r="H26" s="2">
        <v>46289.379317</v>
      </c>
      <c r="I26" s="2">
        <v>46296.625</v>
      </c>
      <c r="J26" s="0">
        <v>4</v>
      </c>
      <c r="K26" s="3">
        <v>3500000.0</v>
      </c>
      <c r="L26" s="0" t="inlineStr">
        <is>
          <t xml:space="preserve">CLP</t>
        </is>
      </c>
      <c r="M26" s="0" t="inlineStr">
        <is>
          <t xml:space="preserve">L1</t>
        </is>
      </c>
      <c r="N26" s="4" t="inlineStr">
        <is>
          <t xml:space="preserve">Tecnologías de la información, telecomunicaciones y radiodifusión / Equipos informáticos y accesorios / Pantallas o monitores de computador</t>
        </is>
      </c>
      <c r="O26" s="4" t="inlineStr">
        <is>
          <t xml:space="preserve">5 Unidad · Monitores de pantalla táctil</t>
        </is>
      </c>
      <c r="P26" s="2"/>
      <c r="Q26" s="2"/>
      <c r="R26" s="0"/>
      <c r="S26" s="0" t="inlineStr">
        <is>
          <t xml:space="preserve">No</t>
        </is>
      </c>
      <c r="T26" s="4"/>
      <c r="U26" s="0"/>
      <c r="V26" s="4" t="inlineStr">
        <is>
          <t xml:space="preserve">La Universidad de Talca requiere a través de su Proyecto Mundos Infinitos contratar proveedor para arriendo de Tótems Interactivos.</t>
        </is>
      </c>
      <c r="W26" s="5" t="str">
        <f>HYPERLINK("https://www.mercadopublico.cl/Procurement/Modules/Attachment/ViewAttachment.aspx?enc=9N1kb2IgJTUNPox5IeB%2bIBgGhPFcU1ff0mZJLqQarZqrG4lhovgb2FuvEVmZ3g951IiW7r6JARAYUEX8AmU9p2H%2bR7Djvzz6vRVFZO5fVA8K9nHjczHNnOMdX1b5ivTzU5I4aVeGpJwfCvSdtIypnMEJRagLwiqpoXJqOX3ORcj%2fwemll%2fFbAQAsrbVXt6RFfsWu9Go9fPqVL%2bjzQ4PPy2BveMogd9ayqRT99bQQVEFwA4ncbfTvlVP0BJfd1uHgQal%2b0f2CIZUMYACryeU5skcQ8tnk92s18XN%2fMkfS8cSjW6xSg1IvSb0jqUoIVeAK","descargar bases")</f>
      </c>
    </row>
    <row r="27">
      <c r="A27" s="0" t="inlineStr">
        <is>
          <t xml:space="preserve">867990-95-L126</t>
        </is>
      </c>
      <c r="B27" s="4" t="inlineStr">
        <is>
          <t xml:space="preserve">cc 102 sol 92830 - Contratación de servicio especializado de formación en inteligencia artificial</t>
        </is>
      </c>
      <c r="C27" s="0" t="inlineStr">
        <is>
          <t xml:space="preserve">Publicada</t>
        </is>
      </c>
      <c r="D27" s="0" t="inlineStr">
        <is>
          <t xml:space="preserve">UNIVERSIDAD DE SANTIAGO DE CHILE</t>
        </is>
      </c>
      <c r="E27" s="0" t="inlineStr">
        <is>
          <t xml:space="preserve">DEPARTAMENTO DE COORDINACIÓN INSTITUCIONAL - DCI</t>
        </is>
      </c>
      <c r="F27" s="0" t="inlineStr">
        <is>
          <t xml:space="preserve">Región Metropolitana de Santiago</t>
        </is>
      </c>
      <c r="G27" s="0" t="inlineStr">
        <is>
          <t xml:space="preserve">Estación Central</t>
        </is>
      </c>
      <c r="H27" s="2">
        <v>46288.696181</v>
      </c>
      <c r="I27" s="2">
        <v>46296.625</v>
      </c>
      <c r="J27" s="0">
        <v>4</v>
      </c>
      <c r="K27" s="3">
        <v>6500000.0</v>
      </c>
      <c r="L27" s="0" t="inlineStr">
        <is>
          <t xml:space="preserve">CLP</t>
        </is>
      </c>
      <c r="M27" s="0" t="inlineStr">
        <is>
          <t xml:space="preserve">L1</t>
        </is>
      </c>
      <c r="N27" s="4" t="inlineStr">
        <is>
          <t xml:space="preserve">Educación, formación, entrenamiento y capacitación / Sistemas educativos complementarios / Educación de adultos</t>
        </is>
      </c>
      <c r="O27" s="4" t="inlineStr">
        <is>
          <t xml:space="preserve">1 Unidad · Capacitación a empleados</t>
        </is>
      </c>
      <c r="P27" s="2"/>
      <c r="Q27" s="2"/>
      <c r="R27" s="0"/>
      <c r="S27" s="0" t="inlineStr">
        <is>
          <t xml:space="preserve">No</t>
        </is>
      </c>
      <c r="T27" s="4"/>
      <c r="U27" s="0"/>
      <c r="V27" s="4" t="inlineStr">
        <is>
          <t xml:space="preserve">cc 102 sol 92830 - Servicio especializado de formación en inteligencia artificial, destinado a académicos, profesionales y personal administrativo de la Facultad Tecnológica.</t>
        </is>
      </c>
      <c r="W27" s="5" t="str">
        <f>HYPERLINK("https://www.mercadopublico.cl/Procurement/Modules/Attachment/ViewAttachment.aspx?enc=VaMT0kxCaFper4vT0FzjeORLEwPDWfFnAdyWp9Kr2V08OYiEFWpAFPSUWCY9N1pkKWkHj0o3vxBAS7nAaHb4i%2fTtgQRtFBT%2bQGxGmME70pmYUirsllX94DXijZcKTudRd4WhPWQg0yV%2f6g%2fwdQ1JCvplKjbSv8dB9dOVyTcYrTA64yS9HxiWODZGfo915Bozpk%2fVDdLyhOVHE8oo2tJEiHrGUafXEApSEW%2bOcWk0Oj4i%2fLqZ0JSj9W3qrs%2bNOd57kT58pBj7yCSkLtORlzn5Sxgi4%2fpWQFnk17WxlCkHQk81rEVCtJijNDOnm%2b0WoVIC","descargar bases")</f>
      </c>
    </row>
    <row r="28">
      <c r="A28" s="0" t="inlineStr">
        <is>
          <t xml:space="preserve">858-69-LP26</t>
        </is>
      </c>
      <c r="B28" s="4" t="inlineStr">
        <is>
          <t xml:space="preserve">RENOVACIÓN Y ADQUISICIÓN LICENCIAS DE INFORMÁTICA</t>
        </is>
      </c>
      <c r="C28" s="0" t="inlineStr">
        <is>
          <t xml:space="preserve">Publicada</t>
        </is>
      </c>
      <c r="D28" s="0" t="inlineStr">
        <is>
          <t xml:space="preserve">INSTITUTO NACIONAL DE DEPORTES DE CHILE</t>
        </is>
      </c>
      <c r="E28" s="0" t="inlineStr">
        <is>
          <t xml:space="preserve">Nivel Central</t>
        </is>
      </c>
      <c r="F28" s="0" t="inlineStr">
        <is>
          <t xml:space="preserve">Región Metropolitana de Santiago</t>
        </is>
      </c>
      <c r="G28" s="0" t="inlineStr">
        <is>
          <t xml:space="preserve">Providencia</t>
        </is>
      </c>
      <c r="H28" s="2">
        <v>46275.400093</v>
      </c>
      <c r="I28" s="2">
        <v>46296.625694</v>
      </c>
      <c r="J28" s="0">
        <v>4</v>
      </c>
      <c r="K28" s="3">
        <v>179063.0</v>
      </c>
      <c r="L28" s="0" t="inlineStr">
        <is>
          <t xml:space="preserve">USD</t>
        </is>
      </c>
      <c r="M28" s="0" t="inlineStr">
        <is>
          <t xml:space="preserve">LP</t>
        </is>
      </c>
      <c r="N28" s="4" t="inlineStr">
        <is>
          <t xml:space="preserve">Tecnologías de la información, telecomunicaciones y radiodifusión / Software / Software de edición y creación de contenidos</t>
        </is>
      </c>
      <c r="O28" s="4" t="inlineStr">
        <is>
          <t xml:space="preserve">1 Unidad no definida · Software de diseño de patrones · 1 Unidad no definida · Software de diseño de patrones · 1 Unidad no definida · Software de diseño de patrones · y 21 más</t>
        </is>
      </c>
      <c r="P28" s="2"/>
      <c r="Q28" s="2"/>
      <c r="R28" s="0"/>
      <c r="S28" s="0" t="inlineStr">
        <is>
          <t xml:space="preserve">No</t>
        </is>
      </c>
      <c r="T28" s="4"/>
      <c r="U28" s="0" t="inlineStr">
        <is>
          <t xml:space="preserve">Carola Molina</t>
        </is>
      </c>
      <c r="V28" s="4" t="inlineStr">
        <is>
          <t xml:space="preserve">RENOVACIÓN Y ADQUISICIÓN DE LICENCIAS DE SOFTWARE DE INFORMÁTICA PARA EL IND. VER REX 3096 AP BASES ADJUNTA.</t>
        </is>
      </c>
      <c r="W28" s="5" t="str">
        <f>HYPERLINK("https://www.mercadopublico.cl/Procurement/Modules/Attachment/ViewAttachment.aspx?enc=6iD919Tg2vsaz57OeGOY4%2fE2MnSdXuRem5VPUvgmJpNIimVkpE2KGse5uRYYVNhtMFTz0ABFT0IlaOr51Le5vTlBqJ2V9SMJgzEKfO8aczrrjkUNiNVytRT1pKURmvAd%2fyTQt5fOAOHQA0xgD2c8EjUf2C7qC0HT%2b%2bDYvYo1OERclxBHQbDkOaENVvGxqNyY%2fLCsvQL2x6c2ZuTCrOvsTxwkH90e%2bsMIWYihirYVecGZc8Aadv9BzEYGJd854MasHLL6wqX%2b92J%2bvJ8rsOHE5nAklNshtnu7I0JZkPy9s7t1o8oFPviwMib8WlmF3w2x","descargar bases")</f>
      </c>
    </row>
    <row r="29">
      <c r="A29" s="0" t="inlineStr">
        <is>
          <t xml:space="preserve">1259850-6-LP26</t>
        </is>
      </c>
      <c r="B29" s="4" t="inlineStr">
        <is>
          <t xml:space="preserve">GORE. COMPRA DE EQUIPOS INFORMATICOS.</t>
        </is>
      </c>
      <c r="C29" s="0" t="inlineStr">
        <is>
          <t xml:space="preserve">Publicada</t>
        </is>
      </c>
      <c r="D29" s="0" t="inlineStr">
        <is>
          <t xml:space="preserve">DIRECCION GENERAL DE GENDARMERIA DE CHIL</t>
        </is>
      </c>
      <c r="E29" s="0" t="inlineStr">
        <is>
          <t xml:space="preserve">Compras GORE Arica y Parinacota</t>
        </is>
      </c>
      <c r="F29" s="0" t="inlineStr">
        <is>
          <t xml:space="preserve">Región de Arica y Parinacota</t>
        </is>
      </c>
      <c r="G29" s="0" t="inlineStr">
        <is>
          <t xml:space="preserve">Arica</t>
        </is>
      </c>
      <c r="H29" s="2">
        <v>46286.471921</v>
      </c>
      <c r="I29" s="2">
        <v>46296.645833</v>
      </c>
      <c r="J29" s="0">
        <v>4</v>
      </c>
      <c r="K29" s="3"/>
      <c r="L29" s="0" t="inlineStr">
        <is>
          <t xml:space="preserve">CLP</t>
        </is>
      </c>
      <c r="M29" s="0" t="inlineStr">
        <is>
          <t xml:space="preserve">LP</t>
        </is>
      </c>
      <c r="N29"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29" s="4" t="inlineStr">
        <is>
          <t xml:space="preserve">66 Unidad · Computadores de escritorio · 15 Unidad · Impresoras multifunción o multifuncionales · 4 Unidad · Escáner</t>
        </is>
      </c>
      <c r="P29" s="2"/>
      <c r="Q29" s="2"/>
      <c r="R29" s="0"/>
      <c r="S29" s="0" t="inlineStr">
        <is>
          <t xml:space="preserve">No</t>
        </is>
      </c>
      <c r="T29" s="4"/>
      <c r="U29" s="0" t="inlineStr">
        <is>
          <t xml:space="preserve">ALEX CARRASCO SOTO</t>
        </is>
      </c>
      <c r="V29" s="4" t="inlineStr">
        <is>
          <t xml:space="preserve">GOBIERNO REGIONAL, ADQUISICION DE COMPUTADORES, IMPRESORAS Y ESCANER PROYECTO REPOSICION REINCORPORACION DE EQUIPOS INFORMATICOS DE ALTA SEGURIDAD PARA RECINTOS PENITENCIARIOS ARICA.</t>
        </is>
      </c>
      <c r="W29" s="5" t="str">
        <f>HYPERLINK("https://www.mercadopublico.cl/Procurement/Modules/Attachment/ViewAttachment.aspx?enc=4NhQ1i6xkdzmNtktH06%2bEdQeAPBABj9FdD%2bmw8Ecn2a%2f6n2Ks36NkpNxD9RFjYrIYyYrdiaW5oodVWBE06qMexgwtBxbv7rigQTDLu47JMYAMMAXPSt%2fy8K4PeFdlNeQ1dMGmmcOa%2bkGr%2flSRUFJYiGNzVhDxxrvFX1KOPlAugQHuFruhdB528QXrlWVJ3f71EdliJPk3FgnZLeu4YLS%2fkd%2fR6Fx7Rrd88Akv9eluf2qsvGRXz15kZBXOmvVcN%2bd31kmgiZf6MpPKKu55BzR2DuOEzY0m7yKw9WOnXwuxK4Kodoh11NANhUxFK6tQNK9","descargar bases")</f>
      </c>
    </row>
    <row r="30">
      <c r="A30" s="0" t="inlineStr">
        <is>
          <t xml:space="preserve">2663-63-LP26</t>
        </is>
      </c>
      <c r="B30" s="4" t="inlineStr">
        <is>
          <t xml:space="preserve">SISTEMAS INFORMÁTICOS DE GESTIÓN MUNICIPAL</t>
        </is>
      </c>
      <c r="C30" s="0" t="inlineStr">
        <is>
          <t xml:space="preserve">Publicada</t>
        </is>
      </c>
      <c r="D30" s="0" t="inlineStr">
        <is>
          <t xml:space="preserve">ILUSTRE MUNICIPALIDAD DE NATALES</t>
        </is>
      </c>
      <c r="E30" s="0" t="inlineStr">
        <is>
          <t xml:space="preserve">DEPARTAMENTO ADMINISTRACION Y FINANZAS</t>
        </is>
      </c>
      <c r="F30" s="0" t="inlineStr">
        <is>
          <t xml:space="preserve">Región de Magallanes y de la Antártica</t>
        </is>
      </c>
      <c r="G30" s="0" t="inlineStr">
        <is>
          <t xml:space="preserve">Puerto Natales</t>
        </is>
      </c>
      <c r="H30" s="2">
        <v>46276.658426</v>
      </c>
      <c r="I30" s="2">
        <v>46296.708333</v>
      </c>
      <c r="J30" s="0">
        <v>4</v>
      </c>
      <c r="K30" s="3">
        <v>98590386.0</v>
      </c>
      <c r="L30" s="0" t="inlineStr">
        <is>
          <t xml:space="preserve">CLF</t>
        </is>
      </c>
      <c r="M30" s="0" t="inlineStr">
        <is>
          <t xml:space="preserve">LP</t>
        </is>
      </c>
      <c r="N30" s="4" t="inlineStr">
        <is>
          <t xml:space="preserve">Organizaciones y consultorías políticas, demográficas, económicas, sociales y de administración pública / Administración y finanzas públicas / Administración pública</t>
        </is>
      </c>
      <c r="O30" s="4" t="inlineStr">
        <is>
          <t xml:space="preserve">1 Unidad · Sistemas de información y control de empresas públicas</t>
        </is>
      </c>
      <c r="P30" s="2"/>
      <c r="Q30" s="2"/>
      <c r="R30" s="0" t="inlineStr">
        <is>
          <t xml:space="preserve">24 meses</t>
        </is>
      </c>
      <c r="S30" s="0" t="inlineStr">
        <is>
          <t xml:space="preserve">No</t>
        </is>
      </c>
      <c r="T30" s="4" t="inlineStr">
        <is>
          <t xml:space="preserve">De acuerdo a lo indicado en el Artículo 35 cesión de contrato y subcontratación</t>
        </is>
      </c>
      <c r="U30" s="0" t="inlineStr">
        <is>
          <t xml:space="preserve">Javier Díaz Gonzalez -Carlos Del Castillo Carrasco</t>
        </is>
      </c>
      <c r="V30" s="4" t="inlineStr">
        <is>
          <t xml:space="preserve">SISTEMAS INFORMÁTICOS DE GESTIÓN MUNICIPAL: ARRIENDO, IMPLEMENTACIÓN Y MANTENIMIENTO PARA LA ILUSTRE MUNICIPALIDAD DE NATALES.</t>
        </is>
      </c>
      <c r="W30" s="5" t="str">
        <f>HYPERLINK("https://www.mercadopublico.cl/Procurement/Modules/Attachment/ViewAttachment.aspx?enc=9ppG7DkQXmrMvYE2m%2bYLCAjgII0GMaopML4NhxVomAwPT9D7FEXyGE75gHYyRgYWW2jq2tKlV2lQBFWp7CloID3tU6r7%2fSbYzgeKaCGyeimRyaOyZkhiwCxoWqJBupx%2bVQry6LZcwKmpJ3mKTETybESRTGgqRJ5F77Z7bONn4SlD0CwY%2fBKuqa8qGXcF1xgWQVXazhMXt%2fbnpKWFZruTL93V%2bQI6uxkPF%2fEDAQ3RliyAjtc%2bJCptxjZV9aQulXEnROTD2BIJrA3ctOMbpgzleE6qfCTF4%2fOSW4z6FkIKNyRqMIX4XiS3dVhw6fsEMlIf","descargar bases")</f>
      </c>
    </row>
    <row r="31">
      <c r="A31" s="0" t="inlineStr">
        <is>
          <t xml:space="preserve">4105-8-LP26</t>
        </is>
      </c>
      <c r="B31" s="4" t="inlineStr">
        <is>
          <t xml:space="preserve">Mantención Control y Actualización de Software</t>
        </is>
      </c>
      <c r="C31" s="0" t="inlineStr">
        <is>
          <t xml:space="preserve">Publicada</t>
        </is>
      </c>
      <c r="D31" s="0" t="inlineStr">
        <is>
          <t xml:space="preserve">I MUNICIPALIDAD DE CALLE LARGA</t>
        </is>
      </c>
      <c r="E31" s="0" t="inlineStr">
        <is>
          <t xml:space="preserve">FINANZAS</t>
        </is>
      </c>
      <c r="F31" s="0" t="inlineStr">
        <is>
          <t xml:space="preserve">Región de Valparaíso </t>
        </is>
      </c>
      <c r="G31" s="0" t="inlineStr">
        <is>
          <t xml:space="preserve">Calle Larga</t>
        </is>
      </c>
      <c r="H31" s="2">
        <v>46280.75434</v>
      </c>
      <c r="I31" s="2">
        <v>46297.395833</v>
      </c>
      <c r="J31" s="0">
        <v>5</v>
      </c>
      <c r="K31" s="3">
        <v>142800000.0</v>
      </c>
      <c r="L31" s="0" t="inlineStr">
        <is>
          <t xml:space="preserve">CLP</t>
        </is>
      </c>
      <c r="M31" s="0" t="inlineStr">
        <is>
          <t xml:space="preserve">LP</t>
        </is>
      </c>
      <c r="N31" s="4" t="inlineStr">
        <is>
          <t xml:space="preserve">Tecnologías de la información, telecomunicaciones y radiodifusión / Software / Software de entorno operativo</t>
        </is>
      </c>
      <c r="O31" s="4" t="inlineStr">
        <is>
          <t xml:space="preserve">1 Unidad · Software de sistema de archivos</t>
        </is>
      </c>
      <c r="P31" s="2"/>
      <c r="Q31" s="2"/>
      <c r="R31" s="0" t="inlineStr">
        <is>
          <t xml:space="preserve">24 meses</t>
        </is>
      </c>
      <c r="S31" s="0" t="inlineStr">
        <is>
          <t xml:space="preserve">No</t>
        </is>
      </c>
      <c r="T31" s="4"/>
      <c r="U31" s="0" t="inlineStr">
        <is>
          <t xml:space="preserve">Dina González Alfaro</t>
        </is>
      </c>
      <c r="V31"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31" s="5" t="str">
        <f>HYPERLINK("https://www.mercadopublico.cl/Procurement/Modules/Attachment/ViewAttachment.aspx?enc=7CJu9z23E5dNMgfEoAH2MUn3RISyhIboY93lmyKDPI%2fO3ui0EZYsD2KGmjgfBfOQV3k4pkKvWrV1K7qvwj0qYQ86Uy1d9Gtb9DMUAsPouvX%2fttpoeVae0GnER%2bzh8VccdapdW3rF%2bcQIasc8Gw8aNyMq0jjKskJRD00k%2btyBJNwiTNY3iIS1a2uRfWxcIO3WLFTsGqPvyiSB9u2jSFs5bE8RZkm27Lq1EQ6XKPcuiqCvF6X59HV39I5NqFTzabbdTFYemCYydsudnXdDXDHC1q%2fSBLrJ9BWD7FpTtkd6E60ow%2fTJo937SB4VzytytwwR","descargar bases")</f>
      </c>
    </row>
    <row r="32">
      <c r="A32" s="0" t="inlineStr">
        <is>
          <t xml:space="preserve">2429-8-LP26</t>
        </is>
      </c>
      <c r="B32" s="4" t="inlineStr">
        <is>
          <t xml:space="preserve">RENOVACIÓN DE INFRAESTRUCTURA DE RED INFORMÁTICA Y NORMALIZACIÓN DE CABLEADO ESTRUCTURADO DE LAS DEPENDENCIAS DE LA IMA</t>
        </is>
      </c>
      <c r="C32" s="0" t="inlineStr">
        <is>
          <t xml:space="preserve">Publicada</t>
        </is>
      </c>
      <c r="D32" s="0" t="inlineStr">
        <is>
          <t xml:space="preserve">I MUNICIPALIDAD DE ANTOFAGASTA</t>
        </is>
      </c>
      <c r="E32" s="0" t="inlineStr">
        <is>
          <t xml:space="preserve">I MUNICIPALIDAD DE ANTOFAGASTA - FINANZAS</t>
        </is>
      </c>
      <c r="F32" s="0" t="inlineStr">
        <is>
          <t xml:space="preserve">Región de Antofagasta </t>
        </is>
      </c>
      <c r="G32" s="0" t="inlineStr">
        <is>
          <t xml:space="preserve">Antofagasta</t>
        </is>
      </c>
      <c r="H32" s="2">
        <v>46275.681574</v>
      </c>
      <c r="I32" s="2">
        <v>46297.416667</v>
      </c>
      <c r="J32" s="0">
        <v>5</v>
      </c>
      <c r="K32" s="3"/>
      <c r="L32" s="0" t="inlineStr">
        <is>
          <t xml:space="preserve">CLP</t>
        </is>
      </c>
      <c r="M32" s="0" t="inlineStr">
        <is>
          <t xml:space="preserve">LP</t>
        </is>
      </c>
      <c r="N32" s="4" t="inlineStr">
        <is>
          <t xml:space="preserve">Servicios basados en ingeniería, ciencias sociales y tecnología de la información / Servicios informáticos / Sistemas de información</t>
        </is>
      </c>
      <c r="O32" s="4" t="inlineStr">
        <is>
          <t xml:space="preserve">1 Unidad · Diseño de redes de comunicación de cobertura local (LAN)</t>
        </is>
      </c>
      <c r="P32" s="2"/>
      <c r="Q32" s="2"/>
      <c r="R32" s="0"/>
      <c r="S32" s="0" t="inlineStr">
        <is>
          <t xml:space="preserve">No</t>
        </is>
      </c>
      <c r="T32" s="4" t="inlineStr">
        <is>
          <t xml:space="preserve">DE ACUERDO A NUMERAL 33 DE LAS BASES ADM.</t>
        </is>
      </c>
      <c r="U32" s="0" t="inlineStr">
        <is>
          <t xml:space="preserve">Ivan rivera Galvez</t>
        </is>
      </c>
      <c r="V32" s="4" t="inlineStr">
        <is>
          <t xml:space="preserve">Adquisición</t>
        </is>
      </c>
      <c r="W32" s="5" t="str">
        <f>HYPERLINK("https://www.mercadopublico.cl/Procurement/Modules/Attachment/ViewAttachment.aspx?enc=8frpgZ85NIuOm95WJh7On6hJ1UCYfxdFCYYFAj4hV2CsKudtJXyed%2bkLw5Bqp5Lojlh1s1dFt%2fVO7T6Y0sTXkTuRyG94Uw9UAfBy6%2f5QKr6OPylTRwDFBh1t4eULM1MPm0xz1sMt7SnZkr2FYAGhBYIO3HNe7EDW4MVLj6if4vJ9n%2bPk2pSRE%2f7qf0qK074OcYaDvrzow%2fUlcd7geOrS5FEVo34B%2ffDqQmtdfgyciu%2b6QbvmtaAWgWvPTEkkuWLF%2f5HCoCP%2fZoqj16tZH%2b7l8XhYoytr3Ul0o42Nccuf2d%2fUOLRxmY2u%2fpJg6%2fE6Yuad","descargar bases")</f>
      </c>
    </row>
    <row r="33">
      <c r="A33" s="0" t="inlineStr">
        <is>
          <t xml:space="preserve">3588-51-LE26</t>
        </is>
      </c>
      <c r="B33" s="4" t="inlineStr">
        <is>
          <t xml:space="preserve">ADQUISICIÓN LICENCIAS DE SOFTWARE Y ANTIVIRUS</t>
        </is>
      </c>
      <c r="C33" s="0" t="inlineStr">
        <is>
          <t xml:space="preserve">Publicada</t>
        </is>
      </c>
      <c r="D33" s="0" t="inlineStr">
        <is>
          <t xml:space="preserve">I MUNICIPALIDAD DE YUNGAY</t>
        </is>
      </c>
      <c r="E33" s="0" t="inlineStr">
        <is>
          <t xml:space="preserve">Direccion Administración y Finanzas</t>
        </is>
      </c>
      <c r="F33" s="0" t="inlineStr">
        <is>
          <t xml:space="preserve">Región del Ñuble</t>
        </is>
      </c>
      <c r="G33" s="0" t="inlineStr">
        <is>
          <t xml:space="preserve">Yungay</t>
        </is>
      </c>
      <c r="H33" s="2">
        <v>46287.481019</v>
      </c>
      <c r="I33" s="2">
        <v>46297.419444</v>
      </c>
      <c r="J33" s="0">
        <v>5</v>
      </c>
      <c r="K33" s="3"/>
      <c r="L33" s="0" t="inlineStr">
        <is>
          <t xml:space="preserve">CLP</t>
        </is>
      </c>
      <c r="M33" s="0" t="inlineStr">
        <is>
          <t xml:space="preserve">LE</t>
        </is>
      </c>
      <c r="N33" s="4" t="inlineStr">
        <is>
          <t xml:space="preserve">Tecnologías de la información, telecomunicaciones y radiodifusión / Software / Software de gestión</t>
        </is>
      </c>
      <c r="O33" s="4" t="inlineStr">
        <is>
          <t xml:space="preserve">1 Unidad · Software de gestión de licencias</t>
        </is>
      </c>
      <c r="P33" s="2"/>
      <c r="Q33" s="2"/>
      <c r="R33" s="0"/>
      <c r="S33" s="0" t="inlineStr">
        <is>
          <t xml:space="preserve">No</t>
        </is>
      </c>
      <c r="T33" s="4" t="inlineStr">
        <is>
          <t xml:space="preserve">Queda prohibido que el adjudicado ceda o transfiera de cualquier forma, total o parcial, los derechos y obligaciones que nazcan de la adjudicación.
La infracción de esta prohibición será causal inmediata del término del servicio, sin perjuicio de las ac</t>
        </is>
      </c>
      <c r="U33" s="0" t="inlineStr">
        <is>
          <t xml:space="preserve">Nelson Burgos Gonzalez</t>
        </is>
      </c>
      <c r="V33"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municipales.</t>
        </is>
      </c>
      <c r="W33" s="5" t="str">
        <f>HYPERLINK("https://www.mercadopublico.cl/Procurement/Modules/Attachment/ViewAttachment.aspx?enc=wq2nghwCLrz0GTFQDmsSL%2bXV1d85RbRNVbMgw1I0vU3bZaGNNMDmHdQe%2bvCHoe8aJpcEeOY143xytUe6JxpdvGK9utNs%2b0gjaomiHBF0d0tWs1UU0Jk5%2bXXr2cl3Jqc5pJIiUVm8EneNnI8LH5KdffcZ%2fv2cAL%2fIBNZrkaFwoDeSq1jqjif35MPbqDa5rSn0dqdBaUFQIWErxDK1ZG702RvENY98xXTrmLTLU04zZVaOha6%2bUE1%2bEk8J24GmWY6gZ8hnb4mWBLJBqQnAfu3bmLz1Matsg31KW8qVHvbGquXYHFyfGGsHLvqhY4X84Tts","descargar bases")</f>
      </c>
    </row>
    <row r="34">
      <c r="A34" s="0" t="inlineStr">
        <is>
          <t xml:space="preserve">1533460-6-LP26</t>
        </is>
      </c>
      <c r="B34" s="4" t="inlineStr">
        <is>
          <t xml:space="preserve">SERVICIO DE ARRIENDO DE SISTEMA INFORMÁTICO FINANCIERO CONTABLE Y RECURSOS HUMANOS</t>
        </is>
      </c>
      <c r="C34" s="0" t="inlineStr">
        <is>
          <t xml:space="preserve">Publicada</t>
        </is>
      </c>
      <c r="D34" s="0" t="inlineStr">
        <is>
          <t xml:space="preserve">CORPORACIÓN MUNICIPAL DE CULTURA, DEPORTE Y DE FOMENTO DE DESARROLLO C</t>
        </is>
      </c>
      <c r="E34" s="0" t="inlineStr">
        <is>
          <t xml:space="preserve">CORPORACIÓN MUNICIPAL DE CULTURA, DEPORTE Y DE FOMENTO DE DESARROLLO C</t>
        </is>
      </c>
      <c r="F34" s="0" t="inlineStr">
        <is>
          <t xml:space="preserve">Región Metropolitana de Santiago</t>
        </is>
      </c>
      <c r="G34" s="0"/>
      <c r="H34" s="2">
        <v>46276.484803</v>
      </c>
      <c r="I34" s="2">
        <v>46297.479861</v>
      </c>
      <c r="J34" s="0">
        <v>5</v>
      </c>
      <c r="K34" s="3">
        <v>118000000.0</v>
      </c>
      <c r="L34" s="0" t="inlineStr">
        <is>
          <t xml:space="preserve">CLP</t>
        </is>
      </c>
      <c r="M34" s="0" t="inlineStr">
        <is>
          <t xml:space="preserve">LP</t>
        </is>
      </c>
      <c r="N34" s="4" t="inlineStr">
        <is>
          <t xml:space="preserve">Tecnologías de la información, telecomunicaciones y radiodifusión / Software / Software de planificación de recursos empresariales (ERP) y contabilidad financiera</t>
        </is>
      </c>
      <c r="O34" s="4" t="inlineStr">
        <is>
          <t xml:space="preserve">1 Unidad · Software de planificación de recursos empresariales (ERP)</t>
        </is>
      </c>
      <c r="P34" s="2"/>
      <c r="Q34" s="2"/>
      <c r="R34" s="0" t="inlineStr">
        <is>
          <t xml:space="preserve">24 meses</t>
        </is>
      </c>
      <c r="S34" s="0" t="inlineStr">
        <is>
          <t xml:space="preserve">No</t>
        </is>
      </c>
      <c r="T34" s="4"/>
      <c r="U34" s="0" t="inlineStr">
        <is>
          <t xml:space="preserve">Fernando Suazo Rios</t>
        </is>
      </c>
      <c r="V34"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34" s="5" t="str">
        <f>HYPERLINK("https://www.mercadopublico.cl/Procurement/Modules/Attachment/ViewAttachment.aspx?enc=5smgC4KuFu3PO7DBiyOmVOrf7W%2b1l06Va5CUpbOxuZx1WJLQThcMaUGCsfaHnhpmNHVHrfXESBF4RnPEhcMWrNRBzkmvsTmNeqsYRMWG27HUlYScABgIYRbr9XMhn7EdalsupSG2lKMf1oUVE6NBOuU%2fANuP7ZcXt7A0HOrcNI3jGt1JE4DosuXc3E3F6608qKOPjtPl1PpXIvcwZUTHLkgRB8wpSxWuTv7ywF8lHGyJTHZE6MW98ZM7wUZ3IHO4Z9xOmYepKWhy%2fS9vIGtKe8CF1oJHg3ry1Z8naicZu1YbOiI4lhYcKa5k7d2eaNOv","descargar bases")</f>
      </c>
    </row>
    <row r="35">
      <c r="A35" s="0" t="inlineStr">
        <is>
          <t xml:space="preserve">1469-226-L126</t>
        </is>
      </c>
      <c r="B35" s="4" t="inlineStr">
        <is>
          <t xml:space="preserve">Sistema de gestión de Libro de Obras Digital, para PIBV, UNIVERSIDAD DE TALCA</t>
        </is>
      </c>
      <c r="C35" s="0" t="inlineStr">
        <is>
          <t xml:space="preserve">Publicada</t>
        </is>
      </c>
      <c r="D35" s="0" t="inlineStr">
        <is>
          <t xml:space="preserve">UNIVERSIDAD DE TALCA</t>
        </is>
      </c>
      <c r="E35" s="0" t="inlineStr">
        <is>
          <t xml:space="preserve">Universidad de Talca</t>
        </is>
      </c>
      <c r="F35" s="0" t="inlineStr">
        <is>
          <t xml:space="preserve">Región del Maule </t>
        </is>
      </c>
      <c r="G35" s="0" t="inlineStr">
        <is>
          <t xml:space="preserve">Talca</t>
        </is>
      </c>
      <c r="H35" s="2">
        <v>46289.610266</v>
      </c>
      <c r="I35" s="2">
        <v>46297.5</v>
      </c>
      <c r="J35" s="0">
        <v>5</v>
      </c>
      <c r="K35" s="3">
        <v>2500000.0</v>
      </c>
      <c r="L35" s="0" t="inlineStr">
        <is>
          <t xml:space="preserve">CLP</t>
        </is>
      </c>
      <c r="M35" s="0" t="inlineStr">
        <is>
          <t xml:space="preserve">L1</t>
        </is>
      </c>
      <c r="N35" s="4" t="inlineStr">
        <is>
          <t xml:space="preserve">Tecnologías de la información, telecomunicaciones y radiodifusión / Software / Software específico para la industria</t>
        </is>
      </c>
      <c r="O35" s="4" t="inlineStr">
        <is>
          <t xml:space="preserve">1 Unidad · Software de gestión de instalaciones</t>
        </is>
      </c>
      <c r="P35" s="2"/>
      <c r="Q35" s="2"/>
      <c r="R35" s="0"/>
      <c r="S35" s="0" t="inlineStr">
        <is>
          <t xml:space="preserve">No</t>
        </is>
      </c>
      <c r="T35" s="4"/>
      <c r="U35" s="0"/>
      <c r="V35" s="4" t="inlineStr">
        <is>
          <t xml:space="preserve">La Universidad de Talca requiere del servicio de plataforma de Libro de Obra Digital para continuar con el requerimiento del Convenio PIBV, por un periodo de 11 meses</t>
        </is>
      </c>
      <c r="W35" s="5" t="str">
        <f>HYPERLINK("https://www.mercadopublico.cl/Procurement/Modules/Attachment/ViewAttachment.aspx?enc=VW5bJoBUCygDgXLlkzNC17fw6WTDvvotSl2s0brnBy0XPl28K%2bQd7eQH4DqqlKPmfDDD8Pn7vArEeUKgiZvbqYamklMIL%2fUIzOHdI%2begUVHlU8ocQSKj17Vu8bA6%2flAaSlvYY789QeCPeyA8khFdJo%2fXzf2jkdhT6oY9U94ET0NFulGKImSW3c5MpE%2by9qrhAMEwa%2f7hoHsl%2bCPp335MOZkY2QvcfrQd0DL54vRy2ewntMjPBHp%2fS%2be68HMcCLFyT52YGgLiuk6yLon41hOjJypxImDJuMUx0T42udxxZZmThjzMEeM2SPH0zJ5766hL","descargar bases")</f>
      </c>
    </row>
    <row r="36">
      <c r="A36" s="0" t="inlineStr">
        <is>
          <t xml:space="preserve">585-9-LE26</t>
        </is>
      </c>
      <c r="B36" s="4" t="inlineStr">
        <is>
          <t xml:space="preserve">Adq. Licencias Para Plataforma Gestión de Tickes</t>
        </is>
      </c>
      <c r="C36" s="0" t="inlineStr">
        <is>
          <t xml:space="preserve">Publicada</t>
        </is>
      </c>
      <c r="D36" s="0" t="inlineStr">
        <is>
          <t xml:space="preserve">SERVICIO DE COOPERACION TECNICA</t>
        </is>
      </c>
      <c r="E36" s="0" t="inlineStr">
        <is>
          <t xml:space="preserve">Sercotec - Nivel Central</t>
        </is>
      </c>
      <c r="F36" s="0" t="inlineStr">
        <is>
          <t xml:space="preserve">Región Metropolitana de Santiago</t>
        </is>
      </c>
      <c r="G36" s="0" t="inlineStr">
        <is>
          <t xml:space="preserve">Santiago Centro</t>
        </is>
      </c>
      <c r="H36" s="2">
        <v>46286.725718</v>
      </c>
      <c r="I36" s="2">
        <v>46297.5</v>
      </c>
      <c r="J36" s="0">
        <v>5</v>
      </c>
      <c r="K36" s="3">
        <v>14500000.0</v>
      </c>
      <c r="L36" s="0" t="inlineStr">
        <is>
          <t xml:space="preserve">CLP</t>
        </is>
      </c>
      <c r="M36" s="0" t="inlineStr">
        <is>
          <t xml:space="preserve">LE</t>
        </is>
      </c>
      <c r="N36" s="4" t="inlineStr">
        <is>
          <t xml:space="preserve">Tecnologías de la información, telecomunicaciones y radiodifusión / Software / Software de gestión</t>
        </is>
      </c>
      <c r="O36" s="4" t="inlineStr">
        <is>
          <t xml:space="preserve">1 Unidad · Software de gestión de licencias</t>
        </is>
      </c>
      <c r="P36" s="2"/>
      <c r="Q36" s="2"/>
      <c r="R36" s="0" t="inlineStr">
        <is>
          <t xml:space="preserve">37 meses</t>
        </is>
      </c>
      <c r="S36" s="0" t="inlineStr">
        <is>
          <t xml:space="preserve">No</t>
        </is>
      </c>
      <c r="T36" s="4"/>
      <c r="U36" s="0" t="inlineStr">
        <is>
          <t xml:space="preserve">Carolina Cabezas</t>
        </is>
      </c>
      <c r="V36" s="4" t="inlineStr">
        <is>
          <t xml:space="preserve">Según punto 1.2.1 de las bases</t>
        </is>
      </c>
      <c r="W36" s="5" t="str">
        <f>HYPERLINK("https://www.mercadopublico.cl/Procurement/Modules/Attachment/ViewAttachment.aspx?enc=QpF0uiyC7%2fbeN9R40wTklHqpXvLlssFYepaa%2b36Eoy0fbwP5%2fFlaMzpOaJU67rZiJrBf%2b0FEs9Vex8RUu4qRMkiUXuzEbUlbh2OLu9PcR1OmRlGhjD5HFHfp%2fb1oIMVhH%2fZXYcjDmecq2bP8LHo5jCHH3J3lCkmGViISJgbXuM5nAxXy9%2fDKv0DmOn5NLTgoeHTC6HM7ITRD6wyBRtYJ%2fpJEmGlwZC64RY5KKRxSSZPb2LJdgzCXYDAk3mjOBy9tfKrwRq1WqgTwkS%2fq%2bXfTOjgdSdMJrm3pd1gX0ppHTmYhcgHWVDiJYpJfMxxUGT2l","descargar bases")</f>
      </c>
    </row>
    <row r="37">
      <c r="A37" s="0" t="inlineStr">
        <is>
          <t xml:space="preserve">3710-92-L126</t>
        </is>
      </c>
      <c r="B37" s="4" t="inlineStr">
        <is>
          <t xml:space="preserve">SOFTWARE LICENCIAS MEDICAS</t>
        </is>
      </c>
      <c r="C37" s="0" t="inlineStr">
        <is>
          <t xml:space="preserve">Publicada</t>
        </is>
      </c>
      <c r="D37" s="0" t="inlineStr">
        <is>
          <t xml:space="preserve">I MUNICIPALIDAD DE VICTORIA</t>
        </is>
      </c>
      <c r="E37" s="0" t="inlineStr">
        <is>
          <t xml:space="preserve">Salud</t>
        </is>
      </c>
      <c r="F37" s="0" t="inlineStr">
        <is>
          <t xml:space="preserve">Región de la Araucanía </t>
        </is>
      </c>
      <c r="G37" s="0" t="inlineStr">
        <is>
          <t xml:space="preserve">Victoria</t>
        </is>
      </c>
      <c r="H37" s="2">
        <v>46290.472801</v>
      </c>
      <c r="I37" s="2">
        <v>46297.509722</v>
      </c>
      <c r="J37" s="0">
        <v>5</v>
      </c>
      <c r="K37" s="3"/>
      <c r="L37" s="0" t="inlineStr">
        <is>
          <t xml:space="preserve">CLP</t>
        </is>
      </c>
      <c r="M37" s="0" t="inlineStr">
        <is>
          <t xml:space="preserve">L1</t>
        </is>
      </c>
      <c r="N37" s="4" t="inlineStr">
        <is>
          <t xml:space="preserve">Tecnologías de la información, telecomunicaciones y radiodifusión / Software / Software de gestión</t>
        </is>
      </c>
      <c r="O37" s="4" t="inlineStr">
        <is>
          <t xml:space="preserve">1 Unidad · Programas de gestión de inventario</t>
        </is>
      </c>
      <c r="P37" s="2"/>
      <c r="Q37" s="2"/>
      <c r="R37" s="0" t="inlineStr">
        <is>
          <t xml:space="preserve">12 meses</t>
        </is>
      </c>
      <c r="S37" s="0" t="inlineStr">
        <is>
          <t xml:space="preserve">No</t>
        </is>
      </c>
      <c r="T37" s="4" t="inlineStr">
        <is>
          <t xml:space="preserve">Respecto a este punto, queda prohibida la subcontratación total o parcial para cumplir con las obligaciones del contrato que se genere por motivo de la presente licitación pública.</t>
        </is>
      </c>
      <c r="U37" s="0" t="inlineStr">
        <is>
          <t xml:space="preserve">ANIBAL BIZAMA SOTO</t>
        </is>
      </c>
      <c r="V37" s="4" t="inlineStr">
        <is>
          <t xml:space="preserve">SOFTWARE LICENCIAS MEDICAS , SOLICITUD DE PEDIDO N°40</t>
        </is>
      </c>
      <c r="W37" s="5" t="str">
        <f>HYPERLINK("https://www.mercadopublico.cl/Procurement/Modules/Attachment/ViewAttachment.aspx?enc=ndreAUvVrzuc2AwfrRoRheI3%2b6lqUmAO6P2ZEpY2i99bxtJyna0yFnG1Q4pAzUBN1fnQ0nU6vX305V82AlFKccVdpBqpvemHaW0dahkFyz5YoFJrsw8H9VU29J5yWc%2f5kPlCbiDF5CV69I0ZVGQHEoTBlMnWIAm%2bBxc96%2fgk1%2fo89ftJc4JG6wMnv6qL5e9Ub1sH8gaF254RqVb8nnvv4Y%2bL3eqVXs2M7Yw1e37rmNJTxngSnaOPR%2f6WVuZbX%2bv4erIFTbRnGYQnTfsU6NPsgyOVGHLHMXBYnlBdLJrELMRXVo9NpOcmhoSBZNbEqkvH","descargar bases")</f>
      </c>
    </row>
    <row r="38">
      <c r="A38" s="0" t="inlineStr">
        <is>
          <t xml:space="preserve">622844-5-LE26</t>
        </is>
      </c>
      <c r="B38" s="4" t="inlineStr">
        <is>
          <t xml:space="preserve">Renovación de Licencias de Software</t>
        </is>
      </c>
      <c r="C38" s="0" t="inlineStr">
        <is>
          <t xml:space="preserve">Publicada</t>
        </is>
      </c>
      <c r="D38" s="0" t="inlineStr">
        <is>
          <t xml:space="preserve">SERVICIO NACIONAL DEL PATRIMONIO CULTURAL</t>
        </is>
      </c>
      <c r="E38" s="0" t="inlineStr">
        <is>
          <t xml:space="preserve">Coordinación de Política Digital</t>
        </is>
      </c>
      <c r="F38" s="0" t="inlineStr">
        <is>
          <t xml:space="preserve">Región Metropolitana de Santiago</t>
        </is>
      </c>
      <c r="G38" s="0" t="inlineStr">
        <is>
          <t xml:space="preserve">Santiago</t>
        </is>
      </c>
      <c r="H38" s="2">
        <v>46288.592581</v>
      </c>
      <c r="I38" s="2">
        <v>46297.604167</v>
      </c>
      <c r="J38" s="0">
        <v>5</v>
      </c>
      <c r="K38" s="3">
        <v>25406500.0</v>
      </c>
      <c r="L38" s="0" t="inlineStr">
        <is>
          <t xml:space="preserve">CLP</t>
        </is>
      </c>
      <c r="M38" s="0" t="inlineStr">
        <is>
          <t xml:space="preserve">LE</t>
        </is>
      </c>
      <c r="N38" s="4" t="inlineStr">
        <is>
          <t xml:space="preserve">Tecnologías de la información, telecomunicaciones y radiodifusión / Software / Software de gestión</t>
        </is>
      </c>
      <c r="O38" s="4" t="inlineStr">
        <is>
          <t xml:space="preserve">1 Unidad · Software de gestión de licencias</t>
        </is>
      </c>
      <c r="P38" s="2"/>
      <c r="Q38" s="2"/>
      <c r="R38" s="0"/>
      <c r="S38" s="0" t="inlineStr">
        <is>
          <t xml:space="preserve">No</t>
        </is>
      </c>
      <c r="T38" s="4"/>
      <c r="U38" s="0" t="inlineStr">
        <is>
          <t xml:space="preserve">Constanza Elgueta Negrón</t>
        </is>
      </c>
      <c r="V38" s="4" t="inlineStr">
        <is>
          <t xml:space="preserve">La Secretaría Técnica del Consejo de Monumentos Nacionales en adelante también STCMN, licita públicamente el servicio de RENOVACIÓN DE LICENCIAS DE SOFTWARE, para cuyo efecto invita a personas naturales y jurídicas del rubro a formular ofertas conforme a lo dispuesto en las presentes Bases Administrativas y Técnicas.</t>
        </is>
      </c>
      <c r="W38" s="5" t="str">
        <f>HYPERLINK("https://www.mercadopublico.cl/Procurement/Modules/Attachment/ViewAttachment.aspx?enc=9tiIjGt5XvFJ8%2fcApvcUHuU0AF88uTLScTWHkCBMDfFi4BWSTn97djipojtevf1jxpeJZEFWWRlW6s3YGqKghWDvUJG6BHwCwuQH2zP9CVPNNsZ4XDiXY9FAuywpk689O%2fyiS%2f42i5hhMD7S%2bf9QaLJB9zp6JiOZGbeT6dCyAmshfgwc8Ty40%2bFVsUQC811FMp1%2bcuiB7uZdxrpYZU97rxKo0RY6rMyM4H3xlXV3TOVEfpExfWOH03raBU%2fNtvDtJ%2bokLa82xBuDG2O3IhyPcLEZAyppkhf0uRHZSGSwxSASE8ErG5sErZdqHNh8tWT8","descargar bases")</f>
      </c>
    </row>
    <row r="39">
      <c r="A39" s="0" t="inlineStr">
        <is>
          <t xml:space="preserve">1056854-9-L126</t>
        </is>
      </c>
      <c r="B39" s="4" t="inlineStr">
        <is>
          <t xml:space="preserve">“ADQUISICIÓN DE 20 KITS DE ROBÓTICA EDUCATIVA, SOFTWARE, CAPACITACIÓN Y ACOMPAÑAMIENTO TÉCNICO PARA LA HABILITACIÓN DE LA SALA DE ROBÓTICA DEL HUB PROVIDENCIA”,</t>
        </is>
      </c>
      <c r="C39" s="0" t="inlineStr">
        <is>
          <t xml:space="preserve">Publicada</t>
        </is>
      </c>
      <c r="D39" s="0" t="inlineStr">
        <is>
          <t xml:space="preserve">I MUNICIPALIDAD DE PROVIDENCIA</t>
        </is>
      </c>
      <c r="E39" s="0" t="inlineStr">
        <is>
          <t xml:space="preserve">Dirección de Tecnología </t>
        </is>
      </c>
      <c r="F39" s="0" t="inlineStr">
        <is>
          <t xml:space="preserve">Región Metropolitana de Santiago</t>
        </is>
      </c>
      <c r="G39" s="0" t="inlineStr">
        <is>
          <t xml:space="preserve">Providencia</t>
        </is>
      </c>
      <c r="H39" s="2">
        <v>46289.787847</v>
      </c>
      <c r="I39" s="2">
        <v>46297.625</v>
      </c>
      <c r="J39" s="0">
        <v>5</v>
      </c>
      <c r="K39" s="3">
        <v>5000000.0</v>
      </c>
      <c r="L39" s="0" t="inlineStr">
        <is>
          <t xml:space="preserve">CLP</t>
        </is>
      </c>
      <c r="M39" s="0" t="inlineStr">
        <is>
          <t xml:space="preserve">L1</t>
        </is>
      </c>
      <c r="N39" s="4" t="inlineStr">
        <is>
          <t xml:space="preserve">Instrumentos musicales, juegos, juguetes, artesanías y materiales educativos / Materiales, artículos y suministros didácticos profesionales y para el desarrollo personal / Materiales de enseñanza de tecnología</t>
        </is>
      </c>
      <c r="O39" s="4" t="inlineStr">
        <is>
          <t xml:space="preserve">20 Unidad · Materiales de enseñanza de robótica</t>
        </is>
      </c>
      <c r="P39" s="2"/>
      <c r="Q39" s="2"/>
      <c r="R39" s="0"/>
      <c r="S39" s="0" t="inlineStr">
        <is>
          <t xml:space="preserve">No</t>
        </is>
      </c>
      <c r="T39" s="4"/>
      <c r="U39" s="0"/>
      <c r="V39" s="4" t="inlineStr">
        <is>
          <t xml:space="preserve">El objetivo es disponer de una infraestructura tecnológica pedagógica y reutilizable que permita implementar rutas formativas prácticas y progresivas para niños, niñas, jóvenes y emprendedores de la comuna, orientadas a la programación, la automatización, el pensamiento computacional y la introducción a la Inteligencia Artificial (IA).</t>
        </is>
      </c>
      <c r="W39" s="5" t="str">
        <f>HYPERLINK("https://www.mercadopublico.cl/Procurement/Modules/Attachment/ViewAttachment.aspx?enc=FrlQc5W3bBilO9SNo%2fkTo17vao2ejjP%2b%2bp0e5CW2jrlz7hUniTZVSIbhZ2apScFfh2mfeXXyeHkxAg785zEF77wm1XYW4gNyPzv3nj89nJidb5Xr9mHHVeRc5c0q8lxe5kpNImWN2qFKm5p9AQYSmg5Nv2l9vO02qx36%2fKIaP1NImNsFQma%2bL1koil2Nt8aDhQPpyDk3UCrfarR2REF5aJnJYU5REP1Ah2vO%2bboVqpKyAYNVwNz29jbEHZOlROmWbLYw0il1svAPe2GppQIGgI5%2b0ykS1E1LwlmDy64o7QQbv4P9SUyj7tiGhL%2fLeRwS","descargar bases")</f>
      </c>
    </row>
    <row r="40">
      <c r="A40" s="0" t="inlineStr">
        <is>
          <t xml:space="preserve">2176-44-LE26</t>
        </is>
      </c>
      <c r="B40" s="4" t="inlineStr">
        <is>
          <t xml:space="preserve">OBRA REP. DE TABLEROS ELECTRICOS CAPJ ZONAL VALPO</t>
        </is>
      </c>
      <c r="C40" s="0" t="inlineStr">
        <is>
          <t xml:space="preserve">Publicada</t>
        </is>
      </c>
      <c r="D40" s="0" t="inlineStr">
        <is>
          <t xml:space="preserve">CORP ADMINISTRATIVA DEL PODER JUDICIAL</t>
        </is>
      </c>
      <c r="E40" s="0" t="inlineStr">
        <is>
          <t xml:space="preserve">Corp. Adm. del Poder Judicial -  Valparaiso</t>
        </is>
      </c>
      <c r="F40" s="0" t="inlineStr">
        <is>
          <t xml:space="preserve">Región de Valparaíso </t>
        </is>
      </c>
      <c r="G40" s="0" t="inlineStr">
        <is>
          <t xml:space="preserve">Valparaíso</t>
        </is>
      </c>
      <c r="H40" s="2">
        <v>46274.713889</v>
      </c>
      <c r="I40" s="2">
        <v>46297.625</v>
      </c>
      <c r="J40" s="0">
        <v>5</v>
      </c>
      <c r="K40" s="3"/>
      <c r="L40" s="0" t="inlineStr">
        <is>
          <t xml:space="preserve">CLP</t>
        </is>
      </c>
      <c r="M40" s="0" t="inlineStr">
        <is>
          <t xml:space="preserve">LE</t>
        </is>
      </c>
      <c r="N40" s="4" t="inlineStr">
        <is>
          <t xml:space="preserve">Servicios de construcción y mantenimiento / Servicios de atención, mantenimiento y reparaciones de edificios / Servicios eléctricos</t>
        </is>
      </c>
      <c r="O40" s="4" t="inlineStr">
        <is>
          <t xml:space="preserve">1 Global · Instalación o servicio de sistemas de energía eléctrica</t>
        </is>
      </c>
      <c r="P40" s="2"/>
      <c r="Q40" s="2"/>
      <c r="R40" s="0"/>
      <c r="S40" s="0" t="inlineStr">
        <is>
          <t xml:space="preserve">No</t>
        </is>
      </c>
      <c r="T40" s="4"/>
      <c r="U40" s="0" t="inlineStr">
        <is>
          <t xml:space="preserve">VICTOR VILLARROEL CORRALES</t>
        </is>
      </c>
      <c r="V40" s="4" t="inlineStr">
        <is>
          <t xml:space="preserve">OBRA DE REPARACION DE TABLEROS ELECTRICOS EN 10 EDIFICIOS CAPJ ZONAL VALPARAISO.</t>
        </is>
      </c>
      <c r="W40" s="5" t="str">
        <f>HYPERLINK("https://www.mercadopublico.cl/Procurement/Modules/Attachment/ViewAttachment.aspx?enc=kBqQtUfDGhwdr74tovcCVznMNMGrmGvlZekUnQEEytI41lH6WLYMCp8v4%2f1fsoRoIeF2gxDaOPmxAnJffM4QQTjWC6KJ6d2IPEd9R50cnVFz43haHkqG6Gn9hF997We9RFYK0aeRfYuxhVBO44wOndNZAsDmx4UE5qnoPSbB6dLHxDVOfzRnhHIqhOwpSX%2bFJd%2bYuLNK3fmhuNCIBBzf71rznjy4oXSVrORq8emNvrxLYtta2r7j5PpxyBwRDCTST4gLaqbIL2FrtUlu4WFijW88vJWSCM4IHMQPtAKW2ZnfvzPG%2fM4vlmpotr%2fTZV3D","descargar bases")</f>
      </c>
    </row>
    <row r="41">
      <c r="A41" s="0" t="inlineStr">
        <is>
          <t xml:space="preserve">2703-197-L126</t>
        </is>
      </c>
      <c r="B41" s="4" t="inlineStr">
        <is>
          <t xml:space="preserve">SC  12767 Rollo de papel para impresora Rexod para Totem. Desp. parcializado. CESFAM.</t>
        </is>
      </c>
      <c r="C41" s="0" t="inlineStr">
        <is>
          <t xml:space="preserve">Publicada</t>
        </is>
      </c>
      <c r="D41" s="0" t="inlineStr">
        <is>
          <t xml:space="preserve">I MUNICIPALIDAD DE TALAGANTE</t>
        </is>
      </c>
      <c r="E41" s="0" t="inlineStr">
        <is>
          <t xml:space="preserve">Dirección de Salud</t>
        </is>
      </c>
      <c r="F41" s="0" t="inlineStr">
        <is>
          <t xml:space="preserve">Región Metropolitana de Santiago</t>
        </is>
      </c>
      <c r="G41" s="0"/>
      <c r="H41" s="2">
        <v>46290.514178</v>
      </c>
      <c r="I41" s="2">
        <v>46297.625</v>
      </c>
      <c r="J41" s="0">
        <v>5</v>
      </c>
      <c r="K41" s="3">
        <v>7000000.0</v>
      </c>
      <c r="L41" s="0" t="inlineStr">
        <is>
          <t xml:space="preserve">CLP</t>
        </is>
      </c>
      <c r="M41" s="0" t="inlineStr">
        <is>
          <t xml:space="preserve">L1</t>
        </is>
      </c>
      <c r="N41" s="4" t="inlineStr">
        <is>
          <t xml:space="preserve">Productos de papel / Productos de papel / Papel de imprenta y escritura</t>
        </is>
      </c>
      <c r="O41" s="4" t="inlineStr">
        <is>
          <t xml:space="preserve">540 Unidad · Papel para calculadoras o cajas registradoras</t>
        </is>
      </c>
      <c r="P41" s="2"/>
      <c r="Q41" s="2"/>
      <c r="R41" s="0"/>
      <c r="S41" s="0" t="inlineStr">
        <is>
          <t xml:space="preserve">No</t>
        </is>
      </c>
      <c r="T41" s="4"/>
      <c r="U41" s="0" t="inlineStr">
        <is>
          <t xml:space="preserve">Ignacio Mondaca</t>
        </is>
      </c>
      <c r="V41" s="4" t="inlineStr">
        <is>
          <t xml:space="preserve">SC  12767 Rollo de papel para impresora Rexod para Totem. Desp. parcializado. CESFAM.  Según EETT adjuntas.
Se ruega completar formatos adjuntos y /o entregar la información que se solicita en los requerimientos. La unidad se reserva el derecho de desestimar las ofertas que no detallen las especificaciones técnicas y plazo de entrega por falta de información para la revisión técnica.</t>
        </is>
      </c>
      <c r="W41" s="5" t="str">
        <f>HYPERLINK("https://www.mercadopublico.cl/Procurement/Modules/Attachment/ViewAttachment.aspx?enc=NGG1UQxt32rudUCDupEYSp1n3Clg9vEMDKHas36pRbGdF%2bxgnQ9pWH8zVv6AAwKtFhCddqf2nmTNyTI3dG6fTGmeO8Auzl2I9TY%2fpfSut%2fMhWX%2bRprFrMoijRdu1cPag7bZMeWi4kq2A1%2flUHdxJVBC%2boP2cJB1nAbrS%2bNaH7EescyfagOAG1xnuat0tsbqEPYxR%2f8FqvrQ3HvSEDpwvD0f5PDGrU9T79Q9zyygsP8cGNn%2fpszUGjdZ39GWPzx3kNpS3GtQoe4eNPFxK8JWQatAsAYh2hbz%2fHEQGJ1od2qUSuyqI9b1lBnLP6l1tis9a","descargar bases")</f>
      </c>
    </row>
    <row r="42">
      <c r="A42" s="0" t="inlineStr">
        <is>
          <t xml:space="preserve">5690-11-LE26</t>
        </is>
      </c>
      <c r="B42" s="4" t="inlineStr">
        <is>
          <t xml:space="preserve">Mantención Maquinaria y gestión documental</t>
        </is>
      </c>
      <c r="C42" s="0" t="inlineStr">
        <is>
          <t xml:space="preserve">Publicada</t>
        </is>
      </c>
      <c r="D42" s="0" t="inlineStr">
        <is>
          <t xml:space="preserve">SERVICIO AGRICOLA Y GANADERO</t>
        </is>
      </c>
      <c r="E42" s="0" t="inlineStr">
        <is>
          <t xml:space="preserve">SAG - Tarapacá</t>
        </is>
      </c>
      <c r="F42" s="0" t="inlineStr">
        <is>
          <t xml:space="preserve">Región de Tarapacá  </t>
        </is>
      </c>
      <c r="G42" s="0" t="inlineStr">
        <is>
          <t xml:space="preserve">Iquique</t>
        </is>
      </c>
      <c r="H42" s="2">
        <v>46287.362384</v>
      </c>
      <c r="I42" s="2">
        <v>46297.625</v>
      </c>
      <c r="J42" s="0">
        <v>5</v>
      </c>
      <c r="K42" s="3">
        <v>45000000.0</v>
      </c>
      <c r="L42" s="0" t="inlineStr">
        <is>
          <t xml:space="preserve">CLP</t>
        </is>
      </c>
      <c r="M42" s="0" t="inlineStr">
        <is>
          <t xml:space="preserve">LE</t>
        </is>
      </c>
      <c r="N42" s="4" t="inlineStr">
        <is>
          <t xml:space="preserve">Servicios de producción y fabricación industrial / Servicios de apoyo o soporte a la fabricación / Servicios de mantenimiento y reparación de equipo de fabricación</t>
        </is>
      </c>
      <c r="O42" s="4" t="inlineStr">
        <is>
          <t xml:space="preserve">1 Unidad no definida · Servicio de mantenimiento de equipo de fabricación</t>
        </is>
      </c>
      <c r="P42" s="2"/>
      <c r="Q42" s="2"/>
      <c r="R42" s="0" t="inlineStr">
        <is>
          <t xml:space="preserve">36 meses</t>
        </is>
      </c>
      <c r="S42" s="0" t="inlineStr">
        <is>
          <t xml:space="preserve">No</t>
        </is>
      </c>
      <c r="T42" s="4"/>
      <c r="U42" s="0" t="inlineStr">
        <is>
          <t xml:space="preserve">Andres Simon Cerda</t>
        </is>
      </c>
      <c r="V42" s="4" t="inlineStr">
        <is>
          <t xml:space="preserve">Las presentes Bases Técnicas tienen por objeto regular la contratación del servicio de mantención preventiva y correctiva, así como la gestión documental asociada, de los equipos de uso agrícola pertenecientes a la Oficina Sectorial Tamarugal, Región de Tarapacá, conforme a las especificaciones establecidas en el numeral 3, "Especificaciones del Servicio".
La contratación tiene por finalidad asegurar la continuidad operativa, disponibilidad y óptimo funcionamiento de dichos equipos, considerados críticos para la ejecución de labores de tratamiento de suelo, monitoreo, vigilancia y control de emergencias sanitarias del Programa Moscas de la Fruta, así como para el desarrollo de las demás actividades operativas en terreno que realiza la Oficina Sectorial Tamarugal.
*Uso interno - Requisito E1O2RT9*</t>
        </is>
      </c>
      <c r="W42" s="5" t="str">
        <f>HYPERLINK("https://www.mercadopublico.cl/Procurement/Modules/Attachment/ViewAttachment.aspx?enc=Hzf2UVPLogJVb6amkb4ZxeweT%2f76BqwMj5QWn02rs2DazHVVohPwn63uXb4nEfB2q1KA%2f4r8oXJRMQ5LgfO5qo4nlgEHn3pCCfohPyqrBmLj19BJ0g%2fIsaf76wP78Qwu%2bCgENvde8Z1oUZ5BPJrP4d2z2m0j9Qw6r9COcwPhHRFkVtCB4RAaXElRCX89kRebY8dR%2fwuXhrgGXnS%2b4dUswLKaHj04upA2OyZYBtza8BnxmR3AFULZLVF0nvHN1%2f3%2bXRrrWoIlDsxfDT6X5Zm7vlqX6QRcBa0I1NQuuZ1xHETj%2bH%2b64oIyI4bwa%2fYJHxI3","descargar bases")</f>
      </c>
    </row>
    <row r="43">
      <c r="A43" s="0" t="inlineStr">
        <is>
          <t xml:space="preserve">2563-34-LR26</t>
        </is>
      </c>
      <c r="B43" s="4" t="inlineStr">
        <is>
          <t xml:space="preserve">EQUIPOS PARA REDES INFORMÁTICAS Y LICENCIAS</t>
        </is>
      </c>
      <c r="C43" s="0" t="inlineStr">
        <is>
          <t xml:space="preserve">Publicada</t>
        </is>
      </c>
      <c r="D43" s="0" t="inlineStr">
        <is>
          <t xml:space="preserve">DIRECCION GENERAL DE AERONAUTICA CIVIL</t>
        </is>
      </c>
      <c r="E43" s="0" t="inlineStr">
        <is>
          <t xml:space="preserve">UNIDAD DE COMPRA CONTRATOS NACIONALES</t>
        </is>
      </c>
      <c r="F43" s="0" t="inlineStr">
        <is>
          <t xml:space="preserve">Región Metropolitana de Santiago</t>
        </is>
      </c>
      <c r="G43" s="0" t="inlineStr">
        <is>
          <t xml:space="preserve">Providencia</t>
        </is>
      </c>
      <c r="H43" s="2">
        <v>46254.63125</v>
      </c>
      <c r="I43" s="2">
        <v>46297.625</v>
      </c>
      <c r="J43" s="0">
        <v>5</v>
      </c>
      <c r="K43" s="3">
        <v>453590167.0</v>
      </c>
      <c r="L43" s="0" t="inlineStr">
        <is>
          <t xml:space="preserve">CLP</t>
        </is>
      </c>
      <c r="M43" s="0" t="inlineStr">
        <is>
          <t xml:space="preserve">LR</t>
        </is>
      </c>
      <c r="N43" s="4" t="inlineStr">
        <is>
          <t xml:space="preserve">Tecnologías de la información, telecomunicaciones y radiodifusión / Equipos informáticos y accesorios / Accesorios de computador</t>
        </is>
      </c>
      <c r="O43" s="4" t="inlineStr">
        <is>
          <t xml:space="preserve">10 Unidad · Cajas de conmutación de computadores · 11 Unidad · Cajas de conmutación de computadores · 1 Unidad · Cajas de conmutación de computadores · y 14 más</t>
        </is>
      </c>
      <c r="P43" s="2"/>
      <c r="Q43" s="2"/>
      <c r="R43" s="0"/>
      <c r="S43" s="0" t="inlineStr">
        <is>
          <t xml:space="preserve">No</t>
        </is>
      </c>
      <c r="T43" s="4"/>
      <c r="U43" s="0" t="inlineStr">
        <is>
          <t xml:space="preserve">Javier Pacheco Barahona</t>
        </is>
      </c>
      <c r="V43"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43" s="5" t="str">
        <f>HYPERLINK("https://www.mercadopublico.cl/Procurement/Modules/Attachment/ViewAttachment.aspx?enc=MdhxOpt45kn0SN%2bdTPcFSup7bVuClHrS3cM1CbQoKPp2FlXfIVpWpuszIMPqcOgB3HZZA8BkxBQlCc9Ck6MCuHRuee0Hg9QLYQQxUFZKpVDt0mKVLOUTEQP03kAVHGhd8AsM14DFchhfcNnYn9EK3NGmiNlXswVjXIglGyV7XDLkMURMzpotA%2fXr0lKHYo3jB9oUSNQtWibwEXFbI41UhSmXRCVnSFYNANyBj21bQGYSo54Kvfngd4q2pJVnfRjCLRRA0btjKsYVp7PT6eWoIBQdyq7uRXQ74WvDT9bEbU%2fPRBEtKde6vjVOm7%2bfgQU3","descargar bases")</f>
      </c>
    </row>
    <row r="44">
      <c r="A44" s="0" t="inlineStr">
        <is>
          <t xml:space="preserve">548874-74-LR26</t>
        </is>
      </c>
      <c r="B44" s="4" t="inlineStr">
        <is>
          <t xml:space="preserve">SERV DE PLATAFORMA SIEM NUEVA GENERACIÓN SAAS IPS</t>
        </is>
      </c>
      <c r="C44" s="0" t="inlineStr">
        <is>
          <t xml:space="preserve">Publicada</t>
        </is>
      </c>
      <c r="D44" s="0" t="inlineStr">
        <is>
          <t xml:space="preserve">INSTITUTO DE PREVISION SOCIAL</t>
        </is>
      </c>
      <c r="E44" s="0" t="inlineStr">
        <is>
          <t xml:space="preserve">IPS Oficina Central de Compras</t>
        </is>
      </c>
      <c r="F44" s="0" t="inlineStr">
        <is>
          <t xml:space="preserve">Región Metropolitana de Santiago</t>
        </is>
      </c>
      <c r="G44" s="0" t="inlineStr">
        <is>
          <t xml:space="preserve">Santiago</t>
        </is>
      </c>
      <c r="H44" s="2">
        <v>46260.456458</v>
      </c>
      <c r="I44" s="2">
        <v>46297.625</v>
      </c>
      <c r="J44" s="0">
        <v>5</v>
      </c>
      <c r="K44" s="3">
        <v>565250.0</v>
      </c>
      <c r="L44" s="0" t="inlineStr">
        <is>
          <t xml:space="preserve">USD</t>
        </is>
      </c>
      <c r="M44" s="0" t="inlineStr">
        <is>
          <t xml:space="preserve">LR</t>
        </is>
      </c>
      <c r="N44" s="4" t="inlineStr">
        <is>
          <t xml:space="preserve">Tecnologías de la información, telecomunicaciones y radiodifusión / Software / Software de seguridad y protección</t>
        </is>
      </c>
      <c r="O44" s="4" t="inlineStr">
        <is>
          <t xml:space="preserve">1 Global · Software de protección antivirus y de seguridad de transacciones</t>
        </is>
      </c>
      <c r="P44" s="2"/>
      <c r="Q44" s="2"/>
      <c r="R44" s="0" t="inlineStr">
        <is>
          <t xml:space="preserve">12 meses</t>
        </is>
      </c>
      <c r="S44" s="0" t="inlineStr">
        <is>
          <t xml:space="preserve">No</t>
        </is>
      </c>
      <c r="T44" s="4" t="inlineStr">
        <is>
          <t xml:space="preserve">Según punto 16 de las bases</t>
        </is>
      </c>
      <c r="U44" s="0" t="inlineStr">
        <is>
          <t xml:space="preserve">por definir</t>
        </is>
      </c>
      <c r="V44" s="4" t="inlineStr">
        <is>
          <t xml:space="preserve">E102RT8 - SERVICIO DE PLATAFORMA SIEM DE NUEVA GENERACIÓN EN MODALIDAD SAAS PARA EL INSTITUTO DE PREVISIÓN SOCIAL</t>
        </is>
      </c>
      <c r="W44" s="5" t="str">
        <f>HYPERLINK("https://www.mercadopublico.cl/Procurement/Modules/Attachment/ViewAttachment.aspx?enc=i5gus1oSlFII9s72X1nMOp28mAiIq8uZoPd8MhVxb5%2b9gCl6babWkJGczIpn9Rrtgy%2f6wS558Aqq1H%2fJAWt%2fyygSu%2bZoUuQeRu%2fhZunP5uJ%2foXhkV%2fh78uGEZsDimNHm6ll13IqJdpj%2b8oB%2bHChk8LRECxLvJIsPG6MwR9HoKoHgSFyn4qpMo%2bDiIZ%2bDGMuVUfrX8WAik%2bAL6LacB1yZ6IgxlakG4sFkoWsGUq6XZ%2f7t9MZNsj5OPxQzJZxk1Pz5HAn9eBcydAM7Tbp4UR0tOglu%2b9XQJ8hU2HX8tsSh2duygGCtsECmV6claYCEEk%2fP","descargar bases")</f>
      </c>
    </row>
    <row r="45">
      <c r="A45" s="0" t="inlineStr">
        <is>
          <t xml:space="preserve">188-83-LP26</t>
        </is>
      </c>
      <c r="B45" s="4" t="inlineStr">
        <is>
          <t xml:space="preserve">Plataforma de Control de Proyectos COMUDEF</t>
        </is>
      </c>
      <c r="C45" s="0" t="inlineStr">
        <is>
          <t xml:space="preserve">Publicada</t>
        </is>
      </c>
      <c r="D45" s="0" t="inlineStr">
        <is>
          <t xml:space="preserve">CORP MUNICIPAL DE EDUC SALUD CULTURA Y RECREACION DE LA FLORIDA</t>
        </is>
      </c>
      <c r="E45" s="0" t="inlineStr">
        <is>
          <t xml:space="preserve">Corporación Municipal de la Florida</t>
        </is>
      </c>
      <c r="F45" s="0" t="inlineStr">
        <is>
          <t xml:space="preserve">Región Metropolitana de Santiago</t>
        </is>
      </c>
      <c r="G45" s="0" t="inlineStr">
        <is>
          <t xml:space="preserve">La Florida</t>
        </is>
      </c>
      <c r="H45" s="2">
        <v>46272.712998</v>
      </c>
      <c r="I45" s="2">
        <v>46297.625694</v>
      </c>
      <c r="J45" s="0">
        <v>5</v>
      </c>
      <c r="K45" s="3"/>
      <c r="L45" s="0" t="inlineStr">
        <is>
          <t xml:space="preserve">CLP</t>
        </is>
      </c>
      <c r="M45" s="0" t="inlineStr">
        <is>
          <t xml:space="preserve">LP</t>
        </is>
      </c>
      <c r="N45" s="4" t="inlineStr">
        <is>
          <t xml:space="preserve">Tecnologías de la información, telecomunicaciones y radiodifusión / Software / Software de controladores de dispositivos y utilidades</t>
        </is>
      </c>
      <c r="O45" s="4" t="inlineStr">
        <is>
          <t xml:space="preserve">1 Unidad no definida · Software de copias de seguridad o archivado</t>
        </is>
      </c>
      <c r="P45" s="2"/>
      <c r="Q45" s="2"/>
      <c r="R45" s="0" t="inlineStr">
        <is>
          <t xml:space="preserve">12 meses</t>
        </is>
      </c>
      <c r="S45" s="0" t="inlineStr">
        <is>
          <t xml:space="preserve">No</t>
        </is>
      </c>
      <c r="T45" s="4" t="inlineStr">
        <is>
          <t xml:space="preserve">Según Resolución N° 369-2026, punto 19, de las bases administrativas.</t>
        </is>
      </c>
      <c r="U45" s="0" t="inlineStr">
        <is>
          <t xml:space="preserve">Mario Arancibia</t>
        </is>
      </c>
      <c r="V45"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45" s="5" t="str">
        <f>HYPERLINK("https://www.mercadopublico.cl/Procurement/Modules/Attachment/ViewAttachment.aspx?enc=GuebFkkSG4pjYAhv3Tv6V5QDtsHJn6JUrM7lit8gNtTuhWo3DWxd3%2fiFFtFTCpbelDOMawhJYs2q3VR9WVxzpozeV1%2f0mKwrl%2bCd%2ffXXJfjrte63T0r3dhZHUSx47mEg7a8Z954MbhxDdaTqa%2bOF4viQnilHKmt5w0hzatUeRVblTMgYDt2cwG%2f%2fuKXF%2f0oT3xeUtC33WKrW92ghmJv9%2bexgaKmznF6PhLuPT5mQkFV3IJYwwCSGZqi7FyijveN7QWvOZrFzZFymL1HFwB1ibNBlNVod3nce9w2h2LHK3909WGpHcgPCBpf5HrtREddA","descargar bases")</f>
      </c>
    </row>
    <row r="46">
      <c r="A46" s="0" t="inlineStr">
        <is>
          <t xml:space="preserve">1606-32-LE26</t>
        </is>
      </c>
      <c r="B46" s="4" t="inlineStr">
        <is>
          <t xml:space="preserve">CONTRATACIÓN SERVICIO DE DIAGRAMACIÓN DE PIEZAS GRÁFICAS Y WEB DEL PROYECTO “FORTALECIMIENTO DE LAS CAPACIDADES DE LATINOAMÉRICA Y EL CARIBE EN MATERIA DE CIBERSEGURIDAD” FINANCIADO POR LA UNIÓN EUROPEA.</t>
        </is>
      </c>
      <c r="C46" s="0" t="inlineStr">
        <is>
          <t xml:space="preserve">Publicada</t>
        </is>
      </c>
      <c r="D46" s="0" t="inlineStr">
        <is>
          <t xml:space="preserve">AGENCIA CHILENA DE COOPERACION INTERNACIONAL PARA EL DESARROLLO</t>
        </is>
      </c>
      <c r="E46" s="0" t="inlineStr">
        <is>
          <t xml:space="preserve">AGCID</t>
        </is>
      </c>
      <c r="F46" s="0" t="inlineStr">
        <is>
          <t xml:space="preserve">Región Metropolitana de Santiago</t>
        </is>
      </c>
      <c r="G46" s="0" t="inlineStr">
        <is>
          <t xml:space="preserve">Santiago</t>
        </is>
      </c>
      <c r="H46" s="2">
        <v>46282.40625</v>
      </c>
      <c r="I46" s="2">
        <v>46297.631944</v>
      </c>
      <c r="J46" s="0">
        <v>5</v>
      </c>
      <c r="K46" s="3"/>
      <c r="L46" s="0" t="inlineStr">
        <is>
          <t xml:space="preserve">EUR</t>
        </is>
      </c>
      <c r="M46" s="0" t="inlineStr">
        <is>
          <t xml:space="preserve">LE</t>
        </is>
      </c>
      <c r="N46" s="4" t="inlineStr">
        <is>
          <t xml:space="preserve">Servicios editoriales, de diseño, publicidad, gráficos y artistas / Servicios de impresión y reproducción / Impresión</t>
        </is>
      </c>
      <c r="O46" s="4" t="inlineStr">
        <is>
          <t xml:space="preserve">1 Unidad · Diagramación</t>
        </is>
      </c>
      <c r="P46" s="2"/>
      <c r="Q46" s="2"/>
      <c r="R46" s="0" t="inlineStr">
        <is>
          <t xml:space="preserve">7 meses</t>
        </is>
      </c>
      <c r="S46" s="0" t="inlineStr">
        <is>
          <t xml:space="preserve">No</t>
        </is>
      </c>
      <c r="T46" s="4" t="inlineStr">
        <is>
          <t xml:space="preserve">Según bases de licitación</t>
        </is>
      </c>
      <c r="U46" s="0" t="inlineStr">
        <is>
          <t xml:space="preserve">Paula Krautz</t>
        </is>
      </c>
      <c r="V46"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46" s="5" t="str">
        <f>HYPERLINK("https://www.mercadopublico.cl/Procurement/Modules/Attachment/ViewAttachment.aspx?enc=zXmbHupHIsN8dKX%2bFWH03ii%2fEzTYJLuxt65YP21ChUjZN4RJ%2bYV3dwpTwgG%2bieR5WLSmTUBCsmSK11aBSzs4OCKslUR9QbMJJM2qlJFPr5zHbbNY5qIS5VUSIbStEleLGzTNFupKz2YEFqDOcKcy3ZuwnEZyTZ5spTN9xoDOJULHrvnk2AqsY3%2fj0t9q2uhP3xpP3ob6Qet85AiunH60x7S0IgydDACYRBWSxIZEnHz0q6zg3363rN77HZvqEPsEWWYbCXoIL9j9%2fP%2bbv1Qx0crskjAAaMhH9qhL%2bP%2b9haxgZsgQRd%2b89pruFBQJM%2bq6","descargar bases")</f>
      </c>
    </row>
    <row r="47">
      <c r="A47" s="0" t="inlineStr">
        <is>
          <t xml:space="preserve">591-31-LE26</t>
        </is>
      </c>
      <c r="B47" s="4" t="inlineStr">
        <is>
          <t xml:space="preserve">Curso Marketing digital estrategia digital y mas.</t>
        </is>
      </c>
      <c r="C47" s="0" t="inlineStr">
        <is>
          <t xml:space="preserve">Publicada</t>
        </is>
      </c>
      <c r="D47" s="0" t="inlineStr">
        <is>
          <t xml:space="preserve">FONDO NACIONAL DE SALUD</t>
        </is>
      </c>
      <c r="E47" s="0" t="inlineStr">
        <is>
          <t xml:space="preserve">FONASA, Nivel Central</t>
        </is>
      </c>
      <c r="F47" s="0" t="inlineStr">
        <is>
          <t xml:space="preserve">Región Metropolitana de Santiago</t>
        </is>
      </c>
      <c r="G47" s="0"/>
      <c r="H47" s="2">
        <v>46287.347361</v>
      </c>
      <c r="I47" s="2">
        <v>46297.632639</v>
      </c>
      <c r="J47" s="0">
        <v>5</v>
      </c>
      <c r="K47" s="3"/>
      <c r="L47" s="0" t="inlineStr">
        <is>
          <t xml:space="preserve">CLP</t>
        </is>
      </c>
      <c r="M47" s="0" t="inlineStr">
        <is>
          <t xml:space="preserve">LE</t>
        </is>
      </c>
      <c r="N47" s="4" t="inlineStr">
        <is>
          <t xml:space="preserve">Educación, formación, entrenamiento y capacitación / Sistemas educativos complementarios / Aprendizaje a distancia</t>
        </is>
      </c>
      <c r="O47" s="4" t="inlineStr">
        <is>
          <t xml:space="preserve">1 Unidad · Programas o cursos no diplomados a distancia</t>
        </is>
      </c>
      <c r="P47" s="2"/>
      <c r="Q47" s="2"/>
      <c r="R47" s="0"/>
      <c r="S47" s="0" t="inlineStr">
        <is>
          <t xml:space="preserve">No</t>
        </is>
      </c>
      <c r="T47" s="4" t="inlineStr">
        <is>
          <t xml:space="preserve">Se deja establecido que FONASA prohíbe la subcontratación con terceros la prestación de los servicios objeto del presente proceso licitatorio.</t>
        </is>
      </c>
      <c r="U47" s="0" t="inlineStr">
        <is>
          <t xml:space="preserve">ISMENIA TUDELA ROJO</t>
        </is>
      </c>
      <c r="V47" s="4" t="inlineStr">
        <is>
          <t xml:space="preserve">Fonasa busca potenciar y fortalecer las competencias o habilidades individuales, colectivas, técnicas y de relaciones interpersonales que permitan a sus funcionariosas mejorar su desempeño laboral para el óptimo funcionamiento de la Institución. Para ello se necesita comprar el “CURSO MARKETING DIGITAL, ESTRATEGIA DIGITAL Y ANALÍTICA PARA EQUIPOS DE COMUNICACIÓN” contenido en el Plan Anual de Capacitación y Formación 2026 del Fondo Nacional de Salud.</t>
        </is>
      </c>
      <c r="W47" s="5" t="str">
        <f>HYPERLINK("https://www.mercadopublico.cl/Procurement/Modules/Attachment/ViewAttachment.aspx?enc=t3bdB1rvT9%2bLXTWcY2NTD25CujA2uXah3eFLNms1ifB9xI382g0Nd77e53j2RO987JtZuDNb0aDWRQcljwuBeLMxrbsMwAi1u6UotOF%2bh0Zxj1c%2fk%2bKWA0PyJduvxD3xXldJU9Q6%2bP3XidyGpH07XtAFtydn%2fDZl6uYMO4Sbw6yD6hp1YjVprvDKXiQMsrw0mkQoddqmWpCf0gUIX4GRe1DXVVqQnB4FCkqUsbqoJwVrTfMgkatE5aqbm2lZU5AP9asMWYGI6N%2btm1XiDfxm3h3Bm8FAKVly%2fTkJldXszz9kFvjZ%2ffyZe18XymgY6dL7","descargar bases")</f>
      </c>
    </row>
    <row r="48">
      <c r="A48" s="0" t="inlineStr">
        <is>
          <t xml:space="preserve">1736-108-LE26</t>
        </is>
      </c>
      <c r="B48" s="4" t="inlineStr">
        <is>
          <t xml:space="preserve">INSUMOS INFORMÁTICOS Y COMPUTACIONALES DISAM</t>
        </is>
      </c>
      <c r="C48" s="0" t="inlineStr">
        <is>
          <t xml:space="preserve">Publicada</t>
        </is>
      </c>
      <c r="D48" s="0" t="inlineStr">
        <is>
          <t xml:space="preserve">I MUNICIPALIDAD DE LA COMUNA DE EL BOSQUE</t>
        </is>
      </c>
      <c r="E48" s="0" t="inlineStr">
        <is>
          <t xml:space="preserve">I MUNICIPALIDAD DE LA COMUNA DE EL BOSQUE</t>
        </is>
      </c>
      <c r="F48" s="0" t="inlineStr">
        <is>
          <t xml:space="preserve">Región Metropolitana de Santiago</t>
        </is>
      </c>
      <c r="G48" s="0" t="inlineStr">
        <is>
          <t xml:space="preserve">El Bosque</t>
        </is>
      </c>
      <c r="H48" s="2">
        <v>46287.489005</v>
      </c>
      <c r="I48" s="2">
        <v>46297.645833</v>
      </c>
      <c r="J48" s="0">
        <v>5</v>
      </c>
      <c r="K48" s="3"/>
      <c r="L48" s="0" t="inlineStr">
        <is>
          <t xml:space="preserve">CLP</t>
        </is>
      </c>
      <c r="M48" s="0" t="inlineStr">
        <is>
          <t xml:space="preserve">LE</t>
        </is>
      </c>
      <c r="N48"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48" s="4" t="inlineStr">
        <is>
          <t xml:space="preserve">1 Unidad · Cable de fibra óptica · 1 Unidad · Memoria flash · 1 Unidad · Cartuchos de tinta · y 1 más</t>
        </is>
      </c>
      <c r="P48" s="2"/>
      <c r="Q48" s="2"/>
      <c r="R48" s="0"/>
      <c r="S48" s="0" t="inlineStr">
        <is>
          <t xml:space="preserve">No</t>
        </is>
      </c>
      <c r="T48" s="4"/>
      <c r="U48" s="0" t="inlineStr">
        <is>
          <t xml:space="preserve">Luis Pincheira Morales</t>
        </is>
      </c>
      <c r="V48"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48" s="5" t="str">
        <f>HYPERLINK("https://www.mercadopublico.cl/Procurement/Modules/Attachment/ViewAttachment.aspx?enc=vEzJy0UaO1GfwX9o8dcYPOpHw4ALkKZ8RHSOApHVcz6qci8SWb%2bWiVqDPBBBsw23VroL3nc1FM%2fhPHoy98Rya0mKCOxfppx3MjETh89e1SZCTEuhwXuV1cv2Eswig6DKm%2fvsQ8qDLtlBtg%2fAg8OP2XkFot1HMFR4kmm7u7yH4E23BdA9ZLyi5cHgf9BY9SLx4wGxRV8JL3B0XnmOO0kzL07Xyul%2bJr47skTi3W%2bpJ%2f0TmJL%2fMGYl3a8YGvWNUxR6h0j6fTHm%2fuj1N2kvIuxfbAN4Soe8W%2fNm3g3XZRZ%2byrtBhAbhcpJeNNoebPYjg2Oi","descargar bases")</f>
      </c>
    </row>
    <row r="49">
      <c r="A49" s="0" t="inlineStr">
        <is>
          <t xml:space="preserve">534615-1-LE26</t>
        </is>
      </c>
      <c r="B49" s="4" t="inlineStr">
        <is>
          <t xml:space="preserve">Servicio plataformas KOHA y DSpace DIBRA UV</t>
        </is>
      </c>
      <c r="C49" s="0" t="inlineStr">
        <is>
          <t xml:space="preserve">Publicada</t>
        </is>
      </c>
      <c r="D49" s="0" t="inlineStr">
        <is>
          <t xml:space="preserve">UNIVERSIDAD DE VALPARAISO</t>
        </is>
      </c>
      <c r="E49" s="0" t="inlineStr">
        <is>
          <t xml:space="preserve">18 Organismo Central-DIBRA</t>
        </is>
      </c>
      <c r="F49" s="0" t="inlineStr">
        <is>
          <t xml:space="preserve">Región de Valparaíso </t>
        </is>
      </c>
      <c r="G49" s="0" t="inlineStr">
        <is>
          <t xml:space="preserve">Valparaíso</t>
        </is>
      </c>
      <c r="H49" s="2">
        <v>46290.374734</v>
      </c>
      <c r="I49" s="2">
        <v>46297.708333</v>
      </c>
      <c r="J49" s="0">
        <v>5</v>
      </c>
      <c r="K49" s="3"/>
      <c r="L49" s="0" t="inlineStr">
        <is>
          <t xml:space="preserve">CLP</t>
        </is>
      </c>
      <c r="M49" s="0" t="inlineStr">
        <is>
          <t xml:space="preserve">LE</t>
        </is>
      </c>
      <c r="N49" s="4" t="inlineStr">
        <is>
          <t xml:space="preserve">Tecnologías de la información, telecomunicaciones y radiodifusión / Software / Software específico para la industria</t>
        </is>
      </c>
      <c r="O49" s="4" t="inlineStr">
        <is>
          <t xml:space="preserve">1 Unidad · Software de biblioteca</t>
        </is>
      </c>
      <c r="P49" s="2"/>
      <c r="Q49" s="2"/>
      <c r="R49" s="0" t="inlineStr">
        <is>
          <t xml:space="preserve">24 meses</t>
        </is>
      </c>
      <c r="S49" s="0" t="inlineStr">
        <is>
          <t xml:space="preserve">No</t>
        </is>
      </c>
      <c r="T49" s="4"/>
      <c r="U49" s="0" t="inlineStr">
        <is>
          <t xml:space="preserve">Eliana Providel Godoy</t>
        </is>
      </c>
      <c r="V49" s="4" t="inlineStr">
        <is>
          <t xml:space="preserve">La necesidad de contar con “Servicio de alojamiento, administración, soporte, mantención, actualización e integración de las plataformas KOHA y DSpace, sistemas tecnológicos utilizados por la Dirección de Bibliotecas y Recursos para el Aprendizaje DIBRA de la Universidad de Valparaíso”, por un periodo de 24 meses.</t>
        </is>
      </c>
      <c r="W49" s="5" t="str">
        <f>HYPERLINK("https://www.mercadopublico.cl/Procurement/Modules/Attachment/ViewAttachment.aspx?enc=D6DiYtHPOfEzTLD%2bpb6Iq5%2fxdkH4zZpX6qv6xmpwuZ9l5JKyYpFxRHX0QRz%2bvW6gpO%2bJPviWSpvgyetFmLg%2f6ZzJvQmq5Th%2b1lq18Hvuz0Ysdyo90%2fSCNxOa3ha4y%2fWKPRzf8Bo6qLx3N5lOxCy4Bxw7ZvmMvrXDjnAlQgfqHIGWHYjhxECkg5ayJhgsiMlZvW2%2fVAtNkoTSyYCeUDKZ28SpvLjzFL0R8aKEU9%2fzau9EF7%2besFIn%2bTBaLpeXzoGRLBPFl5G0%2f3BvossxTjKn7wvDZgR6z0xf3azEUTtAz9NSaE%2fkjoqprcwLTURVDrp5","descargar bases")</f>
      </c>
    </row>
    <row r="50">
      <c r="A50" s="0" t="inlineStr">
        <is>
          <t xml:space="preserve">691792-1-LE26</t>
        </is>
      </c>
      <c r="B50" s="4" t="inlineStr">
        <is>
          <t xml:space="preserve">SERVICIOS DE MARKETING DIGITAL Y MEDIOS</t>
        </is>
      </c>
      <c r="C50" s="0" t="inlineStr">
        <is>
          <t xml:space="preserve">Publicada</t>
        </is>
      </c>
      <c r="D50" s="0" t="inlineStr">
        <is>
          <t xml:space="preserve">UNIVERSIDAD METROPOLITANA DE CIENCIAS DE LA EDUCACION</t>
        </is>
      </c>
      <c r="E50" s="0" t="inlineStr">
        <is>
          <t xml:space="preserve">DIRECCION DE COMUNICACIONES</t>
        </is>
      </c>
      <c r="F50" s="0" t="inlineStr">
        <is>
          <t xml:space="preserve">Región Metropolitana de Santiago</t>
        </is>
      </c>
      <c r="G50" s="0" t="inlineStr">
        <is>
          <t xml:space="preserve">Ñuñoa</t>
        </is>
      </c>
      <c r="H50" s="2">
        <v>46286.486829</v>
      </c>
      <c r="I50" s="2">
        <v>46297.708333</v>
      </c>
      <c r="J50" s="0">
        <v>5</v>
      </c>
      <c r="K50" s="3"/>
      <c r="L50" s="0" t="inlineStr">
        <is>
          <t xml:space="preserve">CLP</t>
        </is>
      </c>
      <c r="M50" s="0" t="inlineStr">
        <is>
          <t xml:space="preserve">LE</t>
        </is>
      </c>
      <c r="N50" s="4" t="inlineStr">
        <is>
          <t xml:space="preserve">Servicios profesionales, administrativos y consultorías de gestión empresarial / Servicios para la comercialización y distribución / Ventas y marketing</t>
        </is>
      </c>
      <c r="O50" s="4" t="inlineStr">
        <is>
          <t xml:space="preserve">1 Unidad no definida · Telemarketing</t>
        </is>
      </c>
      <c r="P50" s="2"/>
      <c r="Q50" s="2"/>
      <c r="R50" s="0" t="inlineStr">
        <is>
          <t xml:space="preserve">7 meses</t>
        </is>
      </c>
      <c r="S50" s="0" t="inlineStr">
        <is>
          <t xml:space="preserve">No</t>
        </is>
      </c>
      <c r="T50" s="4"/>
      <c r="U50" s="0" t="inlineStr">
        <is>
          <t xml:space="preserve">Rodrigo Olivares Arriagada</t>
        </is>
      </c>
      <c r="V50"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50" s="5" t="str">
        <f>HYPERLINK("https://www.mercadopublico.cl/Procurement/Modules/Attachment/ViewAttachment.aspx?enc=fTJ8r5PyTuBcUI5g26u4LSCqvH4Pey1BwDO0ll8LdVXFnzhNiINVyGCpRyJDPuDGUfaUDDSsj0Cw7mO9fzCkgQiMNlI9z%2fDfC4gOZHhseB1aonprY437XyOL4NmfBZvBLYw9pj8ggR3ycOZhc1bfGje5Xw6Kb3QGi8qbhZc%2fcK%2bFMTUD%2bAEZw%2b3%2bjqvs5ccBDRqCFqnBmHD6xEOlg9OKQXxBWZvGC5d9b6Q0R8sh2%2fI%2fcIp4zS0WvmryluGEg89D0fNKdx03uNHsUHANXDdt%2b1ci5taauT1RI%2bNlp1L3rXYQn1gZsEq1XQhzzYK%2fG15k","descargar bases")</f>
      </c>
    </row>
    <row r="51">
      <c r="A51" s="0" t="inlineStr">
        <is>
          <t xml:space="preserve">1499-182-LE26</t>
        </is>
      </c>
      <c r="B51" s="4" t="inlineStr">
        <is>
          <t xml:space="preserve">INSUMOS NECESARIOS PARA SISTEMA DE SUPERVISIÓN Y DRENAJE TORÁCICO DIGITAL CON EQUIPO EN COMODATO</t>
        </is>
      </c>
      <c r="C51" s="0" t="inlineStr">
        <is>
          <t xml:space="preserve">Publicada</t>
        </is>
      </c>
      <c r="D51" s="0" t="inlineStr">
        <is>
          <t xml:space="preserve">INSTITUTO NACIONAL DEL TORAX</t>
        </is>
      </c>
      <c r="E51" s="0" t="inlineStr">
        <is>
          <t xml:space="preserve">INSTITUTO NACIONAL DEL TORAX</t>
        </is>
      </c>
      <c r="F51" s="0" t="inlineStr">
        <is>
          <t xml:space="preserve">Región Metropolitana de Santiago</t>
        </is>
      </c>
      <c r="G51" s="0" t="inlineStr">
        <is>
          <t xml:space="preserve">Providencia</t>
        </is>
      </c>
      <c r="H51" s="2">
        <v>46287.756019</v>
      </c>
      <c r="I51" s="2">
        <v>46297.75</v>
      </c>
      <c r="J51" s="0">
        <v>5</v>
      </c>
      <c r="K51" s="3"/>
      <c r="L51" s="0" t="inlineStr">
        <is>
          <t xml:space="preserve">CLP</t>
        </is>
      </c>
      <c r="M51" s="0" t="inlineStr">
        <is>
          <t xml:space="preserve">LE</t>
        </is>
      </c>
      <c r="N51" s="4" t="inlineStr">
        <is>
          <t xml:space="preserve">Equipamiento y suministros médicos / Productos quirúrgicos / Suministros quirúrgicos auxiliares</t>
        </is>
      </c>
      <c r="O51" s="4" t="inlineStr">
        <is>
          <t xml:space="preserve">1 Global · Catéteres, kits de cateterización o bolsas de drenaje para cirugía o endoscopia</t>
        </is>
      </c>
      <c r="P51" s="2"/>
      <c r="Q51" s="2"/>
      <c r="R51" s="0" t="inlineStr">
        <is>
          <t xml:space="preserve">12 meses</t>
        </is>
      </c>
      <c r="S51" s="0" t="inlineStr">
        <is>
          <t xml:space="preserve">No</t>
        </is>
      </c>
      <c r="T51" s="4" t="inlineStr">
        <is>
          <t xml:space="preserve">El adjudicatario no podrá ceder ni transferir en forma alguna, total ni parcialmente, los derechos y obligaciones que nacen del desarrollo de esta licitación, y, en especial, los establecidos en el respectivo contrato que se celebre.</t>
        </is>
      </c>
      <c r="U51" s="0" t="inlineStr">
        <is>
          <t xml:space="preserve">Mario Navarro C.</t>
        </is>
      </c>
      <c r="V51" s="4" t="inlineStr">
        <is>
          <t xml:space="preserve">El proveedor deberá garantizar el suministro oportuno de los insumos de consumo necesarios para la gestión clínica y administrativa del Instituto Nacional del Tórax, con el fin de prestar servicios con la efectividad, seguridad y condiciones de calidad que cada paciente requiere.</t>
        </is>
      </c>
      <c r="W51" s="5" t="str">
        <f>HYPERLINK("https://www.mercadopublico.cl/Procurement/Modules/Attachment/ViewAttachment.aspx?enc=UgoKm68QFyaE%2fuXXAYcd5hODDQLaTcNBtzFmOMxUBJWmf%2buA5MYHUKS2tlYsSbGuUAYxR1Iyb8xzShR8yPLHMCjNYCwvZI5zJdG%2fn8y7EvqeQhy7quXH2dciaWotlyFV%2bZahacjpcNrg7U2mcuy5TWWcVYyyk6uI2ZIHVsjyp4MbgoppgQNtdobpwfqdsAQsjQr7DnUS970r26I%2fHZRMsZse2x0Np3qe5mAu%2be6%2f%2bXaOOpypvPnbHjKmUWQwBBSzlpdqyjHmMsbiGw8ImDATHdzcg%2fxUp%2b02EWEBjzg5U5ojPKc0uB8fJpp%2bWcYfAcK6","descargar bases")</f>
      </c>
    </row>
    <row r="52">
      <c r="A52" s="0" t="inlineStr">
        <is>
          <t xml:space="preserve">2704-76-LE26</t>
        </is>
      </c>
      <c r="B52" s="4" t="inlineStr">
        <is>
          <t xml:space="preserve">SC1101 y 1105 Adquisición de licencias software</t>
        </is>
      </c>
      <c r="C52" s="0" t="inlineStr">
        <is>
          <t xml:space="preserve">Publicada</t>
        </is>
      </c>
      <c r="D52" s="0" t="inlineStr">
        <is>
          <t xml:space="preserve">UNIVERSIDAD DEL BIO BIO</t>
        </is>
      </c>
      <c r="E52" s="0" t="inlineStr">
        <is>
          <t xml:space="preserve">Universidad del Bío-Bío - Campus Concepción</t>
        </is>
      </c>
      <c r="F52" s="0" t="inlineStr">
        <is>
          <t xml:space="preserve">Región del Biobío </t>
        </is>
      </c>
      <c r="G52" s="0" t="inlineStr">
        <is>
          <t xml:space="preserve">Concepción</t>
        </is>
      </c>
      <c r="H52" s="2">
        <v>46287.731759</v>
      </c>
      <c r="I52" s="2">
        <v>46297.833333</v>
      </c>
      <c r="J52" s="0">
        <v>5</v>
      </c>
      <c r="K52" s="3">
        <v>24500000.0</v>
      </c>
      <c r="L52" s="0" t="inlineStr">
        <is>
          <t xml:space="preserve">CLP</t>
        </is>
      </c>
      <c r="M52" s="0" t="inlineStr">
        <is>
          <t xml:space="preserve">LE</t>
        </is>
      </c>
      <c r="N52" s="4" t="inlineStr">
        <is>
          <t xml:space="preserve">Tecnologías de la información, telecomunicaciones y radiodifusión / Software / Software de gestión</t>
        </is>
      </c>
      <c r="O52" s="4" t="inlineStr">
        <is>
          <t xml:space="preserve">1 Unidad · Software de gestión de adquisiciones · 1 Unidad · Software de gestión de adquisiciones</t>
        </is>
      </c>
      <c r="P52" s="2"/>
      <c r="Q52" s="2"/>
      <c r="R52" s="0"/>
      <c r="S52" s="0" t="inlineStr">
        <is>
          <t xml:space="preserve">No</t>
        </is>
      </c>
      <c r="T52" s="4"/>
      <c r="U52" s="0" t="inlineStr">
        <is>
          <t xml:space="preserve">MÓNICA BAEZA</t>
        </is>
      </c>
      <c r="V52" s="4" t="inlineStr">
        <is>
          <t xml:space="preserve">adquisición de licencias del software Etabs Nonlinear V23 y DesignBuilder versión Engineering Plus, según solicitudes de compra N°1101 y 1105 . Segun descripcion del servicio.</t>
        </is>
      </c>
      <c r="W52" s="5" t="str">
        <f>HYPERLINK("https://www.mercadopublico.cl/Procurement/Modules/Attachment/ViewAttachment.aspx?enc=LfrklAjoKSQeCEgknj7wbyQOTAmuUXZv471%2bQq7HKYvS0NWvcsMpsUhkzhvBSV%2bV61knOWXiFw%2fvNJwoYgzKukEzLDTS0LDqR8BxCRMRoZ4LVJS8t65XlrmpHl1sHEW3WUxJVMG%2bFHV2jcBl5NMgMhFJzlFLLT38xUvFEK0sSjilCIzwdpgsGq%2bpocxiSPnPKAPAZi%2fZshmAwtwHfgaLBFh5878EP8HN9Lg%2bjJyoukXtMt3zbxSUoutsRllpWr7EKgFilARYrmMnqWUc2%2bR0wWBW%2foWQPifUlYMfTFYaFjHGE%2bHhcLjEJzv5DTp%2bmpxl","descargar bases")</f>
      </c>
    </row>
    <row r="53">
      <c r="A53" s="0" t="inlineStr">
        <is>
          <t xml:space="preserve">5251-83-LE26</t>
        </is>
      </c>
      <c r="B53" s="4" t="inlineStr">
        <is>
          <t xml:space="preserve">SUITE DE PRODUCTIVIDAD O SOFTWARE DE OFICINA</t>
        </is>
      </c>
      <c r="C53" s="0" t="inlineStr">
        <is>
          <t xml:space="preserve">Publicada</t>
        </is>
      </c>
      <c r="D53" s="0" t="inlineStr">
        <is>
          <t xml:space="preserve">UNIVERSIDAD TECNOLOGICA METROPOLITANA</t>
        </is>
      </c>
      <c r="E53" s="0" t="inlineStr">
        <is>
          <t xml:space="preserve">DEPARTAMENTO DE ABASTECIMIENTO</t>
        </is>
      </c>
      <c r="F53" s="0" t="inlineStr">
        <is>
          <t xml:space="preserve">Región Metropolitana de Santiago</t>
        </is>
      </c>
      <c r="G53" s="0" t="inlineStr">
        <is>
          <t xml:space="preserve">Santiago</t>
        </is>
      </c>
      <c r="H53" s="2">
        <v>46288.488924</v>
      </c>
      <c r="I53" s="2">
        <v>46297.833333</v>
      </c>
      <c r="J53" s="0">
        <v>5</v>
      </c>
      <c r="K53" s="3">
        <v>64600.0</v>
      </c>
      <c r="L53" s="0" t="inlineStr">
        <is>
          <t xml:space="preserve">USD</t>
        </is>
      </c>
      <c r="M53" s="0" t="inlineStr">
        <is>
          <t xml:space="preserve">LE</t>
        </is>
      </c>
      <c r="N53" s="4" t="inlineStr">
        <is>
          <t xml:space="preserve">Tecnologías de la información, telecomunicaciones y radiodifusión / Software / Software de gestión</t>
        </is>
      </c>
      <c r="O53" s="4" t="inlineStr">
        <is>
          <t xml:space="preserve">1 Unidad · Software de gestión de licencias</t>
        </is>
      </c>
      <c r="P53" s="2"/>
      <c r="Q53" s="2"/>
      <c r="R53" s="0" t="inlineStr">
        <is>
          <t xml:space="preserve">12 meses</t>
        </is>
      </c>
      <c r="S53" s="0" t="inlineStr">
        <is>
          <t xml:space="preserve">No</t>
        </is>
      </c>
      <c r="T53" s="4"/>
      <c r="U53" s="0" t="inlineStr">
        <is>
          <t xml:space="preserve">José Leyton</t>
        </is>
      </c>
      <c r="V53" s="4" t="inlineStr">
        <is>
          <t xml:space="preserve">Nuestro objetivo principal es asegurar la renovación anual de las licencias de la suite de productividad, garantizando que los estudiantes de la Universidad Tecnológica Metropolitana (UTEM) puedan continuar utilizando estas herramientas esenciales en sus actividades académicas y de investigación. Estas licencias son fundamentales para el desarrollo de sus estudios, facilitando el acceso a software de vanguardia que mejora su aprendizaje y productividad.
Además, es crucial que los funcionarios de la UTEM dispongan de estas licencias para llevar a cabo sus funciones administrativas y académicas de manera eficiente. La adquisición debe cubrir la totalidad de las licencias necesarias, sin aceptar propuestas parciales, para asegurar la continuidad y eficiencia en el desarrollo de las funciones académicas y administrativas de la universidad.</t>
        </is>
      </c>
      <c r="W53" s="5" t="str">
        <f>HYPERLINK("https://www.mercadopublico.cl/Procurement/Modules/Attachment/ViewAttachment.aspx?enc=V8KIy2kp73fQiw9HfiOFGrw4DXAoSi5FChqrgzHCYV%2fODskrQ297qBTLqWuvnj58Oo7VmR3Z9tL3h6AQOQX4UO%2bsa1GRwChZmNicW1lE8NsOwRugf4CTkTDAv18CZDpmq7OQ2KhWt2zfWOnJeCAbraSEH9RbNHhp0Hg%2fYU2BYJO2NaQvBf1FPdgQsYS4P3oQy8ujRoutn6Mk10CAfm403BwGw2ZhiqAX%2b4mhcZ95u5kRHqiQMe0VjNMouWGod9%2fM4JODCQw3L2mblH6RJXg1QrWfy%2ffPGyL3ahaR3z0o321XWbZiAXfsiOTLF2Wn2ZOY","descargar bases")</f>
      </c>
    </row>
    <row r="54">
      <c r="A54" s="0" t="inlineStr">
        <is>
          <t xml:space="preserve">1057500-76-L126</t>
        </is>
      </c>
      <c r="B54" s="4" t="inlineStr">
        <is>
          <t xml:space="preserve">Licencias Suscripción Software</t>
        </is>
      </c>
      <c r="C54" s="0" t="inlineStr">
        <is>
          <t xml:space="preserve">Publicada</t>
        </is>
      </c>
      <c r="D54" s="0" t="inlineStr">
        <is>
          <t xml:space="preserve">SERVICIO DE SALUD METROPOLITANO SUR ORIENTE</t>
        </is>
      </c>
      <c r="E54" s="0" t="inlineStr">
        <is>
          <t xml:space="preserve">Bienes y Servicios</t>
        </is>
      </c>
      <c r="F54" s="0" t="inlineStr">
        <is>
          <t xml:space="preserve">Región Metropolitana de Santiago</t>
        </is>
      </c>
      <c r="G54" s="0" t="inlineStr">
        <is>
          <t xml:space="preserve">Providencia</t>
        </is>
      </c>
      <c r="H54" s="2">
        <v>46289.477396</v>
      </c>
      <c r="I54" s="2">
        <v>46300.625</v>
      </c>
      <c r="J54" s="0">
        <v>8</v>
      </c>
      <c r="K54" s="3">
        <v>5600000.0</v>
      </c>
      <c r="L54" s="0" t="inlineStr">
        <is>
          <t xml:space="preserve">CLP</t>
        </is>
      </c>
      <c r="M54" s="0" t="inlineStr">
        <is>
          <t xml:space="preserve">L1</t>
        </is>
      </c>
      <c r="N54" s="4" t="inlineStr">
        <is>
          <t xml:space="preserve">Tecnologías de la información, telecomunicaciones y radiodifusión / Software / Software de gestión</t>
        </is>
      </c>
      <c r="O54" s="4" t="inlineStr">
        <is>
          <t xml:space="preserve">30 Unidad · Software de gestión de licencias · 1 Unidad · Software de gestión de licencias</t>
        </is>
      </c>
      <c r="P54" s="2"/>
      <c r="Q54" s="2"/>
      <c r="R54" s="0"/>
      <c r="S54" s="0" t="inlineStr">
        <is>
          <t xml:space="preserve">No</t>
        </is>
      </c>
      <c r="T54" s="4"/>
      <c r="U54" s="0"/>
      <c r="V54" s="4" t="inlineStr">
        <is>
          <t xml:space="preserve">El SSMSO requiere para su área de desarrollo informático los siguientes servicios informáticos: 
•30 licencias Trello
•1 licencia Apple Developer</t>
        </is>
      </c>
      <c r="W54" s="5" t="str">
        <f>HYPERLINK("https://www.mercadopublico.cl/Procurement/Modules/Attachment/ViewAttachment.aspx?enc=LG%2bdcgE2M9Lhqu8hbnk1asP2tWamD%2b97u0UGOA8gDBxkZfipGvSWLt4zatMp2hTCYn%2famF72spZGnRf7Su1pWQZSff72jX3M%2fe6YgnxRHH2zbB%2bioHFmRKB0jNsS2OhRbNNCr5OndUgvOk9g9aJoZhCntXQCDWfCmJhmVdPcyKHKtacXpyR5SWiHhLKtT4ThxH1AdBiKQVgEusTtQPQlmG5ef%2bWjkJQX261OKOswR87C5GCFxzwqq1mb5wOF9XFZg0epNQ%2b5NPbbwvicvlV1d5Uxqg54zwCgPoXKQxGcN6x2FXID89a5GGJevEtZqiP4","descargar bases")</f>
      </c>
    </row>
    <row r="55">
      <c r="A55" s="0" t="inlineStr">
        <is>
          <t xml:space="preserve">1084148-18-LE26</t>
        </is>
      </c>
      <c r="B55" s="4" t="inlineStr">
        <is>
          <t xml:space="preserve">“RENOVACIÓN Y ADQUISICIÓN DE LICENCIAS DE SOFTWARE POR 12 MESES PARA EL SERVICIO LOCAL DE EDUCACIÓN PÚBLICA CHINCHORRO”.</t>
        </is>
      </c>
      <c r="C55" s="0" t="inlineStr">
        <is>
          <t xml:space="preserve">Publicada</t>
        </is>
      </c>
      <c r="D55" s="0" t="inlineStr">
        <is>
          <t xml:space="preserve">SERVICIO LOCAL DE EDUCACION DE CHINCHORRO</t>
        </is>
      </c>
      <c r="E55" s="0" t="inlineStr">
        <is>
          <t xml:space="preserve">SLEPCH - Programa 01</t>
        </is>
      </c>
      <c r="F55" s="0" t="inlineStr">
        <is>
          <t xml:space="preserve">Región de Arica y Parinacota</t>
        </is>
      </c>
      <c r="G55" s="0"/>
      <c r="H55" s="2">
        <v>46290.434572</v>
      </c>
      <c r="I55" s="2">
        <v>46300.625</v>
      </c>
      <c r="J55" s="0">
        <v>8</v>
      </c>
      <c r="K55" s="3">
        <v>8332800.0</v>
      </c>
      <c r="L55" s="0" t="inlineStr">
        <is>
          <t xml:space="preserve">CLP</t>
        </is>
      </c>
      <c r="M55" s="0" t="inlineStr">
        <is>
          <t xml:space="preserve">LE</t>
        </is>
      </c>
      <c r="N55" s="4" t="inlineStr">
        <is>
          <t xml:space="preserve">Tecnologías de la información, telecomunicaciones y radiodifusión / Software / Software de gestión, Tecnologías de la información, telecomunicaciones y radiodifusión / Software / Software para trabajo en redes</t>
        </is>
      </c>
      <c r="O55" s="4" t="inlineStr">
        <is>
          <t xml:space="preserve">8 Unidad · Programas de gestión de proyectos · 8 Unidad · Software de sistema experto · 111 Unidad · Software de servidor de comunicaciones</t>
        </is>
      </c>
      <c r="P55" s="2"/>
      <c r="Q55" s="2"/>
      <c r="R55" s="0" t="inlineStr">
        <is>
          <t xml:space="preserve">12 meses</t>
        </is>
      </c>
      <c r="S55" s="0" t="inlineStr">
        <is>
          <t xml:space="preserve">No</t>
        </is>
      </c>
      <c r="T55" s="4" t="inlineStr">
        <is>
          <t xml:space="preserve">Según el punto 10.8 de las Bases Administrativas</t>
        </is>
      </c>
      <c r="U55" s="0" t="inlineStr">
        <is>
          <t xml:space="preserve">KAREEN FUMEY MICHELL</t>
        </is>
      </c>
      <c r="V55" s="4" t="inlineStr">
        <is>
          <t xml:space="preserve">“RENOVACIÓN Y ADQUISICIÓN DE LICENCIAS DE SOFTWARE POR 12 MESES PARA EL SERVICIO LOCAL DE EDUCACIÓN PÚBLICA CHINCHORRO”.</t>
        </is>
      </c>
      <c r="W55" s="5" t="str">
        <f>HYPERLINK("https://www.mercadopublico.cl/Procurement/Modules/Attachment/ViewAttachment.aspx?enc=GgMELnE52Hpj3snaaffc1WZDhi8AL1DPkA7D03WsnpNAag9PawTwwiLn8EjCOoDtU6Bgujd2J%2bGTKodk1hv9dlMw0Z5QM7Chq2jnxJ7%2bvOV84%2b0kFeIbACOu3nc7Q8zwRMbu5l7YNfcN4XgbU3hKB1NEfXk56PKTtpM%2fcvUQm%2bwn2095L89%2fkupONpHi0j8GCpIuN0uODEn3LoxbSvySgb4XjhN1ECko6UDMql7S%2f4wpJCtO25lFaBz%2b%2bHSaNYSz6GCEiRq2D1QZ%2bJaB09fvakKP5EFIFt3216QnV6LFLelOz4VPQp%2bYDZncgPDslkja","descargar bases")</f>
      </c>
    </row>
    <row r="56">
      <c r="A56" s="0" t="inlineStr">
        <is>
          <t xml:space="preserve">2385-56-LE26</t>
        </is>
      </c>
      <c r="B56" s="4" t="inlineStr">
        <is>
          <t xml:space="preserve">ADQUISICIÓN CURSO OFIMÁTICA E INTELIGENCIA ARTIFICIAL</t>
        </is>
      </c>
      <c r="C56" s="0" t="inlineStr">
        <is>
          <t xml:space="preserve">Publicada</t>
        </is>
      </c>
      <c r="D56" s="0" t="inlineStr">
        <is>
          <t xml:space="preserve">I MUNICIPALIDAD DE CALAMA</t>
        </is>
      </c>
      <c r="E56" s="0" t="inlineStr">
        <is>
          <t xml:space="preserve">ADQUISICIONES</t>
        </is>
      </c>
      <c r="F56" s="0" t="inlineStr">
        <is>
          <t xml:space="preserve">Región de Antofagasta </t>
        </is>
      </c>
      <c r="G56" s="0"/>
      <c r="H56" s="2">
        <v>46279.511262</v>
      </c>
      <c r="I56" s="2">
        <v>46300.625</v>
      </c>
      <c r="J56" s="0">
        <v>8</v>
      </c>
      <c r="K56" s="3">
        <v>7500000.0</v>
      </c>
      <c r="L56" s="0" t="inlineStr">
        <is>
          <t xml:space="preserve">CLP</t>
        </is>
      </c>
      <c r="M56" s="0" t="inlineStr">
        <is>
          <t xml:space="preserve">LE</t>
        </is>
      </c>
      <c r="N56" s="4" t="inlineStr">
        <is>
          <t xml:space="preserve">Educación, formación, entrenamiento y capacitación / Sistemas educativos complementarios / Educación de adultos</t>
        </is>
      </c>
      <c r="O56" s="4" t="inlineStr">
        <is>
          <t xml:space="preserve">1 Unidad · Capacitación a empleados · 1 Unidad · Capacitación a empleados · 1 Unidad · Capacitación a empleados · y 1 más</t>
        </is>
      </c>
      <c r="P56" s="2"/>
      <c r="Q56" s="2"/>
      <c r="R56" s="0"/>
      <c r="S56" s="0" t="inlineStr">
        <is>
          <t xml:space="preserve">No</t>
        </is>
      </c>
      <c r="T56" s="4" t="inlineStr">
        <is>
          <t xml:space="preserve">El adjudicatario no podrá ceder ni transferir en forma  alguna, total ni parcialmente, los derechos
y obligaciones que nacen del desarrollo de esta licitación.</t>
        </is>
      </c>
      <c r="U56" s="0" t="inlineStr">
        <is>
          <t xml:space="preserve">Marisol Zurita</t>
        </is>
      </c>
      <c r="V56"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56" s="5" t="str">
        <f>HYPERLINK("https://www.mercadopublico.cl/Procurement/Modules/Attachment/ViewAttachment.aspx?enc=KPN0X04TMMTVPZTB5jZPeB1aEtXwWCNYikrCfsM1YOrwr98FOl%2fgHRmg8C7uHxCE8oXJspN%2fv1TPGg62wsG12cbGcWySZHT%2bJmUsHTe1YbRMbNTqO1itgicaZ4SKWKenvIunkjTFr2cKJ16%2baH8poamaYDR8oP2iN%2bMEnZ4vfJPOTzzfzI5w0pqW9qrqj5rjb6lMjKQryLYDl7Q4ZGqLLfpQyOXfi4t4JvJfbK%2bA4WHhEIwC70aXLkVZiMdV9hB1jgIQYkTtuupK2IXnRYVL42dVKu9oKFGK3auob6LfTmMjjcf4xzMRN9ySsfWQfzIU","descargar bases")</f>
      </c>
    </row>
    <row r="57">
      <c r="A57" s="0" t="inlineStr">
        <is>
          <t xml:space="preserve">3510-24-LE26</t>
        </is>
      </c>
      <c r="B57" s="4" t="inlineStr">
        <is>
          <t xml:space="preserve">Adquisición Equipos Tecnológicos y automatización</t>
        </is>
      </c>
      <c r="C57" s="0" t="inlineStr">
        <is>
          <t xml:space="preserve">Publicada</t>
        </is>
      </c>
      <c r="D57" s="0" t="inlineStr">
        <is>
          <t xml:space="preserve">I MUNICIPALIDAD DE CALBUCO</t>
        </is>
      </c>
      <c r="E57" s="0" t="inlineStr">
        <is>
          <t xml:space="preserve">Departamento de Educacion</t>
        </is>
      </c>
      <c r="F57" s="0" t="inlineStr">
        <is>
          <t xml:space="preserve">Región de los Lagos </t>
        </is>
      </c>
      <c r="G57" s="0" t="inlineStr">
        <is>
          <t xml:space="preserve">Calbuco</t>
        </is>
      </c>
      <c r="H57" s="2">
        <v>46290.582118</v>
      </c>
      <c r="I57" s="2">
        <v>46300.625</v>
      </c>
      <c r="J57" s="0">
        <v>8</v>
      </c>
      <c r="K57" s="3">
        <v>38560000.0</v>
      </c>
      <c r="L57" s="0" t="inlineStr">
        <is>
          <t xml:space="preserve">CLP</t>
        </is>
      </c>
      <c r="M57" s="0" t="inlineStr">
        <is>
          <t xml:space="preserve">LE</t>
        </is>
      </c>
      <c r="N57" s="4" t="inlineStr">
        <is>
          <t xml:space="preserve">Artículos eléctricos y de iluminación / Equipamiento y artículos eléctricos / Equipamiento para distribución y transformación eléctrica, Instrumentos musicales, juegos, juguetes, artesanías y materiales educativos / Materiales, artículos y suministros didácticos profesionales y para el desarrollo personal / Materiales de enseñanza de tecnología, Muebles, accesorios, electrodomésticos y productos electrónicos / Equipos y accesorios audiovisuales / Equipos audiovisuales y de electrónica menor, Tecnologías de la información, telecomunicaciones y radiodifusión / Equipos informáticos y accesorios / Computadores, Tecnologías de la información, telecomunicaciones y radiodifusión / Equipos informáticos y accesorios / Pantallas o monitores de computador</t>
        </is>
      </c>
      <c r="O57" s="4" t="inlineStr">
        <is>
          <t xml:space="preserve">2 Unidad · Fuentes de alimentación continua · 1 Unidad · Materiales de enseñanza de robótica · 2 Unidad · Monitores de pantalla táctil · y 2 más</t>
        </is>
      </c>
      <c r="P57" s="2"/>
      <c r="Q57" s="2"/>
      <c r="R57" s="0"/>
      <c r="S57" s="0" t="inlineStr">
        <is>
          <t xml:space="preserve">No</t>
        </is>
      </c>
      <c r="T57" s="4" t="inlineStr">
        <is>
          <t xml:space="preserve">No garantiza el cumplimiento del contrato</t>
        </is>
      </c>
      <c r="U57" s="0" t="inlineStr">
        <is>
          <t xml:space="preserve">Belén Ojeda Parancán</t>
        </is>
      </c>
      <c r="V57" s="4" t="inlineStr">
        <is>
          <t xml:space="preserve">Adquisición de Equipos Tecnológicos y de Automatización para la Especialidad
de Mecánica Automotriz correspondiente al Liceo Politécnico.</t>
        </is>
      </c>
      <c r="W57" s="5" t="str">
        <f>HYPERLINK("https://www.mercadopublico.cl/Procurement/Modules/Attachment/ViewAttachment.aspx?enc=lP2ijRtuahyWIFU0mpOqqHtXpHNPhiPcBgI4fZFaKYaWcv9y9aygdaLdpk9EycjMkAc1bJnfv1eIa294%2faHDMtv7XMt%2bxKBF3%2fiUpu5laiUzNXdFwXG6%2fyhnISPBbAxfB5GDJ3Zo3kc2GaSYkrtsXSiQl%2fe%2b5tAxATsVv8R1zkT%2fh1sIRZOmmg0%2bobZBZXrJNc%2fOCmZ8BVVIYPiOP4EMq%2bYPzAvJBPbHSwhbHGpdC2MFoG9kCFFILyuGM0fs9ITAzlctNBs4xSvR0xlWrc56pThl%2bYGkyyvZK%2fm%2bdyQCOEWGNgREbghdRWvlFttioJfV","descargar bases")</f>
      </c>
    </row>
    <row r="58">
      <c r="A58" s="0" t="inlineStr">
        <is>
          <t xml:space="preserve">3671-70-LE26</t>
        </is>
      </c>
      <c r="B58" s="4" t="inlineStr">
        <is>
          <t xml:space="preserve">“RENOVACIÓN DE LICENCIAS SOFTWARE AUTODESK CIVIL 3D Y REVIT”.</t>
        </is>
      </c>
      <c r="C58" s="0" t="inlineStr">
        <is>
          <t xml:space="preserve">Publicada</t>
        </is>
      </c>
      <c r="D58" s="0" t="inlineStr">
        <is>
          <t xml:space="preserve">ILUSTRE MUNICIPALIDAD DE CHILLAN VIEJO</t>
        </is>
      </c>
      <c r="E58" s="0" t="inlineStr">
        <is>
          <t xml:space="preserve">Secplan</t>
        </is>
      </c>
      <c r="F58" s="0" t="inlineStr">
        <is>
          <t xml:space="preserve">Región del Ñuble</t>
        </is>
      </c>
      <c r="G58" s="0" t="inlineStr">
        <is>
          <t xml:space="preserve">Chillán Viejo</t>
        </is>
      </c>
      <c r="H58" s="2">
        <v>46290.670139</v>
      </c>
      <c r="I58" s="2">
        <v>46300.625</v>
      </c>
      <c r="J58" s="0">
        <v>8</v>
      </c>
      <c r="K58" s="3"/>
      <c r="L58" s="0" t="inlineStr">
        <is>
          <t xml:space="preserve">CLP</t>
        </is>
      </c>
      <c r="M58" s="0" t="inlineStr">
        <is>
          <t xml:space="preserve">LE</t>
        </is>
      </c>
      <c r="N58" s="4" t="inlineStr">
        <is>
          <t xml:space="preserve">Tecnologías de la información, telecomunicaciones y radiodifusión / Software / Programas de desarrollo</t>
        </is>
      </c>
      <c r="O58" s="4" t="inlineStr">
        <is>
          <t xml:space="preserve">1 Unidad · Software de arquitectura del sistema y análisis de requisitos</t>
        </is>
      </c>
      <c r="P58" s="2"/>
      <c r="Q58" s="2"/>
      <c r="R58" s="0" t="inlineStr">
        <is>
          <t xml:space="preserve">12 horas</t>
        </is>
      </c>
      <c r="S58" s="0" t="inlineStr">
        <is>
          <t xml:space="preserve">No</t>
        </is>
      </c>
      <c r="T58" s="4"/>
      <c r="U58" s="0" t="inlineStr">
        <is>
          <t xml:space="preserve">MARIA PAZ VASQUEZ RAMIREZ</t>
        </is>
      </c>
      <c r="V58" s="4" t="inlineStr">
        <is>
          <t xml:space="preserve">La I. Municipalidad de Chillán Viejo llama a Licitación Pública a través del Portal Mercado Público, para adquirir  “Renovación de licencias software”, de acuerdo a las presentes Bases Administrativas y Técnicas. Se pretende obtener la mejor calidad y oportunidad en la prestación de los servicios a un precio conveniente.</t>
        </is>
      </c>
      <c r="W58" s="5" t="str">
        <f>HYPERLINK("https://www.mercadopublico.cl/Procurement/Modules/Attachment/ViewAttachment.aspx?enc=50kbr0qTtNQQsYY7hwP6J3leA2xD15zBZCTH1yWtu%2bPo%2fY8j1GkNDeBwl51Gg8zCCmR7k94ETfcoy6riXBtf3gqMyuF0mooecJiYerxfjNzZ1DMCIl4WAnDdqDkq9tEwJMPC2%2bwFz%2bxfAnC9VPthlhwYWZezhI8G%2bap4zBhC6tGVP294XQ6blZZlRorxL70APjuaQjWyyw9tvBwI7%2bZ5JRZhqHw5P4hL4f2gCYrJTKZLaXuYsIbRoLd6LoUVRQAQhxIt2Ttj%2fbt%2b8PVZiG%2bC56q75ozhRsjQL%2bF0xbY5vrbuB3O2wFA1O%2f1sA73U9aUw","descargar bases")</f>
      </c>
    </row>
    <row r="59">
      <c r="A59" s="0" t="inlineStr">
        <is>
          <t xml:space="preserve">4121-25-LE26</t>
        </is>
      </c>
      <c r="B59" s="4" t="inlineStr">
        <is>
          <t xml:space="preserve">SISTEMA DE GESTION DOCUMENTAL</t>
        </is>
      </c>
      <c r="C59" s="0" t="inlineStr">
        <is>
          <t xml:space="preserve">Publicada</t>
        </is>
      </c>
      <c r="D59" s="0" t="inlineStr">
        <is>
          <t xml:space="preserve">I MUNICIPALIDAD DE NINHUE</t>
        </is>
      </c>
      <c r="E59" s="0" t="inlineStr">
        <is>
          <t xml:space="preserve">Municipalidad De Ninhue-Secretaria Planificacion</t>
        </is>
      </c>
      <c r="F59" s="0" t="inlineStr">
        <is>
          <t xml:space="preserve">Región del Ñuble</t>
        </is>
      </c>
      <c r="G59" s="0" t="inlineStr">
        <is>
          <t xml:space="preserve">Ninhue</t>
        </is>
      </c>
      <c r="H59" s="2">
        <v>46286.504896</v>
      </c>
      <c r="I59" s="2">
        <v>46300.625</v>
      </c>
      <c r="J59" s="0">
        <v>8</v>
      </c>
      <c r="K59" s="3">
        <v>30000000.0</v>
      </c>
      <c r="L59" s="0" t="inlineStr">
        <is>
          <t xml:space="preserve">CLP</t>
        </is>
      </c>
      <c r="M59" s="0" t="inlineStr">
        <is>
          <t xml:space="preserve">LE</t>
        </is>
      </c>
      <c r="N59" s="4" t="inlineStr">
        <is>
          <t xml:space="preserve">Tecnologías de la información, telecomunicaciones y radiodifusión / Software / Programas de desarrollo</t>
        </is>
      </c>
      <c r="O59" s="4" t="inlineStr">
        <is>
          <t xml:space="preserve">1 Unidad · Software de arquitectura del sistema y análisis de requisitos</t>
        </is>
      </c>
      <c r="P59" s="2"/>
      <c r="Q59" s="2"/>
      <c r="R59" s="0" t="inlineStr">
        <is>
          <t xml:space="preserve">26 meses</t>
        </is>
      </c>
      <c r="S59" s="0" t="inlineStr">
        <is>
          <t xml:space="preserve">No</t>
        </is>
      </c>
      <c r="T59"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59" s="0" t="inlineStr">
        <is>
          <t xml:space="preserve">MARIA SOLEDAD RUIZ PINTO</t>
        </is>
      </c>
      <c r="V59"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59" s="5" t="str">
        <f>HYPERLINK("https://www.mercadopublico.cl/Procurement/Modules/Attachment/ViewAttachment.aspx?enc=6Phv1UkaaIjVUBFhkrzILY%2bcTr0dHv%2fPQ4l05XrjaPfHpdznF4FU3RmllAEq7ctjYKFnMCwzY0v4XKjaq69srYPxLMhrwN%2f749teHWDFJ5cr6Xjp6uzMcuxOo0wkZ6Q7jprTulIPUiwJ2Lkdf9xIG93%2b7cfsCeSZPqtz08Pz%2bSx%2fz2gxfE0PZvGsjHBOY3O7A9YG70p%2fwu2iVVOpOBi6ebm4eCCMTrxDFoJ1KKj%2bDfve%2fF9q6L3rhDxbeHeF4r8boajjQVVUYS74WtQdjoy8WozJ%2f2FAIwWWLCm3y6UnsiZfXhpwMezqeYReeKcfPLuq","descargar bases")</f>
      </c>
    </row>
    <row r="60">
      <c r="A60" s="0" t="inlineStr">
        <is>
          <t xml:space="preserve">584105-33-LE26</t>
        </is>
      </c>
      <c r="B60" s="4" t="inlineStr">
        <is>
          <t xml:space="preserve">LICENCIAS DE SOFTWARE</t>
        </is>
      </c>
      <c r="C60" s="0" t="inlineStr">
        <is>
          <t xml:space="preserve">Publicada</t>
        </is>
      </c>
      <c r="D60" s="0" t="inlineStr">
        <is>
          <t xml:space="preserve">SUBSECRETARIA DE ENERGIA</t>
        </is>
      </c>
      <c r="E60" s="0" t="inlineStr">
        <is>
          <t xml:space="preserve">P01</t>
        </is>
      </c>
      <c r="F60" s="0" t="inlineStr">
        <is>
          <t xml:space="preserve">Región Metropolitana de Santiago</t>
        </is>
      </c>
      <c r="G60" s="0" t="inlineStr">
        <is>
          <t xml:space="preserve">Santiago</t>
        </is>
      </c>
      <c r="H60" s="2">
        <v>46290.414329</v>
      </c>
      <c r="I60" s="2">
        <v>46300.625</v>
      </c>
      <c r="J60" s="0">
        <v>8</v>
      </c>
      <c r="K60" s="3"/>
      <c r="L60" s="0" t="inlineStr">
        <is>
          <t xml:space="preserve">CLP</t>
        </is>
      </c>
      <c r="M60" s="0" t="inlineStr">
        <is>
          <t xml:space="preserve">LE</t>
        </is>
      </c>
      <c r="N60" s="4" t="inlineStr">
        <is>
          <t xml:space="preserve">Tecnologías de la información, telecomunicaciones y radiodifusión / Software / Software de gestión</t>
        </is>
      </c>
      <c r="O60" s="4" t="inlineStr">
        <is>
          <t xml:space="preserve">1 Global · Software de gestión de licencias · 1 Global · Software de gestión de licencias · 1 Global · Software de gestión de licencias</t>
        </is>
      </c>
      <c r="P60" s="2"/>
      <c r="Q60" s="2"/>
      <c r="R60" s="0"/>
      <c r="S60" s="0" t="inlineStr">
        <is>
          <t xml:space="preserve">No</t>
        </is>
      </c>
      <c r="T60" s="4" t="inlineStr">
        <is>
          <t xml:space="preserve">De acuerdo a lo establecido en bases adjuntas</t>
        </is>
      </c>
      <c r="U60" s="0" t="inlineStr">
        <is>
          <t xml:space="preserve">Gonzalo Aravena</t>
        </is>
      </c>
      <c r="V60" s="4" t="inlineStr">
        <is>
          <t xml:space="preserve">Adquirir las licencias de software detalladas en el numeral 3.1 de estas bases técnicas, por un periodo de doce 12 meses contados desde la fecha de su habilitación, con el objeto de que losas funcionariosas puedan hacer uso de estos softwares para el desarrollo de sus funciones y el cumplimiento de los compromisos institucionales.</t>
        </is>
      </c>
      <c r="W60" s="5" t="str">
        <f>HYPERLINK("https://www.mercadopublico.cl/Procurement/Modules/Attachment/ViewAttachment.aspx?enc=vQXPIgs62o6wiSsOBsT3OA45qGOdCZdRnul1fkIFKZDdvqGwDxv81XxIZf%2fLj%2fnAFOayDb7SWa7xNF7ITKIjUAuwMKjtCay3QPEFyydxirsZJfPowO0RDe6YDnRs7MTM7mtK2U4eZzgz4IFntv0pyQ9CKNd%2fN2P45QQC966mek6XWcE7HmN%2fwTAWvGSjsLYeULoq1wcUnZlPVhqoD7R2Q%2bbMgmgB6FkBke7u17h7L7OTMiNFMKSdqDrUmb0hPjYwQkVsgGLZFB2Ckf1sT8Pepstx4NILyIk8t8l20O6EkuKpHz3TRtnbp0ChYrSeXYn4","descargar bases")</f>
      </c>
    </row>
    <row r="61">
      <c r="A61" s="0" t="inlineStr">
        <is>
          <t xml:space="preserve">5890-11-LP26</t>
        </is>
      </c>
      <c r="B61" s="4" t="inlineStr">
        <is>
          <t xml:space="preserve">PLATAFORMA DE ANALISIS AVANZADO MALWARE PNCO2025</t>
        </is>
      </c>
      <c r="C61" s="0" t="inlineStr">
        <is>
          <t xml:space="preserve">Publicada</t>
        </is>
      </c>
      <c r="D61" s="0" t="inlineStr">
        <is>
          <t xml:space="preserve">POLICIA DE INVESTIGACIONES DE CHILE</t>
        </is>
      </c>
      <c r="E61" s="0" t="inlineStr">
        <is>
          <t xml:space="preserve">JENACO</t>
        </is>
      </c>
      <c r="F61" s="0" t="inlineStr">
        <is>
          <t xml:space="preserve">Región Metropolitana de Santiago</t>
        </is>
      </c>
      <c r="G61" s="0" t="inlineStr">
        <is>
          <t xml:space="preserve">Independencia</t>
        </is>
      </c>
      <c r="H61" s="2">
        <v>46280.537014</v>
      </c>
      <c r="I61" s="2">
        <v>46300.625</v>
      </c>
      <c r="J61" s="0">
        <v>8</v>
      </c>
      <c r="K61" s="3">
        <v>235620000.0</v>
      </c>
      <c r="L61" s="0" t="inlineStr">
        <is>
          <t xml:space="preserve">CLP</t>
        </is>
      </c>
      <c r="M61" s="0" t="inlineStr">
        <is>
          <t xml:space="preserve">LP</t>
        </is>
      </c>
      <c r="N61" s="4" t="inlineStr">
        <is>
          <t xml:space="preserve">Tecnologías de la información, telecomunicaciones y radiodifusión / Componentes para tecnología de la información, difusión o telecomunicaciones / Accesorios de soportes de almacenamiento extraíbles</t>
        </is>
      </c>
      <c r="O61" s="4" t="inlineStr">
        <is>
          <t xml:space="preserve">1 Unidad · Cajas de almacenamientos de diferentes soportes</t>
        </is>
      </c>
      <c r="P61" s="2"/>
      <c r="Q61" s="2"/>
      <c r="R61" s="0"/>
      <c r="S61" s="0" t="inlineStr">
        <is>
          <t xml:space="preserve">No</t>
        </is>
      </c>
      <c r="T61" s="4" t="inlineStr">
        <is>
          <t xml:space="preserve">NO PERMITE SUBCONTRATACIÓN, ARTICULO 53 DE LA RESOLUCIÓN</t>
        </is>
      </c>
      <c r="U61" s="0" t="inlineStr">
        <is>
          <t xml:space="preserve">DIEGO MONTES ISLAS</t>
        </is>
      </c>
      <c r="V61" s="4" t="inlineStr">
        <is>
          <t xml:space="preserve">SEGUN BASES ADMINISTRATIVAS Y ANEXOS ADJUNTOS</t>
        </is>
      </c>
      <c r="W61" s="5" t="str">
        <f>HYPERLINK("https://www.mercadopublico.cl/Procurement/Modules/Attachment/ViewAttachment.aspx?enc=sCD6VIbSXX8tDxtQ2O1iecUYCl6WTZSoPyg3%2fumzBt%2fBQ2b78KMkhLx3CSprHP2DqFcHDKmnqAzfi8u6Dgs1Vlssd8UNQtttsU6cWSUvlMR8v6AtLz9tz4nRpOxZSu9chxYgsIjAVIvNrpX6z%2b2R456cQF2HC9ieVlz2x1ynrHigmGGtOTXHHyP9dhZ0W%2fllMgxOCfJTNBJCgW5sI%2ffgkRzMSvyEcZd26bBUKBeaJE706J4i0V88xtCfZzc0oBbYd%2fsYfmRgDFYYrHraq31jC7FGfBBaSpUuq5S4UMXGV4CGyJFq0lJN7KilWwut0TxS","descargar bases")</f>
      </c>
    </row>
    <row r="62">
      <c r="A62" s="0" t="inlineStr">
        <is>
          <t xml:space="preserve">652-52-LE26</t>
        </is>
      </c>
      <c r="B62" s="4" t="inlineStr">
        <is>
          <t xml:space="preserve">CONVENIO DE SERVICIOS DE RADIODIFUSIÓN Y PLATAFORMAS DIGITALES</t>
        </is>
      </c>
      <c r="C62" s="0" t="inlineStr">
        <is>
          <t xml:space="preserve">Publicada</t>
        </is>
      </c>
      <c r="D62" s="0" t="inlineStr">
        <is>
          <t xml:space="preserve">SERVICIO DE SALUD ARAUCO</t>
        </is>
      </c>
      <c r="E62" s="0" t="inlineStr">
        <is>
          <t xml:space="preserve">SERVICIO DE SALUD ARAUCO</t>
        </is>
      </c>
      <c r="F62" s="0" t="inlineStr">
        <is>
          <t xml:space="preserve">Región del Biobío </t>
        </is>
      </c>
      <c r="G62" s="0" t="inlineStr">
        <is>
          <t xml:space="preserve">Lebu</t>
        </is>
      </c>
      <c r="H62" s="2">
        <v>46289.419687</v>
      </c>
      <c r="I62" s="2">
        <v>46300.625</v>
      </c>
      <c r="J62" s="0">
        <v>8</v>
      </c>
      <c r="K62" s="3"/>
      <c r="L62" s="0" t="inlineStr">
        <is>
          <t xml:space="preserve">CLP</t>
        </is>
      </c>
      <c r="M62" s="0" t="inlineStr">
        <is>
          <t xml:space="preserve">LE</t>
        </is>
      </c>
      <c r="N62" s="4" t="inlineStr">
        <is>
          <t xml:space="preserve">Servicios básicos y de información pública / Telecomunicaciones / Servicios de radio, Servicios editoriales, de diseño, publicidad, gráficos y artistas / Publicidad / Publicidad en medios no impresos</t>
        </is>
      </c>
      <c r="O62" s="4" t="inlineStr">
        <is>
          <t xml:space="preserve">1 Unidad · Estudios o equipos radiales · 1 Unidad · Estudios o equipos radiales · 1 Unidad · Estudios o equipos radiales · y 6 más</t>
        </is>
      </c>
      <c r="P62" s="2"/>
      <c r="Q62" s="2"/>
      <c r="R62" s="0" t="inlineStr">
        <is>
          <t xml:space="preserve">12 meses</t>
        </is>
      </c>
      <c r="S62" s="0" t="inlineStr">
        <is>
          <t xml:space="preserve">No</t>
        </is>
      </c>
      <c r="T62" s="4"/>
      <c r="U62" s="0" t="inlineStr">
        <is>
          <t xml:space="preserve">Fernando Alonso Pardo Santander</t>
        </is>
      </c>
      <c r="V62" s="4" t="inlineStr">
        <is>
          <t xml:space="preserve">La presente tiene como objetivo efectuar un convenio de servicios de radiodifusión y plataformas digitales.</t>
        </is>
      </c>
      <c r="W62" s="5" t="str">
        <f>HYPERLINK("https://www.mercadopublico.cl/Procurement/Modules/Attachment/ViewAttachment.aspx?enc=4zD1Ps41Sqr%2b%2bK2ktsWGwmW%2bgcA0%2f7bT4%2fVHhLrawZzjjmvQvgX1kzE9gOkuf8h3fmqQlbaUhEfWnv%2btRFFbDeagK7KM1nKaxItKU%2fNVrfAvDA2HSRCOAD%2byjM3ZsHdbW3Cd98%2bNk0SxJLP1PQuqh1DTSCOgAVfijygbcVIS6hngrhU4NMxX1RSiMrF2r%2bXiY5THPuC6ilSHvoSdvW0%2fDlU%2bWxJgl2chR24iZcO7WxE4oQFZSiB9RKVzJm%2bFgPgvYXzuculecsL330LW2HoWvcI63AnQUj1QBKzb023yZUUM8Ii%2bYvjqGxGbCto5woPc","descargar bases")</f>
      </c>
    </row>
    <row r="63">
      <c r="A63" s="0" t="inlineStr">
        <is>
          <t xml:space="preserve">761-22-LE26</t>
        </is>
      </c>
      <c r="B63" s="4" t="inlineStr">
        <is>
          <t xml:space="preserve">LICENCIAMIENTO ADOBE CREATIVE CLOUD E6945-2026</t>
        </is>
      </c>
      <c r="C63" s="0" t="inlineStr">
        <is>
          <t xml:space="preserve">Publicada</t>
        </is>
      </c>
      <c r="D63" s="0" t="inlineStr">
        <is>
          <t xml:space="preserve">SUBSECRETARIA DE DESARROLLO REGIONAL Y ADMINISTRATIVO</t>
        </is>
      </c>
      <c r="E63" s="0" t="inlineStr">
        <is>
          <t xml:space="preserve">Ministerio del Interior - Subsecretaría de Desarrollo Regional</t>
        </is>
      </c>
      <c r="F63" s="0" t="inlineStr">
        <is>
          <t xml:space="preserve">Región Metropolitana de Santiago</t>
        </is>
      </c>
      <c r="G63" s="0" t="inlineStr">
        <is>
          <t xml:space="preserve">Santiago</t>
        </is>
      </c>
      <c r="H63" s="2">
        <v>46286.756968</v>
      </c>
      <c r="I63" s="2">
        <v>46300.625</v>
      </c>
      <c r="J63" s="0">
        <v>8</v>
      </c>
      <c r="K63" s="3">
        <v>10000000.0</v>
      </c>
      <c r="L63" s="0" t="inlineStr">
        <is>
          <t xml:space="preserve">CLP</t>
        </is>
      </c>
      <c r="M63" s="0" t="inlineStr">
        <is>
          <t xml:space="preserve">LE</t>
        </is>
      </c>
      <c r="N63" s="4" t="inlineStr">
        <is>
          <t xml:space="preserve">Tecnologías de la información, telecomunicaciones y radiodifusión / Software / Software de gestión</t>
        </is>
      </c>
      <c r="O63" s="4" t="inlineStr">
        <is>
          <t xml:space="preserve">1 Unidad · Software de gestión de licencias</t>
        </is>
      </c>
      <c r="P63" s="2"/>
      <c r="Q63" s="2"/>
      <c r="R63" s="0" t="inlineStr">
        <is>
          <t xml:space="preserve">12 meses</t>
        </is>
      </c>
      <c r="S63" s="0" t="inlineStr">
        <is>
          <t xml:space="preserve">No</t>
        </is>
      </c>
      <c r="T63" s="4"/>
      <c r="U63" s="0" t="inlineStr">
        <is>
          <t xml:space="preserve">JOSE HORMAZABAL</t>
        </is>
      </c>
      <c r="V63" s="4" t="inlineStr">
        <is>
          <t xml:space="preserve">RENOVACIÓN LICENCIAMIENTO ADOBE CREATIVE CLOUD PARA SUBDERE” E6945-2026</t>
        </is>
      </c>
      <c r="W63" s="5" t="str">
        <f>HYPERLINK("https://www.mercadopublico.cl/Procurement/Modules/Attachment/ViewAttachment.aspx?enc=rL6%2baJNppyLI4E0ycT0pDv3Jv98zdJgso3VYX1VqPVaihJ9RzoXAEcDz8vgwZJU5tcZaUN21JkW7o3Ceo8h7y99tohgYI2TPcbWofr4eLL%2b6F8V7tKuDqn2vlxHrZTMJ2209fos0QnQPKLdXRrzszQNubOCbtfJq%2fTFNYfTfp9S4JTezDkPd5yoQhoyv31e5UEPa5xnvgfbI7S0n%2fwkryHDnbE%2b97LlQGA4AN2D4sLLg9whEWi6CSYaBR0mmyPZ7Pv46FfT9RDnRTxDm565akrBLW27dK7fvps9YbWfnlt9keFhMmCGrvwiKDul9%2fhkr","descargar bases")</f>
      </c>
    </row>
    <row r="64">
      <c r="A64" s="0" t="inlineStr">
        <is>
          <t xml:space="preserve">799512-50-LE26</t>
        </is>
      </c>
      <c r="B64" s="4" t="inlineStr">
        <is>
          <t xml:space="preserve">COMPRA TENSIOMETROS DIGITALES</t>
        </is>
      </c>
      <c r="C64" s="0" t="inlineStr">
        <is>
          <t xml:space="preserve">Publicada</t>
        </is>
      </c>
      <c r="D64" s="0" t="inlineStr">
        <is>
          <t xml:space="preserve">CORP MUNICIPAL DE VALPARAISO PARA EL DESARROLLO SOCIAL</t>
        </is>
      </c>
      <c r="E64" s="0" t="inlineStr">
        <is>
          <t xml:space="preserve">Corporación</t>
        </is>
      </c>
      <c r="F64" s="0" t="inlineStr">
        <is>
          <t xml:space="preserve">Región de Valparaíso </t>
        </is>
      </c>
      <c r="G64" s="0" t="inlineStr">
        <is>
          <t xml:space="preserve">Valparaíso</t>
        </is>
      </c>
      <c r="H64" s="2">
        <v>46286.661273</v>
      </c>
      <c r="I64" s="2">
        <v>46300.625</v>
      </c>
      <c r="J64" s="0">
        <v>8</v>
      </c>
      <c r="K64" s="3"/>
      <c r="L64" s="0" t="inlineStr">
        <is>
          <t xml:space="preserve">CLP</t>
        </is>
      </c>
      <c r="M64" s="0" t="inlineStr">
        <is>
          <t xml:space="preserve">LE</t>
        </is>
      </c>
      <c r="N64" s="4" t="inlineStr">
        <is>
          <t xml:space="preserve">Equipamiento para laboratorios / Instrumentos de medida y experimentación / Instrumentos mecánicos</t>
        </is>
      </c>
      <c r="O64" s="4" t="inlineStr">
        <is>
          <t xml:space="preserve">37 Unidad · Tensiómetros</t>
        </is>
      </c>
      <c r="P64" s="2"/>
      <c r="Q64" s="2"/>
      <c r="R64" s="0"/>
      <c r="S64" s="0" t="inlineStr">
        <is>
          <t xml:space="preserve">No</t>
        </is>
      </c>
      <c r="T64" s="4"/>
      <c r="U64" s="0" t="inlineStr">
        <is>
          <t xml:space="preserve">MARIO DEL CARPIO VARAS</t>
        </is>
      </c>
      <c r="V64" s="4" t="inlineStr">
        <is>
          <t xml:space="preserve">COMPRA TENSIOMETROS DIGITALES</t>
        </is>
      </c>
      <c r="W64" s="5" t="str">
        <f>HYPERLINK("https://www.mercadopublico.cl/Procurement/Modules/Attachment/ViewAttachment.aspx?enc=FiqFWcHr4tB8l5aqjp%2fE8T62Jbt6WXz6ZtlYj59uNA94zYYum%2fz5PZoPICx8sPS3NrRDID1aERNxWIZUWj0srKVi%2ftUpHyNqAZBg38AqijpKZfJZ3gqlKhRb6shuXD%2fCXTW3yynMnHXa3pUwEdFum8RkLTFrnZaWPnzcDvFo%2bfVSmU%2fpiup0fxIvm7DIkVkR1K%2fUrU8jjcficSv2tzNNRH4N09%2bPXlTCeijRAGUlkhKRXvaRJovYLA5TUBUZ8odDZsu85ea4NwaChGiWTtK%2bptZV6Dqpq39XPV0%2fYjtC2NrsX0SyhxTnLOBuatJYPNJS","descargar bases")</f>
      </c>
    </row>
    <row r="65">
      <c r="A65" s="0" t="inlineStr">
        <is>
          <t xml:space="preserve">869591-12-LP26</t>
        </is>
      </c>
      <c r="B65" s="4" t="inlineStr">
        <is>
          <t xml:space="preserve">CONTRATACIÓN DE PLATAFORMA DE GESTIÓN DOCUMENTAL EXPEDIENTE ELECTRÓNICO Y GESTIÓN DE PROCESOS</t>
        </is>
      </c>
      <c r="C65" s="0" t="inlineStr">
        <is>
          <t xml:space="preserve">Publicada</t>
        </is>
      </c>
      <c r="D65" s="0" t="inlineStr">
        <is>
          <t xml:space="preserve">DIRECCION DE COMPRAS Y CONTRATACION PUBLICA</t>
        </is>
      </c>
      <c r="E65" s="0" t="inlineStr">
        <is>
          <t xml:space="preserve">Calidad del Gasto en las Compras Públicas</t>
        </is>
      </c>
      <c r="F65" s="0" t="inlineStr">
        <is>
          <t xml:space="preserve">Región Metropolitana de Santiago</t>
        </is>
      </c>
      <c r="G65" s="0" t="inlineStr">
        <is>
          <t xml:space="preserve">Santiago Centro</t>
        </is>
      </c>
      <c r="H65" s="2">
        <v>46280.60772</v>
      </c>
      <c r="I65" s="2">
        <v>46300.625</v>
      </c>
      <c r="J65" s="0">
        <v>8</v>
      </c>
      <c r="K65" s="3"/>
      <c r="L65" s="0" t="inlineStr">
        <is>
          <t xml:space="preserve">CLP</t>
        </is>
      </c>
      <c r="M65" s="0" t="inlineStr">
        <is>
          <t xml:space="preserve">LP</t>
        </is>
      </c>
      <c r="N65" s="4" t="inlineStr">
        <is>
          <t xml:space="preserve">Tecnologías de la información, telecomunicaciones y radiodifusión / Software / Software de gestión de contenidos</t>
        </is>
      </c>
      <c r="O65" s="4" t="inlineStr">
        <is>
          <t xml:space="preserve">1 Unidad · Programas de gestión de documentos</t>
        </is>
      </c>
      <c r="P65" s="2"/>
      <c r="Q65" s="2"/>
      <c r="R65" s="0" t="inlineStr">
        <is>
          <t xml:space="preserve">44 meses</t>
        </is>
      </c>
      <c r="S65" s="0" t="inlineStr">
        <is>
          <t xml:space="preserve">No</t>
        </is>
      </c>
      <c r="T65" s="4" t="inlineStr">
        <is>
          <t xml:space="preserve">ver clausula 10 de las bases especiales</t>
        </is>
      </c>
      <c r="U65" s="0" t="inlineStr">
        <is>
          <t xml:space="preserve">Marcela Cabrera</t>
        </is>
      </c>
      <c r="V65" s="4" t="inlineStr">
        <is>
          <t xml:space="preserve">CONTRATACIÓN DE PLATAFORMA DE GESTIÓN DOCUMENTAL, EXPEDIENTE ELECTRÓNICO Y GESTIÓN DE PROCESOS PARA LA DIRECCIÓN DE COMPRAS Y CONTRATACIÓN PÚBLICA</t>
        </is>
      </c>
      <c r="W65" s="5" t="str">
        <f>HYPERLINK("https://www.mercadopublico.cl/Procurement/Modules/Attachment/ViewAttachment.aspx?enc=aI6PrXTD%2fDqS86NrgSPP%2bKvKDSHmGpynSR%2bOa4rBVTF2nmkhE9YyZHAdPeHibhAvW4GlEruZcphIxUHBd921CNuK5VuVHVbFdD%2fPQn%2f6sEQDtxxukY6CW2feaua7Gsf%2bgsQ7UqhZnyiT9CTMVelo7P4S4PmdlSxZ%2bFm4QHmsGfDqzkTR1%2fNm4mmtY1oor1QVkZzV3ZQTyzl39ALz9PsBP9PEgE8M77BokJU5mKWuBOLshLMM3w6se2HnoXusD1Zwq7ZtLEO8OEmBHwQIk7HhBL%2bUM%2flVqcOpkEBidhX8jUGJTl7aspphy7UkpKssiFDb","descargar bases")</f>
      </c>
    </row>
    <row r="66">
      <c r="A66" s="0" t="inlineStr">
        <is>
          <t xml:space="preserve">1208129-9-LP26</t>
        </is>
      </c>
      <c r="B66" s="4" t="inlineStr">
        <is>
          <t xml:space="preserve">Giftcards digitales para las FAE de AA.DD del SPE</t>
        </is>
      </c>
      <c r="C66" s="0" t="inlineStr">
        <is>
          <t xml:space="preserve">Publicada</t>
        </is>
      </c>
      <c r="D66" s="0" t="inlineStr">
        <is>
          <t xml:space="preserve">SERVICIO NACIONAL DE PROTECCIÓN ESPECIALIZADA A LA NIÑEZ Y ADOLESCENCI</t>
        </is>
      </c>
      <c r="E66" s="0" t="inlineStr">
        <is>
          <t xml:space="preserve">ADMINISTRACIÓN DIRECTA REGIÓN DEL BIOBÍO</t>
        </is>
      </c>
      <c r="F66" s="0" t="inlineStr">
        <is>
          <t xml:space="preserve">Región del Biobío </t>
        </is>
      </c>
      <c r="G66" s="0" t="inlineStr">
        <is>
          <t xml:space="preserve">Los Angeles</t>
        </is>
      </c>
      <c r="H66" s="2">
        <v>46289.490567</v>
      </c>
      <c r="I66" s="2">
        <v>46300.625694</v>
      </c>
      <c r="J66" s="0">
        <v>8</v>
      </c>
      <c r="K66" s="3">
        <v>352000000.0</v>
      </c>
      <c r="L66" s="0" t="inlineStr">
        <is>
          <t xml:space="preserve">CLP</t>
        </is>
      </c>
      <c r="M66" s="0" t="inlineStr">
        <is>
          <t xml:space="preserve">LP</t>
        </is>
      </c>
      <c r="N66" s="4" t="inlineStr">
        <is>
          <t xml:space="preserve">Servicios profesionales, administrativos y consultorías de gestión empresarial / Servicios de recursos humanos / Consultorías para el desarrollo de recursos humanos</t>
        </is>
      </c>
      <c r="O66" s="4" t="inlineStr">
        <is>
          <t xml:space="preserve">1 Global · Planificación de compensaciones o beneficios · 1 Global · Planificación de compensaciones o beneficios · 1 Global · Planificación de compensaciones o beneficios</t>
        </is>
      </c>
      <c r="P66" s="2"/>
      <c r="Q66" s="2"/>
      <c r="R66" s="0"/>
      <c r="S66" s="0" t="inlineStr">
        <is>
          <t xml:space="preserve">No</t>
        </is>
      </c>
      <c r="T66" s="4"/>
      <c r="U66" s="0" t="inlineStr">
        <is>
          <t xml:space="preserve">Fernando Ariz Carrillo</t>
        </is>
      </c>
      <c r="V66" s="4" t="inlineStr">
        <is>
          <t xml:space="preserve">según lo estipulado en Bases Administrativas, técnicas y sus Anexos para la adquisición de giftcards digitales o váuchers electrónicos para el correcto funcionamiento de los programas FAE de AA.DD del SPE Región del Biobío.</t>
        </is>
      </c>
      <c r="W66" s="5" t="str">
        <f>HYPERLINK("https://www.mercadopublico.cl/Procurement/Modules/Attachment/ViewAttachment.aspx?enc=ugRg1qkU25B7kiqplAPpfNrZdAo0MbYfd5DmRUngxYI2KY3t5Tt5JyHR2vMIqVk2xG6GXcCWiQxU9m3Msiqj%2bmaewaPQ78QAG4WuG9gLN0TJHbwmjFPlu83ip8H99cUSb0W1OsCnZyoKdQyDiqExpNu4OX3cBsxiaRrl%2bXCnKJ46JARhN4pn3JmMshPe24NheOwE6dji6NkL2ejXvMzCiQXIhHHjTrLX%2b2PYEXJZLwWRpkqym806ADzaupiOH87ysEfHP772qT25YHkhLeOpBh2uBugeGYqDhgRcV1PM9Bvs7ZIxttni8E%2bdJOAEkdr3","descargar bases")</f>
      </c>
    </row>
    <row r="67">
      <c r="A67" s="0" t="inlineStr">
        <is>
          <t xml:space="preserve">1562-61-LP26</t>
        </is>
      </c>
      <c r="B67" s="4" t="inlineStr">
        <is>
          <t xml:space="preserve">PLATAFORMA DE SEGURIDAD PERIMETRAL</t>
        </is>
      </c>
      <c r="C67" s="0" t="inlineStr">
        <is>
          <t xml:space="preserve">Publicada</t>
        </is>
      </c>
      <c r="D67" s="0" t="inlineStr">
        <is>
          <t xml:space="preserve">SERVICIO NACIONAL DE GEOLOGIA Y MINERIA</t>
        </is>
      </c>
      <c r="E67" s="0" t="inlineStr">
        <is>
          <t xml:space="preserve">Servicio Nacional de Geología y Minería</t>
        </is>
      </c>
      <c r="F67" s="0" t="inlineStr">
        <is>
          <t xml:space="preserve">Región Metropolitana de Santiago</t>
        </is>
      </c>
      <c r="G67" s="0" t="inlineStr">
        <is>
          <t xml:space="preserve">Providencia</t>
        </is>
      </c>
      <c r="H67" s="2">
        <v>46280.450081</v>
      </c>
      <c r="I67" s="2">
        <v>46300.625694</v>
      </c>
      <c r="J67" s="0">
        <v>8</v>
      </c>
      <c r="K67" s="3">
        <v>78172750.0</v>
      </c>
      <c r="L67" s="0" t="inlineStr">
        <is>
          <t xml:space="preserve">CLP</t>
        </is>
      </c>
      <c r="M67" s="0" t="inlineStr">
        <is>
          <t xml:space="preserve">LP</t>
        </is>
      </c>
      <c r="N67"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67" s="4" t="inlineStr">
        <is>
          <t xml:space="preserve">2 Unidad · Mantenimiento y soporte de hardware · 1 Unidad · Software de gestión de licencias · 1 Unidad · Programas de gestión de configuración</t>
        </is>
      </c>
      <c r="P67" s="2"/>
      <c r="Q67" s="2"/>
      <c r="R67" s="0"/>
      <c r="S67" s="0" t="inlineStr">
        <is>
          <t xml:space="preserve">No</t>
        </is>
      </c>
      <c r="T67" s="4"/>
      <c r="U67" s="0" t="inlineStr">
        <is>
          <t xml:space="preserve">GONZALO PALET MUÑOZ</t>
        </is>
      </c>
      <c r="V67"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67" s="5" t="str">
        <f>HYPERLINK("https://www.mercadopublico.cl/Procurement/Modules/Attachment/ViewAttachment.aspx?enc=0wxNU%2f8avCJcF8u1FtGgGs7tvqlhp9LvS7ZOCaG8gNhFyn1rjpNFsiNnz9GTYTY8v1haInKOmTsAQ%2bPvYlIeO6MzGc%2fV1rLFwGtrBSgE6oNB83X10tmG4PfyifTyuwLnPaMH5ewioxaPTzBYUsJisvvLQOh91JYaPhrKPEjk%2bTsHFOHzHP%2brW8CVIj5mvmEP0pomZGVutjeE%2bBcULoqZuS3T3l%2fEmNfj20BrID%2fcYVS%2bzOtY3WZUOvWKbTvF6NOXYvFqmGKBRkoiI3xxK8%2fNCupkRwJvzOHzBZRS67%2bwX7BjP9Q3Wt5u8MecC%2bua6Px7","descargar bases")</f>
      </c>
    </row>
    <row r="68">
      <c r="A68" s="0" t="inlineStr">
        <is>
          <t xml:space="preserve">4589-16-LE26</t>
        </is>
      </c>
      <c r="B68" s="4" t="inlineStr">
        <is>
          <t xml:space="preserve">SOPORTE DE MANTENCION Y CAPACITACION PLATAFORMA SIFIM</t>
        </is>
      </c>
      <c r="C68" s="0" t="inlineStr">
        <is>
          <t xml:space="preserve">Publicada</t>
        </is>
      </c>
      <c r="D68" s="0" t="inlineStr">
        <is>
          <t xml:space="preserve">ILUSTRE MUNICIPALIDAD DE TORRES DEL PAIN</t>
        </is>
      </c>
      <c r="E68" s="0" t="inlineStr">
        <is>
          <t xml:space="preserve">adquisiciones</t>
        </is>
      </c>
      <c r="F68" s="0" t="inlineStr">
        <is>
          <t xml:space="preserve">Región de Magallanes y de la Antártica</t>
        </is>
      </c>
      <c r="G68" s="0" t="inlineStr">
        <is>
          <t xml:space="preserve">Torres del Payne</t>
        </is>
      </c>
      <c r="H68" s="2">
        <v>46290.490463</v>
      </c>
      <c r="I68" s="2">
        <v>46300.625694</v>
      </c>
      <c r="J68" s="0">
        <v>8</v>
      </c>
      <c r="K68" s="3"/>
      <c r="L68" s="0" t="inlineStr">
        <is>
          <t xml:space="preserve">CLP</t>
        </is>
      </c>
      <c r="M68" s="0" t="inlineStr">
        <is>
          <t xml:space="preserve">LE</t>
        </is>
      </c>
      <c r="N68" s="4" t="inlineStr">
        <is>
          <t xml:space="preserve">Tecnologías de la información, telecomunicaciones y radiodifusión / Software / Software de planificación de recursos empresariales (ERP) y contabilidad financiera</t>
        </is>
      </c>
      <c r="O68" s="4" t="inlineStr">
        <is>
          <t xml:space="preserve">1 Unidad · Programas de análisis financiero</t>
        </is>
      </c>
      <c r="P68" s="2"/>
      <c r="Q68" s="2"/>
      <c r="R68" s="0" t="inlineStr">
        <is>
          <t xml:space="preserve">12 meses</t>
        </is>
      </c>
      <c r="S68" s="0" t="inlineStr">
        <is>
          <t xml:space="preserve">No</t>
        </is>
      </c>
      <c r="T68" s="4" t="inlineStr">
        <is>
          <t xml:space="preserve">NO APLICA</t>
        </is>
      </c>
      <c r="U68" s="0" t="inlineStr">
        <is>
          <t xml:space="preserve">JOSE MANSILLA GUERRERO</t>
        </is>
      </c>
      <c r="V68" s="4" t="inlineStr">
        <is>
          <t xml:space="preserve">Servicios a contratar para la ejecución del contrato denominado Términos de referencia “Soporte de Mantención y Capacitación de Plataforma SIFIM”, que permita el correcto funcionamiento de los softwares que la componen en la Gestión Municipal y los servicios de Salud”.</t>
        </is>
      </c>
      <c r="W68" s="5" t="str">
        <f>HYPERLINK("https://www.mercadopublico.cl/Procurement/Modules/Attachment/ViewAttachment.aspx?enc=xaDgS2vJc2EC%2fMwghEWGYLLYd5%2bzmk9LFm%2f6FzrIa7x%2bQU6x3PghU8aYD4%2f%2fVQWfAgnPEukD3NvarLhOVpK6gHnAPGs2suabYuBHvBKcpDbbSomMyB1khCysEu%2fJHF281anbYwd3ryMSuH0qtYZNrs6l7fj%2bNMD1vy8a5tqBSemFHLQeTSDONwOokJTW1I0laF5EgIHX8kEWUGpKN5jdB%2b3I2YI%2f%2biGRurNAsxzYMBZr7RDM%2b9rbZ5ZAMjyluwG05ATTm8STY2xNK8xINEZ6wq0v51GBQ16tAjZLUaifwS%2bYlS3E6n%2bxC7ItOaii%2f2om","descargar bases")</f>
      </c>
    </row>
    <row r="69">
      <c r="A69" s="0" t="inlineStr">
        <is>
          <t xml:space="preserve">761391-138-LE26</t>
        </is>
      </c>
      <c r="B69" s="4" t="inlineStr">
        <is>
          <t xml:space="preserve">EE-133-GUB-DAS-SVC. ARRI. EQUIPOS INFORMATICOS</t>
        </is>
      </c>
      <c r="C69" s="0" t="inlineStr">
        <is>
          <t xml:space="preserve">Publicada</t>
        </is>
      </c>
      <c r="D69" s="0" t="inlineStr">
        <is>
          <t xml:space="preserve">FUERZA AEREA DE CHILE COMANDO LOGISTICO</t>
        </is>
      </c>
      <c r="E69" s="0" t="inlineStr">
        <is>
          <t xml:space="preserve">Base Aérea El Bosque</t>
        </is>
      </c>
      <c r="F69" s="0" t="inlineStr">
        <is>
          <t xml:space="preserve">Región Metropolitana de Santiago</t>
        </is>
      </c>
      <c r="G69" s="0" t="inlineStr">
        <is>
          <t xml:space="preserve">El Bosque</t>
        </is>
      </c>
      <c r="H69" s="2">
        <v>46280.692361</v>
      </c>
      <c r="I69" s="2">
        <v>46300.625694</v>
      </c>
      <c r="J69" s="0">
        <v>8</v>
      </c>
      <c r="K69" s="3">
        <v>16333332.0</v>
      </c>
      <c r="L69" s="0" t="inlineStr">
        <is>
          <t xml:space="preserve">CLP</t>
        </is>
      </c>
      <c r="M69" s="0" t="inlineStr">
        <is>
          <t xml:space="preserve">LE</t>
        </is>
      </c>
      <c r="N69" s="4" t="inlineStr">
        <is>
          <t xml:space="preserve">Servicios basados en ingeniería, ciencias sociales y tecnología de la información / Servicios informáticos / Ingeniería en computación e informática</t>
        </is>
      </c>
      <c r="O69" s="4" t="inlineStr">
        <is>
          <t xml:space="preserve">1 Global · Servicios de programación de sistemas operativos</t>
        </is>
      </c>
      <c r="P69" s="2"/>
      <c r="Q69" s="2"/>
      <c r="R69" s="0" t="inlineStr">
        <is>
          <t xml:space="preserve">3 meses</t>
        </is>
      </c>
      <c r="S69" s="0" t="inlineStr">
        <is>
          <t xml:space="preserve">No</t>
        </is>
      </c>
      <c r="T69" s="4" t="inlineStr">
        <is>
          <t xml:space="preserve">EN CONFORMIDAD A LO ESTABLECIDO EN EL PARRAFO I.-NORMAS GENERALES DEL LLAMADO A PROPUESTA, LETRA P DE LAS BASES ADMINISTRATIVAS ADJUNTAS.</t>
        </is>
      </c>
      <c r="U69" s="0" t="inlineStr">
        <is>
          <t xml:space="preserve">RODRIGO INOSTROZA</t>
        </is>
      </c>
      <c r="V69"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69" s="5" t="str">
        <f>HYPERLINK("https://www.mercadopublico.cl/Procurement/Modules/Attachment/ViewAttachment.aspx?enc=vXnkX31EcEwd0QZVirfgWvwe2xRku%2b2VlveAIvbXfeqJoNNzkp5bhgoIgZSohEELihZQy40x7zx23KrQ%2fxIPpn9K%2f0h0m2BArbKcl4MwvSpEiJC888s1Qqhi1kJUJfxXmqgg%2f%2bATS65FbYaAVe5JGzE6GvG3sVpxc1sU0CEW6gJAaiVOK3c7OAvkKQuLoi5GJ1R0HrbdyeQwKEeva%2b64219Ywy0Wawe%2bfNwE4pBpzZO3QiLnl0kRn%2bSHjUDtQUioiM%2fYqT907vK81b7vbvjl532%2fc7TZ94Bz38%2bcq%2fiWNICyOs5ElVpDuS%2bMMMBtamiu","descargar bases")</f>
      </c>
    </row>
    <row r="70">
      <c r="A70" s="0" t="inlineStr">
        <is>
          <t xml:space="preserve">587-49-LE26</t>
        </is>
      </c>
      <c r="B70" s="4" t="inlineStr">
        <is>
          <t xml:space="preserve">SELICO 198- 2026 SERVICIO DE DIGITALIZACIÓN</t>
        </is>
      </c>
      <c r="C70" s="0" t="inlineStr">
        <is>
          <t xml:space="preserve">Publicada</t>
        </is>
      </c>
      <c r="D70" s="0" t="inlineStr">
        <is>
          <t xml:space="preserve">SUBSECRETARIA DEL MINISTERIO DE LA VIVIENDA Y URBANISMO</t>
        </is>
      </c>
      <c r="E70" s="0" t="inlineStr">
        <is>
          <t xml:space="preserve">Ministerio de Vivienda y Urbanismo(766)</t>
        </is>
      </c>
      <c r="F70" s="0" t="inlineStr">
        <is>
          <t xml:space="preserve">Región Metropolitana de Santiago</t>
        </is>
      </c>
      <c r="G70" s="0"/>
      <c r="H70" s="2">
        <v>46280.397014</v>
      </c>
      <c r="I70" s="2">
        <v>46300.631944</v>
      </c>
      <c r="J70" s="0">
        <v>8</v>
      </c>
      <c r="K70" s="3">
        <v>25000000.0</v>
      </c>
      <c r="L70" s="0" t="inlineStr">
        <is>
          <t xml:space="preserve">CLP</t>
        </is>
      </c>
      <c r="M70" s="0" t="inlineStr">
        <is>
          <t xml:space="preserve">LE</t>
        </is>
      </c>
      <c r="N70" s="4" t="inlineStr">
        <is>
          <t xml:space="preserve">Servicios basados en ingeniería, ciencias sociales y tecnología de la información / Servicios informáticos / Servicios de datos</t>
        </is>
      </c>
      <c r="O70" s="4" t="inlineStr">
        <is>
          <t xml:space="preserve">1 Global · Servicios de digitalización de documentos</t>
        </is>
      </c>
      <c r="P70" s="2"/>
      <c r="Q70" s="2"/>
      <c r="R70" s="0" t="inlineStr">
        <is>
          <t xml:space="preserve">150 días</t>
        </is>
      </c>
      <c r="S70" s="0" t="inlineStr">
        <is>
          <t xml:space="preserve">No</t>
        </is>
      </c>
      <c r="T70" s="4" t="inlineStr">
        <is>
          <t xml:space="preserve">NO PERMITE SUBCONTRATACIÓN VER PUNTO 1.13.5.7. “SUBCONTRATACIÓN” DE LAS BASES ADMINISTRATIVAS.</t>
        </is>
      </c>
      <c r="U70" s="0" t="inlineStr">
        <is>
          <t xml:space="preserve">Jefa de la División Técnica de Estudio</t>
        </is>
      </c>
      <c r="V70" s="4" t="inlineStr">
        <is>
          <t xml:space="preserve">Servicio de digitalización e indexación de documentación del MINVU y de la SEREMI Región Metropolitana.</t>
        </is>
      </c>
      <c r="W70" s="5" t="str">
        <f>HYPERLINK("https://www.mercadopublico.cl/Procurement/Modules/Attachment/ViewAttachment.aspx?enc=PGJTQH%2b9uLYRrbrShFNd%2bacx%2fOYWE8jCzYA%2bxoZ2wDZ%2ftLbRNhomtj1PtF%2b0JVLSfJv%2fbq1nQA7LtY4gZZlCLrjSxm9hwM6QsgUIzc8E5L8A8YMnET0HSbGJ39ouNeFrdotRuucMjutTIvLjyhYvq91%2f7x054RnbEDyDS70h4V7wdUHkoNI1TevXUNdT5LXDnID%2f11zFigXHd9NZ5x3u7Ivs3bSc3s4ywUrsg%2f4SSgl5cLXj82T9J6O%2fdHy5WGE7%2fSuHT1v%2fQIOAYTrEcoz%2f4GFZ2zw5w7bYiVBekHIxX6RylvhsyegO35oxse1xj4m9","descargar bases")</f>
      </c>
    </row>
    <row r="71">
      <c r="A71" s="0" t="inlineStr">
        <is>
          <t xml:space="preserve">1057049-332-LR26</t>
        </is>
      </c>
      <c r="B71" s="4" t="inlineStr">
        <is>
          <t xml:space="preserve">JLL BASES SERVICIO DE TURNOS PROFESIONALES PARA DESARROLLO DE SOFTWARE INTERNO DEL HOSPITAL CLÍNICO SAN BORJA ARRIARÁN</t>
        </is>
      </c>
      <c r="C71" s="0" t="inlineStr">
        <is>
          <t xml:space="preserve">Publicada</t>
        </is>
      </c>
      <c r="D71" s="0" t="inlineStr">
        <is>
          <t xml:space="preserve">SERV SALUD METROPOLITANO CENTRAL HOSPITAL CLINICO SAN BORJA ARRIARAN</t>
        </is>
      </c>
      <c r="E71" s="0" t="inlineStr">
        <is>
          <t xml:space="preserve">Bienes y Servicios</t>
        </is>
      </c>
      <c r="F71" s="0" t="inlineStr">
        <is>
          <t xml:space="preserve">Región Metropolitana de Santiago</t>
        </is>
      </c>
      <c r="G71" s="0" t="inlineStr">
        <is>
          <t xml:space="preserve">Santiago</t>
        </is>
      </c>
      <c r="H71" s="2">
        <v>46267.711424</v>
      </c>
      <c r="I71" s="2">
        <v>46300.645833</v>
      </c>
      <c r="J71" s="0">
        <v>8</v>
      </c>
      <c r="K71" s="3">
        <v>819072000.0</v>
      </c>
      <c r="L71" s="0" t="inlineStr">
        <is>
          <t xml:space="preserve">CLP</t>
        </is>
      </c>
      <c r="M71" s="0" t="inlineStr">
        <is>
          <t xml:space="preserve">LR</t>
        </is>
      </c>
      <c r="N71" s="4" t="inlineStr">
        <is>
          <t xml:space="preserve">Servicios profesionales, administrativos y consultorías de gestión empresarial / Servicios de recursos humanos / Servicios de personal temporal</t>
        </is>
      </c>
      <c r="O71" s="4" t="inlineStr">
        <is>
          <t xml:space="preserve">1 Global · Personal técnico temporal</t>
        </is>
      </c>
      <c r="P71" s="2"/>
      <c r="Q71" s="2"/>
      <c r="R71" s="0" t="inlineStr">
        <is>
          <t xml:space="preserve">24 meses</t>
        </is>
      </c>
      <c r="S71" s="0" t="inlineStr">
        <is>
          <t xml:space="preserve">No</t>
        </is>
      </c>
      <c r="T71" s="4"/>
      <c r="U71" s="0" t="inlineStr">
        <is>
          <t xml:space="preserve">JUAN CARLOS LAFONT</t>
        </is>
      </c>
      <c r="V71" s="4" t="inlineStr">
        <is>
          <t xml:space="preserve">CONTRATACION DE TURNOS PROFESIONALES PARA DESARROLLO DE SOFTWARE INTERNO DEL HOSPITAL CLÍNICO SAN BORJA ARRIARÁN</t>
        </is>
      </c>
      <c r="W71" s="5" t="str">
        <f>HYPERLINK("https://www.mercadopublico.cl/Procurement/Modules/Attachment/ViewAttachment.aspx?enc=ZonglIEiGNVueXfQes7U%2bf8qCz2gXdpLRbJ77x9RvWP7rULhhOgZzVFWps%2bwFUn83H6JgGQJ8QracSp4Oev3kKITJKqXb3RnPys%2fTrmO3CHzOtPPioFO9gybeuwmF3vPNHqLCGH07VhW%2fIBAFyJmvukUbv9hy8N1eDzqIa0EfGqqm5FedPKC3AB59xdVNVi2lS%2bL0KIbir1PrvTCP%2fkUQg5edVeE6AdZ5Hz0XWA3AFWu8e3Pky3YBV0c9fldS629jYvKpC7S2W45OZw9f3OrIFrE9Ap%2bAs9KNpjQ7blf7e0s%2bV1B4aDGDN2PW0sEqQiF","descargar bases")</f>
      </c>
    </row>
    <row r="72">
      <c r="A72" s="0" t="inlineStr">
        <is>
          <t xml:space="preserve">1049-76-LE26</t>
        </is>
      </c>
      <c r="B72" s="4" t="inlineStr">
        <is>
          <t xml:space="preserve">LEVANTAMIENTO DE DATOS SOCIOECONÓMICOS PLANTAS MANUFACTURERAS DE PRODUCTOS PESQUEROS ACUÍCOLAS Y EMPRESAS SALMONERAS</t>
        </is>
      </c>
      <c r="C72" s="0" t="inlineStr">
        <is>
          <t xml:space="preserve">Publicada</t>
        </is>
      </c>
      <c r="D72" s="0" t="inlineStr">
        <is>
          <t xml:space="preserve">INSTITUTO DE FOMENTO PESQUERO</t>
        </is>
      </c>
      <c r="E72" s="0" t="inlineStr">
        <is>
          <t xml:space="preserve">IFOP</t>
        </is>
      </c>
      <c r="F72" s="0" t="inlineStr">
        <is>
          <t xml:space="preserve">Región de Valparaíso </t>
        </is>
      </c>
      <c r="G72" s="0" t="inlineStr">
        <is>
          <t xml:space="preserve">Valparaíso</t>
        </is>
      </c>
      <c r="H72" s="2">
        <v>46290.507269</v>
      </c>
      <c r="I72" s="2">
        <v>46300.666667</v>
      </c>
      <c r="J72" s="0">
        <v>8</v>
      </c>
      <c r="K72" s="3">
        <v>25000000.0</v>
      </c>
      <c r="L72" s="0" t="inlineStr">
        <is>
          <t xml:space="preserve">CLP</t>
        </is>
      </c>
      <c r="M72" s="0" t="inlineStr">
        <is>
          <t xml:space="preserve">LE</t>
        </is>
      </c>
      <c r="N72" s="4" t="inlineStr">
        <is>
          <t xml:space="preserve">Servicios basados en ingeniería, ciencias sociales y tecnología de la información / Estadística / Metodología y análisis estadístico</t>
        </is>
      </c>
      <c r="O72" s="4" t="inlineStr">
        <is>
          <t xml:space="preserve">1 Unidad · Encuestas por muestreo · 1 Unidad · Encuestas por muestreo · 1 Unidad · Encuestas por muestreo</t>
        </is>
      </c>
      <c r="P72" s="2"/>
      <c r="Q72" s="2"/>
      <c r="R72" s="0" t="inlineStr">
        <is>
          <t xml:space="preserve">16 semanas</t>
        </is>
      </c>
      <c r="S72" s="0" t="inlineStr">
        <is>
          <t xml:space="preserve">No</t>
        </is>
      </c>
      <c r="T72" s="4"/>
      <c r="U72" s="0" t="inlineStr">
        <is>
          <t xml:space="preserve">Johanna Rojas Rojo</t>
        </is>
      </c>
      <c r="V72" s="4" t="inlineStr">
        <is>
          <t xml:space="preserve">El Monitoreo Económico debe levantar datos de empleo y operación de las plantas pesqueras de las regiones de Atacama, Coquimbo, Metropolitana, Valparaíso y de las empresas salmoneras de las regiones de Los Lagos, Aysén y Magallanes. Y para eso necesita personas que tengan la experiencia y el conocimiento del sector a cabalidad. 
El número total de plantas por región es el siguiente, los cuales se dividirán en 3 zonas: 
-Zona1: Atacama y Coquimbo. 52 y 62 plantas de proceso
-Zona 2: Valparaíso y Metropolitana de Santiago. 34 y 22 plantas de proceso
-Zona 3: Los Lagos, Aysen y Magallanes. 62 empresas salmoneras</t>
        </is>
      </c>
      <c r="W72" s="5" t="str">
        <f>HYPERLINK("https://www.mercadopublico.cl/Procurement/Modules/Attachment/ViewAttachment.aspx?enc=J1glaGCt334zRPq31pFXJlWfIt6%2f0ewJx3tUP%2bJ4vCsVY3gGuHYW3HVR9PfDufGPP662JatqAxOR8pOQ7q3IiXdZao30D44De4R2ZBcykOuBkCJ8rzgq7BfUifDkNkb7O6UsjBupX8bfN0nEpH4yEj9nVwyrRvHAWbxPpRJ%2fw64f99113ItVZdCFIbT32xbRZAkagedstMOAzEnpO7aCjFMZsFM7l0qKc1Gl%2fGeMZvcc5Eh1Rh%2frCimTERGIYfyVpZka6%2fvnpyIu8WZtxI%2bQp9aAnsAZYyY2Yh9AnsB0q5q97kAXjkEn57B5KIIW4J1c","descargar bases")</f>
      </c>
    </row>
    <row r="73">
      <c r="A73" s="0" t="inlineStr">
        <is>
          <t xml:space="preserve">463-5-LE26</t>
        </is>
      </c>
      <c r="B73" s="4" t="inlineStr">
        <is>
          <t xml:space="preserve">SERVICIO DE SOFTWARE DE GESTIÓN DE PERSONAS</t>
        </is>
      </c>
      <c r="C73" s="0" t="inlineStr">
        <is>
          <t xml:space="preserve">Publicada</t>
        </is>
      </c>
      <c r="D73" s="0" t="inlineStr">
        <is>
          <t xml:space="preserve">CENTRO DE INFORMACION DE RECURSOS NATURALES</t>
        </is>
      </c>
      <c r="E73" s="0" t="inlineStr">
        <is>
          <t xml:space="preserve">C.I.R.N.</t>
        </is>
      </c>
      <c r="F73" s="0" t="inlineStr">
        <is>
          <t xml:space="preserve">Región Metropolitana de Santiago</t>
        </is>
      </c>
      <c r="G73" s="0" t="inlineStr">
        <is>
          <t xml:space="preserve">Santiago</t>
        </is>
      </c>
      <c r="H73" s="2">
        <v>46290.727338</v>
      </c>
      <c r="I73" s="2">
        <v>46300.666667</v>
      </c>
      <c r="J73" s="0">
        <v>8</v>
      </c>
      <c r="K73" s="3">
        <v>560.0</v>
      </c>
      <c r="L73" s="0" t="inlineStr">
        <is>
          <t xml:space="preserve">CLF</t>
        </is>
      </c>
      <c r="M73" s="0" t="inlineStr">
        <is>
          <t xml:space="preserve">LE</t>
        </is>
      </c>
      <c r="N73" s="4" t="inlineStr">
        <is>
          <t xml:space="preserve">Tecnologías de la información, telecomunicaciones y radiodifusión / Software / Software de gestión</t>
        </is>
      </c>
      <c r="O73" s="4" t="inlineStr">
        <is>
          <t xml:space="preserve">1 Unidad · Software de gestión de recursos humanos</t>
        </is>
      </c>
      <c r="P73" s="2"/>
      <c r="Q73" s="2"/>
      <c r="R73" s="0"/>
      <c r="S73" s="0" t="inlineStr">
        <is>
          <t xml:space="preserve">No</t>
        </is>
      </c>
      <c r="T73" s="4" t="inlineStr">
        <is>
          <t xml:space="preserve">ARTÍCULO 21°: CESIÓN DE DERECHOS Y SUBCONTRATACIÓN 
El adjudicatario no podrá ceder ni transferir en forma alguna, total ni parcialmente 
los derechos y obligaciones que nacen de la presente licitación, y en especial los 
31 
que se establezcan en el</t>
        </is>
      </c>
      <c r="U73" s="0" t="inlineStr">
        <is>
          <t xml:space="preserve">Tomislav Vucina</t>
        </is>
      </c>
      <c r="V73" s="4" t="inlineStr">
        <is>
          <t xml:space="preserve">SERVICIO DE SOFTWARE DE GESTIÓN DE PERSONAS PARA CIREN</t>
        </is>
      </c>
      <c r="W73" s="5" t="str">
        <f>HYPERLINK("https://www.mercadopublico.cl/Procurement/Modules/Attachment/ViewAttachment.aspx?enc=6v8UIk4Fev2sgfXIs76gTLMaxoKxOaP56ZxdqZlQHA4GgGg3R0oAVZIG3ZgVtjUMTtrFhk2S2mzmNpMIgFdFMIYNeZypBeqtQOMC1AvF3NDscpZGi3xXSL8e4D3GZ9gmleUTjuevE6qts1q6pzO5yaDbejw%2f5SzkeiwxbvJTwqbYXsdAkj6c1eFVcgri9uNtib4TwRr5XAUKq56mfHM9BAys4QZP99bKzzuAXFMrAwcQvNrfRmobA8kUtbfElq%2fGAu4%2fKLMzNWX9r%2bF5U5nShpXE5PxSF0fQOpi8xnIrTVigWOngotPIcgkEEXzFyBfV","descargar bases")</f>
      </c>
    </row>
    <row r="74">
      <c r="A74" s="0" t="inlineStr">
        <is>
          <t xml:space="preserve">696217-2-LP26</t>
        </is>
      </c>
      <c r="B74" s="4" t="inlineStr">
        <is>
          <t xml:space="preserve">Servicio de Digitalizacion de Carpetas</t>
        </is>
      </c>
      <c r="C74" s="0" t="inlineStr">
        <is>
          <t xml:space="preserve">Publicada</t>
        </is>
      </c>
      <c r="D74" s="0" t="inlineStr">
        <is>
          <t xml:space="preserve">MINISTERIO PUBLICO</t>
        </is>
      </c>
      <c r="E74" s="0" t="inlineStr">
        <is>
          <t xml:space="preserve">FR TARAPACA</t>
        </is>
      </c>
      <c r="F74" s="0" t="inlineStr">
        <is>
          <t xml:space="preserve">Región de Tarapacá  </t>
        </is>
      </c>
      <c r="G74" s="0" t="inlineStr">
        <is>
          <t xml:space="preserve">Pozo Almonte</t>
        </is>
      </c>
      <c r="H74" s="2">
        <v>46288.745961</v>
      </c>
      <c r="I74" s="2">
        <v>46300.666667</v>
      </c>
      <c r="J74" s="0">
        <v>8</v>
      </c>
      <c r="K74" s="3">
        <v>150000000.0</v>
      </c>
      <c r="L74" s="0" t="inlineStr">
        <is>
          <t xml:space="preserve">CLP</t>
        </is>
      </c>
      <c r="M74" s="0" t="inlineStr">
        <is>
          <t xml:space="preserve">LP</t>
        </is>
      </c>
      <c r="N74" s="4" t="inlineStr">
        <is>
          <t xml:space="preserve">Servicios basados en ingeniería, ciencias sociales y tecnología de la información / Servicios informáticos / Servicios de datos</t>
        </is>
      </c>
      <c r="O74" s="4" t="inlineStr">
        <is>
          <t xml:space="preserve">1 Unidad · Servicios de digitalización de documentos</t>
        </is>
      </c>
      <c r="P74" s="2"/>
      <c r="Q74" s="2"/>
      <c r="R74" s="0"/>
      <c r="S74" s="0" t="inlineStr">
        <is>
          <t xml:space="preserve">No</t>
        </is>
      </c>
      <c r="T74"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74" s="0" t="inlineStr">
        <is>
          <t xml:space="preserve">Cristian Olmedo Gamboa</t>
        </is>
      </c>
      <c r="V74"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74" s="5" t="str">
        <f>HYPERLINK("https://www.mercadopublico.cl/Procurement/Modules/Attachment/ViewAttachment.aspx?enc=tpzkuxv3rhggAkSmPDM2BcKymlze0RL0keR%2bq0%2bYBEXYJjhtpB5v7XnG9uBCfNQgnTSNJpVf9h%2b4q2kKutQnWM77waDp%2fxSDnmzb6PifNejguOb3mjLNZTFMp5YcXAG0KUt6CSbNl2JELjT6891nZmlXxw2dRL680XDckfHABtDY6xBV%2bMJJ4gl62xB3f%2bdr%2fKsYfgM1n%2fYizH%2f0QjMPcfZW5vPB%2fZxNb8ZymyBxglSQeXRjmNFLpmv8lvcvXaYbo4vqCKFGRZjQIiHNBv3JWEAY1selMDyW3rB8w1Hh0seko25iA1P0bqBtIi0Ymqkx","descargar bases")</f>
      </c>
    </row>
    <row r="75">
      <c r="A75" s="0" t="inlineStr">
        <is>
          <t xml:space="preserve">885-85-LE26</t>
        </is>
      </c>
      <c r="B75" s="4" t="inlineStr">
        <is>
          <t xml:space="preserve">Adquisición de licencias de software Acrobat Pro DC for teams ALL MP MLA Team para la Contraloría General de la República.</t>
        </is>
      </c>
      <c r="C75" s="0" t="inlineStr">
        <is>
          <t xml:space="preserve">Publicada</t>
        </is>
      </c>
      <c r="D75" s="0" t="inlineStr">
        <is>
          <t xml:space="preserve">CONTRALORIA GENERAL DE LA REPUBLICA</t>
        </is>
      </c>
      <c r="E75" s="0" t="inlineStr">
        <is>
          <t xml:space="preserve">Contraloría General de la República</t>
        </is>
      </c>
      <c r="F75" s="0" t="inlineStr">
        <is>
          <t xml:space="preserve">Región Metropolitana de Santiago</t>
        </is>
      </c>
      <c r="G75" s="0"/>
      <c r="H75" s="2">
        <v>46280.66125</v>
      </c>
      <c r="I75" s="2">
        <v>46300.666667</v>
      </c>
      <c r="J75" s="0">
        <v>8</v>
      </c>
      <c r="K75" s="3">
        <v>11000000.0</v>
      </c>
      <c r="L75" s="0" t="inlineStr">
        <is>
          <t xml:space="preserve">CLP</t>
        </is>
      </c>
      <c r="M75" s="0" t="inlineStr">
        <is>
          <t xml:space="preserve">LE</t>
        </is>
      </c>
      <c r="N75" s="4" t="inlineStr">
        <is>
          <t xml:space="preserve">Tecnologías de la información, telecomunicaciones y radiodifusión / Software / Software de gestión</t>
        </is>
      </c>
      <c r="O75" s="4" t="inlineStr">
        <is>
          <t xml:space="preserve">50 Unidad · Software de gestión de licencias</t>
        </is>
      </c>
      <c r="P75" s="2"/>
      <c r="Q75" s="2"/>
      <c r="R75" s="0" t="inlineStr">
        <is>
          <t xml:space="preserve">12 meses</t>
        </is>
      </c>
      <c r="S75" s="0" t="inlineStr">
        <is>
          <t xml:space="preserve">No</t>
        </is>
      </c>
      <c r="T75" s="4"/>
      <c r="U75" s="0" t="inlineStr">
        <is>
          <t xml:space="preserve">Irma del Carmen Garcés Ramírez</t>
        </is>
      </c>
      <c r="V75" s="4" t="inlineStr">
        <is>
          <t xml:space="preserve">La Contraloría General de la República llama a presentar ofertas para la adquisición de 50 (cincuenta) licencias de software Acrobat Pro-DC for teams ALL MP MLA Team Licensing por un período de 12 meses.</t>
        </is>
      </c>
      <c r="W75" s="5" t="str">
        <f>HYPERLINK("https://www.mercadopublico.cl/Procurement/Modules/Attachment/ViewAttachment.aspx?enc=pUVrCSTmDUg4rKXYXys5PiAlC8pdumdjHcpxqGc2iMfOPG3mYJHwTMOGmH5WLflQhLkKYguwJ%2fyD3a34IjtTs1r4D9znrI%2fzd63dRPAyBfxjaariEp554SbjC3Q0B5%2bFAPBsaE1pMxv%2b%2b2Cs%2f0Z33Vt9%2f0nx9MwOy3szF57ybHbJ0j4jXb5sv2bJ5MiqHGQJPneWy2m7qjqtGflmSvLFUi94BrUJv%2f6wFYbbqdVUT%2bHyOcMHoBVuZG7Gns6Y%2fKAjXNWUJum12F0raUc9cvy8cS%2fLwwAIRl0uCsS8YX3VbjsOH%2f3j%2fBXqFe%2bWYV0n0FaE","descargar bases")</f>
      </c>
    </row>
    <row r="76">
      <c r="A76" s="0" t="inlineStr">
        <is>
          <t xml:space="preserve">948354-137-LP26</t>
        </is>
      </c>
      <c r="B76" s="4" t="inlineStr">
        <is>
          <t xml:space="preserve">LA ADQUISICIÓN DE EQUIPO DE RAYOS X ARCO C CON FLUOROSCOPIA DIGITAL PARA EL HOSPITAL DIPRECA</t>
        </is>
      </c>
      <c r="C76" s="0" t="inlineStr">
        <is>
          <t xml:space="preserve">Publicada</t>
        </is>
      </c>
      <c r="D76" s="0" t="inlineStr">
        <is>
          <t xml:space="preserve">FONDO HOSPITAL DE LA DIRECCION DE PREVISION DE CARABINEROS DE CHILE</t>
        </is>
      </c>
      <c r="E76" s="0" t="inlineStr">
        <is>
          <t xml:space="preserve">Unidad de Compra de Bienes y Servicios</t>
        </is>
      </c>
      <c r="F76" s="0" t="inlineStr">
        <is>
          <t xml:space="preserve">Región Metropolitana de Santiago</t>
        </is>
      </c>
      <c r="G76" s="0" t="inlineStr">
        <is>
          <t xml:space="preserve">Las Condes</t>
        </is>
      </c>
      <c r="H76" s="2">
        <v>46280.439745</v>
      </c>
      <c r="I76" s="2">
        <v>46300.666667</v>
      </c>
      <c r="J76" s="0">
        <v>8</v>
      </c>
      <c r="K76" s="3">
        <v>235000000.0</v>
      </c>
      <c r="L76" s="0" t="inlineStr">
        <is>
          <t xml:space="preserve">CLP</t>
        </is>
      </c>
      <c r="M76" s="0" t="inlineStr">
        <is>
          <t xml:space="preserve">LP</t>
        </is>
      </c>
      <c r="N76" s="4" t="inlineStr">
        <is>
          <t xml:space="preserve">Equipamiento para laboratorios / Instrumentos de medida y experimentación / Equipo de examen no invasivo</t>
        </is>
      </c>
      <c r="O76" s="4" t="inlineStr">
        <is>
          <t xml:space="preserve">1 Unidad · Equipo de examen por rayos X</t>
        </is>
      </c>
      <c r="P76" s="2"/>
      <c r="Q76" s="2"/>
      <c r="R76" s="0"/>
      <c r="S76" s="0" t="inlineStr">
        <is>
          <t xml:space="preserve">No</t>
        </is>
      </c>
      <c r="T76" s="4"/>
      <c r="U76" s="0" t="inlineStr">
        <is>
          <t xml:space="preserve">Rodrigo Arriagada</t>
        </is>
      </c>
      <c r="V76"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76" s="5" t="str">
        <f>HYPERLINK("https://www.mercadopublico.cl/Procurement/Modules/Attachment/ViewAttachment.aspx?enc=zQHJoJIe2vAZfPWTgL3c8HSEkPAdmq64nPnsndqYhe95VfU7yRckM1KNXPtKDM%2f13JO4wa3mWXz%2bCcIVquDy7cME0OsP5ffL3bjMRFkzo0p73NvkJ%2fk5zUN5N4XVQbHBcoZWRq8LwaHuA874JpS1tK2QaVp112Buydh7huqdYWZGR45fF4SCemFCvFii9OL9VbM8CefGH9z0NeUMy66KzWu1%2bKmntTRRAIVV1IMk4EJ4Xobi7Fvjse6gBNURep3hl%2fIc%2bXVv4O2XbeNir8kAzb0aZfSgoLhFVUIRjMdyOZ6tgihRS2KJU9xUxc%2faR0fy","descargar bases")</f>
      </c>
    </row>
    <row r="77">
      <c r="A77" s="0" t="inlineStr">
        <is>
          <t xml:space="preserve">1456836-4-LP26</t>
        </is>
      </c>
      <c r="B77" s="4" t="inlineStr">
        <is>
          <t xml:space="preserve">Software de Gestión de Personas y Remuneraciones</t>
        </is>
      </c>
      <c r="C77" s="0" t="inlineStr">
        <is>
          <t xml:space="preserve">Publicada</t>
        </is>
      </c>
      <c r="D77" s="0" t="inlineStr">
        <is>
          <t xml:space="preserve">SERVICIO LOCAL DE EDUCACIÓN PÚBLICA HANGA ROA</t>
        </is>
      </c>
      <c r="E77" s="0" t="inlineStr">
        <is>
          <t xml:space="preserve">SERVICIO LOCAL DE EDUCACIÓN PÚBLICA HANGA ROA</t>
        </is>
      </c>
      <c r="F77" s="0" t="inlineStr">
        <is>
          <t xml:space="preserve">Región de Valparaíso </t>
        </is>
      </c>
      <c r="G77" s="0" t="inlineStr">
        <is>
          <t xml:space="preserve">Isla De Pascua</t>
        </is>
      </c>
      <c r="H77" s="2">
        <v>46279.858738</v>
      </c>
      <c r="I77" s="2">
        <v>46300.708333</v>
      </c>
      <c r="J77" s="0">
        <v>8</v>
      </c>
      <c r="K77" s="3"/>
      <c r="L77" s="0" t="inlineStr">
        <is>
          <t xml:space="preserve">CLP</t>
        </is>
      </c>
      <c r="M77" s="0" t="inlineStr">
        <is>
          <t xml:space="preserve">LP</t>
        </is>
      </c>
      <c r="N77" s="4" t="inlineStr">
        <is>
          <t xml:space="preserve">Tecnologías de la información, telecomunicaciones y radiodifusión / Software / Software de gestión</t>
        </is>
      </c>
      <c r="O77" s="4" t="inlineStr">
        <is>
          <t xml:space="preserve">1 Global · Software de gestión de recursos humanos · 1 Global · Software de gestión de recursos humanos</t>
        </is>
      </c>
      <c r="P77" s="2"/>
      <c r="Q77" s="2"/>
      <c r="R77" s="0" t="inlineStr">
        <is>
          <t xml:space="preserve">24 meses</t>
        </is>
      </c>
      <c r="S77" s="0" t="inlineStr">
        <is>
          <t xml:space="preserve">No</t>
        </is>
      </c>
      <c r="T77" s="4" t="inlineStr">
        <is>
          <t xml:space="preserve">De acuerdo con el numeral 13.1 de las bases, el adjudicatario no podrá subcontratar los servicios de que trata esta licitación.</t>
        </is>
      </c>
      <c r="U77" s="0" t="inlineStr">
        <is>
          <t xml:space="preserve">Merahi Hito Solar</t>
        </is>
      </c>
      <c r="V77" s="4" t="inlineStr">
        <is>
          <t xml:space="preserve">Servicio de arriendo de Software de Gestión de Personas y Remuneraciones para el Servicio Local de Educación Pública Hanga Roa.</t>
        </is>
      </c>
      <c r="W77" s="5" t="str">
        <f>HYPERLINK("https://www.mercadopublico.cl/Procurement/Modules/Attachment/ViewAttachment.aspx?enc=kEdxCjmZF2WuSRubKS9igBG7GYVUv9Yyo9XRADEsUaPISoEf7IuS%2bXvi3pqu0dwhr1aIXCCdb8k90rSo3zkjzUyPdqMXd1KOlnhO0%2fJ5kgSESFujLKDfFl1daXtCJc5dgb0%2ft0aQbozIR8gLDjfJl6PG5nLY3VTMsgtOfxYkGiCEjegMoZ1qOrm1YJ4Ibd8yibbLuScsw9QwAYtgBz4qi9VbghGhOswCAjVSUI83bOFC1XkpM6HmvLL%2f8zjHzMFLFvy1Dnums6kAs8nTYN0Yblor8NqO0oVuMeLvk8OHbcugczxagWxYF2R3KhWZJe13","descargar bases")</f>
      </c>
    </row>
    <row r="78">
      <c r="A78" s="0" t="inlineStr">
        <is>
          <t xml:space="preserve">1663-148-LE26</t>
        </is>
      </c>
      <c r="B78" s="4" t="inlineStr">
        <is>
          <t xml:space="preserve">CARROS INFORMATICOS CLINICOS</t>
        </is>
      </c>
      <c r="C78" s="0" t="inlineStr">
        <is>
          <t xml:space="preserve">Publicada</t>
        </is>
      </c>
      <c r="D78" s="0" t="inlineStr">
        <is>
          <t xml:space="preserve">SERVICIO DE SALUD CHILOE</t>
        </is>
      </c>
      <c r="E78" s="0" t="inlineStr">
        <is>
          <t xml:space="preserve">Hospital de Quellón</t>
        </is>
      </c>
      <c r="F78" s="0" t="inlineStr">
        <is>
          <t xml:space="preserve">Región de los Lagos </t>
        </is>
      </c>
      <c r="G78" s="0"/>
      <c r="H78" s="2">
        <v>46288.409525</v>
      </c>
      <c r="I78" s="2">
        <v>46300.708333</v>
      </c>
      <c r="J78" s="0">
        <v>8</v>
      </c>
      <c r="K78" s="3"/>
      <c r="L78" s="0" t="inlineStr">
        <is>
          <t xml:space="preserve">CLP</t>
        </is>
      </c>
      <c r="M78" s="0" t="inlineStr">
        <is>
          <t xml:space="preserve">LE</t>
        </is>
      </c>
      <c r="N78" s="4" t="inlineStr">
        <is>
          <t xml:space="preserve">Artículos de fabricación y producción / Artículos de ferretería / Accesorios de Ferretería</t>
        </is>
      </c>
      <c r="O78" s="4" t="inlineStr">
        <is>
          <t xml:space="preserve">7 Unidad · Estantes de montaje</t>
        </is>
      </c>
      <c r="P78" s="2"/>
      <c r="Q78" s="2"/>
      <c r="R78" s="0"/>
      <c r="S78" s="0" t="inlineStr">
        <is>
          <t xml:space="preserve">No</t>
        </is>
      </c>
      <c r="T78" s="4"/>
      <c r="U78" s="0" t="inlineStr">
        <is>
          <t xml:space="preserve">CARLOS CORTEZ ALVAREZ</t>
        </is>
      </c>
      <c r="V78" s="4" t="inlineStr">
        <is>
          <t xml:space="preserve">EL HOSPITAL DE QUELLON REQUIERE LA COMPRA DE CARROS INFORMATICOS PARA USO EN AREAS CLINICAS EN LA ATENCION DE PACIENTES</t>
        </is>
      </c>
      <c r="W78" s="5" t="str">
        <f>HYPERLINK("https://www.mercadopublico.cl/Procurement/Modules/Attachment/ViewAttachment.aspx?enc=utwfsFZedv827wx6vh1beZsZ6vFF25REpNak48HdvjEGF4pm3EpC3QEjP1XoPZp7VFMVPEfD4LNInHvZnK8FRk6cVdttyXHb3gxoPBjAMAy9gita7Gx2VmuuORVI8HGcciuKDpxp6wRRC2l55at5eeeY%2fa8gUsTyLfVZQ%2bdridm5PK3M1he8Wn8DqZM%2bDfSktVvhSyNolE807rD7Obi2MPApnPOjWhMfCiSub0xoo%2burpxGUf5S1jLl1kUDSGRraB2bkUYiNtnqfvQrn5EGZReSmfAERwWBXgaxrF4oET01%2fL8T3Zk7cLIzqBEo2mW1d","descargar bases")</f>
      </c>
    </row>
    <row r="79">
      <c r="A79" s="0" t="inlineStr">
        <is>
          <t xml:space="preserve">1013353-38-LE26</t>
        </is>
      </c>
      <c r="B79" s="4" t="inlineStr">
        <is>
          <t xml:space="preserve">Normalización y soporte de la infra. de Red Datos.</t>
        </is>
      </c>
      <c r="C79" s="0" t="inlineStr">
        <is>
          <t xml:space="preserve">Publicada</t>
        </is>
      </c>
      <c r="D79" s="0" t="inlineStr">
        <is>
          <t xml:space="preserve">SERVICIO LOCAL DE EDUCACION LAS BARRANCAS</t>
        </is>
      </c>
      <c r="E79" s="0" t="inlineStr">
        <is>
          <t xml:space="preserve">SERVICIO EDUCATIVO PROGRAMA 2</t>
        </is>
      </c>
      <c r="F79" s="0" t="inlineStr">
        <is>
          <t xml:space="preserve">Región Metropolitana de Santiago</t>
        </is>
      </c>
      <c r="G79" s="0" t="inlineStr">
        <is>
          <t xml:space="preserve">Pudahuel</t>
        </is>
      </c>
      <c r="H79" s="2">
        <v>46290.506887</v>
      </c>
      <c r="I79" s="2">
        <v>46300.75</v>
      </c>
      <c r="J79" s="0">
        <v>8</v>
      </c>
      <c r="K79" s="3"/>
      <c r="L79" s="0" t="inlineStr">
        <is>
          <t xml:space="preserve">CLP</t>
        </is>
      </c>
      <c r="M79" s="0" t="inlineStr">
        <is>
          <t xml:space="preserve">LE</t>
        </is>
      </c>
      <c r="N79" s="4" t="inlineStr">
        <is>
          <t xml:space="preserve">Servicios basados en ingeniería, ciencias sociales y tecnología de la información / Servicios informáticos / Administración de sistemas</t>
        </is>
      </c>
      <c r="O79" s="4" t="inlineStr">
        <is>
          <t xml:space="preserve">1 Unidad · Soporte y mantenimiento de red de área local (LAN)</t>
        </is>
      </c>
      <c r="P79" s="2"/>
      <c r="Q79" s="2"/>
      <c r="R79" s="0"/>
      <c r="S79" s="0" t="inlineStr">
        <is>
          <t xml:space="preserve">No</t>
        </is>
      </c>
      <c r="T79" s="4"/>
      <c r="U79" s="0" t="inlineStr">
        <is>
          <t xml:space="preserve">Unidad de Tecnologías de la Información</t>
        </is>
      </c>
      <c r="V79"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backbone de fibra óptica, equipamiento activo de red, red inalámbrica, configuración y relación de pruebas y puesta en marcha, junto con el servicio de garantía de los trabajos realizados por un período de 12 meses desde la fecha de recepción de los mismos.</t>
        </is>
      </c>
      <c r="W79" s="5" t="str">
        <f>HYPERLINK("https://www.mercadopublico.cl/Procurement/Modules/Attachment/ViewAttachment.aspx?enc=SIy%2bP7OedjVGv4puisypgYnYf572O3Cs1IHNRjjVziAe6hwWWJ%2fo1NK51HEN2xX%2bLgtOctEnQWGGHNiyD%2bbDJ9QOJtStXdyRM8yW7j7p42LeSNvs7AnH7dOLpQlYiFr5Oukg3IGx4Tc024WUejhYRYmbsILhT7m69GHZ32ek9glX0QnAxKQlLf0rstKwNNztQxZ%2bcd84VZxrymcxcALknZTYc50CSejkh%2bsu3TtcXoXgseReloLJU89Rx7iykIEd7%2fQPqYzPmxKyJURStcp3v0U6%2fUA3zg%2bXLjswqO6jUHj84uSMiJoi3ViNdwgx%2bMBY","descargar bases")</f>
      </c>
    </row>
    <row r="80">
      <c r="A80" s="0" t="inlineStr">
        <is>
          <t xml:space="preserve">612-37-LE26</t>
        </is>
      </c>
      <c r="B80" s="4" t="inlineStr">
        <is>
          <t xml:space="preserve">Adquisición registradores de datos con sensores</t>
        </is>
      </c>
      <c r="C80" s="0" t="inlineStr">
        <is>
          <t xml:space="preserve">Publicada</t>
        </is>
      </c>
      <c r="D80" s="0" t="inlineStr">
        <is>
          <t xml:space="preserve">SERVICIO AGRICOLA Y GANADERO</t>
        </is>
      </c>
      <c r="E80" s="0" t="inlineStr">
        <is>
          <t xml:space="preserve">Servicio Agricola y Ganadero (SAG central)</t>
        </is>
      </c>
      <c r="F80" s="0" t="inlineStr">
        <is>
          <t xml:space="preserve">Región Metropolitana de Santiago</t>
        </is>
      </c>
      <c r="G80" s="0" t="inlineStr">
        <is>
          <t xml:space="preserve">Santiago</t>
        </is>
      </c>
      <c r="H80" s="2">
        <v>46290.696192</v>
      </c>
      <c r="I80" s="2">
        <v>46300.833333</v>
      </c>
      <c r="J80" s="0">
        <v>8</v>
      </c>
      <c r="K80" s="3">
        <v>69000000.0</v>
      </c>
      <c r="L80" s="0" t="inlineStr">
        <is>
          <t xml:space="preserve">CLP</t>
        </is>
      </c>
      <c r="M80" s="0" t="inlineStr">
        <is>
          <t xml:space="preserve">LE</t>
        </is>
      </c>
      <c r="N80" s="4" t="inlineStr">
        <is>
          <t xml:space="preserve">Tecnologías de la información, telecomunicaciones y radiodifusión / Componentes para tecnología de la información, difusión o telecomunicaciones / Módulos, interfaces, procesadores y placas de sistema</t>
        </is>
      </c>
      <c r="O80" s="4" t="inlineStr">
        <is>
          <t xml:space="preserve">42 Unidad · Dispositivo de sincronización de paquetes de datos de red</t>
        </is>
      </c>
      <c r="P80" s="2"/>
      <c r="Q80" s="2"/>
      <c r="R80" s="0" t="inlineStr">
        <is>
          <t xml:space="preserve">12 meses</t>
        </is>
      </c>
      <c r="S80" s="0" t="inlineStr">
        <is>
          <t xml:space="preserve">No</t>
        </is>
      </c>
      <c r="T80" s="4"/>
      <c r="U80" s="0" t="inlineStr">
        <is>
          <t xml:space="preserve">Victoria Hernández</t>
        </is>
      </c>
      <c r="V80" s="4" t="inlineStr">
        <is>
          <t xml:space="preserve">Uno de los requerimientos fundamentales para este departamento es contar con tecnología de punta como el uso de sensores de temperatura de aire, humedad, suelo y viento con transmisión de datos que permitan obtener información precisa en áreas específicas donde se requiera calcular el tiempo térmico acumulado grados-día, y zonas de dispersión como estrategia de erradicación de focos de mosca de la fruta.</t>
        </is>
      </c>
      <c r="W80" s="5" t="str">
        <f>HYPERLINK("https://www.mercadopublico.cl/Procurement/Modules/Attachment/ViewAttachment.aspx?enc=6MFGMQhnONlH4J%2fx91yxw3P%2fJzLew3UjtC%2fbKFBDo8o1MvS9eua6Ku6UJqkeOXarNLtLLyhqw1%2bOk1iv1mmizKJh8yXXDlg4jZXfuGp02RRt8POV1SBXR%2fqGEH6vPHbU%2b0oK1HR50ipItKBK6Rfa2GTaoYxZK4JS0c9mwTbBB%2b6gHwi4XalKyOfw8lUm2gy7BJcZ%2fMDqjLgPOmNCPGjw51Tkior93%2bsVI3kbowdluBdUkjIr87XdFq4TtS%2byoM2ajDRCOPJZ3dmt9OkiL4tJGUoE9JnNGy1O2si8VMoYD%2fQHIaSsNC4FNX%2bzYliUeqc3","descargar bases")</f>
      </c>
    </row>
    <row r="81">
      <c r="A81" s="0" t="inlineStr">
        <is>
          <t xml:space="preserve">5586-148-LE26</t>
        </is>
      </c>
      <c r="B81" s="4" t="inlineStr">
        <is>
          <t xml:space="preserve">JG ADQUISICIÓN E IMPLEMENTACIÓN DE SOFTWARE DE GESTIÓN CLÍNICA ADMINISTRATIVA FINANCIERA Y CONTACT CENTER CON INTELIGENCIA ARTIFICIAL</t>
        </is>
      </c>
      <c r="C81" s="0" t="inlineStr">
        <is>
          <t xml:space="preserve">Publicada</t>
        </is>
      </c>
      <c r="D81" s="0" t="inlineStr">
        <is>
          <t xml:space="preserve">UNIVERSIDAD DE LA FRONTERA</t>
        </is>
      </c>
      <c r="E81" s="0" t="inlineStr">
        <is>
          <t xml:space="preserve">Universidad de la Frontera</t>
        </is>
      </c>
      <c r="F81" s="0" t="inlineStr">
        <is>
          <t xml:space="preserve">Región de la Araucanía </t>
        </is>
      </c>
      <c r="G81" s="0" t="inlineStr">
        <is>
          <t xml:space="preserve">Temuco</t>
        </is>
      </c>
      <c r="H81" s="2">
        <v>46288.725208</v>
      </c>
      <c r="I81" s="2">
        <v>46301.375</v>
      </c>
      <c r="J81" s="0">
        <v>9</v>
      </c>
      <c r="K81" s="3">
        <v>9500000.0</v>
      </c>
      <c r="L81" s="0" t="inlineStr">
        <is>
          <t xml:space="preserve">CLP</t>
        </is>
      </c>
      <c r="M81" s="0" t="inlineStr">
        <is>
          <t xml:space="preserve">LE</t>
        </is>
      </c>
      <c r="N81" s="4" t="inlineStr">
        <is>
          <t xml:space="preserve">Tecnologías de la información, telecomunicaciones y radiodifusión / Software / Software de aplicaciones de red</t>
        </is>
      </c>
      <c r="O81" s="4" t="inlineStr">
        <is>
          <t xml:space="preserve">1 Global · Software de servidor de aplicaciones</t>
        </is>
      </c>
      <c r="P81" s="2"/>
      <c r="Q81" s="2"/>
      <c r="R81" s="0" t="inlineStr">
        <is>
          <t xml:space="preserve">12 meses</t>
        </is>
      </c>
      <c r="S81" s="0" t="inlineStr">
        <is>
          <t xml:space="preserve">No</t>
        </is>
      </c>
      <c r="T81" s="4"/>
      <c r="U81" s="0" t="inlineStr">
        <is>
          <t xml:space="preserve">RAUL VEGA GALLEGOS</t>
        </is>
      </c>
      <c r="V81" s="4" t="inlineStr">
        <is>
          <t xml:space="preserve">ADQUISICIÓN E IMPLEMENTACIÓN DE SOFTWARE DE GESTIÓN CLÍNICA, ADMINISTRATIVA, FINANCIERA Y CONTACT CENTER CON INTELIGENCIA ARTIFICIAL.</t>
        </is>
      </c>
      <c r="W81" s="5" t="str">
        <f>HYPERLINK("https://www.mercadopublico.cl/Procurement/Modules/Attachment/ViewAttachment.aspx?enc=5UQVF53TtMWp0Kgt0PS8t8IiZQbHMLEDSMttGZ7IUrVDLy3TR%2buCufDh7Xl85GlpeCRhOpkXrR%2fCVa3UwhcvXjxYaTlJ%2f3%2bawRZVr7huS%2bd%2b%2bVcDHVfpr6sfKQvNfdflurDLvyIVa%2fPQNJ05wtWSXU9GeGdgpSSM9uIoiNfdeuG3nsFt0tLgMGZlaa0JlTsv0gBZZmAieVh7qhzxvnkYiUMHgtqLK7IyqVvgbRBS6Us3%2btgIw9gIHu0uDCOeu4CIV%2faUm5Q5DkUqXQ32cWHwJU%2fpHAGw3K3t1GXhRRNylAvCo2AuJbmY4vZwoHQs%2bKy6","descargar bases")</f>
      </c>
    </row>
    <row r="82">
      <c r="A82" s="0" t="inlineStr">
        <is>
          <t xml:space="preserve">1810-5-L126</t>
        </is>
      </c>
      <c r="B82" s="4" t="inlineStr">
        <is>
          <t xml:space="preserve">SERVICIO DE PLAN DE DATOS PARA ENCUESTA ENE</t>
        </is>
      </c>
      <c r="C82" s="0" t="inlineStr">
        <is>
          <t xml:space="preserve">Publicada</t>
        </is>
      </c>
      <c r="D82" s="0" t="inlineStr">
        <is>
          <t xml:space="preserve">INSTITUTO NACIONAL DE ESTADISTICAS</t>
        </is>
      </c>
      <c r="E82" s="0" t="inlineStr">
        <is>
          <t xml:space="preserve">INE -  X Región</t>
        </is>
      </c>
      <c r="F82" s="0" t="inlineStr">
        <is>
          <t xml:space="preserve">Región de los Lagos </t>
        </is>
      </c>
      <c r="G82" s="0" t="inlineStr">
        <is>
          <t xml:space="preserve">Puerto Montt</t>
        </is>
      </c>
      <c r="H82" s="2">
        <v>46290.628692</v>
      </c>
      <c r="I82" s="2">
        <v>46301.625</v>
      </c>
      <c r="J82" s="0">
        <v>9</v>
      </c>
      <c r="K82" s="3">
        <v>1276800.0</v>
      </c>
      <c r="L82" s="0" t="inlineStr">
        <is>
          <t xml:space="preserve">CLP</t>
        </is>
      </c>
      <c r="M82" s="0" t="inlineStr">
        <is>
          <t xml:space="preserve">L1</t>
        </is>
      </c>
      <c r="N82" s="4" t="inlineStr">
        <is>
          <t xml:space="preserve">Tecnologías de la información, telecomunicaciones y radiodifusión / Software / Software de intercambio de información</t>
        </is>
      </c>
      <c r="O82" s="4" t="inlineStr">
        <is>
          <t xml:space="preserve">19 Unidad · Software de servicios de Internet por móvil</t>
        </is>
      </c>
      <c r="P82" s="2"/>
      <c r="Q82" s="2"/>
      <c r="R82" s="0"/>
      <c r="S82" s="0" t="inlineStr">
        <is>
          <t xml:space="preserve">No</t>
        </is>
      </c>
      <c r="T82" s="4"/>
      <c r="U82" s="0"/>
      <c r="V82" s="4" t="inlineStr">
        <is>
          <t xml:space="preserve">El Instituto Nacional de Estadísticas es un servicio público funcionalmente descentralizado, encargado de generar las estadísticas oficiales del país y de articular el Sistema Estadístico Nacional. En este contexto, se hace necesario contratar un servicio de planes de telefonía y datos móviles por un periodo de 12 meses, que permita asegurar la continuidad operativa del trabajo en terreno.</t>
        </is>
      </c>
      <c r="W82" s="5" t="str">
        <f>HYPERLINK("https://www.mercadopublico.cl/Procurement/Modules/Attachment/ViewAttachment.aspx?enc=3TQc4OqUCbDAIjkiegEp2uUxnWQvVvfYvBdKuW66nLAGjaWW0Clz0RrU8UQYWfhg2xrfXod8fPZxvTJKChnNKpGs5Sgcz%2bd7SMXxXBDFEuL53MbnhP64FTT5CcAR3tJWWZhntUKvKwO2l6LMNcdfFJlX%2fqyCteFiMJyUhppUn%2bA9Z3Pq7CixkUxJELRdgEoL%2bYuoY3o7aOhs1i9m1OMpRoLT4b2FdoTjqkvqt5RN%2bJPLT7rxp1ELyjfEK%2f0ISVYIvXekyaPRakJ%2fz4oJpIVtW0%2fVw1b21bN4hSswWT3%2bvHmkZHRW84%2f7IPkMN0%2bCpa%2fb","descargar bases")</f>
      </c>
    </row>
    <row r="83">
      <c r="A83" s="0" t="inlineStr">
        <is>
          <t xml:space="preserve">2080-309-LE26</t>
        </is>
      </c>
      <c r="B83" s="4" t="inlineStr">
        <is>
          <t xml:space="preserve">COMPRA ROLLOS PAPEL IMPRESORA TOTEM</t>
        </is>
      </c>
      <c r="C83" s="0" t="inlineStr">
        <is>
          <t xml:space="preserve">Publicada</t>
        </is>
      </c>
      <c r="D83" s="0" t="inlineStr">
        <is>
          <t xml:space="preserve">SERVICIO DE SALUD DEL LIBERTADOR B O'HIGGINS HOSPITAL REG RANCAGUA</t>
        </is>
      </c>
      <c r="E83" s="0" t="inlineStr">
        <is>
          <t xml:space="preserve">Hospital Regional Rancagua - HRR</t>
        </is>
      </c>
      <c r="F83" s="0" t="inlineStr">
        <is>
          <t xml:space="preserve">Región del Libertador General Bernardo O´Higgins</t>
        </is>
      </c>
      <c r="G83" s="0" t="inlineStr">
        <is>
          <t xml:space="preserve">Rancagua</t>
        </is>
      </c>
      <c r="H83" s="2">
        <v>46287.658183</v>
      </c>
      <c r="I83" s="2">
        <v>46301.625</v>
      </c>
      <c r="J83" s="0">
        <v>9</v>
      </c>
      <c r="K83" s="3"/>
      <c r="L83" s="0" t="inlineStr">
        <is>
          <t xml:space="preserve">CLP</t>
        </is>
      </c>
      <c r="M83" s="0" t="inlineStr">
        <is>
          <t xml:space="preserve">LE</t>
        </is>
      </c>
      <c r="N83" s="4" t="inlineStr">
        <is>
          <t xml:space="preserve">Productos de papel / Productos de papel / Papel de imprenta y escritura</t>
        </is>
      </c>
      <c r="O83" s="4" t="inlineStr">
        <is>
          <t xml:space="preserve">21432 Unidad · Rollos para télex</t>
        </is>
      </c>
      <c r="P83" s="2"/>
      <c r="Q83" s="2"/>
      <c r="R83" s="0" t="inlineStr">
        <is>
          <t xml:space="preserve">24 meses</t>
        </is>
      </c>
      <c r="S83" s="0" t="inlineStr">
        <is>
          <t xml:space="preserve">No</t>
        </is>
      </c>
      <c r="T83" s="4"/>
      <c r="U83" s="0" t="inlineStr">
        <is>
          <t xml:space="preserve">CAROLINA PEÑA PADILLA</t>
        </is>
      </c>
      <c r="V83" s="4" t="inlineStr">
        <is>
          <t xml:space="preserve">El objeto de esta Licitación es contar con una adecuada provisión de “COMPRA ROLLOS PAPEL IMPRESORA TOTEM” para el Hospital Dr. Franco Ravera Zunino, durante la vigencia del proceso.</t>
        </is>
      </c>
      <c r="W83" s="5" t="str">
        <f>HYPERLINK("https://www.mercadopublico.cl/Procurement/Modules/Attachment/ViewAttachment.aspx?enc=BfA7vf79FNOq41EDwT4YcO%2buhcfDjMwDll9DaBgQDQ3V8UVZKWPl49RLbUN6Hjcs5r8IDhQi5YAdnSQ7JOryMDbp5Tk1u%2f1VazxkSHr0OzCOhJdCapl85oKboxogs9rOEJkDvXa%2fsweIumvxlu8IBYJg8X1xqpN9mjb2pdYuPDL%2bUS6lOWuqudFTR%2bkK4BaLyX7MrJu6YBssHo6%2fehdG8MBuN6UPdUaZqtvLkh2u3I6sv%2bhvOUfD8MvnLu1tft1rJeWUAu3ykuueye%2bzCRV7Zp1IolQupThOu9QZLCRXZioymmKoy282urGVNzsGxdnc","descargar bases")</f>
      </c>
    </row>
    <row r="84">
      <c r="A84" s="0" t="inlineStr">
        <is>
          <t xml:space="preserve">2981-270-LE26</t>
        </is>
      </c>
      <c r="B84" s="4" t="inlineStr">
        <is>
          <t xml:space="preserve">ADQUISICIÓN DE 100 GPS TRACKER CON PLATAFORMA INTEGRADA GEOESPACIAL Y DE TRAZABILIDAD Y SU RESPECTIVO EQUIPAMIENTO EJECUCIÓN DEL PLAN CALLE SIN VIOLENCIA</t>
        </is>
      </c>
      <c r="C84" s="0" t="inlineStr">
        <is>
          <t xml:space="preserve">Publicada</t>
        </is>
      </c>
      <c r="D84" s="0" t="inlineStr">
        <is>
          <t xml:space="preserve">POLICIA DE INVESTIGACIONES DE CHILE</t>
        </is>
      </c>
      <c r="E84" s="0" t="inlineStr">
        <is>
          <t xml:space="preserve">DEPARTAMENTO ADMINISTRATIVO</t>
        </is>
      </c>
      <c r="F84" s="0" t="inlineStr">
        <is>
          <t xml:space="preserve">Región Metropolitana de Santiago</t>
        </is>
      </c>
      <c r="G84" s="0" t="inlineStr">
        <is>
          <t xml:space="preserve">Santiago Centro</t>
        </is>
      </c>
      <c r="H84" s="2">
        <v>46289.418947</v>
      </c>
      <c r="I84" s="2">
        <v>46301.625</v>
      </c>
      <c r="J84" s="0">
        <v>9</v>
      </c>
      <c r="K84" s="3">
        <v>26036596.0</v>
      </c>
      <c r="L84" s="0" t="inlineStr">
        <is>
          <t xml:space="preserve">CLP</t>
        </is>
      </c>
      <c r="M84" s="0" t="inlineStr">
        <is>
          <t xml:space="preserve">LE</t>
        </is>
      </c>
      <c r="N84" s="4" t="inlineStr">
        <is>
          <t xml:space="preserve">Muebles, accesorios, electrodomésticos y productos electrónicos / Equipos y accesorios audiovisuales / Equipos audiovisuales y de electrónica menor</t>
        </is>
      </c>
      <c r="O84" s="4" t="inlineStr">
        <is>
          <t xml:space="preserve">100 Unidad · Receptores GPS</t>
        </is>
      </c>
      <c r="P84" s="2"/>
      <c r="Q84" s="2"/>
      <c r="R84" s="0"/>
      <c r="S84" s="0" t="inlineStr">
        <is>
          <t xml:space="preserve">No</t>
        </is>
      </c>
      <c r="T84" s="4" t="inlineStr">
        <is>
          <t xml:space="preserve">SEGÚN ART. 51 DE RESOLEX N°794 DE 23.SEP.026, DEPADM</t>
        </is>
      </c>
      <c r="U84" s="0" t="inlineStr">
        <is>
          <t xml:space="preserve">DAYANA MORI GONZALEZ</t>
        </is>
      </c>
      <c r="V84" s="4" t="inlineStr">
        <is>
          <t xml:space="preserve">ADQUISICIÓN DE 100 GPS TRACKER CON PLATAFORMA INTEGRADA GEOESPACIAL Y DE TRAZABILIDAD Y SU RESPECTIVO EQUIPAMIENTO EJECUCIÓN DEL PLAN CALLE SIN VIOLENCIA</t>
        </is>
      </c>
      <c r="W84" s="5" t="str">
        <f>HYPERLINK("https://www.mercadopublico.cl/Procurement/Modules/Attachment/ViewAttachment.aspx?enc=ZLbzmMdiI8mol5EOxwTeoyei4jzuVFFhrWMjJjRzYvC4wqnuXUotkbHCTl5gvXsDF3d6Tu%2fVWSuGYEL71fJs1cDRQslWx3Lbz%2fHyTMrT2e9FsQPTA10KOyIURVyglsubjDMGHP7DyHlUxUzTMOmh%2f6PqHZyf5Z7BmuUE1SoJdDIEboEGrX1rQEb9RcLy1imV9S4udEya7PKvaDiRTBKxF1qV1ehleQS55ubWW7ecZsfliJU02NSN482%2bjQmfcOQpVqDknByGljmZ78cczfWihaGXubVb3oJd9pJpc16m%2fuJPxe%2fg1ea5efbZNm6Aor58","descargar bases")</f>
      </c>
    </row>
    <row r="85">
      <c r="A85" s="0" t="inlineStr">
        <is>
          <t xml:space="preserve">548874-77-LR26</t>
        </is>
      </c>
      <c r="B85" s="4" t="inlineStr">
        <is>
          <t xml:space="preserve">MANTENCIÓN Y MEJORA SISTEMA CIBERSEGURIDAD NCH ISO</t>
        </is>
      </c>
      <c r="C85" s="0" t="inlineStr">
        <is>
          <t xml:space="preserve">Publicada</t>
        </is>
      </c>
      <c r="D85" s="0" t="inlineStr">
        <is>
          <t xml:space="preserve">INSTITUTO DE PREVISION SOCIAL</t>
        </is>
      </c>
      <c r="E85" s="0" t="inlineStr">
        <is>
          <t xml:space="preserve">IPS Oficina Central de Compras</t>
        </is>
      </c>
      <c r="F85" s="0" t="inlineStr">
        <is>
          <t xml:space="preserve">Región Metropolitana de Santiago</t>
        </is>
      </c>
      <c r="G85" s="0" t="inlineStr">
        <is>
          <t xml:space="preserve">Santiago</t>
        </is>
      </c>
      <c r="H85" s="2">
        <v>46265.660069</v>
      </c>
      <c r="I85" s="2">
        <v>46301.625</v>
      </c>
      <c r="J85" s="0">
        <v>9</v>
      </c>
      <c r="K85" s="3">
        <v>11000.0</v>
      </c>
      <c r="L85" s="0" t="inlineStr">
        <is>
          <t xml:space="preserve">CLF</t>
        </is>
      </c>
      <c r="M85" s="0" t="inlineStr">
        <is>
          <t xml:space="preserve">LR</t>
        </is>
      </c>
      <c r="N85" s="4" t="inlineStr">
        <is>
          <t xml:space="preserve">Tecnologías de la información, telecomunicaciones y radiodifusión / Software / Software de seguridad y protección</t>
        </is>
      </c>
      <c r="O85" s="4" t="inlineStr">
        <is>
          <t xml:space="preserve">1 Global · Software de administración de red privada virtual (VPN) o de seguridad de red</t>
        </is>
      </c>
      <c r="P85" s="2"/>
      <c r="Q85" s="2"/>
      <c r="R85" s="0" t="inlineStr">
        <is>
          <t xml:space="preserve">24 meses</t>
        </is>
      </c>
      <c r="S85" s="0" t="inlineStr">
        <is>
          <t xml:space="preserve">No</t>
        </is>
      </c>
      <c r="T85" s="4" t="inlineStr">
        <is>
          <t xml:space="preserve">Ver bases punto 16</t>
        </is>
      </c>
      <c r="U85" s="0" t="inlineStr">
        <is>
          <t xml:space="preserve">por definir</t>
        </is>
      </c>
      <c r="V85" s="4" t="inlineStr">
        <is>
          <t xml:space="preserve">E1O2RT8 - SERVICIO DE MANTENCIÓN Y MEJORA DEL SISTEMA DE GESTIÓN DE SEGURIDAD DE LA INFORMACIÓN Y CIBERSEGURIDAD INSTITUCIONAL NCH ISOIEC 27001</t>
        </is>
      </c>
      <c r="W85" s="5" t="str">
        <f>HYPERLINK("https://www.mercadopublico.cl/Procurement/Modules/Attachment/ViewAttachment.aspx?enc=h4Gr0TyxHpA66tjf44ZBFzZXtA%2fRsmvv9NXvuu8tHmlw%2bK7JJBMdILU%2bafTR472QWHD%2f7cmc8NASYAllw3nu5FVwU%2bTtiCAcfHa1hFLZJHmB6eG4s%2fi3gE2gJxMIUugResTj%2fQwnTj%2fX62aPZo7feUUt97A9xJpzfMMIeWA8G2UTcgTXNQ5O5kKWVTvROMjSM%2fCLJwwy8Unq3YIpKdENvn8PRVV6Mur%2fw%2bervQV5VcVcJQcc%2bXh%2f7XcSpF5iEQbNLK%2faXNhOSmMpdZhJRq9QZJ6sQvYE%2bo%2fB%2fS1qdAj27UV3CDzfcb8vyJwv8OGICvPn","descargar bases")</f>
      </c>
    </row>
    <row r="86">
      <c r="A86" s="0" t="inlineStr">
        <is>
          <t xml:space="preserve">875-10-LE26</t>
        </is>
      </c>
      <c r="B86" s="4" t="inlineStr">
        <is>
          <t xml:space="preserve">SERV. DE INFORMACIÓN DE REMUNERACIONES PLATAFORMA</t>
        </is>
      </c>
      <c r="C86" s="0" t="inlineStr">
        <is>
          <t xml:space="preserve">Publicada</t>
        </is>
      </c>
      <c r="D86" s="0" t="inlineStr">
        <is>
          <t xml:space="preserve">AGENCIA DE PROMOCION DE LA INVERSION EXTRANJERA</t>
        </is>
      </c>
      <c r="E86" s="0" t="inlineStr">
        <is>
          <t xml:space="preserve">Agencia de Promoción de la Inversión Extranjera</t>
        </is>
      </c>
      <c r="F86" s="0" t="inlineStr">
        <is>
          <t xml:space="preserve">Región Metropolitana de Santiago</t>
        </is>
      </c>
      <c r="G86" s="0" t="inlineStr">
        <is>
          <t xml:space="preserve">Santiago</t>
        </is>
      </c>
      <c r="H86" s="2">
        <v>46287.665706</v>
      </c>
      <c r="I86" s="2">
        <v>46301.625</v>
      </c>
      <c r="J86" s="0">
        <v>9</v>
      </c>
      <c r="K86" s="3">
        <v>300.0</v>
      </c>
      <c r="L86" s="0" t="inlineStr">
        <is>
          <t xml:space="preserve">CLF</t>
        </is>
      </c>
      <c r="M86" s="0" t="inlineStr">
        <is>
          <t xml:space="preserve">LE</t>
        </is>
      </c>
      <c r="N86" s="4" t="inlineStr">
        <is>
          <t xml:space="preserve">Productos impresos y publicaciones / Medios impresos / Publicaciones impresas</t>
        </is>
      </c>
      <c r="O86" s="4" t="inlineStr">
        <is>
          <t xml:space="preserve">1 Unidad · Publicaciones periódicas</t>
        </is>
      </c>
      <c r="P86" s="2"/>
      <c r="Q86" s="2"/>
      <c r="R86" s="0" t="inlineStr">
        <is>
          <t xml:space="preserve">12 meses</t>
        </is>
      </c>
      <c r="S86" s="0" t="inlineStr">
        <is>
          <t xml:space="preserve">No</t>
        </is>
      </c>
      <c r="T86" s="4"/>
      <c r="U86" s="0" t="inlineStr">
        <is>
          <t xml:space="preserve">Ana Karina Duarte</t>
        </is>
      </c>
      <c r="V86" s="4" t="inlineStr">
        <is>
          <t xml:space="preserve">Servicio de información de remuneraciones y prácticas de compensación mediante plataforma tecnológica para InvestChile, por un período de 12 meses.</t>
        </is>
      </c>
      <c r="W86" s="5" t="str">
        <f>HYPERLINK("https://www.mercadopublico.cl/Procurement/Modules/Attachment/ViewAttachment.aspx?enc=DBeczNh1YA7qoitL5ZOOY5dIZ44aLfxig6Zf4Se6Yb%2fNQGlE57KZqn%2fJk9uha5ewVd%2fB23vptj0rqgXxshitZt6R4a%2bsA0R9%2fZJjZZLicrEuPue%2bBfDLCnzigWoav33OA1TX4js6Rl0a3L89jYve5Dia07K%2f%2bQw8MEO%2fCxFQCWdHz69wSvbmvSf3WN9YKh8egiSC7JWas8RwIOSAEcVaANCqcOB5iLJf03utYy%2b68SBplE4HGdikdZ73aXAJhe4U07fy%2b1SAfO9lLLANxMIjsdBWJGF0Rv98cE9BlMJ%2baFFgTZjiY91%2bJFfRVL7wd%2f4u","descargar bases")</f>
      </c>
    </row>
    <row r="87">
      <c r="A87" s="0" t="inlineStr">
        <is>
          <t xml:space="preserve">425-67-LE26</t>
        </is>
      </c>
      <c r="B87" s="4" t="inlineStr">
        <is>
          <t xml:space="preserve">Software de seguridad extendida y Ciberdefensa</t>
        </is>
      </c>
      <c r="C87" s="0" t="inlineStr">
        <is>
          <t xml:space="preserve">Publicada</t>
        </is>
      </c>
      <c r="D87" s="0" t="inlineStr">
        <is>
          <t xml:space="preserve">CORP ADMINISTRATIVA DEL PODER JUDICIAL</t>
        </is>
      </c>
      <c r="E87" s="0" t="inlineStr">
        <is>
          <t xml:space="preserve">Servicios</t>
        </is>
      </c>
      <c r="F87" s="0" t="inlineStr">
        <is>
          <t xml:space="preserve">Región Metropolitana de Santiago</t>
        </is>
      </c>
      <c r="G87" s="0" t="inlineStr">
        <is>
          <t xml:space="preserve">Santiago Centro</t>
        </is>
      </c>
      <c r="H87" s="2">
        <v>46289.705463</v>
      </c>
      <c r="I87" s="2">
        <v>46301.666667</v>
      </c>
      <c r="J87" s="0">
        <v>9</v>
      </c>
      <c r="K87" s="3"/>
      <c r="L87" s="0" t="inlineStr">
        <is>
          <t xml:space="preserve">USD</t>
        </is>
      </c>
      <c r="M87" s="0" t="inlineStr">
        <is>
          <t xml:space="preserve">LE</t>
        </is>
      </c>
      <c r="N87" s="4" t="inlineStr">
        <is>
          <t xml:space="preserve">Tecnologías de la información, telecomunicaciones y radiodifusión / Software / Software de seguridad y protección</t>
        </is>
      </c>
      <c r="O87" s="4" t="inlineStr">
        <is>
          <t xml:space="preserve">1 Unidad · Software de equipos de red privada virtual (VPN) o de seguridad de red</t>
        </is>
      </c>
      <c r="P87" s="2"/>
      <c r="Q87" s="2"/>
      <c r="R87" s="0" t="inlineStr">
        <is>
          <t xml:space="preserve">12 meses</t>
        </is>
      </c>
      <c r="S87" s="0" t="inlineStr">
        <is>
          <t xml:space="preserve">No</t>
        </is>
      </c>
      <c r="T87" s="4"/>
      <c r="U87" s="0" t="inlineStr">
        <is>
          <t xml:space="preserve">Jorge Quezada</t>
        </is>
      </c>
      <c r="V87"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87" s="5" t="str">
        <f>HYPERLINK("https://www.mercadopublico.cl/Procurement/Modules/Attachment/ViewAttachment.aspx?enc=1lUjTo96iko7A4LrznvLFGAiKsSVJ6ZdwniyeDXj%2fMCLPXF9vVQ1fP7cVoXOHUakKTEwANENvJ4wRvQQKTrXZgI1PW4eXZt7eQjcoLQUs%2fjJT5h5q8g5UXBRX4bT%2f5YIH86GO0zA4O9RyTz9SUyP3%2fKGz3vh1UFGwAGrVc2ZE5tinudFFontXsC53dNMWndAxLKPfs%2f8FHRuIVvC9koHzq%2bS9bYARtt7ZPDjq9a6kn3mrR4K8kexGu65etXhusjBgRvMEaeq3BdAEPAnhcIOH9MXRfl7Q5d%2bVSH1%2bjh9cXlC1AEWGDTDEMImQTQsN%2b9Z","descargar bases")</f>
      </c>
    </row>
    <row r="88">
      <c r="A88" s="0" t="inlineStr">
        <is>
          <t xml:space="preserve">1051173-13-LP26</t>
        </is>
      </c>
      <c r="B88" s="4" t="inlineStr">
        <is>
          <t xml:space="preserve">SERVICIO DE INFRAESTRUCTURA EN LA NUBE</t>
        </is>
      </c>
      <c r="C88" s="0" t="inlineStr">
        <is>
          <t xml:space="preserve">Publicada</t>
        </is>
      </c>
      <c r="D88" s="0" t="inlineStr">
        <is>
          <t xml:space="preserve">MINISTERIO SECRETARIA GENERAL DE LA PRESIDENCIA DE LA REPUBLICA</t>
        </is>
      </c>
      <c r="E88" s="0" t="inlineStr">
        <is>
          <t xml:space="preserve">Ministerio Secretaria General de la Presidencia</t>
        </is>
      </c>
      <c r="F88" s="0" t="inlineStr">
        <is>
          <t xml:space="preserve">Región Metropolitana de Santiago</t>
        </is>
      </c>
      <c r="G88" s="0" t="inlineStr">
        <is>
          <t xml:space="preserve">Santiago</t>
        </is>
      </c>
      <c r="H88" s="2">
        <v>46280.539583</v>
      </c>
      <c r="I88" s="2">
        <v>46301.729167</v>
      </c>
      <c r="J88" s="0">
        <v>9</v>
      </c>
      <c r="K88" s="3"/>
      <c r="L88" s="0" t="inlineStr">
        <is>
          <t xml:space="preserve">CLP</t>
        </is>
      </c>
      <c r="M88" s="0" t="inlineStr">
        <is>
          <t xml:space="preserve">LP</t>
        </is>
      </c>
      <c r="N88" s="4" t="inlineStr">
        <is>
          <t xml:space="preserve">Servicios basados en ingeniería, ciencias sociales y tecnología de la información / Servicios informáticos / Servicios de datos</t>
        </is>
      </c>
      <c r="O88" s="4" t="inlineStr">
        <is>
          <t xml:space="preserve">1 Unidad no definida · Centro de servicios de datos</t>
        </is>
      </c>
      <c r="P88" s="2"/>
      <c r="Q88" s="2"/>
      <c r="R88" s="0" t="inlineStr">
        <is>
          <t xml:space="preserve">14 meses</t>
        </is>
      </c>
      <c r="S88" s="0" t="inlineStr">
        <is>
          <t xml:space="preserve">No</t>
        </is>
      </c>
      <c r="T88" s="4" t="inlineStr">
        <is>
          <t xml:space="preserve">Atendida la naturaleza de la contratación, no se admitirá la subcontratación.</t>
        </is>
      </c>
      <c r="U88" s="0" t="inlineStr">
        <is>
          <t xml:space="preserve">Jorge Romero Vargas</t>
        </is>
      </c>
      <c r="V88"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88" s="5" t="str">
        <f>HYPERLINK("https://www.mercadopublico.cl/Procurement/Modules/Attachment/ViewAttachment.aspx?enc=O8AbiFoySXKjmLJUP64i5PZ%2fYTZQhKH9hS4qtSiIJt5T%2fZM%2foIBViJp%2f53HqKzrNrA38frown1QoVjIHHiO6OCpaarI2qvvRqHegIXANz6xaSzdOsdBZPSOUA5JDqygIizf2Uu0jXz6ltSC7LE0RdWfdyeqY%2b9kEhtxstk5xlZt6t%2bYKCe%2bXXQWUgMTsy2ucroSrKPjDXGUhYnXi8xF1yvqowLs2uuR0anuWue5tI0zgfE%2bgnKONTqn%2fqRE3nksuM4gAmWd1mvTRCu%2bC0s6KF5BpuqivDF0glH%2b%2bCK8Opx7S3sh%2fSi7xWqZR%2fEKQJGAp","descargar bases")</f>
      </c>
    </row>
    <row r="89">
      <c r="A89" s="0" t="inlineStr">
        <is>
          <t xml:space="preserve">4024-29-LE26</t>
        </is>
      </c>
      <c r="B89" s="4" t="inlineStr">
        <is>
          <t xml:space="preserve">Modernización del Gimnasio Municipal Héctor Aqueveque Aránguiz”</t>
        </is>
      </c>
      <c r="C89" s="0" t="inlineStr">
        <is>
          <t xml:space="preserve">Publicada</t>
        </is>
      </c>
      <c r="D89" s="0" t="inlineStr">
        <is>
          <t xml:space="preserve">ILUSTRE MUNICIPALIDAD DE SAN CARLOS</t>
        </is>
      </c>
      <c r="E89" s="0" t="inlineStr">
        <is>
          <t xml:space="preserve">CONTRATACION DE OBRAS, PROYECTOS Y CONCESIONES </t>
        </is>
      </c>
      <c r="F89" s="0" t="inlineStr">
        <is>
          <t xml:space="preserve">Región del Ñuble</t>
        </is>
      </c>
      <c r="G89" s="0" t="inlineStr">
        <is>
          <t xml:space="preserve">San Carlos</t>
        </is>
      </c>
      <c r="H89" s="2">
        <v>46279.717176</v>
      </c>
      <c r="I89" s="2">
        <v>46301.83125</v>
      </c>
      <c r="J89" s="0">
        <v>9</v>
      </c>
      <c r="K89" s="3">
        <v>35706840.0</v>
      </c>
      <c r="L89" s="0" t="inlineStr">
        <is>
          <t xml:space="preserve">CLP</t>
        </is>
      </c>
      <c r="M89" s="0" t="inlineStr">
        <is>
          <t xml:space="preserve">LE</t>
        </is>
      </c>
      <c r="N89" s="4" t="inlineStr">
        <is>
          <t xml:space="preserve">Artículos para estructuras, obras y construcciones / Pavimento para carreteras y caminos / Asfaltos</t>
        </is>
      </c>
      <c r="O89" s="4" t="inlineStr">
        <is>
          <t xml:space="preserve">1 Unidad · Asfalto</t>
        </is>
      </c>
      <c r="P89" s="2"/>
      <c r="Q89" s="2"/>
      <c r="R89" s="0" t="inlineStr">
        <is>
          <t xml:space="preserve">70 días</t>
        </is>
      </c>
      <c r="S89" s="0" t="inlineStr">
        <is>
          <t xml:space="preserve">No</t>
        </is>
      </c>
      <c r="T89" s="4"/>
      <c r="U89" s="0" t="inlineStr">
        <is>
          <t xml:space="preserve">FRANCISCO CONTRERAS SALINAS</t>
        </is>
      </c>
      <c r="V89"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89" s="5" t="str">
        <f>HYPERLINK("https://www.mercadopublico.cl/Procurement/Modules/Attachment/ViewAttachment.aspx?enc=xpiIijxjdqKzYRRpqgN0b865k%2bDnszo1mmPh0%2bdjY2G2v%2bUFCMBm6PJjs2MGXvTEN4IflvsLXczgKz43pPT4MWT59ZMn6AFfVW6NVTB9dUxY65wzfqB3XsEwsHG7sYzxSLanbToOr3axzEomcQlQl3q0%2fi1W4TRArr8poMYrL9MAKCveSK2fTC0gYoKj6nhnL45SYfhpsasTeY5arltlBhwyoNpTgM0iuvNiIGM0MefMBUVYRXJj6L3k7MpYUFPQ5RR7g9gbZ2lh1MsMXfxrdWKskWk0FYqVU8rGtP4juOlsZdq3ydaOOoLfNf7qce8S","descargar bases")</f>
      </c>
    </row>
    <row r="90">
      <c r="A90" s="0" t="inlineStr">
        <is>
          <t xml:space="preserve">1562-63-LP26</t>
        </is>
      </c>
      <c r="B90" s="4" t="inlineStr">
        <is>
          <t xml:space="preserve">ELABORACIÓN DE LA PLATAFORMA PÚBLICA MINERA</t>
        </is>
      </c>
      <c r="C90" s="0" t="inlineStr">
        <is>
          <t xml:space="preserve">Publicada</t>
        </is>
      </c>
      <c r="D90" s="0" t="inlineStr">
        <is>
          <t xml:space="preserve">SERVICIO NACIONAL DE GEOLOGIA Y MINERIA</t>
        </is>
      </c>
      <c r="E90" s="0" t="inlineStr">
        <is>
          <t xml:space="preserve">Servicio Nacional de Geología y Minería</t>
        </is>
      </c>
      <c r="F90" s="0" t="inlineStr">
        <is>
          <t xml:space="preserve">Región Metropolitana de Santiago</t>
        </is>
      </c>
      <c r="G90" s="0" t="inlineStr">
        <is>
          <t xml:space="preserve">Providencia</t>
        </is>
      </c>
      <c r="H90" s="2">
        <v>46281.707639</v>
      </c>
      <c r="I90" s="2">
        <v>46302.5</v>
      </c>
      <c r="J90" s="0">
        <v>10</v>
      </c>
      <c r="K90" s="3">
        <v>165000000.0</v>
      </c>
      <c r="L90" s="0" t="inlineStr">
        <is>
          <t xml:space="preserve">CLP</t>
        </is>
      </c>
      <c r="M90" s="0" t="inlineStr">
        <is>
          <t xml:space="preserve">LP</t>
        </is>
      </c>
      <c r="N90" s="4" t="inlineStr">
        <is>
          <t xml:space="preserve">Tecnologías de la información, telecomunicaciones y radiodifusión / Software / Programas de desarrollo</t>
        </is>
      </c>
      <c r="O90" s="4" t="inlineStr">
        <is>
          <t xml:space="preserve">1 Global · Software de desarrollo de plataforma Web</t>
        </is>
      </c>
      <c r="P90" s="2"/>
      <c r="Q90" s="2"/>
      <c r="R90" s="0" t="inlineStr">
        <is>
          <t xml:space="preserve">2 meses</t>
        </is>
      </c>
      <c r="S90" s="0" t="inlineStr">
        <is>
          <t xml:space="preserve">No</t>
        </is>
      </c>
      <c r="T90" s="4"/>
      <c r="U90" s="0" t="inlineStr">
        <is>
          <t xml:space="preserve">PHILIPE CARLIER PIZZULIC</t>
        </is>
      </c>
      <c r="V90"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90" s="5" t="str">
        <f>HYPERLINK("https://www.mercadopublico.cl/Procurement/Modules/Attachment/ViewAttachment.aspx?enc=Z8WLc3rUqTENShuANDU3eZxsu78H%2fqdvo8l7rURm9mOnxX1RSZOGM%2fDx6PQnOTXSlc%2fjG0NFyuY2wO1cV1DWSwofp1ew9OjiVZPpqOtquFXY6Rw0VY8Bx4G7OMtnM6ioqQrqR3cxz7yLa5BJIKfhLLpbaSxr5vAtl32aHFG6PTsoKY5tRu5zGACSaidFrsAUw%2bozrt1nITNHI%2fNIg7iFs0Zw4OZLaX9ap7wdSzjvlD3I9YwlGRChkHcKHz4%2bEwyBUkk%2byT%2fKdFBkDwz3aJ2YXqPDk4iR01upF22xagBxZUVYMFyI3GPkRyl6FVDHao2x","descargar bases")</f>
      </c>
    </row>
    <row r="91">
      <c r="A91" s="0" t="inlineStr">
        <is>
          <t xml:space="preserve">4112-27-LE26</t>
        </is>
      </c>
      <c r="B91" s="4" t="inlineStr">
        <is>
          <t xml:space="preserve">“ADQUISICIÓN DE LICENCIAS DE SOFTWARE”</t>
        </is>
      </c>
      <c r="C91" s="0" t="inlineStr">
        <is>
          <t xml:space="preserve">Publicada</t>
        </is>
      </c>
      <c r="D91" s="0" t="inlineStr">
        <is>
          <t xml:space="preserve">I MUNICIPALIDAD DE CURACAUTIN</t>
        </is>
      </c>
      <c r="E91" s="0" t="inlineStr">
        <is>
          <t xml:space="preserve">DIRECCION DE FINANZAS</t>
        </is>
      </c>
      <c r="F91" s="0" t="inlineStr">
        <is>
          <t xml:space="preserve">Región de la Araucanía </t>
        </is>
      </c>
      <c r="G91" s="0"/>
      <c r="H91" s="2">
        <v>46282.473183</v>
      </c>
      <c r="I91" s="2">
        <v>46302.645833</v>
      </c>
      <c r="J91" s="0">
        <v>10</v>
      </c>
      <c r="K91" s="3"/>
      <c r="L91" s="0" t="inlineStr">
        <is>
          <t xml:space="preserve">CLP</t>
        </is>
      </c>
      <c r="M91" s="0" t="inlineStr">
        <is>
          <t xml:space="preserve">LE</t>
        </is>
      </c>
      <c r="N91"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91" s="4" t="inlineStr">
        <is>
          <t xml:space="preserve">1 Unidad · Diseño por computador · 1 Unidad · Software de gestión de licencias · 1 Unidad · Software de video conferencia</t>
        </is>
      </c>
      <c r="P91" s="2"/>
      <c r="Q91" s="2"/>
      <c r="R91" s="0"/>
      <c r="S91" s="0" t="inlineStr">
        <is>
          <t xml:space="preserve">No</t>
        </is>
      </c>
      <c r="T91" s="4"/>
      <c r="U91" s="0" t="inlineStr">
        <is>
          <t xml:space="preserve">FELIPE OBREQUE</t>
        </is>
      </c>
      <c r="V91"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91" s="5" t="str">
        <f>HYPERLINK("https://www.mercadopublico.cl/Procurement/Modules/Attachment/ViewAttachment.aspx?enc=Tfbsa26YwsiK%2fbqD4WhlJM6OuwwsOUUeOMhxA8e7AVKIf8D2DnSMk%2b2SWN1hi9olm74%2b%2b0LiBLLL50GL4S8ZBnFmjtT1xj60VLien8ZXxoFPLwLmEGkDhON%2bAe0UoRtLd7rOcNl%2fa5Wxci86xFEFJ%2bbpSkOOcQUr4l%2fit4%2fTtDC0GsqksWIkcQ472xXQqdZzX6MFne947cT8eQd1%2bmVjgfAD04XNvMsvP8sEMNPRb5veAtX2hTtjvCESj4uHrMxyGeYY4ru9nmm8BvTl%2f0Kzfvh0sVcI1YKzfcsu4LrnMT6Z5AtDE4Jq0Uk45kZ0OJvX","descargar bases")</f>
      </c>
    </row>
    <row r="92">
      <c r="A92" s="0" t="inlineStr">
        <is>
          <t xml:space="preserve">1002-84-LP26</t>
        </is>
      </c>
      <c r="B92" s="4" t="inlineStr">
        <is>
          <t xml:space="preserve">ADQUISICION DE TABLERO DE MADERA PRESERVADA CON HERRAJE</t>
        </is>
      </c>
      <c r="C92" s="0" t="inlineStr">
        <is>
          <t xml:space="preserve">Publicada</t>
        </is>
      </c>
      <c r="D92" s="0" t="inlineStr">
        <is>
          <t xml:space="preserve">MINISTERIO DE OBRAS PUBLICAS DIREC CION GRAL DE OO PP DCYF</t>
        </is>
      </c>
      <c r="E92" s="0" t="inlineStr">
        <is>
          <t xml:space="preserve">Dirección de Vialidad - X Región - Dirección Regional</t>
        </is>
      </c>
      <c r="F92" s="0" t="inlineStr">
        <is>
          <t xml:space="preserve">Región de los Lagos </t>
        </is>
      </c>
      <c r="G92" s="0" t="inlineStr">
        <is>
          <t xml:space="preserve">Puerto Montt</t>
        </is>
      </c>
      <c r="H92" s="2">
        <v>46287.611759</v>
      </c>
      <c r="I92" s="2">
        <v>46303.583333</v>
      </c>
      <c r="J92" s="0">
        <v>11</v>
      </c>
      <c r="K92" s="3"/>
      <c r="L92" s="0" t="inlineStr">
        <is>
          <t xml:space="preserve">CLP</t>
        </is>
      </c>
      <c r="M92" s="0" t="inlineStr">
        <is>
          <t xml:space="preserve">LP</t>
        </is>
      </c>
      <c r="N92" s="4" t="inlineStr">
        <is>
          <t xml:space="preserve">Artículos para estructuras, obras y construcciones / Materiales estructurales básicos / Productos estructurales</t>
        </is>
      </c>
      <c r="O92" s="4" t="inlineStr">
        <is>
          <t xml:space="preserve">1 Unidad · Vigas de madera</t>
        </is>
      </c>
      <c r="P92" s="2"/>
      <c r="Q92" s="2"/>
      <c r="R92" s="0"/>
      <c r="S92" s="0" t="inlineStr">
        <is>
          <t xml:space="preserve">No</t>
        </is>
      </c>
      <c r="T92" s="4" t="inlineStr">
        <is>
          <t xml:space="preserve">La Empresa adjudicada no puede traspasar a Terceros la responsabilidad del suministro de los productos ofertados.</t>
        </is>
      </c>
      <c r="U92" s="0" t="inlineStr">
        <is>
          <t xml:space="preserve">FERNANDA NUÑEZ JORQUERA</t>
        </is>
      </c>
      <c r="V92" s="4" t="inlineStr">
        <is>
          <t xml:space="preserve">Destinado a la reposición del tablero del puente Maicolpue, ubicado en el Sector Maicolpue, comuna de San Juan de la Costa, provincia de Osorno</t>
        </is>
      </c>
      <c r="W92" s="5" t="str">
        <f>HYPERLINK("https://www.mercadopublico.cl/Procurement/Modules/Attachment/ViewAttachment.aspx?enc=fyGeSVgSeLbRZqm0Xka8gMHykfUIX4p2caBXB0WudL7E7FnlGFDdBcCzQsRkR2wdZfF5S%2bjWqxIAjGottMk5gZN6Afrd1FduVxS7HdJV9QBEsJFQk388zso20r85ZVgoPmNFVwq9XncAnEUx4OvJunGhf5fiimytImIOIqaqQFEAyCzgaMtC6F5W4XOKTXUZN05BS3UiW8CeK16pqipwIBNO%2fX2nBCcNVAJjE3zGNkmAHv22TiMyCNGf8W2uhO0rn9SJQ9aohKU8BRhpUdk8qdZHEx2hYc5YWsgtlFRA8jTCmRu7PGyW2Bc86%2bIXXE82","descargar bases")</f>
      </c>
    </row>
    <row r="93">
      <c r="A93" s="0" t="inlineStr">
        <is>
          <t xml:space="preserve">5394-22-LE26</t>
        </is>
      </c>
      <c r="B93" s="4" t="inlineStr">
        <is>
          <t xml:space="preserve">SERVICIO DE CONSULTORÍA DE CIBERSEGURIDAD UMAG</t>
        </is>
      </c>
      <c r="C93" s="0" t="inlineStr">
        <is>
          <t xml:space="preserve">Publicada</t>
        </is>
      </c>
      <c r="D93" s="0" t="inlineStr">
        <is>
          <t xml:space="preserve">UNIVERSIDAD DE MAGALLANES</t>
        </is>
      </c>
      <c r="E93" s="0" t="inlineStr">
        <is>
          <t xml:space="preserve">PROYECTOS CON TERCEROS (D/583)</t>
        </is>
      </c>
      <c r="F93" s="0" t="inlineStr">
        <is>
          <t xml:space="preserve">Región de Magallanes y de la Antártica</t>
        </is>
      </c>
      <c r="G93" s="0" t="inlineStr">
        <is>
          <t xml:space="preserve">Punta Arenas</t>
        </is>
      </c>
      <c r="H93" s="2">
        <v>46274.672222</v>
      </c>
      <c r="I93" s="2">
        <v>46303.625</v>
      </c>
      <c r="J93" s="0">
        <v>11</v>
      </c>
      <c r="K93" s="3">
        <v>20000000.0</v>
      </c>
      <c r="L93" s="0" t="inlineStr">
        <is>
          <t xml:space="preserve">CLP</t>
        </is>
      </c>
      <c r="M93" s="0" t="inlineStr">
        <is>
          <t xml:space="preserve">LE</t>
        </is>
      </c>
      <c r="N93" s="4" t="inlineStr">
        <is>
          <t xml:space="preserve">Servicios profesionales, administrativos y consultorías de gestión empresarial / Consultorías o asesorías en gestión empresarial / Servicios de consultoría en gestión de empresas</t>
        </is>
      </c>
      <c r="O93" s="4" t="inlineStr">
        <is>
          <t xml:space="preserve">1 Global · Asesorías Informáticas</t>
        </is>
      </c>
      <c r="P93" s="2"/>
      <c r="Q93" s="2"/>
      <c r="R93" s="0" t="inlineStr">
        <is>
          <t xml:space="preserve">12 semanas</t>
        </is>
      </c>
      <c r="S93" s="0" t="inlineStr">
        <is>
          <t xml:space="preserve">No</t>
        </is>
      </c>
      <c r="T93" s="4" t="inlineStr">
        <is>
          <t xml:space="preserve">9. SUBCONTRATACION
Por la naturaleza de los servicios, no se permite la subcontratación en la presente licitación.</t>
        </is>
      </c>
      <c r="U93" s="0" t="inlineStr">
        <is>
          <t xml:space="preserve">UNIDAD ABASTECIMIENTO</t>
        </is>
      </c>
      <c r="V93"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93" s="5" t="str">
        <f>HYPERLINK("https://www.mercadopublico.cl/Procurement/Modules/Attachment/ViewAttachment.aspx?enc=8Z5m8t6NxdycXPnMqOGXMA0naaQp%2bXZ1ntlo4PxHQog8NDhqDcQjVwiaC5ZDSlwQKVwcHJdclT24q2yaeuEheIlCOTvIPtxLmWIioePOOObIBp5A6U1QJ2vvdG0H0TJfAnmXZ3h7GDsDZR%2f85rTxpJJT50qGXh58bI2jbPZO%2f36S0U2LmC9tPAHcEvoVnQw1HK1CPNOujh8N0ZyiElNcV6%2bVliUHVgasA1mzYdivCfptrHMIrk66W0kXn1hxD3q7Hfpb8KtQyVZXJoZfIibsPUBDefROrSa451V0URuipl%2b9AjUk%2bbuWrFMyUYEgTbDy","descargar bases")</f>
      </c>
    </row>
    <row r="94">
      <c r="A94" s="0" t="inlineStr">
        <is>
          <t xml:space="preserve">1605-36-LR26</t>
        </is>
      </c>
      <c r="B94" s="4" t="inlineStr">
        <is>
          <t xml:space="preserve">LR-4252 Servicio de Red Datos WAN</t>
        </is>
      </c>
      <c r="C94" s="0" t="inlineStr">
        <is>
          <t xml:space="preserve">Publicada</t>
        </is>
      </c>
      <c r="D94" s="0" t="inlineStr">
        <is>
          <t xml:space="preserve">SERVICIO DE IMPUESTOS INTERNOS DIRECCION</t>
        </is>
      </c>
      <c r="E94" s="0" t="inlineStr">
        <is>
          <t xml:space="preserve">SII Dirección Nacional</t>
        </is>
      </c>
      <c r="F94" s="0" t="inlineStr">
        <is>
          <t xml:space="preserve">Región Metropolitana de Santiago</t>
        </is>
      </c>
      <c r="G94" s="0" t="inlineStr">
        <is>
          <t xml:space="preserve">Santiago</t>
        </is>
      </c>
      <c r="H94" s="2">
        <v>46195.661111</v>
      </c>
      <c r="I94" s="2">
        <v>46303.666667</v>
      </c>
      <c r="J94" s="0">
        <v>11</v>
      </c>
      <c r="K94" s="3">
        <v>232851.0</v>
      </c>
      <c r="L94" s="0" t="inlineStr">
        <is>
          <t xml:space="preserve">CLF</t>
        </is>
      </c>
      <c r="M94" s="0" t="inlineStr">
        <is>
          <t xml:space="preserve">LR</t>
        </is>
      </c>
      <c r="N94" s="4" t="inlineStr">
        <is>
          <t xml:space="preserve">Servicios basados en ingeniería, ciencias sociales y tecnología de la información / Servicios informáticos / Servicios para internet</t>
        </is>
      </c>
      <c r="O94" s="4" t="inlineStr">
        <is>
          <t xml:space="preserve">72 Mes · Proveedores de servicio de Internet (ISP) · 72 Mes · Proveedores de servicio de Internet (ISP)</t>
        </is>
      </c>
      <c r="P94" s="2"/>
      <c r="Q94" s="2"/>
      <c r="R94" s="0" t="inlineStr">
        <is>
          <t xml:space="preserve">72 meses</t>
        </is>
      </c>
      <c r="S94" s="0" t="inlineStr">
        <is>
          <t xml:space="preserve">No</t>
        </is>
      </c>
      <c r="T94" s="4"/>
      <c r="U94" s="0" t="inlineStr">
        <is>
          <t xml:space="preserve">Luis Venegas</t>
        </is>
      </c>
      <c r="V94"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94" s="5" t="str">
        <f>HYPERLINK("https://www.mercadopublico.cl/Procurement/Modules/Attachment/ViewAttachment.aspx?enc=Ro3FcIEnSwUngTMloX81XQ0Fh2lLX2%2fdNPHjv4%2bP51FhQDZl3fJFAy7g1Y6bdgHaf51lSfDZb8GOvLU8vA6wzGBD%2f%2fAWJC6WzvFJWKg1xe9LZxKLTPtund82mMh7j5wUet4SDd5miVaNtLhk0VzrME65CuPptdT0mA05K%2fzlwsM%2fhz%2brNrUfiVf9HRV86x4s6%2f51onGQyPn4bxfI8p9GTRDEgXakLFdxAfnnFhuiNI2IqzMTFslYz9JzORaTO4RkWDRu3WuMBV4cRizSQOtHOA0hEIS5wInnXTD7BYVJ%2b%2bq8szRVWuccgltBX2mo8OMr","descargar bases")</f>
      </c>
    </row>
    <row r="95">
      <c r="A95" s="0" t="inlineStr">
        <is>
          <t xml:space="preserve">1051173-14-LE26</t>
        </is>
      </c>
      <c r="B95" s="4" t="inlineStr">
        <is>
          <t xml:space="preserve">SERVICIO DE ENLACE DE DATOS DE RESPALDO</t>
        </is>
      </c>
      <c r="C95" s="0" t="inlineStr">
        <is>
          <t xml:space="preserve">Publicada</t>
        </is>
      </c>
      <c r="D95" s="0" t="inlineStr">
        <is>
          <t xml:space="preserve">MINISTERIO SECRETARIA GENERAL DE LA PRESIDENCIA DE LA REPUBLICA</t>
        </is>
      </c>
      <c r="E95" s="0" t="inlineStr">
        <is>
          <t xml:space="preserve">Ministerio Secretaria General de la Presidencia</t>
        </is>
      </c>
      <c r="F95" s="0" t="inlineStr">
        <is>
          <t xml:space="preserve">Región Metropolitana de Santiago</t>
        </is>
      </c>
      <c r="G95" s="0" t="inlineStr">
        <is>
          <t xml:space="preserve">Santiago</t>
        </is>
      </c>
      <c r="H95" s="2">
        <v>46287.63625</v>
      </c>
      <c r="I95" s="2">
        <v>46303.729167</v>
      </c>
      <c r="J95" s="0">
        <v>11</v>
      </c>
      <c r="K95" s="3"/>
      <c r="L95" s="0" t="inlineStr">
        <is>
          <t xml:space="preserve">CLF</t>
        </is>
      </c>
      <c r="M95" s="0" t="inlineStr">
        <is>
          <t xml:space="preserve">LE</t>
        </is>
      </c>
      <c r="N95" s="4" t="inlineStr">
        <is>
          <t xml:space="preserve">Tecnologías de la información, telecomunicaciones y radiodifusión / Equipos, plataformas y accesorios de redes multimedia, voz y datos / Equipos de servicio de red</t>
        </is>
      </c>
      <c r="O95" s="4" t="inlineStr">
        <is>
          <t xml:space="preserve">1 Unidad no definida · Unidades de servicio de datos o canales de red</t>
        </is>
      </c>
      <c r="P95" s="2"/>
      <c r="Q95" s="2"/>
      <c r="R95" s="0" t="inlineStr">
        <is>
          <t xml:space="preserve">27 meses</t>
        </is>
      </c>
      <c r="S95" s="0" t="inlineStr">
        <is>
          <t xml:space="preserve">No</t>
        </is>
      </c>
      <c r="T95" s="4" t="inlineStr">
        <is>
          <t xml:space="preserve">El proveedor adjudicado no podrá subcontratar totalmente los servicios licitados.
No obstante, previa autorización del Ministerio, el proveedor adjudicado podrá concertar con terceros la subcontratación parcial del contrato.</t>
        </is>
      </c>
      <c r="U95" s="0" t="inlineStr">
        <is>
          <t xml:space="preserve">Jorge Romero Vargas</t>
        </is>
      </c>
      <c r="V95"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95" s="5" t="str">
        <f>HYPERLINK("https://www.mercadopublico.cl/Procurement/Modules/Attachment/ViewAttachment.aspx?enc=clrI18MIX1kGLmEFI%2f61UgZdDg8B%2fhuXaRnSUXC74MSgNBXAtaXZHstQAmtj8lFZ%2fUiK0zSWmMPQaWkDbsWU9rYnPhHKMseTFAwu91h5ZkRIsOPG3gm6vzIqP9jGdDQQT1snw%2f9Qbq2f38eHNdIOeYqYMuPAMbeMVetsNfhWYwZI48s63yLBSBAyn3IdphRYEESgA%2f9sjpXEtIcsWW9b15%2ba9iJL79n9Xp7eL7Q9KbP5%2bcKuuYj8eQ9A1HDV1P%2fymquHYUMIXXWiuZP2cU%2bE8dWWZK3VJVUoSxaUyjdwjNSsLBtSDaEfgbJwwHyoq%2fI9","descargar bases")</f>
      </c>
    </row>
    <row r="96">
      <c r="A96" s="0" t="inlineStr">
        <is>
          <t xml:space="preserve">976-15-O126</t>
        </is>
      </c>
      <c r="B96" s="4" t="inlineStr">
        <is>
          <t xml:space="preserve">Ampliación Plataformas Comercial y General Ad. El Loa</t>
        </is>
      </c>
      <c r="C96" s="0" t="inlineStr">
        <is>
          <t xml:space="preserve">Publicada</t>
        </is>
      </c>
      <c r="D96" s="0" t="inlineStr">
        <is>
          <t xml:space="preserve">MINISTERIO DE OBRAS PUBLICAS DIREC CION GRAL DE OO PP DCYF</t>
        </is>
      </c>
      <c r="E96" s="0" t="inlineStr">
        <is>
          <t xml:space="preserve">Dirección de Aeropuertos - MOPTT</t>
        </is>
      </c>
      <c r="F96" s="0" t="inlineStr">
        <is>
          <t xml:space="preserve">Región de Antofagasta </t>
        </is>
      </c>
      <c r="G96" s="0" t="inlineStr">
        <is>
          <t xml:space="preserve">Santiago</t>
        </is>
      </c>
      <c r="H96" s="2">
        <v>46265.342303</v>
      </c>
      <c r="I96" s="2">
        <v>46304.458333</v>
      </c>
      <c r="J96" s="0">
        <v>12</v>
      </c>
      <c r="K96" s="3"/>
      <c r="L96" s="0" t="inlineStr">
        <is>
          <t xml:space="preserve">CLP</t>
        </is>
      </c>
      <c r="M96" s="0" t="inlineStr">
        <is>
          <t xml:space="preserve">O1</t>
        </is>
      </c>
      <c r="N96" s="4" t="inlineStr">
        <is>
          <t xml:space="preserve">Consultoria / Consultoria / Planificación y Factibilidad</t>
        </is>
      </c>
      <c r="O96" s="4" t="inlineStr">
        <is>
          <t xml:space="preserve">1 Unidad · Licitación Pública de Obra</t>
        </is>
      </c>
      <c r="P96" s="2"/>
      <c r="Q96" s="2"/>
      <c r="R96" s="0"/>
      <c r="S96" s="0" t="inlineStr">
        <is>
          <t xml:space="preserve">No</t>
        </is>
      </c>
      <c r="T96" s="4"/>
      <c r="U96" s="0"/>
      <c r="V96" s="4" t="inlineStr">
        <is>
          <t xml:space="preserve">Esta Dirección necesita llamar a licitación para contratar la obra Ampliación Plataformas Comercial y General Aeródromo El Loa.</t>
        </is>
      </c>
      <c r="W96" s="5" t="str">
        <f>HYPERLINK("https://www.mercadopublico.cl/Procurement/Modules/Attachment/ViewAttachment.aspx?enc=48ZCNuVHmAa%2b1ful8MjmJSFfg%2fyZp98ecD9lAACxBapc6m7y5Y3WYnOV29DajxL8xmzzvkKSik6ezhY5tYPmc2mbMqXx3AxI8YV4uO14QkXrFAS%2fstl7gCZovcDoU%2bwLCAEdDRz9ewbVlXzBPuRwPxv8xIb9hKFZjYD1qy%2br4EYtNHAHh%2fpzDqwyX4POsJcbfgOco1arfjtNWhVH%2bswnbPJuVtKg%2bdcq%2f%2f%2f%2ftmrBvDGv2%2fOXKTNzP6P8mZhE7ISB0K7pGOqH0VSYCp2VHTQLXo%2f3413Cg%2frv7CzpP0BmJC%2fREhnDoHOKyACpCv%2bkEJVV","descargar bases")</f>
      </c>
    </row>
    <row r="97">
      <c r="A97" s="0" t="inlineStr">
        <is>
          <t xml:space="preserve">2239-2-LR26</t>
        </is>
      </c>
      <c r="B97" s="4" t="inlineStr">
        <is>
          <t xml:space="preserve">Convenio Marco Desarrollo de software</t>
        </is>
      </c>
      <c r="C97" s="0" t="inlineStr">
        <is>
          <t xml:space="preserve">Publicada</t>
        </is>
      </c>
      <c r="D97" s="0" t="inlineStr">
        <is>
          <t xml:space="preserve">DIRECCION DE COMPRAS Y CONTRATACION PUBLICA</t>
        </is>
      </c>
      <c r="E97" s="0" t="inlineStr">
        <is>
          <t xml:space="preserve">División de Convenio Marco</t>
        </is>
      </c>
      <c r="F97" s="0" t="inlineStr">
        <is>
          <t xml:space="preserve">Región Metropolitana de Santiago</t>
        </is>
      </c>
      <c r="G97" s="0" t="inlineStr">
        <is>
          <t xml:space="preserve">Santiago</t>
        </is>
      </c>
      <c r="H97" s="2">
        <v>46217.7375</v>
      </c>
      <c r="I97" s="2">
        <v>46304.625</v>
      </c>
      <c r="J97" s="0">
        <v>12</v>
      </c>
      <c r="K97" s="3"/>
      <c r="L97" s="0" t="inlineStr">
        <is>
          <t xml:space="preserve">CLF</t>
        </is>
      </c>
      <c r="M97" s="0" t="inlineStr">
        <is>
          <t xml:space="preserve">LR</t>
        </is>
      </c>
      <c r="N97" s="4" t="inlineStr">
        <is>
          <t xml:space="preserve">Servicios profesionales, administrativos y consultorías de gestión empresarial / Servicios de recursos humanos / Contratación de personal</t>
        </is>
      </c>
      <c r="O97" s="4" t="inlineStr">
        <is>
          <t xml:space="preserve">1 Unidad · Desarrolladores de software</t>
        </is>
      </c>
      <c r="P97" s="2"/>
      <c r="Q97" s="2"/>
      <c r="R97" s="0"/>
      <c r="S97" s="0" t="inlineStr">
        <is>
          <t xml:space="preserve">No</t>
        </is>
      </c>
      <c r="T97"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97" s="0" t="inlineStr">
        <is>
          <t xml:space="preserve">Convenio Marco</t>
        </is>
      </c>
      <c r="V97" s="4" t="inlineStr">
        <is>
          <t xml:space="preserve">Convenio Marco para la adquisición de los Servicios de Desarrollo y Mantención de Software, Servicios Profesionales TI y Cloud Computing</t>
        </is>
      </c>
      <c r="W97" s="5" t="str">
        <f>HYPERLINK("https://www.mercadopublico.cl/Procurement/Modules/Attachment/ViewAttachment.aspx?enc=eMVp%2b2KhPshdasR5kF7ldLFQAKwvGACk%2biRZ0OIBRsQasuwLZP7datmh5d%2b8vGTl6JXPzAjMXHY4kIQ13TvzdO5BO1EPHyrBSy6ZQUWBb775cosFVXm5gSDatpHL%2bfV5Gkz66kNJ7atuoT9c5Mev8MGd7cPe26nI6zy0%2bR3KfKwvFCpBwXYzKvvHBjEViS%2fnX8KPNxUYLCeYdN1VyQQEKAaQ5ZtPsyKTI%2fkDdSOXm2YQYtIXrunPoJgGuyz72TdYRfDYdia4J7qVvWeM9SqiyFME6P8KAcdbsgRX%2fiC1orCRRirIJ0nv79Kk8ke%2bg8E6","descargar bases")</f>
      </c>
    </row>
    <row r="98">
      <c r="A98" s="0" t="inlineStr">
        <is>
          <t xml:space="preserve">1020-38-LP26</t>
        </is>
      </c>
      <c r="B98" s="4" t="inlineStr">
        <is>
          <t xml:space="preserve">Adquisición de Plataforma Next Generation Firewall</t>
        </is>
      </c>
      <c r="C98" s="0" t="inlineStr">
        <is>
          <t xml:space="preserve">Publicada</t>
        </is>
      </c>
      <c r="D98" s="0" t="inlineStr">
        <is>
          <t xml:space="preserve">MINISTERIO DE OBRAS PUBLICAS DIREC CION GRAL DE OO PP DCYF</t>
        </is>
      </c>
      <c r="E98" s="0" t="inlineStr">
        <is>
          <t xml:space="preserve">MOP Subsecretaría </t>
        </is>
      </c>
      <c r="F98" s="0" t="inlineStr">
        <is>
          <t xml:space="preserve">Región Metropolitana de Santiago</t>
        </is>
      </c>
      <c r="G98" s="0"/>
      <c r="H98" s="2">
        <v>46252.442361</v>
      </c>
      <c r="I98" s="2">
        <v>46304.625</v>
      </c>
      <c r="J98" s="0">
        <v>12</v>
      </c>
      <c r="K98" s="3">
        <v>240000000.0</v>
      </c>
      <c r="L98" s="0" t="inlineStr">
        <is>
          <t xml:space="preserve">CLP</t>
        </is>
      </c>
      <c r="M98" s="0" t="inlineStr">
        <is>
          <t xml:space="preserve">LP</t>
        </is>
      </c>
      <c r="N98"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98" s="4" t="inlineStr">
        <is>
          <t xml:space="preserve">2 Unidad · Equipo de seguridad de red de firewall · 1 Unidad · Software de vigilancia de redes</t>
        </is>
      </c>
      <c r="P98" s="2"/>
      <c r="Q98" s="2"/>
      <c r="R98" s="0" t="inlineStr">
        <is>
          <t xml:space="preserve">16 meses</t>
        </is>
      </c>
      <c r="S98" s="0" t="inlineStr">
        <is>
          <t xml:space="preserve">No</t>
        </is>
      </c>
      <c r="T98" s="4" t="inlineStr">
        <is>
          <t xml:space="preserve">Conforme al punto 10.5 de las Bases Administrativas, el oferente adjudicado no podrá subcontratar los servicios derivados de la ejecución del Contrato</t>
        </is>
      </c>
      <c r="U98" s="0" t="inlineStr">
        <is>
          <t xml:space="preserve">Francisco Borques</t>
        </is>
      </c>
      <c r="V98"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98" s="5" t="str">
        <f>HYPERLINK("https://www.mercadopublico.cl/Procurement/Modules/Attachment/ViewAttachment.aspx?enc=RDipLN67hXU%2fxB3FrRoNkObNzgG1pZ32%2b1SvQ6j5UIh6fdQand5cWoogHgDlgdtdeqV20WX%2bfWkGR0PSPKTmSrce2JUwNRpIQlLlG59YXA2LDoIUMGiJPd8K%2bt1SiTZdeTSXoggLX2dLbl0jeQcip7T9G5%2bQ8ZJUymP%2bvNwMMW1gwUyXFYpcU72XWb0O9Kn61Fuztv4Z1ecyl5OvhcagQuuBzN6kCAOE3niSTLk3R9RoY%2bGwXD6dNJC%2bobbnJYgKu6UCIJyKF3JX9WR%2fJxdU6jh7LhXC5MVt7NeqH7yzZbi1drzv3lsOF%2bXihagDzF5H","descargar bases")</f>
      </c>
    </row>
    <row r="99">
      <c r="A99" s="0" t="inlineStr">
        <is>
          <t xml:space="preserve">3928-62-LE26</t>
        </is>
      </c>
      <c r="B99" s="4" t="inlineStr">
        <is>
          <t xml:space="preserve">ADQUISICION DE SOFTWARE Y EQUIPAMIENTO TECNOLOGICO PARA ESCUELA DE CAHUIL</t>
        </is>
      </c>
      <c r="C99" s="0" t="inlineStr">
        <is>
          <t xml:space="preserve">Publicada</t>
        </is>
      </c>
      <c r="D99" s="0" t="inlineStr">
        <is>
          <t xml:space="preserve">ILUSTRE MUNICIPALIDAD DE PICHILEMU</t>
        </is>
      </c>
      <c r="E99" s="0" t="inlineStr">
        <is>
          <t xml:space="preserve">Educación Municipal</t>
        </is>
      </c>
      <c r="F99" s="0" t="inlineStr">
        <is>
          <t xml:space="preserve">Región del Libertador General Bernardo O´Higgins</t>
        </is>
      </c>
      <c r="G99" s="0" t="inlineStr">
        <is>
          <t xml:space="preserve">Pichilemu</t>
        </is>
      </c>
      <c r="H99" s="2">
        <v>46290.638773</v>
      </c>
      <c r="I99" s="2">
        <v>46304.666667</v>
      </c>
      <c r="J99" s="0">
        <v>12</v>
      </c>
      <c r="K99" s="3">
        <v>9100000.0</v>
      </c>
      <c r="L99" s="0" t="inlineStr">
        <is>
          <t xml:space="preserve">CLP</t>
        </is>
      </c>
      <c r="M99" s="0" t="inlineStr">
        <is>
          <t xml:space="preserve">LE</t>
        </is>
      </c>
      <c r="N99"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99" s="4" t="inlineStr">
        <is>
          <t xml:space="preserve">1 Global · Contadores de tabletas · 1 Global · Software doméstico</t>
        </is>
      </c>
      <c r="P99" s="2"/>
      <c r="Q99" s="2"/>
      <c r="R99" s="0"/>
      <c r="S99" s="0" t="inlineStr">
        <is>
          <t xml:space="preserve">No</t>
        </is>
      </c>
      <c r="T99" s="4"/>
      <c r="U99" s="0" t="inlineStr">
        <is>
          <t xml:space="preserve">MERYS TAPIA LATORRES</t>
        </is>
      </c>
      <c r="V99" s="4" t="inlineStr">
        <is>
          <t xml:space="preserve">ADQUISICION DE SOFTWARE Y EQUIPAMIENTO TECNOLOGICO PARA ESCUELA DE CAHUIL
DECRETO N° 2628 DEL 15.09.2026
FONDOS LEY SEP ESCUELA DECAHUIL</t>
        </is>
      </c>
      <c r="W99" s="5" t="str">
        <f>HYPERLINK("https://www.mercadopublico.cl/Procurement/Modules/Attachment/ViewAttachment.aspx?enc=llnK%2fgb8CFJuA088I65oNc6NDePAwenwetQuM2%2fVWIfaDwp0ViULgbZiZeN%2fDaASG7Kwrn0qnul5nD1blu7Bu0MR%2bzzgH5%2baymcg7tIf3KiX50RQUjO2jULVe%2bzUZEtJp%2fs%2f7RBfLE3vpJI2RjZUBKWK0FeWaS2T0mDTdDSocfa%2fmRcsgqtbPgNnm3LwTynuZVxH9Zcv27npEpjUDZ5MQM7ArN0ExXtu0SY%2flcxKnOkL18tbgu1SQ7lkb3c415aYNrsRCT5d%2f3uU9VGPclmE2gVGCv2CFaKXBFomBYkiC7M384AmUtDDZLiDim%2fow9fV","descargar bases")</f>
      </c>
    </row>
    <row r="100">
      <c r="A100" s="0" t="inlineStr">
        <is>
          <t xml:space="preserve">610-19-LE26</t>
        </is>
      </c>
      <c r="B100" s="4" t="inlineStr">
        <is>
          <t xml:space="preserve">Base de datos Plexos del Sistema Eléctrico Nacional</t>
        </is>
      </c>
      <c r="C100" s="0" t="inlineStr">
        <is>
          <t xml:space="preserve">Publicada</t>
        </is>
      </c>
      <c r="D100" s="0" t="inlineStr">
        <is>
          <t xml:space="preserve">Comisión Nacional de Energía</t>
        </is>
      </c>
      <c r="E100" s="0" t="inlineStr">
        <is>
          <t xml:space="preserve">Comisión Nacional de Energía</t>
        </is>
      </c>
      <c r="F100" s="0" t="inlineStr">
        <is>
          <t xml:space="preserve">Región Metropolitana de Santiago</t>
        </is>
      </c>
      <c r="G100" s="0" t="inlineStr">
        <is>
          <t xml:space="preserve">Santiago Centro</t>
        </is>
      </c>
      <c r="H100" s="2">
        <v>46287.700972</v>
      </c>
      <c r="I100" s="2">
        <v>46304.666667</v>
      </c>
      <c r="J100" s="0">
        <v>12</v>
      </c>
      <c r="K100" s="3">
        <v>50000000.0</v>
      </c>
      <c r="L100" s="0" t="inlineStr">
        <is>
          <t xml:space="preserve">CLP</t>
        </is>
      </c>
      <c r="M100" s="0" t="inlineStr">
        <is>
          <t xml:space="preserve">LE</t>
        </is>
      </c>
      <c r="N100" s="4" t="inlineStr">
        <is>
          <t xml:space="preserve">Servicios basados en ingeniería, ciencias sociales y tecnología de la información / Servicios profesionales de ingeniería / Ingeniería eléctrica y electrónica</t>
        </is>
      </c>
      <c r="O100" s="4" t="inlineStr">
        <is>
          <t xml:space="preserve">1 Unidad · Ingeniería eléctrica</t>
        </is>
      </c>
      <c r="P100" s="2"/>
      <c r="Q100" s="2"/>
      <c r="R100" s="0" t="inlineStr">
        <is>
          <t xml:space="preserve">360 días</t>
        </is>
      </c>
      <c r="S100" s="0" t="inlineStr">
        <is>
          <t xml:space="preserve">No</t>
        </is>
      </c>
      <c r="T100" s="4" t="inlineStr">
        <is>
          <t xml:space="preserve">De acuerdo a lo establecido en Bases de Licitación adjuntas.</t>
        </is>
      </c>
      <c r="U100" s="0" t="inlineStr">
        <is>
          <t xml:space="preserve">Esteban Robles Quiroga</t>
        </is>
      </c>
      <c r="V100"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100" s="5" t="str">
        <f>HYPERLINK("https://www.mercadopublico.cl/Procurement/Modules/Attachment/ViewAttachment.aspx?enc=3dtH504qCnNdtEzZQ7JWAhRGqrhgIBsCklho9e0QFcWVqyh53C7svJfwK4J%2f3xhubx7UI9SlRK8fNQTXMj0%2b%2bGVIoHE0EbahbcE9%2ba0WOW5%2fV2T7q86p0rHW0wI4FM1xdSrQF5dgpLkONERgAmo1G8GOGhtxHdmn4E9Ky2ayi7oapYMGWJhIIkWqbmFZDcPFij1nN%2fHcvoeJyIQK45las7y6b9B0NrJg5rSSz1blzXYtBSbeH2lAjKHt3tMWRSwDlkU8TJwrjjMLsP8qPyjrudxZU8vDeSW6CceZoyXSguklpyN%2fuCAUyGTfQtMmdfSA","descargar bases")</f>
      </c>
    </row>
    <row r="101">
      <c r="A101" s="0" t="inlineStr">
        <is>
          <t xml:space="preserve">1020-40-LP26</t>
        </is>
      </c>
      <c r="B101" s="4" t="inlineStr">
        <is>
          <t xml:space="preserve">Serv.Cloud Amazon Web Services AWS o Equivalente</t>
        </is>
      </c>
      <c r="C101" s="0" t="inlineStr">
        <is>
          <t xml:space="preserve">Publicada</t>
        </is>
      </c>
      <c r="D101" s="0" t="inlineStr">
        <is>
          <t xml:space="preserve">MINISTERIO DE OBRAS PUBLICAS DIREC CION GRAL DE OO PP DCYF</t>
        </is>
      </c>
      <c r="E101" s="0" t="inlineStr">
        <is>
          <t xml:space="preserve">MOP Subsecretaría </t>
        </is>
      </c>
      <c r="F101" s="0" t="inlineStr">
        <is>
          <t xml:space="preserve">Región Metropolitana de Santiago</t>
        </is>
      </c>
      <c r="G101" s="0"/>
      <c r="H101" s="2">
        <v>46254.652083</v>
      </c>
      <c r="I101" s="2">
        <v>46308.625694</v>
      </c>
      <c r="J101" s="0">
        <v>16</v>
      </c>
      <c r="K101" s="3">
        <v>295121.0</v>
      </c>
      <c r="L101" s="0" t="inlineStr">
        <is>
          <t xml:space="preserve">USD</t>
        </is>
      </c>
      <c r="M101" s="0" t="inlineStr">
        <is>
          <t xml:space="preserve">LP</t>
        </is>
      </c>
      <c r="N101" s="4" t="inlineStr">
        <is>
          <t xml:space="preserve">Tecnologías de la información, telecomunicaciones y radiodifusión / Software / Software de consultas y gestión de datos</t>
        </is>
      </c>
      <c r="O101" s="4" t="inlineStr">
        <is>
          <t xml:space="preserve">1 Unidad · Software del sistema de administración de bases de datos</t>
        </is>
      </c>
      <c r="P101" s="2"/>
      <c r="Q101" s="2"/>
      <c r="R101" s="0" t="inlineStr">
        <is>
          <t xml:space="preserve">36 meses</t>
        </is>
      </c>
      <c r="S101" s="0" t="inlineStr">
        <is>
          <t xml:space="preserve">No</t>
        </is>
      </c>
      <c r="T101" s="4" t="inlineStr">
        <is>
          <t xml:space="preserve">Ver numeral 10.5 de las Bases Administrativas, en archivo adjunto.</t>
        </is>
      </c>
      <c r="U101" s="0" t="inlineStr">
        <is>
          <t xml:space="preserve">Carmen Gloria Ponce Pérez</t>
        </is>
      </c>
      <c r="V101"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101" s="5" t="str">
        <f>HYPERLINK("https://www.mercadopublico.cl/Procurement/Modules/Attachment/ViewAttachment.aspx?enc=HFqhBHpZSO0swGZ3dgrpxbTIpKkUHRrok7ie8zm77K8Q2OjKydfVtI7wll3houp3MxmwJZ1WAkx%2bbYggYwaQIK%2fPjf4S6mLGlzN5hnkgZVXS7kVZzJdBfFTDlpqbCZl3izchUBVm3vYMZDNPFctAPWl5ndtCViiypp3xFypq8BEbon4FqdBkqQrrVJM7Kre8dPPXWEmOlv532eLTut84cSGS1aTtoUVWy%2bMZffu6x9Ttw5fWhifLIwvHgwts38JqyueYJmiZ%2fNilqLjEMNce%2bpuBDuBZaf3knCUJVdS0mQs8trxIVlhA%2f9jLdiZ8q0zn","descargar bases")</f>
      </c>
    </row>
    <row r="102">
      <c r="A102" s="0" t="inlineStr">
        <is>
          <t xml:space="preserve">2445-124-LP26</t>
        </is>
      </c>
      <c r="B102" s="4" t="inlineStr">
        <is>
          <t xml:space="preserve">SERVICIO DE TELEFONIA FIJA IP Y PLATAFORMA IVR</t>
        </is>
      </c>
      <c r="C102" s="0" t="inlineStr">
        <is>
          <t xml:space="preserve">Publicada</t>
        </is>
      </c>
      <c r="D102" s="0" t="inlineStr">
        <is>
          <t xml:space="preserve">I MUNICIPALIDAD DE CURICO</t>
        </is>
      </c>
      <c r="E102" s="0" t="inlineStr">
        <is>
          <t xml:space="preserve">Salud - Adquisiciones</t>
        </is>
      </c>
      <c r="F102" s="0" t="inlineStr">
        <is>
          <t xml:space="preserve">Región del Maule </t>
        </is>
      </c>
      <c r="G102" s="0" t="inlineStr">
        <is>
          <t xml:space="preserve">Curicó</t>
        </is>
      </c>
      <c r="H102" s="2">
        <v>46286.707014</v>
      </c>
      <c r="I102" s="2">
        <v>46308.625694</v>
      </c>
      <c r="J102" s="0">
        <v>16</v>
      </c>
      <c r="K102" s="3"/>
      <c r="L102" s="0" t="inlineStr">
        <is>
          <t xml:space="preserve">CLP</t>
        </is>
      </c>
      <c r="M102" s="0" t="inlineStr">
        <is>
          <t xml:space="preserve">LP</t>
        </is>
      </c>
      <c r="N102" s="4" t="inlineStr">
        <is>
          <t xml:space="preserve">Servicios profesionales, administrativos y consultorías de gestión empresarial / Servicios de recursos humanos / Servicios de personal temporal</t>
        </is>
      </c>
      <c r="O102" s="4" t="inlineStr">
        <is>
          <t xml:space="preserve">1 Unidad · Mano de obra temporal</t>
        </is>
      </c>
      <c r="P102" s="2"/>
      <c r="Q102" s="2"/>
      <c r="R102" s="0" t="inlineStr">
        <is>
          <t xml:space="preserve">48 meses</t>
        </is>
      </c>
      <c r="S102" s="0" t="inlineStr">
        <is>
          <t xml:space="preserve">No</t>
        </is>
      </c>
      <c r="T102" s="4" t="inlineStr">
        <is>
          <t xml:space="preserve">.</t>
        </is>
      </c>
      <c r="U102" s="0" t="inlineStr">
        <is>
          <t xml:space="preserve">ENRIQUE IBARRA</t>
        </is>
      </c>
      <c r="V102" s="4" t="inlineStr">
        <is>
          <t xml:space="preserve">LA NECESIDAD DE CONTRATAR EL SERVICIO DE TELEFONIA FIJA IP Y PLATAFORMA IVR PARA EL DEPARTAMENTO DE SALUD DE CURICO POR 48 MESES. SE REALIZARA VISITA A TERRENO OBLIGATORIA EL DÍA VIERNES 25 A LAS 11:30 EN CARMEN 925</t>
        </is>
      </c>
      <c r="W102" s="5" t="str">
        <f>HYPERLINK("https://www.mercadopublico.cl/Procurement/Modules/Attachment/ViewAttachment.aspx?enc=x2W%2faj4KNqU6XX60QKxs0Hg6wY47DlFhR4IIS%2bGWeUh07H14vyvL4tos1kOQn8suWM4UGQm%2f%2fq%2be%2f5m1cnpaWGFn0V7qXYV2pDoF6GHze89cvdPFV2wfaC676fo%2brcAaYeTuamyoEWUeBFIb7PLhgIIUC8%2f9vPE0gn660vnivUxZg4XNQCzPs%2ftKuEgZ7AaW64uUHmtLvrZbjoXBj7KYKKdedVSIIaOhKJ%2f3TwiZnRiGfPaKKHHrsMznj4DE9zXehCDy9XjY%2bXrCwJpJI9v9P6Pya9RilGVVq6hWKR7wPImldVGZLnorVuKb0bigSKIl","descargar bases")</f>
      </c>
    </row>
    <row r="103">
      <c r="A103" s="0" t="inlineStr">
        <is>
          <t xml:space="preserve">29-81-LP26</t>
        </is>
      </c>
      <c r="B103" s="4" t="inlineStr">
        <is>
          <t xml:space="preserve">AGF - PLATAFORMA INGLES</t>
        </is>
      </c>
      <c r="C103" s="0" t="inlineStr">
        <is>
          <t xml:space="preserve">Publicada</t>
        </is>
      </c>
      <c r="D103" s="0" t="inlineStr">
        <is>
          <t xml:space="preserve">FUERZA AEREA DE CHILE COMANDO LOGISTICO</t>
        </is>
      </c>
      <c r="E103" s="0" t="inlineStr">
        <is>
          <t xml:space="preserve">Comando Logístico</t>
        </is>
      </c>
      <c r="F103" s="0" t="inlineStr">
        <is>
          <t xml:space="preserve">Región Metropolitana de Santiago</t>
        </is>
      </c>
      <c r="G103" s="0" t="inlineStr">
        <is>
          <t xml:space="preserve">El Bosque</t>
        </is>
      </c>
      <c r="H103" s="2">
        <v>46276.548981</v>
      </c>
      <c r="I103" s="2">
        <v>46308.625694</v>
      </c>
      <c r="J103" s="0">
        <v>16</v>
      </c>
      <c r="K103" s="3"/>
      <c r="L103" s="0" t="inlineStr">
        <is>
          <t xml:space="preserve">USD</t>
        </is>
      </c>
      <c r="M103" s="0" t="inlineStr">
        <is>
          <t xml:space="preserve">LP</t>
        </is>
      </c>
      <c r="N103" s="4" t="inlineStr">
        <is>
          <t xml:space="preserve">Educación, formación, entrenamiento y capacitación / Sistemas educativos complementarios / Escuelas de idiomas</t>
        </is>
      </c>
      <c r="O103" s="4" t="inlineStr">
        <is>
          <t xml:space="preserve">1 Global · Enseñanza conversacional de idiomas extranjeros</t>
        </is>
      </c>
      <c r="P103" s="2"/>
      <c r="Q103" s="2"/>
      <c r="R103" s="0"/>
      <c r="S103" s="0" t="inlineStr">
        <is>
          <t xml:space="preserve">No</t>
        </is>
      </c>
      <c r="T103" s="4"/>
      <c r="U103" s="0" t="inlineStr">
        <is>
          <t xml:space="preserve">PAULO ARELLANO WOLFF</t>
        </is>
      </c>
      <c r="V103" s="4" t="inlineStr">
        <is>
          <t xml:space="preserve">CONTRATACIÓN DE SERVICIO DE PLATAFORMA INTEGRAL DE CAPACITACIÓN EN IDIOMA INGLÉS MODALIDAD E-LEARNING CON TUTORIA</t>
        </is>
      </c>
      <c r="W103" s="5" t="str">
        <f>HYPERLINK("https://www.mercadopublico.cl/Procurement/Modules/Attachment/ViewAttachment.aspx?enc=FnSMvOaJ1HgssAobrfBW86L23vavPMDC3O4V2XMR40iqiUUFWr4sT1xJJe1F55eljOOONoPBv3%2bWyd49UdWBP3SImK%2fT4P%2f1bLsEKcPQAQxVqSELhEeXg5Sl4z3nOD%2fuZHqTBeFxCqFkvUHsRnacR5qATBWLg53%2b3GL0JWP9z290BJjB6rT8vrXlZ29PD0nPU0DIT17EGje6Fb%2f0rrlLFjE7v2MOfbLr2u51%2fIRi%2fu7bsHEEMv%2bWvZIg6%2fA5kixPB01Liav5rwpQ8KoI2j9ps%2f747URNYTSmqMd%2bRQ4fzW8yIoU%2bIKV8icWEI%2f301YKp","descargar bases")</f>
      </c>
    </row>
    <row r="104">
      <c r="A104" s="0" t="inlineStr">
        <is>
          <t xml:space="preserve">3447-145-LR26</t>
        </is>
      </c>
      <c r="B104" s="4" t="inlineStr">
        <is>
          <t xml:space="preserve">Adquisición e Implementación Plataforma Integral</t>
        </is>
      </c>
      <c r="C104" s="0" t="inlineStr">
        <is>
          <t xml:space="preserve">Publicada</t>
        </is>
      </c>
      <c r="D104" s="0" t="inlineStr">
        <is>
          <t xml:space="preserve">MUNICIPALIDAD DE ALTO HOSPICIO</t>
        </is>
      </c>
      <c r="E104" s="0" t="inlineStr">
        <is>
          <t xml:space="preserve">Direccion de Administracion y Finanzas</t>
        </is>
      </c>
      <c r="F104" s="0" t="inlineStr">
        <is>
          <t xml:space="preserve">Región de Tarapacá  </t>
        </is>
      </c>
      <c r="G104" s="0" t="inlineStr">
        <is>
          <t xml:space="preserve">Alto Hospicio</t>
        </is>
      </c>
      <c r="H104" s="2">
        <v>46276.643669</v>
      </c>
      <c r="I104" s="2">
        <v>46308.625694</v>
      </c>
      <c r="J104" s="0">
        <v>16</v>
      </c>
      <c r="K104" s="3"/>
      <c r="L104" s="0" t="inlineStr">
        <is>
          <t xml:space="preserve">CLP</t>
        </is>
      </c>
      <c r="M104" s="0" t="inlineStr">
        <is>
          <t xml:space="preserve">LR</t>
        </is>
      </c>
      <c r="N104" s="4" t="inlineStr">
        <is>
          <t xml:space="preserve">Servicios basados en ingeniería, ciencias sociales y tecnología de la información / Servicios informáticos / Ingeniería en computación e informática</t>
        </is>
      </c>
      <c r="O104" s="4" t="inlineStr">
        <is>
          <t xml:space="preserve">1 Global · Servicios de programación de sistemas operativos</t>
        </is>
      </c>
      <c r="P104" s="2"/>
      <c r="Q104" s="2"/>
      <c r="R104" s="0" t="inlineStr">
        <is>
          <t xml:space="preserve">24 meses</t>
        </is>
      </c>
      <c r="S104" s="0" t="inlineStr">
        <is>
          <t xml:space="preserve">No</t>
        </is>
      </c>
      <c r="T104" s="4"/>
      <c r="U104" s="0" t="inlineStr">
        <is>
          <t xml:space="preserve">JAIME AROS BINIMELIS</t>
        </is>
      </c>
      <c r="V104"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04" s="5" t="str">
        <f>HYPERLINK("https://www.mercadopublico.cl/Procurement/Modules/Attachment/ViewAttachment.aspx?enc=m8C3x0SCETrsQcK7f%2fTpLGgEksvyGsjNIpO%2b%2bbzI3iqCf9sC2STBCSodqCzjftvvRaJVGmlrA%2fXZJt2Wc7IJ%2fflLsK8W7RggAnsoAz2ZBeNL9BUq7%2fUbrztymUpgvePBt3ODRgj%2bzRdXtiTg8GogDchCgiuRV79JbYDsiS%2bRJIQbzXZLX1Y1kmFiioRXP6DdqWPtbuyfViUP2tGlG2GmP9%2fTrj5FMX3TJPlLENgjnkWxSBpMZ4h0zkfrUgzxVqFqGQ4%2b1uavtyXakt6BJJCvGdgy9SoKvX%2bcDAmjv6U06PmrcHCGd3ObQgX3%2bBYRi4s6","descargar bases")</f>
      </c>
    </row>
    <row r="105">
      <c r="A105" s="0" t="inlineStr">
        <is>
          <t xml:space="preserve">5482-101-LR26</t>
        </is>
      </c>
      <c r="B105" s="4" t="inlineStr">
        <is>
          <t xml:space="preserve">Plataforma IA para video y seguridad urbana</t>
        </is>
      </c>
      <c r="C105" s="0" t="inlineStr">
        <is>
          <t xml:space="preserve">Publicada</t>
        </is>
      </c>
      <c r="D105" s="0" t="inlineStr">
        <is>
          <t xml:space="preserve">I MUNICIPALIDAD DE NUNOA</t>
        </is>
      </c>
      <c r="E105" s="0" t="inlineStr">
        <is>
          <t xml:space="preserve">SECPLANUNOA</t>
        </is>
      </c>
      <c r="F105" s="0" t="inlineStr">
        <is>
          <t xml:space="preserve">Región Metropolitana de Santiago</t>
        </is>
      </c>
      <c r="G105" s="0" t="inlineStr">
        <is>
          <t xml:space="preserve">Ñuñoa</t>
        </is>
      </c>
      <c r="H105" s="2">
        <v>46275.73022</v>
      </c>
      <c r="I105" s="2">
        <v>46308.625694</v>
      </c>
      <c r="J105" s="0">
        <v>16</v>
      </c>
      <c r="K105" s="3"/>
      <c r="L105" s="0" t="inlineStr">
        <is>
          <t xml:space="preserve">CLF</t>
        </is>
      </c>
      <c r="M105" s="0" t="inlineStr">
        <is>
          <t xml:space="preserve">LR</t>
        </is>
      </c>
      <c r="N105" s="4" t="inlineStr">
        <is>
          <t xml:space="preserve">Tecnologías de la información, telecomunicaciones y radiodifusión / Software / Programas de desarrollo</t>
        </is>
      </c>
      <c r="O105" s="4" t="inlineStr">
        <is>
          <t xml:space="preserve">1 Global · Software de desarrollo de plataforma Web · 26 Mes · Software de desarrollo de plataforma Web</t>
        </is>
      </c>
      <c r="P105" s="2"/>
      <c r="Q105" s="2"/>
      <c r="R105" s="0" t="inlineStr">
        <is>
          <t xml:space="preserve">26 meses</t>
        </is>
      </c>
      <c r="S105" s="0" t="inlineStr">
        <is>
          <t xml:space="preserve">No</t>
        </is>
      </c>
      <c r="T105" s="4"/>
      <c r="U105" s="0" t="inlineStr">
        <is>
          <t xml:space="preserve">Katherinne Ayala</t>
        </is>
      </c>
      <c r="V105"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05" s="5" t="str">
        <f>HYPERLINK("https://www.mercadopublico.cl/Procurement/Modules/Attachment/ViewAttachment.aspx?enc=4%2f3Xr%2fmAu6VzPl06GouissuSBov%2fIFxSfJyoX2DrOekOkd6eZYd7AYHpc9PDQGx5bGTvtLetEV3x63iHbL98V443L%2fzcIGpumHr8xWRUZWMZ2FiTJ6yW1F%2fT9Thtj6%2bQvrALfQLn%2bg6XI9wLEXpAC4%2bVEnPSrE%2fqbQfJZyxTMhVh4vkgeEstmG1%2f1c8N9sACshSMkehP0E2RMgwZRjem0Lk0UuRo2DmmzrmABf%2f2iCgLhy2VNtwzGusdhU5fZizJ9oxc0EriFqVyO3FF%2bh4GUpO1s75DE8dSQUBKhcQnsNwZbdi1%2bwAXz%2bd1UVFycFSU","descargar bases")</f>
      </c>
    </row>
    <row r="106">
      <c r="A106" s="0" t="inlineStr">
        <is>
          <t xml:space="preserve">4449-30-LP26</t>
        </is>
      </c>
      <c r="B106" s="4" t="inlineStr">
        <is>
          <t xml:space="preserve">Adquisición de libros a perpetuida para BP Digital</t>
        </is>
      </c>
      <c r="C106" s="0" t="inlineStr">
        <is>
          <t xml:space="preserve">Publicada</t>
        </is>
      </c>
      <c r="D106" s="0" t="inlineStr">
        <is>
          <t xml:space="preserve">SERVICIO NACIONAL DEL PATRIMONIO CULTURAL</t>
        </is>
      </c>
      <c r="E106" s="0" t="inlineStr">
        <is>
          <t xml:space="preserve">SUBDIRECCIÓN DE BIBLIOTECAS PÚBLICAS</t>
        </is>
      </c>
      <c r="F106" s="0" t="inlineStr">
        <is>
          <t xml:space="preserve">Región Metropolitana de Santiago</t>
        </is>
      </c>
      <c r="G106" s="0" t="inlineStr">
        <is>
          <t xml:space="preserve">Santiago Centro</t>
        </is>
      </c>
      <c r="H106" s="2">
        <v>46287.715394</v>
      </c>
      <c r="I106" s="2">
        <v>46308.628472</v>
      </c>
      <c r="J106" s="0">
        <v>16</v>
      </c>
      <c r="K106" s="3">
        <v>73000000.0</v>
      </c>
      <c r="L106" s="0" t="inlineStr">
        <is>
          <t xml:space="preserve">CLP</t>
        </is>
      </c>
      <c r="M106" s="0" t="inlineStr">
        <is>
          <t xml:space="preserve">LP</t>
        </is>
      </c>
      <c r="N106" s="4" t="inlineStr">
        <is>
          <t xml:space="preserve">Productos impresos y publicaciones / Material electrónico de referencia / Publicaciones electrónicas y música</t>
        </is>
      </c>
      <c r="O106" s="4" t="inlineStr">
        <is>
          <t xml:space="preserve">3 Unidad · Libros en casetes o CD · 3 Unidad · Libros en casetes o CD · 3 Unidad · Libros en casetes o CD · y 577 más</t>
        </is>
      </c>
      <c r="P106" s="2"/>
      <c r="Q106" s="2"/>
      <c r="R106" s="0"/>
      <c r="S106" s="0" t="inlineStr">
        <is>
          <t xml:space="preserve">No</t>
        </is>
      </c>
      <c r="T106" s="4"/>
      <c r="U106" s="0" t="inlineStr">
        <is>
          <t xml:space="preserve">Salvador Young</t>
        </is>
      </c>
      <c r="V106" s="4" t="inlineStr">
        <is>
          <t xml:space="preserve">ADQUISICIÓN DE MATERIAL BIBLIOGRÁFICO BAJO LICENCIA A PERPETUIDAD PARA BIBLIOTECA PÚBLICA DIGITAL”</t>
        </is>
      </c>
      <c r="W106" s="5" t="str">
        <f>HYPERLINK("https://www.mercadopublico.cl/Procurement/Modules/Attachment/ViewAttachment.aspx?enc=mIdpwl38mcXFrvAbYNdydtfdcIjCGaFG%2bNgP4sECBRRGLK1jD5rerW7cHiFTCvOADUKmLC5jt3b9bJe6ngmBG0zzXCeaBTrLgsQegE0%2bveJLQst2GWkTKqXcYiLq2ebfGfpYgQlfk%2blkQ%2f14HFvXkIizOYNHy9lYowp7IjsbT9cGFWskP1rbf%2fyBqpAaaNbz6tnx4mgbXI0T4GVLvcXz8NgvbMKDjv8QJLCy9WnVvjo2rMKpfok3mr8AoQ9131V1CV%2fTCyt%2fiPsNpGf2twgQ54Ppkv4yCn4VCdaMDuWV9ylyUdPRjrlzo%2f1zulhYp%2fIQ","descargar bases")</f>
      </c>
    </row>
    <row r="107">
      <c r="A107" s="0" t="inlineStr">
        <is>
          <t xml:space="preserve">5420-22-LP26</t>
        </is>
      </c>
      <c r="B107" s="4" t="inlineStr">
        <is>
          <t xml:space="preserve">Arriendo de enlace de voz y datos</t>
        </is>
      </c>
      <c r="C107" s="0" t="inlineStr">
        <is>
          <t xml:space="preserve">Publicada</t>
        </is>
      </c>
      <c r="D107" s="0" t="inlineStr">
        <is>
          <t xml:space="preserve">GOBIERNO REGIONAL DE ARICA-PARINACOTA</t>
        </is>
      </c>
      <c r="E107" s="0" t="inlineStr">
        <is>
          <t xml:space="preserve">Gobierno Regional de Arica y Parinacota</t>
        </is>
      </c>
      <c r="F107" s="0" t="inlineStr">
        <is>
          <t xml:space="preserve">Región de Arica y Parinacota</t>
        </is>
      </c>
      <c r="G107" s="0" t="inlineStr">
        <is>
          <t xml:space="preserve">Arica</t>
        </is>
      </c>
      <c r="H107" s="2">
        <v>46286.430567</v>
      </c>
      <c r="I107" s="2">
        <v>46308.645833</v>
      </c>
      <c r="J107" s="0">
        <v>16</v>
      </c>
      <c r="K107" s="3"/>
      <c r="L107" s="0" t="inlineStr">
        <is>
          <t xml:space="preserve">CLP</t>
        </is>
      </c>
      <c r="M107" s="0" t="inlineStr">
        <is>
          <t xml:space="preserve">LP</t>
        </is>
      </c>
      <c r="N107" s="4" t="inlineStr">
        <is>
          <t xml:space="preserve">Servicios basados en ingeniería, ciencias sociales y tecnología de la información / Servicios informáticos / Servicios para internet</t>
        </is>
      </c>
      <c r="O107" s="4" t="inlineStr">
        <is>
          <t xml:space="preserve">1 Unidad · Proveedores de servicio de Internet (ISP)</t>
        </is>
      </c>
      <c r="P107" s="2"/>
      <c r="Q107" s="2"/>
      <c r="R107" s="0"/>
      <c r="S107" s="0" t="inlineStr">
        <is>
          <t xml:space="preserve">No</t>
        </is>
      </c>
      <c r="T107" s="4"/>
      <c r="U107" s="0" t="inlineStr">
        <is>
          <t xml:space="preserve">Omar Sepulveda Vasquez</t>
        </is>
      </c>
      <c r="V107" s="4" t="inlineStr">
        <is>
          <t xml:space="preserve">Poseer un enlace de voz y datos para las dependencias del Gobierno Regional de Arica y Parinacota y Consejo Regional de Arica y Parinacota</t>
        </is>
      </c>
      <c r="W107" s="5" t="str">
        <f>HYPERLINK("https://www.mercadopublico.cl/Procurement/Modules/Attachment/ViewAttachment.aspx?enc=UDfz7dDLw696scjbeTcSbBy8MXB8sGDTMIUCB%2frb0Ralf9KM4btsU33TnNbBzlBTZRwat8IBN8Q1LKHS6WKHB4levF%2bX%2fHjzxQ%2bXJjkblu5STrAD5VT1T%2fuUj22iSKN8yXDqs%2bLC3W%2bxCCfIRzra8I8HiQuQTeYQd858bzYjJNqrTebE2nVTfKu3aUGWyKErOcbkWjm9j20DryXe0f9X4MGbzejcNxyubD6%2bsBvtSP1MgolFbGx3zg03%2faQF2k6pyctYILTDfLnzzdBxuwyjhhKI3z8sp7IM0tyQ21mhAOFmeIilF32aQMc%2fEdHK3Hxs","descargar bases")</f>
      </c>
    </row>
    <row r="108">
      <c r="A108" s="0" t="inlineStr">
        <is>
          <t xml:space="preserve">906973-10-LP26</t>
        </is>
      </c>
      <c r="B108" s="4" t="inlineStr">
        <is>
          <t xml:space="preserve">SEGUNDO LLAMADO SISTEMAS INFORMÁTICOS DE GESTIÓN MUNICIPAL</t>
        </is>
      </c>
      <c r="C108" s="0" t="inlineStr">
        <is>
          <t xml:space="preserve">Publicada</t>
        </is>
      </c>
      <c r="D108" s="0" t="inlineStr">
        <is>
          <t xml:space="preserve">I MUNICIPALIDAD DE VICHUQUEN</t>
        </is>
      </c>
      <c r="E108" s="0" t="inlineStr">
        <is>
          <t xml:space="preserve">SECPLAC</t>
        </is>
      </c>
      <c r="F108" s="0" t="inlineStr">
        <is>
          <t xml:space="preserve">Región del Maule </t>
        </is>
      </c>
      <c r="G108" s="0" t="inlineStr">
        <is>
          <t xml:space="preserve">Vichuquén</t>
        </is>
      </c>
      <c r="H108" s="2">
        <v>46288.632222</v>
      </c>
      <c r="I108" s="2">
        <v>46308.645833</v>
      </c>
      <c r="J108" s="0">
        <v>16</v>
      </c>
      <c r="K108" s="3"/>
      <c r="L108" s="0" t="inlineStr">
        <is>
          <t xml:space="preserve">CLP</t>
        </is>
      </c>
      <c r="M108" s="0" t="inlineStr">
        <is>
          <t xml:space="preserve">LP</t>
        </is>
      </c>
      <c r="N108" s="4" t="inlineStr">
        <is>
          <t xml:space="preserve">Organizaciones y consultorías políticas, demográficas, económicas, sociales y de administración pública / Administración y finanzas públicas / Finanzas públicas</t>
        </is>
      </c>
      <c r="O108" s="4" t="inlineStr">
        <is>
          <t xml:space="preserve">36 Mes · Servicios contables gubernamentales</t>
        </is>
      </c>
      <c r="P108" s="2"/>
      <c r="Q108" s="2"/>
      <c r="R108" s="0"/>
      <c r="S108" s="0" t="inlineStr">
        <is>
          <t xml:space="preserve">No</t>
        </is>
      </c>
      <c r="T108" s="4"/>
      <c r="U108" s="0" t="inlineStr">
        <is>
          <t xml:space="preserve">Ariel Munoz Vasquez</t>
        </is>
      </c>
      <c r="V108"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108" s="5" t="str">
        <f>HYPERLINK("https://www.mercadopublico.cl/Procurement/Modules/Attachment/ViewAttachment.aspx?enc=x5%2bKYUqa4iw%2bbGz7xwKR0641spNr5vo1asfntty%2f76tBep4w42hjoi6eYug99MsCvvtAmrqrljqPIK%2bPWPJuuvaEiwmYyGiFwJRrUZpO4wAgTsLtDHEGxEVtZ7j7MsorrwZIbSFZ1lvERMhmr63sTXdbyn2yreRtYsaSdwBV%2fiwPrKuen2MX%2brEIjYfDwTnDjuNNBPDG48vchYNtw0I3w7Sp%2fSFVZ%2fwhGSB3SuTRrojqtwEgF4WUqLQmjgmFYPMm80j4iVlhCLUGZCHVk2oYAL1813Ab54MjnLm1QS7gKcy58vU3XQxPtM%2fiVeVMJJ%2bv","descargar bases")</f>
      </c>
    </row>
    <row r="109">
      <c r="A109" s="0" t="inlineStr">
        <is>
          <t xml:space="preserve">599-37-LP26</t>
        </is>
      </c>
      <c r="B109" s="4" t="inlineStr">
        <is>
          <t xml:space="preserve">ADQUISICIÓN DE SOFTWARE COMPRAS Y PAGOS 36 MESES</t>
        </is>
      </c>
      <c r="C109" s="0" t="inlineStr">
        <is>
          <t xml:space="preserve">Publicada</t>
        </is>
      </c>
      <c r="D109" s="0" t="inlineStr">
        <is>
          <t xml:space="preserve">JUNTA NACIONAL DE JARDINES         INFANTILES</t>
        </is>
      </c>
      <c r="E109" s="0" t="inlineStr">
        <is>
          <t xml:space="preserve">JUNTA NACIONAL DE JARDINES         INFANTILES</t>
        </is>
      </c>
      <c r="F109" s="0" t="inlineStr">
        <is>
          <t xml:space="preserve">Región Metropolitana de Santiago</t>
        </is>
      </c>
      <c r="G109" s="0" t="inlineStr">
        <is>
          <t xml:space="preserve">Santiago</t>
        </is>
      </c>
      <c r="H109" s="2">
        <v>46288.761505</v>
      </c>
      <c r="I109" s="2">
        <v>46308.75</v>
      </c>
      <c r="J109" s="0">
        <v>16</v>
      </c>
      <c r="K109" s="3"/>
      <c r="L109" s="0" t="inlineStr">
        <is>
          <t xml:space="preserve">CLP</t>
        </is>
      </c>
      <c r="M109" s="0" t="inlineStr">
        <is>
          <t xml:space="preserve">LP</t>
        </is>
      </c>
      <c r="N109" s="4" t="inlineStr">
        <is>
          <t xml:space="preserve">Tecnologías de la información, telecomunicaciones y radiodifusión / Software / Software de gestión</t>
        </is>
      </c>
      <c r="O109" s="4" t="inlineStr">
        <is>
          <t xml:space="preserve">1 Unidad · Software de gestión de adquisiciones</t>
        </is>
      </c>
      <c r="P109" s="2"/>
      <c r="Q109" s="2"/>
      <c r="R109" s="0" t="inlineStr">
        <is>
          <t xml:space="preserve">36 meses</t>
        </is>
      </c>
      <c r="S109" s="0" t="inlineStr">
        <is>
          <t xml:space="preserve">No</t>
        </is>
      </c>
      <c r="T109" s="4"/>
      <c r="U109" s="0" t="inlineStr">
        <is>
          <t xml:space="preserve">Oficina de Gestión de Contratos</t>
        </is>
      </c>
      <c r="V109"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109" s="5" t="str">
        <f>HYPERLINK("https://www.mercadopublico.cl/Procurement/Modules/Attachment/ViewAttachment.aspx?enc=wTLK43AmNhPBW29ir%2fBOqUKI3jY4HciKfYKZ0HUN1F2fGfW329OgUysWF45IBniDpbbwfFZzSrjsQ%2f5wGM%2bhCjLvOeot%2fN1I7ENUgSlozwFOz20B1nU3O0WvGrh4UhEBbzwUTc3succYSvO%2bYLnzdxB6PaJ%2bcxlIjGZuCKOIEtvAWUU2YdGvarMl51%2bZy8IjmMKdLNrylyTL99BlGLOUJvDoiAXs3uM%2fJiZMol5XYTcCLAXHYG5BsitOGyQI8h27%2f27g7b02pRbX%2b1KKXaE3eoiJ373BwkAJhYBvlcGLYkGoxtqN9RwyaN2pQORLwmK7","descargar bases")</f>
      </c>
    </row>
    <row r="110">
      <c r="A110" s="0" t="inlineStr">
        <is>
          <t xml:space="preserve">2107-153-LP26</t>
        </is>
      </c>
      <c r="B110" s="4" t="inlineStr">
        <is>
          <t xml:space="preserve">ARRIENDO DE INFRAESTRUCTURA FÍSICA ENTERPRISE PARA PLATAFORMA TECNOLÓGICA INSTITUCIONAL</t>
        </is>
      </c>
      <c r="C110" s="0" t="inlineStr">
        <is>
          <t xml:space="preserve">Publicada</t>
        </is>
      </c>
      <c r="D110" s="0" t="inlineStr">
        <is>
          <t xml:space="preserve">SERVICIO DE SALUD HOSPITAL DE SANTA CRUZ</t>
        </is>
      </c>
      <c r="E110" s="0" t="inlineStr">
        <is>
          <t xml:space="preserve">Hospital de Santa Cruz</t>
        </is>
      </c>
      <c r="F110" s="0" t="inlineStr">
        <is>
          <t xml:space="preserve">Región del Libertador General Bernardo O´Higgins</t>
        </is>
      </c>
      <c r="G110" s="0"/>
      <c r="H110" s="2">
        <v>46287.719167</v>
      </c>
      <c r="I110" s="2">
        <v>46309.645139</v>
      </c>
      <c r="J110" s="0">
        <v>17</v>
      </c>
      <c r="K110" s="3"/>
      <c r="L110" s="0" t="inlineStr">
        <is>
          <t xml:space="preserve">CLP</t>
        </is>
      </c>
      <c r="M110" s="0" t="inlineStr">
        <is>
          <t xml:space="preserve">LP</t>
        </is>
      </c>
      <c r="N110" s="4" t="inlineStr">
        <is>
          <t xml:space="preserve">Tecnologías de la información, telecomunicaciones y radiodifusión / Componentes para tecnología de la información, difusión o telecomunicaciones / Subconjuntos para dispositivos electrónicos</t>
        </is>
      </c>
      <c r="O110" s="4" t="inlineStr">
        <is>
          <t xml:space="preserve">1 Unidad · Componentes de dispositivo de entrada o unidad de almacenamiento</t>
        </is>
      </c>
      <c r="P110" s="2"/>
      <c r="Q110" s="2"/>
      <c r="R110" s="0" t="inlineStr">
        <is>
          <t xml:space="preserve">36 meses</t>
        </is>
      </c>
      <c r="S110" s="0" t="inlineStr">
        <is>
          <t xml:space="preserve">No</t>
        </is>
      </c>
      <c r="T110" s="4"/>
      <c r="U110" s="0" t="inlineStr">
        <is>
          <t xml:space="preserve">Nicolas Salgado</t>
        </is>
      </c>
      <c r="V110" s="4" t="inlineStr">
        <is>
          <t xml:space="preserve">la contratación permitirá mantener la continuidad operacional de los servicios institucionales, disminuyendo riesgos tecnológicos y asegurando la disponibilidad permanente de la información clínica y administrativa</t>
        </is>
      </c>
      <c r="W110" s="5" t="str">
        <f>HYPERLINK("https://www.mercadopublico.cl/Procurement/Modules/Attachment/ViewAttachment.aspx?enc=46TPcL6hKeep9trllITc19wGfLwuO4zZgv98jV1BfhfsXwPMusARssfPwDKDJ7E6V1uCpyfXSvUq0xBxmhj9TiEQbtH7Opu8vrjTpI7pDaRkfMls0GkXc2ObdCbkLPsCM9P0exCJqJnYxEFbiKIpAxgif2I46ljHrrj5tZLfRVUfo6Pm3Tt7j%2bJkt6SUKOMQVMCYJXlmAMjSxKeIIDC7gm28LEQfkfVb6synvhmnUlWPNT0fOJnW2OHBd4%2fjO%2fkyR9%2fHfdtDUKsSIwuZr2BtYgymF7BBrpdaza5fpzRcYB3izm213Ei47jKhoh3Kfk8Z","descargar bases")</f>
      </c>
    </row>
    <row r="111">
      <c r="A111" s="0" t="inlineStr">
        <is>
          <t xml:space="preserve">2760-118-LR26</t>
        </is>
      </c>
      <c r="B111" s="4" t="inlineStr">
        <is>
          <t xml:space="preserve">SERVICIOS DE TELECOMUNICACIONES Y OTROS SERVICIOS INFORMÁTICOS PARA LA MUNICIPALIDAD DE CORONEL</t>
        </is>
      </c>
      <c r="C111" s="0" t="inlineStr">
        <is>
          <t xml:space="preserve">Publicada</t>
        </is>
      </c>
      <c r="D111" s="0" t="inlineStr">
        <is>
          <t xml:space="preserve">I MUNICIPALIDAD DE CORONEL</t>
        </is>
      </c>
      <c r="E111" s="0" t="inlineStr">
        <is>
          <t xml:space="preserve">SECRETARIA COMUNAL DE PLANIFICACION</t>
        </is>
      </c>
      <c r="F111" s="0" t="inlineStr">
        <is>
          <t xml:space="preserve">Región del Biobío </t>
        </is>
      </c>
      <c r="G111" s="0" t="inlineStr">
        <is>
          <t xml:space="preserve">Coronel</t>
        </is>
      </c>
      <c r="H111" s="2">
        <v>46279.810671</v>
      </c>
      <c r="I111" s="2">
        <v>46310.625</v>
      </c>
      <c r="J111" s="0">
        <v>18</v>
      </c>
      <c r="K111" s="3">
        <v>540000000.0</v>
      </c>
      <c r="L111" s="0" t="inlineStr">
        <is>
          <t xml:space="preserve">CLP</t>
        </is>
      </c>
      <c r="M111" s="0" t="inlineStr">
        <is>
          <t xml:space="preserve">LR</t>
        </is>
      </c>
      <c r="N111" s="4" t="inlineStr">
        <is>
          <t xml:space="preserve">Servicios basados en ingeniería, ciencias sociales y tecnología de la información / Servicios informáticos / Administración de sistemas</t>
        </is>
      </c>
      <c r="O111" s="4" t="inlineStr">
        <is>
          <t xml:space="preserve">1 Global · Soporte y mantenimiento de red de área local (LAN)</t>
        </is>
      </c>
      <c r="P111" s="2"/>
      <c r="Q111" s="2"/>
      <c r="R111" s="0" t="inlineStr">
        <is>
          <t xml:space="preserve">60 meses</t>
        </is>
      </c>
      <c r="S111" s="0" t="inlineStr">
        <is>
          <t xml:space="preserve">No</t>
        </is>
      </c>
      <c r="T111" s="4"/>
      <c r="U111" s="0" t="inlineStr">
        <is>
          <t xml:space="preserve">RODRIGO HENRIQUEZ ARANEDA</t>
        </is>
      </c>
      <c r="V111" s="4" t="inlineStr">
        <is>
          <t xml:space="preserve">SERVICIOS DE TELECOMUNICACIONES Y OTROS SERVICIOS INFORMÁTICOS PARA LA MUNICIPALIDAD DE CORONEL</t>
        </is>
      </c>
      <c r="W111" s="5" t="str">
        <f>HYPERLINK("https://www.mercadopublico.cl/Procurement/Modules/Attachment/ViewAttachment.aspx?enc=lC0hasKNKfApjz2CaqWOgdsAxrgdefLz%2fQWyvTJWPB1cfnDQrn7xduqTGhvsbsnFFgcQgtlODxNVlip8oi%2fOx97T%2bTSYnwARJaGRfLCb1MOP9iLMAwx%2fRVlxbii2LHfMa1udkX%2bcjjzKyMiI4%2bIz7KwjsfgsZjL6O2b%2bHl8li1h570zELMuAJjYR5DTzWKysWZJUo1sFfZc9Ex9r%2faYi%2fbZnU%2f2XVjLsxmZCSEqM7q5cBDAq%2fSFKUXWgySftRUkNOtk1TihA%2bu%2fh%2f%2fLDRnsk613d7qV9VbUBy%2bP8ZBa%2ffdRA8i4EpsajEs6anyI8nfSK","descargar bases")</f>
      </c>
    </row>
    <row r="112">
      <c r="A112" s="0" t="inlineStr">
        <is>
          <t xml:space="preserve">548874-78-LR26</t>
        </is>
      </c>
      <c r="B112" s="4" t="inlineStr">
        <is>
          <t xml:space="preserve">SERVICIO DE LICENCIAS CLOUD SUCCESSFACTORS</t>
        </is>
      </c>
      <c r="C112" s="0" t="inlineStr">
        <is>
          <t xml:space="preserve">Publicada</t>
        </is>
      </c>
      <c r="D112" s="0" t="inlineStr">
        <is>
          <t xml:space="preserve">INSTITUTO DE PREVISION SOCIAL</t>
        </is>
      </c>
      <c r="E112" s="0" t="inlineStr">
        <is>
          <t xml:space="preserve">IPS Oficina Central de Compras</t>
        </is>
      </c>
      <c r="F112" s="0" t="inlineStr">
        <is>
          <t xml:space="preserve">Región Metropolitana de Santiago</t>
        </is>
      </c>
      <c r="G112" s="0" t="inlineStr">
        <is>
          <t xml:space="preserve">Santiago</t>
        </is>
      </c>
      <c r="H112" s="2">
        <v>46272.683935</v>
      </c>
      <c r="I112" s="2">
        <v>46310.625</v>
      </c>
      <c r="J112" s="0">
        <v>18</v>
      </c>
      <c r="K112" s="3">
        <v>606192000.0</v>
      </c>
      <c r="L112" s="0" t="inlineStr">
        <is>
          <t xml:space="preserve">CLP</t>
        </is>
      </c>
      <c r="M112" s="0" t="inlineStr">
        <is>
          <t xml:space="preserve">LR</t>
        </is>
      </c>
      <c r="N112" s="4" t="inlineStr">
        <is>
          <t xml:space="preserve">Tecnologías de la información, telecomunicaciones y radiodifusión / Software / Software de gestión</t>
        </is>
      </c>
      <c r="O112" s="4" t="inlineStr">
        <is>
          <t xml:space="preserve">1 Global · Software de gestión de licencias</t>
        </is>
      </c>
      <c r="P112" s="2"/>
      <c r="Q112" s="2"/>
      <c r="R112" s="0" t="inlineStr">
        <is>
          <t xml:space="preserve">12 meses</t>
        </is>
      </c>
      <c r="S112" s="0" t="inlineStr">
        <is>
          <t xml:space="preserve">No</t>
        </is>
      </c>
      <c r="T112" s="4" t="inlineStr">
        <is>
          <t xml:space="preserve">Ver bases administrativas punto 16.</t>
        </is>
      </c>
      <c r="U112" s="0" t="inlineStr">
        <is>
          <t xml:space="preserve">Por Definir</t>
        </is>
      </c>
      <c r="V112" s="4" t="inlineStr">
        <is>
          <t xml:space="preserve">SERVICIO DE LICENCIAS CLOUD SUCCESSFACTORS EN MODALIDAD SAAS  E1O2RT8.</t>
        </is>
      </c>
      <c r="W112" s="5" t="str">
        <f>HYPERLINK("https://www.mercadopublico.cl/Procurement/Modules/Attachment/ViewAttachment.aspx?enc=1dxYSN0cW9EeVfcaKNZSw3tplADgiR4mx%2fNj8GdrmwyvY6Pds5qHVMiGtv7Qi%2b6upAqQwnEo1Rv151VRisBdZnLXhGSmiW0XJUfdnS5rGNqNRuHJtRUv%2bNLAgxWLhZOTyOSkmta0665QphHOPoW8zNy6%2fgPYkV%2bqqYy0faHSPUZj992yhSSbPKhne9%2biFFpuJu173PalnsPxbe1Lps6WSez1ANEwDVGTLF68ksUEJI3R0HobyJDUlXK2Ke4h1E%2btcjRLQnfkgEXNF2WTcpaqbyR11O7yKq%2bTAgfWyHWOgfMQWnTfSMhjEeEhZF3aEIMB","descargar bases")</f>
      </c>
    </row>
    <row r="113">
      <c r="A113" s="0" t="inlineStr">
        <is>
          <t xml:space="preserve">1305532-14-LP26</t>
        </is>
      </c>
      <c r="B113" s="4" t="inlineStr">
        <is>
          <t xml:space="preserve">VALORIZACION ACTIVO FIJO Y SOFTWARE INVENTARIO</t>
        </is>
      </c>
      <c r="C113" s="0" t="inlineStr">
        <is>
          <t xml:space="preserve">Publicada</t>
        </is>
      </c>
      <c r="D113" s="0" t="inlineStr">
        <is>
          <t xml:space="preserve">SERVICIO LOCAL DE EDUCACIÓN PÚBLICA DEL ELQUI</t>
        </is>
      </c>
      <c r="E113" s="0" t="inlineStr">
        <is>
          <t xml:space="preserve">COMPRAS Y LICITACIONES</t>
        </is>
      </c>
      <c r="F113" s="0" t="inlineStr">
        <is>
          <t xml:space="preserve">Región de Coquimbo </t>
        </is>
      </c>
      <c r="G113" s="0" t="inlineStr">
        <is>
          <t xml:space="preserve">La Serena</t>
        </is>
      </c>
      <c r="H113" s="2">
        <v>46288.674861</v>
      </c>
      <c r="I113" s="2">
        <v>46310.645833</v>
      </c>
      <c r="J113" s="0">
        <v>18</v>
      </c>
      <c r="K113" s="3">
        <v>138000000.0</v>
      </c>
      <c r="L113" s="0" t="inlineStr">
        <is>
          <t xml:space="preserve">CLP</t>
        </is>
      </c>
      <c r="M113" s="0" t="inlineStr">
        <is>
          <t xml:space="preserve">LP</t>
        </is>
      </c>
      <c r="N113" s="4" t="inlineStr">
        <is>
          <t xml:space="preserve">Servicios financieros, pensiones y seguros / Contabilidad y auditorías / Servicios contables</t>
        </is>
      </c>
      <c r="O113" s="4" t="inlineStr">
        <is>
          <t xml:space="preserve">1 Unidad · Contabilidad de inventario</t>
        </is>
      </c>
      <c r="P113" s="2"/>
      <c r="Q113" s="2"/>
      <c r="R113" s="0" t="inlineStr">
        <is>
          <t xml:space="preserve">24 meses</t>
        </is>
      </c>
      <c r="S113" s="0" t="inlineStr">
        <is>
          <t xml:space="preserve">No</t>
        </is>
      </c>
      <c r="T113" s="4"/>
      <c r="U113" s="0" t="inlineStr">
        <is>
          <t xml:space="preserve">Francisca Pérez García</t>
        </is>
      </c>
      <c r="V113"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113" s="5" t="str">
        <f>HYPERLINK("https://www.mercadopublico.cl/Procurement/Modules/Attachment/ViewAttachment.aspx?enc=JBTCTb3u5Ntv7rnYWG%2bnneyTptp0QLLC7Pzbn3suDQsn5%2b0W6eiwV3y8xx6qRi%2fyenvWKS8trn60QlhECmFyM4sXzWYL%2fMTMTQTdrZ1cMUIWR6NtGh3lv%2f2WfIQ6iF9q0vw2%2fMpEfLwc6ZxBwKBfq6x7uWIc0pFisiY4HtduXDDMSrECZF8zpI4otnPJvUAjVG5mJA0h0u7%2fth%2fvtojwULIRyzVmRpkMCaicJevUB4HFePpzSP1lUeG0TAyFqmsUvjUAshQUvrVrLB5apXyrCCPWip0tPaIka6Hby4MXbpGAoaRJXSof2FNPJThkbWQi","descargar bases")</f>
      </c>
    </row>
    <row r="114">
      <c r="A114" s="0" t="inlineStr">
        <is>
          <t xml:space="preserve">1305532-16-LP26</t>
        </is>
      </c>
      <c r="B114" s="4" t="inlineStr">
        <is>
          <t xml:space="preserve">LICENCIAMIENTO SOFTWARE CONCILIACIONES BANCARIAS</t>
        </is>
      </c>
      <c r="C114" s="0" t="inlineStr">
        <is>
          <t xml:space="preserve">Publicada</t>
        </is>
      </c>
      <c r="D114" s="0" t="inlineStr">
        <is>
          <t xml:space="preserve">SERVICIO LOCAL DE EDUCACIÓN PÚBLICA DEL ELQUI</t>
        </is>
      </c>
      <c r="E114" s="0" t="inlineStr">
        <is>
          <t xml:space="preserve">COMPRAS Y LICITACIONES</t>
        </is>
      </c>
      <c r="F114" s="0" t="inlineStr">
        <is>
          <t xml:space="preserve">Región de Coquimbo </t>
        </is>
      </c>
      <c r="G114" s="0" t="inlineStr">
        <is>
          <t xml:space="preserve">La Serena</t>
        </is>
      </c>
      <c r="H114" s="2">
        <v>46289.534722</v>
      </c>
      <c r="I114" s="2">
        <v>46310.645833</v>
      </c>
      <c r="J114" s="0">
        <v>18</v>
      </c>
      <c r="K114" s="3">
        <v>72000000.0</v>
      </c>
      <c r="L114" s="0" t="inlineStr">
        <is>
          <t xml:space="preserve">CLP</t>
        </is>
      </c>
      <c r="M114" s="0" t="inlineStr">
        <is>
          <t xml:space="preserve">LP</t>
        </is>
      </c>
      <c r="N114" s="4" t="inlineStr">
        <is>
          <t xml:space="preserve">Tecnologías de la información, telecomunicaciones y radiodifusión / Software / Software de planificación de recursos empresariales (ERP) y contabilidad financiera</t>
        </is>
      </c>
      <c r="O114" s="4" t="inlineStr">
        <is>
          <t xml:space="preserve">1 Unidad · Programas de contabilidad</t>
        </is>
      </c>
      <c r="P114" s="2"/>
      <c r="Q114" s="2"/>
      <c r="R114" s="0" t="inlineStr">
        <is>
          <t xml:space="preserve">36 meses</t>
        </is>
      </c>
      <c r="S114" s="0" t="inlineStr">
        <is>
          <t xml:space="preserve">No</t>
        </is>
      </c>
      <c r="T114"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14" s="0" t="inlineStr">
        <is>
          <t xml:space="preserve">Francisca Pérez García</t>
        </is>
      </c>
      <c r="V114"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114" s="5" t="str">
        <f>HYPERLINK("https://www.mercadopublico.cl/Procurement/Modules/Attachment/ViewAttachment.aspx?enc=pb8gZlMmbvf4dfh0W63foJRP%2f4A6yqZJjPRzGu5T8Sl7uPU6suWYD43YO7w2S3pHc%2bdmsYbv6BaGDKcklsgOPvoLwXw2DXd3M9XZGCvjgK6C%2fIWw%2fwN4cAkbOy7idOwMydviwVjQsFCIQl6%2fBt1sRcQ4nDrwsHmswZphMVp2xGqg35s2HWNnNF2%2bejBmFQ9EUWuX4yoIlQWYCTPJQLLe2tokBqtD74NhDCZi%2fG1Z%2fsuu9nwy6FJyAkmKt6LnGBf18LbaIH9zGwdXspfa6mWrkXF0RrAlQz8bPcLw11uSpCAj4OnwEasv97t6vY5KmNdh","descargar bases")</f>
      </c>
    </row>
    <row r="115">
      <c r="A115" s="0" t="inlineStr">
        <is>
          <t xml:space="preserve">2403-72-LP26</t>
        </is>
      </c>
      <c r="B115" s="4" t="inlineStr">
        <is>
          <t xml:space="preserve">Servicios Cloud</t>
        </is>
      </c>
      <c r="C115" s="0" t="inlineStr">
        <is>
          <t xml:space="preserve">Publicada</t>
        </is>
      </c>
      <c r="D115" s="0" t="inlineStr">
        <is>
          <t xml:space="preserve">I MUNICIPALIDAD DE PENALOLEN</t>
        </is>
      </c>
      <c r="E115" s="0" t="inlineStr">
        <is>
          <t xml:space="preserve">I.MUNICIPALIDAD DE PEÑALOLEN</t>
        </is>
      </c>
      <c r="F115" s="0" t="inlineStr">
        <is>
          <t xml:space="preserve">Región Metropolitana de Santiago</t>
        </is>
      </c>
      <c r="G115" s="0" t="inlineStr">
        <is>
          <t xml:space="preserve">Peñalolén</t>
        </is>
      </c>
      <c r="H115" s="2">
        <v>46288.529942</v>
      </c>
      <c r="I115" s="2">
        <v>46310.645833</v>
      </c>
      <c r="J115" s="0">
        <v>18</v>
      </c>
      <c r="K115" s="3">
        <v>320000.0</v>
      </c>
      <c r="L115" s="0" t="inlineStr">
        <is>
          <t xml:space="preserve">USD</t>
        </is>
      </c>
      <c r="M115" s="0" t="inlineStr">
        <is>
          <t xml:space="preserve">LP</t>
        </is>
      </c>
      <c r="N115" s="4" t="inlineStr">
        <is>
          <t xml:space="preserve">Servicios basados en ingeniería, ciencias sociales y tecnología de la información / Servicios informáticos / Servicios de datos</t>
        </is>
      </c>
      <c r="O115" s="4" t="inlineStr">
        <is>
          <t xml:space="preserve">1 Global · Centro de servicios de datos</t>
        </is>
      </c>
      <c r="P115" s="2"/>
      <c r="Q115" s="2"/>
      <c r="R115" s="0" t="inlineStr">
        <is>
          <t xml:space="preserve">49 meses</t>
        </is>
      </c>
      <c r="S115" s="0" t="inlineStr">
        <is>
          <t xml:space="preserve">No</t>
        </is>
      </c>
      <c r="T115" s="4" t="inlineStr">
        <is>
          <t xml:space="preserve">Según Bases de Licitación</t>
        </is>
      </c>
      <c r="U115" s="0" t="inlineStr">
        <is>
          <t xml:space="preserve">Matías Allende</t>
        </is>
      </c>
      <c r="V115"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115" s="5" t="str">
        <f>HYPERLINK("https://www.mercadopublico.cl/Procurement/Modules/Attachment/ViewAttachment.aspx?enc=1i3iZlOTTCvkSvkrnRunmSRt2BASd2DmkGGKWZaMjYvWfSqiMSFPongqA%2f6E8WUEVtlru%2fjy92HUUL4xF4yk%2btCcJFO%2fnS3IOFHzX3fij5OpjQbeuEFFkri2TAsgOnYU0Q4zUe4g5mLZHMHza6GIm1A7bbkCiIeFfP5Rc8cscK2wREUTFwnRNcO%2fBRWyksBKzlTNCZKwunmr9bSMuCfkUTkybhcaikbGzv8fiqvJTmcmFGbibjTZqw3tuBtHnSqe47KsR3kFNYSN%2f0IOcJnh6NCFCsbb9svxPB0h%2bkzC4Ec6uHXqNs99z2QY9K84Fdjq","descargar bases")</f>
      </c>
    </row>
    <row r="116">
      <c r="A116" s="0" t="inlineStr">
        <is>
          <t xml:space="preserve">608-197-LR26</t>
        </is>
      </c>
      <c r="B116" s="4" t="inlineStr">
        <is>
          <t xml:space="preserve">SERVICIO DE OPERACIÓN MANTENIMIENTO Y ACTUALIZACIÓN DE PLATAFORMAS TECNOLÓGICAS DE LA SALA DE CONTROL CENTRALIZADO DEL HOSPITAL DR. GUSTAVO FRICKE</t>
        </is>
      </c>
      <c r="C116" s="0" t="inlineStr">
        <is>
          <t xml:space="preserve">Publicada</t>
        </is>
      </c>
      <c r="D116" s="0" t="inlineStr">
        <is>
          <t xml:space="preserve">HOSPITAL DR GUSTAVO FRICKE DE VINA DEL MAR</t>
        </is>
      </c>
      <c r="E116" s="0" t="inlineStr">
        <is>
          <t xml:space="preserve">Hospital Dr. Gustavo Fricke</t>
        </is>
      </c>
      <c r="F116" s="0" t="inlineStr">
        <is>
          <t xml:space="preserve">Región de Valparaíso </t>
        </is>
      </c>
      <c r="G116" s="0"/>
      <c r="H116" s="2">
        <v>46279.505</v>
      </c>
      <c r="I116" s="2">
        <v>46310.686806</v>
      </c>
      <c r="J116" s="0">
        <v>18</v>
      </c>
      <c r="K116" s="3">
        <v>675433201.0</v>
      </c>
      <c r="L116" s="0" t="inlineStr">
        <is>
          <t xml:space="preserve">CLP</t>
        </is>
      </c>
      <c r="M116" s="0" t="inlineStr">
        <is>
          <t xml:space="preserve">LR</t>
        </is>
      </c>
      <c r="N116" s="4" t="inlineStr">
        <is>
          <t xml:space="preserve">Servicios basados en ingeniería, ciencias sociales y tecnología de la información / Servicios informáticos / Ingeniería en computación e informática</t>
        </is>
      </c>
      <c r="O116" s="4" t="inlineStr">
        <is>
          <t xml:space="preserve">1 Unidad · Integración de sistemas</t>
        </is>
      </c>
      <c r="P116" s="2"/>
      <c r="Q116" s="2"/>
      <c r="R116" s="0" t="inlineStr">
        <is>
          <t xml:space="preserve">17 meses</t>
        </is>
      </c>
      <c r="S116" s="0" t="inlineStr">
        <is>
          <t xml:space="preserve">No</t>
        </is>
      </c>
      <c r="T116" s="4"/>
      <c r="U116" s="0" t="inlineStr">
        <is>
          <t xml:space="preserve">SE DEFINIRÁ AL MOMENTO DE ADJUDICAR PROCESO</t>
        </is>
      </c>
      <c r="V116" s="4" t="inlineStr">
        <is>
          <t xml:space="preserve">Que la unidad de control centralizado integra plataformas tecnológicas y de comunicación complejas que
permiten el monitoreo constante y reacción inmediata ante incidentes y respuesta en tiempo real frente a
emergencias.</t>
        </is>
      </c>
      <c r="W116" s="5" t="str">
        <f>HYPERLINK("https://www.mercadopublico.cl/Procurement/Modules/Attachment/ViewAttachment.aspx?enc=hnvq3a1ohIi7oTupsZN%2fAUqhBsU%2fcv74GUcvBq2a05E9IXrDmJsV7qeHGlb0cPvylDAczTb9prpPDWYX%2bCgNz%2fUQJKKoPTGd6DczdMrevr0vEI1W60jotCZ3hjoPCmr02P%2biYSrJIv60ECJkM5ecFdhE%2f8EfOhQUPkgI8YoXEZIXsRYmkT%2fFso%2fPU8s4Yry8g6DkbIJc8dznzhTyrHTMy7QDVoZPKg5qFtBA0OuqQBctNSQJq8AMUmrXZIzjLFZQJkLWTxHx7eqKmIOIM75YEVX5AiRTrTw1oeFwikAGgeTi8Y7I5NdXJqn%2bNKAJsGIH","descargar bases")</f>
      </c>
    </row>
    <row r="117">
      <c r="A117" s="0" t="inlineStr">
        <is>
          <t xml:space="preserve">1643-91-LP26</t>
        </is>
      </c>
      <c r="B117" s="4" t="inlineStr">
        <is>
          <t xml:space="preserve">SISTEMA INFORMÁTICO ERP</t>
        </is>
      </c>
      <c r="C117" s="0" t="inlineStr">
        <is>
          <t xml:space="preserve">Publicada</t>
        </is>
      </c>
      <c r="D117" s="0" t="inlineStr">
        <is>
          <t xml:space="preserve">SERVICIO NACIONAL DE SALUD HOSPITAL DE T</t>
        </is>
      </c>
      <c r="E117" s="0" t="inlineStr">
        <is>
          <t xml:space="preserve">Hospital de Talagante</t>
        </is>
      </c>
      <c r="F117" s="0" t="inlineStr">
        <is>
          <t xml:space="preserve">Región Metropolitana de Santiago</t>
        </is>
      </c>
      <c r="G117" s="0" t="inlineStr">
        <is>
          <t xml:space="preserve">Talagante</t>
        </is>
      </c>
      <c r="H117" s="2">
        <v>46290.5386</v>
      </c>
      <c r="I117" s="2">
        <v>46310.708333</v>
      </c>
      <c r="J117" s="0">
        <v>18</v>
      </c>
      <c r="K117" s="3">
        <v>320000000.0</v>
      </c>
      <c r="L117" s="0" t="inlineStr">
        <is>
          <t xml:space="preserve">CLP</t>
        </is>
      </c>
      <c r="M117" s="0" t="inlineStr">
        <is>
          <t xml:space="preserve">LP</t>
        </is>
      </c>
      <c r="N117" s="4" t="inlineStr">
        <is>
          <t xml:space="preserve">Tecnologías de la información, telecomunicaciones y radiodifusión / Software / Software de planificación de recursos empresariales (ERP) y contabilidad financiera</t>
        </is>
      </c>
      <c r="O117" s="4" t="inlineStr">
        <is>
          <t xml:space="preserve">1 Unidad · Software de planificación de recursos empresariales (ERP)</t>
        </is>
      </c>
      <c r="P117" s="2"/>
      <c r="Q117" s="2"/>
      <c r="R117" s="0" t="inlineStr">
        <is>
          <t xml:space="preserve">24 meses</t>
        </is>
      </c>
      <c r="S117" s="0" t="inlineStr">
        <is>
          <t xml:space="preserve">No</t>
        </is>
      </c>
      <c r="T117" s="4"/>
      <c r="U117" s="0" t="inlineStr">
        <is>
          <t xml:space="preserve">Paulina Montenegro Aguilera</t>
        </is>
      </c>
      <c r="V117" s="4" t="inlineStr">
        <is>
          <t xml:space="preserve">EL HOSPITAL DE TALAGANTE REQUIERE LA CONTRATACIÓN DEL SERVICIO DE IMPLEMENTACIÓN, MIGRACIÓN, PUESTA EN MARCHA Y EJECUCIÓN DE UN SISTEMA INFORMÁTICO DE GESTIÓN ERP POR 24 MESES.</t>
        </is>
      </c>
      <c r="W117" s="5" t="str">
        <f>HYPERLINK("https://www.mercadopublico.cl/Procurement/Modules/Attachment/ViewAttachment.aspx?enc=x9KuAy%2fO1Eu7dLoOn5cmk14DuKrHs8WscPB8pxmTF2r9HalRU9U%2fpQ%2bMhie7O8ACosS5HglgHhsLyv996PLZ1%2bouuhJxqDIV2zzs9975eVjqOg79TaSVTcor3MM8Xv5Pq%2b5bRMgOKVr5NaBV7c61TF%2bbeI0oZNwKFNCFPlTzdGHd%2bqkbU3qW7ReVnBQ6suNv1VQgc9Y6r%2f6H48LXu6D6j4kounWUBjAOfD1t%2bxEsPJWtLqrILMSRkh5ZNy9nqjV%2bp3v6gJlKY3glhTK3gA0hhEl%2fHFfWOSIAGczaGek7VgsmZRKjGXiyBM4KnGtZRHwM","descargar bases")</f>
      </c>
    </row>
    <row r="118">
      <c r="A118" s="0" t="inlineStr">
        <is>
          <t xml:space="preserve">2852-59-LP26</t>
        </is>
      </c>
      <c r="B118" s="4" t="inlineStr">
        <is>
          <t xml:space="preserve">ADQUISICION DE LICENCIAS DE SOFTWARE</t>
        </is>
      </c>
      <c r="C118" s="0" t="inlineStr">
        <is>
          <t xml:space="preserve">Publicada</t>
        </is>
      </c>
      <c r="D118" s="0" t="inlineStr">
        <is>
          <t xml:space="preserve">I MUNICIPALIDAD DE PUERTO VARAS</t>
        </is>
      </c>
      <c r="E118" s="0" t="inlineStr">
        <is>
          <t xml:space="preserve">Adquisiciones Municipalidad</t>
        </is>
      </c>
      <c r="F118" s="0" t="inlineStr">
        <is>
          <t xml:space="preserve">Región de los Lagos </t>
        </is>
      </c>
      <c r="G118" s="0" t="inlineStr">
        <is>
          <t xml:space="preserve">Puerto Varas</t>
        </is>
      </c>
      <c r="H118" s="2">
        <v>46290.736354</v>
      </c>
      <c r="I118" s="2">
        <v>46310.829167</v>
      </c>
      <c r="J118" s="0">
        <v>18</v>
      </c>
      <c r="K118" s="3"/>
      <c r="L118" s="0" t="inlineStr">
        <is>
          <t xml:space="preserve">CLP</t>
        </is>
      </c>
      <c r="M118" s="0" t="inlineStr">
        <is>
          <t xml:space="preserve">LP</t>
        </is>
      </c>
      <c r="N118"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118" s="4" t="inlineStr">
        <is>
          <t xml:space="preserve">1 Unidad · Software de gestión de licencias · 1 Unidad · Software de gestión de licencias · 1 Unidad · Software de gestión de licencias · y 8 más</t>
        </is>
      </c>
      <c r="P118" s="2"/>
      <c r="Q118" s="2"/>
      <c r="R118" s="0"/>
      <c r="S118" s="0" t="inlineStr">
        <is>
          <t xml:space="preserve">No</t>
        </is>
      </c>
      <c r="T118" s="4"/>
      <c r="U118" s="0" t="inlineStr">
        <is>
          <t xml:space="preserve">Segundo Garcés Leuquen</t>
        </is>
      </c>
      <c r="V118"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118" s="5" t="str">
        <f>HYPERLINK("https://www.mercadopublico.cl/Procurement/Modules/Attachment/ViewAttachment.aspx?enc=bBBKtgG3%2fVC2mEToj%2buSaQk4C6rAMmsxUywEdGsfwZGVi8QaLyryRiRKGAMtYBsBG5obxDUWnApQClaEP7mmfbVphemVrXuDHeNWxbPQ5JCYgyfk05PIEDn0OP77prkYGwCVp5HyARork%2bJTkmXa9eIEdidWVXhJxy3QeebGPEeLowS%2bkkqfz9KAHv4KQNRfGhVk2cs%2bQr2Hif3WFe9KLdJ%2frcS1NOY2cQbXQUNoPHKh8dhr2apWvmD5qbD0fw7Xk%2fFCJO7kai%2bu8ggvRYbjRdo%2f%2bk5KCdxh4Xvxfa9XoYAAJlOR4mQ2PD3fIHpqA5fx","descargar bases")</f>
      </c>
    </row>
    <row r="119">
      <c r="A119" s="0" t="inlineStr">
        <is>
          <t xml:space="preserve">4459-23-LP26</t>
        </is>
      </c>
      <c r="B119" s="4" t="inlineStr">
        <is>
          <t xml:space="preserve">Plataforma de Sistemas Informáticos de Gestión Municipal para la Ilustre Municipalidad de Pichilemu</t>
        </is>
      </c>
      <c r="C119" s="0" t="inlineStr">
        <is>
          <t xml:space="preserve">Publicada</t>
        </is>
      </c>
      <c r="D119" s="0" t="inlineStr">
        <is>
          <t xml:space="preserve">ILUSTRE MUNICIPALIDAD DE PICHILEMU</t>
        </is>
      </c>
      <c r="E119" s="0" t="inlineStr">
        <is>
          <t xml:space="preserve">Departamento de Proyectos</t>
        </is>
      </c>
      <c r="F119" s="0" t="inlineStr">
        <is>
          <t xml:space="preserve">Región del Libertador General Bernardo O´Higgins</t>
        </is>
      </c>
      <c r="G119" s="0" t="inlineStr">
        <is>
          <t xml:space="preserve">Pichilemu</t>
        </is>
      </c>
      <c r="H119" s="2">
        <v>46290.508056</v>
      </c>
      <c r="I119" s="2">
        <v>46311.625</v>
      </c>
      <c r="J119" s="0">
        <v>19</v>
      </c>
      <c r="K119" s="3">
        <v>265216200.0</v>
      </c>
      <c r="L119" s="0" t="inlineStr">
        <is>
          <t xml:space="preserve">CLP</t>
        </is>
      </c>
      <c r="M119" s="0" t="inlineStr">
        <is>
          <t xml:space="preserve">LP</t>
        </is>
      </c>
      <c r="N119" s="4" t="inlineStr">
        <is>
          <t xml:space="preserve">Tecnologías de la información, telecomunicaciones y radiodifusión / Software / Software de administración de redes</t>
        </is>
      </c>
      <c r="O119" s="4" t="inlineStr">
        <is>
          <t xml:space="preserve">1 Unidad · Software de mejora de sistemas operativos de redes</t>
        </is>
      </c>
      <c r="P119" s="2"/>
      <c r="Q119" s="2"/>
      <c r="R119" s="0"/>
      <c r="S119" s="0" t="inlineStr">
        <is>
          <t xml:space="preserve">No</t>
        </is>
      </c>
      <c r="T119" s="4"/>
      <c r="U119" s="0" t="inlineStr">
        <is>
          <t xml:space="preserve">Isabel Riquelme Gonzalez</t>
        </is>
      </c>
      <c r="V119"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119" s="5" t="str">
        <f>HYPERLINK("https://www.mercadopublico.cl/Procurement/Modules/Attachment/ViewAttachment.aspx?enc=xrj98ry5gwCWqC1xhdFDNe58p4IoJLdYymGa3fZeL%2fEsX7hZVUie7eMZ3deVw46gdA%2bBR7WPdomjKsYBzicqAkTtKoOu3d7SvljMSPf2ag9DgwBlaChbVuBXPniVGdu2gghoGdwPiVy9yHmkZRH8ZGyeDaVJpFs89RC28fNl4Dt0LLLpJuJjoZ%2fk76G%2f0qaSpKl%2bBha7dcOjobUI28BQJvgH9PUchM497UBp5eKvVhnxXHhtV4910MeO%2fEaP3wGVfq5K%2brcLJD9EH6EDZ6LcYQjyjRD3qihgMokVp9mSXtnCi%2bMUhWm%2bhvjG0t8YOtnI","descargar bases")</f>
      </c>
    </row>
    <row r="120">
      <c r="A120" s="0" t="inlineStr">
        <is>
          <t xml:space="preserve">948354-139-LR26</t>
        </is>
      </c>
      <c r="B120" s="4" t="inlineStr">
        <is>
          <t xml:space="preserve">CONTRATACIÓN DE SERVICIO DE SOFTWARE DE RECURSOS HUMANOS PARA EL HOSPITAL DIPRECA</t>
        </is>
      </c>
      <c r="C120" s="0" t="inlineStr">
        <is>
          <t xml:space="preserve">Publicada</t>
        </is>
      </c>
      <c r="D120" s="0" t="inlineStr">
        <is>
          <t xml:space="preserve">FONDO HOSPITAL DE LA DIRECCION DE PREVISION DE CARABINEROS DE CHILE</t>
        </is>
      </c>
      <c r="E120" s="0" t="inlineStr">
        <is>
          <t xml:space="preserve">Unidad de Compra de Bienes y Servicios</t>
        </is>
      </c>
      <c r="F120" s="0" t="inlineStr">
        <is>
          <t xml:space="preserve">Región Metropolitana de Santiago</t>
        </is>
      </c>
      <c r="G120" s="0" t="inlineStr">
        <is>
          <t xml:space="preserve">Las Condes</t>
        </is>
      </c>
      <c r="H120" s="2">
        <v>46281.643044</v>
      </c>
      <c r="I120" s="2">
        <v>46311.666667</v>
      </c>
      <c r="J120" s="0">
        <v>19</v>
      </c>
      <c r="K120" s="3">
        <v>450000000.0</v>
      </c>
      <c r="L120" s="0" t="inlineStr">
        <is>
          <t xml:space="preserve">CLP</t>
        </is>
      </c>
      <c r="M120" s="0" t="inlineStr">
        <is>
          <t xml:space="preserve">LR</t>
        </is>
      </c>
      <c r="N120" s="4" t="inlineStr">
        <is>
          <t xml:space="preserve">Tecnologías de la información, telecomunicaciones y radiodifusión / Software / Software de gestión</t>
        </is>
      </c>
      <c r="O120" s="4" t="inlineStr">
        <is>
          <t xml:space="preserve">1 Unidad · Software de gestión de recursos humanos</t>
        </is>
      </c>
      <c r="P120" s="2"/>
      <c r="Q120" s="2"/>
      <c r="R120" s="0" t="inlineStr">
        <is>
          <t xml:space="preserve">36 meses</t>
        </is>
      </c>
      <c r="S120" s="0" t="inlineStr">
        <is>
          <t xml:space="preserve">No</t>
        </is>
      </c>
      <c r="T120" s="4"/>
      <c r="U120" s="0" t="inlineStr">
        <is>
          <t xml:space="preserve">Patricio Salinas</t>
        </is>
      </c>
      <c r="V120"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20" s="5" t="str">
        <f>HYPERLINK("https://www.mercadopublico.cl/Procurement/Modules/Attachment/ViewAttachment.aspx?enc=n%2bCiAl5drDSC%2b6qU8fBbZF1hvTaR9XjeK%2fjY8NLVtbrOo%2bsA1viiuQWeNRIf%2fPB3Uxu23IHKS1DnUkdnWL0CrLqYDSUcRisZLCTX4s8L0PEv%2bbW%2fPwMn0o1HbJhPhrs%2b7x0CEqV0bHEXq9ZUizxqcFkpOxnceYfcC%2bJorf9RSEM5SHQo535Cbfjm9WnwoBKG7RcrAPHZv31yUSc9oFgaTRVTlzoXV%2bq50oDye2d5Z53lVEi2HcsUUY4rgfDuNacsmEJRthw%2f34sCgo4b61j2DrG4Xi1J42vpdM0c0hgV2HlWsCkFw34T06RCKAHqMWY%2f","descargar bases")</f>
      </c>
    </row>
    <row r="121">
      <c r="A121" s="0" t="inlineStr">
        <is>
          <t xml:space="preserve">514862-125-LR26</t>
        </is>
      </c>
      <c r="B121" s="4" t="inlineStr">
        <is>
          <t xml:space="preserve">10032938 PLATAFORMA DE AGENDAMIENTO TELECONSULTAS</t>
        </is>
      </c>
      <c r="C121" s="0" t="inlineStr">
        <is>
          <t xml:space="preserve">Publicada</t>
        </is>
      </c>
      <c r="D121" s="0" t="inlineStr">
        <is>
          <t xml:space="preserve">CORPORACION MUNICIPAL DE PENALOLEN PARA EL DESARROLO SOCIAL CORMUP</t>
        </is>
      </c>
      <c r="E121" s="0" t="inlineStr">
        <is>
          <t xml:space="preserve">CORPORACION MUNICIPAL DE PENALOLEN PARA EL DESARRO</t>
        </is>
      </c>
      <c r="F121" s="0" t="inlineStr">
        <is>
          <t xml:space="preserve">Región Metropolitana de Santiago</t>
        </is>
      </c>
      <c r="G121" s="0" t="inlineStr">
        <is>
          <t xml:space="preserve">Peñalolén</t>
        </is>
      </c>
      <c r="H121" s="2">
        <v>46281.559005</v>
      </c>
      <c r="I121" s="2">
        <v>46314.625</v>
      </c>
      <c r="J121" s="0">
        <v>22</v>
      </c>
      <c r="K121" s="3">
        <v>408000000.0</v>
      </c>
      <c r="L121" s="0" t="inlineStr">
        <is>
          <t xml:space="preserve">CLP</t>
        </is>
      </c>
      <c r="M121" s="0" t="inlineStr">
        <is>
          <t xml:space="preserve">LR</t>
        </is>
      </c>
      <c r="N121" s="4" t="inlineStr">
        <is>
          <t xml:space="preserve">Servicios basados en ingeniería, ciencias sociales y tecnología de la información / Servicios informáticos / Servicios de datos</t>
        </is>
      </c>
      <c r="O121" s="4" t="inlineStr">
        <is>
          <t xml:space="preserve">1 Unidad · Servicios de transformación de datos</t>
        </is>
      </c>
      <c r="P121" s="2"/>
      <c r="Q121" s="2"/>
      <c r="R121" s="0"/>
      <c r="S121" s="0" t="inlineStr">
        <is>
          <t xml:space="preserve">No</t>
        </is>
      </c>
      <c r="T121" s="4" t="inlineStr">
        <is>
          <t xml:space="preserve">SEGUN BASES ADJUNTAS</t>
        </is>
      </c>
      <c r="U121" s="0" t="inlineStr">
        <is>
          <t xml:space="preserve">DANILA SEGUEL</t>
        </is>
      </c>
      <c r="V121" s="4" t="inlineStr">
        <is>
          <t xml:space="preserve">SEGUN BASES ADJUNTAS</t>
        </is>
      </c>
      <c r="W121" s="5" t="str">
        <f>HYPERLINK("https://www.mercadopublico.cl/Procurement/Modules/Attachment/ViewAttachment.aspx?enc=1DiNspGGfXUtfPuweBvR75zE2B6DoL5q8J2n4p5TYYozkNe5g75I6ZEd9fR6%2fcs8M2OJHbsV0YvPqLCPB5nWs4V9Yvs4063LdCLQGcl9HAWFsKnz3eHWnzpnFhJqW85OlBLL4WPkzuNZLXVboPXCr3Z3mal5Qeq%2brJACtZLpRbwjZbjA9DaXhTTKCCeyptIpLnEwrsuKRQdMHQnl2%2bH7BLkHdiBxTG7Gw97PbH1FYblgbnJi7NuglWF0H3Y6UlYAwcP69Vxe9M3SpukXDca1pbbU%2fKS7y40avkRHueLg526sDLM942RhefOgyKD5p3mR","descargar bases")</f>
      </c>
    </row>
    <row r="122">
      <c r="A122" s="0" t="inlineStr">
        <is>
          <t xml:space="preserve">425-65-LR26</t>
        </is>
      </c>
      <c r="B122" s="4" t="inlineStr">
        <is>
          <t xml:space="preserve">Renovación de licencias y servicio de administración de software Falcon Crowdstrike EDR para el Poder Judicial</t>
        </is>
      </c>
      <c r="C122" s="0" t="inlineStr">
        <is>
          <t xml:space="preserve">Publicada</t>
        </is>
      </c>
      <c r="D122" s="0" t="inlineStr">
        <is>
          <t xml:space="preserve">CORP ADMINISTRATIVA DEL PODER JUDICIAL</t>
        </is>
      </c>
      <c r="E122" s="0" t="inlineStr">
        <is>
          <t xml:space="preserve">Servicios</t>
        </is>
      </c>
      <c r="F122" s="0" t="inlineStr">
        <is>
          <t xml:space="preserve">Región Metropolitana de Santiago</t>
        </is>
      </c>
      <c r="G122" s="0" t="inlineStr">
        <is>
          <t xml:space="preserve">Santiago Centro</t>
        </is>
      </c>
      <c r="H122" s="2">
        <v>46282.49713</v>
      </c>
      <c r="I122" s="2">
        <v>46314.666667</v>
      </c>
      <c r="J122" s="0">
        <v>22</v>
      </c>
      <c r="K122" s="3"/>
      <c r="L122" s="0" t="inlineStr">
        <is>
          <t xml:space="preserve">USD</t>
        </is>
      </c>
      <c r="M122" s="0" t="inlineStr">
        <is>
          <t xml:space="preserve">LR</t>
        </is>
      </c>
      <c r="N122" s="4" t="inlineStr">
        <is>
          <t xml:space="preserve">Tecnologías de la información, telecomunicaciones y radiodifusión / Software / Software de gestión</t>
        </is>
      </c>
      <c r="O122" s="4" t="inlineStr">
        <is>
          <t xml:space="preserve">1 Global · Software de gestión de licencias · 1 Global · Software de gestión de licencias · 1 Global · Software de gestión de licencias · y 2 más</t>
        </is>
      </c>
      <c r="P122" s="2"/>
      <c r="Q122" s="2"/>
      <c r="R122" s="0" t="inlineStr">
        <is>
          <t xml:space="preserve">12 meses</t>
        </is>
      </c>
      <c r="S122" s="0" t="inlineStr">
        <is>
          <t xml:space="preserve">No</t>
        </is>
      </c>
      <c r="T122" s="4" t="inlineStr">
        <is>
          <t xml:space="preserve">De acuerdo al numeral 15 de las bases administrativas especiales</t>
        </is>
      </c>
      <c r="U122" s="0" t="inlineStr">
        <is>
          <t xml:space="preserve">Jorge Quezada</t>
        </is>
      </c>
      <c r="V122" s="4" t="inlineStr">
        <is>
          <t xml:space="preserve">Renovación de licencias y servicio de administración de software Falcon Crowdstrike EDR para el Poder Judicial</t>
        </is>
      </c>
      <c r="W122" s="5" t="str">
        <f>HYPERLINK("https://www.mercadopublico.cl/Procurement/Modules/Attachment/ViewAttachment.aspx?enc=FXtNimax7So3Gw2knnIF4vlYrXy8TiUr3QrFVu%2ftcvwiGGTc%2fhnBZkZSxCZN%2bEheAHxKHK4fk30yir1JKr8UrYpA2tRdMmiNvYIHdUbCwE8UHWZhjWEFycyswGNndKNmtZM0w0arL03yuprOuoKq24IcF9csKZUAxICPrP%2fKw44UeHDP33BXTa9GQ32gmC%2b88XDs%2bLlZ1fEdn9IC%2fJiLCGEjy3hQ95VqNwlhU46q%2bbyJYyt38qk5TqTpZf9LzPt%2fRf9Zu2nz6OCU7EpZhb8%2fNOfa22gTlimDB9jUtGdHStSM4F6dRYwfehYSmQWjHxZC","descargar bases")</f>
      </c>
    </row>
    <row r="123">
      <c r="A123" s="0" t="inlineStr">
        <is>
          <t xml:space="preserve">1461054-45-LP26</t>
        </is>
      </c>
      <c r="B123" s="4" t="inlineStr">
        <is>
          <t xml:space="preserve">PLATAFORMA DE GESTIÓN EDUCACIONAL PARA 77 E.E</t>
        </is>
      </c>
      <c r="C123" s="0" t="inlineStr">
        <is>
          <t xml:space="preserve">Publicada</t>
        </is>
      </c>
      <c r="D123" s="0" t="inlineStr">
        <is>
          <t xml:space="preserve">SERVICIO LOCAL DE EDUCACIÓN PÚBLICA DEL ELQUI</t>
        </is>
      </c>
      <c r="E123" s="0" t="inlineStr">
        <is>
          <t xml:space="preserve">P02 Establecimientos Educacionales</t>
        </is>
      </c>
      <c r="F123" s="0" t="inlineStr">
        <is>
          <t xml:space="preserve">Región de Coquimbo </t>
        </is>
      </c>
      <c r="G123" s="0" t="inlineStr">
        <is>
          <t xml:space="preserve">La Serena</t>
        </is>
      </c>
      <c r="H123" s="2">
        <v>46288.639294</v>
      </c>
      <c r="I123" s="2">
        <v>46315.645833</v>
      </c>
      <c r="J123" s="0">
        <v>23</v>
      </c>
      <c r="K123" s="3">
        <v>290234736.0</v>
      </c>
      <c r="L123" s="0" t="inlineStr">
        <is>
          <t xml:space="preserve">CLP</t>
        </is>
      </c>
      <c r="M123" s="0" t="inlineStr">
        <is>
          <t xml:space="preserve">LP</t>
        </is>
      </c>
      <c r="N123" s="4" t="inlineStr">
        <is>
          <t xml:space="preserve">Tecnologías de la información, telecomunicaciones y radiodifusión / Software / Software de consultas y gestión de datos</t>
        </is>
      </c>
      <c r="O123" s="4" t="inlineStr">
        <is>
          <t xml:space="preserve">1 Unidad · Software del sistema de administración de bases de datos</t>
        </is>
      </c>
      <c r="P123" s="2"/>
      <c r="Q123" s="2"/>
      <c r="R123" s="0" t="inlineStr">
        <is>
          <t xml:space="preserve">36 meses</t>
        </is>
      </c>
      <c r="S123" s="0" t="inlineStr">
        <is>
          <t xml:space="preserve">No</t>
        </is>
      </c>
      <c r="T123"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23" s="0" t="inlineStr">
        <is>
          <t xml:space="preserve">Francisca Pérez García</t>
        </is>
      </c>
      <c r="V123"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23" s="5" t="str">
        <f>HYPERLINK("https://www.mercadopublico.cl/Procurement/Modules/Attachment/ViewAttachment.aspx?enc=HIRKK3mGVQke5ERXO2HFu6Cy2upZXmmDgCANqZ6GXpv4yVrsjKug8bOYDBm%2bkCkNoqO0tYZuZ%2bsdhdh51sG%2fVexAtgKfdtWDXqUoIkOvxlxb9kCECJDT%2bb%2bZFI19kbrA6vw14xXevZfcUd7J8vDBQEkTmDWk5eMCsChGkH4%2bxFIuPKsCrqPJDAg6NfgFbRA4%2blytUupt%2fYIqSqL29iU7l6hIS6p%2f0P4o6WGFMOSFZguzBJqMBY8qWNxeIGnvSnJErj8asPAQFrTXcA8Jezq5t0rRblL0k04cY4wGTsQnnbZeqcSUP%2fOaB8w%2fMqouMGms","descargar bases")</f>
      </c>
    </row>
    <row r="124">
      <c r="A124" s="0" t="inlineStr">
        <is>
          <t xml:space="preserve">605-17-LP26</t>
        </is>
      </c>
      <c r="B124" s="4" t="inlineStr">
        <is>
          <t xml:space="preserve">TELEFONÍA FIJA Y RED PRIVADA DE DATOS</t>
        </is>
      </c>
      <c r="C124" s="0" t="inlineStr">
        <is>
          <t xml:space="preserve">Publicada</t>
        </is>
      </c>
      <c r="D124" s="0" t="inlineStr">
        <is>
          <t xml:space="preserve">Consejo de Defensa del Estado</t>
        </is>
      </c>
      <c r="E124" s="0" t="inlineStr">
        <is>
          <t xml:space="preserve">Consejo de Defensa del Estado</t>
        </is>
      </c>
      <c r="F124" s="0" t="inlineStr">
        <is>
          <t xml:space="preserve">Región Metropolitana de Santiago</t>
        </is>
      </c>
      <c r="G124" s="0" t="inlineStr">
        <is>
          <t xml:space="preserve">Santiago</t>
        </is>
      </c>
      <c r="H124" s="2">
        <v>46267.455012</v>
      </c>
      <c r="I124" s="2">
        <v>46317.625</v>
      </c>
      <c r="J124" s="0">
        <v>25</v>
      </c>
      <c r="K124" s="3">
        <v>8500.0</v>
      </c>
      <c r="L124" s="0" t="inlineStr">
        <is>
          <t xml:space="preserve">CLF</t>
        </is>
      </c>
      <c r="M124" s="0" t="inlineStr">
        <is>
          <t xml:space="preserve">LP</t>
        </is>
      </c>
      <c r="N124" s="4" t="inlineStr">
        <is>
          <t xml:space="preserve">Servicios básicos y de información pública / Telecomunicaciones / Telefonía local y de larga distancia</t>
        </is>
      </c>
      <c r="O124" s="4" t="inlineStr">
        <is>
          <t xml:space="preserve">1 Unidad · Servicio telefónico local · 1 Unidad · Servicio de comunicación IP</t>
        </is>
      </c>
      <c r="P124" s="2"/>
      <c r="Q124" s="2"/>
      <c r="R124" s="0" t="inlineStr">
        <is>
          <t xml:space="preserve">24 meses</t>
        </is>
      </c>
      <c r="S124" s="0" t="inlineStr">
        <is>
          <t xml:space="preserve">No</t>
        </is>
      </c>
      <c r="T124"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4" s="0" t="inlineStr">
        <is>
          <t xml:space="preserve">IVANHOE AGUIRRE RIVERA</t>
        </is>
      </c>
      <c r="V124"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4" s="5" t="str">
        <f>HYPERLINK("https://www.mercadopublico.cl/Procurement/Modules/Attachment/ViewAttachment.aspx?enc=ZEp6qj%2fH%2bd47jCG9tUQdN36hAdUsJaM2Z9v0VvF6jmUZNfeaLty2DdU5TbReus4QvJJD3XOToTtv4EweF0qqEKUVPdZ4wSLpPzJjQfRkVyNaWG13nXUdJNS9fjBqgxYYm%2bhlvHwXW%2fs7inZZbsRLo8WNhm5QPm%2bKzdqxgma72VvLiKQdccxuNBW84YZyZdpgtwPjiz2eqFVeVaiHhxOubieL5tDQvHzg3wOIPEfzxNvUTK2HPKdjtc5KuAEZIJii0Esk79DelhZjeE6w4M1NAqrhetKgjsyIX9i%2b%2fz58AnIu801ujrsUDHRwe%2fFOhZMl","descargar bases")</f>
      </c>
    </row>
    <row r="125">
      <c r="A125" s="0" t="inlineStr">
        <is>
          <t xml:space="preserve">948354-140-LR26</t>
        </is>
      </c>
      <c r="B125" s="4" t="inlineStr">
        <is>
          <t xml:space="preserve">CONTRATACIÓN DE UNA SOLUCIÓN INTEGRAL RIS-PACS INCLUYENDO LA PROVISIÓN DE SERVICIOS SOFTWARE HARDWARE E INFRAESTRUCTURA TECNOLÓGICA PARA EL SERVICIO DE IMAGENOLOGÍA DEL HOSPITAL DIPRECA</t>
        </is>
      </c>
      <c r="C125" s="0" t="inlineStr">
        <is>
          <t xml:space="preserve">Publicada</t>
        </is>
      </c>
      <c r="D125" s="0" t="inlineStr">
        <is>
          <t xml:space="preserve">FONDO HOSPITAL DE LA DIRECCION DE PREVISION DE CARABINEROS DE CHILE</t>
        </is>
      </c>
      <c r="E125" s="0" t="inlineStr">
        <is>
          <t xml:space="preserve">Unidad de Compra de Bienes y Servicios</t>
        </is>
      </c>
      <c r="F125" s="0" t="inlineStr">
        <is>
          <t xml:space="preserve">Región Metropolitana de Santiago</t>
        </is>
      </c>
      <c r="G125" s="0" t="inlineStr">
        <is>
          <t xml:space="preserve">Las Condes</t>
        </is>
      </c>
      <c r="H125" s="2">
        <v>46287.400255</v>
      </c>
      <c r="I125" s="2">
        <v>46317.666667</v>
      </c>
      <c r="J125" s="0">
        <v>25</v>
      </c>
      <c r="K125" s="3">
        <v>3310000000.0</v>
      </c>
      <c r="L125" s="0" t="inlineStr">
        <is>
          <t xml:space="preserve">CLP</t>
        </is>
      </c>
      <c r="M125" s="0" t="inlineStr">
        <is>
          <t xml:space="preserve">LR</t>
        </is>
      </c>
      <c r="N125" s="4" t="inlineStr">
        <is>
          <t xml:space="preserve">Equipamiento y suministros médicos / Productos para imágenes y de medicina nuclear / Artículos para archivar información e imágenes radiológicas</t>
        </is>
      </c>
      <c r="O125" s="4" t="inlineStr">
        <is>
          <t xml:space="preserve">60 Mes · Sistemas informatizados de archivado de imágenes (PACS) médicos</t>
        </is>
      </c>
      <c r="P125" s="2"/>
      <c r="Q125" s="2"/>
      <c r="R125" s="0" t="inlineStr">
        <is>
          <t xml:space="preserve">60 meses</t>
        </is>
      </c>
      <c r="S125" s="0" t="inlineStr">
        <is>
          <t xml:space="preserve">No</t>
        </is>
      </c>
      <c r="T125" s="4"/>
      <c r="U125" s="0" t="inlineStr">
        <is>
          <t xml:space="preserve">Dra. Constanza Damm Araneda</t>
        </is>
      </c>
      <c r="V125"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25" s="5" t="str">
        <f>HYPERLINK("https://www.mercadopublico.cl/Procurement/Modules/Attachment/ViewAttachment.aspx?enc=72RmO8gRP6f4yfVLh9MRReAMtYiBHufvK2AYFK6ZyCemlxT%2beGscrSYnL%2bixEJrYL%2f7klRLkP%2fwCPwDLEjV15rkzc4Tn%2bo4Vy2E%2fojov7KkRfcKb3VN%2fvfARrt8uWRjMejDadj1qxazEJqrSm8jYAfX%2fRbx4E3AZF7Z%2b6XYpjm9Dd69U31tgBxKtlfNsoVnCmdpjIkUnvxxLwcoVNiB3UWNz%2f%2bZ723RpvdZL%2f38nxGI8Yqnd9pLt1DvCF2CVQwbErT9RjKxv86UrPsMo1p9XiUHPAxkIMzMAuYyk7RkC8Rai7USb8ogJ7fb0PD3JK0AU","descargar bases")</f>
      </c>
    </row>
    <row r="126">
      <c r="A126" s="0" t="inlineStr">
        <is>
          <t xml:space="preserve">976-18-O126</t>
        </is>
      </c>
      <c r="B126" s="4" t="inlineStr">
        <is>
          <t xml:space="preserve">ATIF Ampliación Plataformas Comercial y General Ad. El Loa</t>
        </is>
      </c>
      <c r="C126" s="0" t="inlineStr">
        <is>
          <t xml:space="preserve">Publicada</t>
        </is>
      </c>
      <c r="D126" s="0" t="inlineStr">
        <is>
          <t xml:space="preserve">MINISTERIO DE OBRAS PUBLICAS DIREC CION GRAL DE OO PP DCYF</t>
        </is>
      </c>
      <c r="E126" s="0" t="inlineStr">
        <is>
          <t xml:space="preserve">Dirección de Aeropuertos - MOPTT</t>
        </is>
      </c>
      <c r="F126" s="0" t="inlineStr">
        <is>
          <t xml:space="preserve">Región de Antofagasta </t>
        </is>
      </c>
      <c r="G126" s="0" t="inlineStr">
        <is>
          <t xml:space="preserve">Santiago</t>
        </is>
      </c>
      <c r="H126" s="2">
        <v>46290.38147</v>
      </c>
      <c r="I126" s="2">
        <v>46318.416667</v>
      </c>
      <c r="J126" s="0">
        <v>26</v>
      </c>
      <c r="K126" s="3"/>
      <c r="L126" s="0" t="inlineStr">
        <is>
          <t xml:space="preserve">CLP</t>
        </is>
      </c>
      <c r="M126" s="0" t="inlineStr">
        <is>
          <t xml:space="preserve">O1</t>
        </is>
      </c>
      <c r="N126" s="4" t="inlineStr">
        <is>
          <t xml:space="preserve">Consultoria / Consultoria / Planificación y Factibilidad</t>
        </is>
      </c>
      <c r="O126" s="4" t="inlineStr">
        <is>
          <t xml:space="preserve">1 Unidad · Licitación Pública de Consultoria</t>
        </is>
      </c>
      <c r="P126" s="2"/>
      <c r="Q126" s="2"/>
      <c r="R126" s="0"/>
      <c r="S126" s="0" t="inlineStr">
        <is>
          <t xml:space="preserve">No</t>
        </is>
      </c>
      <c r="T126" s="4"/>
      <c r="U126" s="0"/>
      <c r="V126" s="4" t="inlineStr">
        <is>
          <t xml:space="preserve">ESTA DIRECCIÓN NECESITA CONTRATAR ASESORÍA TECNICA DE INSPECCIÓN FISCAL PARA EL CONTRATO DE OBRA AMPLICACION PLATAFORMAS COMERCIAL Y GENERAL AERÓDROMO EL LOA</t>
        </is>
      </c>
      <c r="W126" s="5" t="str">
        <f>HYPERLINK("https://www.mercadopublico.cl/Procurement/Modules/Attachment/ViewAttachment.aspx?enc=wSLiqtlZniaGWBukrAX0MKrCATySpYTc5k51U%2b6SE1FLh1WCsTPPZW5DUp7INkYy92mCnCLUEZA2FQFl9OShw1QBxsRoRu6kwRzWjNBIlEYkW1Q%2fedIR8Ae9Qi%2bFAZ4HN7Y%2b8XH7R0DcubBQMEx9JMy%2b8nqBbX8r3kxBq5fBbpEgxO9%2f%2bHdLE2oVen6qGUs3hS7ONYWlSeIiB11RNt5G%2bcSgruycih581GPBMozGCVvqD51t7%2fpRmxaazjqOfCouQiWRsQ5Es5huQthBdaNE9m4yRDolGKoJ0leQL9u2XN1JR2h585pQt50mEKx61QHu","descargar bases")</f>
      </c>
    </row>
    <row r="127">
      <c r="A127" s="0" t="inlineStr">
        <is>
          <t xml:space="preserve">2667-71-LR26</t>
        </is>
      </c>
      <c r="B127" s="4" t="inlineStr">
        <is>
          <t xml:space="preserve">ARRIENDO SOPORTE Y MANTENCIÓN DE CENTRAL TELEFONICA IP TELEFONOS IP Y PLATAFORMA DE CONTACT CENTER</t>
        </is>
      </c>
      <c r="C127" s="0" t="inlineStr">
        <is>
          <t xml:space="preserve">Publicada</t>
        </is>
      </c>
      <c r="D127" s="0" t="inlineStr">
        <is>
          <t xml:space="preserve">I MUNICIPALIDAD DE VITACURA</t>
        </is>
      </c>
      <c r="E127" s="0" t="inlineStr">
        <is>
          <t xml:space="preserve">SECPLA</t>
        </is>
      </c>
      <c r="F127" s="0" t="inlineStr">
        <is>
          <t xml:space="preserve">Región Metropolitana de Santiago</t>
        </is>
      </c>
      <c r="G127" s="0" t="inlineStr">
        <is>
          <t xml:space="preserve">Vitacura</t>
        </is>
      </c>
      <c r="H127" s="2">
        <v>46282.54353</v>
      </c>
      <c r="I127" s="2">
        <v>46318.625</v>
      </c>
      <c r="J127" s="0">
        <v>26</v>
      </c>
      <c r="K127" s="3"/>
      <c r="L127" s="0" t="inlineStr">
        <is>
          <t xml:space="preserve">CLF</t>
        </is>
      </c>
      <c r="M127" s="0" t="inlineStr">
        <is>
          <t xml:space="preserve">LR</t>
        </is>
      </c>
      <c r="N127" s="4" t="inlineStr">
        <is>
          <t xml:space="preserve">Equipos y suministros de defensa, orden público, protección y seguridad / Seguridad, vigilancia y detección / Equipo de vigilancia y detección</t>
        </is>
      </c>
      <c r="O127" s="4" t="inlineStr">
        <is>
          <t xml:space="preserve">1 Global · Sistemas de alarma</t>
        </is>
      </c>
      <c r="P127" s="2"/>
      <c r="Q127" s="2"/>
      <c r="R127" s="0" t="inlineStr">
        <is>
          <t xml:space="preserve">48 meses</t>
        </is>
      </c>
      <c r="S127" s="0" t="inlineStr">
        <is>
          <t xml:space="preserve">No</t>
        </is>
      </c>
      <c r="T127" s="4"/>
      <c r="U127" s="0" t="inlineStr">
        <is>
          <t xml:space="preserve">Gonzalo Fuentes Osses</t>
        </is>
      </c>
      <c r="V127"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27" s="5" t="str">
        <f>HYPERLINK("https://www.mercadopublico.cl/Procurement/Modules/Attachment/ViewAttachment.aspx?enc=b1r6lObkG7JDGUAQGlFFUSH%2f36HhsS3xcnLu%2bc%2bX2%2fmnMVqQam9OjOJL0zOkDZYRiM6u8uZfFbwLQeB4rdoiuG0qjQLOwW%2fHqc8DXzaKpzcrtIS40x9bB%2bT2P3pSmksF0hGmvJfG3ut4uNKBRiDISvyNepPoR%2bBdYPS%2f8dj9SFkRSLM7KmRH4WP4YnxqVFDE7kLKbonWtZp1TajA0HjgsKaYHEVABeyEVsg9z3YGyvj%2b8XAxO7Jv9XUorHFoAUEdQ%2fQg3gSOP3Hqvqq6AyiCvCTND1PwQuewL2LQ16G0J8oErA0sWNpgCDoh%2f%2fSwd4R1","descargar bases")</f>
      </c>
    </row>
    <row r="128">
      <c r="A128" s="0" t="inlineStr">
        <is>
          <t xml:space="preserve">2342-36-LR26</t>
        </is>
      </c>
      <c r="B128" s="4" t="inlineStr">
        <is>
          <t xml:space="preserve">CONCESIÓN DE ESTACIONAMIENTOS EN CALLES DE LA ZONA CENTRO DE LA COMUNA DE SAN BERNARDO APLICANDO SISTEMA DE CONTROL DE TIEMPO DE USO CAPTADORES DE DATOS</t>
        </is>
      </c>
      <c r="C128" s="0" t="inlineStr">
        <is>
          <t xml:space="preserve">Publicada</t>
        </is>
      </c>
      <c r="D128" s="0" t="inlineStr">
        <is>
          <t xml:space="preserve">I MUNICIPALIDAD DE SAN BERNARDO</t>
        </is>
      </c>
      <c r="E128" s="0" t="inlineStr">
        <is>
          <t xml:space="preserve">SECRETARIA COMUNAL DE PLANIFICACION</t>
        </is>
      </c>
      <c r="F128" s="0" t="inlineStr">
        <is>
          <t xml:space="preserve">Región Metropolitana de Santiago</t>
        </is>
      </c>
      <c r="G128" s="0" t="inlineStr">
        <is>
          <t xml:space="preserve">San Bernardo</t>
        </is>
      </c>
      <c r="H128" s="2">
        <v>46289.68978</v>
      </c>
      <c r="I128" s="2">
        <v>46321.625694</v>
      </c>
      <c r="J128" s="0">
        <v>29</v>
      </c>
      <c r="K128" s="3"/>
      <c r="L128" s="0" t="inlineStr">
        <is>
          <t xml:space="preserve">UTM</t>
        </is>
      </c>
      <c r="M128" s="0" t="inlineStr">
        <is>
          <t xml:space="preserve">LR</t>
        </is>
      </c>
      <c r="N128" s="4" t="inlineStr">
        <is>
          <t xml:space="preserve">Servicios de transporte, almacenaje y correo / Servicios de mantención o reparaciones de transportes / Combustible para vehículos de transporte, estacionamiento y otros servicios de apoyo</t>
        </is>
      </c>
      <c r="O128" s="4" t="inlineStr">
        <is>
          <t xml:space="preserve">1 Unidad · Estacionamientos</t>
        </is>
      </c>
      <c r="P128" s="2"/>
      <c r="Q128" s="2"/>
      <c r="R128" s="0" t="inlineStr">
        <is>
          <t xml:space="preserve">36 meses</t>
        </is>
      </c>
      <c r="S128" s="0" t="inlineStr">
        <is>
          <t xml:space="preserve">No</t>
        </is>
      </c>
      <c r="T128" s="4"/>
      <c r="U128" s="0" t="inlineStr">
        <is>
          <t xml:space="preserve">JUAN CARLOS CABRERA CAMPOS</t>
        </is>
      </c>
      <c r="V128" s="4" t="inlineStr">
        <is>
          <t xml:space="preserve">CONCESIÓN DE ESTACIONAMIENTOS EN CALLES DE LA ZONA CENTRO DE LA COMUNA DE SAN BERNARDO, APLICANDO SISTEMA DE CONTROL DE TIEMPO DE USO CAPTADORES DE DATOS</t>
        </is>
      </c>
      <c r="W128" s="5" t="str">
        <f>HYPERLINK("https://www.mercadopublico.cl/Procurement/Modules/Attachment/ViewAttachment.aspx?enc=PEGTcM5%2fZEnChlXt%2f7RfLBK722h2EcoYP%2ftbYqk3oIjtwvWx1s1fK8XHRWHDCbySwJmQ%2bgpwizbWBFkXabH1Tbc3WU8ic623cAKrYMDh7N4oRc2icg7WcIeDrO5j3XB9yW8mAYlkxaDXof8q3lTMO2ZftVslclmF%2fUntktlAGiB5tPaFWyk14JXgrqoPzuOzhaOEFmYTVblS5Vc2Nb%2fCZpd%2bm9EnEngBrh6j%2fh7tAvhSDSlMb%2fUbozVnIb6Db6DwUDR46cSatCEpH7SFjOABMpDfE9SlyY8ogqNsfhFDbL39Srvzt3hD%2bf6LeZLj%2f435","descargar bases")</f>
      </c>
    </row>
    <row r="129">
      <c r="A129" s="0" t="inlineStr">
        <is>
          <t xml:space="preserve">2403-73-LR26</t>
        </is>
      </c>
      <c r="B129" s="4" t="inlineStr">
        <is>
          <t xml:space="preserve">Servicios de conectividad telecomunicaciones operación de infraestructura y gestión de ciberseguridad.</t>
        </is>
      </c>
      <c r="C129" s="0" t="inlineStr">
        <is>
          <t xml:space="preserve">Publicada</t>
        </is>
      </c>
      <c r="D129" s="0" t="inlineStr">
        <is>
          <t xml:space="preserve">I MUNICIPALIDAD DE PENALOLEN</t>
        </is>
      </c>
      <c r="E129" s="0" t="inlineStr">
        <is>
          <t xml:space="preserve">I.MUNICIPALIDAD DE PEÑALOLEN</t>
        </is>
      </c>
      <c r="F129" s="0" t="inlineStr">
        <is>
          <t xml:space="preserve">Región Metropolitana de Santiago</t>
        </is>
      </c>
      <c r="G129" s="0" t="inlineStr">
        <is>
          <t xml:space="preserve">Peñalolén</t>
        </is>
      </c>
      <c r="H129" s="2">
        <v>46288.605347</v>
      </c>
      <c r="I129" s="2">
        <v>46321.645833</v>
      </c>
      <c r="J129" s="0">
        <v>29</v>
      </c>
      <c r="K129" s="3">
        <v>1910656000.0</v>
      </c>
      <c r="L129" s="0" t="inlineStr">
        <is>
          <t xml:space="preserve">CLP</t>
        </is>
      </c>
      <c r="M129" s="0" t="inlineStr">
        <is>
          <t xml:space="preserve">LR</t>
        </is>
      </c>
      <c r="N129" s="4" t="inlineStr">
        <is>
          <t xml:space="preserve">Servicios de construcción y mantenimiento / Servicios de atención, mantenimiento y reparaciones de edificios / Servicios eléctricos</t>
        </is>
      </c>
      <c r="O129" s="4" t="inlineStr">
        <is>
          <t xml:space="preserve">1 Global · Instalación de sistemas de seguridad</t>
        </is>
      </c>
      <c r="P129" s="2"/>
      <c r="Q129" s="2"/>
      <c r="R129" s="0" t="inlineStr">
        <is>
          <t xml:space="preserve">51 meses</t>
        </is>
      </c>
      <c r="S129" s="0" t="inlineStr">
        <is>
          <t xml:space="preserve">No</t>
        </is>
      </c>
      <c r="T129" s="4" t="inlineStr">
        <is>
          <t xml:space="preserve">Previa autorización de la inspección técnica, y siempre que no supere el 30% del precio total de la contratación.</t>
        </is>
      </c>
      <c r="U129" s="0" t="inlineStr">
        <is>
          <t xml:space="preserve">Matías Allende Contreras</t>
        </is>
      </c>
      <c r="V129"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29" s="5" t="str">
        <f>HYPERLINK("https://www.mercadopublico.cl/Procurement/Modules/Attachment/ViewAttachment.aspx?enc=Jf5ANEa4%2b0oSA58u3gjNVDTNdzuykbG4lN9uT6h5sf%2btIx2%2fzR3ggM8oekmDZeu65Wf49sXYTw2WrFR1YxHupS8rkbwBFnrQJ%2ft38%2bFur8keQaiV5zscZgYE5cXbMEZWX%2bfYDIQV5Yazl2CwigkS85pblmCunonhX3MsbpHS7PkKH2kSOx5VwqLo41cGSeHZ8LC%2f3m9k2fgtYNHaoqFR2H9IO5elW6UI3eIrMGiBROXy0fzeW%2f%2blkz%2fWN0uHpVxkqGRBd%2ftcEhY9smbaXvOO8gyXyKeDPdhOg1JAum8nGpabtTPd5m1n5hSXtrf1Q4jg","descargar bases")</f>
      </c>
    </row>
    <row r="130">
      <c r="A130" s="0" t="inlineStr">
        <is>
          <t xml:space="preserve">1969-34-LS19</t>
        </is>
      </c>
      <c r="B130" s="4" t="inlineStr">
        <is>
          <t xml:space="preserve">AUTOMATIZACIÓN PORTÓN ACCESO A LINEA DE FUEGO</t>
        </is>
      </c>
      <c r="C130" s="0" t="inlineStr">
        <is>
          <t xml:space="preserve">Publicada</t>
        </is>
      </c>
      <c r="D130" s="0" t="inlineStr">
        <is>
          <t xml:space="preserve">DIRECCION GENERAL DE GENDARMERIA DE CHIL</t>
        </is>
      </c>
      <c r="E130" s="0" t="inlineStr">
        <is>
          <t xml:space="preserve">Región del Bio Bío</t>
        </is>
      </c>
      <c r="F130" s="0" t="inlineStr">
        <is>
          <t xml:space="preserve">Región del Biobío </t>
        </is>
      </c>
      <c r="G130" s="0" t="inlineStr">
        <is>
          <t xml:space="preserve">Concepción</t>
        </is>
      </c>
      <c r="H130" s="2">
        <v>43588.74809</v>
      </c>
      <c r="I130" s="2"/>
      <c r="J130" s="0"/>
      <c r="K130" s="3"/>
      <c r="L130" s="0" t="inlineStr">
        <is>
          <t xml:space="preserve">CLP</t>
        </is>
      </c>
      <c r="M130" s="0" t="inlineStr">
        <is>
          <t xml:space="preserve">LS</t>
        </is>
      </c>
      <c r="N130" s="4" t="inlineStr">
        <is>
          <t xml:space="preserve">Artículos para estructuras, obras y construcciones / Puertas, ventanas y vidrios / Puertas</t>
        </is>
      </c>
      <c r="O130" s="4" t="inlineStr">
        <is>
          <t xml:space="preserve">1 Unidad · Puertas de metal</t>
        </is>
      </c>
      <c r="P130" s="2"/>
      <c r="Q130" s="2"/>
      <c r="R130" s="0"/>
      <c r="S130" s="0" t="inlineStr">
        <is>
          <t xml:space="preserve">No</t>
        </is>
      </c>
      <c r="T130" s="4"/>
      <c r="U130" s="0" t="inlineStr">
        <is>
          <t xml:space="preserve">Héctor Polma Lillo</t>
        </is>
      </c>
      <c r="V130" s="4" t="inlineStr">
        <is>
          <t xml:space="preserve">AUTOMATIZACIÓN DE PORTÓN ACCESO A LINEA DE FUEGO C.P. CONCEPCIÓN</t>
        </is>
      </c>
      <c r="W130" s="5" t="str">
        <f>HYPERLINK("https://www.mercadopublico.cl/Procurement/Modules/Attachment/ViewAttachment.aspx?enc=FX7r%2bpJXngRl6VHtU14Z8o2U3Y6qsVwcCmN8laSE%2fdxbIX0n0t5lhk5wOaCpR0j7sh67eah148uKNqxeOKyn441GUvNpQHGm%2bg3404OnKy5HTmO3fzHAjhd0jvrfHgamjRZ%2bGnsEHvrc88LWzMyMF%2fwEalvxu3xxd10VvqMMCL2BTr%2forCDwpugZzQh85i0szZTBkR6qUFNVwqVox%2fZoWY0pKp4hD1ldhWQUZBe7AbDcep9cgAqsD0NUkjsuSR7pVcGnqOn6ocPlDYdZbk2ZlYdtF%2b%2fHDwwdgw1oMyJLBpBQqN5In7tXzTQ1rlTMpisa","descargar bases")</f>
      </c>
    </row>
  </sheetData>
  <autoFilter ref="A1:W130"/>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3269-10-LP26</t>
        </is>
      </c>
      <c r="B2" s="4" t="inlineStr">
        <is>
          <t xml:space="preserve">S.A. 68 SOPORTE Y MANTTO PLATAFORMA DATOS QUMULO</t>
        </is>
      </c>
      <c r="C2" s="0">
        <v>1</v>
      </c>
      <c r="D2" s="4" t="inlineStr">
        <is>
          <t xml:space="preserve">Servicios de almacenamiento de datos</t>
        </is>
      </c>
      <c r="E2" s="4" t="inlineStr">
        <is>
          <t xml:space="preserve">Servicios basados en ingeniería, ciencias sociales y tecnología de la información / Servicios informáticos / Servicios de datos</t>
        </is>
      </c>
      <c r="F2" s="0">
        <v>1.0</v>
      </c>
      <c r="G2" s="0" t="inlineStr">
        <is>
          <t xml:space="preserve">Unidad</t>
        </is>
      </c>
      <c r="H2" s="4" t="inlineStr">
        <is>
          <t xml:space="preserve">SERVICIO DE SOPORTE, MANTENCIÓN PREVENTIVA, CORRECTIVA PARA PLATAFORMA DE PROCESAMIENTO Y ALMACENAMIENTO DE DATOS QUMULO, HARDWARE Y SOFTWARE.</t>
        </is>
      </c>
    </row>
    <row r="3">
      <c r="A3" s="0" t="inlineStr">
        <is>
          <t xml:space="preserve">1057489-285-LP26</t>
        </is>
      </c>
      <c r="B3" s="4" t="inlineStr">
        <is>
          <t xml:space="preserve">Arriendo de Huelleros digitales y Pistola Escáner</t>
        </is>
      </c>
      <c r="C3" s="0">
        <v>1</v>
      </c>
      <c r="D3" s="4" t="inlineStr">
        <is>
          <t xml:space="preserve">Equipo de lector de código de barras</t>
        </is>
      </c>
      <c r="E3" s="4" t="inlineStr">
        <is>
          <t xml:space="preserve">Tecnologías de la información, telecomunicaciones y radiodifusión / Equipos informáticos y accesorios / Dispositivos informáticos de entrada de datos</t>
        </is>
      </c>
      <c r="F3" s="0">
        <v>1.0</v>
      </c>
      <c r="G3" s="0" t="inlineStr">
        <is>
          <t xml:space="preserve">Unidad</t>
        </is>
      </c>
      <c r="H3" s="4" t="inlineStr">
        <is>
          <t xml:space="preserve">Arriendo de Huelleros digitales y Pistola Escáner, Lector Códigos de Barras</t>
        </is>
      </c>
    </row>
    <row r="4">
      <c r="A4" s="0" t="inlineStr">
        <is>
          <t xml:space="preserve">1469-222-L126</t>
        </is>
      </c>
      <c r="B4" s="4" t="inlineStr">
        <is>
          <t xml:space="preserve">Servicio de plataforma e-learning para cursos de capacitación – Educación Continua, Facultad de Odontología, Universidad de Talca</t>
        </is>
      </c>
      <c r="C4" s="0">
        <v>1</v>
      </c>
      <c r="D4" s="4" t="inlineStr">
        <is>
          <t xml:space="preserve">Software de gestión de licencias</t>
        </is>
      </c>
      <c r="E4" s="4" t="inlineStr">
        <is>
          <t xml:space="preserve">Tecnologías de la información, telecomunicaciones y radiodifusión / Software / Software de gestión</t>
        </is>
      </c>
      <c r="F4" s="0">
        <v>1.0</v>
      </c>
      <c r="G4" s="0" t="inlineStr">
        <is>
          <t xml:space="preserve">Unidad</t>
        </is>
      </c>
      <c r="H4" s="4" t="inlineStr">
        <is>
          <t xml:space="preserve">La Facultad de Odontología de la Universidad de Talca requiere la contratación de un servicio de plataforma e-learning para el desarrollo y soporte de cursos de capacitación en modalidad virtual, destinados a las actividades de Educación Continua.</t>
        </is>
      </c>
    </row>
    <row r="5">
      <c r="A5" s="0" t="inlineStr">
        <is>
          <t xml:space="preserve">4511-53-LE26</t>
        </is>
      </c>
      <c r="B5" s="4" t="inlineStr">
        <is>
          <t xml:space="preserve">CONTRATACIÓN SISTEMA DE GESTIÓN DOCUMENTAL</t>
        </is>
      </c>
      <c r="C5" s="0">
        <v>1</v>
      </c>
      <c r="D5" s="4" t="inlineStr">
        <is>
          <t xml:space="preserve">Software de creación de informes de bases de datos</t>
        </is>
      </c>
      <c r="E5" s="4" t="inlineStr">
        <is>
          <t xml:space="preserve">Tecnologías de la información, telecomunicaciones y radiodifusión / Software / Software de consultas y gestión de datos</t>
        </is>
      </c>
      <c r="F5" s="0">
        <v>1.0</v>
      </c>
      <c r="G5" s="0" t="inlineStr">
        <is>
          <t xml:space="preserve">Global</t>
        </is>
      </c>
      <c r="H5" s="4" t="inlineStr">
        <is>
          <t xml:space="preserve">contratación servicio de adquisición Sistema de Gestor de Documentos con firma electrónica, para la Ilustre Municipalidad de Retiro</t>
        </is>
      </c>
    </row>
    <row r="6">
      <c r="A6" s="0" t="inlineStr">
        <is>
          <t xml:space="preserve">548874-72-LR26</t>
        </is>
      </c>
      <c r="B6" s="4" t="inlineStr">
        <is>
          <t xml:space="preserve">SERV. DE ADMINISTRACION PLATAFORMAS TECNOLOGICAS</t>
        </is>
      </c>
      <c r="C6" s="0">
        <v>1</v>
      </c>
      <c r="D6" s="4" t="inlineStr">
        <is>
          <t xml:space="preserve">Software del sistema de administración de bases de datos</t>
        </is>
      </c>
      <c r="E6" s="4" t="inlineStr">
        <is>
          <t xml:space="preserve">Tecnologías de la información, telecomunicaciones y radiodifusión / Software / Software de consultas y gestión de datos</t>
        </is>
      </c>
      <c r="F6" s="0">
        <v>1.0</v>
      </c>
      <c r="G6" s="0" t="inlineStr">
        <is>
          <t xml:space="preserve">Global</t>
        </is>
      </c>
      <c r="H6" s="4" t="inlineStr">
        <is>
          <t xml:space="preserve">SERVICIO DE
ADMINISTRACION,
GESTION,
CONFIGURACION,
RESPALDOS Y
MANTENCION DE LAS
PLATAFORMAS
TECNOLOGICAS DE
IPS</t>
        </is>
      </c>
    </row>
    <row r="7">
      <c r="A7" s="0" t="inlineStr">
        <is>
          <t xml:space="preserve">2020-21-LE26</t>
        </is>
      </c>
      <c r="B7" s="4" t="inlineStr">
        <is>
          <t xml:space="preserve">MEJORA DE LA PLATAFORMA INFORMÁTICA PARA LA BCN.</t>
        </is>
      </c>
      <c r="C7" s="0">
        <v>1</v>
      </c>
      <c r="D7" s="4" t="inlineStr">
        <is>
          <t xml:space="preserve">Up grade de software</t>
        </is>
      </c>
      <c r="E7" s="4" t="inlineStr">
        <is>
          <t xml:space="preserve">Servicios basados en ingeniería, ciencias sociales y tecnología de la información / Servicios informáticos / Mantenimiento y soporte de software</t>
        </is>
      </c>
      <c r="F7" s="0">
        <v>1.0</v>
      </c>
      <c r="G7" s="0" t="inlineStr">
        <is>
          <t xml:space="preserve">Unidad</t>
        </is>
      </c>
      <c r="H7" s="4" t="inlineStr">
        <is>
          <t xml:space="preserve">PROYECTO DE MEJORA DE LA PLATAFORMA INFORMÁTICA DEL
SISTEMA HISTORIA DE LA LEY Y LABOR PARLAMENTARIA PARA LA BIBLIOTECA DEL CONGRESO NACIONAL.</t>
        </is>
      </c>
    </row>
    <row r="8">
      <c r="A8" s="0" t="inlineStr">
        <is>
          <t xml:space="preserve">5482-103-LP26</t>
        </is>
      </c>
      <c r="B8" s="4" t="inlineStr">
        <is>
          <t xml:space="preserve">PLATAFORMA DE GESTIÓN TERRITORIAL Y DE RENTAS</t>
        </is>
      </c>
      <c r="C8" s="0">
        <v>1</v>
      </c>
      <c r="D8" s="4" t="inlineStr">
        <is>
          <t xml:space="preserve">Software de desarrollo de plataforma Web</t>
        </is>
      </c>
      <c r="E8" s="4" t="inlineStr">
        <is>
          <t xml:space="preserve">Tecnologías de la información, telecomunicaciones y radiodifusión / Software / Programas de desarrollo</t>
        </is>
      </c>
      <c r="F8" s="0">
        <v>30.0</v>
      </c>
      <c r="G8" s="0" t="inlineStr">
        <is>
          <t xml:space="preserve">Mes</t>
        </is>
      </c>
      <c r="H8" s="4" t="inlineStr">
        <is>
          <t xml:space="preserve">Contratación de plataforma de gestión territorial y de rentas.</t>
        </is>
      </c>
    </row>
    <row r="9">
      <c r="A9" s="0" t="inlineStr">
        <is>
          <t xml:space="preserve">721703-40-LP26</t>
        </is>
      </c>
      <c r="B9" s="4" t="inlineStr">
        <is>
          <t xml:space="preserve">Diagramación ilustración y digitalización SNE y DIA 2027</t>
        </is>
      </c>
      <c r="C9" s="0">
        <v>1</v>
      </c>
      <c r="D9" s="4" t="inlineStr">
        <is>
          <t xml:space="preserve">Diagramación</t>
        </is>
      </c>
      <c r="E9" s="4" t="inlineStr">
        <is>
          <t xml:space="preserve">Servicios editoriales, de diseño, publicidad, gráficos y artistas / Servicios de impresión y reproducción / Impresión</t>
        </is>
      </c>
      <c r="F9" s="0">
        <v>1.0</v>
      </c>
      <c r="G9" s="0" t="inlineStr">
        <is>
          <t xml:space="preserve">Global</t>
        </is>
      </c>
      <c r="H9" s="4" t="inlineStr">
        <is>
          <t xml:space="preserve">Diagramación, ilustración y digitalización del Sistema Nacional de Evaluaciones y Diagnóstico Integral de Aprendizajes 2027.</t>
        </is>
      </c>
    </row>
    <row r="10">
      <c r="A10" s="0" t="inlineStr">
        <is>
          <t xml:space="preserve">85-41-LE26</t>
        </is>
      </c>
      <c r="B10" s="4" t="inlineStr">
        <is>
          <t xml:space="preserve">PLATAFORMA INTEGRAL SOPORTE TI CON CONTROL REMOTO</t>
        </is>
      </c>
      <c r="C10" s="0">
        <v>1</v>
      </c>
      <c r="D10" s="4" t="inlineStr">
        <is>
          <t xml:space="preserve">Software de desarrollo de plataforma Web</t>
        </is>
      </c>
      <c r="E10" s="4" t="inlineStr">
        <is>
          <t xml:space="preserve">Tecnologías de la información, telecomunicaciones y radiodifusión / Software / Programas de desarrollo</t>
        </is>
      </c>
      <c r="F10" s="0">
        <v>1.0</v>
      </c>
      <c r="G10" s="0" t="inlineStr">
        <is>
          <t xml:space="preserve">Unidad</t>
        </is>
      </c>
      <c r="H10" s="4" t="inlineStr">
        <is>
          <t xml:space="preserve">PLATAFORMA INTEGRAL PARA SOPORTE TI CON FUNCIONALIDADES DE CONTROL REMOTO DE EQUIPOS POR PARTE DEL SUBDEPARTAMENTO DE INFORMÁTICA PERTENECIENTE A JUNAEB</t>
        </is>
      </c>
    </row>
    <row r="11">
      <c r="A11" s="0" t="inlineStr">
        <is>
          <t xml:space="preserve">2358-23-LE26</t>
        </is>
      </c>
      <c r="B11" s="4" t="inlineStr">
        <is>
          <t xml:space="preserve">©sc 1 Depto. Informática-Insumos para impresoras de los deptos. municipales.</t>
        </is>
      </c>
      <c r="C11" s="0">
        <v>1</v>
      </c>
      <c r="D11" s="4" t="inlineStr">
        <is>
          <t xml:space="preserve">Tóner</t>
        </is>
      </c>
      <c r="E11" s="4" t="inlineStr">
        <is>
          <t xml:space="preserve">Equipos, accesorios y suministros de oficina / Maquinarias, suministros y accesorios de oficina / Suministros para impresora, fax y fotocopiadora</t>
        </is>
      </c>
      <c r="F11" s="0">
        <v>1.0</v>
      </c>
      <c r="G11" s="0" t="inlineStr">
        <is>
          <t xml:space="preserve">Global</t>
        </is>
      </c>
      <c r="H11" s="4" t="inlineStr">
        <is>
          <t xml:space="preserve">Insumos: Tintas y Toner varios, para las impresoras de los distintos departamentos de la municipalidad., según Solicitud de compra N°1 y Términos de referencia. (subir archivo con oferta).</t>
        </is>
      </c>
    </row>
    <row r="12">
      <c r="A12" s="0" t="inlineStr">
        <is>
          <t xml:space="preserve">5413-72-LP26</t>
        </is>
      </c>
      <c r="B12" s="4" t="inlineStr">
        <is>
          <t xml:space="preserve">Cámaras digitales y lentes de cámara. Proyecto RED</t>
        </is>
      </c>
      <c r="C12" s="0">
        <v>1</v>
      </c>
      <c r="D12" s="4" t="inlineStr">
        <is>
          <t xml:space="preserve">Videocámaras portátiles</t>
        </is>
      </c>
      <c r="E12" s="4" t="inlineStr">
        <is>
          <t xml:space="preserve">Equipos y suministros de imprenta, fotográficos y audiovisuales / Equipos de video, filmación o fotografía / Cámaras</t>
        </is>
      </c>
      <c r="F12" s="0">
        <v>19.0</v>
      </c>
      <c r="G12" s="0" t="inlineStr">
        <is>
          <t xml:space="preserve">Unidad</t>
        </is>
      </c>
      <c r="H12" s="4" t="inlineStr">
        <is>
          <t xml:space="preserve">Cámara de Cine Digital Portátil Profesional o equipo técnicamente equivalentes con las siguientes características</t>
        </is>
      </c>
    </row>
    <row r="13">
      <c r="A13" s="0" t="inlineStr">
        <is>
          <t xml:space="preserve">5413-72-LP26</t>
        </is>
      </c>
      <c r="B13" s="4" t="inlineStr">
        <is>
          <t xml:space="preserve">Cámaras digitales y lentes de cámara. Proyecto RED</t>
        </is>
      </c>
      <c r="C13" s="0">
        <v>2</v>
      </c>
      <c r="D13" s="4" t="inlineStr">
        <is>
          <t xml:space="preserve">Videocámaras portátiles</t>
        </is>
      </c>
      <c r="E13" s="4" t="inlineStr">
        <is>
          <t xml:space="preserve">Equipos y suministros de imprenta, fotográficos y audiovisuales / Equipos de video, filmación o fotografía / Cámaras</t>
        </is>
      </c>
      <c r="F13" s="0">
        <v>19.0</v>
      </c>
      <c r="G13" s="0" t="inlineStr">
        <is>
          <t xml:space="preserve">Unidad</t>
        </is>
      </c>
      <c r="H13" s="4" t="inlineStr">
        <is>
          <t xml:space="preserve">Lente Zoom Estándar de Serie Profesional o equipo técnicamente equivalentes con las siguientes características</t>
        </is>
      </c>
    </row>
    <row r="14">
      <c r="A14" s="0" t="inlineStr">
        <is>
          <t xml:space="preserve">609-28-LE26</t>
        </is>
      </c>
      <c r="B14" s="4" t="inlineStr">
        <is>
          <t xml:space="preserve">Adquisición de licencias prevención de datos</t>
        </is>
      </c>
      <c r="C14" s="0">
        <v>1</v>
      </c>
      <c r="D14" s="4" t="inlineStr">
        <is>
          <t xml:space="preserve">Software de gestión de licencias</t>
        </is>
      </c>
      <c r="E14" s="4" t="inlineStr">
        <is>
          <t xml:space="preserve">Tecnologías de la información, telecomunicaciones y radiodifusión / Software / Software de gestión</t>
        </is>
      </c>
      <c r="F14" s="0">
        <v>1.0</v>
      </c>
      <c r="G14" s="0" t="inlineStr">
        <is>
          <t xml:space="preserve">Unidad</t>
        </is>
      </c>
      <c r="H14" s="4" t="inlineStr">
        <is>
          <t xml:space="preserve">ADQUISICIÓN DE LICENCIAS PARA LA AUTENTIFICACIÓN DE DOBLE FACTOR Y PREVENCIÓN DE PÉRDIDA DE DATOS</t>
        </is>
      </c>
    </row>
    <row r="15">
      <c r="A15" s="0" t="inlineStr">
        <is>
          <t xml:space="preserve">1005498-22-LE26</t>
        </is>
      </c>
      <c r="B15" s="4" t="inlineStr">
        <is>
          <t xml:space="preserve">Servicio de implementación de Jira o similar en modalidad Cloud</t>
        </is>
      </c>
      <c r="C15" s="0">
        <v>1</v>
      </c>
      <c r="D15" s="4" t="inlineStr">
        <is>
          <t xml:space="preserve">Programas de gestión de proyectos</t>
        </is>
      </c>
      <c r="E15" s="4" t="inlineStr">
        <is>
          <t xml:space="preserve">Tecnologías de la información, telecomunicaciones y radiodifusión / Software / Software de gestión</t>
        </is>
      </c>
      <c r="F15" s="0">
        <v>1.0</v>
      </c>
      <c r="G15" s="0" t="inlineStr">
        <is>
          <t xml:space="preserve">Global</t>
        </is>
      </c>
      <c r="H15" s="4" t="inlineStr">
        <is>
          <t xml:space="preserve">Servicios de implementación de Jira (o similar) en modalidad Cloud, de acuerdo con las características que se han definido en las presentes bases administrativas, bases técnicas y sus anexos.</t>
        </is>
      </c>
    </row>
    <row r="16">
      <c r="A16" s="0" t="inlineStr">
        <is>
          <t xml:space="preserve">4051-16-LP26</t>
        </is>
      </c>
      <c r="B16" s="4" t="inlineStr">
        <is>
          <t xml:space="preserve">SERVICIO ADMINISTRADO DE INTERNET RED DE DATOS Y</t>
        </is>
      </c>
      <c r="C16" s="0">
        <v>1</v>
      </c>
      <c r="D16" s="4" t="inlineStr">
        <is>
          <t xml:space="preserve">Proveedores de servicio de Internet (ISP)</t>
        </is>
      </c>
      <c r="E16" s="4" t="inlineStr">
        <is>
          <t xml:space="preserve">Servicios basados en ingeniería, ciencias sociales y tecnología de la información / Servicios informáticos / Servicios para internet</t>
        </is>
      </c>
      <c r="F16" s="0">
        <v>1.0</v>
      </c>
      <c r="G16" s="0" t="inlineStr">
        <is>
          <t xml:space="preserve">Unidad</t>
        </is>
      </c>
      <c r="H16"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17">
      <c r="A17" s="0" t="inlineStr">
        <is>
          <t xml:space="preserve">591-26-LP26</t>
        </is>
      </c>
      <c r="B17" s="4" t="inlineStr">
        <is>
          <t xml:space="preserve">PLATAFORMA DE OBSERVABILIDAD AVANZADA MULTICLOUD PARA FONASA.</t>
        </is>
      </c>
      <c r="C17" s="0">
        <v>1</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Unidad</t>
        </is>
      </c>
      <c r="H17"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8">
      <c r="A18" s="0" t="inlineStr">
        <is>
          <t xml:space="preserve">885-84-LE26</t>
        </is>
      </c>
      <c r="B18" s="4" t="inlineStr">
        <is>
          <t xml:space="preserve">Soporte mantención y monitoreo plataforma legacy IBM Spectrum para la Contraloría General de la República</t>
        </is>
      </c>
      <c r="C18" s="0">
        <v>1</v>
      </c>
      <c r="D18" s="4" t="inlineStr">
        <is>
          <t xml:space="preserve">Mantenimiento y soporte de hardware</t>
        </is>
      </c>
      <c r="E18" s="4" t="inlineStr">
        <is>
          <t xml:space="preserve">Servicios basados en ingeniería, ciencias sociales y tecnología de la información / Servicios informáticos / Administración de sistemas</t>
        </is>
      </c>
      <c r="F18" s="0">
        <v>1.0</v>
      </c>
      <c r="G18" s="0" t="inlineStr">
        <is>
          <t xml:space="preserve">Global</t>
        </is>
      </c>
      <c r="H18" s="4" t="inlineStr">
        <is>
          <t xml:space="preserve">Servicio de soporte, mantención y monitoreo de la plataforma legacy IBM Spectrum, por un periodo de 12 meses.</t>
        </is>
      </c>
    </row>
    <row r="19">
      <c r="A19" s="0" t="inlineStr">
        <is>
          <t xml:space="preserve">1551861-2-LE26</t>
        </is>
      </c>
      <c r="B19" s="4" t="inlineStr">
        <is>
          <t xml:space="preserve">Equipamiento TI accesorios y software para ESJ VI</t>
        </is>
      </c>
      <c r="C19" s="0">
        <v>1</v>
      </c>
      <c r="D19" s="4" t="inlineStr">
        <is>
          <t xml:space="preserve">Software de diseño asistido por computador (CAD)</t>
        </is>
      </c>
      <c r="E19" s="4" t="inlineStr">
        <is>
          <t xml:space="preserve">Tecnologías de la información, telecomunicaciones y radiodifusión / Software / Software específico para la industria</t>
        </is>
      </c>
      <c r="F19" s="0">
        <v>1.0</v>
      </c>
      <c r="G19" s="0" t="inlineStr">
        <is>
          <t xml:space="preserve">Unidad</t>
        </is>
      </c>
      <c r="H19" s="4" t="inlineStr">
        <is>
          <t xml:space="preserve">Software de diseño CAD (3 licencias)</t>
        </is>
      </c>
    </row>
    <row r="20">
      <c r="A20" s="0" t="inlineStr">
        <is>
          <t xml:space="preserve">1551861-2-LE26</t>
        </is>
      </c>
      <c r="B20" s="4" t="inlineStr">
        <is>
          <t xml:space="preserve">Equipamiento TI accesorios y software para ESJ VI</t>
        </is>
      </c>
      <c r="C20" s="0">
        <v>2</v>
      </c>
      <c r="D20" s="4" t="inlineStr">
        <is>
          <t xml:space="preserve">Trazadoras de gráficos</t>
        </is>
      </c>
      <c r="E20" s="4" t="inlineStr">
        <is>
          <t xml:space="preserve">Tecnologías de la información, telecomunicaciones y radiodifusión / Equipos informáticos y accesorios / Impresoras</t>
        </is>
      </c>
      <c r="F20" s="0">
        <v>1.0</v>
      </c>
      <c r="G20" s="0" t="inlineStr">
        <is>
          <t xml:space="preserve">Unidad</t>
        </is>
      </c>
      <c r="H20" s="4" t="inlineStr">
        <is>
          <t xml:space="preserve">Equipos de impresión y digitalización profesional (70 unidades):
PLOTTER (1)
ESCÁNER DE ESCRITORIO (20)
IMPRESORA MULTIFUNCIÓN MONOCROMÁTICA (25)
IMPRESORA MONOCROMÁTICA (20)
IMPRESORA MULTIFUNCIÓN COLOR (4)</t>
        </is>
      </c>
    </row>
    <row r="21">
      <c r="A21" s="0" t="inlineStr">
        <is>
          <t xml:space="preserve">1551861-2-LE26</t>
        </is>
      </c>
      <c r="B21" s="4" t="inlineStr">
        <is>
          <t xml:space="preserve">Equipamiento TI accesorios y software para ESJ VI</t>
        </is>
      </c>
      <c r="C21" s="0">
        <v>3</v>
      </c>
      <c r="D21" s="4" t="inlineStr">
        <is>
          <t xml:space="preserve">Kit de herramienta para computadores</t>
        </is>
      </c>
      <c r="E21" s="4" t="inlineStr">
        <is>
          <t xml:space="preserve">Herramientas y maquinaria en general / Herramientas manuales / Juegos de herramientas</t>
        </is>
      </c>
      <c r="F21" s="0">
        <v>1.0</v>
      </c>
      <c r="G21" s="0" t="inlineStr">
        <is>
          <t xml:space="preserve">Unidad</t>
        </is>
      </c>
      <c r="H21" s="4" t="inlineStr">
        <is>
          <t xml:space="preserve">Equipamiento computacional (870 unidades):
TECLADO / MOUSE (161)
PARLANTE (89)
AUDÍFONO (155)
MOUSE PAD (155)
WEB CAM (155)
APOYA MUÑECAS (155)</t>
        </is>
      </c>
    </row>
    <row r="22">
      <c r="A22" s="0" t="inlineStr">
        <is>
          <t xml:space="preserve">1551861-2-LE26</t>
        </is>
      </c>
      <c r="B22" s="4" t="inlineStr">
        <is>
          <t xml:space="preserve">Equipamiento TI accesorios y software para ESJ VI</t>
        </is>
      </c>
      <c r="C22" s="0">
        <v>4</v>
      </c>
      <c r="D22" s="4" t="inlineStr">
        <is>
          <t xml:space="preserve">Impresoras de chorro de tinta</t>
        </is>
      </c>
      <c r="E22" s="4" t="inlineStr">
        <is>
          <t xml:space="preserve">Tecnologías de la información, telecomunicaciones y radiodifusión / Equipos informáticos y accesorios / Impresoras</t>
        </is>
      </c>
      <c r="F22" s="0">
        <v>1.0</v>
      </c>
      <c r="G22" s="0" t="inlineStr">
        <is>
          <t xml:space="preserve">Unidad</t>
        </is>
      </c>
      <c r="H22" s="4" t="inlineStr">
        <is>
          <t xml:space="preserve">Equipamiento móvil y terreno (2 unidades):
IMPRESORA PORTÁTIL (1)
ESCÁNER PORTÁTIL (1)</t>
        </is>
      </c>
    </row>
    <row r="23">
      <c r="A23" s="0" t="inlineStr">
        <is>
          <t xml:space="preserve">4768-48-LE26</t>
        </is>
      </c>
      <c r="B23" s="4" t="inlineStr">
        <is>
          <t xml:space="preserve">MODIFICACION Y MODERNIZACION SEL SITIO WEB</t>
        </is>
      </c>
      <c r="C23" s="0">
        <v>1</v>
      </c>
      <c r="D23" s="4" t="inlineStr">
        <is>
          <t xml:space="preserve">Software de desarrollo de plataforma Web</t>
        </is>
      </c>
      <c r="E23" s="4" t="inlineStr">
        <is>
          <t xml:space="preserve">Tecnologías de la información, telecomunicaciones y radiodifusión / Software / Programas de desarrollo</t>
        </is>
      </c>
      <c r="F23" s="0">
        <v>1.0</v>
      </c>
      <c r="G23" s="0" t="inlineStr">
        <is>
          <t xml:space="preserve">Global</t>
        </is>
      </c>
      <c r="H23" s="4" t="inlineStr">
        <is>
          <t xml:space="preserve">SERVICIO DE MODIFICACION Y MODERNIZACION DEL SITIO WEB INSTITUCIONAL DE LA MUNICIPALIDAD DE LA ESTRELLA</t>
        </is>
      </c>
    </row>
    <row r="24">
      <c r="A24" s="0" t="inlineStr">
        <is>
          <t xml:space="preserve">1002592-6-LP26</t>
        </is>
      </c>
      <c r="B24" s="4" t="inlineStr">
        <is>
          <t xml:space="preserve">Servicio integral de Cloud Computing con Hosting</t>
        </is>
      </c>
      <c r="C24" s="0">
        <v>1</v>
      </c>
      <c r="D24" s="4" t="inlineStr">
        <is>
          <t xml:space="preserve">Web Hosting</t>
        </is>
      </c>
      <c r="E24" s="4" t="inlineStr">
        <is>
          <t xml:space="preserve">Servicios basados en ingeniería, ciencias sociales y tecnología de la información / Servicios informáticos / Servicios para internet</t>
        </is>
      </c>
      <c r="F24" s="0">
        <v>1.0</v>
      </c>
      <c r="G24" s="0" t="inlineStr">
        <is>
          <t xml:space="preserve">Unidad</t>
        </is>
      </c>
      <c r="H24"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25">
      <c r="A25" s="0" t="inlineStr">
        <is>
          <t xml:space="preserve">4295-67-LP26</t>
        </is>
      </c>
      <c r="B25" s="4" t="inlineStr">
        <is>
          <t xml:space="preserve">Servicio de enlace de datos voz IP y CCTV para oficinas remotas</t>
        </is>
      </c>
      <c r="C25" s="0">
        <v>1</v>
      </c>
      <c r="D25" s="4" t="inlineStr">
        <is>
          <t xml:space="preserve">Servicio de redes para mejorar la señal de telecomunicaciones</t>
        </is>
      </c>
      <c r="E25" s="4" t="inlineStr">
        <is>
          <t xml:space="preserve">Servicios básicos y de información pública / Telecomunicaciones / Comunicaciones móviles</t>
        </is>
      </c>
      <c r="F25" s="0">
        <v>1.0</v>
      </c>
      <c r="G25" s="0" t="inlineStr">
        <is>
          <t xml:space="preserve">Unidad</t>
        </is>
      </c>
      <c r="H25" s="4" t="inlineStr">
        <is>
          <t xml:space="preserve">De acuerdo a especificaciones técnicas</t>
        </is>
      </c>
    </row>
    <row r="26">
      <c r="A26" s="0" t="inlineStr">
        <is>
          <t xml:space="preserve">673663-31-LE26</t>
        </is>
      </c>
      <c r="B26" s="4" t="inlineStr">
        <is>
          <t xml:space="preserve">ADQUISICIÓN DE PANTALLA LED EXTERIOR Y TRES TOTEM</t>
        </is>
      </c>
      <c r="C26" s="0">
        <v>1</v>
      </c>
      <c r="D26" s="4" t="inlineStr">
        <is>
          <t xml:space="preserve">Monitores de pantalla táctil</t>
        </is>
      </c>
      <c r="E26" s="4" t="inlineStr">
        <is>
          <t xml:space="preserve">Tecnologías de la información, telecomunicaciones y radiodifusión / Equipos informáticos y accesorios / Pantallas o monitores de computador</t>
        </is>
      </c>
      <c r="F26" s="0">
        <v>1.0</v>
      </c>
      <c r="G26" s="0" t="inlineStr">
        <is>
          <t xml:space="preserve">Global</t>
        </is>
      </c>
      <c r="H26" s="4" t="inlineStr">
        <is>
          <t xml:space="preserve">ADQUISICIÓN DE PANTALLA LED EXTERIOR Y TRES TOTEM PUBLICITARIOS LED</t>
        </is>
      </c>
    </row>
    <row r="27">
      <c r="A27" s="0" t="inlineStr">
        <is>
          <t xml:space="preserve">1375760-10-LE26</t>
        </is>
      </c>
      <c r="B27" s="4" t="inlineStr">
        <is>
          <t xml:space="preserve">SERVICIO DIGITALIZACIÓN EXPEDIENTES FUNCIONARIOS</t>
        </is>
      </c>
      <c r="C27" s="0">
        <v>1</v>
      </c>
      <c r="D27" s="4" t="inlineStr">
        <is>
          <t xml:space="preserve">Servicios de digitalización de documentos</t>
        </is>
      </c>
      <c r="E27" s="4" t="inlineStr">
        <is>
          <t xml:space="preserve">Servicios basados en ingeniería, ciencias sociales y tecnología de la información / Servicios informáticos / Servicios de datos</t>
        </is>
      </c>
      <c r="F27" s="0">
        <v>1.0</v>
      </c>
      <c r="G27" s="0" t="inlineStr">
        <is>
          <t xml:space="preserve">Unidad</t>
        </is>
      </c>
      <c r="H27" s="4" t="inlineStr">
        <is>
          <t xml:space="preserve">SERVICIO DE DIGITALIZACIÓN, CONSTRUCCIÓN Y SISTEMATIZACIÓN DE EXPEDIENTES FUNCIONARIOS DEL PERSONAL QUE SE TRASPASARÁ AL SERVICIO LOCAL DE EDUCACIÓN PÚBLICA DE VALLE CACHAPOAL</t>
        </is>
      </c>
    </row>
    <row r="28">
      <c r="A28" s="0" t="inlineStr">
        <is>
          <t xml:space="preserve">1057539-138-LP26</t>
        </is>
      </c>
      <c r="B28" s="4" t="inlineStr">
        <is>
          <t xml:space="preserve">SERVICIOS PROFESIONALES PERSONAL APOYO INFORMATICA</t>
        </is>
      </c>
      <c r="C28" s="0">
        <v>1</v>
      </c>
      <c r="D28" s="4" t="inlineStr">
        <is>
          <t xml:space="preserve">Profesionales</t>
        </is>
      </c>
      <c r="E28" s="4" t="inlineStr">
        <is>
          <t xml:space="preserve">Servicios profesionales, administrativos y consultorías de gestión empresarial / Servicios de recursos humanos / Contratación de personal</t>
        </is>
      </c>
      <c r="F28" s="0">
        <v>1.0</v>
      </c>
      <c r="G28" s="0" t="inlineStr">
        <is>
          <t xml:space="preserve">Unidad</t>
        </is>
      </c>
      <c r="H28" s="4" t="inlineStr">
        <is>
          <t xml:space="preserve">SERVICIOS PROFESIONALES PERSONAL APOYO INFORMATICA, HOSPITAL DE PUERTO MONTT x 12 meses</t>
        </is>
      </c>
    </row>
    <row r="29">
      <c r="A29" s="0" t="inlineStr">
        <is>
          <t xml:space="preserve">1305527-5-LP26</t>
        </is>
      </c>
      <c r="B29" s="4" t="inlineStr">
        <is>
          <t xml:space="preserve">Contratación de infraestructura Cloud</t>
        </is>
      </c>
      <c r="C29" s="0">
        <v>1</v>
      </c>
      <c r="D29" s="4" t="inlineStr">
        <is>
          <t xml:space="preserve">Web Hosting</t>
        </is>
      </c>
      <c r="E29" s="4" t="inlineStr">
        <is>
          <t xml:space="preserve">Servicios basados en ingeniería, ciencias sociales y tecnología de la información / Servicios informáticos / Servicios para internet</t>
        </is>
      </c>
      <c r="F29" s="0">
        <v>1.0</v>
      </c>
      <c r="G29" s="0" t="inlineStr">
        <is>
          <t xml:space="preserve">Unidad</t>
        </is>
      </c>
      <c r="H29" s="4" t="inlineStr">
        <is>
          <t xml:space="preserve">Contratación de Serv. De Infraestructura Cloud. Revisar EETT.</t>
        </is>
      </c>
    </row>
    <row r="30">
      <c r="A30" s="0" t="inlineStr">
        <is>
          <t xml:space="preserve">1469-224-L126</t>
        </is>
      </c>
      <c r="B30" s="4" t="inlineStr">
        <is>
          <t xml:space="preserve">ARRIENDO DE TÓTEMS INTERACTIVOS PARA PROYECTO MUNDOS INFINITOS CP25-E05, UNIVERSIDAD DE TALCA</t>
        </is>
      </c>
      <c r="C30" s="0">
        <v>1</v>
      </c>
      <c r="D30" s="4" t="inlineStr">
        <is>
          <t xml:space="preserve">Monitores de pantalla táctil</t>
        </is>
      </c>
      <c r="E30" s="4" t="inlineStr">
        <is>
          <t xml:space="preserve">Tecnologías de la información, telecomunicaciones y radiodifusión / Equipos informáticos y accesorios / Pantallas o monitores de computador</t>
        </is>
      </c>
      <c r="F30" s="0">
        <v>5.0</v>
      </c>
      <c r="G30" s="0" t="inlineStr">
        <is>
          <t xml:space="preserve">Unidad</t>
        </is>
      </c>
      <c r="H30" s="4" t="inlineStr">
        <is>
          <t xml:space="preserve">La Universidad de Talca requiere a través de su Proyecto Mundos Infinitos contratar proveedor para arriendo de Tótems Interactivos.</t>
        </is>
      </c>
    </row>
    <row r="31">
      <c r="A31" s="0" t="inlineStr">
        <is>
          <t xml:space="preserve">867990-95-L126</t>
        </is>
      </c>
      <c r="B31" s="4" t="inlineStr">
        <is>
          <t xml:space="preserve">cc 102 sol 92830 - Contratación de servicio especializado de formación en inteligencia artificial</t>
        </is>
      </c>
      <c r="C31" s="0">
        <v>1</v>
      </c>
      <c r="D31" s="4" t="inlineStr">
        <is>
          <t xml:space="preserve">Capacitación a empleados</t>
        </is>
      </c>
      <c r="E31" s="4" t="inlineStr">
        <is>
          <t xml:space="preserve">Educación, formación, entrenamiento y capacitación / Sistemas educativos complementarios / Educación de adultos</t>
        </is>
      </c>
      <c r="F31" s="0">
        <v>1.0</v>
      </c>
      <c r="G31" s="0" t="inlineStr">
        <is>
          <t xml:space="preserve">Unidad</t>
        </is>
      </c>
      <c r="H31" s="4" t="inlineStr">
        <is>
          <t xml:space="preserve">Provisión de un servicio especializado de formación en inteligencia artificial, destinado a académicos, profesionales y personal administrativo de la Facultad Tecnológica según especificaciones del servicio requerido establecidas a continuación</t>
        </is>
      </c>
    </row>
    <row r="32">
      <c r="A32" s="0" t="inlineStr">
        <is>
          <t xml:space="preserve">858-69-LP26</t>
        </is>
      </c>
      <c r="B32" s="4" t="inlineStr">
        <is>
          <t xml:space="preserve">RENOVACIÓN Y ADQUISICIÓN LICENCIAS DE INFORMÁTICA</t>
        </is>
      </c>
      <c r="C32" s="0">
        <v>1</v>
      </c>
      <c r="D32" s="4" t="inlineStr">
        <is>
          <t xml:space="preserve">Software de diseño de patrones</t>
        </is>
      </c>
      <c r="E32" s="4" t="inlineStr">
        <is>
          <t xml:space="preserve">Tecnologías de la información, telecomunicaciones y radiodifusión / Software / Software de edición y creación de contenidos</t>
        </is>
      </c>
      <c r="F32" s="0">
        <v>1.0</v>
      </c>
      <c r="G32" s="0" t="inlineStr">
        <is>
          <t xml:space="preserve">Unidad no definida</t>
        </is>
      </c>
      <c r="H32" s="4" t="inlineStr">
        <is>
          <t xml:space="preserve">Renovación Licencia suscripción anual Architecture Engineering &amp; Construction Collection (Contrato 110002429228 que expira el 08-01-2027)</t>
        </is>
      </c>
    </row>
    <row r="33">
      <c r="A33" s="0" t="inlineStr">
        <is>
          <t xml:space="preserve">858-69-LP26</t>
        </is>
      </c>
      <c r="B33" s="4" t="inlineStr">
        <is>
          <t xml:space="preserve">RENOVACIÓN Y ADQUISICIÓN LICENCIAS DE INFORMÁTICA</t>
        </is>
      </c>
      <c r="C33" s="0">
        <v>2</v>
      </c>
      <c r="D33" s="4" t="inlineStr">
        <is>
          <t xml:space="preserve">Software de diseño de patrones</t>
        </is>
      </c>
      <c r="E33" s="4" t="inlineStr">
        <is>
          <t xml:space="preserve">Tecnologías de la información, telecomunicaciones y radiodifusión / Software / Software de edición y creación de contenidos</t>
        </is>
      </c>
      <c r="F33" s="0">
        <v>1.0</v>
      </c>
      <c r="G33" s="0" t="inlineStr">
        <is>
          <t xml:space="preserve">Unidad no definida</t>
        </is>
      </c>
      <c r="H33" s="4" t="inlineStr">
        <is>
          <t xml:space="preserve">Renovación Licencia suscripción anual Architecture Engineering &amp; Construction Collection (Contrato 110002891662 que expira el 10-12-2026)</t>
        </is>
      </c>
    </row>
    <row r="34">
      <c r="A34" s="0" t="inlineStr">
        <is>
          <t xml:space="preserve">858-69-LP26</t>
        </is>
      </c>
      <c r="B34" s="4" t="inlineStr">
        <is>
          <t xml:space="preserve">RENOVACIÓN Y ADQUISICIÓN LICENCIAS DE INFORMÁTICA</t>
        </is>
      </c>
      <c r="C34" s="0">
        <v>3</v>
      </c>
      <c r="D34" s="4" t="inlineStr">
        <is>
          <t xml:space="preserve">Software de diseño de patrones</t>
        </is>
      </c>
      <c r="E34" s="4" t="inlineStr">
        <is>
          <t xml:space="preserve">Tecnologías de la información, telecomunicaciones y radiodifusión / Software / Software de edición y creación de contenidos</t>
        </is>
      </c>
      <c r="F34" s="0">
        <v>1.0</v>
      </c>
      <c r="G34" s="0" t="inlineStr">
        <is>
          <t xml:space="preserve">Unidad no definida</t>
        </is>
      </c>
      <c r="H34" s="4" t="inlineStr">
        <is>
          <t xml:space="preserve">Renovación Licencia suscripción anual Architecture Engineering &amp; Construction Collection (Contrato 110004918552 que expira el 03-12-2026)</t>
        </is>
      </c>
    </row>
    <row r="35">
      <c r="A35" s="0" t="inlineStr">
        <is>
          <t xml:space="preserve">858-69-LP26</t>
        </is>
      </c>
      <c r="B35" s="4" t="inlineStr">
        <is>
          <t xml:space="preserve">RENOVACIÓN Y ADQUISICIÓN LICENCIAS DE INFORMÁTICA</t>
        </is>
      </c>
      <c r="C35" s="0">
        <v>4</v>
      </c>
      <c r="D35" s="4" t="inlineStr">
        <is>
          <t xml:space="preserve">Software de diseño de patrones</t>
        </is>
      </c>
      <c r="E35" s="4" t="inlineStr">
        <is>
          <t xml:space="preserve">Tecnologías de la información, telecomunicaciones y radiodifusión / Software / Software de edición y creación de contenidos</t>
        </is>
      </c>
      <c r="F35" s="0">
        <v>1.0</v>
      </c>
      <c r="G35" s="0" t="inlineStr">
        <is>
          <t xml:space="preserve">Unidad no definida</t>
        </is>
      </c>
      <c r="H35" s="4" t="inlineStr">
        <is>
          <t xml:space="preserve">Renovación Licencia suscripción anual AutoCAD - including specialized toolsets (Contrato 110002429228 que expira el 08-01-2027)</t>
        </is>
      </c>
    </row>
    <row r="36">
      <c r="A36" s="0" t="inlineStr">
        <is>
          <t xml:space="preserve">858-69-LP26</t>
        </is>
      </c>
      <c r="B36" s="4" t="inlineStr">
        <is>
          <t xml:space="preserve">RENOVACIÓN Y ADQUISICIÓN LICENCIAS DE INFORMÁTICA</t>
        </is>
      </c>
      <c r="C36" s="0">
        <v>5</v>
      </c>
      <c r="D36" s="4" t="inlineStr">
        <is>
          <t xml:space="preserve">Software de diseño de patrones</t>
        </is>
      </c>
      <c r="E36" s="4" t="inlineStr">
        <is>
          <t xml:space="preserve">Tecnologías de la información, telecomunicaciones y radiodifusión / Software / Software de edición y creación de contenidos</t>
        </is>
      </c>
      <c r="F36" s="0">
        <v>1.0</v>
      </c>
      <c r="G36" s="0" t="inlineStr">
        <is>
          <t xml:space="preserve">Unidad no definida</t>
        </is>
      </c>
      <c r="H36" s="4" t="inlineStr">
        <is>
          <t xml:space="preserve">Renovación Licencia suscripción anual AutoCAD - including specialized toolsets (Contrato 110002891662 que expira el 10-12-2026)</t>
        </is>
      </c>
    </row>
    <row r="37">
      <c r="A37" s="0" t="inlineStr">
        <is>
          <t xml:space="preserve">858-69-LP26</t>
        </is>
      </c>
      <c r="B37" s="4" t="inlineStr">
        <is>
          <t xml:space="preserve">RENOVACIÓN Y ADQUISICIÓN LICENCIAS DE INFORMÁTICA</t>
        </is>
      </c>
      <c r="C37" s="0">
        <v>6</v>
      </c>
      <c r="D37" s="4" t="inlineStr">
        <is>
          <t xml:space="preserve">Software de diseño de patrones</t>
        </is>
      </c>
      <c r="E37" s="4" t="inlineStr">
        <is>
          <t xml:space="preserve">Tecnologías de la información, telecomunicaciones y radiodifusión / Software / Software de edición y creación de contenidos</t>
        </is>
      </c>
      <c r="F37" s="0">
        <v>1.0</v>
      </c>
      <c r="G37" s="0" t="inlineStr">
        <is>
          <t xml:space="preserve">Unidad no definida</t>
        </is>
      </c>
      <c r="H37" s="4" t="inlineStr">
        <is>
          <t xml:space="preserve">Renovación Licencia suscripción anual AutoCAD - including specialized toolsets (Contrato 110002891645 que expira el 10-12-2026)</t>
        </is>
      </c>
    </row>
    <row r="38">
      <c r="A38" s="0" t="inlineStr">
        <is>
          <t xml:space="preserve">858-69-LP26</t>
        </is>
      </c>
      <c r="B38" s="4" t="inlineStr">
        <is>
          <t xml:space="preserve">RENOVACIÓN Y ADQUISICIÓN LICENCIAS DE INFORMÁTICA</t>
        </is>
      </c>
      <c r="C38" s="0">
        <v>7</v>
      </c>
      <c r="D38" s="4" t="inlineStr">
        <is>
          <t xml:space="preserve">Software de diseño de patrones</t>
        </is>
      </c>
      <c r="E38" s="4" t="inlineStr">
        <is>
          <t xml:space="preserve">Tecnologías de la información, telecomunicaciones y radiodifusión / Software / Software de edición y creación de contenidos</t>
        </is>
      </c>
      <c r="F38" s="0">
        <v>1.0</v>
      </c>
      <c r="G38" s="0" t="inlineStr">
        <is>
          <t xml:space="preserve">Unidad no definida</t>
        </is>
      </c>
      <c r="H38" s="4" t="inlineStr">
        <is>
          <t xml:space="preserve">Renovación Licencia suscripción anual AutoCAD - including specialized toolsets (Contrato 110002891662 que expira el 10-12-2026)</t>
        </is>
      </c>
    </row>
    <row r="39">
      <c r="A39" s="0" t="inlineStr">
        <is>
          <t xml:space="preserve">858-69-LP26</t>
        </is>
      </c>
      <c r="B39" s="4" t="inlineStr">
        <is>
          <t xml:space="preserve">RENOVACIÓN Y ADQUISICIÓN LICENCIAS DE INFORMÁTICA</t>
        </is>
      </c>
      <c r="C39" s="0">
        <v>8</v>
      </c>
      <c r="D39" s="4" t="inlineStr">
        <is>
          <t xml:space="preserve">Software de diseño de patrones</t>
        </is>
      </c>
      <c r="E39" s="4" t="inlineStr">
        <is>
          <t xml:space="preserve">Tecnologías de la información, telecomunicaciones y radiodifusión / Software / Software de edición y creación de contenidos</t>
        </is>
      </c>
      <c r="F39" s="0">
        <v>1.0</v>
      </c>
      <c r="G39" s="0" t="inlineStr">
        <is>
          <t xml:space="preserve">Unidad no definida</t>
        </is>
      </c>
      <c r="H39" s="4" t="inlineStr">
        <is>
          <t xml:space="preserve">Renovación Licencia suscripción anual AutoCAD - including specialized toolsets (Contrato 110004888621 que expira el 20-10-2026</t>
        </is>
      </c>
    </row>
    <row r="40">
      <c r="A40" s="0" t="inlineStr">
        <is>
          <t xml:space="preserve">858-69-LP26</t>
        </is>
      </c>
      <c r="B40" s="4" t="inlineStr">
        <is>
          <t xml:space="preserve">RENOVACIÓN Y ADQUISICIÓN LICENCIAS DE INFORMÁTICA</t>
        </is>
      </c>
      <c r="C40" s="0">
        <v>9</v>
      </c>
      <c r="D40" s="4" t="inlineStr">
        <is>
          <t xml:space="preserve">Software de diseño de patrones</t>
        </is>
      </c>
      <c r="E40" s="4" t="inlineStr">
        <is>
          <t xml:space="preserve">Tecnologías de la información, telecomunicaciones y radiodifusión / Software / Software de edición y creación de contenidos</t>
        </is>
      </c>
      <c r="F40" s="0">
        <v>1.0</v>
      </c>
      <c r="G40" s="0" t="inlineStr">
        <is>
          <t xml:space="preserve">Unidad no definida</t>
        </is>
      </c>
      <c r="H40" s="4" t="inlineStr">
        <is>
          <t xml:space="preserve">Renovación Licencia suscripción anual AutoCAD - including specialized toolsets (Contrato 110002889978 que expira el 09-12-2026</t>
        </is>
      </c>
    </row>
    <row r="41">
      <c r="A41" s="0" t="inlineStr">
        <is>
          <t xml:space="preserve">858-69-LP26</t>
        </is>
      </c>
      <c r="B41" s="4" t="inlineStr">
        <is>
          <t xml:space="preserve">RENOVACIÓN Y ADQUISICIÓN LICENCIAS DE INFORMÁTICA</t>
        </is>
      </c>
      <c r="C41" s="0">
        <v>10</v>
      </c>
      <c r="D41" s="4" t="inlineStr">
        <is>
          <t xml:space="preserve">Software de diseño de patrones</t>
        </is>
      </c>
      <c r="E41" s="4" t="inlineStr">
        <is>
          <t xml:space="preserve">Tecnologías de la información, telecomunicaciones y radiodifusión / Software / Software de edición y creación de contenidos</t>
        </is>
      </c>
      <c r="F41" s="0">
        <v>1.0</v>
      </c>
      <c r="G41" s="0" t="inlineStr">
        <is>
          <t xml:space="preserve">Unidad no definida</t>
        </is>
      </c>
      <c r="H41" s="4" t="inlineStr">
        <is>
          <t xml:space="preserve">Renovación Licencia Suscripción anual AutoCAD LT (Contrato 110002427866 que expira el 23-12-2026)</t>
        </is>
      </c>
    </row>
    <row r="42">
      <c r="A42" s="0" t="inlineStr">
        <is>
          <t xml:space="preserve">858-69-LP26</t>
        </is>
      </c>
      <c r="B42" s="4" t="inlineStr">
        <is>
          <t xml:space="preserve">RENOVACIÓN Y ADQUISICIÓN LICENCIAS DE INFORMÁTICA</t>
        </is>
      </c>
      <c r="C42" s="0">
        <v>11</v>
      </c>
      <c r="D42" s="4" t="inlineStr">
        <is>
          <t xml:space="preserve">Software de diseño de patrones</t>
        </is>
      </c>
      <c r="E42" s="4" t="inlineStr">
        <is>
          <t xml:space="preserve">Tecnologías de la información, telecomunicaciones y radiodifusión / Software / Software de edición y creación de contenidos</t>
        </is>
      </c>
      <c r="F42" s="0">
        <v>1.0</v>
      </c>
      <c r="G42" s="0" t="inlineStr">
        <is>
          <t xml:space="preserve">Unidad no definida</t>
        </is>
      </c>
      <c r="H42" s="4" t="inlineStr">
        <is>
          <t xml:space="preserve">Renovación Licencia Suscripción anual AutoCAD LT (Contrato 110002891662 que expira el 12-10-2026)</t>
        </is>
      </c>
    </row>
    <row r="43">
      <c r="A43" s="0" t="inlineStr">
        <is>
          <t xml:space="preserve">858-69-LP26</t>
        </is>
      </c>
      <c r="B43" s="4" t="inlineStr">
        <is>
          <t xml:space="preserve">RENOVACIÓN Y ADQUISICIÓN LICENCIAS DE INFORMÁTICA</t>
        </is>
      </c>
      <c r="C43" s="0">
        <v>12</v>
      </c>
      <c r="D43" s="4" t="inlineStr">
        <is>
          <t xml:space="preserve">Software de diseño de patrones</t>
        </is>
      </c>
      <c r="E43" s="4" t="inlineStr">
        <is>
          <t xml:space="preserve">Tecnologías de la información, telecomunicaciones y radiodifusión / Software / Software de edición y creación de contenidos</t>
        </is>
      </c>
      <c r="F43" s="0">
        <v>1.0</v>
      </c>
      <c r="G43" s="0" t="inlineStr">
        <is>
          <t xml:space="preserve">Unidad no definida</t>
        </is>
      </c>
      <c r="H43" s="4" t="inlineStr">
        <is>
          <t xml:space="preserve">Licencia Suscripción anual AutoCAD LT (Nueva)</t>
        </is>
      </c>
    </row>
    <row r="44">
      <c r="A44" s="0" t="inlineStr">
        <is>
          <t xml:space="preserve">858-69-LP26</t>
        </is>
      </c>
      <c r="B44" s="4" t="inlineStr">
        <is>
          <t xml:space="preserve">RENOVACIÓN Y ADQUISICIÓN LICENCIAS DE INFORMÁTICA</t>
        </is>
      </c>
      <c r="C44" s="0">
        <v>13</v>
      </c>
      <c r="D44" s="4" t="inlineStr">
        <is>
          <t xml:space="preserve">Software de diseño de patrones</t>
        </is>
      </c>
      <c r="E44" s="4" t="inlineStr">
        <is>
          <t xml:space="preserve">Tecnologías de la información, telecomunicaciones y radiodifusión / Software / Software de edición y creación de contenidos</t>
        </is>
      </c>
      <c r="F44" s="0">
        <v>1.0</v>
      </c>
      <c r="G44" s="0" t="inlineStr">
        <is>
          <t xml:space="preserve">Unidad no definida</t>
        </is>
      </c>
      <c r="H44" s="4" t="inlineStr">
        <is>
          <t xml:space="preserve">Renovación Licencia Suscripción anual Adobe Creative Cloud Pro (contrato E1B3B00B103448196A7A que expira el 30-10-2026)</t>
        </is>
      </c>
    </row>
    <row r="45">
      <c r="A45" s="0" t="inlineStr">
        <is>
          <t xml:space="preserve">858-69-LP26</t>
        </is>
      </c>
      <c r="B45" s="4" t="inlineStr">
        <is>
          <t xml:space="preserve">RENOVACIÓN Y ADQUISICIÓN LICENCIAS DE INFORMÁTICA</t>
        </is>
      </c>
      <c r="C45" s="0">
        <v>14</v>
      </c>
      <c r="D45" s="4" t="inlineStr">
        <is>
          <t xml:space="preserve">Software de diseño de patrones</t>
        </is>
      </c>
      <c r="E45" s="4" t="inlineStr">
        <is>
          <t xml:space="preserve">Tecnologías de la información, telecomunicaciones y radiodifusión / Software / Software de edición y creación de contenidos</t>
        </is>
      </c>
      <c r="F45" s="0">
        <v>1.0</v>
      </c>
      <c r="G45" s="0" t="inlineStr">
        <is>
          <t xml:space="preserve">Unidad no definida</t>
        </is>
      </c>
      <c r="H45" s="4" t="inlineStr">
        <is>
          <t xml:space="preserve">Licencia Suscripción anual Adobe Creative Cloud Pro (Nueva)</t>
        </is>
      </c>
    </row>
    <row r="46">
      <c r="A46" s="0" t="inlineStr">
        <is>
          <t xml:space="preserve">858-69-LP26</t>
        </is>
      </c>
      <c r="B46" s="4" t="inlineStr">
        <is>
          <t xml:space="preserve">RENOVACIÓN Y ADQUISICIÓN LICENCIAS DE INFORMÁTICA</t>
        </is>
      </c>
      <c r="C46" s="0">
        <v>15</v>
      </c>
      <c r="D46" s="4" t="inlineStr">
        <is>
          <t xml:space="preserve">Software de diseño de patrones</t>
        </is>
      </c>
      <c r="E46" s="4" t="inlineStr">
        <is>
          <t xml:space="preserve">Tecnologías de la información, telecomunicaciones y radiodifusión / Software / Software de edición y creación de contenidos</t>
        </is>
      </c>
      <c r="F46" s="0">
        <v>1.0</v>
      </c>
      <c r="G46" s="0" t="inlineStr">
        <is>
          <t xml:space="preserve">Unidad no definida</t>
        </is>
      </c>
      <c r="H46" s="4" t="inlineStr">
        <is>
          <t xml:space="preserve">Renovación Suscripción anual Adobe Illustrator (Contrato E1B3B00B103448196A7A que expira el 30-10-2026)</t>
        </is>
      </c>
    </row>
    <row r="47">
      <c r="A47" s="0" t="inlineStr">
        <is>
          <t xml:space="preserve">1259850-6-LP26</t>
        </is>
      </c>
      <c r="B47" s="4" t="inlineStr">
        <is>
          <t xml:space="preserve">GORE. COMPRA DE EQUIPOS INFORMATICOS.</t>
        </is>
      </c>
      <c r="C47" s="0">
        <v>1</v>
      </c>
      <c r="D47" s="4" t="inlineStr">
        <is>
          <t xml:space="preserve">Computadores de escritorio</t>
        </is>
      </c>
      <c r="E47" s="4" t="inlineStr">
        <is>
          <t xml:space="preserve">Tecnologías de la información, telecomunicaciones y radiodifusión / Equipos informáticos y accesorios / Computadores</t>
        </is>
      </c>
      <c r="F47" s="0">
        <v>66.0</v>
      </c>
      <c r="G47" s="0" t="inlineStr">
        <is>
          <t xml:space="preserve">Unidad</t>
        </is>
      </c>
      <c r="H47" s="4" t="inlineStr">
        <is>
          <t xml:space="preserve">EQUIPOS COMPUTACIONALES. SE ADJUNTAN BASES DE LICITACION.</t>
        </is>
      </c>
    </row>
    <row r="48">
      <c r="A48" s="0" t="inlineStr">
        <is>
          <t xml:space="preserve">1259850-6-LP26</t>
        </is>
      </c>
      <c r="B48" s="4" t="inlineStr">
        <is>
          <t xml:space="preserve">GORE. COMPRA DE EQUIPOS INFORMATICOS.</t>
        </is>
      </c>
      <c r="C48" s="0">
        <v>2</v>
      </c>
      <c r="D48" s="4" t="inlineStr">
        <is>
          <t xml:space="preserve">Impresoras multifunción o multifuncionales</t>
        </is>
      </c>
      <c r="E48" s="4" t="inlineStr">
        <is>
          <t xml:space="preserve">Tecnologías de la información, telecomunicaciones y radiodifusión / Equipos informáticos y accesorios / Impresoras</t>
        </is>
      </c>
      <c r="F48" s="0">
        <v>15.0</v>
      </c>
      <c r="G48" s="0" t="inlineStr">
        <is>
          <t xml:space="preserve">Unidad</t>
        </is>
      </c>
      <c r="H48" s="4" t="inlineStr">
        <is>
          <t xml:space="preserve">IMPRESORA MULTIFUNCIONAL DE ALTO RENDIMIENTO. SE ADJUNTAN BASES DE LICITACION.</t>
        </is>
      </c>
    </row>
    <row r="49">
      <c r="A49" s="0" t="inlineStr">
        <is>
          <t xml:space="preserve">1259850-6-LP26</t>
        </is>
      </c>
      <c r="B49" s="4" t="inlineStr">
        <is>
          <t xml:space="preserve">GORE. COMPRA DE EQUIPOS INFORMATICOS.</t>
        </is>
      </c>
      <c r="C49" s="0">
        <v>3</v>
      </c>
      <c r="D49" s="4" t="inlineStr">
        <is>
          <t xml:space="preserve">Escáner</t>
        </is>
      </c>
      <c r="E49" s="4" t="inlineStr">
        <is>
          <t xml:space="preserve">Tecnologías de la información, telecomunicaciones y radiodifusión / Equipos informáticos y accesorios / Dispositivos informáticos de entrada de datos</t>
        </is>
      </c>
      <c r="F49" s="0">
        <v>4.0</v>
      </c>
      <c r="G49" s="0" t="inlineStr">
        <is>
          <t xml:space="preserve">Unidad</t>
        </is>
      </c>
      <c r="H49" s="4" t="inlineStr">
        <is>
          <t xml:space="preserve">ESCANER DE ALTO RENDIMIENTO. SE ADJUNTAN BASES DE LICITACION.</t>
        </is>
      </c>
    </row>
    <row r="50">
      <c r="A50" s="0" t="inlineStr">
        <is>
          <t xml:space="preserve">2663-63-LP26</t>
        </is>
      </c>
      <c r="B50" s="4" t="inlineStr">
        <is>
          <t xml:space="preserve">SISTEMAS INFORMÁTICOS DE GESTIÓN MUNICIPAL</t>
        </is>
      </c>
      <c r="C50" s="0">
        <v>1</v>
      </c>
      <c r="D50" s="4" t="inlineStr">
        <is>
          <t xml:space="preserve">Sistemas de información y control de empresas públicas</t>
        </is>
      </c>
      <c r="E50" s="4" t="inlineStr">
        <is>
          <t xml:space="preserve">Organizaciones y consultorías políticas, demográficas, económicas, sociales y de administración pública / Administración y finanzas públicas / Administración pública</t>
        </is>
      </c>
      <c r="F50" s="0">
        <v>1.0</v>
      </c>
      <c r="G50" s="0" t="inlineStr">
        <is>
          <t xml:space="preserve">Unidad</t>
        </is>
      </c>
      <c r="H50" s="4" t="inlineStr">
        <is>
          <t xml:space="preserve">ADQUISICIÓN DE “SISTEMAS INFORMÁTICOS DE GESTIÓN MUNICIPAL: ARRIENDO, IMPLEMENTACIÓN Y MANTENIMIENTO PARA LA ILUSTRE MUNICIPALIDAD DE NATALES” SEGÚN LO SEÑALADO EN LAS BASES ADMINISTRATIVAS, TÉCNICAS</t>
        </is>
      </c>
    </row>
    <row r="51">
      <c r="A51" s="0" t="inlineStr">
        <is>
          <t xml:space="preserve">4105-8-LP26</t>
        </is>
      </c>
      <c r="B51" s="4" t="inlineStr">
        <is>
          <t xml:space="preserve">Mantención Control y Actualización de Software</t>
        </is>
      </c>
      <c r="C51" s="0">
        <v>1</v>
      </c>
      <c r="D51" s="4" t="inlineStr">
        <is>
          <t xml:space="preserve">Software de sistema de archivos</t>
        </is>
      </c>
      <c r="E51" s="4" t="inlineStr">
        <is>
          <t xml:space="preserve">Tecnologías de la información, telecomunicaciones y radiodifusión / Software / Software de entorno operativo</t>
        </is>
      </c>
      <c r="F51" s="0">
        <v>1.0</v>
      </c>
      <c r="G51" s="0" t="inlineStr">
        <is>
          <t xml:space="preserve">Unidad</t>
        </is>
      </c>
      <c r="H51" s="4" t="inlineStr">
        <is>
          <t xml:space="preserve">“MANTENCION, CONTROL Y ACTUALIZACION DE SOFTWARE DE CONEXIÓN PERMISO DE CIRCULACIÓN”</t>
        </is>
      </c>
    </row>
    <row r="52">
      <c r="A52" s="0" t="inlineStr">
        <is>
          <t xml:space="preserve">2429-8-LP26</t>
        </is>
      </c>
      <c r="B52" s="4" t="inlineStr">
        <is>
          <t xml:space="preserve">RENOVACIÓN DE INFRAESTRUCTURA DE RED INFORMÁTICA Y NORMALIZACIÓN DE CABLEADO ESTRUCTURADO DE LAS DEPENDENCIAS DE LA IMA</t>
        </is>
      </c>
      <c r="C52" s="0">
        <v>1</v>
      </c>
      <c r="D52" s="4" t="inlineStr">
        <is>
          <t xml:space="preserve">Diseño de redes de comunicación de cobertura local (LAN)</t>
        </is>
      </c>
      <c r="E52" s="4" t="inlineStr">
        <is>
          <t xml:space="preserve">Servicios basados en ingeniería, ciencias sociales y tecnología de la información / Servicios informáticos / Sistemas de información</t>
        </is>
      </c>
      <c r="F52" s="0">
        <v>1.0</v>
      </c>
      <c r="G52" s="0" t="inlineStr">
        <is>
          <t xml:space="preserve">Unidad</t>
        </is>
      </c>
      <c r="H52" s="4" t="inlineStr">
        <is>
          <t xml:space="preserve">RENOVACIÓN DE INFRAESTRUCTURA DE RED INFORMÁTICA Y NORMALIZACIÓN DE CABLEADO ESTRUCTURADO DE LAS DEPENDENCIAS EXTERNAS DE LA I. MUNICIPALIDAD DE ANTOFAGASTA</t>
        </is>
      </c>
    </row>
    <row r="53">
      <c r="A53" s="0" t="inlineStr">
        <is>
          <t xml:space="preserve">3588-51-LE26</t>
        </is>
      </c>
      <c r="B53" s="4" t="inlineStr">
        <is>
          <t xml:space="preserve">ADQUISICIÓN LICENCIAS DE SOFTWARE Y ANTIVIRUS</t>
        </is>
      </c>
      <c r="C53" s="0">
        <v>1</v>
      </c>
      <c r="D53" s="4" t="inlineStr">
        <is>
          <t xml:space="preserve">Software de gestión de licencias</t>
        </is>
      </c>
      <c r="E53" s="4" t="inlineStr">
        <is>
          <t xml:space="preserve">Tecnologías de la información, telecomunicaciones y radiodifusión / Software / Software de gestión</t>
        </is>
      </c>
      <c r="F53" s="0">
        <v>1.0</v>
      </c>
      <c r="G53" s="0" t="inlineStr">
        <is>
          <t xml:space="preserve">Unidad</t>
        </is>
      </c>
      <c r="H53"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t>
        </is>
      </c>
    </row>
    <row r="54">
      <c r="A54" s="0" t="inlineStr">
        <is>
          <t xml:space="preserve">1533460-6-LP26</t>
        </is>
      </c>
      <c r="B54" s="4" t="inlineStr">
        <is>
          <t xml:space="preserve">SERVICIO DE ARRIENDO DE SISTEMA INFORMÁTICO FINANCIERO CONTABLE Y RECURSOS HUMANOS</t>
        </is>
      </c>
      <c r="C54" s="0">
        <v>1</v>
      </c>
      <c r="D54" s="4" t="inlineStr">
        <is>
          <t xml:space="preserve">Software de planificación de recursos empresariales (ERP)</t>
        </is>
      </c>
      <c r="E54" s="4" t="inlineStr">
        <is>
          <t xml:space="preserve">Tecnologías de la información, telecomunicaciones y radiodifusión / Software / Software de planificación de recursos empresariales (ERP) y contabilidad financiera</t>
        </is>
      </c>
      <c r="F54" s="0">
        <v>1.0</v>
      </c>
      <c r="G54" s="0" t="inlineStr">
        <is>
          <t xml:space="preserve">Unidad</t>
        </is>
      </c>
      <c r="H54"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55">
      <c r="A55" s="0" t="inlineStr">
        <is>
          <t xml:space="preserve">1469-226-L126</t>
        </is>
      </c>
      <c r="B55" s="4" t="inlineStr">
        <is>
          <t xml:space="preserve">Sistema de gestión de Libro de Obras Digital, para PIBV, UNIVERSIDAD DE TALCA</t>
        </is>
      </c>
      <c r="C55" s="0">
        <v>1</v>
      </c>
      <c r="D55" s="4" t="inlineStr">
        <is>
          <t xml:space="preserve">Software de gestión de instalaciones</t>
        </is>
      </c>
      <c r="E55" s="4" t="inlineStr">
        <is>
          <t xml:space="preserve">Tecnologías de la información, telecomunicaciones y radiodifusión / Software / Software específico para la industria</t>
        </is>
      </c>
      <c r="F55" s="0">
        <v>1.0</v>
      </c>
      <c r="G55" s="0" t="inlineStr">
        <is>
          <t xml:space="preserve">Unidad</t>
        </is>
      </c>
      <c r="H55" s="4" t="inlineStr">
        <is>
          <t xml:space="preserve">Sistema de gestión de Libro de Obras Digital, para PIBV</t>
        </is>
      </c>
    </row>
    <row r="56">
      <c r="A56" s="0" t="inlineStr">
        <is>
          <t xml:space="preserve">585-9-LE26</t>
        </is>
      </c>
      <c r="B56" s="4" t="inlineStr">
        <is>
          <t xml:space="preserve">Adq. Licencias Para Plataforma Gestión de Tickes</t>
        </is>
      </c>
      <c r="C56" s="0">
        <v>1</v>
      </c>
      <c r="D56" s="4" t="inlineStr">
        <is>
          <t xml:space="preserve">Software de gestión de licencias</t>
        </is>
      </c>
      <c r="E56" s="4" t="inlineStr">
        <is>
          <t xml:space="preserve">Tecnologías de la información, telecomunicaciones y radiodifusión / Software / Software de gestión</t>
        </is>
      </c>
      <c r="F56" s="0">
        <v>1.0</v>
      </c>
      <c r="G56" s="0" t="inlineStr">
        <is>
          <t xml:space="preserve">Unidad</t>
        </is>
      </c>
      <c r="H56" s="4" t="inlineStr">
        <is>
          <t xml:space="preserve">Adquisición de Licencias Para Plataforma Gestión de Tickets Mesa de Ayuda</t>
        </is>
      </c>
    </row>
    <row r="57">
      <c r="A57" s="0" t="inlineStr">
        <is>
          <t xml:space="preserve">3710-92-L126</t>
        </is>
      </c>
      <c r="B57" s="4" t="inlineStr">
        <is>
          <t xml:space="preserve">SOFTWARE LICENCIAS MEDICAS</t>
        </is>
      </c>
      <c r="C57" s="0">
        <v>1</v>
      </c>
      <c r="D57" s="4" t="inlineStr">
        <is>
          <t xml:space="preserve">Programas de gestión de inventario</t>
        </is>
      </c>
      <c r="E57" s="4" t="inlineStr">
        <is>
          <t xml:space="preserve">Tecnologías de la información, telecomunicaciones y radiodifusión / Software / Software de gestión</t>
        </is>
      </c>
      <c r="F57" s="0">
        <v>1.0</v>
      </c>
      <c r="G57" s="0" t="inlineStr">
        <is>
          <t xml:space="preserve">Unidad</t>
        </is>
      </c>
      <c r="H57" s="4" t="inlineStr">
        <is>
          <t xml:space="preserve">CTO SUMINISTROS ARRIENDO DE SOFTWARE DE GESTIÓN DE LICENCIAS MEDICAS AREA DE SALUD MUNICIPAL 2026-2027.SE ADJUNTAN ANEXOS Y ESPECIFICACIONES TECNICAS</t>
        </is>
      </c>
    </row>
    <row r="58">
      <c r="A58" s="0" t="inlineStr">
        <is>
          <t xml:space="preserve">622844-5-LE26</t>
        </is>
      </c>
      <c r="B58" s="4" t="inlineStr">
        <is>
          <t xml:space="preserve">Renovación de Licencias de Software</t>
        </is>
      </c>
      <c r="C58" s="0">
        <v>1</v>
      </c>
      <c r="D58" s="4" t="inlineStr">
        <is>
          <t xml:space="preserve">Software de gestión de licencias</t>
        </is>
      </c>
      <c r="E58" s="4" t="inlineStr">
        <is>
          <t xml:space="preserve">Tecnologías de la información, telecomunicaciones y radiodifusión / Software / Software de gestión</t>
        </is>
      </c>
      <c r="F58" s="0">
        <v>1.0</v>
      </c>
      <c r="G58" s="0" t="inlineStr">
        <is>
          <t xml:space="preserve">Unidad</t>
        </is>
      </c>
      <c r="H58" s="4" t="inlineStr">
        <is>
          <t xml:space="preserve">La Secretaría Técnica del Consejo de Monumentos Nacionales licita públicamente el servicio de RENOVACIÓN DE LICENCIAS DE SOFTWARE</t>
        </is>
      </c>
    </row>
    <row r="59">
      <c r="A59" s="0" t="inlineStr">
        <is>
          <t xml:space="preserve">1056854-9-L126</t>
        </is>
      </c>
      <c r="B59" s="4" t="inlineStr">
        <is>
          <t xml:space="preserve">“ADQUISICIÓN DE 20 KITS DE ROBÓTICA EDUCATIVA, SOFTWARE, CAPACITACIÓN Y ACOMPAÑAMIENTO TÉCNICO PARA LA HABILITACIÓN DE LA SALA DE ROBÓTICA DEL HUB PROVIDENCIA”,</t>
        </is>
      </c>
      <c r="C59" s="0">
        <v>1</v>
      </c>
      <c r="D59" s="4" t="inlineStr">
        <is>
          <t xml:space="preserve">Materiales de enseñanza de robótica</t>
        </is>
      </c>
      <c r="E59" s="4" t="inlineStr">
        <is>
          <t xml:space="preserve">Instrumentos musicales, juegos, juguetes, artesanías y materiales educativos / Materiales, artículos y suministros didácticos profesionales y para el desarrollo personal / Materiales de enseñanza de tecnología</t>
        </is>
      </c>
      <c r="F59" s="0">
        <v>20.0</v>
      </c>
      <c r="G59" s="0" t="inlineStr">
        <is>
          <t xml:space="preserve">Unidad</t>
        </is>
      </c>
      <c r="H59" s="4" t="inlineStr">
        <is>
          <t xml:space="preserve">ADQUISICIÓN DE 20 KITS DE ROBÓTICA EDUCATIVA, SOFTWARE, CAPACITACIÓN Y ACOMPAÑAMIENTO TÉCNICO PARA LA HABILITACIÓN DE LA SALA DE ROBÓTICA DEL HUB PROVIDENCIA,</t>
        </is>
      </c>
    </row>
    <row r="60">
      <c r="A60" s="0" t="inlineStr">
        <is>
          <t xml:space="preserve">2176-44-LE26</t>
        </is>
      </c>
      <c r="B60" s="4" t="inlineStr">
        <is>
          <t xml:space="preserve">OBRA REP. DE TABLEROS ELECTRICOS CAPJ ZONAL VALPO</t>
        </is>
      </c>
      <c r="C60" s="0">
        <v>1</v>
      </c>
      <c r="D60" s="4" t="inlineStr">
        <is>
          <t xml:space="preserve">Instalación o servicio de sistemas de energía eléctrica</t>
        </is>
      </c>
      <c r="E60" s="4" t="inlineStr">
        <is>
          <t xml:space="preserve">Servicios de construcción y mantenimiento / Servicios de atención, mantenimiento y reparaciones de edificios / Servicios eléctricos</t>
        </is>
      </c>
      <c r="F60" s="0">
        <v>1.0</v>
      </c>
      <c r="G60" s="0" t="inlineStr">
        <is>
          <t xml:space="preserve">Global</t>
        </is>
      </c>
      <c r="H60" s="4" t="inlineStr">
        <is>
          <t xml:space="preserve">OBRA DE REPARACION TABLEROS ELECTRICOS EDIFICIOS CAPJ ZONAL VALPARAISO</t>
        </is>
      </c>
    </row>
    <row r="61">
      <c r="A61" s="0" t="inlineStr">
        <is>
          <t xml:space="preserve">2703-197-L126</t>
        </is>
      </c>
      <c r="B61" s="4" t="inlineStr">
        <is>
          <t xml:space="preserve">SC  12767 Rollo de papel para impresora Rexod para Totem. Desp. parcializado. CESFAM.</t>
        </is>
      </c>
      <c r="C61" s="0">
        <v>1</v>
      </c>
      <c r="D61" s="4" t="inlineStr">
        <is>
          <t xml:space="preserve">Papel para calculadoras o cajas registradoras</t>
        </is>
      </c>
      <c r="E61" s="4" t="inlineStr">
        <is>
          <t xml:space="preserve">Productos de papel / Productos de papel / Papel de imprenta y escritura</t>
        </is>
      </c>
      <c r="F61" s="0">
        <v>540.0</v>
      </c>
      <c r="G61" s="0" t="inlineStr">
        <is>
          <t xml:space="preserve">Unidad</t>
        </is>
      </c>
      <c r="H61" s="4" t="inlineStr">
        <is>
          <t xml:space="preserve">Rollo de papel para impresora Rexod para Tótem de atención de público, de medidas ancho de 79 mm, 80 mts de largo, 13 mm de tamaño de buje y un peso de 55 grs.</t>
        </is>
      </c>
    </row>
    <row r="62">
      <c r="A62" s="0" t="inlineStr">
        <is>
          <t xml:space="preserve">5690-11-LE26</t>
        </is>
      </c>
      <c r="B62" s="4" t="inlineStr">
        <is>
          <t xml:space="preserve">Mantención Maquinaria y gestión documental</t>
        </is>
      </c>
      <c r="C62" s="0">
        <v>1</v>
      </c>
      <c r="D62" s="4" t="inlineStr">
        <is>
          <t xml:space="preserve">Servicio de mantenimiento de equipo de fabricación</t>
        </is>
      </c>
      <c r="E62" s="4" t="inlineStr">
        <is>
          <t xml:space="preserve">Servicios de producción y fabricación industrial / Servicios de apoyo o soporte a la fabricación / Servicios de mantenimiento y reparación de equipo de fabricación</t>
        </is>
      </c>
      <c r="F62" s="0">
        <v>1.0</v>
      </c>
      <c r="G62" s="0" t="inlineStr">
        <is>
          <t xml:space="preserve">Unidad no definida</t>
        </is>
      </c>
      <c r="H62" s="4" t="inlineStr">
        <is>
          <t xml:space="preserve">Servicio de Mantención Preventiva y/o Correctiva, Gestión y Regularización Documental Vehicular de Maquinarias para la Oficina Sectorial Tamarugal</t>
        </is>
      </c>
    </row>
    <row r="63">
      <c r="A63" s="0" t="inlineStr">
        <is>
          <t xml:space="preserve">2563-34-LR26</t>
        </is>
      </c>
      <c r="B63" s="4" t="inlineStr">
        <is>
          <t xml:space="preserve">EQUIPOS PARA REDES INFORMÁTICAS Y LICENCIAS</t>
        </is>
      </c>
      <c r="C63" s="0">
        <v>1</v>
      </c>
      <c r="D63" s="4" t="inlineStr">
        <is>
          <t xml:space="preserve">Cajas de conmutación de computadores</t>
        </is>
      </c>
      <c r="E63" s="4" t="inlineStr">
        <is>
          <t xml:space="preserve">Tecnologías de la información, telecomunicaciones y radiodifusión / Equipos informáticos y accesorios / Accesorios de computador</t>
        </is>
      </c>
      <c r="F63" s="0">
        <v>10.0</v>
      </c>
      <c r="G63" s="0" t="inlineStr">
        <is>
          <t xml:space="preserve">Unidad</t>
        </is>
      </c>
      <c r="H63" s="4" t="inlineStr">
        <is>
          <t xml:space="preserve">Switch 48G PoE 4SFP+ (equivalente al modelo JL727B) / Control de Acceso</t>
        </is>
      </c>
    </row>
    <row r="64">
      <c r="A64" s="0" t="inlineStr">
        <is>
          <t xml:space="preserve">2563-34-LR26</t>
        </is>
      </c>
      <c r="B64" s="4" t="inlineStr">
        <is>
          <t xml:space="preserve">EQUIPOS PARA REDES INFORMÁTICAS Y LICENCIAS</t>
        </is>
      </c>
      <c r="C64" s="0">
        <v>2</v>
      </c>
      <c r="D64" s="4" t="inlineStr">
        <is>
          <t xml:space="preserve">Cajas de conmutación de computadores</t>
        </is>
      </c>
      <c r="E64" s="4" t="inlineStr">
        <is>
          <t xml:space="preserve">Tecnologías de la información, telecomunicaciones y radiodifusión / Equipos informáticos y accesorios / Accesorios de computador</t>
        </is>
      </c>
      <c r="F64" s="0">
        <v>11.0</v>
      </c>
      <c r="G64" s="0" t="inlineStr">
        <is>
          <t xml:space="preserve">Unidad</t>
        </is>
      </c>
      <c r="H64" s="4" t="inlineStr">
        <is>
          <t xml:space="preserve">Switch 48G PoE 4SFP+ (equivalente al modelo JL727B) /Aeroportuarios</t>
        </is>
      </c>
    </row>
    <row r="65">
      <c r="A65" s="0" t="inlineStr">
        <is>
          <t xml:space="preserve">2563-34-LR26</t>
        </is>
      </c>
      <c r="B65" s="4" t="inlineStr">
        <is>
          <t xml:space="preserve">EQUIPOS PARA REDES INFORMÁTICAS Y LICENCIAS</t>
        </is>
      </c>
      <c r="C65" s="0">
        <v>3</v>
      </c>
      <c r="D65" s="4" t="inlineStr">
        <is>
          <t xml:space="preserve">Cajas de conmutación de computadores</t>
        </is>
      </c>
      <c r="E65" s="4" t="inlineStr">
        <is>
          <t xml:space="preserve">Tecnologías de la información, telecomunicaciones y radiodifusión / Equipos informáticos y accesorios / Accesorios de computador</t>
        </is>
      </c>
      <c r="F65" s="0">
        <v>1.0</v>
      </c>
      <c r="G65" s="0" t="inlineStr">
        <is>
          <t xml:space="preserve">Unidad</t>
        </is>
      </c>
      <c r="H65" s="4" t="inlineStr">
        <is>
          <t xml:space="preserve">Switch 24G PoE 4SFP+(equivalente al modelo JL261A) /Aeroportuario</t>
        </is>
      </c>
    </row>
    <row r="66">
      <c r="A66" s="0" t="inlineStr">
        <is>
          <t xml:space="preserve">2563-34-LR26</t>
        </is>
      </c>
      <c r="B66" s="4" t="inlineStr">
        <is>
          <t xml:space="preserve">EQUIPOS PARA REDES INFORMÁTICAS Y LICENCIAS</t>
        </is>
      </c>
      <c r="C66" s="0">
        <v>4</v>
      </c>
      <c r="D66" s="4" t="inlineStr">
        <is>
          <t xml:space="preserve">Cajas de conmutación de computadores</t>
        </is>
      </c>
      <c r="E66" s="4" t="inlineStr">
        <is>
          <t xml:space="preserve">Tecnologías de la información, telecomunicaciones y radiodifusión / Equipos informáticos y accesorios / Accesorios de computador</t>
        </is>
      </c>
      <c r="F66" s="0">
        <v>7.0</v>
      </c>
      <c r="G66" s="0" t="inlineStr">
        <is>
          <t xml:space="preserve">Unidad</t>
        </is>
      </c>
      <c r="H66" s="4" t="inlineStr">
        <is>
          <t xml:space="preserve">Switch 12G PoE 2SFP+ (equivalente al modelo R8Q72A) /Aeroportuario</t>
        </is>
      </c>
    </row>
    <row r="67">
      <c r="A67" s="0" t="inlineStr">
        <is>
          <t xml:space="preserve">2563-34-LR26</t>
        </is>
      </c>
      <c r="B67" s="4" t="inlineStr">
        <is>
          <t xml:space="preserve">EQUIPOS PARA REDES INFORMÁTICAS Y LICENCIAS</t>
        </is>
      </c>
      <c r="C67" s="0">
        <v>5</v>
      </c>
      <c r="D67" s="4" t="inlineStr">
        <is>
          <t xml:space="preserve">Cajas de conmutación de computadores</t>
        </is>
      </c>
      <c r="E67" s="4" t="inlineStr">
        <is>
          <t xml:space="preserve">Tecnologías de la información, telecomunicaciones y radiodifusión / Equipos informáticos y accesorios / Accesorios de computador</t>
        </is>
      </c>
      <c r="F67" s="0">
        <v>4.0</v>
      </c>
      <c r="G67" s="0" t="inlineStr">
        <is>
          <t xml:space="preserve">Unidad</t>
        </is>
      </c>
      <c r="H67" s="4" t="inlineStr">
        <is>
          <t xml:space="preserve">Access Point Desktop (equivalente al modelo R3V46A) /Control de acceso</t>
        </is>
      </c>
    </row>
    <row r="68">
      <c r="A68" s="0" t="inlineStr">
        <is>
          <t xml:space="preserve">2563-34-LR26</t>
        </is>
      </c>
      <c r="B68" s="4" t="inlineStr">
        <is>
          <t xml:space="preserve">EQUIPOS PARA REDES INFORMÁTICAS Y LICENCIAS</t>
        </is>
      </c>
      <c r="C68" s="0">
        <v>6</v>
      </c>
      <c r="D68" s="4" t="inlineStr">
        <is>
          <t xml:space="preserve">Cajas de conmutación de computadores</t>
        </is>
      </c>
      <c r="E68" s="4" t="inlineStr">
        <is>
          <t xml:space="preserve">Tecnologías de la información, telecomunicaciones y radiodifusión / Equipos informáticos y accesorios / Accesorios de computador</t>
        </is>
      </c>
      <c r="F68" s="0">
        <v>20.0</v>
      </c>
      <c r="G68" s="0" t="inlineStr">
        <is>
          <t xml:space="preserve">Unidad</t>
        </is>
      </c>
      <c r="H68" s="4" t="inlineStr">
        <is>
          <t xml:space="preserve">Access Point
(equivalente al modelo JZ336A) /Control de Acceso</t>
        </is>
      </c>
    </row>
    <row r="69">
      <c r="A69" s="0" t="inlineStr">
        <is>
          <t xml:space="preserve">2563-34-LR26</t>
        </is>
      </c>
      <c r="B69" s="4" t="inlineStr">
        <is>
          <t xml:space="preserve">EQUIPOS PARA REDES INFORMÁTICAS Y LICENCIAS</t>
        </is>
      </c>
      <c r="C69" s="0">
        <v>7</v>
      </c>
      <c r="D69" s="4" t="inlineStr">
        <is>
          <t xml:space="preserve">Cajas de conmutación de computadores</t>
        </is>
      </c>
      <c r="E69" s="4" t="inlineStr">
        <is>
          <t xml:space="preserve">Tecnologías de la información, telecomunicaciones y radiodifusión / Equipos informáticos y accesorios / Accesorios de computador</t>
        </is>
      </c>
      <c r="F69" s="0">
        <v>11.0</v>
      </c>
      <c r="G69" s="0" t="inlineStr">
        <is>
          <t xml:space="preserve">Unidad</t>
        </is>
      </c>
      <c r="H69" s="4" t="inlineStr">
        <is>
          <t xml:space="preserve">Access Point
(equivalente al modelo JZ336A) /Aeroportuarios</t>
        </is>
      </c>
    </row>
    <row r="70">
      <c r="A70" s="0" t="inlineStr">
        <is>
          <t xml:space="preserve">2563-34-LR26</t>
        </is>
      </c>
      <c r="B70" s="4" t="inlineStr">
        <is>
          <t xml:space="preserve">EQUIPOS PARA REDES INFORMÁTICAS Y LICENCIAS</t>
        </is>
      </c>
      <c r="C70" s="0">
        <v>8</v>
      </c>
      <c r="D70" s="4" t="inlineStr">
        <is>
          <t xml:space="preserve">Cajas de conmutación de computadores</t>
        </is>
      </c>
      <c r="E70" s="4" t="inlineStr">
        <is>
          <t xml:space="preserve">Tecnologías de la información, telecomunicaciones y radiodifusión / Equipos informáticos y accesorios / Accesorios de computador</t>
        </is>
      </c>
      <c r="F70" s="0">
        <v>6.0</v>
      </c>
      <c r="G70" s="0" t="inlineStr">
        <is>
          <t xml:space="preserve">Unidad</t>
        </is>
      </c>
      <c r="H70" s="4" t="inlineStr">
        <is>
          <t xml:space="preserve">Access Point Exterior
(equivalente al modelo R7T05A) /Control de Acceso</t>
        </is>
      </c>
    </row>
    <row r="71">
      <c r="A71" s="0" t="inlineStr">
        <is>
          <t xml:space="preserve">2563-34-LR26</t>
        </is>
      </c>
      <c r="B71" s="4" t="inlineStr">
        <is>
          <t xml:space="preserve">EQUIPOS PARA REDES INFORMÁTICAS Y LICENCIAS</t>
        </is>
      </c>
      <c r="C71" s="0">
        <v>9</v>
      </c>
      <c r="D71" s="4" t="inlineStr">
        <is>
          <t xml:space="preserve">Cajas de conmutación de computadores</t>
        </is>
      </c>
      <c r="E71" s="4" t="inlineStr">
        <is>
          <t xml:space="preserve">Tecnologías de la información, telecomunicaciones y radiodifusión / Equipos informáticos y accesorios / Accesorios de computador</t>
        </is>
      </c>
      <c r="F71" s="0">
        <v>3.0</v>
      </c>
      <c r="G71" s="0" t="inlineStr">
        <is>
          <t xml:space="preserve">Unidad</t>
        </is>
      </c>
      <c r="H71" s="4" t="inlineStr">
        <is>
          <t xml:space="preserve">Soporte anclaje para riel cielo falso plano 9/16'' Pack 10 unidades. /Aeroportuarios</t>
        </is>
      </c>
    </row>
    <row r="72">
      <c r="A72" s="0" t="inlineStr">
        <is>
          <t xml:space="preserve">2563-34-LR26</t>
        </is>
      </c>
      <c r="B72" s="4" t="inlineStr">
        <is>
          <t xml:space="preserve">EQUIPOS PARA REDES INFORMÁTICAS Y LICENCIAS</t>
        </is>
      </c>
      <c r="C72" s="0">
        <v>10</v>
      </c>
      <c r="D72" s="4" t="inlineStr">
        <is>
          <t xml:space="preserve">Cajas de conmutación de computadores</t>
        </is>
      </c>
      <c r="E72" s="4" t="inlineStr">
        <is>
          <t xml:space="preserve">Tecnologías de la información, telecomunicaciones y radiodifusión / Equipos informáticos y accesorios / Accesorios de computador</t>
        </is>
      </c>
      <c r="F72" s="0">
        <v>3.0</v>
      </c>
      <c r="G72" s="0" t="inlineStr">
        <is>
          <t xml:space="preserve">Unidad</t>
        </is>
      </c>
      <c r="H72" s="4" t="inlineStr">
        <is>
          <t xml:space="preserve">Soporte anclaje para superficie sólida Pack 10 unidades. /Aeroportuarios</t>
        </is>
      </c>
    </row>
    <row r="73">
      <c r="A73" s="0" t="inlineStr">
        <is>
          <t xml:space="preserve">2563-34-LR26</t>
        </is>
      </c>
      <c r="B73" s="4" t="inlineStr">
        <is>
          <t xml:space="preserve">EQUIPOS PARA REDES INFORMÁTICAS Y LICENCIAS</t>
        </is>
      </c>
      <c r="C73" s="0">
        <v>11</v>
      </c>
      <c r="D73" s="4" t="inlineStr">
        <is>
          <t xml:space="preserve">Cajas de conmutación de computadores</t>
        </is>
      </c>
      <c r="E73" s="4" t="inlineStr">
        <is>
          <t xml:space="preserve">Tecnologías de la información, telecomunicaciones y radiodifusión / Equipos informáticos y accesorios / Accesorios de computador</t>
        </is>
      </c>
      <c r="F73" s="0">
        <v>10.0</v>
      </c>
      <c r="G73" s="0" t="inlineStr">
        <is>
          <t xml:space="preserve">Unidad</t>
        </is>
      </c>
      <c r="H73" s="4" t="inlineStr">
        <is>
          <t xml:space="preserve">Módulo 10G SFP+ LC LR 10km
(equivalente al modelo J9151E) /Control de Acceso</t>
        </is>
      </c>
    </row>
    <row r="74">
      <c r="A74" s="0" t="inlineStr">
        <is>
          <t xml:space="preserve">2563-34-LR26</t>
        </is>
      </c>
      <c r="B74" s="4" t="inlineStr">
        <is>
          <t xml:space="preserve">EQUIPOS PARA REDES INFORMÁTICAS Y LICENCIAS</t>
        </is>
      </c>
      <c r="C74" s="0">
        <v>12</v>
      </c>
      <c r="D74" s="4" t="inlineStr">
        <is>
          <t xml:space="preserve">Cajas de conmutación de computadores</t>
        </is>
      </c>
      <c r="E74" s="4" t="inlineStr">
        <is>
          <t xml:space="preserve">Tecnologías de la información, telecomunicaciones y radiodifusión / Equipos informáticos y accesorios / Accesorios de computador</t>
        </is>
      </c>
      <c r="F74" s="0">
        <v>10.0</v>
      </c>
      <c r="G74" s="0" t="inlineStr">
        <is>
          <t xml:space="preserve">Unidad</t>
        </is>
      </c>
      <c r="H74" s="4" t="inlineStr">
        <is>
          <t xml:space="preserve">Módulo FO (SM) 1G SFP LC LX 10km
(equivalente al modelo J4859D) /Control de Acceso</t>
        </is>
      </c>
    </row>
    <row r="75">
      <c r="A75" s="0" t="inlineStr">
        <is>
          <t xml:space="preserve">2563-34-LR26</t>
        </is>
      </c>
      <c r="B75" s="4" t="inlineStr">
        <is>
          <t xml:space="preserve">EQUIPOS PARA REDES INFORMÁTICAS Y LICENCIAS</t>
        </is>
      </c>
      <c r="C75" s="0">
        <v>13</v>
      </c>
      <c r="D75" s="4" t="inlineStr">
        <is>
          <t xml:space="preserve">Cajas de conmutación de computadores</t>
        </is>
      </c>
      <c r="E75" s="4" t="inlineStr">
        <is>
          <t xml:space="preserve">Tecnologías de la información, telecomunicaciones y radiodifusión / Equipos informáticos y accesorios / Accesorios de computador</t>
        </is>
      </c>
      <c r="F75" s="0">
        <v>24.0</v>
      </c>
      <c r="G75" s="0" t="inlineStr">
        <is>
          <t xml:space="preserve">Unidad</t>
        </is>
      </c>
      <c r="H75" s="4" t="inlineStr">
        <is>
          <t xml:space="preserve">Módulo FO (SM) 1G SFP LC LX 10km (equivalente al modelo J4859D) /Aeroportuarios</t>
        </is>
      </c>
    </row>
    <row r="76">
      <c r="A76" s="0" t="inlineStr">
        <is>
          <t xml:space="preserve">2563-34-LR26</t>
        </is>
      </c>
      <c r="B76" s="4" t="inlineStr">
        <is>
          <t xml:space="preserve">EQUIPOS PARA REDES INFORMÁTICAS Y LICENCIAS</t>
        </is>
      </c>
      <c r="C76" s="0">
        <v>14</v>
      </c>
      <c r="D76" s="4" t="inlineStr">
        <is>
          <t xml:space="preserve">Cajas de conmutación de computadores</t>
        </is>
      </c>
      <c r="E76" s="4" t="inlineStr">
        <is>
          <t xml:space="preserve">Tecnologías de la información, telecomunicaciones y radiodifusión / Equipos informáticos y accesorios / Accesorios de computador</t>
        </is>
      </c>
      <c r="F76" s="0">
        <v>1.0</v>
      </c>
      <c r="G76" s="0" t="inlineStr">
        <is>
          <t xml:space="preserve">Unidad</t>
        </is>
      </c>
      <c r="H76" s="4" t="inlineStr">
        <is>
          <t xml:space="preserve">Equipo de protección de enlaces de red frente a ataques DDoS y amenazas avanzadas, actuando directamente en el borde de la red (edge), donde se conectan los enlaces de Internet principal y de respaldo. /Control de Acceso</t>
        </is>
      </c>
    </row>
    <row r="77">
      <c r="A77" s="0" t="inlineStr">
        <is>
          <t xml:space="preserve">2563-34-LR26</t>
        </is>
      </c>
      <c r="B77" s="4" t="inlineStr">
        <is>
          <t xml:space="preserve">EQUIPOS PARA REDES INFORMÁTICAS Y LICENCIAS</t>
        </is>
      </c>
      <c r="C77" s="0">
        <v>15</v>
      </c>
      <c r="D77" s="4" t="inlineStr">
        <is>
          <t xml:space="preserve">Cajas de conmutación de computadores</t>
        </is>
      </c>
      <c r="E77" s="4" t="inlineStr">
        <is>
          <t xml:space="preserve">Tecnologías de la información, telecomunicaciones y radiodifusión / Equipos informáticos y accesorios / Accesorios de computador</t>
        </is>
      </c>
      <c r="F77" s="0">
        <v>1.0</v>
      </c>
      <c r="G77" s="0" t="inlineStr">
        <is>
          <t xml:space="preserve">Unidad</t>
        </is>
      </c>
      <c r="H77" s="4" t="inlineStr">
        <is>
          <t xml:space="preserve">Licencia para el funcionamiento del equipo de protección de enlaces de red frente a ataques DDoS y amenazas avanzadas. /Control de Acceso</t>
        </is>
      </c>
    </row>
    <row r="78">
      <c r="A78" s="0" t="inlineStr">
        <is>
          <t xml:space="preserve">548874-74-LR26</t>
        </is>
      </c>
      <c r="B78" s="4" t="inlineStr">
        <is>
          <t xml:space="preserve">SERV DE PLATAFORMA SIEM NUEVA GENERACIÓN SAAS IPS</t>
        </is>
      </c>
      <c r="C78" s="0">
        <v>1</v>
      </c>
      <c r="D78" s="4" t="inlineStr">
        <is>
          <t xml:space="preserve">Software de protección antivirus y de seguridad de transacciones</t>
        </is>
      </c>
      <c r="E78" s="4" t="inlineStr">
        <is>
          <t xml:space="preserve">Tecnologías de la información, telecomunicaciones y radiodifusión / Software / Software de seguridad y protección</t>
        </is>
      </c>
      <c r="F78" s="0">
        <v>1.0</v>
      </c>
      <c r="G78" s="0" t="inlineStr">
        <is>
          <t xml:space="preserve">Global</t>
        </is>
      </c>
      <c r="H78" s="4" t="inlineStr">
        <is>
          <t xml:space="preserve">SERVICIO DE PLATAFORMA SIEM DE NUEVA GENERACIÓN EN MODALIDAD SAAS PARA EL INSTITUTO DE PREVISIÓN SOCIAL</t>
        </is>
      </c>
    </row>
    <row r="79">
      <c r="A79" s="0" t="inlineStr">
        <is>
          <t xml:space="preserve">188-83-LP26</t>
        </is>
      </c>
      <c r="B79" s="4" t="inlineStr">
        <is>
          <t xml:space="preserve">Plataforma de Control de Proyectos COMUDEF</t>
        </is>
      </c>
      <c r="C79" s="0">
        <v>1</v>
      </c>
      <c r="D79" s="4" t="inlineStr">
        <is>
          <t xml:space="preserve">Software de copias de seguridad o archivado</t>
        </is>
      </c>
      <c r="E79" s="4" t="inlineStr">
        <is>
          <t xml:space="preserve">Tecnologías de la información, telecomunicaciones y radiodifusión / Software / Software de controladores de dispositivos y utilidades</t>
        </is>
      </c>
      <c r="F79" s="0">
        <v>1.0</v>
      </c>
      <c r="G79" s="0" t="inlineStr">
        <is>
          <t xml:space="preserve">Unidad no definida</t>
        </is>
      </c>
      <c r="H79" s="4" t="inlineStr">
        <is>
          <t xml:space="preserve">Contratación, implementación y soporte de plataforma digital de sistema de seguimiento y control de proyectos, servicios y honorarios corporativos Corporación Municipal de La Florida - COMUDEF</t>
        </is>
      </c>
    </row>
    <row r="80">
      <c r="A80" s="0" t="inlineStr">
        <is>
          <t xml:space="preserve">1606-32-LE26</t>
        </is>
      </c>
      <c r="B80" s="4" t="inlineStr">
        <is>
          <t xml:space="preserve">CONTRATACIÓN SERVICIO DE DIAGRAMACIÓN DE PIEZAS GRÁFICAS Y WEB DEL PROYECTO “FORTALECIMIENTO DE LAS CAPACIDADES DE LATINOAMÉRICA Y EL CARIBE EN MATERIA DE CIBERSEGURIDAD” FINANCIADO POR LA UNIÓN EUROPEA.</t>
        </is>
      </c>
      <c r="C80" s="0">
        <v>1</v>
      </c>
      <c r="D80" s="4" t="inlineStr">
        <is>
          <t xml:space="preserve">Diagramación</t>
        </is>
      </c>
      <c r="E80" s="4" t="inlineStr">
        <is>
          <t xml:space="preserve">Servicios editoriales, de diseño, publicidad, gráficos y artistas / Servicios de impresión y reproducción / Impresión</t>
        </is>
      </c>
      <c r="F80" s="0">
        <v>1.0</v>
      </c>
      <c r="G80" s="0" t="inlineStr">
        <is>
          <t xml:space="preserve">Unidad</t>
        </is>
      </c>
      <c r="H80"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81">
      <c r="A81" s="0" t="inlineStr">
        <is>
          <t xml:space="preserve">591-31-LE26</t>
        </is>
      </c>
      <c r="B81" s="4" t="inlineStr">
        <is>
          <t xml:space="preserve">Curso Marketing digital estrategia digital y mas.</t>
        </is>
      </c>
      <c r="C81" s="0">
        <v>1</v>
      </c>
      <c r="D81" s="4" t="inlineStr">
        <is>
          <t xml:space="preserve">Programas o cursos no diplomados a distancia</t>
        </is>
      </c>
      <c r="E81" s="4" t="inlineStr">
        <is>
          <t xml:space="preserve">Educación, formación, entrenamiento y capacitación / Sistemas educativos complementarios / Aprendizaje a distancia</t>
        </is>
      </c>
      <c r="F81" s="0">
        <v>1.0</v>
      </c>
      <c r="G81" s="0" t="inlineStr">
        <is>
          <t xml:space="preserve">Unidad</t>
        </is>
      </c>
      <c r="H81" s="4" t="inlineStr">
        <is>
          <t xml:space="preserve">Curso "Marketing digital, estrategia digital y analítica para equipos de comunicación”</t>
        </is>
      </c>
    </row>
    <row r="82">
      <c r="A82" s="0" t="inlineStr">
        <is>
          <t xml:space="preserve">1736-108-LE26</t>
        </is>
      </c>
      <c r="B82" s="4" t="inlineStr">
        <is>
          <t xml:space="preserve">INSUMOS INFORMÁTICOS Y COMPUTACIONALES DISAM</t>
        </is>
      </c>
      <c r="C82" s="0">
        <v>1</v>
      </c>
      <c r="D82" s="4" t="inlineStr">
        <is>
          <t xml:space="preserve">Cable de fibra óptica</t>
        </is>
      </c>
      <c r="E82" s="4" t="inlineStr">
        <is>
          <t xml:space="preserve">Maquinaria para generación y distribución de energía / Alambres y cables eléctricos y electrónicos / Cables eléctricos y accesorios</t>
        </is>
      </c>
      <c r="F82" s="0">
        <v>1.0</v>
      </c>
      <c r="G82" s="0" t="inlineStr">
        <is>
          <t xml:space="preserve">Unidad</t>
        </is>
      </c>
      <c r="H82" s="4" t="inlineStr">
        <is>
          <t xml:space="preserve">DECRETO ALCALDICIO Nº 03363/2026 28. ESPECIFICACIONES TÉCNICAS LÍNEA 1: CONECTIVIDAD Y CABLEADO ESTRUCTURADO</t>
        </is>
      </c>
    </row>
    <row r="83">
      <c r="A83" s="0" t="inlineStr">
        <is>
          <t xml:space="preserve">1736-108-LE26</t>
        </is>
      </c>
      <c r="B83" s="4" t="inlineStr">
        <is>
          <t xml:space="preserve">INSUMOS INFORMÁTICOS Y COMPUTACIONALES DISAM</t>
        </is>
      </c>
      <c r="C83" s="0">
        <v>2</v>
      </c>
      <c r="D83" s="4" t="inlineStr">
        <is>
          <t xml:space="preserve">Memoria flash</t>
        </is>
      </c>
      <c r="E83" s="4" t="inlineStr">
        <is>
          <t xml:space="preserve">Artículos de electrónica / Circuitos electrónicos / Circuitos integrados, memorias y microprocesadores</t>
        </is>
      </c>
      <c r="F83" s="0">
        <v>1.0</v>
      </c>
      <c r="G83" s="0" t="inlineStr">
        <is>
          <t xml:space="preserve">Unidad</t>
        </is>
      </c>
      <c r="H83" s="4" t="inlineStr">
        <is>
          <t xml:space="preserve">DECRETO ALCALDICIO Nº 03363/2026 28. ESPECIFICACIONES TÉCNICAS LÍNEA 2: ALMACENAMIENTO Y COMPONENTES INTERNOS</t>
        </is>
      </c>
    </row>
    <row r="84">
      <c r="A84" s="0" t="inlineStr">
        <is>
          <t xml:space="preserve">1736-108-LE26</t>
        </is>
      </c>
      <c r="B84" s="4" t="inlineStr">
        <is>
          <t xml:space="preserve">INSUMOS INFORMÁTICOS Y COMPUTACIONALES DISAM</t>
        </is>
      </c>
      <c r="C84" s="0">
        <v>3</v>
      </c>
      <c r="D84" s="4" t="inlineStr">
        <is>
          <t xml:space="preserve">Cartuchos de tinta</t>
        </is>
      </c>
      <c r="E84" s="4" t="inlineStr">
        <is>
          <t xml:space="preserve">Equipos, accesorios y suministros de oficina / Maquinarias, suministros y accesorios de oficina / Suministros para impresora, fax y fotocopiadora</t>
        </is>
      </c>
      <c r="F84" s="0">
        <v>1.0</v>
      </c>
      <c r="G84" s="0" t="inlineStr">
        <is>
          <t xml:space="preserve">Unidad</t>
        </is>
      </c>
      <c r="H84" s="4" t="inlineStr">
        <is>
          <t xml:space="preserve">DECRETO ALCALDICIO Nº 03363/2026 28. ESPECIFICACIONES TÉCNICAS LÍNEA 3: SUMINISTROS DE IMPRESIÓN Y ROTULACIÓN</t>
        </is>
      </c>
    </row>
    <row r="85">
      <c r="A85" s="0" t="inlineStr">
        <is>
          <t xml:space="preserve">1736-108-LE26</t>
        </is>
      </c>
      <c r="B85" s="4" t="inlineStr">
        <is>
          <t xml:space="preserve">INSUMOS INFORMÁTICOS Y COMPUTACIONALES DISAM</t>
        </is>
      </c>
      <c r="C85" s="0">
        <v>4</v>
      </c>
      <c r="D85" s="4" t="inlineStr">
        <is>
          <t xml:space="preserve">Cristales de filtro</t>
        </is>
      </c>
      <c r="E85" s="4" t="inlineStr">
        <is>
          <t xml:space="preserve">Artículos de fabricación y producción / Óptica industrial / Cristales ópticos industriales</t>
        </is>
      </c>
      <c r="F85" s="0">
        <v>1.0</v>
      </c>
      <c r="G85" s="0" t="inlineStr">
        <is>
          <t xml:space="preserve">Unidad</t>
        </is>
      </c>
      <c r="H85" s="4" t="inlineStr">
        <is>
          <t xml:space="preserve">DECRETO ALCALDICIO Nº 03363/2026 28. ESPECIFICACIONES TÉCNICAS LÍNEA 4: MEDIOS ÓPTICOS Y SOLUCIONES CLÍNICAS</t>
        </is>
      </c>
    </row>
    <row r="86">
      <c r="A86" s="0" t="inlineStr">
        <is>
          <t xml:space="preserve">534615-1-LE26</t>
        </is>
      </c>
      <c r="B86" s="4" t="inlineStr">
        <is>
          <t xml:space="preserve">Servicio plataformas KOHA y DSpace DIBRA UV</t>
        </is>
      </c>
      <c r="C86" s="0">
        <v>1</v>
      </c>
      <c r="D86" s="4" t="inlineStr">
        <is>
          <t xml:space="preserve">Software de biblioteca</t>
        </is>
      </c>
      <c r="E86" s="4" t="inlineStr">
        <is>
          <t xml:space="preserve">Tecnologías de la información, telecomunicaciones y radiodifusión / Software / Software específico para la industria</t>
        </is>
      </c>
      <c r="F86" s="0">
        <v>1.0</v>
      </c>
      <c r="G86" s="0" t="inlineStr">
        <is>
          <t xml:space="preserve">Unidad</t>
        </is>
      </c>
      <c r="H86" s="4" t="inlineStr">
        <is>
          <t xml:space="preserve">“Servicio de alojamiento, administración, soporte, mantención, actualización e integración de las plataformas KOHA y DSpace, sistemas tecnológicos utilizados por la Dirección de Bibliotecas y Recursos para el Aprendizaje (DIBRA) de la Universidad de Valpa</t>
        </is>
      </c>
    </row>
    <row r="87">
      <c r="A87" s="0" t="inlineStr">
        <is>
          <t xml:space="preserve">691792-1-LE26</t>
        </is>
      </c>
      <c r="B87" s="4" t="inlineStr">
        <is>
          <t xml:space="preserve">SERVICIOS DE MARKETING DIGITAL Y MEDIOS</t>
        </is>
      </c>
      <c r="C87" s="0">
        <v>1</v>
      </c>
      <c r="D87" s="4" t="inlineStr">
        <is>
          <t xml:space="preserve">Telemarketing</t>
        </is>
      </c>
      <c r="E87" s="4" t="inlineStr">
        <is>
          <t xml:space="preserve">Servicios profesionales, administrativos y consultorías de gestión empresarial / Servicios para la comercialización y distribución / Ventas y marketing</t>
        </is>
      </c>
      <c r="F87" s="0">
        <v>1.0</v>
      </c>
      <c r="G87" s="0" t="inlineStr">
        <is>
          <t xml:space="preserve">Unidad no definida</t>
        </is>
      </c>
      <c r="H87" s="4"/>
    </row>
    <row r="88">
      <c r="A88" s="0" t="inlineStr">
        <is>
          <t xml:space="preserve">1499-182-LE26</t>
        </is>
      </c>
      <c r="B88" s="4" t="inlineStr">
        <is>
          <t xml:space="preserve">INSUMOS NECESARIOS PARA SISTEMA DE SUPERVISIÓN Y DRENAJE TORÁCICO DIGITAL CON EQUIPO EN COMODATO</t>
        </is>
      </c>
      <c r="C88" s="0">
        <v>1</v>
      </c>
      <c r="D88" s="4" t="inlineStr">
        <is>
          <t xml:space="preserve">Catéteres, kits de cateterización o bolsas de drenaje para cirugía o endoscopia</t>
        </is>
      </c>
      <c r="E88" s="4" t="inlineStr">
        <is>
          <t xml:space="preserve">Equipamiento y suministros médicos / Productos quirúrgicos / Suministros quirúrgicos auxiliares</t>
        </is>
      </c>
      <c r="F88" s="0">
        <v>1.0</v>
      </c>
      <c r="G88" s="0" t="inlineStr">
        <is>
          <t xml:space="preserve">Global</t>
        </is>
      </c>
      <c r="H88" s="4" t="inlineStr">
        <is>
          <t xml:space="preserve">INSUMOS NECESARIOS PARA SISTEMA DE SUPERVISIÓN Y DRENAJE TORÁCICO DIGITAL CON EQUIPO EN COMODATO. REVISAR ESPECIFICACIONES TÉCNICAS EN EL ANEXO N°7.</t>
        </is>
      </c>
    </row>
    <row r="89">
      <c r="A89" s="0" t="inlineStr">
        <is>
          <t xml:space="preserve">2704-76-LE26</t>
        </is>
      </c>
      <c r="B89" s="4" t="inlineStr">
        <is>
          <t xml:space="preserve">SC1101 y 1105 Adquisición de licencias software</t>
        </is>
      </c>
      <c r="C89" s="0">
        <v>1</v>
      </c>
      <c r="D89" s="4" t="inlineStr">
        <is>
          <t xml:space="preserve">Software de gestión de adquisiciones</t>
        </is>
      </c>
      <c r="E89" s="4" t="inlineStr">
        <is>
          <t xml:space="preserve">Tecnologías de la información, telecomunicaciones y radiodifusión / Software / Software de gestión</t>
        </is>
      </c>
      <c r="F89" s="0">
        <v>1.0</v>
      </c>
      <c r="G89" s="0" t="inlineStr">
        <is>
          <t xml:space="preserve">Unidad</t>
        </is>
      </c>
      <c r="H89" s="4" t="inlineStr">
        <is>
          <t xml:space="preserve">Licencia de software Etabs Nonlinear V23</t>
        </is>
      </c>
    </row>
    <row r="90">
      <c r="A90" s="0" t="inlineStr">
        <is>
          <t xml:space="preserve">2704-76-LE26</t>
        </is>
      </c>
      <c r="B90" s="4" t="inlineStr">
        <is>
          <t xml:space="preserve">SC1101 y 1105 Adquisición de licencias software</t>
        </is>
      </c>
      <c r="C90" s="0">
        <v>2</v>
      </c>
      <c r="D90" s="4" t="inlineStr">
        <is>
          <t xml:space="preserve">Software de gestión de adquisiciones</t>
        </is>
      </c>
      <c r="E90" s="4" t="inlineStr">
        <is>
          <t xml:space="preserve">Tecnologías de la información, telecomunicaciones y radiodifusión / Software / Software de gestión</t>
        </is>
      </c>
      <c r="F90" s="0">
        <v>1.0</v>
      </c>
      <c r="G90" s="0" t="inlineStr">
        <is>
          <t xml:space="preserve">Unidad</t>
        </is>
      </c>
      <c r="H90" s="4" t="inlineStr">
        <is>
          <t xml:space="preserve">Licencia de Software DesignBuilder versión Engineering Plus</t>
        </is>
      </c>
    </row>
    <row r="91">
      <c r="A91" s="0" t="inlineStr">
        <is>
          <t xml:space="preserve">5251-83-LE26</t>
        </is>
      </c>
      <c r="B91" s="4" t="inlineStr">
        <is>
          <t xml:space="preserve">SUITE DE PRODUCTIVIDAD O SOFTWARE DE OFICINA</t>
        </is>
      </c>
      <c r="C91" s="0">
        <v>1</v>
      </c>
      <c r="D91" s="4" t="inlineStr">
        <is>
          <t xml:space="preserve">Software de gestión de licencias</t>
        </is>
      </c>
      <c r="E91" s="4" t="inlineStr">
        <is>
          <t xml:space="preserve">Tecnologías de la información, telecomunicaciones y radiodifusión / Software / Software de gestión</t>
        </is>
      </c>
      <c r="F91" s="0">
        <v>1.0</v>
      </c>
      <c r="G91" s="0" t="inlineStr">
        <is>
          <t xml:space="preserve">Unidad</t>
        </is>
      </c>
      <c r="H91" s="4" t="inlineStr">
        <is>
          <t xml:space="preserve">SUITE DE PRODUCTIVIDAD O SOFTWARE DE OFICINA</t>
        </is>
      </c>
    </row>
    <row r="92">
      <c r="A92" s="0" t="inlineStr">
        <is>
          <t xml:space="preserve">1057500-76-L126</t>
        </is>
      </c>
      <c r="B92" s="4" t="inlineStr">
        <is>
          <t xml:space="preserve">Licencias Suscripción Software</t>
        </is>
      </c>
      <c r="C92" s="0">
        <v>1</v>
      </c>
      <c r="D92" s="4" t="inlineStr">
        <is>
          <t xml:space="preserve">Software de gestión de licencias</t>
        </is>
      </c>
      <c r="E92" s="4" t="inlineStr">
        <is>
          <t xml:space="preserve">Tecnologías de la información, telecomunicaciones y radiodifusión / Software / Software de gestión</t>
        </is>
      </c>
      <c r="F92" s="0">
        <v>30.0</v>
      </c>
      <c r="G92" s="0" t="inlineStr">
        <is>
          <t xml:space="preserve">Unidad</t>
        </is>
      </c>
      <c r="H92" s="4" t="inlineStr">
        <is>
          <t xml:space="preserve">Licencias Trello Premium 
(30 licencias)</t>
        </is>
      </c>
    </row>
    <row r="93">
      <c r="A93" s="0" t="inlineStr">
        <is>
          <t xml:space="preserve">1057500-76-L126</t>
        </is>
      </c>
      <c r="B93" s="4" t="inlineStr">
        <is>
          <t xml:space="preserve">Licencias Suscripción Software</t>
        </is>
      </c>
      <c r="C93" s="0">
        <v>2</v>
      </c>
      <c r="D93" s="4" t="inlineStr">
        <is>
          <t xml:space="preserve">Software de gestión de licencias</t>
        </is>
      </c>
      <c r="E93" s="4" t="inlineStr">
        <is>
          <t xml:space="preserve">Tecnologías de la información, telecomunicaciones y radiodifusión / Software / Software de gestión</t>
        </is>
      </c>
      <c r="F93" s="0">
        <v>1.0</v>
      </c>
      <c r="G93" s="0" t="inlineStr">
        <is>
          <t xml:space="preserve">Unidad</t>
        </is>
      </c>
      <c r="H93" s="4" t="inlineStr">
        <is>
          <t xml:space="preserve">Licencia Apple Developer Program, período anual (1 licencia).</t>
        </is>
      </c>
    </row>
    <row r="94">
      <c r="A94" s="0" t="inlineStr">
        <is>
          <t xml:space="preserve">1084148-18-LE26</t>
        </is>
      </c>
      <c r="B94" s="4" t="inlineStr">
        <is>
          <t xml:space="preserve">“RENOVACIÓN Y ADQUISICIÓN DE LICENCIAS DE SOFTWARE POR 12 MESES PARA EL SERVICIO LOCAL DE EDUCACIÓN PÚBLICA CHINCHORRO”.</t>
        </is>
      </c>
      <c r="C94" s="0">
        <v>1</v>
      </c>
      <c r="D94" s="4" t="inlineStr">
        <is>
          <t xml:space="preserve">Programas de gestión de proyectos</t>
        </is>
      </c>
      <c r="E94" s="4" t="inlineStr">
        <is>
          <t xml:space="preserve">Tecnologías de la información, telecomunicaciones y radiodifusión / Software / Software de gestión</t>
        </is>
      </c>
      <c r="F94" s="0">
        <v>8.0</v>
      </c>
      <c r="G94" s="0" t="inlineStr">
        <is>
          <t xml:space="preserve">Unidad</t>
        </is>
      </c>
      <c r="H94" s="4" t="inlineStr">
        <is>
          <t xml:space="preserve">Autodesk AutoCAD LT Single User (12 meses) - Según bases de licitación</t>
        </is>
      </c>
    </row>
    <row r="95">
      <c r="A95" s="0" t="inlineStr">
        <is>
          <t xml:space="preserve">1084148-18-LE26</t>
        </is>
      </c>
      <c r="B95" s="4" t="inlineStr">
        <is>
          <t xml:space="preserve">“RENOVACIÓN Y ADQUISICIÓN DE LICENCIAS DE SOFTWARE POR 12 MESES PARA EL SERVICIO LOCAL DE EDUCACIÓN PÚBLICA CHINCHORRO”.</t>
        </is>
      </c>
      <c r="C95" s="0">
        <v>2</v>
      </c>
      <c r="D95" s="4" t="inlineStr">
        <is>
          <t xml:space="preserve">Software de sistema experto</t>
        </is>
      </c>
      <c r="E95" s="4" t="inlineStr">
        <is>
          <t xml:space="preserve">Tecnologías de la información, telecomunicaciones y radiodifusión / Software / Software de gestión</t>
        </is>
      </c>
      <c r="F95" s="0">
        <v>8.0</v>
      </c>
      <c r="G95" s="0" t="inlineStr">
        <is>
          <t xml:space="preserve">Unidad</t>
        </is>
      </c>
      <c r="H95" s="4" t="inlineStr">
        <is>
          <t xml:space="preserve">Microsoft Power BI Pro for Faculty (12 meses) - Según bases de licitación</t>
        </is>
      </c>
    </row>
    <row r="96">
      <c r="A96" s="0" t="inlineStr">
        <is>
          <t xml:space="preserve">1084148-18-LE26</t>
        </is>
      </c>
      <c r="B96" s="4" t="inlineStr">
        <is>
          <t xml:space="preserve">“RENOVACIÓN Y ADQUISICIÓN DE LICENCIAS DE SOFTWARE POR 12 MESES PARA EL SERVICIO LOCAL DE EDUCACIÓN PÚBLICA CHINCHORRO”.</t>
        </is>
      </c>
      <c r="C96" s="0">
        <v>3</v>
      </c>
      <c r="D96" s="4" t="inlineStr">
        <is>
          <t xml:space="preserve">Software de servidor de comunicaciones</t>
        </is>
      </c>
      <c r="E96" s="4" t="inlineStr">
        <is>
          <t xml:space="preserve">Tecnologías de la información, telecomunicaciones y radiodifusión / Software / Software para trabajo en redes</t>
        </is>
      </c>
      <c r="F96" s="0">
        <v>111.0</v>
      </c>
      <c r="G96" s="0" t="inlineStr">
        <is>
          <t xml:space="preserve">Unidad</t>
        </is>
      </c>
      <c r="H96" s="4" t="inlineStr">
        <is>
          <t xml:space="preserve">Microsoft Office 365 A3 for Faculty (12 meses)-Según bases de licitación</t>
        </is>
      </c>
    </row>
    <row r="97">
      <c r="A97" s="0" t="inlineStr">
        <is>
          <t xml:space="preserve">2385-56-LE26</t>
        </is>
      </c>
      <c r="B97" s="4" t="inlineStr">
        <is>
          <t xml:space="preserve">ADQUISICIÓN CURSO OFIMÁTICA E INTELIGENCIA ARTIFICIAL</t>
        </is>
      </c>
      <c r="C97" s="0">
        <v>1</v>
      </c>
      <c r="D97" s="4" t="inlineStr">
        <is>
          <t xml:space="preserve">Capacitación a empleados</t>
        </is>
      </c>
      <c r="E97" s="4" t="inlineStr">
        <is>
          <t xml:space="preserve">Educación, formación, entrenamiento y capacitación / Sistemas educativos complementarios / Educación de adultos</t>
        </is>
      </c>
      <c r="F97" s="0">
        <v>1.0</v>
      </c>
      <c r="G97" s="0" t="inlineStr">
        <is>
          <t xml:space="preserve">Unidad</t>
        </is>
      </c>
      <c r="H97" s="4" t="inlineStr">
        <is>
          <t xml:space="preserve">Módulo 1: Microsoft Word (Avanzado) 8 HORAS. Ver detalle en Bases Técnicas.</t>
        </is>
      </c>
    </row>
    <row r="98">
      <c r="A98" s="0" t="inlineStr">
        <is>
          <t xml:space="preserve">2385-56-LE26</t>
        </is>
      </c>
      <c r="B98" s="4" t="inlineStr">
        <is>
          <t xml:space="preserve">ADQUISICIÓN CURSO OFIMÁTICA E INTELIGENCIA ARTIFICIAL</t>
        </is>
      </c>
      <c r="C98" s="0">
        <v>2</v>
      </c>
      <c r="D98" s="4" t="inlineStr">
        <is>
          <t xml:space="preserve">Capacitación a empleados</t>
        </is>
      </c>
      <c r="E98" s="4" t="inlineStr">
        <is>
          <t xml:space="preserve">Educación, formación, entrenamiento y capacitación / Sistemas educativos complementarios / Educación de adultos</t>
        </is>
      </c>
      <c r="F98" s="0">
        <v>1.0</v>
      </c>
      <c r="G98" s="0" t="inlineStr">
        <is>
          <t xml:space="preserve">Unidad</t>
        </is>
      </c>
      <c r="H98" s="4" t="inlineStr">
        <is>
          <t xml:space="preserve">Módulo 2: Microsoft Excel (Básico a Intermedio) 8 HORAS. Ver detalle en Bases Técnicas.</t>
        </is>
      </c>
    </row>
    <row r="99">
      <c r="A99" s="0" t="inlineStr">
        <is>
          <t xml:space="preserve">2385-56-LE26</t>
        </is>
      </c>
      <c r="B99" s="4" t="inlineStr">
        <is>
          <t xml:space="preserve">ADQUISICIÓN CURSO OFIMÁTICA E INTELIGENCIA ARTIFICIAL</t>
        </is>
      </c>
      <c r="C99" s="0">
        <v>3</v>
      </c>
      <c r="D99" s="4" t="inlineStr">
        <is>
          <t xml:space="preserve">Capacitación a empleados</t>
        </is>
      </c>
      <c r="E99" s="4" t="inlineStr">
        <is>
          <t xml:space="preserve">Educación, formación, entrenamiento y capacitación / Sistemas educativos complementarios / Educación de adultos</t>
        </is>
      </c>
      <c r="F99" s="0">
        <v>1.0</v>
      </c>
      <c r="G99" s="0" t="inlineStr">
        <is>
          <t xml:space="preserve">Unidad</t>
        </is>
      </c>
      <c r="H99" s="4" t="inlineStr">
        <is>
          <t xml:space="preserve">Módulo 3: Aplicaciones de Google 8 HORAS. Ver detalle en Bases Técnicas.</t>
        </is>
      </c>
    </row>
    <row r="100">
      <c r="A100" s="0" t="inlineStr">
        <is>
          <t xml:space="preserve">2385-56-LE26</t>
        </is>
      </c>
      <c r="B100" s="4" t="inlineStr">
        <is>
          <t xml:space="preserve">ADQUISICIÓN CURSO OFIMÁTICA E INTELIGENCIA ARTIFICIAL</t>
        </is>
      </c>
      <c r="C100" s="0">
        <v>4</v>
      </c>
      <c r="D100" s="4" t="inlineStr">
        <is>
          <t xml:space="preserve">Capacitación a empleados</t>
        </is>
      </c>
      <c r="E100" s="4" t="inlineStr">
        <is>
          <t xml:space="preserve">Educación, formación, entrenamiento y capacitación / Sistemas educativos complementarios / Educación de adultos</t>
        </is>
      </c>
      <c r="F100" s="0">
        <v>1.0</v>
      </c>
      <c r="G100" s="0" t="inlineStr">
        <is>
          <t xml:space="preserve">Unidad</t>
        </is>
      </c>
      <c r="H100" s="4" t="inlineStr">
        <is>
          <t xml:space="preserve">Módulo 4: IA Aplicada a la Gestión 8 HORAS. Ver detalle en Bases Técnicas.</t>
        </is>
      </c>
    </row>
    <row r="101">
      <c r="A101" s="0" t="inlineStr">
        <is>
          <t xml:space="preserve">3510-24-LE26</t>
        </is>
      </c>
      <c r="B101" s="4" t="inlineStr">
        <is>
          <t xml:space="preserve">Adquisición Equipos Tecnológicos y automatización</t>
        </is>
      </c>
      <c r="C101" s="0">
        <v>1</v>
      </c>
      <c r="D101" s="4" t="inlineStr">
        <is>
          <t xml:space="preserve">Fuentes de alimentación continua</t>
        </is>
      </c>
      <c r="E101" s="4" t="inlineStr">
        <is>
          <t xml:space="preserve">Artículos eléctricos y de iluminación / Equipamiento y artículos eléctricos / Equipamiento para distribución y transformación eléctrica</t>
        </is>
      </c>
      <c r="F101" s="0">
        <v>2.0</v>
      </c>
      <c r="G101" s="0" t="inlineStr">
        <is>
          <t xml:space="preserve">Unidad</t>
        </is>
      </c>
      <c r="H101" s="4" t="inlineStr">
        <is>
          <t xml:space="preserve">FUENTE PODER LABORATORIO EQUIVALENTE A KUAIKU 30V/10A</t>
        </is>
      </c>
    </row>
    <row r="102">
      <c r="A102" s="0" t="inlineStr">
        <is>
          <t xml:space="preserve">3510-24-LE26</t>
        </is>
      </c>
      <c r="B102" s="4" t="inlineStr">
        <is>
          <t xml:space="preserve">Adquisición Equipos Tecnológicos y automatización</t>
        </is>
      </c>
      <c r="C102" s="0">
        <v>2</v>
      </c>
      <c r="D102" s="4" t="inlineStr">
        <is>
          <t xml:space="preserve">Materiales de enseñanza de robótica</t>
        </is>
      </c>
      <c r="E102" s="4" t="inlineStr">
        <is>
          <t xml:space="preserve">Instrumentos musicales, juegos, juguetes, artesanías y materiales educativos / Materiales, artículos y suministros didácticos profesionales y para el desarrollo personal / Materiales de enseñanza de tecnología</t>
        </is>
      </c>
      <c r="F102" s="0">
        <v>1.0</v>
      </c>
      <c r="G102" s="0" t="inlineStr">
        <is>
          <t xml:space="preserve">Unidad</t>
        </is>
      </c>
      <c r="H102" s="4" t="inlineStr">
        <is>
          <t xml:space="preserve">BRAZO ROBÓTICO - M5-CN + KIT DE IA EQUIVALENTE A MECHAM</t>
        </is>
      </c>
    </row>
    <row r="103">
      <c r="A103" s="0" t="inlineStr">
        <is>
          <t xml:space="preserve">3510-24-LE26</t>
        </is>
      </c>
      <c r="B103" s="4" t="inlineStr">
        <is>
          <t xml:space="preserve">Adquisición Equipos Tecnológicos y automatización</t>
        </is>
      </c>
      <c r="C103" s="0">
        <v>3</v>
      </c>
      <c r="D103" s="4" t="inlineStr">
        <is>
          <t xml:space="preserve">Monitores de pantalla táctil</t>
        </is>
      </c>
      <c r="E103" s="4" t="inlineStr">
        <is>
          <t xml:space="preserve">Tecnologías de la información, telecomunicaciones y radiodifusión / Equipos informáticos y accesorios / Pantallas o monitores de computador</t>
        </is>
      </c>
      <c r="F103" s="0">
        <v>2.0</v>
      </c>
      <c r="G103" s="0" t="inlineStr">
        <is>
          <t xml:space="preserve">Unidad</t>
        </is>
      </c>
      <c r="H103" s="4" t="inlineStr">
        <is>
          <t xml:space="preserve">PIZARRA INTERACTIVA SEGUN ESPECIFICACIONES INDICADAS EN LAS BASES ADJUNTAS</t>
        </is>
      </c>
    </row>
    <row r="104">
      <c r="A104" s="0" t="inlineStr">
        <is>
          <t xml:space="preserve">3510-24-LE26</t>
        </is>
      </c>
      <c r="B104" s="4" t="inlineStr">
        <is>
          <t xml:space="preserve">Adquisición Equipos Tecnológicos y automatización</t>
        </is>
      </c>
      <c r="C104" s="0">
        <v>4</v>
      </c>
      <c r="D104" s="4" t="inlineStr">
        <is>
          <t xml:space="preserve">Notebook, laptop o computador portátil excepto Tablet PC</t>
        </is>
      </c>
      <c r="E104" s="4" t="inlineStr">
        <is>
          <t xml:space="preserve">Tecnologías de la información, telecomunicaciones y radiodifusión / Equipos informáticos y accesorios / Computadores</t>
        </is>
      </c>
      <c r="F104" s="0">
        <v>20.0</v>
      </c>
      <c r="G104" s="0" t="inlineStr">
        <is>
          <t xml:space="preserve">Unidad</t>
        </is>
      </c>
      <c r="H104" s="4" t="inlineStr">
        <is>
          <t xml:space="preserve">NOTEBOOK i5 RAM512 ALMACENAMIENTO C/CARRO EQUIVALENTE A LENOVO</t>
        </is>
      </c>
    </row>
    <row r="105">
      <c r="A105" s="0" t="inlineStr">
        <is>
          <t xml:space="preserve">3510-24-LE26</t>
        </is>
      </c>
      <c r="B105" s="4" t="inlineStr">
        <is>
          <t xml:space="preserve">Adquisición Equipos Tecnológicos y automatización</t>
        </is>
      </c>
      <c r="C105" s="0">
        <v>5</v>
      </c>
      <c r="D105" s="4" t="inlineStr">
        <is>
          <t xml:space="preserve">Televisores convencionales, de plasma y LCD</t>
        </is>
      </c>
      <c r="E105" s="4" t="inlineStr">
        <is>
          <t xml:space="preserve">Muebles, accesorios, electrodomésticos y productos electrónicos / Equipos y accesorios audiovisuales / Equipos audiovisuales y de electrónica menor</t>
        </is>
      </c>
      <c r="F105" s="0">
        <v>2.0</v>
      </c>
      <c r="G105" s="0" t="inlineStr">
        <is>
          <t xml:space="preserve">Unidad</t>
        </is>
      </c>
      <c r="H105" s="4" t="inlineStr">
        <is>
          <t xml:space="preserve">TV LED 65" CRYSTAL UHD 4K SMART TV 2025 EQUIVALENTE A SAMSUNG
C/ATRIL C/RUEDAS</t>
        </is>
      </c>
    </row>
    <row r="106">
      <c r="A106" s="0" t="inlineStr">
        <is>
          <t xml:space="preserve">3671-70-LE26</t>
        </is>
      </c>
      <c r="B106" s="4" t="inlineStr">
        <is>
          <t xml:space="preserve">“RENOVACIÓN DE LICENCIAS SOFTWARE AUTODESK CIVIL 3D Y REVIT”.</t>
        </is>
      </c>
      <c r="C106" s="0">
        <v>1</v>
      </c>
      <c r="D106" s="4" t="inlineStr">
        <is>
          <t xml:space="preserve">Software de arquitectura del sistema y análisis de requisitos</t>
        </is>
      </c>
      <c r="E106" s="4" t="inlineStr">
        <is>
          <t xml:space="preserve">Tecnologías de la información, telecomunicaciones y radiodifusión / Software / Programas de desarrollo</t>
        </is>
      </c>
      <c r="F106" s="0">
        <v>1.0</v>
      </c>
      <c r="G106" s="0" t="inlineStr">
        <is>
          <t xml:space="preserve">Unidad</t>
        </is>
      </c>
      <c r="H106" s="4" t="inlineStr">
        <is>
          <t xml:space="preserve">licencias software Autodesk civil 3D y Revit. Según términos técnicos y administrativos adjuntos.</t>
        </is>
      </c>
    </row>
    <row r="107">
      <c r="A107" s="0" t="inlineStr">
        <is>
          <t xml:space="preserve">4121-25-LE26</t>
        </is>
      </c>
      <c r="B107" s="4" t="inlineStr">
        <is>
          <t xml:space="preserve">SISTEMA DE GESTION DOCUMENTAL</t>
        </is>
      </c>
      <c r="C107" s="0">
        <v>1</v>
      </c>
      <c r="D107" s="4" t="inlineStr">
        <is>
          <t xml:space="preserve">Software de arquitectura del sistema y análisis de requisitos</t>
        </is>
      </c>
      <c r="E107" s="4" t="inlineStr">
        <is>
          <t xml:space="preserve">Tecnologías de la información, telecomunicaciones y radiodifusión / Software / Programas de desarrollo</t>
        </is>
      </c>
      <c r="F107" s="0">
        <v>1.0</v>
      </c>
      <c r="G107" s="0" t="inlineStr">
        <is>
          <t xml:space="preserve">Unidad</t>
        </is>
      </c>
      <c r="H107" s="4" t="inlineStr">
        <is>
          <t xml:space="preserve">Se requiere contratar un servicio de sistema de gestión documental para la municipalidad de Ninhue. Ver detalle en las especificaciones técnicas adjuntas a la presente licitación.</t>
        </is>
      </c>
    </row>
    <row r="108">
      <c r="A108" s="0" t="inlineStr">
        <is>
          <t xml:space="preserve">584105-33-LE26</t>
        </is>
      </c>
      <c r="B108" s="4" t="inlineStr">
        <is>
          <t xml:space="preserve">LICENCIAS DE SOFTWARE</t>
        </is>
      </c>
      <c r="C108" s="0">
        <v>1</v>
      </c>
      <c r="D108" s="4" t="inlineStr">
        <is>
          <t xml:space="preserve">Software de gestión de licencias</t>
        </is>
      </c>
      <c r="E108" s="4" t="inlineStr">
        <is>
          <t xml:space="preserve">Tecnologías de la información, telecomunicaciones y radiodifusión / Software / Software de gestión</t>
        </is>
      </c>
      <c r="F108" s="0">
        <v>1.0</v>
      </c>
      <c r="G108" s="0" t="inlineStr">
        <is>
          <t xml:space="preserve">Global</t>
        </is>
      </c>
      <c r="H108" s="4" t="inlineStr">
        <is>
          <t xml:space="preserve">Licencias del software de diseño asistido (CAD) o equivalente</t>
        </is>
      </c>
    </row>
    <row r="109">
      <c r="A109" s="0" t="inlineStr">
        <is>
          <t xml:space="preserve">584105-33-LE26</t>
        </is>
      </c>
      <c r="B109" s="4" t="inlineStr">
        <is>
          <t xml:space="preserve">LICENCIAS DE SOFTWARE</t>
        </is>
      </c>
      <c r="C109" s="0">
        <v>2</v>
      </c>
      <c r="D109" s="4" t="inlineStr">
        <is>
          <t xml:space="preserve">Software de gestión de licencias</t>
        </is>
      </c>
      <c r="E109" s="4" t="inlineStr">
        <is>
          <t xml:space="preserve">Tecnologías de la información, telecomunicaciones y radiodifusión / Software / Software de gestión</t>
        </is>
      </c>
      <c r="F109" s="0">
        <v>1.0</v>
      </c>
      <c r="G109" s="0" t="inlineStr">
        <is>
          <t xml:space="preserve">Global</t>
        </is>
      </c>
      <c r="H109" s="4" t="inlineStr">
        <is>
          <t xml:space="preserve">Licencias Adobe Creative Cloud for all apps o equivalente</t>
        </is>
      </c>
    </row>
    <row r="110">
      <c r="A110" s="0" t="inlineStr">
        <is>
          <t xml:space="preserve">584105-33-LE26</t>
        </is>
      </c>
      <c r="B110" s="4" t="inlineStr">
        <is>
          <t xml:space="preserve">LICENCIAS DE SOFTWARE</t>
        </is>
      </c>
      <c r="C110" s="0">
        <v>3</v>
      </c>
      <c r="D110" s="4" t="inlineStr">
        <is>
          <t xml:space="preserve">Software de gestión de licencias</t>
        </is>
      </c>
      <c r="E110" s="4" t="inlineStr">
        <is>
          <t xml:space="preserve">Tecnologías de la información, telecomunicaciones y radiodifusión / Software / Software de gestión</t>
        </is>
      </c>
      <c r="F110" s="0">
        <v>1.0</v>
      </c>
      <c r="G110" s="0" t="inlineStr">
        <is>
          <t xml:space="preserve">Global</t>
        </is>
      </c>
      <c r="H110" s="4" t="inlineStr">
        <is>
          <t xml:space="preserve">Licencias Zoom o equivalente</t>
        </is>
      </c>
    </row>
    <row r="111">
      <c r="A111" s="0" t="inlineStr">
        <is>
          <t xml:space="preserve">5890-11-LP26</t>
        </is>
      </c>
      <c r="B111" s="4" t="inlineStr">
        <is>
          <t xml:space="preserve">PLATAFORMA DE ANALISIS AVANZADO MALWARE PNCO2025</t>
        </is>
      </c>
      <c r="C111" s="0">
        <v>1</v>
      </c>
      <c r="D111" s="4" t="inlineStr">
        <is>
          <t xml:space="preserve">Cajas de almacenamientos de diferentes soportes</t>
        </is>
      </c>
      <c r="E111" s="4" t="inlineStr">
        <is>
          <t xml:space="preserve">Tecnologías de la información, telecomunicaciones y radiodifusión / Componentes para tecnología de la información, difusión o telecomunicaciones / Accesorios de soportes de almacenamiento extraíbles</t>
        </is>
      </c>
      <c r="F111" s="0">
        <v>1.0</v>
      </c>
      <c r="G111" s="0" t="inlineStr">
        <is>
          <t xml:space="preserve">Unidad</t>
        </is>
      </c>
      <c r="H111" s="4" t="inlineStr">
        <is>
          <t xml:space="preserve">SEGUN BASES ADMINISTRAIVAS Y ANEXOS ADJUNTOS</t>
        </is>
      </c>
    </row>
    <row r="112">
      <c r="A112" s="0" t="inlineStr">
        <is>
          <t xml:space="preserve">652-52-LE26</t>
        </is>
      </c>
      <c r="B112" s="4" t="inlineStr">
        <is>
          <t xml:space="preserve">CONVENIO DE SERVICIOS DE RADIODIFUSIÓN Y PLATAFORMAS DIGITALES</t>
        </is>
      </c>
      <c r="C112" s="0">
        <v>1</v>
      </c>
      <c r="D112" s="4" t="inlineStr">
        <is>
          <t xml:space="preserve">Estudios o equipos radiales</t>
        </is>
      </c>
      <c r="E112" s="4" t="inlineStr">
        <is>
          <t xml:space="preserve">Servicios básicos y de información pública / Telecomunicaciones / Servicios de radio</t>
        </is>
      </c>
      <c r="F112" s="0">
        <v>1.0</v>
      </c>
      <c r="G112" s="0" t="inlineStr">
        <is>
          <t xml:space="preserve">Unidad</t>
        </is>
      </c>
      <c r="H112" s="4" t="inlineStr">
        <is>
          <t xml:space="preserve">CONVENIO RADIAL COMUNA ARAUCO</t>
        </is>
      </c>
    </row>
    <row r="113">
      <c r="A113" s="0" t="inlineStr">
        <is>
          <t xml:space="preserve">652-52-LE26</t>
        </is>
      </c>
      <c r="B113" s="4" t="inlineStr">
        <is>
          <t xml:space="preserve">CONVENIO DE SERVICIOS DE RADIODIFUSIÓN Y PLATAFORMAS DIGITALES</t>
        </is>
      </c>
      <c r="C113" s="0">
        <v>2</v>
      </c>
      <c r="D113" s="4" t="inlineStr">
        <is>
          <t xml:space="preserve">Estudios o equipos radiales</t>
        </is>
      </c>
      <c r="E113" s="4" t="inlineStr">
        <is>
          <t xml:space="preserve">Servicios básicos y de información pública / Telecomunicaciones / Servicios de radio</t>
        </is>
      </c>
      <c r="F113" s="0">
        <v>1.0</v>
      </c>
      <c r="G113" s="0" t="inlineStr">
        <is>
          <t xml:space="preserve">Unidad</t>
        </is>
      </c>
      <c r="H113" s="4" t="inlineStr">
        <is>
          <t xml:space="preserve">CONVENIO RADIAL COMUNA CURANILAHUE</t>
        </is>
      </c>
    </row>
    <row r="114">
      <c r="A114" s="0" t="inlineStr">
        <is>
          <t xml:space="preserve">652-52-LE26</t>
        </is>
      </c>
      <c r="B114" s="4" t="inlineStr">
        <is>
          <t xml:space="preserve">CONVENIO DE SERVICIOS DE RADIODIFUSIÓN Y PLATAFORMAS DIGITALES</t>
        </is>
      </c>
      <c r="C114" s="0">
        <v>3</v>
      </c>
      <c r="D114" s="4" t="inlineStr">
        <is>
          <t xml:space="preserve">Estudios o equipos radiales</t>
        </is>
      </c>
      <c r="E114" s="4" t="inlineStr">
        <is>
          <t xml:space="preserve">Servicios básicos y de información pública / Telecomunicaciones / Servicios de radio</t>
        </is>
      </c>
      <c r="F114" s="0">
        <v>1.0</v>
      </c>
      <c r="G114" s="0" t="inlineStr">
        <is>
          <t xml:space="preserve">Unidad</t>
        </is>
      </c>
      <c r="H114" s="4" t="inlineStr">
        <is>
          <t xml:space="preserve">CONVENIO RADIAL COMUNA LEBU/LOS ÁLAMOS</t>
        </is>
      </c>
    </row>
    <row r="115">
      <c r="A115" s="0" t="inlineStr">
        <is>
          <t xml:space="preserve">652-52-LE26</t>
        </is>
      </c>
      <c r="B115" s="4" t="inlineStr">
        <is>
          <t xml:space="preserve">CONVENIO DE SERVICIOS DE RADIODIFUSIÓN Y PLATAFORMAS DIGITALES</t>
        </is>
      </c>
      <c r="C115" s="0">
        <v>4</v>
      </c>
      <c r="D115" s="4" t="inlineStr">
        <is>
          <t xml:space="preserve">Estudios o equipos radiales</t>
        </is>
      </c>
      <c r="E115" s="4" t="inlineStr">
        <is>
          <t xml:space="preserve">Servicios básicos y de información pública / Telecomunicaciones / Servicios de radio</t>
        </is>
      </c>
      <c r="F115" s="0">
        <v>1.0</v>
      </c>
      <c r="G115" s="0" t="inlineStr">
        <is>
          <t xml:space="preserve">Unidad</t>
        </is>
      </c>
      <c r="H115" s="4" t="inlineStr">
        <is>
          <t xml:space="preserve">CONVENIO RADIAL COMUNA DE CAÑETE/TIRUA</t>
        </is>
      </c>
    </row>
    <row r="116">
      <c r="A116" s="0" t="inlineStr">
        <is>
          <t xml:space="preserve">652-52-LE26</t>
        </is>
      </c>
      <c r="B116" s="4" t="inlineStr">
        <is>
          <t xml:space="preserve">CONVENIO DE SERVICIOS DE RADIODIFUSIÓN Y PLATAFORMAS DIGITALES</t>
        </is>
      </c>
      <c r="C116" s="0">
        <v>5</v>
      </c>
      <c r="D116" s="4" t="inlineStr">
        <is>
          <t xml:space="preserve">Estudios o equipos radiales</t>
        </is>
      </c>
      <c r="E116" s="4" t="inlineStr">
        <is>
          <t xml:space="preserve">Servicios básicos y de información pública / Telecomunicaciones / Servicios de radio</t>
        </is>
      </c>
      <c r="F116" s="0">
        <v>1.0</v>
      </c>
      <c r="G116" s="0" t="inlineStr">
        <is>
          <t xml:space="preserve">Unidad</t>
        </is>
      </c>
      <c r="H116" s="4" t="inlineStr">
        <is>
          <t xml:space="preserve">CONVENIO RADIAL COMUNA CONTULMO</t>
        </is>
      </c>
    </row>
    <row r="117">
      <c r="A117" s="0" t="inlineStr">
        <is>
          <t xml:space="preserve">652-52-LE26</t>
        </is>
      </c>
      <c r="B117" s="4" t="inlineStr">
        <is>
          <t xml:space="preserve">CONVENIO DE SERVICIOS DE RADIODIFUSIÓN Y PLATAFORMAS DIGITALES</t>
        </is>
      </c>
      <c r="C117" s="0">
        <v>6</v>
      </c>
      <c r="D117" s="4" t="inlineStr">
        <is>
          <t xml:space="preserve">Publicidad en Internet</t>
        </is>
      </c>
      <c r="E117" s="4" t="inlineStr">
        <is>
          <t xml:space="preserve">Servicios editoriales, de diseño, publicidad, gráficos y artistas / Publicidad / Publicidad en medios no impresos</t>
        </is>
      </c>
      <c r="F117" s="0">
        <v>1.0</v>
      </c>
      <c r="G117" s="0" t="inlineStr">
        <is>
          <t xml:space="preserve">Unidad</t>
        </is>
      </c>
      <c r="H117" s="4" t="inlineStr">
        <is>
          <t xml:space="preserve">CONVENIO PLATAFORMA DIGITAL COMUNA DE ARAUCO</t>
        </is>
      </c>
    </row>
    <row r="118">
      <c r="A118" s="0" t="inlineStr">
        <is>
          <t xml:space="preserve">652-52-LE26</t>
        </is>
      </c>
      <c r="B118" s="4" t="inlineStr">
        <is>
          <t xml:space="preserve">CONVENIO DE SERVICIOS DE RADIODIFUSIÓN Y PLATAFORMAS DIGITALES</t>
        </is>
      </c>
      <c r="C118" s="0">
        <v>7</v>
      </c>
      <c r="D118" s="4" t="inlineStr">
        <is>
          <t xml:space="preserve">Publicidad en Internet</t>
        </is>
      </c>
      <c r="E118" s="4" t="inlineStr">
        <is>
          <t xml:space="preserve">Servicios editoriales, de diseño, publicidad, gráficos y artistas / Publicidad / Publicidad en medios no impresos</t>
        </is>
      </c>
      <c r="F118" s="0">
        <v>1.0</v>
      </c>
      <c r="G118" s="0" t="inlineStr">
        <is>
          <t xml:space="preserve">Unidad</t>
        </is>
      </c>
      <c r="H118" s="4" t="inlineStr">
        <is>
          <t xml:space="preserve">CONVENIO PLATAFORMA DIGITAL COMUNA DE CURANILAHUE</t>
        </is>
      </c>
    </row>
    <row r="119">
      <c r="A119" s="0" t="inlineStr">
        <is>
          <t xml:space="preserve">652-52-LE26</t>
        </is>
      </c>
      <c r="B119" s="4" t="inlineStr">
        <is>
          <t xml:space="preserve">CONVENIO DE SERVICIOS DE RADIODIFUSIÓN Y PLATAFORMAS DIGITALES</t>
        </is>
      </c>
      <c r="C119" s="0">
        <v>8</v>
      </c>
      <c r="D119" s="4" t="inlineStr">
        <is>
          <t xml:space="preserve">Publicidad en Internet</t>
        </is>
      </c>
      <c r="E119" s="4" t="inlineStr">
        <is>
          <t xml:space="preserve">Servicios editoriales, de diseño, publicidad, gráficos y artistas / Publicidad / Publicidad en medios no impresos</t>
        </is>
      </c>
      <c r="F119" s="0">
        <v>1.0</v>
      </c>
      <c r="G119" s="0" t="inlineStr">
        <is>
          <t xml:space="preserve">Unidad</t>
        </is>
      </c>
      <c r="H119" s="4" t="inlineStr">
        <is>
          <t xml:space="preserve">CONVENIO PLATAFORMA DIGITAL COMUNA DE LEBU/LOS ALAMOS</t>
        </is>
      </c>
    </row>
    <row r="120">
      <c r="A120" s="0" t="inlineStr">
        <is>
          <t xml:space="preserve">652-52-LE26</t>
        </is>
      </c>
      <c r="B120" s="4" t="inlineStr">
        <is>
          <t xml:space="preserve">CONVENIO DE SERVICIOS DE RADIODIFUSIÓN Y PLATAFORMAS DIGITALES</t>
        </is>
      </c>
      <c r="C120" s="0">
        <v>9</v>
      </c>
      <c r="D120" s="4" t="inlineStr">
        <is>
          <t xml:space="preserve">Publicidad en Internet</t>
        </is>
      </c>
      <c r="E120" s="4" t="inlineStr">
        <is>
          <t xml:space="preserve">Servicios editoriales, de diseño, publicidad, gráficos y artistas / Publicidad / Publicidad en medios no impresos</t>
        </is>
      </c>
      <c r="F120" s="0">
        <v>1.0</v>
      </c>
      <c r="G120" s="0" t="inlineStr">
        <is>
          <t xml:space="preserve">Unidad</t>
        </is>
      </c>
      <c r="H120" s="4" t="inlineStr">
        <is>
          <t xml:space="preserve">CONVENIO PLATAFORMA DIGITAL COMUNA DE CAÑETE/TIRUA</t>
        </is>
      </c>
    </row>
    <row r="121">
      <c r="A121" s="0" t="inlineStr">
        <is>
          <t xml:space="preserve">761-22-LE26</t>
        </is>
      </c>
      <c r="B121" s="4" t="inlineStr">
        <is>
          <t xml:space="preserve">LICENCIAMIENTO ADOBE CREATIVE CLOUD E6945-2026</t>
        </is>
      </c>
      <c r="C121" s="0">
        <v>1</v>
      </c>
      <c r="D121" s="4" t="inlineStr">
        <is>
          <t xml:space="preserve">Software de gestión de licencias</t>
        </is>
      </c>
      <c r="E121" s="4" t="inlineStr">
        <is>
          <t xml:space="preserve">Tecnologías de la información, telecomunicaciones y radiodifusión / Software / Software de gestión</t>
        </is>
      </c>
      <c r="F121" s="0">
        <v>1.0</v>
      </c>
      <c r="G121" s="0" t="inlineStr">
        <is>
          <t xml:space="preserve">Unidad</t>
        </is>
      </c>
      <c r="H121" s="4" t="inlineStr">
        <is>
          <t xml:space="preserve">SERVICIO DE “RENOVACIÓN LICENCIAMIENTO ADOBE CREATIVE CLOUD PARA SUBDERE” E6945/2026</t>
        </is>
      </c>
    </row>
    <row r="122">
      <c r="A122" s="0" t="inlineStr">
        <is>
          <t xml:space="preserve">799512-50-LE26</t>
        </is>
      </c>
      <c r="B122" s="4" t="inlineStr">
        <is>
          <t xml:space="preserve">COMPRA TENSIOMETROS DIGITALES</t>
        </is>
      </c>
      <c r="C122" s="0">
        <v>1</v>
      </c>
      <c r="D122" s="4" t="inlineStr">
        <is>
          <t xml:space="preserve">Tensiómetros</t>
        </is>
      </c>
      <c r="E122" s="4" t="inlineStr">
        <is>
          <t xml:space="preserve">Equipamiento para laboratorios / Instrumentos de medida y experimentación / Instrumentos mecánicos</t>
        </is>
      </c>
      <c r="F122" s="0">
        <v>37.0</v>
      </c>
      <c r="G122" s="0" t="inlineStr">
        <is>
          <t xml:space="preserve">Unidad</t>
        </is>
      </c>
      <c r="H122" s="4" t="inlineStr">
        <is>
          <t xml:space="preserve">PROBP 2000 TENSIOMETRO DIGITAL CON FUENTE DE PODER (2000-P)</t>
        </is>
      </c>
    </row>
    <row r="123">
      <c r="A123" s="0" t="inlineStr">
        <is>
          <t xml:space="preserve">869591-12-LP26</t>
        </is>
      </c>
      <c r="B123" s="4" t="inlineStr">
        <is>
          <t xml:space="preserve">CONTRATACIÓN DE PLATAFORMA DE GESTIÓN DOCUMENTAL EXPEDIENTE ELECTRÓNICO Y GESTIÓN DE PROCESOS</t>
        </is>
      </c>
      <c r="C123" s="0">
        <v>1</v>
      </c>
      <c r="D123" s="4" t="inlineStr">
        <is>
          <t xml:space="preserve">Programas de gestión de documentos</t>
        </is>
      </c>
      <c r="E123" s="4" t="inlineStr">
        <is>
          <t xml:space="preserve">Tecnologías de la información, telecomunicaciones y radiodifusión / Software / Software de gestión de contenidos</t>
        </is>
      </c>
      <c r="F123" s="0">
        <v>1.0</v>
      </c>
      <c r="G123" s="0" t="inlineStr">
        <is>
          <t xml:space="preserve">Unidad</t>
        </is>
      </c>
      <c r="H123" s="4" t="inlineStr">
        <is>
          <t xml:space="preserve">CONTRATACIÓN DE PLATAFORMA DE GESTIÓN DOCUMENTAL, EXPEDIENTE ELECTRÓNICO Y GESTIÓN DE PROCESOS PARA LA DIRECCIÓN DE COMPRAS Y CONTRATACIÓN PÚBLICA</t>
        </is>
      </c>
    </row>
    <row r="124">
      <c r="A124" s="0" t="inlineStr">
        <is>
          <t xml:space="preserve">1208129-9-LP26</t>
        </is>
      </c>
      <c r="B124" s="4" t="inlineStr">
        <is>
          <t xml:space="preserve">Giftcards digitales para las FAE de AA.DD del SPE</t>
        </is>
      </c>
      <c r="C124" s="0">
        <v>1</v>
      </c>
      <c r="D124" s="4" t="inlineStr">
        <is>
          <t xml:space="preserve">Planificación de compensaciones o beneficios</t>
        </is>
      </c>
      <c r="E124" s="4" t="inlineStr">
        <is>
          <t xml:space="preserve">Servicios profesionales, administrativos y consultorías de gestión empresarial / Servicios de recursos humanos / Consultorías para el desarrollo de recursos humanos</t>
        </is>
      </c>
      <c r="F124" s="0">
        <v>1.0</v>
      </c>
      <c r="G124" s="0" t="inlineStr">
        <is>
          <t xml:space="preserve">Global</t>
        </is>
      </c>
      <c r="H124" s="4" t="inlineStr">
        <is>
          <t xml:space="preserve">Adquisición de giftcards digitales o váuchers electrónicos de alimentos para Pogramas FAE de AADD del SPE Biobío, según lo requerido en Bases Técnicas</t>
        </is>
      </c>
    </row>
    <row r="125">
      <c r="A125" s="0" t="inlineStr">
        <is>
          <t xml:space="preserve">1208129-9-LP26</t>
        </is>
      </c>
      <c r="B125" s="4" t="inlineStr">
        <is>
          <t xml:space="preserve">Giftcards digitales para las FAE de AA.DD del SPE</t>
        </is>
      </c>
      <c r="C125" s="0">
        <v>2</v>
      </c>
      <c r="D125" s="4" t="inlineStr">
        <is>
          <t xml:space="preserve">Planificación de compensaciones o beneficios</t>
        </is>
      </c>
      <c r="E125" s="4" t="inlineStr">
        <is>
          <t xml:space="preserve">Servicios profesionales, administrativos y consultorías de gestión empresarial / Servicios de recursos humanos / Consultorías para el desarrollo de recursos humanos</t>
        </is>
      </c>
      <c r="F125" s="0">
        <v>1.0</v>
      </c>
      <c r="G125" s="0" t="inlineStr">
        <is>
          <t xml:space="preserve">Global</t>
        </is>
      </c>
      <c r="H125" s="4" t="inlineStr">
        <is>
          <t xml:space="preserve">Adquisición de giftcards digitales o váuchers electrónicos de aseo e higiene personal para Pogramas FAE de AADD del SPE Biobío, según lo requerido en Bases Técnicas</t>
        </is>
      </c>
    </row>
    <row r="126">
      <c r="A126" s="0" t="inlineStr">
        <is>
          <t xml:space="preserve">1208129-9-LP26</t>
        </is>
      </c>
      <c r="B126" s="4" t="inlineStr">
        <is>
          <t xml:space="preserve">Giftcards digitales para las FAE de AA.DD del SPE</t>
        </is>
      </c>
      <c r="C126" s="0">
        <v>3</v>
      </c>
      <c r="D126" s="4" t="inlineStr">
        <is>
          <t xml:space="preserve">Planificación de compensaciones o beneficios</t>
        </is>
      </c>
      <c r="E126" s="4" t="inlineStr">
        <is>
          <t xml:space="preserve">Servicios profesionales, administrativos y consultorías de gestión empresarial / Servicios de recursos humanos / Consultorías para el desarrollo de recursos humanos</t>
        </is>
      </c>
      <c r="F126" s="0">
        <v>1.0</v>
      </c>
      <c r="G126" s="0" t="inlineStr">
        <is>
          <t xml:space="preserve">Global</t>
        </is>
      </c>
      <c r="H126" s="4" t="inlineStr">
        <is>
          <t xml:space="preserve">Adquisición de giftcards digitales o váuchers electrónicos de vestuario y calzado para Pogramas FAE de AADD del SPE Biobío, según lo requerido en Bases Técnicas</t>
        </is>
      </c>
    </row>
    <row r="127">
      <c r="A127" s="0" t="inlineStr">
        <is>
          <t xml:space="preserve">1562-61-LP26</t>
        </is>
      </c>
      <c r="B127" s="4" t="inlineStr">
        <is>
          <t xml:space="preserve">PLATAFORMA DE SEGURIDAD PERIMETRAL</t>
        </is>
      </c>
      <c r="C127" s="0">
        <v>1</v>
      </c>
      <c r="D127" s="4" t="inlineStr">
        <is>
          <t xml:space="preserve">Mantenimiento y soporte de hardware</t>
        </is>
      </c>
      <c r="E127" s="4" t="inlineStr">
        <is>
          <t xml:space="preserve">Servicios basados en ingeniería, ciencias sociales y tecnología de la información / Servicios informáticos / Administración de sistemas</t>
        </is>
      </c>
      <c r="F127" s="0">
        <v>2.0</v>
      </c>
      <c r="G127" s="0" t="inlineStr">
        <is>
          <t xml:space="preserve">Unidad</t>
        </is>
      </c>
      <c r="H127"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128">
      <c r="A128" s="0" t="inlineStr">
        <is>
          <t xml:space="preserve">1562-61-LP26</t>
        </is>
      </c>
      <c r="B128" s="4" t="inlineStr">
        <is>
          <t xml:space="preserve">PLATAFORMA DE SEGURIDAD PERIMETRAL</t>
        </is>
      </c>
      <c r="C128" s="0">
        <v>2</v>
      </c>
      <c r="D128" s="4" t="inlineStr">
        <is>
          <t xml:space="preserve">Software de gestión de licencias</t>
        </is>
      </c>
      <c r="E128" s="4" t="inlineStr">
        <is>
          <t xml:space="preserve">Tecnologías de la información, telecomunicaciones y radiodifusión / Software / Software de gestión</t>
        </is>
      </c>
      <c r="F128" s="0">
        <v>1.0</v>
      </c>
      <c r="G128" s="0" t="inlineStr">
        <is>
          <t xml:space="preserve">Unidad</t>
        </is>
      </c>
      <c r="H128"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129">
      <c r="A129" s="0" t="inlineStr">
        <is>
          <t xml:space="preserve">1562-61-LP26</t>
        </is>
      </c>
      <c r="B129" s="4" t="inlineStr">
        <is>
          <t xml:space="preserve">PLATAFORMA DE SEGURIDAD PERIMETRAL</t>
        </is>
      </c>
      <c r="C129" s="0">
        <v>3</v>
      </c>
      <c r="D129" s="4" t="inlineStr">
        <is>
          <t xml:space="preserve">Programas de gestión de configuración</t>
        </is>
      </c>
      <c r="E129" s="4" t="inlineStr">
        <is>
          <t xml:space="preserve">Tecnologías de la información, telecomunicaciones y radiodifusión / Software / Programas de desarrollo</t>
        </is>
      </c>
      <c r="F129" s="0">
        <v>1.0</v>
      </c>
      <c r="G129" s="0" t="inlineStr">
        <is>
          <t xml:space="preserve">Unidad</t>
        </is>
      </c>
      <c r="H129"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130">
      <c r="A130" s="0" t="inlineStr">
        <is>
          <t xml:space="preserve">4589-16-LE26</t>
        </is>
      </c>
      <c r="B130" s="4" t="inlineStr">
        <is>
          <t xml:space="preserve">SOPORTE DE MANTENCION Y CAPACITACION PLATAFORMA SIFIM</t>
        </is>
      </c>
      <c r="C130" s="0">
        <v>1</v>
      </c>
      <c r="D130" s="4" t="inlineStr">
        <is>
          <t xml:space="preserve">Programas de análisis financiero</t>
        </is>
      </c>
      <c r="E130" s="4" t="inlineStr">
        <is>
          <t xml:space="preserve">Tecnologías de la información, telecomunicaciones y radiodifusión / Software / Software de planificación de recursos empresariales (ERP) y contabilidad financiera</t>
        </is>
      </c>
      <c r="F130" s="0">
        <v>1.0</v>
      </c>
      <c r="G130" s="0" t="inlineStr">
        <is>
          <t xml:space="preserve">Unidad</t>
        </is>
      </c>
      <c r="H130"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131">
      <c r="A131" s="0" t="inlineStr">
        <is>
          <t xml:space="preserve">761391-138-LE26</t>
        </is>
      </c>
      <c r="B131" s="4" t="inlineStr">
        <is>
          <t xml:space="preserve">EE-133-GUB-DAS-SVC. ARRI. EQUIPOS INFORMATICOS</t>
        </is>
      </c>
      <c r="C131" s="0">
        <v>1</v>
      </c>
      <c r="D131" s="4" t="inlineStr">
        <is>
          <t xml:space="preserve">Servicios de programación de sistemas operativos</t>
        </is>
      </c>
      <c r="E131" s="4" t="inlineStr">
        <is>
          <t xml:space="preserve">Servicios basados en ingeniería, ciencias sociales y tecnología de la información / Servicios informáticos / Ingeniería en computación e informática</t>
        </is>
      </c>
      <c r="F131" s="0">
        <v>1.0</v>
      </c>
      <c r="G131" s="0" t="inlineStr">
        <is>
          <t xml:space="preserve">Global</t>
        </is>
      </c>
      <c r="H131"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32">
      <c r="A132" s="0" t="inlineStr">
        <is>
          <t xml:space="preserve">587-49-LE26</t>
        </is>
      </c>
      <c r="B132" s="4" t="inlineStr">
        <is>
          <t xml:space="preserve">SELICO 198- 2026 SERVICIO DE DIGITALIZACIÓN</t>
        </is>
      </c>
      <c r="C132" s="0">
        <v>1</v>
      </c>
      <c r="D132" s="4" t="inlineStr">
        <is>
          <t xml:space="preserve">Servicios de digitalización de documentos</t>
        </is>
      </c>
      <c r="E132" s="4" t="inlineStr">
        <is>
          <t xml:space="preserve">Servicios basados en ingeniería, ciencias sociales y tecnología de la información / Servicios informáticos / Servicios de datos</t>
        </is>
      </c>
      <c r="F132" s="0">
        <v>1.0</v>
      </c>
      <c r="G132" s="0" t="inlineStr">
        <is>
          <t xml:space="preserve">Global</t>
        </is>
      </c>
      <c r="H132" s="4" t="inlineStr">
        <is>
          <t xml:space="preserve">Servicio de digitalización e indexación de documentación del MINVU y de la SEREMI Región Metropolitana.</t>
        </is>
      </c>
    </row>
    <row r="133">
      <c r="A133" s="0" t="inlineStr">
        <is>
          <t xml:space="preserve">1057049-332-LR26</t>
        </is>
      </c>
      <c r="B133" s="4" t="inlineStr">
        <is>
          <t xml:space="preserve">JLL BASES SERVICIO DE TURNOS PROFESIONALES PARA DESARROLLO DE SOFTWARE INTERNO DEL HOSPITAL CLÍNICO SAN BORJA ARRIARÁN</t>
        </is>
      </c>
      <c r="C133" s="0">
        <v>1</v>
      </c>
      <c r="D133" s="4" t="inlineStr">
        <is>
          <t xml:space="preserve">Personal técnico temporal</t>
        </is>
      </c>
      <c r="E133" s="4" t="inlineStr">
        <is>
          <t xml:space="preserve">Servicios profesionales, administrativos y consultorías de gestión empresarial / Servicios de recursos humanos / Servicios de personal temporal</t>
        </is>
      </c>
      <c r="F133" s="0">
        <v>1.0</v>
      </c>
      <c r="G133" s="0" t="inlineStr">
        <is>
          <t xml:space="preserve">Global</t>
        </is>
      </c>
      <c r="H133" s="4" t="inlineStr">
        <is>
          <t xml:space="preserve">COD. 704-0022 CONTRATACION DE SERVICIO DE TURNOS PROFESIONALES PARA DESARROLLO DE SOFTWARE INTERNO DEL HOSPITAL CLINICO SAN BORJA ARRIARAN POR 24 MESES</t>
        </is>
      </c>
    </row>
    <row r="134">
      <c r="A134" s="0" t="inlineStr">
        <is>
          <t xml:space="preserve">1049-76-LE26</t>
        </is>
      </c>
      <c r="B134" s="4" t="inlineStr">
        <is>
          <t xml:space="preserve">LEVANTAMIENTO DE DATOS SOCIOECONÓMICOS PLANTAS MANUFACTURERAS DE PRODUCTOS PESQUEROS ACUÍCOLAS Y EMPRESAS SALMONERAS</t>
        </is>
      </c>
      <c r="C134" s="0">
        <v>1</v>
      </c>
      <c r="D134" s="4" t="inlineStr">
        <is>
          <t xml:space="preserve">Encuestas por muestreo</t>
        </is>
      </c>
      <c r="E134" s="4" t="inlineStr">
        <is>
          <t xml:space="preserve">Servicios basados en ingeniería, ciencias sociales y tecnología de la información / Estadística / Metodología y análisis estadístico</t>
        </is>
      </c>
      <c r="F134" s="0">
        <v>1.0</v>
      </c>
      <c r="G134" s="0" t="inlineStr">
        <is>
          <t xml:space="preserve">Unidad</t>
        </is>
      </c>
      <c r="H134" s="4" t="inlineStr">
        <is>
          <t xml:space="preserve">SERVICIO DE LEVANTAMIENTO DE DATOS SOCIOECONÓMICOS PLANTAS MANUFACTURERAS DE PRODUCTOS PESQUEROS ATACAMA Y COQUIMBO</t>
        </is>
      </c>
    </row>
    <row r="135">
      <c r="A135" s="0" t="inlineStr">
        <is>
          <t xml:space="preserve">1049-76-LE26</t>
        </is>
      </c>
      <c r="B135" s="4" t="inlineStr">
        <is>
          <t xml:space="preserve">LEVANTAMIENTO DE DATOS SOCIOECONÓMICOS PLANTAS MANUFACTURERAS DE PRODUCTOS PESQUEROS ACUÍCOLAS Y EMPRESAS SALMONERAS</t>
        </is>
      </c>
      <c r="C135" s="0">
        <v>2</v>
      </c>
      <c r="D135" s="4" t="inlineStr">
        <is>
          <t xml:space="preserve">Encuestas por muestreo</t>
        </is>
      </c>
      <c r="E135" s="4" t="inlineStr">
        <is>
          <t xml:space="preserve">Servicios basados en ingeniería, ciencias sociales y tecnología de la información / Estadística / Metodología y análisis estadístico</t>
        </is>
      </c>
      <c r="F135" s="0">
        <v>1.0</v>
      </c>
      <c r="G135" s="0" t="inlineStr">
        <is>
          <t xml:space="preserve">Unidad</t>
        </is>
      </c>
      <c r="H135" s="4" t="inlineStr">
        <is>
          <t xml:space="preserve">SERVICIO DE LEVANTAMIENTO DE DATOS SOCIOECONÓMICOS PLANTAS MANUFACTURERAS DE PRODUCTOS PESQUEROS VALPARAISO Y METROPOLITANA</t>
        </is>
      </c>
    </row>
    <row r="136">
      <c r="A136" s="0" t="inlineStr">
        <is>
          <t xml:space="preserve">1049-76-LE26</t>
        </is>
      </c>
      <c r="B136" s="4" t="inlineStr">
        <is>
          <t xml:space="preserve">LEVANTAMIENTO DE DATOS SOCIOECONÓMICOS PLANTAS MANUFACTURERAS DE PRODUCTOS PESQUEROS ACUÍCOLAS Y EMPRESAS SALMONERAS</t>
        </is>
      </c>
      <c r="C136" s="0">
        <v>3</v>
      </c>
      <c r="D136" s="4" t="inlineStr">
        <is>
          <t xml:space="preserve">Encuestas por muestreo</t>
        </is>
      </c>
      <c r="E136" s="4" t="inlineStr">
        <is>
          <t xml:space="preserve">Servicios basados en ingeniería, ciencias sociales y tecnología de la información / Estadística / Metodología y análisis estadístico</t>
        </is>
      </c>
      <c r="F136" s="0">
        <v>1.0</v>
      </c>
      <c r="G136" s="0" t="inlineStr">
        <is>
          <t xml:space="preserve">Unidad</t>
        </is>
      </c>
      <c r="H136" s="4" t="inlineStr">
        <is>
          <t xml:space="preserve">SERVICIO DE LEVANTAMIENTO DE DATOS SOCIOECONÓMICOS PLANTAS DE PRODUCTOS PESQUEROS, ACUÍCOLAS Y EMPRESAS SALMONERAS LOS LAGOS, AYSÉN Y MAGALLANES</t>
        </is>
      </c>
    </row>
    <row r="137">
      <c r="A137" s="0" t="inlineStr">
        <is>
          <t xml:space="preserve">463-5-LE26</t>
        </is>
      </c>
      <c r="B137" s="4" t="inlineStr">
        <is>
          <t xml:space="preserve">SERVICIO DE SOFTWARE DE GESTIÓN DE PERSONAS</t>
        </is>
      </c>
      <c r="C137" s="0">
        <v>1</v>
      </c>
      <c r="D137" s="4" t="inlineStr">
        <is>
          <t xml:space="preserve">Software de gestión de recursos humanos</t>
        </is>
      </c>
      <c r="E137" s="4" t="inlineStr">
        <is>
          <t xml:space="preserve">Tecnologías de la información, telecomunicaciones y radiodifusión / Software / Software de gestión</t>
        </is>
      </c>
      <c r="F137" s="0">
        <v>1.0</v>
      </c>
      <c r="G137" s="0" t="inlineStr">
        <is>
          <t xml:space="preserve">Unidad</t>
        </is>
      </c>
      <c r="H137" s="4" t="inlineStr">
        <is>
          <t xml:space="preserve">SERVICIO DE SOFTWARE DE GESTIÓN DE PERSONAS PARA CIREN</t>
        </is>
      </c>
    </row>
    <row r="138">
      <c r="A138" s="0" t="inlineStr">
        <is>
          <t xml:space="preserve">696217-2-LP26</t>
        </is>
      </c>
      <c r="B138" s="4" t="inlineStr">
        <is>
          <t xml:space="preserve">Servicio de Digitalizacion de Carpetas</t>
        </is>
      </c>
      <c r="C138" s="0">
        <v>1</v>
      </c>
      <c r="D138" s="4" t="inlineStr">
        <is>
          <t xml:space="preserve">Servicios de digitalización de documentos</t>
        </is>
      </c>
      <c r="E138" s="4" t="inlineStr">
        <is>
          <t xml:space="preserve">Servicios basados en ingeniería, ciencias sociales y tecnología de la información / Servicios informáticos / Servicios de datos</t>
        </is>
      </c>
      <c r="F138" s="0">
        <v>1.0</v>
      </c>
      <c r="G138" s="0" t="inlineStr">
        <is>
          <t xml:space="preserve">Unidad</t>
        </is>
      </c>
      <c r="H138"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139">
      <c r="A139" s="0" t="inlineStr">
        <is>
          <t xml:space="preserve">885-85-LE26</t>
        </is>
      </c>
      <c r="B139" s="4" t="inlineStr">
        <is>
          <t xml:space="preserve">Adquisición de licencias de software Acrobat Pro DC for teams ALL MP MLA Team para la Contraloría General de la República.</t>
        </is>
      </c>
      <c r="C139" s="0">
        <v>1</v>
      </c>
      <c r="D139" s="4" t="inlineStr">
        <is>
          <t xml:space="preserve">Software de gestión de licencias</t>
        </is>
      </c>
      <c r="E139" s="4" t="inlineStr">
        <is>
          <t xml:space="preserve">Tecnologías de la información, telecomunicaciones y radiodifusión / Software / Software de gestión</t>
        </is>
      </c>
      <c r="F139" s="0">
        <v>50.0</v>
      </c>
      <c r="G139" s="0" t="inlineStr">
        <is>
          <t xml:space="preserve">Unidad</t>
        </is>
      </c>
      <c r="H139" s="4" t="inlineStr">
        <is>
          <t xml:space="preserve">Licencias del software Acrobat Pro DC for teams ALL MP MLA Team</t>
        </is>
      </c>
    </row>
    <row r="140">
      <c r="A140" s="0" t="inlineStr">
        <is>
          <t xml:space="preserve">948354-137-LP26</t>
        </is>
      </c>
      <c r="B140" s="4" t="inlineStr">
        <is>
          <t xml:space="preserve">LA ADQUISICIÓN DE EQUIPO DE RAYOS X ARCO C CON FLUOROSCOPIA DIGITAL PARA EL HOSPITAL DIPRECA</t>
        </is>
      </c>
      <c r="C140" s="0">
        <v>1</v>
      </c>
      <c r="D140" s="4" t="inlineStr">
        <is>
          <t xml:space="preserve">Equipo de examen por rayos X</t>
        </is>
      </c>
      <c r="E140" s="4" t="inlineStr">
        <is>
          <t xml:space="preserve">Equipamiento para laboratorios / Instrumentos de medida y experimentación / Equipo de examen no invasivo</t>
        </is>
      </c>
      <c r="F140" s="0">
        <v>1.0</v>
      </c>
      <c r="G140" s="0" t="inlineStr">
        <is>
          <t xml:space="preserve">Unidad</t>
        </is>
      </c>
      <c r="H140" s="4" t="inlineStr">
        <is>
          <t xml:space="preserve">EQUIPO DE RAYOS X ARCO C, CON FLUOROSCOPIA DIGITAL.</t>
        </is>
      </c>
    </row>
    <row r="141">
      <c r="A141" s="0" t="inlineStr">
        <is>
          <t xml:space="preserve">1456836-4-LP26</t>
        </is>
      </c>
      <c r="B141" s="4" t="inlineStr">
        <is>
          <t xml:space="preserve">Software de Gestión de Personas y Remuneraciones</t>
        </is>
      </c>
      <c r="C141" s="0">
        <v>1</v>
      </c>
      <c r="D141" s="4" t="inlineStr">
        <is>
          <t xml:space="preserve">Software de gestión de recursos humanos</t>
        </is>
      </c>
      <c r="E141" s="4" t="inlineStr">
        <is>
          <t xml:space="preserve">Tecnologías de la información, telecomunicaciones y radiodifusión / Software / Software de gestión</t>
        </is>
      </c>
      <c r="F141" s="0">
        <v>1.0</v>
      </c>
      <c r="G141" s="0" t="inlineStr">
        <is>
          <t xml:space="preserve">Global</t>
        </is>
      </c>
      <c r="H141" s="4" t="inlineStr">
        <is>
          <t xml:space="preserve">Servicio de arriendo de Software de Gestión de Personas y Remuneraciones para el Servicio Local de Educación Pública Hanga Roa.</t>
        </is>
      </c>
    </row>
    <row r="142">
      <c r="A142" s="0" t="inlineStr">
        <is>
          <t xml:space="preserve">1456836-4-LP26</t>
        </is>
      </c>
      <c r="B142" s="4" t="inlineStr">
        <is>
          <t xml:space="preserve">Software de Gestión de Personas y Remuneraciones</t>
        </is>
      </c>
      <c r="C142" s="0">
        <v>2</v>
      </c>
      <c r="D142" s="4" t="inlineStr">
        <is>
          <t xml:space="preserve">Software de gestión de recursos humanos</t>
        </is>
      </c>
      <c r="E142" s="4" t="inlineStr">
        <is>
          <t xml:space="preserve">Tecnologías de la información, telecomunicaciones y radiodifusión / Software / Software de gestión</t>
        </is>
      </c>
      <c r="F142" s="0">
        <v>1.0</v>
      </c>
      <c r="G142" s="0" t="inlineStr">
        <is>
          <t xml:space="preserve">Global</t>
        </is>
      </c>
      <c r="H142" s="4" t="inlineStr">
        <is>
          <t xml:space="preserve">Servicio de arriendo de Software de Gestión de Personas y Remuneraciones para el Servicio Local de Educación Pública Hanga Roa.</t>
        </is>
      </c>
    </row>
    <row r="143">
      <c r="A143" s="0" t="inlineStr">
        <is>
          <t xml:space="preserve">1663-148-LE26</t>
        </is>
      </c>
      <c r="B143" s="4" t="inlineStr">
        <is>
          <t xml:space="preserve">CARROS INFORMATICOS CLINICOS</t>
        </is>
      </c>
      <c r="C143" s="0">
        <v>1</v>
      </c>
      <c r="D143" s="4" t="inlineStr">
        <is>
          <t xml:space="preserve">Estantes de montaje</t>
        </is>
      </c>
      <c r="E143" s="4" t="inlineStr">
        <is>
          <t xml:space="preserve">Artículos de fabricación y producción / Artículos de ferretería / Accesorios de Ferretería</t>
        </is>
      </c>
      <c r="F143" s="0">
        <v>7.0</v>
      </c>
      <c r="G143" s="0" t="inlineStr">
        <is>
          <t xml:space="preserve">Unidad</t>
        </is>
      </c>
      <c r="H143" s="4" t="inlineStr">
        <is>
          <t xml:space="preserve">CARROS INFORMATICOS CLINICOS PORTA NOTEBOOK (VER ESPECIFICACIONES TECNICAS EN BASES TECNICAS)</t>
        </is>
      </c>
    </row>
    <row r="144">
      <c r="A144" s="0" t="inlineStr">
        <is>
          <t xml:space="preserve">1013353-38-LE26</t>
        </is>
      </c>
      <c r="B144" s="4" t="inlineStr">
        <is>
          <t xml:space="preserve">Normalización y soporte de la infra. de Red Datos.</t>
        </is>
      </c>
      <c r="C144" s="0">
        <v>1</v>
      </c>
      <c r="D144" s="4" t="inlineStr">
        <is>
          <t xml:space="preserve">Soporte y mantenimiento de red de área local (LAN)</t>
        </is>
      </c>
      <c r="E144" s="4" t="inlineStr">
        <is>
          <t xml:space="preserve">Servicios basados en ingeniería, ciencias sociales y tecnología de la información / Servicios informáticos / Administración de sistemas</t>
        </is>
      </c>
      <c r="F144" s="0">
        <v>1.0</v>
      </c>
      <c r="G144" s="0" t="inlineStr">
        <is>
          <t xml:space="preserve">Unidad</t>
        </is>
      </c>
      <c r="H144"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t>
        </is>
      </c>
    </row>
    <row r="145">
      <c r="A145" s="0" t="inlineStr">
        <is>
          <t xml:space="preserve">612-37-LE26</t>
        </is>
      </c>
      <c r="B145" s="4" t="inlineStr">
        <is>
          <t xml:space="preserve">Adquisición registradores de datos con sensores</t>
        </is>
      </c>
      <c r="C145" s="0">
        <v>1</v>
      </c>
      <c r="D145" s="4" t="inlineStr">
        <is>
          <t xml:space="preserve">Dispositivo de sincronización de paquetes de datos de red</t>
        </is>
      </c>
      <c r="E145" s="4" t="inlineStr">
        <is>
          <t xml:space="preserve">Tecnologías de la información, telecomunicaciones y radiodifusión / Componentes para tecnología de la información, difusión o telecomunicaciones / Módulos, interfaces, procesadores y placas de sistema</t>
        </is>
      </c>
      <c r="F145" s="0">
        <v>42.0</v>
      </c>
      <c r="G145" s="0" t="inlineStr">
        <is>
          <t xml:space="preserve">Unidad</t>
        </is>
      </c>
      <c r="H145" s="4" t="inlineStr">
        <is>
          <t xml:space="preserve">registradores de datos y accesorios con curso de capacitación, sensores inteligentes de velocidad y dirección del viento, sensores de temperatura / humedad relativa y sensores inteligentes de temperatura (suelo)</t>
        </is>
      </c>
    </row>
    <row r="146">
      <c r="A146" s="0" t="inlineStr">
        <is>
          <t xml:space="preserve">5586-148-LE26</t>
        </is>
      </c>
      <c r="B146" s="4" t="inlineStr">
        <is>
          <t xml:space="preserve">JG ADQUISICIÓN E IMPLEMENTACIÓN DE SOFTWARE DE GESTIÓN CLÍNICA ADMINISTRATIVA FINANCIERA Y CONTACT CENTER CON INTELIGENCIA ARTIFICIAL</t>
        </is>
      </c>
      <c r="C146" s="0">
        <v>1</v>
      </c>
      <c r="D146" s="4" t="inlineStr">
        <is>
          <t xml:space="preserve">Software de servidor de aplicaciones</t>
        </is>
      </c>
      <c r="E146" s="4" t="inlineStr">
        <is>
          <t xml:space="preserve">Tecnologías de la información, telecomunicaciones y radiodifusión / Software / Software de aplicaciones de red</t>
        </is>
      </c>
      <c r="F146" s="0">
        <v>1.0</v>
      </c>
      <c r="G146" s="0" t="inlineStr">
        <is>
          <t xml:space="preserve">Global</t>
        </is>
      </c>
      <c r="H146" s="4" t="inlineStr">
        <is>
          <t xml:space="preserve">ADQUISICIÓN E IMPLEMENTACIÓN DE SOFTWARE DE GESTIÓN CLÍNICA, ADMINISTRATIVA, FINANCIERA Y CONTACT CENTER CON INTELIGENCIA ARTIFICIAL.</t>
        </is>
      </c>
    </row>
    <row r="147">
      <c r="A147" s="0" t="inlineStr">
        <is>
          <t xml:space="preserve">1810-5-L126</t>
        </is>
      </c>
      <c r="B147" s="4" t="inlineStr">
        <is>
          <t xml:space="preserve">SERVICIO DE PLAN DE DATOS PARA ENCUESTA ENE</t>
        </is>
      </c>
      <c r="C147" s="0">
        <v>1</v>
      </c>
      <c r="D147" s="4" t="inlineStr">
        <is>
          <t xml:space="preserve">Software de servicios de Internet por móvil</t>
        </is>
      </c>
      <c r="E147" s="4" t="inlineStr">
        <is>
          <t xml:space="preserve">Tecnologías de la información, telecomunicaciones y radiodifusión / Software / Software de intercambio de información</t>
        </is>
      </c>
      <c r="F147" s="0">
        <v>19.0</v>
      </c>
      <c r="G147" s="0" t="inlineStr">
        <is>
          <t xml:space="preserve">Unidad</t>
        </is>
      </c>
      <c r="H147" s="4" t="inlineStr">
        <is>
          <t xml:space="preserve">SERVICIO DE PLAN DE DATOS PARA ENCUESTA ENE</t>
        </is>
      </c>
    </row>
    <row r="148">
      <c r="A148" s="0" t="inlineStr">
        <is>
          <t xml:space="preserve">2080-309-LE26</t>
        </is>
      </c>
      <c r="B148" s="4" t="inlineStr">
        <is>
          <t xml:space="preserve">COMPRA ROLLOS PAPEL IMPRESORA TOTEM</t>
        </is>
      </c>
      <c r="C148" s="0">
        <v>1</v>
      </c>
      <c r="D148" s="4" t="inlineStr">
        <is>
          <t xml:space="preserve">Rollos para télex</t>
        </is>
      </c>
      <c r="E148" s="4" t="inlineStr">
        <is>
          <t xml:space="preserve">Productos de papel / Productos de papel / Papel de imprenta y escritura</t>
        </is>
      </c>
      <c r="F148" s="0">
        <v>21432.0</v>
      </c>
      <c r="G148" s="0" t="inlineStr">
        <is>
          <t xml:space="preserve">Unidad</t>
        </is>
      </c>
      <c r="H148" s="4" t="inlineStr">
        <is>
          <t xml:space="preserve">1OFI-0683 PAPEL IMPRESORA TOTEM. ROLLO TÉRMICO 80 X 40 MM, BLANCO, DIÁMETRO TUBO INTERNO 12 A 13 MM- MUESTRAS: 01 UNIDAD POR OFERENTE.ROLLOS21432</t>
        </is>
      </c>
    </row>
    <row r="149">
      <c r="A149" s="0" t="inlineStr">
        <is>
          <t xml:space="preserve">2981-270-LE26</t>
        </is>
      </c>
      <c r="B149" s="4" t="inlineStr">
        <is>
          <t xml:space="preserve">ADQUISICIÓN DE 100 GPS TRACKER CON PLATAFORMA INTEGRADA GEOESPACIAL Y DE TRAZABILIDAD Y SU RESPECTIVO EQUIPAMIENTO EJECUCIÓN DEL PLAN CALLE SIN VIOLENCIA</t>
        </is>
      </c>
      <c r="C149" s="0">
        <v>1</v>
      </c>
      <c r="D149" s="4" t="inlineStr">
        <is>
          <t xml:space="preserve">Receptores GPS</t>
        </is>
      </c>
      <c r="E149" s="4" t="inlineStr">
        <is>
          <t xml:space="preserve">Muebles, accesorios, electrodomésticos y productos electrónicos / Equipos y accesorios audiovisuales / Equipos audiovisuales y de electrónica menor</t>
        </is>
      </c>
      <c r="F149" s="0">
        <v>100.0</v>
      </c>
      <c r="G149" s="0" t="inlineStr">
        <is>
          <t xml:space="preserve">Unidad</t>
        </is>
      </c>
      <c r="H149"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150">
      <c r="A150" s="0" t="inlineStr">
        <is>
          <t xml:space="preserve">548874-77-LR26</t>
        </is>
      </c>
      <c r="B150" s="4" t="inlineStr">
        <is>
          <t xml:space="preserve">MANTENCIÓN Y MEJORA SISTEMA CIBERSEGURIDAD NCH ISO</t>
        </is>
      </c>
      <c r="C150" s="0">
        <v>1</v>
      </c>
      <c r="D150" s="4" t="inlineStr">
        <is>
          <t xml:space="preserve">Software de administración de red privada virtual (VPN) o de seguridad de red</t>
        </is>
      </c>
      <c r="E150" s="4" t="inlineStr">
        <is>
          <t xml:space="preserve">Tecnologías de la información, telecomunicaciones y radiodifusión / Software / Software de seguridad y protección</t>
        </is>
      </c>
      <c r="F150" s="0">
        <v>1.0</v>
      </c>
      <c r="G150" s="0" t="inlineStr">
        <is>
          <t xml:space="preserve">Global</t>
        </is>
      </c>
      <c r="H150" s="4" t="inlineStr">
        <is>
          <t xml:space="preserve">E1O2RT8 - SERVICIO DE MANTENCIÓN Y MEJORA DEL SISTEMA DE GESTIÓN DE SEGURIDAD DE LA INFORMACIÓN Y CIBERSEGURIDAD INSTITUCIONAL NCH ISO/ IEC 27001</t>
        </is>
      </c>
    </row>
    <row r="151">
      <c r="A151" s="0" t="inlineStr">
        <is>
          <t xml:space="preserve">875-10-LE26</t>
        </is>
      </c>
      <c r="B151" s="4" t="inlineStr">
        <is>
          <t xml:space="preserve">SERV. DE INFORMACIÓN DE REMUNERACIONES PLATAFORMA</t>
        </is>
      </c>
      <c r="C151" s="0">
        <v>1</v>
      </c>
      <c r="D151" s="4" t="inlineStr">
        <is>
          <t xml:space="preserve">Publicaciones periódicas</t>
        </is>
      </c>
      <c r="E151" s="4" t="inlineStr">
        <is>
          <t xml:space="preserve">Productos impresos y publicaciones / Medios impresos / Publicaciones impresas</t>
        </is>
      </c>
      <c r="F151" s="0">
        <v>1.0</v>
      </c>
      <c r="G151" s="0" t="inlineStr">
        <is>
          <t xml:space="preserve">Unidad</t>
        </is>
      </c>
      <c r="H151" s="4" t="inlineStr">
        <is>
          <t xml:space="preserve">SERV. DE INFORMACIÓN DE REMUNERACIONES PLATAFORMA</t>
        </is>
      </c>
    </row>
    <row r="152">
      <c r="A152" s="0" t="inlineStr">
        <is>
          <t xml:space="preserve">425-67-LE26</t>
        </is>
      </c>
      <c r="B152" s="4" t="inlineStr">
        <is>
          <t xml:space="preserve">Software de seguridad extendida y Ciberdefensa</t>
        </is>
      </c>
      <c r="C152" s="0">
        <v>1</v>
      </c>
      <c r="D152" s="4" t="inlineStr">
        <is>
          <t xml:space="preserve">Software de equipos de red privada virtual (VPN) o de seguridad de red</t>
        </is>
      </c>
      <c r="E152" s="4" t="inlineStr">
        <is>
          <t xml:space="preserve">Tecnologías de la información, telecomunicaciones y radiodifusión / Software / Software de seguridad y protección</t>
        </is>
      </c>
      <c r="F152" s="0">
        <v>1.0</v>
      </c>
      <c r="G152" s="0" t="inlineStr">
        <is>
          <t xml:space="preserve">Unidad</t>
        </is>
      </c>
      <c r="H152" s="4" t="inlineStr">
        <is>
          <t xml:space="preserve">Software de seguridad extendida y protección de cadena de suministros para la Ciberdefensa de Poder Judicial Ingresar valor total neto según formulario económico N°1</t>
        </is>
      </c>
    </row>
    <row r="153">
      <c r="A153" s="0" t="inlineStr">
        <is>
          <t xml:space="preserve">1051173-13-LP26</t>
        </is>
      </c>
      <c r="B153" s="4" t="inlineStr">
        <is>
          <t xml:space="preserve">SERVICIO DE INFRAESTRUCTURA EN LA NUBE</t>
        </is>
      </c>
      <c r="C153" s="0">
        <v>1</v>
      </c>
      <c r="D153" s="4" t="inlineStr">
        <is>
          <t xml:space="preserve">Centro de servicios de datos</t>
        </is>
      </c>
      <c r="E153" s="4" t="inlineStr">
        <is>
          <t xml:space="preserve">Servicios basados en ingeniería, ciencias sociales y tecnología de la información / Servicios informáticos / Servicios de datos</t>
        </is>
      </c>
      <c r="F153" s="0">
        <v>1.0</v>
      </c>
      <c r="G153" s="0" t="inlineStr">
        <is>
          <t xml:space="preserve">Unidad no definida</t>
        </is>
      </c>
      <c r="H153" s="4" t="inlineStr">
        <is>
          <t xml:space="preserve">Servicio de infraestructura en la nube para el Ministerio Secretaría General de la Presidencia</t>
        </is>
      </c>
    </row>
    <row r="154">
      <c r="A154" s="0" t="inlineStr">
        <is>
          <t xml:space="preserve">4024-29-LE26</t>
        </is>
      </c>
      <c r="B154" s="4" t="inlineStr">
        <is>
          <t xml:space="preserve">Modernización del Gimnasio Municipal Héctor Aqueveque Aránguiz”</t>
        </is>
      </c>
      <c r="C154" s="0">
        <v>1</v>
      </c>
      <c r="D154" s="4" t="inlineStr">
        <is>
          <t xml:space="preserve">Asfalto</t>
        </is>
      </c>
      <c r="E154" s="4" t="inlineStr">
        <is>
          <t xml:space="preserve">Artículos para estructuras, obras y construcciones / Pavimento para carreteras y caminos / Asfaltos</t>
        </is>
      </c>
      <c r="F154" s="0">
        <v>1.0</v>
      </c>
      <c r="G154" s="0" t="inlineStr">
        <is>
          <t xml:space="preserve">Unidad</t>
        </is>
      </c>
      <c r="H154" s="4" t="inlineStr">
        <is>
          <t xml:space="preserve">La Municipalidad de San Carlos llama a presentar ofertas en la licitación pública denominada MODERNIZACIÓN DEL
GIMNASIO MUNICIPAL HÉCTOR AQUEVEQUE ARÁNGUIZ</t>
        </is>
      </c>
    </row>
    <row r="155">
      <c r="A155" s="0" t="inlineStr">
        <is>
          <t xml:space="preserve">1562-63-LP26</t>
        </is>
      </c>
      <c r="B155" s="4" t="inlineStr">
        <is>
          <t xml:space="preserve">ELABORACIÓN DE LA PLATAFORMA PÚBLICA MINERA</t>
        </is>
      </c>
      <c r="C155" s="0">
        <v>1</v>
      </c>
      <c r="D155" s="4" t="inlineStr">
        <is>
          <t xml:space="preserve">Software de desarrollo de plataforma Web</t>
        </is>
      </c>
      <c r="E155" s="4" t="inlineStr">
        <is>
          <t xml:space="preserve">Tecnologías de la información, telecomunicaciones y radiodifusión / Software / Programas de desarrollo</t>
        </is>
      </c>
      <c r="F155" s="0">
        <v>1.0</v>
      </c>
      <c r="G155" s="0" t="inlineStr">
        <is>
          <t xml:space="preserve">Global</t>
        </is>
      </c>
      <c r="H155" s="4" t="inlineStr">
        <is>
          <t xml:space="preserve">Para la contratación del servicio de especializado de elaboración de la Plataforma Pública Minera, de Sernageomin</t>
        </is>
      </c>
    </row>
    <row r="156">
      <c r="A156" s="0" t="inlineStr">
        <is>
          <t xml:space="preserve">4112-27-LE26</t>
        </is>
      </c>
      <c r="B156" s="4" t="inlineStr">
        <is>
          <t xml:space="preserve">“ADQUISICIÓN DE LICENCIAS DE SOFTWARE”</t>
        </is>
      </c>
      <c r="C156" s="0">
        <v>1</v>
      </c>
      <c r="D156" s="4" t="inlineStr">
        <is>
          <t xml:space="preserve">Diseño por computador</t>
        </is>
      </c>
      <c r="E156" s="4" t="inlineStr">
        <is>
          <t xml:space="preserve">Servicios editoriales, de diseño, publicidad, gráficos y artistas / Diseño gráfico / Diseño</t>
        </is>
      </c>
      <c r="F156" s="0">
        <v>1.0</v>
      </c>
      <c r="G156" s="0" t="inlineStr">
        <is>
          <t xml:space="preserve">Unidad</t>
        </is>
      </c>
      <c r="H156" s="4" t="inlineStr">
        <is>
          <t xml:space="preserve">LÍNEA 1: PROGRAMAS DE ARQUITECTURA, DISEÑO Y EDICIÓN</t>
        </is>
      </c>
    </row>
    <row r="157">
      <c r="A157" s="0" t="inlineStr">
        <is>
          <t xml:space="preserve">4112-27-LE26</t>
        </is>
      </c>
      <c r="B157" s="4" t="inlineStr">
        <is>
          <t xml:space="preserve">“ADQUISICIÓN DE LICENCIAS DE SOFTWARE”</t>
        </is>
      </c>
      <c r="C157" s="0">
        <v>2</v>
      </c>
      <c r="D157" s="4" t="inlineStr">
        <is>
          <t xml:space="preserve">Software de gestión de licencias</t>
        </is>
      </c>
      <c r="E157" s="4" t="inlineStr">
        <is>
          <t xml:space="preserve">Tecnologías de la información, telecomunicaciones y radiodifusión / Software / Software de gestión</t>
        </is>
      </c>
      <c r="F157" s="0">
        <v>1.0</v>
      </c>
      <c r="G157" s="0" t="inlineStr">
        <is>
          <t xml:space="preserve">Unidad</t>
        </is>
      </c>
      <c r="H157" s="4" t="inlineStr">
        <is>
          <t xml:space="preserve">LÍNEA 2: PROGRAMAS OFIMÁTICOS</t>
        </is>
      </c>
    </row>
    <row r="158">
      <c r="A158" s="0" t="inlineStr">
        <is>
          <t xml:space="preserve">4112-27-LE26</t>
        </is>
      </c>
      <c r="B158" s="4" t="inlineStr">
        <is>
          <t xml:space="preserve">“ADQUISICIÓN DE LICENCIAS DE SOFTWARE”</t>
        </is>
      </c>
      <c r="C158" s="0">
        <v>3</v>
      </c>
      <c r="D158" s="4" t="inlineStr">
        <is>
          <t xml:space="preserve">Software de video conferencia</t>
        </is>
      </c>
      <c r="E158" s="4" t="inlineStr">
        <is>
          <t xml:space="preserve">Tecnologías de la información, telecomunicaciones y radiodifusión / Software / Software de intercambio de información</t>
        </is>
      </c>
      <c r="F158" s="0">
        <v>1.0</v>
      </c>
      <c r="G158" s="0" t="inlineStr">
        <is>
          <t xml:space="preserve">Unidad</t>
        </is>
      </c>
      <c r="H158" s="4" t="inlineStr">
        <is>
          <t xml:space="preserve">LÍNEA 3: PROGRAMAS DE TRANSMISIÓN EN VIVO</t>
        </is>
      </c>
    </row>
    <row r="159">
      <c r="A159" s="0" t="inlineStr">
        <is>
          <t xml:space="preserve">1002-84-LP26</t>
        </is>
      </c>
      <c r="B159" s="4" t="inlineStr">
        <is>
          <t xml:space="preserve">ADQUISICION DE TABLERO DE MADERA PRESERVADA CON HERRAJE</t>
        </is>
      </c>
      <c r="C159" s="0">
        <v>1</v>
      </c>
      <c r="D159" s="4" t="inlineStr">
        <is>
          <t xml:space="preserve">Vigas de madera</t>
        </is>
      </c>
      <c r="E159" s="4" t="inlineStr">
        <is>
          <t xml:space="preserve">Artículos para estructuras, obras y construcciones / Materiales estructurales básicos / Productos estructurales</t>
        </is>
      </c>
      <c r="F159" s="0">
        <v>1.0</v>
      </c>
      <c r="G159" s="0" t="inlineStr">
        <is>
          <t xml:space="preserve">Unidad</t>
        </is>
      </c>
      <c r="H159" s="4" t="inlineStr">
        <is>
          <t xml:space="preserve">adquisición de un tablero de madera preservada, con su herraje segun solicitado en bases tecnicas</t>
        </is>
      </c>
    </row>
    <row r="160">
      <c r="A160" s="0" t="inlineStr">
        <is>
          <t xml:space="preserve">5394-22-LE26</t>
        </is>
      </c>
      <c r="B160" s="4" t="inlineStr">
        <is>
          <t xml:space="preserve">SERVICIO DE CONSULTORÍA DE CIBERSEGURIDAD UMAG</t>
        </is>
      </c>
      <c r="C160" s="0">
        <v>1</v>
      </c>
      <c r="D160" s="4" t="inlineStr">
        <is>
          <t xml:space="preserve">Asesorías Informáticas</t>
        </is>
      </c>
      <c r="E160" s="4" t="inlineStr">
        <is>
          <t xml:space="preserve">Servicios profesionales, administrativos y consultorías de gestión empresarial / Consultorías o asesorías en gestión empresarial / Servicios de consultoría en gestión de empresas</t>
        </is>
      </c>
      <c r="F160" s="0">
        <v>1.0</v>
      </c>
      <c r="G160" s="0" t="inlineStr">
        <is>
          <t xml:space="preserve">Global</t>
        </is>
      </c>
      <c r="H160" s="4" t="inlineStr">
        <is>
          <t xml:space="preserve">LINEA GLOBAL: CONTRATACIÓN DE SERVICIOS DE CONSULTORÍA DE CIBERSEGURIDAD PARA EL FORTALECIMIENTO DE LA GESTIÓN ADMINISTRATIVA Y TRANSFORMACION DIGITAL INSTITUCIONAL DE LA UNIVERSIDAD DE MAGALLANES.</t>
        </is>
      </c>
    </row>
    <row r="161">
      <c r="A161" s="0" t="inlineStr">
        <is>
          <t xml:space="preserve">1605-36-LR26</t>
        </is>
      </c>
      <c r="B161" s="4" t="inlineStr">
        <is>
          <t xml:space="preserve">LR-4252 Servicio de Red Datos WAN</t>
        </is>
      </c>
      <c r="C161" s="0">
        <v>1</v>
      </c>
      <c r="D161" s="4" t="inlineStr">
        <is>
          <t xml:space="preserve">Proveedores de servicio de Internet (ISP)</t>
        </is>
      </c>
      <c r="E161" s="4" t="inlineStr">
        <is>
          <t xml:space="preserve">Servicios basados en ingeniería, ciencias sociales y tecnología de la información / Servicios informáticos / Servicios para internet</t>
        </is>
      </c>
      <c r="F161" s="0">
        <v>72.0</v>
      </c>
      <c r="G161" s="0" t="inlineStr">
        <is>
          <t xml:space="preserve">Mes</t>
        </is>
      </c>
      <c r="H161" s="4" t="inlineStr">
        <is>
          <t xml:space="preserve">1. Servicio de conectividad de datos.
2. Infraestructura tipo SD-WAN y LAN
3. Servicio de conectividad inalámbrica Wifi.
4. Servicio de telefonía IP institucional.</t>
        </is>
      </c>
    </row>
    <row r="162">
      <c r="A162" s="0" t="inlineStr">
        <is>
          <t xml:space="preserve">1605-36-LR26</t>
        </is>
      </c>
      <c r="B162" s="4" t="inlineStr">
        <is>
          <t xml:space="preserve">LR-4252 Servicio de Red Datos WAN</t>
        </is>
      </c>
      <c r="C162" s="0">
        <v>2</v>
      </c>
      <c r="D162" s="4" t="inlineStr">
        <is>
          <t xml:space="preserve">Proveedores de servicio de Internet (ISP)</t>
        </is>
      </c>
      <c r="E162" s="4" t="inlineStr">
        <is>
          <t xml:space="preserve">Servicios basados en ingeniería, ciencias sociales y tecnología de la información / Servicios informáticos / Servicios para internet</t>
        </is>
      </c>
      <c r="F162" s="0">
        <v>72.0</v>
      </c>
      <c r="G162" s="0" t="inlineStr">
        <is>
          <t xml:space="preserve">Mes</t>
        </is>
      </c>
      <c r="H162" s="4" t="inlineStr">
        <is>
          <t xml:space="preserve">5. Monitoreo y gestión de las componentes 1 a 4.</t>
        </is>
      </c>
    </row>
    <row r="163">
      <c r="A163" s="0" t="inlineStr">
        <is>
          <t xml:space="preserve">1051173-14-LE26</t>
        </is>
      </c>
      <c r="B163" s="4" t="inlineStr">
        <is>
          <t xml:space="preserve">SERVICIO DE ENLACE DE DATOS DE RESPALDO</t>
        </is>
      </c>
      <c r="C163" s="0">
        <v>1</v>
      </c>
      <c r="D163" s="4" t="inlineStr">
        <is>
          <t xml:space="preserve">Unidades de servicio de datos o canales de red</t>
        </is>
      </c>
      <c r="E163" s="4" t="inlineStr">
        <is>
          <t xml:space="preserve">Tecnologías de la información, telecomunicaciones y radiodifusión / Equipos, plataformas y accesorios de redes multimedia, voz y datos / Equipos de servicio de red</t>
        </is>
      </c>
      <c r="F163" s="0">
        <v>1.0</v>
      </c>
      <c r="G163" s="0" t="inlineStr">
        <is>
          <t xml:space="preserve">Unidad no definida</t>
        </is>
      </c>
      <c r="H163" s="4" t="inlineStr">
        <is>
          <t xml:space="preserve">SERVICIO DE ENLACE DE DATOS DE RESPALDO PARA EL MINISTERIO SECRETARÍA GENERAL DE LA PRESIDENCIA</t>
        </is>
      </c>
    </row>
    <row r="164">
      <c r="A164" s="0" t="inlineStr">
        <is>
          <t xml:space="preserve">976-15-O126</t>
        </is>
      </c>
      <c r="B164" s="4" t="inlineStr">
        <is>
          <t xml:space="preserve">Ampliación Plataformas Comercial y General Ad. El Loa</t>
        </is>
      </c>
      <c r="C164" s="0">
        <v>1</v>
      </c>
      <c r="D164" s="4" t="inlineStr">
        <is>
          <t xml:space="preserve">Licitación Pública de Obra</t>
        </is>
      </c>
      <c r="E164" s="4" t="inlineStr">
        <is>
          <t xml:space="preserve">Consultoria / Consultoria / Planificación y Factibilidad</t>
        </is>
      </c>
      <c r="F164" s="0">
        <v>1.0</v>
      </c>
      <c r="G164" s="0" t="inlineStr">
        <is>
          <t xml:space="preserve">Unidad</t>
        </is>
      </c>
      <c r="H164" s="4" t="inlineStr">
        <is>
          <t xml:space="preserve">Licitación Pública de Obra</t>
        </is>
      </c>
    </row>
    <row r="165">
      <c r="A165" s="0" t="inlineStr">
        <is>
          <t xml:space="preserve">2239-2-LR26</t>
        </is>
      </c>
      <c r="B165" s="4" t="inlineStr">
        <is>
          <t xml:space="preserve">Convenio Marco Desarrollo de software</t>
        </is>
      </c>
      <c r="C165" s="0">
        <v>1</v>
      </c>
      <c r="D165" s="4" t="inlineStr">
        <is>
          <t xml:space="preserve">Desarrolladores de software</t>
        </is>
      </c>
      <c r="E165" s="4" t="inlineStr">
        <is>
          <t xml:space="preserve">Servicios profesionales, administrativos y consultorías de gestión empresarial / Servicios de recursos humanos / Contratación de personal</t>
        </is>
      </c>
      <c r="F165" s="0">
        <v>1.0</v>
      </c>
      <c r="G165" s="0" t="inlineStr">
        <is>
          <t xml:space="preserve">Unidad</t>
        </is>
      </c>
      <c r="H165" s="4" t="inlineStr">
        <is>
          <t xml:space="preserve">Convenio Marco para la adquisición de los Servicios de Desarrollo y Mantención de Software, Servicios Profesionales TI y Cloud Computing</t>
        </is>
      </c>
    </row>
    <row r="166">
      <c r="A166" s="0" t="inlineStr">
        <is>
          <t xml:space="preserve">1020-38-LP26</t>
        </is>
      </c>
      <c r="B166" s="4" t="inlineStr">
        <is>
          <t xml:space="preserve">Adquisición de Plataforma Next Generation Firewall</t>
        </is>
      </c>
      <c r="C166" s="0">
        <v>1</v>
      </c>
      <c r="D166" s="4" t="inlineStr">
        <is>
          <t xml:space="preserve">Equipo de seguridad de red de firewall</t>
        </is>
      </c>
      <c r="E166" s="4" t="inlineStr">
        <is>
          <t xml:space="preserve">Tecnologías de la información, telecomunicaciones y radiodifusión / Equipos, plataformas y accesorios de redes multimedia, voz y datos / Equipos de seguridad de red</t>
        </is>
      </c>
      <c r="F166" s="0">
        <v>2.0</v>
      </c>
      <c r="G166" s="0" t="inlineStr">
        <is>
          <t xml:space="preserve">Unidad</t>
        </is>
      </c>
      <c r="H166" s="4" t="inlineStr">
        <is>
          <t xml:space="preserve">Equipos.</t>
        </is>
      </c>
    </row>
    <row r="167">
      <c r="A167" s="0" t="inlineStr">
        <is>
          <t xml:space="preserve">1020-38-LP26</t>
        </is>
      </c>
      <c r="B167" s="4" t="inlineStr">
        <is>
          <t xml:space="preserve">Adquisición de Plataforma Next Generation Firewall</t>
        </is>
      </c>
      <c r="C167" s="0">
        <v>2</v>
      </c>
      <c r="D167" s="4" t="inlineStr">
        <is>
          <t xml:space="preserve">Software de vigilancia de redes</t>
        </is>
      </c>
      <c r="E167" s="4" t="inlineStr">
        <is>
          <t xml:space="preserve">Tecnologías de la información, telecomunicaciones y radiodifusión / Software / Software de administración de redes</t>
        </is>
      </c>
      <c r="F167" s="0">
        <v>1.0</v>
      </c>
      <c r="G167" s="0" t="inlineStr">
        <is>
          <t xml:space="preserve">Unidad</t>
        </is>
      </c>
      <c r="H167" s="4" t="inlineStr">
        <is>
          <t xml:space="preserve">Licenciamiento de software para la Plataforma Next Generation Firewall (NGFW)</t>
        </is>
      </c>
    </row>
    <row r="168">
      <c r="A168" s="0" t="inlineStr">
        <is>
          <t xml:space="preserve">3928-62-LE26</t>
        </is>
      </c>
      <c r="B168" s="4" t="inlineStr">
        <is>
          <t xml:space="preserve">ADQUISICION DE SOFTWARE Y EQUIPAMIENTO TECNOLOGICO PARA ESCUELA DE CAHUIL</t>
        </is>
      </c>
      <c r="C168" s="0">
        <v>1</v>
      </c>
      <c r="D168" s="4" t="inlineStr">
        <is>
          <t xml:space="preserve">Contadores de tabletas</t>
        </is>
      </c>
      <c r="E168" s="4" t="inlineStr">
        <is>
          <t xml:space="preserve">Maquinaria para fabricación y transformación industrial / Maquinaria y suministros de procesos industriales / Maquinaria para la industria farmacéutica</t>
        </is>
      </c>
      <c r="F168" s="0">
        <v>1.0</v>
      </c>
      <c r="G168" s="0" t="inlineStr">
        <is>
          <t xml:space="preserve">Global</t>
        </is>
      </c>
      <c r="H168" s="4" t="inlineStr">
        <is>
          <t xml:space="preserve">MALETA CONTENEDORA PARA TABLET, LINEA 2.
VER DETALLE EN BASES ADMINISTATIVAS Y ESPECIFICACIONES TECNICAS ADJUNTAS</t>
        </is>
      </c>
    </row>
    <row r="169">
      <c r="A169" s="0" t="inlineStr">
        <is>
          <t xml:space="preserve">3928-62-LE26</t>
        </is>
      </c>
      <c r="B169" s="4" t="inlineStr">
        <is>
          <t xml:space="preserve">ADQUISICION DE SOFTWARE Y EQUIPAMIENTO TECNOLOGICO PARA ESCUELA DE CAHUIL</t>
        </is>
      </c>
      <c r="C169" s="0">
        <v>2</v>
      </c>
      <c r="D169" s="4" t="inlineStr">
        <is>
          <t xml:space="preserve">Software doméstico</t>
        </is>
      </c>
      <c r="E169" s="4" t="inlineStr">
        <is>
          <t xml:space="preserve">Tecnologías de la información, telecomunicaciones y radiodifusión / Software / Software de ocio o juegos de computador</t>
        </is>
      </c>
      <c r="F169" s="0">
        <v>1.0</v>
      </c>
      <c r="G169" s="0" t="inlineStr">
        <is>
          <t xml:space="preserve">Global</t>
        </is>
      </c>
      <c r="H169" s="4" t="inlineStr">
        <is>
          <t xml:space="preserve">SOFTWARE DE ADMINISTRACION Y CONTROL PARA TABLETS CON OS ANDROID, LICENCIA PERPETUA, CLASDRIVE O SIMILAR. LINEA 1.
REVISAR DETALLES TECNICOS EN LAS ADMINISTRATIVAS Y ESPECIFICACIONALES TECNICAS ADJUNTAS</t>
        </is>
      </c>
    </row>
    <row r="170">
      <c r="A170" s="0" t="inlineStr">
        <is>
          <t xml:space="preserve">610-19-LE26</t>
        </is>
      </c>
      <c r="B170" s="4" t="inlineStr">
        <is>
          <t xml:space="preserve">Base de datos Plexos del Sistema Eléctrico Nacional</t>
        </is>
      </c>
      <c r="C170" s="0">
        <v>1</v>
      </c>
      <c r="D170" s="4" t="inlineStr">
        <is>
          <t xml:space="preserve">Ingeniería eléctrica</t>
        </is>
      </c>
      <c r="E170" s="4" t="inlineStr">
        <is>
          <t xml:space="preserve">Servicios basados en ingeniería, ciencias sociales y tecnología de la información / Servicios profesionales de ingeniería / Ingeniería eléctrica y electrónica</t>
        </is>
      </c>
      <c r="F170" s="0">
        <v>1.0</v>
      </c>
      <c r="G170" s="0" t="inlineStr">
        <is>
          <t xml:space="preserve">Unidad</t>
        </is>
      </c>
      <c r="H170" s="4" t="inlineStr">
        <is>
          <t xml:space="preserve">Base de datos Plexos del Sistema Eléctrico Nacional.</t>
        </is>
      </c>
    </row>
    <row r="171">
      <c r="A171" s="0" t="inlineStr">
        <is>
          <t xml:space="preserve">1020-40-LP26</t>
        </is>
      </c>
      <c r="B171" s="4" t="inlineStr">
        <is>
          <t xml:space="preserve">Serv.Cloud Amazon Web Services AWS o Equivalente</t>
        </is>
      </c>
      <c r="C171" s="0">
        <v>1</v>
      </c>
      <c r="D171" s="4" t="inlineStr">
        <is>
          <t xml:space="preserve">Software del sistema de administración de bases de datos</t>
        </is>
      </c>
      <c r="E171" s="4" t="inlineStr">
        <is>
          <t xml:space="preserve">Tecnologías de la información, telecomunicaciones y radiodifusión / Software / Software de consultas y gestión de datos</t>
        </is>
      </c>
      <c r="F171" s="0">
        <v>1.0</v>
      </c>
      <c r="G171" s="0" t="inlineStr">
        <is>
          <t xml:space="preserve">Unidad</t>
        </is>
      </c>
      <c r="H171" s="4" t="inlineStr">
        <is>
          <t xml:space="preserve">PRECIO TOTAL NETO OFERTADO (SIN IVA), según Formulario N°1 "Oferta Económica" (Incluye los señalado en el numeral 5.1.1 de las Bases Administrativas, en archivo adjunto).</t>
        </is>
      </c>
    </row>
    <row r="172">
      <c r="A172" s="0" t="inlineStr">
        <is>
          <t xml:space="preserve">2445-124-LP26</t>
        </is>
      </c>
      <c r="B172" s="4" t="inlineStr">
        <is>
          <t xml:space="preserve">SERVICIO DE TELEFONIA FIJA IP Y PLATAFORMA IVR</t>
        </is>
      </c>
      <c r="C172" s="0">
        <v>1</v>
      </c>
      <c r="D172" s="4" t="inlineStr">
        <is>
          <t xml:space="preserve">Mano de obra temporal</t>
        </is>
      </c>
      <c r="E172" s="4" t="inlineStr">
        <is>
          <t xml:space="preserve">Servicios profesionales, administrativos y consultorías de gestión empresarial / Servicios de recursos humanos / Servicios de personal temporal</t>
        </is>
      </c>
      <c r="F172" s="0">
        <v>1.0</v>
      </c>
      <c r="G172" s="0" t="inlineStr">
        <is>
          <t xml:space="preserve">Unidad</t>
        </is>
      </c>
      <c r="H172" s="4" t="inlineStr">
        <is>
          <t xml:space="preserve">SERVICIO DE TELEFONIA FIJA IP Y PLATAFORMA IVR PARA EL DEPTO DE SALUD POR 48 MESES</t>
        </is>
      </c>
    </row>
    <row r="173">
      <c r="A173" s="0" t="inlineStr">
        <is>
          <t xml:space="preserve">29-81-LP26</t>
        </is>
      </c>
      <c r="B173" s="4" t="inlineStr">
        <is>
          <t xml:space="preserve">AGF - PLATAFORMA INGLES</t>
        </is>
      </c>
      <c r="C173" s="0">
        <v>1</v>
      </c>
      <c r="D173" s="4" t="inlineStr">
        <is>
          <t xml:space="preserve">Enseñanza conversacional de idiomas extranjeros</t>
        </is>
      </c>
      <c r="E173" s="4" t="inlineStr">
        <is>
          <t xml:space="preserve">Educación, formación, entrenamiento y capacitación / Sistemas educativos complementarios / Escuelas de idiomas</t>
        </is>
      </c>
      <c r="F173" s="0">
        <v>1.0</v>
      </c>
      <c r="G173" s="0" t="inlineStr">
        <is>
          <t xml:space="preserve">Global</t>
        </is>
      </c>
      <c r="H173" s="4" t="inlineStr">
        <is>
          <t xml:space="preserve">CONTRATACIÓN DE SERVICIO DE PLATAFORMA INTEGRAL DE CAPACITACIÓN EN IDIOMA INGLÉS (MODALIDAD E-LEARNING CON TUTORIA)</t>
        </is>
      </c>
    </row>
    <row r="174">
      <c r="A174" s="0" t="inlineStr">
        <is>
          <t xml:space="preserve">3447-145-LR26</t>
        </is>
      </c>
      <c r="B174" s="4" t="inlineStr">
        <is>
          <t xml:space="preserve">Adquisición e Implementación Plataforma Integral</t>
        </is>
      </c>
      <c r="C174" s="0">
        <v>1</v>
      </c>
      <c r="D174" s="4" t="inlineStr">
        <is>
          <t xml:space="preserve">Servicios de programación de sistemas operativos</t>
        </is>
      </c>
      <c r="E174" s="4" t="inlineStr">
        <is>
          <t xml:space="preserve">Servicios basados en ingeniería, ciencias sociales y tecnología de la información / Servicios informáticos / Ingeniería en computación e informática</t>
        </is>
      </c>
      <c r="F174" s="0">
        <v>1.0</v>
      </c>
      <c r="G174" s="0" t="inlineStr">
        <is>
          <t xml:space="preserve">Global</t>
        </is>
      </c>
      <c r="H174" s="4" t="inlineStr">
        <is>
          <t xml:space="preserve">Adquisición e Implementación de Plataforma Integral de Gestión Municipal y Servicios Traspasados para la Municipalidad de Alto Hospicio. (INGRESAR VALOR TOTAL NETO)</t>
        </is>
      </c>
    </row>
    <row r="175">
      <c r="A175" s="0" t="inlineStr">
        <is>
          <t xml:space="preserve">5482-101-LR26</t>
        </is>
      </c>
      <c r="B175" s="4" t="inlineStr">
        <is>
          <t xml:space="preserve">Plataforma IA para video y seguridad urbana</t>
        </is>
      </c>
      <c r="C175" s="0">
        <v>1</v>
      </c>
      <c r="D175" s="4" t="inlineStr">
        <is>
          <t xml:space="preserve">Software de desarrollo de plataforma Web</t>
        </is>
      </c>
      <c r="E175" s="4" t="inlineStr">
        <is>
          <t xml:space="preserve">Tecnologías de la información, telecomunicaciones y radiodifusión / Software / Programas de desarrollo</t>
        </is>
      </c>
      <c r="F175" s="0">
        <v>1.0</v>
      </c>
      <c r="G175" s="0" t="inlineStr">
        <is>
          <t xml:space="preserve">Global</t>
        </is>
      </c>
      <c r="H175" s="4" t="inlineStr">
        <is>
          <t xml:space="preserve">Setup o configuración inicial del servicio e instalación</t>
        </is>
      </c>
    </row>
    <row r="176">
      <c r="A176" s="0" t="inlineStr">
        <is>
          <t xml:space="preserve">5482-101-LR26</t>
        </is>
      </c>
      <c r="B176" s="4" t="inlineStr">
        <is>
          <t xml:space="preserve">Plataforma IA para video y seguridad urbana</t>
        </is>
      </c>
      <c r="C176" s="0">
        <v>2</v>
      </c>
      <c r="D176" s="4" t="inlineStr">
        <is>
          <t xml:space="preserve">Software de desarrollo de plataforma Web</t>
        </is>
      </c>
      <c r="E176" s="4" t="inlineStr">
        <is>
          <t xml:space="preserve">Tecnologías de la información, telecomunicaciones y radiodifusión / Software / Programas de desarrollo</t>
        </is>
      </c>
      <c r="F176" s="0">
        <v>26.0</v>
      </c>
      <c r="G176" s="0" t="inlineStr">
        <is>
          <t xml:space="preserve">Mes</t>
        </is>
      </c>
      <c r="H176" s="4" t="inlineStr">
        <is>
          <t xml:space="preserve">Servicio mensual (Operación)</t>
        </is>
      </c>
    </row>
    <row r="177">
      <c r="A177" s="0" t="inlineStr">
        <is>
          <t xml:space="preserve">4449-30-LP26</t>
        </is>
      </c>
      <c r="B177" s="4" t="inlineStr">
        <is>
          <t xml:space="preserve">Adquisición de libros a perpetuida para BP Digital</t>
        </is>
      </c>
      <c r="C177" s="0">
        <v>1</v>
      </c>
      <c r="D177" s="4" t="inlineStr">
        <is>
          <t xml:space="preserve">Libros en casetes o CD</t>
        </is>
      </c>
      <c r="E177" s="4" t="inlineStr">
        <is>
          <t xml:space="preserve">Productos impresos y publicaciones / Material electrónico de referencia / Publicaciones electrónicas y música</t>
        </is>
      </c>
      <c r="F177" s="0">
        <v>3.0</v>
      </c>
      <c r="G177" s="0" t="inlineStr">
        <is>
          <t xml:space="preserve">Unidad</t>
        </is>
      </c>
      <c r="H177" s="4" t="inlineStr">
        <is>
          <t xml:space="preserve">Nazi Literature in the AmericasRoberto Bolaño 9781250450661</t>
        </is>
      </c>
    </row>
    <row r="178">
      <c r="A178" s="0" t="inlineStr">
        <is>
          <t xml:space="preserve">4449-30-LP26</t>
        </is>
      </c>
      <c r="B178" s="4" t="inlineStr">
        <is>
          <t xml:space="preserve">Adquisición de libros a perpetuida para BP Digital</t>
        </is>
      </c>
      <c r="C178" s="0">
        <v>2</v>
      </c>
      <c r="D178" s="4" t="inlineStr">
        <is>
          <t xml:space="preserve">Libros en casetes o CD</t>
        </is>
      </c>
      <c r="E178" s="4" t="inlineStr">
        <is>
          <t xml:space="preserve">Productos impresos y publicaciones / Material electrónico de referencia / Publicaciones electrónicas y música</t>
        </is>
      </c>
      <c r="F178" s="0">
        <v>3.0</v>
      </c>
      <c r="G178" s="0" t="inlineStr">
        <is>
          <t xml:space="preserve">Unidad</t>
        </is>
      </c>
      <c r="H178" s="4" t="inlineStr">
        <is>
          <t xml:space="preserve">Distant StarRoberto BolañoMacmillan Audio9781250450630</t>
        </is>
      </c>
    </row>
    <row r="179">
      <c r="A179" s="0" t="inlineStr">
        <is>
          <t xml:space="preserve">4449-30-LP26</t>
        </is>
      </c>
      <c r="B179" s="4" t="inlineStr">
        <is>
          <t xml:space="preserve">Adquisición de libros a perpetuida para BP Digital</t>
        </is>
      </c>
      <c r="C179" s="0">
        <v>3</v>
      </c>
      <c r="D179" s="4" t="inlineStr">
        <is>
          <t xml:space="preserve">Libros en casetes o CD</t>
        </is>
      </c>
      <c r="E179" s="4" t="inlineStr">
        <is>
          <t xml:space="preserve">Productos impresos y publicaciones / Material electrónico de referencia / Publicaciones electrónicas y música</t>
        </is>
      </c>
      <c r="F179" s="0">
        <v>3.0</v>
      </c>
      <c r="G179" s="0" t="inlineStr">
        <is>
          <t xml:space="preserve">Unidad</t>
        </is>
      </c>
      <c r="H179" s="4" t="inlineStr">
        <is>
          <t xml:space="preserve">El amor en los tiempos del cóleraPenguin Random House Grupo Editorial9788439737919</t>
        </is>
      </c>
    </row>
    <row r="180">
      <c r="A180" s="0" t="inlineStr">
        <is>
          <t xml:space="preserve">4449-30-LP26</t>
        </is>
      </c>
      <c r="B180" s="4" t="inlineStr">
        <is>
          <t xml:space="preserve">Adquisición de libros a perpetuida para BP Digital</t>
        </is>
      </c>
      <c r="C180" s="0">
        <v>4</v>
      </c>
      <c r="D180" s="4" t="inlineStr">
        <is>
          <t xml:space="preserve">Libros en casetes o CD</t>
        </is>
      </c>
      <c r="E180" s="4" t="inlineStr">
        <is>
          <t xml:space="preserve">Productos impresos y publicaciones / Material electrónico de referencia / Publicaciones electrónicas y música</t>
        </is>
      </c>
      <c r="F180" s="0">
        <v>5.0</v>
      </c>
      <c r="G180" s="0" t="inlineStr">
        <is>
          <t xml:space="preserve">Unidad</t>
        </is>
      </c>
      <c r="H180" s="4" t="inlineStr">
        <is>
          <t xml:space="preserve">Toda culpa es un misterioLa Pollera Ediciones9789569203985</t>
        </is>
      </c>
    </row>
    <row r="181">
      <c r="A181" s="0" t="inlineStr">
        <is>
          <t xml:space="preserve">4449-30-LP26</t>
        </is>
      </c>
      <c r="B181" s="4" t="inlineStr">
        <is>
          <t xml:space="preserve">Adquisición de libros a perpetuida para BP Digital</t>
        </is>
      </c>
      <c r="C181" s="0">
        <v>5</v>
      </c>
      <c r="D181" s="4" t="inlineStr">
        <is>
          <t xml:space="preserve">Libros en casetes o CD</t>
        </is>
      </c>
      <c r="E181" s="4" t="inlineStr">
        <is>
          <t xml:space="preserve">Productos impresos y publicaciones / Material electrónico de referencia / Publicaciones electrónicas y música</t>
        </is>
      </c>
      <c r="F181" s="0">
        <v>3.0</v>
      </c>
      <c r="G181" s="0" t="inlineStr">
        <is>
          <t xml:space="preserve">Unidad</t>
        </is>
      </c>
      <c r="H181" s="4" t="inlineStr">
        <is>
          <t xml:space="preserve">Pastoral americanaPenguin Random House Grupo Editorial9788439735489</t>
        </is>
      </c>
    </row>
    <row r="182">
      <c r="A182" s="0" t="inlineStr">
        <is>
          <t xml:space="preserve">4449-30-LP26</t>
        </is>
      </c>
      <c r="B182" s="4" t="inlineStr">
        <is>
          <t xml:space="preserve">Adquisición de libros a perpetuida para BP Digital</t>
        </is>
      </c>
      <c r="C182" s="0">
        <v>6</v>
      </c>
      <c r="D182" s="4" t="inlineStr">
        <is>
          <t xml:space="preserve">Libros en casetes o CD</t>
        </is>
      </c>
      <c r="E182" s="4" t="inlineStr">
        <is>
          <t xml:space="preserve">Productos impresos y publicaciones / Material electrónico de referencia / Publicaciones electrónicas y música</t>
        </is>
      </c>
      <c r="F182" s="0">
        <v>5.0</v>
      </c>
      <c r="G182" s="0" t="inlineStr">
        <is>
          <t xml:space="preserve">Unidad</t>
        </is>
      </c>
      <c r="H182" s="4" t="inlineStr">
        <is>
          <t xml:space="preserve">BonsaiPenguin Random House9780593588543</t>
        </is>
      </c>
    </row>
    <row r="183">
      <c r="A183" s="0" t="inlineStr">
        <is>
          <t xml:space="preserve">4449-30-LP26</t>
        </is>
      </c>
      <c r="B183" s="4" t="inlineStr">
        <is>
          <t xml:space="preserve">Adquisición de libros a perpetuida para BP Digital</t>
        </is>
      </c>
      <c r="C183" s="0">
        <v>7</v>
      </c>
      <c r="D183" s="4" t="inlineStr">
        <is>
          <t xml:space="preserve">Libros en casetes o CD</t>
        </is>
      </c>
      <c r="E183" s="4" t="inlineStr">
        <is>
          <t xml:space="preserve">Productos impresos y publicaciones / Material electrónico de referencia / Publicaciones electrónicas y música</t>
        </is>
      </c>
      <c r="F183" s="0">
        <v>3.0</v>
      </c>
      <c r="G183" s="0" t="inlineStr">
        <is>
          <t xml:space="preserve">Unidad</t>
        </is>
      </c>
      <c r="H183" s="4" t="inlineStr">
        <is>
          <t xml:space="preserve">Last Supper of Queer Apostles, APenguin Random House9780593791899</t>
        </is>
      </c>
    </row>
    <row r="184">
      <c r="A184" s="0" t="inlineStr">
        <is>
          <t xml:space="preserve">4449-30-LP26</t>
        </is>
      </c>
      <c r="B184" s="4" t="inlineStr">
        <is>
          <t xml:space="preserve">Adquisición de libros a perpetuida para BP Digital</t>
        </is>
      </c>
      <c r="C184" s="0">
        <v>8</v>
      </c>
      <c r="D184" s="4" t="inlineStr">
        <is>
          <t xml:space="preserve">Libros en casetes o CD</t>
        </is>
      </c>
      <c r="E184" s="4" t="inlineStr">
        <is>
          <t xml:space="preserve">Productos impresos y publicaciones / Material electrónico de referencia / Publicaciones electrónicas y música</t>
        </is>
      </c>
      <c r="F184" s="0">
        <v>4.0</v>
      </c>
      <c r="G184" s="0" t="inlineStr">
        <is>
          <t xml:space="preserve">Unidad</t>
        </is>
      </c>
      <c r="H184" s="4" t="inlineStr">
        <is>
          <t xml:space="preserve">El olor de la guayabaPenguin Random House Grupo Editorial9788439741398</t>
        </is>
      </c>
    </row>
    <row r="185">
      <c r="A185" s="0" t="inlineStr">
        <is>
          <t xml:space="preserve">4449-30-LP26</t>
        </is>
      </c>
      <c r="B185" s="4" t="inlineStr">
        <is>
          <t xml:space="preserve">Adquisición de libros a perpetuida para BP Digital</t>
        </is>
      </c>
      <c r="C185" s="0">
        <v>9</v>
      </c>
      <c r="D185" s="4" t="inlineStr">
        <is>
          <t xml:space="preserve">Libros en casetes o CD</t>
        </is>
      </c>
      <c r="E185" s="4" t="inlineStr">
        <is>
          <t xml:space="preserve">Productos impresos y publicaciones / Material electrónico de referencia / Publicaciones electrónicas y música</t>
        </is>
      </c>
      <c r="F185" s="0">
        <v>3.0</v>
      </c>
      <c r="G185" s="0" t="inlineStr">
        <is>
          <t xml:space="preserve">Unidad</t>
        </is>
      </c>
      <c r="H185" s="4" t="inlineStr">
        <is>
          <t xml:space="preserve">El Tercer ReichPenguin Random House Grupo Editorial9788420438641</t>
        </is>
      </c>
    </row>
    <row r="186">
      <c r="A186" s="0" t="inlineStr">
        <is>
          <t xml:space="preserve">4449-30-LP26</t>
        </is>
      </c>
      <c r="B186" s="4" t="inlineStr">
        <is>
          <t xml:space="preserve">Adquisición de libros a perpetuida para BP Digital</t>
        </is>
      </c>
      <c r="C186" s="0">
        <v>10</v>
      </c>
      <c r="D186" s="4" t="inlineStr">
        <is>
          <t xml:space="preserve">Libros en casetes o CD</t>
        </is>
      </c>
      <c r="E186" s="4" t="inlineStr">
        <is>
          <t xml:space="preserve">Productos impresos y publicaciones / Material electrónico de referencia / Publicaciones electrónicas y música</t>
        </is>
      </c>
      <c r="F186" s="0">
        <v>3.0</v>
      </c>
      <c r="G186" s="0" t="inlineStr">
        <is>
          <t xml:space="preserve">Unidad</t>
        </is>
      </c>
      <c r="H186" s="4" t="inlineStr">
        <is>
          <t xml:space="preserve">No está solo (Colomba y Dante 1)Penguin Random House Grupo Editorial9788420439921</t>
        </is>
      </c>
    </row>
    <row r="187">
      <c r="A187" s="0" t="inlineStr">
        <is>
          <t xml:space="preserve">4449-30-LP26</t>
        </is>
      </c>
      <c r="B187" s="4" t="inlineStr">
        <is>
          <t xml:space="preserve">Adquisición de libros a perpetuida para BP Digital</t>
        </is>
      </c>
      <c r="C187" s="0">
        <v>11</v>
      </c>
      <c r="D187" s="4" t="inlineStr">
        <is>
          <t xml:space="preserve">Libros en casetes o CD</t>
        </is>
      </c>
      <c r="E187" s="4" t="inlineStr">
        <is>
          <t xml:space="preserve">Productos impresos y publicaciones / Material electrónico de referencia / Publicaciones electrónicas y música</t>
        </is>
      </c>
      <c r="F187" s="0">
        <v>3.0</v>
      </c>
      <c r="G187" s="0" t="inlineStr">
        <is>
          <t xml:space="preserve">Unidad</t>
        </is>
      </c>
      <c r="H187" s="4" t="inlineStr">
        <is>
          <t xml:space="preserve">Tu rostro mañana. 1 Fiebre y lanzaPenguin Random House Grupo Editorial9788420454900</t>
        </is>
      </c>
    </row>
    <row r="188">
      <c r="A188" s="0" t="inlineStr">
        <is>
          <t xml:space="preserve">4449-30-LP26</t>
        </is>
      </c>
      <c r="B188" s="4" t="inlineStr">
        <is>
          <t xml:space="preserve">Adquisición de libros a perpetuida para BP Digital</t>
        </is>
      </c>
      <c r="C188" s="0">
        <v>12</v>
      </c>
      <c r="D188" s="4" t="inlineStr">
        <is>
          <t xml:space="preserve">Libros en casetes o CD</t>
        </is>
      </c>
      <c r="E188" s="4" t="inlineStr">
        <is>
          <t xml:space="preserve">Productos impresos y publicaciones / Material electrónico de referencia / Publicaciones electrónicas y música</t>
        </is>
      </c>
      <c r="F188" s="0">
        <v>4.0</v>
      </c>
      <c r="G188" s="0" t="inlineStr">
        <is>
          <t xml:space="preserve">Unidad</t>
        </is>
      </c>
      <c r="H188" s="4" t="inlineStr">
        <is>
          <t xml:space="preserve">Zombi: Guía de supervivenciaPenguin Random House Grupo Editorial9788466375795</t>
        </is>
      </c>
    </row>
    <row r="189">
      <c r="A189" s="0" t="inlineStr">
        <is>
          <t xml:space="preserve">4449-30-LP26</t>
        </is>
      </c>
      <c r="B189" s="4" t="inlineStr">
        <is>
          <t xml:space="preserve">Adquisición de libros a perpetuida para BP Digital</t>
        </is>
      </c>
      <c r="C189" s="0">
        <v>13</v>
      </c>
      <c r="D189" s="4" t="inlineStr">
        <is>
          <t xml:space="preserve">Libros en casetes o CD</t>
        </is>
      </c>
      <c r="E189" s="4" t="inlineStr">
        <is>
          <t xml:space="preserve">Productos impresos y publicaciones / Material electrónico de referencia / Publicaciones electrónicas y música</t>
        </is>
      </c>
      <c r="F189" s="0">
        <v>5.0</v>
      </c>
      <c r="G189" s="0" t="inlineStr">
        <is>
          <t xml:space="preserve">Unidad</t>
        </is>
      </c>
      <c r="H189" s="4" t="inlineStr">
        <is>
          <t xml:space="preserve">La ninfa de porcelanaPenguin Random House Grupo Editorial9788401019753</t>
        </is>
      </c>
    </row>
    <row r="190">
      <c r="A190" s="0" t="inlineStr">
        <is>
          <t xml:space="preserve">4449-30-LP26</t>
        </is>
      </c>
      <c r="B190" s="4" t="inlineStr">
        <is>
          <t xml:space="preserve">Adquisición de libros a perpetuida para BP Digital</t>
        </is>
      </c>
      <c r="C190" s="0">
        <v>14</v>
      </c>
      <c r="D190" s="4" t="inlineStr">
        <is>
          <t xml:space="preserve">Libros en casetes o CD</t>
        </is>
      </c>
      <c r="E190" s="4" t="inlineStr">
        <is>
          <t xml:space="preserve">Productos impresos y publicaciones / Material electrónico de referencia / Publicaciones electrónicas y música</t>
        </is>
      </c>
      <c r="F190" s="0">
        <v>3.0</v>
      </c>
      <c r="G190" s="0" t="inlineStr">
        <is>
          <t xml:space="preserve">Unidad</t>
        </is>
      </c>
      <c r="H190" s="4" t="inlineStr">
        <is>
          <t xml:space="preserve">Apocalípticos e integradosPenguin Random House Grupo Editorial9788426423948</t>
        </is>
      </c>
    </row>
    <row r="191">
      <c r="A191" s="0" t="inlineStr">
        <is>
          <t xml:space="preserve">4449-30-LP26</t>
        </is>
      </c>
      <c r="B191" s="4" t="inlineStr">
        <is>
          <t xml:space="preserve">Adquisición de libros a perpetuida para BP Digital</t>
        </is>
      </c>
      <c r="C191" s="0">
        <v>15</v>
      </c>
      <c r="D191" s="4" t="inlineStr">
        <is>
          <t xml:space="preserve">Libros en casetes o CD</t>
        </is>
      </c>
      <c r="E191" s="4" t="inlineStr">
        <is>
          <t xml:space="preserve">Productos impresos y publicaciones / Material electrónico de referencia / Publicaciones electrónicas y música</t>
        </is>
      </c>
      <c r="F191" s="0">
        <v>4.0</v>
      </c>
      <c r="G191" s="0" t="inlineStr">
        <is>
          <t xml:space="preserve">Unidad</t>
        </is>
      </c>
      <c r="H191" s="4" t="inlineStr">
        <is>
          <t xml:space="preserve">Veterano de tres guerras - Parte 1Penguin Random House Grupo Editorial9789566056492</t>
        </is>
      </c>
    </row>
    <row r="192">
      <c r="A192" s="0" t="inlineStr">
        <is>
          <t xml:space="preserve">5420-22-LP26</t>
        </is>
      </c>
      <c r="B192" s="4" t="inlineStr">
        <is>
          <t xml:space="preserve">Arriendo de enlace de voz y datos</t>
        </is>
      </c>
      <c r="C192" s="0">
        <v>1</v>
      </c>
      <c r="D192" s="4" t="inlineStr">
        <is>
          <t xml:space="preserve">Proveedores de servicio de Internet (ISP)</t>
        </is>
      </c>
      <c r="E192" s="4" t="inlineStr">
        <is>
          <t xml:space="preserve">Servicios basados en ingeniería, ciencias sociales y tecnología de la información / Servicios informáticos / Servicios para internet</t>
        </is>
      </c>
      <c r="F192" s="0">
        <v>1.0</v>
      </c>
      <c r="G192" s="0" t="inlineStr">
        <is>
          <t xml:space="preserve">Unidad</t>
        </is>
      </c>
      <c r="H192" s="4" t="inlineStr">
        <is>
          <t xml:space="preserve">Arriendo de Enlace de Datos y Solución en la Nube de Voz para Dependencias del Gobierno Regional y Consejo Regional de Arica y Parinacota</t>
        </is>
      </c>
    </row>
    <row r="193">
      <c r="A193" s="0" t="inlineStr">
        <is>
          <t xml:space="preserve">906973-10-LP26</t>
        </is>
      </c>
      <c r="B193" s="4" t="inlineStr">
        <is>
          <t xml:space="preserve">SEGUNDO LLAMADO SISTEMAS INFORMÁTICOS DE GESTIÓN MUNICIPAL</t>
        </is>
      </c>
      <c r="C193" s="0">
        <v>1</v>
      </c>
      <c r="D193" s="4" t="inlineStr">
        <is>
          <t xml:space="preserve">Servicios contables gubernamentales</t>
        </is>
      </c>
      <c r="E193" s="4" t="inlineStr">
        <is>
          <t xml:space="preserve">Organizaciones y consultorías políticas, demográficas, económicas, sociales y de administración pública / Administración y finanzas públicas / Finanzas públicas</t>
        </is>
      </c>
      <c r="F193" s="0">
        <v>36.0</v>
      </c>
      <c r="G193" s="0" t="inlineStr">
        <is>
          <t xml:space="preserve">Mes</t>
        </is>
      </c>
      <c r="H193"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94">
      <c r="A194" s="0" t="inlineStr">
        <is>
          <t xml:space="preserve">599-37-LP26</t>
        </is>
      </c>
      <c r="B194" s="4" t="inlineStr">
        <is>
          <t xml:space="preserve">ADQUISICIÓN DE SOFTWARE COMPRAS Y PAGOS 36 MESES</t>
        </is>
      </c>
      <c r="C194" s="0">
        <v>1</v>
      </c>
      <c r="D194" s="4" t="inlineStr">
        <is>
          <t xml:space="preserve">Software de gestión de adquisiciones</t>
        </is>
      </c>
      <c r="E194" s="4" t="inlineStr">
        <is>
          <t xml:space="preserve">Tecnologías de la información, telecomunicaciones y radiodifusión / Software / Software de gestión</t>
        </is>
      </c>
      <c r="F194" s="0">
        <v>1.0</v>
      </c>
      <c r="G194" s="0" t="inlineStr">
        <is>
          <t xml:space="preserve">Unidad</t>
        </is>
      </c>
      <c r="H194" s="4" t="inlineStr">
        <is>
          <t xml:space="preserve">ADQUISICIÓN DE UN SOFTWARE DE COMPRAS Y PAGOS A PROVEEDORES POR 36 MESES</t>
        </is>
      </c>
    </row>
    <row r="195">
      <c r="A195" s="0" t="inlineStr">
        <is>
          <t xml:space="preserve">2107-153-LP26</t>
        </is>
      </c>
      <c r="B195" s="4" t="inlineStr">
        <is>
          <t xml:space="preserve">ARRIENDO DE INFRAESTRUCTURA FÍSICA ENTERPRISE PARA PLATAFORMA TECNOLÓGICA INSTITUCIONAL</t>
        </is>
      </c>
      <c r="C195" s="0">
        <v>1</v>
      </c>
      <c r="D195" s="4" t="inlineStr">
        <is>
          <t xml:space="preserve">Componentes de dispositivo de entrada o unidad de almacenamiento</t>
        </is>
      </c>
      <c r="E195" s="4" t="inlineStr">
        <is>
          <t xml:space="preserve">Tecnologías de la información, telecomunicaciones y radiodifusión / Componentes para tecnología de la información, difusión o telecomunicaciones / Subconjuntos para dispositivos electrónicos</t>
        </is>
      </c>
      <c r="F195" s="0">
        <v>1.0</v>
      </c>
      <c r="G195" s="0" t="inlineStr">
        <is>
          <t xml:space="preserve">Unidad</t>
        </is>
      </c>
      <c r="H195" s="4" t="inlineStr">
        <is>
          <t xml:space="preserve">ARRIENDO DE INFRAESTRUCTURA FÍSICA ENTERPRISE PARA PLATAFORMA TECNOLÓGICA INSTITUCIONAL (según bases)</t>
        </is>
      </c>
    </row>
    <row r="196">
      <c r="A196" s="0" t="inlineStr">
        <is>
          <t xml:space="preserve">2760-118-LR26</t>
        </is>
      </c>
      <c r="B196" s="4" t="inlineStr">
        <is>
          <t xml:space="preserve">SERVICIOS DE TELECOMUNICACIONES Y OTROS SERVICIOS INFORMÁTICOS PARA LA MUNICIPALIDAD DE CORONEL</t>
        </is>
      </c>
      <c r="C196" s="0">
        <v>1</v>
      </c>
      <c r="D196" s="4" t="inlineStr">
        <is>
          <t xml:space="preserve">Soporte y mantenimiento de red de área local (LAN)</t>
        </is>
      </c>
      <c r="E196" s="4" t="inlineStr">
        <is>
          <t xml:space="preserve">Servicios basados en ingeniería, ciencias sociales y tecnología de la información / Servicios informáticos / Administración de sistemas</t>
        </is>
      </c>
      <c r="F196" s="0">
        <v>1.0</v>
      </c>
      <c r="G196" s="0" t="inlineStr">
        <is>
          <t xml:space="preserve">Global</t>
        </is>
      </c>
      <c r="H196" s="4" t="inlineStr">
        <is>
          <t xml:space="preserve">Servicios de Telecomunicaciones y Otros Servicios Informáticos para la Municipalidad de Coronel</t>
        </is>
      </c>
    </row>
    <row r="197">
      <c r="A197" s="0" t="inlineStr">
        <is>
          <t xml:space="preserve">548874-78-LR26</t>
        </is>
      </c>
      <c r="B197" s="4" t="inlineStr">
        <is>
          <t xml:space="preserve">SERVICIO DE LICENCIAS CLOUD SUCCESSFACTORS</t>
        </is>
      </c>
      <c r="C197" s="0">
        <v>1</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Global</t>
        </is>
      </c>
      <c r="H197" s="4" t="inlineStr">
        <is>
          <t xml:space="preserve">SERVICIO DE LICENCIAS CLOUD SUCCESSFACTORS
EN MODALIDAD SAAS.</t>
        </is>
      </c>
    </row>
    <row r="198">
      <c r="A198" s="0" t="inlineStr">
        <is>
          <t xml:space="preserve">1305532-14-LP26</t>
        </is>
      </c>
      <c r="B198" s="4" t="inlineStr">
        <is>
          <t xml:space="preserve">VALORIZACION ACTIVO FIJO Y SOFTWARE INVENTARIO</t>
        </is>
      </c>
      <c r="C198" s="0">
        <v>1</v>
      </c>
      <c r="D198" s="4" t="inlineStr">
        <is>
          <t xml:space="preserve">Contabilidad de inventario</t>
        </is>
      </c>
      <c r="E198" s="4" t="inlineStr">
        <is>
          <t xml:space="preserve">Servicios financieros, pensiones y seguros / Contabilidad y auditorías / Servicios contables</t>
        </is>
      </c>
      <c r="F198" s="0">
        <v>1.0</v>
      </c>
      <c r="G198" s="0" t="inlineStr">
        <is>
          <t xml:space="preserve">Unidad</t>
        </is>
      </c>
      <c r="H198" s="4" t="inlineStr">
        <is>
          <t xml:space="preserve">SERVICIO DE LEVANTAMIENTO, VALORIZACIÓN DE ACTIVO FIJO Y PLATAFORMA DE GESTION DE INVENTARIO PARA EL SLEP ELQUI</t>
        </is>
      </c>
    </row>
    <row r="199">
      <c r="A199" s="0" t="inlineStr">
        <is>
          <t xml:space="preserve">1305532-16-LP26</t>
        </is>
      </c>
      <c r="B199" s="4" t="inlineStr">
        <is>
          <t xml:space="preserve">LICENCIAMIENTO SOFTWARE CONCILIACIONES BANCARIAS</t>
        </is>
      </c>
      <c r="C199" s="0">
        <v>1</v>
      </c>
      <c r="D199" s="4" t="inlineStr">
        <is>
          <t xml:space="preserve">Programas de contabilidad</t>
        </is>
      </c>
      <c r="E199" s="4" t="inlineStr">
        <is>
          <t xml:space="preserve">Tecnologías de la información, telecomunicaciones y radiodifusión / Software / Software de planificación de recursos empresariales (ERP) y contabilidad financiera</t>
        </is>
      </c>
      <c r="F199" s="0">
        <v>1.0</v>
      </c>
      <c r="G199" s="0" t="inlineStr">
        <is>
          <t xml:space="preserve">Unidad</t>
        </is>
      </c>
      <c r="H199" s="4" t="inlineStr">
        <is>
          <t xml:space="preserve">LICENCIAMIENTO SOFTWARE O SISTEMA DE CONCILIACIONES BANCARIAS PARA EL SERVICIO LOCAL DE EDUCACIÓN PÚBLICA ELQUI</t>
        </is>
      </c>
    </row>
    <row r="200">
      <c r="A200" s="0" t="inlineStr">
        <is>
          <t xml:space="preserve">2403-72-LP26</t>
        </is>
      </c>
      <c r="B200" s="4" t="inlineStr">
        <is>
          <t xml:space="preserve">Servicios Cloud</t>
        </is>
      </c>
      <c r="C200" s="0">
        <v>1</v>
      </c>
      <c r="D200" s="4" t="inlineStr">
        <is>
          <t xml:space="preserve">Centro de servicios de datos</t>
        </is>
      </c>
      <c r="E200" s="4" t="inlineStr">
        <is>
          <t xml:space="preserve">Servicios basados en ingeniería, ciencias sociales y tecnología de la información / Servicios informáticos / Servicios de datos</t>
        </is>
      </c>
      <c r="F200" s="0">
        <v>1.0</v>
      </c>
      <c r="G200" s="0" t="inlineStr">
        <is>
          <t xml:space="preserve">Global</t>
        </is>
      </c>
      <c r="H200" s="4" t="inlineStr">
        <is>
          <t xml:space="preserve">Servicios cloud, según bases de licitación</t>
        </is>
      </c>
    </row>
    <row r="201">
      <c r="A201" s="0" t="inlineStr">
        <is>
          <t xml:space="preserve">608-197-LR26</t>
        </is>
      </c>
      <c r="B201" s="4" t="inlineStr">
        <is>
          <t xml:space="preserve">SERVICIO DE OPERACIÓN MANTENIMIENTO Y ACTUALIZACIÓN DE PLATAFORMAS TECNOLÓGICAS DE LA SALA DE CONTROL CENTRALIZADO DEL HOSPITAL DR. GUSTAVO FRICKE</t>
        </is>
      </c>
      <c r="C201" s="0">
        <v>1</v>
      </c>
      <c r="D201" s="4" t="inlineStr">
        <is>
          <t xml:space="preserve">Integración de sistemas</t>
        </is>
      </c>
      <c r="E201" s="4" t="inlineStr">
        <is>
          <t xml:space="preserve">Servicios basados en ingeniería, ciencias sociales y tecnología de la información / Servicios informáticos / Ingeniería en computación e informática</t>
        </is>
      </c>
      <c r="F201" s="0">
        <v>1.0</v>
      </c>
      <c r="G201" s="0" t="inlineStr">
        <is>
          <t xml:space="preserve">Unidad</t>
        </is>
      </c>
      <c r="H201" s="4" t="inlineStr">
        <is>
          <t xml:space="preserve">SERVICIO
DE OPERACIÓN, MANTENIMIENTO Y ACTUALIZACIÓN
DE PLATAFORMAS TECNOLÓGICAS DE LA SALA DE
CONTROL CENTRALIZADO DEL HOSPITAL DR.
GUSTAVO FRICKE (favor desglosar valores en anexo económico N°6)</t>
        </is>
      </c>
    </row>
    <row r="202">
      <c r="A202" s="0" t="inlineStr">
        <is>
          <t xml:space="preserve">1643-91-LP26</t>
        </is>
      </c>
      <c r="B202" s="4" t="inlineStr">
        <is>
          <t xml:space="preserve">SISTEMA INFORMÁTICO ERP</t>
        </is>
      </c>
      <c r="C202" s="0">
        <v>1</v>
      </c>
      <c r="D202" s="4" t="inlineStr">
        <is>
          <t xml:space="preserve">Software de planificación de recursos empresariales (ERP)</t>
        </is>
      </c>
      <c r="E202" s="4" t="inlineStr">
        <is>
          <t xml:space="preserve">Tecnologías de la información, telecomunicaciones y radiodifusión / Software / Software de planificación de recursos empresariales (ERP) y contabilidad financiera</t>
        </is>
      </c>
      <c r="F202" s="0">
        <v>1.0</v>
      </c>
      <c r="G202" s="0" t="inlineStr">
        <is>
          <t xml:space="preserve">Unidad</t>
        </is>
      </c>
      <c r="H202" s="4" t="inlineStr">
        <is>
          <t xml:space="preserve">CONTRATACIÓN DE SISTEMA INFORMÁTICO (ERP)</t>
        </is>
      </c>
    </row>
    <row r="203">
      <c r="A203" s="0" t="inlineStr">
        <is>
          <t xml:space="preserve">2852-59-LP26</t>
        </is>
      </c>
      <c r="B203" s="4" t="inlineStr">
        <is>
          <t xml:space="preserve">ADQUISICION DE LICENCIAS DE SOFTWARE</t>
        </is>
      </c>
      <c r="C203" s="0">
        <v>1</v>
      </c>
      <c r="D203" s="4" t="inlineStr">
        <is>
          <t xml:space="preserve">Software de gestión de licencias</t>
        </is>
      </c>
      <c r="E203" s="4" t="inlineStr">
        <is>
          <t xml:space="preserve">Tecnologías de la información, telecomunicaciones y radiodifusión / Software / Software de gestión</t>
        </is>
      </c>
      <c r="F203" s="0">
        <v>1.0</v>
      </c>
      <c r="G203" s="0" t="inlineStr">
        <is>
          <t xml:space="preserve">Unidad</t>
        </is>
      </c>
      <c r="H203" s="4" t="inlineStr">
        <is>
          <t xml:space="preserve">L1:Software CAD Profesional</t>
        </is>
      </c>
    </row>
    <row r="204">
      <c r="A204" s="0" t="inlineStr">
        <is>
          <t xml:space="preserve">2852-59-LP26</t>
        </is>
      </c>
      <c r="B204" s="4" t="inlineStr">
        <is>
          <t xml:space="preserve">ADQUISICION DE LICENCIAS DE SOFTWARE</t>
        </is>
      </c>
      <c r="C204" s="0">
        <v>2</v>
      </c>
      <c r="D204" s="4" t="inlineStr">
        <is>
          <t xml:space="preserve">Software de gestión de licencias</t>
        </is>
      </c>
      <c r="E204" s="4" t="inlineStr">
        <is>
          <t xml:space="preserve">Tecnologías de la información, telecomunicaciones y radiodifusión / Software / Software de gestión</t>
        </is>
      </c>
      <c r="F204" s="0">
        <v>1.0</v>
      </c>
      <c r="G204" s="0" t="inlineStr">
        <is>
          <t xml:space="preserve">Unidad</t>
        </is>
      </c>
      <c r="H204" s="4" t="inlineStr">
        <is>
          <t xml:space="preserve">L2:Software de Producción Digital</t>
        </is>
      </c>
    </row>
    <row r="205">
      <c r="A205" s="0" t="inlineStr">
        <is>
          <t xml:space="preserve">2852-59-LP26</t>
        </is>
      </c>
      <c r="B205" s="4" t="inlineStr">
        <is>
          <t xml:space="preserve">ADQUISICION DE LICENCIAS DE SOFTWARE</t>
        </is>
      </c>
      <c r="C205" s="0">
        <v>3</v>
      </c>
      <c r="D205" s="4" t="inlineStr">
        <is>
          <t xml:space="preserve">Software de gestión de licencias</t>
        </is>
      </c>
      <c r="E205" s="4" t="inlineStr">
        <is>
          <t xml:space="preserve">Tecnologías de la información, telecomunicaciones y radiodifusión / Software / Software de gestión</t>
        </is>
      </c>
      <c r="F205" s="0">
        <v>1.0</v>
      </c>
      <c r="G205" s="0" t="inlineStr">
        <is>
          <t xml:space="preserve">Unidad</t>
        </is>
      </c>
      <c r="H205" s="4" t="inlineStr">
        <is>
          <t xml:space="preserve">L3:Software de BIM Multidisciplinario</t>
        </is>
      </c>
    </row>
    <row r="206">
      <c r="A206" s="0" t="inlineStr">
        <is>
          <t xml:space="preserve">2852-59-LP26</t>
        </is>
      </c>
      <c r="B206" s="4" t="inlineStr">
        <is>
          <t xml:space="preserve">ADQUISICION DE LICENCIAS DE SOFTWARE</t>
        </is>
      </c>
      <c r="C206" s="0">
        <v>4</v>
      </c>
      <c r="D206" s="4" t="inlineStr">
        <is>
          <t xml:space="preserve">Software de gestión de licencias</t>
        </is>
      </c>
      <c r="E206" s="4" t="inlineStr">
        <is>
          <t xml:space="preserve">Tecnologías de la información, telecomunicaciones y radiodifusión / Software / Software de gestión</t>
        </is>
      </c>
      <c r="F206" s="0">
        <v>1.0</v>
      </c>
      <c r="G206" s="0" t="inlineStr">
        <is>
          <t xml:space="preserve">Unidad</t>
        </is>
      </c>
      <c r="H206" s="4" t="inlineStr">
        <is>
          <t xml:space="preserve">L4:Software de Modelado 3D</t>
        </is>
      </c>
    </row>
    <row r="207">
      <c r="A207" s="0" t="inlineStr">
        <is>
          <t xml:space="preserve">2852-59-LP26</t>
        </is>
      </c>
      <c r="B207" s="4" t="inlineStr">
        <is>
          <t xml:space="preserve">ADQUISICION DE LICENCIAS DE SOFTWARE</t>
        </is>
      </c>
      <c r="C207" s="0">
        <v>5</v>
      </c>
      <c r="D207" s="4" t="inlineStr">
        <is>
          <t xml:space="preserve">Software de gestión de licencias</t>
        </is>
      </c>
      <c r="E207" s="4" t="inlineStr">
        <is>
          <t xml:space="preserve">Tecnologías de la información, telecomunicaciones y radiodifusión / Software / Software de gestión</t>
        </is>
      </c>
      <c r="F207" s="0">
        <v>1.0</v>
      </c>
      <c r="G207" s="0" t="inlineStr">
        <is>
          <t xml:space="preserve">Unidad</t>
        </is>
      </c>
      <c r="H207" s="4" t="inlineStr">
        <is>
          <t xml:space="preserve">L5:Software para Video Institucional</t>
        </is>
      </c>
    </row>
    <row r="208">
      <c r="A208" s="0" t="inlineStr">
        <is>
          <t xml:space="preserve">2852-59-LP26</t>
        </is>
      </c>
      <c r="B208" s="4" t="inlineStr">
        <is>
          <t xml:space="preserve">ADQUISICION DE LICENCIAS DE SOFTWARE</t>
        </is>
      </c>
      <c r="C208" s="0">
        <v>6</v>
      </c>
      <c r="D208" s="4" t="inlineStr">
        <is>
          <t xml:space="preserve">Software de gestión de licencias</t>
        </is>
      </c>
      <c r="E208" s="4" t="inlineStr">
        <is>
          <t xml:space="preserve">Tecnologías de la información, telecomunicaciones y radiodifusión / Software / Software de gestión</t>
        </is>
      </c>
      <c r="F208" s="0">
        <v>1.0</v>
      </c>
      <c r="G208" s="0" t="inlineStr">
        <is>
          <t xml:space="preserve">Unidad</t>
        </is>
      </c>
      <c r="H208" s="4" t="inlineStr">
        <is>
          <t xml:space="preserve">L6:Software de BIM Arquitectura</t>
        </is>
      </c>
    </row>
    <row r="209">
      <c r="A209" s="0" t="inlineStr">
        <is>
          <t xml:space="preserve">2852-59-LP26</t>
        </is>
      </c>
      <c r="B209" s="4" t="inlineStr">
        <is>
          <t xml:space="preserve">ADQUISICION DE LICENCIAS DE SOFTWARE</t>
        </is>
      </c>
      <c r="C209" s="0">
        <v>7</v>
      </c>
      <c r="D209" s="4" t="inlineStr">
        <is>
          <t xml:space="preserve">Software de gestión de licencias</t>
        </is>
      </c>
      <c r="E209" s="4" t="inlineStr">
        <is>
          <t xml:space="preserve">Tecnologías de la información, telecomunicaciones y radiodifusión / Software / Software de gestión</t>
        </is>
      </c>
      <c r="F209" s="0">
        <v>1.0</v>
      </c>
      <c r="G209" s="0" t="inlineStr">
        <is>
          <t xml:space="preserve">Unidad</t>
        </is>
      </c>
      <c r="H209" s="4" t="inlineStr">
        <is>
          <t xml:space="preserve">L7:Software de Gestión de Redes Sociales</t>
        </is>
      </c>
    </row>
    <row r="210">
      <c r="A210" s="0" t="inlineStr">
        <is>
          <t xml:space="preserve">2852-59-LP26</t>
        </is>
      </c>
      <c r="B210" s="4" t="inlineStr">
        <is>
          <t xml:space="preserve">ADQUISICION DE LICENCIAS DE SOFTWARE</t>
        </is>
      </c>
      <c r="C210" s="0">
        <v>8</v>
      </c>
      <c r="D210" s="4" t="inlineStr">
        <is>
          <t xml:space="preserve">Software de gestión de adquisiciones</t>
        </is>
      </c>
      <c r="E210" s="4" t="inlineStr">
        <is>
          <t xml:space="preserve">Tecnologías de la información, telecomunicaciones y radiodifusión / Software / Software de gestión</t>
        </is>
      </c>
      <c r="F210" s="0">
        <v>1.0</v>
      </c>
      <c r="G210" s="0" t="inlineStr">
        <is>
          <t xml:space="preserve">Unidad</t>
        </is>
      </c>
      <c r="H210" s="4" t="inlineStr">
        <is>
          <t xml:space="preserve">L8:Software de Inteligencia Artificial</t>
        </is>
      </c>
    </row>
    <row r="211">
      <c r="A211" s="0" t="inlineStr">
        <is>
          <t xml:space="preserve">2852-59-LP26</t>
        </is>
      </c>
      <c r="B211" s="4" t="inlineStr">
        <is>
          <t xml:space="preserve">ADQUISICION DE LICENCIAS DE SOFTWARE</t>
        </is>
      </c>
      <c r="C211" s="0">
        <v>9</v>
      </c>
      <c r="D211" s="4" t="inlineStr">
        <is>
          <t xml:space="preserve">Software de gestión de recursos humanos</t>
        </is>
      </c>
      <c r="E211" s="4" t="inlineStr">
        <is>
          <t xml:space="preserve">Tecnologías de la información, telecomunicaciones y radiodifusión / Software / Software de gestión</t>
        </is>
      </c>
      <c r="F211" s="0">
        <v>1.0</v>
      </c>
      <c r="G211" s="0" t="inlineStr">
        <is>
          <t xml:space="preserve">Unidad</t>
        </is>
      </c>
      <c r="H211" s="4" t="inlineStr">
        <is>
          <t xml:space="preserve">L9:Software Antivirus</t>
        </is>
      </c>
    </row>
    <row r="212">
      <c r="A212" s="0" t="inlineStr">
        <is>
          <t xml:space="preserve">2852-59-LP26</t>
        </is>
      </c>
      <c r="B212" s="4" t="inlineStr">
        <is>
          <t xml:space="preserve">ADQUISICION DE LICENCIAS DE SOFTWARE</t>
        </is>
      </c>
      <c r="C212" s="0">
        <v>10</v>
      </c>
      <c r="D212" s="4" t="inlineStr">
        <is>
          <t xml:space="preserve">Software de contabilidad temporal</t>
        </is>
      </c>
      <c r="E212" s="4" t="inlineStr">
        <is>
          <t xml:space="preserve">Tecnologías de la información, telecomunicaciones y radiodifusión / Software / Software de planificación de recursos empresariales (ERP) y contabilidad financiera</t>
        </is>
      </c>
      <c r="F212" s="0">
        <v>1.0</v>
      </c>
      <c r="G212" s="0" t="inlineStr">
        <is>
          <t xml:space="preserve">Unidad</t>
        </is>
      </c>
      <c r="H212" s="4" t="inlineStr">
        <is>
          <t xml:space="preserve">L10:Software de gestión de Videocámaras</t>
        </is>
      </c>
    </row>
    <row r="213">
      <c r="A213" s="0" t="inlineStr">
        <is>
          <t xml:space="preserve">2852-59-LP26</t>
        </is>
      </c>
      <c r="B213" s="4" t="inlineStr">
        <is>
          <t xml:space="preserve">ADQUISICION DE LICENCIAS DE SOFTWARE</t>
        </is>
      </c>
      <c r="C213" s="0">
        <v>11</v>
      </c>
      <c r="D213" s="4" t="inlineStr">
        <is>
          <t xml:space="preserve">Software de gestión de relaciones con el cliente (CRM)</t>
        </is>
      </c>
      <c r="E213" s="4" t="inlineStr">
        <is>
          <t xml:space="preserve">Tecnologías de la información, telecomunicaciones y radiodifusión / Software / Software de consultas y gestión de datos</t>
        </is>
      </c>
      <c r="F213" s="0">
        <v>1.0</v>
      </c>
      <c r="G213" s="0" t="inlineStr">
        <is>
          <t xml:space="preserve">Unidad</t>
        </is>
      </c>
      <c r="H213" s="4" t="inlineStr">
        <is>
          <t xml:space="preserve">L11:Software de Fotogrametría</t>
        </is>
      </c>
    </row>
    <row r="214">
      <c r="A214" s="0" t="inlineStr">
        <is>
          <t xml:space="preserve">4459-23-LP26</t>
        </is>
      </c>
      <c r="B214" s="4" t="inlineStr">
        <is>
          <t xml:space="preserve">Plataforma de Sistemas Informáticos de Gestión Municipal para la Ilustre Municipalidad de Pichilemu</t>
        </is>
      </c>
      <c r="C214" s="0">
        <v>1</v>
      </c>
      <c r="D214" s="4" t="inlineStr">
        <is>
          <t xml:space="preserve">Software de mejora de sistemas operativos de redes</t>
        </is>
      </c>
      <c r="E214" s="4" t="inlineStr">
        <is>
          <t xml:space="preserve">Tecnologías de la información, telecomunicaciones y radiodifusión / Software / Software de administración de redes</t>
        </is>
      </c>
      <c r="F214" s="0">
        <v>1.0</v>
      </c>
      <c r="G214" s="0" t="inlineStr">
        <is>
          <t xml:space="preserve">Unidad</t>
        </is>
      </c>
      <c r="H214"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215">
      <c r="A215" s="0" t="inlineStr">
        <is>
          <t xml:space="preserve">948354-139-LR26</t>
        </is>
      </c>
      <c r="B215" s="4" t="inlineStr">
        <is>
          <t xml:space="preserve">CONTRATACIÓN DE SERVICIO DE SOFTWARE DE RECURSOS HUMANOS PARA EL HOSPITAL DIPRECA</t>
        </is>
      </c>
      <c r="C215" s="0">
        <v>1</v>
      </c>
      <c r="D215" s="4" t="inlineStr">
        <is>
          <t xml:space="preserve">Software de gestión de recursos humanos</t>
        </is>
      </c>
      <c r="E215" s="4" t="inlineStr">
        <is>
          <t xml:space="preserve">Tecnologías de la información, telecomunicaciones y radiodifusión / Software / Software de gestión</t>
        </is>
      </c>
      <c r="F215" s="0">
        <v>1.0</v>
      </c>
      <c r="G215" s="0" t="inlineStr">
        <is>
          <t xml:space="preserve">Unidad</t>
        </is>
      </c>
      <c r="H215" s="4" t="inlineStr">
        <is>
          <t xml:space="preserve">CONTRATACIÓN DE SERVICIO DE SOFTWARE DE RECURSOS HUMANOS</t>
        </is>
      </c>
    </row>
    <row r="216">
      <c r="A216" s="0" t="inlineStr">
        <is>
          <t xml:space="preserve">514862-125-LR26</t>
        </is>
      </c>
      <c r="B216" s="4" t="inlineStr">
        <is>
          <t xml:space="preserve">10032938 PLATAFORMA DE AGENDAMIENTO TELECONSULTAS</t>
        </is>
      </c>
      <c r="C216" s="0">
        <v>1</v>
      </c>
      <c r="D216" s="4" t="inlineStr">
        <is>
          <t xml:space="preserve">Servicios de transformación de datos</t>
        </is>
      </c>
      <c r="E216" s="4" t="inlineStr">
        <is>
          <t xml:space="preserve">Servicios basados en ingeniería, ciencias sociales y tecnología de la información / Servicios informáticos / Servicios de datos</t>
        </is>
      </c>
      <c r="F216" s="0">
        <v>1.0</v>
      </c>
      <c r="G216" s="0" t="inlineStr">
        <is>
          <t xml:space="preserve">Unidad</t>
        </is>
      </c>
      <c r="H216" s="4" t="inlineStr">
        <is>
          <t xml:space="preserve">PLATAFORMA INTEGRAL DE AGENDAMIENTO, TELECONSULTAS Y GESTIÓN DE FILAS PARA LA ATENCIÓN</t>
        </is>
      </c>
    </row>
    <row r="217">
      <c r="A217" s="0" t="inlineStr">
        <is>
          <t xml:space="preserve">425-65-LR26</t>
        </is>
      </c>
      <c r="B217" s="4" t="inlineStr">
        <is>
          <t xml:space="preserve">Renovación de licencias y servicio de administración de software Falcon Crowdstrike EDR para el Poder Judicial</t>
        </is>
      </c>
      <c r="C217" s="0">
        <v>1</v>
      </c>
      <c r="D217" s="4" t="inlineStr">
        <is>
          <t xml:space="preserve">Software de gestión de licencias</t>
        </is>
      </c>
      <c r="E217" s="4" t="inlineStr">
        <is>
          <t xml:space="preserve">Tecnologías de la información, telecomunicaciones y radiodifusión / Software / Software de gestión</t>
        </is>
      </c>
      <c r="F217" s="0">
        <v>1.0</v>
      </c>
      <c r="G217" s="0" t="inlineStr">
        <is>
          <t xml:space="preserve">Global</t>
        </is>
      </c>
      <c r="H217" s="4" t="inlineStr">
        <is>
          <t xml:space="preserve">Ítem 4 LICENCIAS FALCON CROWDSTRIKE EDR. Valor total neto del ítem según Formulario Económico N°1 (en caso de discrepancia entre el valor del portal y el formulario primará este último).</t>
        </is>
      </c>
    </row>
    <row r="218">
      <c r="A218" s="0" t="inlineStr">
        <is>
          <t xml:space="preserve">425-65-LR26</t>
        </is>
      </c>
      <c r="B218" s="4" t="inlineStr">
        <is>
          <t xml:space="preserve">Renovación de licencias y servicio de administración de software Falcon Crowdstrike EDR para el Poder Judicial</t>
        </is>
      </c>
      <c r="C218" s="0">
        <v>2</v>
      </c>
      <c r="D218" s="4" t="inlineStr">
        <is>
          <t xml:space="preserve">Software de gestión de licencias</t>
        </is>
      </c>
      <c r="E218" s="4" t="inlineStr">
        <is>
          <t xml:space="preserve">Tecnologías de la información, telecomunicaciones y radiodifusión / Software / Software de gestión</t>
        </is>
      </c>
      <c r="F218" s="0">
        <v>1.0</v>
      </c>
      <c r="G218" s="0" t="inlineStr">
        <is>
          <t xml:space="preserve">Global</t>
        </is>
      </c>
      <c r="H218" s="4" t="inlineStr">
        <is>
          <t xml:space="preserve">Ítem 1 LICENCIAS FALCON CROWDSTRIKE EDR. Valor total neto del ítem según Formulario Económico N°1 (en caso de discrepancia entre el valor del portal y el formulario primará este último).</t>
        </is>
      </c>
    </row>
    <row r="219">
      <c r="A219" s="0" t="inlineStr">
        <is>
          <t xml:space="preserve">425-65-LR26</t>
        </is>
      </c>
      <c r="B219" s="4" t="inlineStr">
        <is>
          <t xml:space="preserve">Renovación de licencias y servicio de administración de software Falcon Crowdstrike EDR para el Poder Judicial</t>
        </is>
      </c>
      <c r="C219" s="0">
        <v>3</v>
      </c>
      <c r="D219" s="4" t="inlineStr">
        <is>
          <t xml:space="preserve">Software de gestión de licencias</t>
        </is>
      </c>
      <c r="E219" s="4" t="inlineStr">
        <is>
          <t xml:space="preserve">Tecnologías de la información, telecomunicaciones y radiodifusión / Software / Software de gestión</t>
        </is>
      </c>
      <c r="F219" s="0">
        <v>1.0</v>
      </c>
      <c r="G219" s="0" t="inlineStr">
        <is>
          <t xml:space="preserve">Global</t>
        </is>
      </c>
      <c r="H219" s="4" t="inlineStr">
        <is>
          <t xml:space="preserve">Ítem 2 LICENCIAS FALCON CROWDSTRIKE EDR. Valor total neto del ítem según Formulario Económico N°1 (en caso de discrepancia entre el valor del portal y el formulario primará este último).</t>
        </is>
      </c>
    </row>
    <row r="220">
      <c r="A220" s="0" t="inlineStr">
        <is>
          <t xml:space="preserve">425-65-LR26</t>
        </is>
      </c>
      <c r="B220" s="4" t="inlineStr">
        <is>
          <t xml:space="preserve">Renovación de licencias y servicio de administración de software Falcon Crowdstrike EDR para el Poder Judicial</t>
        </is>
      </c>
      <c r="C220" s="0">
        <v>4</v>
      </c>
      <c r="D220" s="4" t="inlineStr">
        <is>
          <t xml:space="preserve">Software de gestión de licencias</t>
        </is>
      </c>
      <c r="E220" s="4" t="inlineStr">
        <is>
          <t xml:space="preserve">Tecnologías de la información, telecomunicaciones y radiodifusión / Software / Software de gestión</t>
        </is>
      </c>
      <c r="F220" s="0">
        <v>1.0</v>
      </c>
      <c r="G220" s="0" t="inlineStr">
        <is>
          <t xml:space="preserve">Global</t>
        </is>
      </c>
      <c r="H220" s="4" t="inlineStr">
        <is>
          <t xml:space="preserve">Ítem 3 LICENCIAS FALCON CROWDSTRIKE EDR. Valor total neto del ítem según Formulario Económico N°1 (en caso de discrepancia entre el valor del portal y el formulario primará este último).</t>
        </is>
      </c>
    </row>
    <row r="221">
      <c r="A221" s="0" t="inlineStr">
        <is>
          <t xml:space="preserve">425-65-LR26</t>
        </is>
      </c>
      <c r="B221" s="4" t="inlineStr">
        <is>
          <t xml:space="preserve">Renovación de licencias y servicio de administración de software Falcon Crowdstrike EDR para el Poder Judicial</t>
        </is>
      </c>
      <c r="C221" s="0">
        <v>5</v>
      </c>
      <c r="D221" s="4" t="inlineStr">
        <is>
          <t xml:space="preserve">Software de gestión de licencias</t>
        </is>
      </c>
      <c r="E221" s="4" t="inlineStr">
        <is>
          <t xml:space="preserve">Tecnologías de la información, telecomunicaciones y radiodifusión / Software / Software de gestión</t>
        </is>
      </c>
      <c r="F221" s="0">
        <v>1.0</v>
      </c>
      <c r="G221" s="0" t="inlineStr">
        <is>
          <t xml:space="preserve">Global</t>
        </is>
      </c>
      <c r="H221" s="4" t="inlineStr">
        <is>
          <t xml:space="preserve">Ítem 5 Servicios de Administración
Falcon Crowdstrike. Valor total neto del ítem según Formulario Económico N°1 (en caso de discrepancia entre el valor del portal y el formulario primará este último).</t>
        </is>
      </c>
    </row>
    <row r="222">
      <c r="A222" s="0" t="inlineStr">
        <is>
          <t xml:space="preserve">1461054-45-LP26</t>
        </is>
      </c>
      <c r="B222" s="4" t="inlineStr">
        <is>
          <t xml:space="preserve">PLATAFORMA DE GESTIÓN EDUCACIONAL PARA 77 E.E</t>
        </is>
      </c>
      <c r="C222" s="0">
        <v>1</v>
      </c>
      <c r="D222" s="4" t="inlineStr">
        <is>
          <t xml:space="preserve">Software del sistema de administración de bases de datos</t>
        </is>
      </c>
      <c r="E222" s="4" t="inlineStr">
        <is>
          <t xml:space="preserve">Tecnologías de la información, telecomunicaciones y radiodifusión / Software / Software de consultas y gestión de datos</t>
        </is>
      </c>
      <c r="F222" s="0">
        <v>1.0</v>
      </c>
      <c r="G222" s="0" t="inlineStr">
        <is>
          <t xml:space="preserve">Unidad</t>
        </is>
      </c>
      <c r="H222" s="4" t="inlineStr">
        <is>
          <t xml:space="preserve">PLATAFORMA DE GESTIÓN EDUCACIONAL PARA 77 ESTABLECIMIENTOS EDUCACIONALES DEPENDIENTES DEL SERVICIO LOCAL DE EDUCACIÓN PÚBLICA ELQUI</t>
        </is>
      </c>
    </row>
    <row r="223">
      <c r="A223" s="0" t="inlineStr">
        <is>
          <t xml:space="preserve">605-17-LP26</t>
        </is>
      </c>
      <c r="B223" s="4" t="inlineStr">
        <is>
          <t xml:space="preserve">TELEFONÍA FIJA Y RED PRIVADA DE DATOS</t>
        </is>
      </c>
      <c r="C223" s="0">
        <v>1</v>
      </c>
      <c r="D223" s="4" t="inlineStr">
        <is>
          <t xml:space="preserve">Servicio telefónico local</t>
        </is>
      </c>
      <c r="E223" s="4" t="inlineStr">
        <is>
          <t xml:space="preserve">Servicios básicos y de información pública / Telecomunicaciones / Telefonía local y de larga distancia</t>
        </is>
      </c>
      <c r="F223" s="0">
        <v>1.0</v>
      </c>
      <c r="G223" s="0" t="inlineStr">
        <is>
          <t xml:space="preserve">Unidad</t>
        </is>
      </c>
      <c r="H223"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24">
      <c r="A224" s="0" t="inlineStr">
        <is>
          <t xml:space="preserve">605-17-LP26</t>
        </is>
      </c>
      <c r="B224" s="4" t="inlineStr">
        <is>
          <t xml:space="preserve">TELEFONÍA FIJA Y RED PRIVADA DE DATOS</t>
        </is>
      </c>
      <c r="C224" s="0">
        <v>2</v>
      </c>
      <c r="D224" s="4" t="inlineStr">
        <is>
          <t xml:space="preserve">Servicio de comunicación IP</t>
        </is>
      </c>
      <c r="E224" s="4" t="inlineStr">
        <is>
          <t xml:space="preserve">Servicios básicos y de información pública / Telecomunicaciones / Telefonía local y de larga distancia</t>
        </is>
      </c>
      <c r="F224" s="0">
        <v>1.0</v>
      </c>
      <c r="G224" s="0" t="inlineStr">
        <is>
          <t xml:space="preserve">Unidad</t>
        </is>
      </c>
      <c r="H224"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25">
      <c r="A225" s="0" t="inlineStr">
        <is>
          <t xml:space="preserve">948354-140-LR26</t>
        </is>
      </c>
      <c r="B225" s="4" t="inlineStr">
        <is>
          <t xml:space="preserve">CONTRATACIÓN DE UNA SOLUCIÓN INTEGRAL RIS-PACS INCLUYENDO LA PROVISIÓN DE SERVICIOS SOFTWARE HARDWARE E INFRAESTRUCTURA TECNOLÓGICA PARA EL SERVICIO DE IMAGENOLOGÍA DEL HOSPITAL DIPRECA</t>
        </is>
      </c>
      <c r="C225" s="0">
        <v>1</v>
      </c>
      <c r="D225" s="4" t="inlineStr">
        <is>
          <t xml:space="preserve">Sistemas informatizados de archivado de imágenes (PACS) médicos</t>
        </is>
      </c>
      <c r="E225" s="4" t="inlineStr">
        <is>
          <t xml:space="preserve">Equipamiento y suministros médicos / Productos para imágenes y de medicina nuclear / Artículos para archivar información e imágenes radiológicas</t>
        </is>
      </c>
      <c r="F225" s="0">
        <v>60.0</v>
      </c>
      <c r="G225" s="0" t="inlineStr">
        <is>
          <t xml:space="preserve">Mes</t>
        </is>
      </c>
      <c r="H225" s="4" t="inlineStr">
        <is>
          <t xml:space="preserve">SERVICIO DE RIS-PACS PARA EL SERVICIO DE IMAGENOLOGÍA DEL HOSPITAL DIPRECA (De acuerdo a las Bases Técnicas).</t>
        </is>
      </c>
    </row>
    <row r="226">
      <c r="A226" s="0" t="inlineStr">
        <is>
          <t xml:space="preserve">976-18-O126</t>
        </is>
      </c>
      <c r="B226" s="4" t="inlineStr">
        <is>
          <t xml:space="preserve">ATIF Ampliación Plataformas Comercial y General Ad. El Loa</t>
        </is>
      </c>
      <c r="C226" s="0">
        <v>1</v>
      </c>
      <c r="D226" s="4" t="inlineStr">
        <is>
          <t xml:space="preserve">Licitación Pública de Consultoria</t>
        </is>
      </c>
      <c r="E226" s="4" t="inlineStr">
        <is>
          <t xml:space="preserve">Consultoria / Consultoria / Planificación y Factibilidad</t>
        </is>
      </c>
      <c r="F226" s="0">
        <v>1.0</v>
      </c>
      <c r="G226" s="0" t="inlineStr">
        <is>
          <t xml:space="preserve">Unidad</t>
        </is>
      </c>
      <c r="H226" s="4" t="inlineStr">
        <is>
          <t xml:space="preserve">Licitación Pública de Consultoria</t>
        </is>
      </c>
    </row>
    <row r="227">
      <c r="A227" s="0" t="inlineStr">
        <is>
          <t xml:space="preserve">2667-71-LR26</t>
        </is>
      </c>
      <c r="B227" s="4" t="inlineStr">
        <is>
          <t xml:space="preserve">ARRIENDO SOPORTE Y MANTENCIÓN DE CENTRAL TELEFONICA IP TELEFONOS IP Y PLATAFORMA DE CONTACT CENTER</t>
        </is>
      </c>
      <c r="C227" s="0">
        <v>1</v>
      </c>
      <c r="D227" s="4" t="inlineStr">
        <is>
          <t xml:space="preserve">Sistemas de alarma</t>
        </is>
      </c>
      <c r="E227" s="4" t="inlineStr">
        <is>
          <t xml:space="preserve">Equipos y suministros de defensa, orden público, protección y seguridad / Seguridad, vigilancia y detección / Equipo de vigilancia y detección</t>
        </is>
      </c>
      <c r="F227" s="0">
        <v>1.0</v>
      </c>
      <c r="G227" s="0" t="inlineStr">
        <is>
          <t xml:space="preserve">Global</t>
        </is>
      </c>
      <c r="H227" s="4" t="inlineStr">
        <is>
          <t xml:space="preserve">ARRIENDO, INSTALACIÓN, SOPORTE Y MANTENCIÓN DE CENTRAL TELEFÓNICA, EQUIPOS TELEFÓNICOS Y PLATAFORMA DE ATENCIÓN TELEFÓNICA</t>
        </is>
      </c>
    </row>
    <row r="228">
      <c r="A228" s="0" t="inlineStr">
        <is>
          <t xml:space="preserve">2342-36-LR26</t>
        </is>
      </c>
      <c r="B228" s="4" t="inlineStr">
        <is>
          <t xml:space="preserve">CONCESIÓN DE ESTACIONAMIENTOS EN CALLES DE LA ZONA CENTRO DE LA COMUNA DE SAN BERNARDO APLICANDO SISTEMA DE CONTROL DE TIEMPO DE USO CAPTADORES DE DATOS</t>
        </is>
      </c>
      <c r="C228" s="0">
        <v>1</v>
      </c>
      <c r="D228" s="4" t="inlineStr">
        <is>
          <t xml:space="preserve">Estacionamientos</t>
        </is>
      </c>
      <c r="E228" s="4" t="inlineStr">
        <is>
          <t xml:space="preserve">Servicios de transporte, almacenaje y correo / Servicios de mantención o reparaciones de transportes / Combustible para vehículos de transporte, estacionamiento y otros servicios de apoyo</t>
        </is>
      </c>
      <c r="F228" s="0">
        <v>1.0</v>
      </c>
      <c r="G228" s="0" t="inlineStr">
        <is>
          <t xml:space="preserve">Unidad</t>
        </is>
      </c>
      <c r="H228" s="4" t="inlineStr">
        <is>
          <t xml:space="preserve">De acuerdo a lo indicado en Especificaciones Técnicas</t>
        </is>
      </c>
    </row>
    <row r="229">
      <c r="A229" s="0" t="inlineStr">
        <is>
          <t xml:space="preserve">2403-73-LR26</t>
        </is>
      </c>
      <c r="B229" s="4" t="inlineStr">
        <is>
          <t xml:space="preserve">Servicios de conectividad telecomunicaciones operación de infraestructura y gestión de ciberseguridad.</t>
        </is>
      </c>
      <c r="C229" s="0">
        <v>1</v>
      </c>
      <c r="D229" s="4" t="inlineStr">
        <is>
          <t xml:space="preserve">Instalación de sistemas de seguridad</t>
        </is>
      </c>
      <c r="E229" s="4" t="inlineStr">
        <is>
          <t xml:space="preserve">Servicios de construcción y mantenimiento / Servicios de atención, mantenimiento y reparaciones de edificios / Servicios eléctricos</t>
        </is>
      </c>
      <c r="F229" s="0">
        <v>1.0</v>
      </c>
      <c r="G229" s="0" t="inlineStr">
        <is>
          <t xml:space="preserve">Global</t>
        </is>
      </c>
      <c r="H229"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30">
      <c r="A230" s="0" t="inlineStr">
        <is>
          <t xml:space="preserve">1969-34-LS19</t>
        </is>
      </c>
      <c r="B230" s="4" t="inlineStr">
        <is>
          <t xml:space="preserve">AUTOMATIZACIÓN PORTÓN ACCESO A LINEA DE FUEGO</t>
        </is>
      </c>
      <c r="C230" s="0">
        <v>1</v>
      </c>
      <c r="D230" s="4" t="inlineStr">
        <is>
          <t xml:space="preserve">Puertas de metal</t>
        </is>
      </c>
      <c r="E230" s="4" t="inlineStr">
        <is>
          <t xml:space="preserve">Artículos para estructuras, obras y construcciones / Puertas, ventanas y vidrios / Puertas</t>
        </is>
      </c>
      <c r="F230" s="0">
        <v>1.0</v>
      </c>
      <c r="G230" s="0" t="inlineStr">
        <is>
          <t xml:space="preserve">Unidad</t>
        </is>
      </c>
      <c r="H230" s="4" t="inlineStr">
        <is>
          <t xml:space="preserve">AUTOMATIZACIÓN DE PORTÓN ACCESO A LINEA DE FUEGO C.P. CONCEPCIÓN</t>
        </is>
      </c>
    </row>
  </sheetData>
  <autoFilter ref="A1:H230"/>
</worksheet>
</file>