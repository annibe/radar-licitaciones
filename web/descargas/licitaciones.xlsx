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3000-34-LE26</t>
        </is>
      </c>
      <c r="B2" s="4" t="inlineStr">
        <is>
          <t xml:space="preserve">Relojes Control de Asistencia Software de Gestión</t>
        </is>
      </c>
      <c r="C2" s="0" t="inlineStr">
        <is>
          <t xml:space="preserve">Publicada</t>
        </is>
      </c>
      <c r="D2" s="0" t="inlineStr">
        <is>
          <t xml:space="preserve">I MUNICIPALIDAD DE MONTEPATRIA</t>
        </is>
      </c>
      <c r="E2" s="0" t="inlineStr">
        <is>
          <t xml:space="preserve">Dirección  Adm. y  Finanzas</t>
        </is>
      </c>
      <c r="F2" s="0" t="inlineStr">
        <is>
          <t xml:space="preserve">Región de Coquimbo </t>
        </is>
      </c>
      <c r="G2" s="0" t="inlineStr">
        <is>
          <t xml:space="preserve">Monte Patria</t>
        </is>
      </c>
      <c r="H2" s="2">
        <v>46304.464792</v>
      </c>
      <c r="I2" s="2">
        <v>46314.625</v>
      </c>
      <c r="J2" s="0">
        <v>10</v>
      </c>
      <c r="K2" s="3">
        <v>65824330.0</v>
      </c>
      <c r="L2" s="0" t="inlineStr">
        <is>
          <t xml:space="preserve">CLP</t>
        </is>
      </c>
      <c r="M2" s="0" t="inlineStr">
        <is>
          <t xml:space="preserve">LE</t>
        </is>
      </c>
      <c r="N2" s="4" t="inlineStr">
        <is>
          <t xml:space="preserve">Equipos, accesorios y suministros de oficina / Maquinarias, suministros y accesorios de oficina / Máquinas y accesorios para registro de hora y asistencia en la oficina</t>
        </is>
      </c>
      <c r="O2" s="4" t="inlineStr">
        <is>
          <t xml:space="preserve">20 Unidad · Reloj de control · 1 Global · Reloj de control · 1 Unidad · Reloj de control · y 3 más</t>
        </is>
      </c>
      <c r="P2" s="2"/>
      <c r="Q2" s="2"/>
      <c r="R2" s="0" t="inlineStr">
        <is>
          <t xml:space="preserve">36 meses</t>
        </is>
      </c>
      <c r="S2" s="0" t="inlineStr">
        <is>
          <t xml:space="preserve">No</t>
        </is>
      </c>
      <c r="T2" s="4"/>
      <c r="U2" s="0" t="inlineStr">
        <is>
          <t xml:space="preserve">Juan Fuentevilla Jofre</t>
        </is>
      </c>
      <c r="V2" s="4" t="inlineStr">
        <is>
          <t xml:space="preserve">Llámese a participar en la propuesta Pública para la provisión de Relojes Control de Asistencia, Capacitación, y Arriendo de Software de Gestión on-line para Reloj Control, durante un periodo de 36 meses. Lo anterior para las áreas Municipal y Salud de la Municipalidad de Monte Patria.</t>
        </is>
      </c>
      <c r="W2" s="5" t="str">
        <f>HYPERLINK("https://www.mercadopublico.cl/Procurement/Modules/Attachment/ViewAttachment.aspx?enc=DtB7TOuPii52Pax0pUr3J6GR1P3jtwh4msBcHrg0rWAJDM0OUt6cks1%2btJ6mKtG6TVBYmDwgLdbGcjdsxsQYceCaHJNLS1mCNhFn%2fDVohJHe6rr3VxraY8Y8oA6Kewq%2fQy5wYl2scaOt7VR9gMSi5tiSDZ8jzkNWpmS81HHhX6Wko1mkCN3Ol9NoVW98ir2sbnvP%2fGOOHFBFIfv953y%2fihBJkiy%2ff6vIJIKtQUqoilb6fOlihaqTDSbcNdzS8wy84rRqiBbFNOb6w9arSimEn5P2kXTbrtpa92YyjV6wMXWD3U%2blmqPhKsBfRL%2bSH%2bAA","descargar bases")</f>
      </c>
    </row>
    <row r="3">
      <c r="A3" s="0" t="inlineStr">
        <is>
          <t xml:space="preserve">4455-53-LE26</t>
        </is>
      </c>
      <c r="B3" s="4" t="inlineStr">
        <is>
          <t xml:space="preserve">SERVICIO ARRIENDO DE SOFWARE DE ASISTENCIA CLOUD</t>
        </is>
      </c>
      <c r="C3" s="0" t="inlineStr">
        <is>
          <t xml:space="preserve">Publicada</t>
        </is>
      </c>
      <c r="D3" s="0" t="inlineStr">
        <is>
          <t xml:space="preserve">I MUNICIPALIDAD DE ARAUCO</t>
        </is>
      </c>
      <c r="E3" s="0" t="inlineStr">
        <is>
          <t xml:space="preserve">Ilustre Municipalidad de Arauco - Educación</t>
        </is>
      </c>
      <c r="F3" s="0" t="inlineStr">
        <is>
          <t xml:space="preserve">Región del Biobío </t>
        </is>
      </c>
      <c r="G3" s="0"/>
      <c r="H3" s="2">
        <v>46303.608819</v>
      </c>
      <c r="I3" s="2">
        <v>46314.73125</v>
      </c>
      <c r="J3" s="0">
        <v>10</v>
      </c>
      <c r="K3" s="3"/>
      <c r="L3" s="0" t="inlineStr">
        <is>
          <t xml:space="preserve">CLP</t>
        </is>
      </c>
      <c r="M3" s="0" t="inlineStr">
        <is>
          <t xml:space="preserve">LE</t>
        </is>
      </c>
      <c r="N3" s="4" t="inlineStr">
        <is>
          <t xml:space="preserve">Equipos, accesorios y suministros de oficina / Maquinarias, suministros y accesorios de oficina / Máquinas y accesorios para registro de hora y asistencia en la oficina</t>
        </is>
      </c>
      <c r="O3" s="4" t="inlineStr">
        <is>
          <t xml:space="preserve">1 Unidad · Reloj de control</t>
        </is>
      </c>
      <c r="P3" s="2"/>
      <c r="Q3" s="2"/>
      <c r="R3" s="0" t="inlineStr">
        <is>
          <t xml:space="preserve">14 meses</t>
        </is>
      </c>
      <c r="S3" s="0" t="inlineStr">
        <is>
          <t xml:space="preserve">No</t>
        </is>
      </c>
      <c r="T3" s="4"/>
      <c r="U3" s="0" t="inlineStr">
        <is>
          <t xml:space="preserve">Henry Salazar Pastrana</t>
        </is>
      </c>
      <c r="V3" s="4" t="inlineStr">
        <is>
          <t xml:space="preserve">Servicio Arriendo de SOFTWARE de Asistencia Cloud para Establecimientos Educacionales, Jardines, Salas Cunas de la Comuna y Departamento de Educación Municipal, por 14 meses</t>
        </is>
      </c>
      <c r="W3" s="5" t="str">
        <f>HYPERLINK("https://www.mercadopublico.cl/Procurement/Modules/Attachment/ViewAttachment.aspx?enc=CksxCd2vCJF7IbV9Z0kmhgmv32QNVL6H6pjmvgA17tF8TCk%2bLrHVhqg0WV7KayaSbrDK7JEQ%2bBQEcaaLmebiFsCWut5e6oC4LSBPT04RKeovyCNSaBH4TkXLXDcvBha7dLWVROSEhZausehBEV5nr5PsgbbuDd8NfXnHM%2bYANjK8hEqBcG8O86Md8T5kvVOHXpHb%2btxJ3ufHJmeyZ99wIjbpYlGOIutVDM2KdIMs1qFnMF1Pn1ccRbeieKxt3I1Rj6E7KzcE18wrTYgmsU15cWyKHs9QFYuUWDQl1S9CgYPdsacotRZogI%2fsLGlhsZUY","descargar bases")</f>
      </c>
    </row>
    <row r="4">
      <c r="A4" s="0" t="inlineStr">
        <is>
          <t xml:space="preserve">1107281-6-LE26</t>
        </is>
      </c>
      <c r="B4" s="4" t="inlineStr">
        <is>
          <t xml:space="preserve">COMPRA SOFTWARE COMPATIBLE CON EQUIPO HPLC AGILENT</t>
        </is>
      </c>
      <c r="C4" s="0" t="inlineStr">
        <is>
          <t xml:space="preserve">Publicada</t>
        </is>
      </c>
      <c r="D4" s="0" t="inlineStr">
        <is>
          <t xml:space="preserve">INIA</t>
        </is>
      </c>
      <c r="E4" s="0" t="inlineStr">
        <is>
          <t xml:space="preserve">CARILLANCA</t>
        </is>
      </c>
      <c r="F4" s="0" t="inlineStr">
        <is>
          <t xml:space="preserve">Región de la Araucanía </t>
        </is>
      </c>
      <c r="G4" s="0" t="inlineStr">
        <is>
          <t xml:space="preserve">Vilcún</t>
        </is>
      </c>
      <c r="H4" s="2">
        <v>46304.465972</v>
      </c>
      <c r="I4" s="2">
        <v>46315.629861</v>
      </c>
      <c r="J4" s="0">
        <v>11</v>
      </c>
      <c r="K4" s="3">
        <v>10400000.0</v>
      </c>
      <c r="L4" s="0" t="inlineStr">
        <is>
          <t xml:space="preserve">CLP</t>
        </is>
      </c>
      <c r="M4" s="0" t="inlineStr">
        <is>
          <t xml:space="preserve">LE</t>
        </is>
      </c>
      <c r="N4" s="4" t="inlineStr">
        <is>
          <t xml:space="preserve">Tecnologías de la información, telecomunicaciones y radiodifusión / Software / Programas de desarrollo</t>
        </is>
      </c>
      <c r="O4" s="4" t="inlineStr">
        <is>
          <t xml:space="preserve">1 Unidad · Software de desarrollo de interfaz gráfica de usuario</t>
        </is>
      </c>
      <c r="P4" s="2"/>
      <c r="Q4" s="2"/>
      <c r="R4" s="0"/>
      <c r="S4" s="0" t="inlineStr">
        <is>
          <t xml:space="preserve">No</t>
        </is>
      </c>
      <c r="T4" s="4"/>
      <c r="U4" s="0" t="inlineStr">
        <is>
          <t xml:space="preserve">ALDO MARCELO ARRIAGADA RÍOS</t>
        </is>
      </c>
      <c r="V4" s="4" t="inlineStr">
        <is>
          <t xml:space="preserve">Se requiere la adquisición de un (1) software compatible de control cromatográfico para su equipo HPLC Agilent existente, incluyendo un computador apto para su instalación y operación. El oferente debe incluir la capacitación al encargado del equipo en INIA, con el fin de realizar análisis de metabolitos secundarios, proteínas, pigmentos y otros compuestos necesarios para una adecuada caracterización de los materiales editados derivados del proyecto Plataforma de edición génica en arveja y trigo</t>
        </is>
      </c>
      <c r="W4" s="5" t="str">
        <f>HYPERLINK("https://www.mercadopublico.cl/Procurement/Modules/Attachment/ViewAttachment.aspx?enc=k6QFz75sAdr85vIX4bPchJ6xLN513ByzHrMpkI7%2bwLaBZ3wdIWp6Eqrzw8CDNkSMcIVUq0LP%2fK4a%2fIzOQ9g5RSV1xzfCsVQR1wjTGHX1VpsqWqGbVSpUXGrKDvVjSjPyXf76q9y7kAe7glUivcVxOJWNTu9ANDLeRFeH1qeXJYPlEetzwlFNOd7akKKRy4OnQ8E2R43yu%2fidpH9TvfSba4t6B%2fcaGMkFJ05P0yIn7cJLGzmc3gFcBkv6Cktyv1KONbvwjyGCieCZvADi%2fuIFIV2vQHxMSzDPW%2f6WnX%2f0NEkC32hwfRwoLBQEUPdx8Lrf","descargar bases")</f>
      </c>
    </row>
    <row r="5">
      <c r="A5" s="0" t="inlineStr">
        <is>
          <t xml:space="preserve">2981-293-LE26</t>
        </is>
      </c>
      <c r="B5" s="4" t="inlineStr">
        <is>
          <t xml:space="preserve">ADQUISICIÓN DE 100 GPS TRACKER CON PLATAFORMA INTEGRADA GEOESPACIAL Y DE TRAZABILIDAD Y SU RESPECTIVO EQUIPAMIENTO EJECUCIÓN DEL PLAN CALLE SIN VIOLENCIA</t>
        </is>
      </c>
      <c r="C5" s="0" t="inlineStr">
        <is>
          <t xml:space="preserve">Publicada</t>
        </is>
      </c>
      <c r="D5" s="0" t="inlineStr">
        <is>
          <t xml:space="preserve">POLICIA DE INVESTIGACIONES DE CHILE</t>
        </is>
      </c>
      <c r="E5" s="0" t="inlineStr">
        <is>
          <t xml:space="preserve">DEPARTAMENTO ADMINISTRATIVO</t>
        </is>
      </c>
      <c r="F5" s="0" t="inlineStr">
        <is>
          <t xml:space="preserve">Región Metropolitana de Santiago</t>
        </is>
      </c>
      <c r="G5" s="0" t="inlineStr">
        <is>
          <t xml:space="preserve">Santiago Centro</t>
        </is>
      </c>
      <c r="H5" s="2">
        <v>46304.491053</v>
      </c>
      <c r="I5" s="2">
        <v>46315.625</v>
      </c>
      <c r="J5" s="0">
        <v>11</v>
      </c>
      <c r="K5" s="3"/>
      <c r="L5" s="0" t="inlineStr">
        <is>
          <t xml:space="preserve">CLP</t>
        </is>
      </c>
      <c r="M5" s="0" t="inlineStr">
        <is>
          <t xml:space="preserve">LE</t>
        </is>
      </c>
      <c r="N5" s="4" t="inlineStr">
        <is>
          <t xml:space="preserve">Muebles, accesorios, electrodomésticos y productos electrónicos / Equipos y accesorios audiovisuales / Equipos audiovisuales y de electrónica menor</t>
        </is>
      </c>
      <c r="O5" s="4" t="inlineStr">
        <is>
          <t xml:space="preserve">100 Unidad · Receptores GPS</t>
        </is>
      </c>
      <c r="P5" s="2"/>
      <c r="Q5" s="2"/>
      <c r="R5" s="0"/>
      <c r="S5" s="0" t="inlineStr">
        <is>
          <t xml:space="preserve">No</t>
        </is>
      </c>
      <c r="T5" s="4" t="inlineStr">
        <is>
          <t xml:space="preserve">SEGÚN ART. 51 DE RESOLEX N°851 DE 08.OCT.026, DEPADM</t>
        </is>
      </c>
      <c r="U5" s="0" t="inlineStr">
        <is>
          <t xml:space="preserve">DAYANA MORI GONZALEZ</t>
        </is>
      </c>
      <c r="V5" s="4" t="inlineStr">
        <is>
          <t xml:space="preserve">ADQUISICIÓN DE 100 GPS TRACKER CON PLATAFORMA INTEGRADA GEOESPACIAL Y DE TRAZABILIDAD Y SU RESPECTIVO EQUIPAMIENTO EJECUCIÓN DEL PLAN CALLE SIN VIOLENCIA</t>
        </is>
      </c>
      <c r="W5" s="5" t="str">
        <f>HYPERLINK("https://www.mercadopublico.cl/Procurement/Modules/Attachment/ViewAttachment.aspx?enc=azhNuhEMWzwLFz4D%2bDheJayhigumJOH%2brAN0xmQyYGBZCYxNWir92T%2fkzHZrVQKgueNcAXrvKGAbtaGSJx8N36BoPiI0V1oLDE2HZUGqBPM6vFwmPoLHi2YgzyLd%2bgbW87gezO1zcCbq2saWqnaSxbWeEjdgjPiq32J7m82cGNK8uq3HyPOSBYRqZinNQZafalGCKfV%2blcH5l4oTMFFrKDekpJi26fCo8jbUn13Aq155nw3WAmdrQ7rby0iQNHy6dWYeCvhsX423VQxsh46X4Jj%2fq8O%2fM1nU9E29q8uBc7lWgz%2bFN1mrOpEqFvLNQ0ji","descargar bases")</f>
      </c>
    </row>
    <row r="6">
      <c r="A6" s="0" t="inlineStr">
        <is>
          <t xml:space="preserve">4469-213-L126</t>
        </is>
      </c>
      <c r="B6" s="4" t="inlineStr">
        <is>
          <t xml:space="preserve">S.C. N° 40675(U.F.), LICENCIA WI FI MERAKI MR ENTERPRISE POR 12 MESES. INFORMÁTICA UPLA. AIUE 2655.</t>
        </is>
      </c>
      <c r="C6" s="0" t="inlineStr">
        <is>
          <t xml:space="preserve">Publicada</t>
        </is>
      </c>
      <c r="D6" s="0" t="inlineStr">
        <is>
          <t xml:space="preserve">UNIVERSIDAD DE PLAYA ANCHA DE CIENCIAS DE LA EDUCACION</t>
        </is>
      </c>
      <c r="E6" s="0" t="inlineStr">
        <is>
          <t xml:space="preserve">ADQUISICIONES</t>
        </is>
      </c>
      <c r="F6" s="0" t="inlineStr">
        <is>
          <t xml:space="preserve">Región Metropolitana de Santiago</t>
        </is>
      </c>
      <c r="G6" s="0" t="inlineStr">
        <is>
          <t xml:space="preserve">Santiago</t>
        </is>
      </c>
      <c r="H6" s="2">
        <v>46303.69044</v>
      </c>
      <c r="I6" s="2">
        <v>46315.666667</v>
      </c>
      <c r="J6" s="0">
        <v>11</v>
      </c>
      <c r="K6" s="3">
        <v>4353541.0</v>
      </c>
      <c r="L6" s="0" t="inlineStr">
        <is>
          <t xml:space="preserve">CLP</t>
        </is>
      </c>
      <c r="M6" s="0" t="inlineStr">
        <is>
          <t xml:space="preserve">L1</t>
        </is>
      </c>
      <c r="N6" s="4" t="inlineStr">
        <is>
          <t xml:space="preserve">Tecnologías de la información, telecomunicaciones y radiodifusión / Software / Software de gestión</t>
        </is>
      </c>
      <c r="O6" s="4" t="inlineStr">
        <is>
          <t xml:space="preserve">49 Unidad · Software de sistema experto</t>
        </is>
      </c>
      <c r="P6" s="2"/>
      <c r="Q6" s="2"/>
      <c r="R6" s="0"/>
      <c r="S6" s="0" t="inlineStr">
        <is>
          <t xml:space="preserve">No</t>
        </is>
      </c>
      <c r="T6" s="4"/>
      <c r="U6" s="0"/>
      <c r="V6" s="4" t="inlineStr">
        <is>
          <t xml:space="preserve">S.C. N° 40675(U.F.), LICENCIA WI FI MERAKI MR ENTERPRISE POR 12 MESES. INFORMÁTICA UPLA. AIUE 2655.</t>
        </is>
      </c>
      <c r="W6" s="5" t="str">
        <f>HYPERLINK("https://www.mercadopublico.cl/Procurement/Modules/Attachment/ViewAttachment.aspx?enc=Tr5MK7hPnmZLjLXZwDp%2bOWPele%2f6jL7Dr2W63CktFIsaZBaRCd7FE%2f5D%2fQGXG6iLgmBhzZKJap%2bhb494%2bRyqLhjGhqubT8YQSYRwZo0fqM%2bsLHq4IFsVC9fRVV9iTGl9TYSABFS3kbzx2%2bUMfHULMhkboe%2bAgeUgF%2fp%2fYgKEUn%2bPAlBwoTEJXfF2s7t6XHdHOrRSfL0RRXmjeYR2EX40C3cBRCPsjj0DnPu%2b0iHyEgKhdyhR%2f9i6i5RPRkYLoXFfhDq25uGMr3ZjN8ZFIP9obR3SyiB1KRdm0TZwA8mCFXg3cADtpc9aVMIN5G%2bI2hgd","descargar bases")</f>
      </c>
    </row>
    <row r="7">
      <c r="A7" s="0" t="inlineStr">
        <is>
          <t xml:space="preserve">1153624-24-L126</t>
        </is>
      </c>
      <c r="B7" s="4" t="inlineStr">
        <is>
          <t xml:space="preserve">Servicio de Ordenamiento de Cableado de Datos y Eléctrico en Datacenter y Rack de Comunicaciones</t>
        </is>
      </c>
      <c r="C7" s="0" t="inlineStr">
        <is>
          <t xml:space="preserve">Publicada</t>
        </is>
      </c>
      <c r="D7" s="0" t="inlineStr">
        <is>
          <t xml:space="preserve">SUBSECRETARIA DE RELACIONES ECONOMICAS INTERNACIONALES</t>
        </is>
      </c>
      <c r="E7" s="0" t="inlineStr">
        <is>
          <t xml:space="preserve">Departamento Adquisiciones MN</t>
        </is>
      </c>
      <c r="F7" s="0" t="inlineStr">
        <is>
          <t xml:space="preserve">Región Metropolitana de Santiago</t>
        </is>
      </c>
      <c r="G7" s="0" t="inlineStr">
        <is>
          <t xml:space="preserve">Santiago</t>
        </is>
      </c>
      <c r="H7" s="2">
        <v>46303.678692</v>
      </c>
      <c r="I7" s="2">
        <v>46316.625</v>
      </c>
      <c r="J7" s="0">
        <v>12</v>
      </c>
      <c r="K7" s="3">
        <v>900000.0</v>
      </c>
      <c r="L7" s="0" t="inlineStr">
        <is>
          <t xml:space="preserve">CLP</t>
        </is>
      </c>
      <c r="M7" s="0" t="inlineStr">
        <is>
          <t xml:space="preserve">L1</t>
        </is>
      </c>
      <c r="N7" s="4" t="inlineStr">
        <is>
          <t xml:space="preserve">Tecnologías de la información, telecomunicaciones y radiodifusión / Componentes para tecnología de la información, difusión o telecomunicaciones / Subconjuntos para dispositivos electrónicos</t>
        </is>
      </c>
      <c r="O7" s="4" t="inlineStr">
        <is>
          <t xml:space="preserve">1 Unidad · Conjuntos de cableado</t>
        </is>
      </c>
      <c r="P7" s="2"/>
      <c r="Q7" s="2"/>
      <c r="R7" s="0"/>
      <c r="S7" s="0" t="inlineStr">
        <is>
          <t xml:space="preserve">No</t>
        </is>
      </c>
      <c r="T7" s="4"/>
      <c r="U7" s="0"/>
      <c r="V7" s="4" t="inlineStr">
        <is>
          <t xml:space="preserve">La Subsecretaría de Relaciones Económicas Internacionales invita a participar en el proceso de contratación del servicio de ordenamiento de cableado de datos y eléctrico en   datacenter y rack en el edificio ubicado en San Martín 88.</t>
        </is>
      </c>
      <c r="W7" s="5" t="str">
        <f>HYPERLINK("https://www.mercadopublico.cl/Procurement/Modules/Attachment/ViewAttachment.aspx?enc=rBrBwolzfhGrAsUnAG2ymkmmBnSPGTQTmiiAitRnGOWhf%2fgGIjCS94fJOPzdlb9rcUwQU4o%2fnsPponV9wUOwgLRK7Yy8Afftap%2fYNGYrBMiiknW7iw6PWJQ5jES3RlK5OdktcJ%2bCSwbhVQPeJtZqsDyprNWO0NagZo0KYJL0TJseyYKMy6L4D%2bEbDX68KFKTbjxrCIKs%2b6qhBu0z4cHUz0tMTUHJeqn1NENXuNWD4oLxEIufRPH27byLT664Hb%2bHw%2fZYWP0mtm164Opzh1MJDpP1vq2c8g9St0Czmb11sP4Oo79envjYD%2fJgiJysZCKH","descargar bases")</f>
      </c>
    </row>
    <row r="8">
      <c r="A8" s="0" t="inlineStr">
        <is>
          <t xml:space="preserve">1469-267-L126</t>
        </is>
      </c>
      <c r="B8" s="4" t="inlineStr">
        <is>
          <t xml:space="preserve">Servicio de Mantenimiento UPS del Centro de Datos en Campus Talca de la Universidad de Talca</t>
        </is>
      </c>
      <c r="C8" s="0" t="inlineStr">
        <is>
          <t xml:space="preserve">Publicada</t>
        </is>
      </c>
      <c r="D8" s="0" t="inlineStr">
        <is>
          <t xml:space="preserve">UNIVERSIDAD DE TALCA</t>
        </is>
      </c>
      <c r="E8" s="0" t="inlineStr">
        <is>
          <t xml:space="preserve">Universidad de Talca</t>
        </is>
      </c>
      <c r="F8" s="0" t="inlineStr">
        <is>
          <t xml:space="preserve">Región del Maule </t>
        </is>
      </c>
      <c r="G8" s="0" t="inlineStr">
        <is>
          <t xml:space="preserve">Talca</t>
        </is>
      </c>
      <c r="H8" s="2">
        <v>46303.7375</v>
      </c>
      <c r="I8" s="2">
        <v>46317.5</v>
      </c>
      <c r="J8" s="0">
        <v>13</v>
      </c>
      <c r="K8" s="3">
        <v>6975100.0</v>
      </c>
      <c r="L8" s="0" t="inlineStr">
        <is>
          <t xml:space="preserve">CLP</t>
        </is>
      </c>
      <c r="M8" s="0" t="inlineStr">
        <is>
          <t xml:space="preserve">L1</t>
        </is>
      </c>
      <c r="N8" s="4" t="inlineStr">
        <is>
          <t xml:space="preserve">Servicios de construcción y mantenimiento / Servicios de atención, mantenimiento y reparaciones de edificios / Servicios eléctricos</t>
        </is>
      </c>
      <c r="O8" s="4" t="inlineStr">
        <is>
          <t xml:space="preserve">1 Unidad · Instalación o servicio de sistemas de energía eléctrica</t>
        </is>
      </c>
      <c r="P8" s="2"/>
      <c r="Q8" s="2"/>
      <c r="R8" s="0"/>
      <c r="S8" s="0" t="inlineStr">
        <is>
          <t xml:space="preserve">No</t>
        </is>
      </c>
      <c r="T8" s="4"/>
      <c r="U8" s="0"/>
      <c r="V8" s="4" t="inlineStr">
        <is>
          <t xml:space="preserve">La Universidad de Talca requiere la realización del servicio de mantenimiento preventivo para la UPS marca Liebert, modelo APM 150K, ubicada en el Centro de Datos, del Campus Talca (Lircay) de la Universidad de Talca.</t>
        </is>
      </c>
      <c r="W8" s="5" t="str">
        <f>HYPERLINK("https://www.mercadopublico.cl/Procurement/Modules/Attachment/ViewAttachment.aspx?enc=kOe2Shp%2fzOUZIDkR%2b%2fqgaymb%2bGTLTUQx6xipGs07CRhdqXtFfDLFmNW8k9ESgHitXVGl%2bWS61k%2buA41qiJRKvlCtKsLtyyh45hGvu%2fqHZ5nmbNWPePuJ5LFEajryrgRTs0GlBnX2SIIjX%2fzN16AFYEbLPNBAA%2fV1zwcdSUDY8dGVewP0HaPd74ny5%2fRunJKhEYAvXbNP3yEx35AWGfrxlaAkAlWZSMK6f8r79FZD7AbQUcxDDcn%2fDmJM%2fMN7%2bSQMm6z1JPiEknaysBn7Xk58%2bRLyXZN2FCS0JcTWrXnOco%2bacBy34Gki936pQKQvE7Uz","descargar bases")</f>
      </c>
    </row>
    <row r="9">
      <c r="A9" s="0" t="inlineStr">
        <is>
          <t xml:space="preserve">598-26-LE26</t>
        </is>
      </c>
      <c r="B9" s="4" t="inlineStr">
        <is>
          <t xml:space="preserve">Licencia Automatización de Procesos IFM por 36 mes</t>
        </is>
      </c>
      <c r="C9" s="0" t="inlineStr">
        <is>
          <t xml:space="preserve">Publicada</t>
        </is>
      </c>
      <c r="D9" s="0" t="inlineStr">
        <is>
          <t xml:space="preserve">DIRECCION PREVISION DE CARABINEROS DE CHILE</t>
        </is>
      </c>
      <c r="E9" s="0" t="inlineStr">
        <is>
          <t xml:space="preserve">Unidad de Abastecimiento DIPRECA</t>
        </is>
      </c>
      <c r="F9" s="0" t="inlineStr">
        <is>
          <t xml:space="preserve">Región Metropolitana de Santiago</t>
        </is>
      </c>
      <c r="G9" s="0" t="inlineStr">
        <is>
          <t xml:space="preserve">Santiago</t>
        </is>
      </c>
      <c r="H9" s="2">
        <v>46304.477535</v>
      </c>
      <c r="I9" s="2">
        <v>46318.395833</v>
      </c>
      <c r="J9" s="0">
        <v>14</v>
      </c>
      <c r="K9" s="3">
        <v>24000000.0</v>
      </c>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1 Unidad · Software de gestión de licencias</t>
        </is>
      </c>
      <c r="P9" s="2"/>
      <c r="Q9" s="2"/>
      <c r="R9" s="0"/>
      <c r="S9" s="0" t="inlineStr">
        <is>
          <t xml:space="preserve">No</t>
        </is>
      </c>
      <c r="T9" s="4"/>
      <c r="U9" s="0" t="inlineStr">
        <is>
          <t xml:space="preserve">Alex Saavedra</t>
        </is>
      </c>
      <c r="V9" s="4" t="inlineStr">
        <is>
          <t xml:space="preserve">Se requiere contratar el servicio de suscripción y licenciamiento de la plataforma de
Automatización de Procesos IFM por un período de 36 meses, destinada a gestionar y ejecutar
de forma automatizada el envío masivo de correos electrónicos con las boletas de pago de
pensiones adjuntas para los beneficiarios de la Dirección de Previsión de Carabineros de Chile.</t>
        </is>
      </c>
      <c r="W9" s="5" t="str">
        <f>HYPERLINK("https://www.mercadopublico.cl/Procurement/Modules/Attachment/ViewAttachment.aspx?enc=kCvF2ZjOUFWLja5i66bmrnNphOjb6sgBNdC5ZUrUMSt1Dfx4DXNkxlODF8vczpnWUN19LAfmPndHIU23Yo21zcVCbCBnojqbTaYWtgJOhyfuzDRZ%2fyXRh2QrVlEcd63UgTzitychrBbVDnfMLo4wGAirUn6vgPMFywL1piSuFoCw6IWh%2bnXruHSLLn%2bXEICiihuFt2QfWId6eOszXMZPSbrckh2Z1Z5qrfRNTSZd%2fzPkMfL4ik4CUhpl5T07vFEhc5%2bN0ne%2b4kgRtKaBXdYxDpdTm4JFSD3bpq5SuM9qVPkNgFHu6bzDglmzCV0VU8HD","descargar bases")</f>
      </c>
    </row>
    <row r="10">
      <c r="A10" s="0" t="inlineStr">
        <is>
          <t xml:space="preserve">3047-60-LE26</t>
        </is>
      </c>
      <c r="B10" s="4" t="inlineStr">
        <is>
          <t xml:space="preserve">EQUIPAMIENTO INFORMÁTICO PARA IMPLEMENTAR SERVIDOR EN EL CENTRO DE INNOVACIÓN TECNOLÓGICA DE LA ARMADA</t>
        </is>
      </c>
      <c r="C10" s="0" t="inlineStr">
        <is>
          <t xml:space="preserve">Publicada</t>
        </is>
      </c>
      <c r="D10" s="0" t="inlineStr">
        <is>
          <t xml:space="preserve">DIRECCION DE ABASTECIMIENTO DE LA ARMADA</t>
        </is>
      </c>
      <c r="E10" s="0" t="inlineStr">
        <is>
          <t xml:space="preserve">ACADEMIA POLITECNICA NAVAL</t>
        </is>
      </c>
      <c r="F10" s="0" t="inlineStr">
        <is>
          <t xml:space="preserve">Región de Valparaíso </t>
        </is>
      </c>
      <c r="G10" s="0"/>
      <c r="H10" s="2">
        <v>46303.664468</v>
      </c>
      <c r="I10" s="2">
        <v>46321.625</v>
      </c>
      <c r="J10" s="0">
        <v>17</v>
      </c>
      <c r="K10" s="3">
        <v>60000000.0</v>
      </c>
      <c r="L10" s="0" t="inlineStr">
        <is>
          <t xml:space="preserve">CLP</t>
        </is>
      </c>
      <c r="M10" s="0" t="inlineStr">
        <is>
          <t xml:space="preserve">LE</t>
        </is>
      </c>
      <c r="N10" s="4" t="inlineStr">
        <is>
          <t xml:space="preserve">Tecnologías de la información, telecomunicaciones y radiodifusión / Equipos informáticos y accesorios / Computadores</t>
        </is>
      </c>
      <c r="O10" s="4" t="inlineStr">
        <is>
          <t xml:space="preserve">1 Unidad · Servidores</t>
        </is>
      </c>
      <c r="P10" s="2"/>
      <c r="Q10" s="2"/>
      <c r="R10" s="0"/>
      <c r="S10" s="0" t="inlineStr">
        <is>
          <t xml:space="preserve">No</t>
        </is>
      </c>
      <c r="T10" s="4"/>
      <c r="U10" s="0" t="inlineStr">
        <is>
          <t xml:space="preserve">FRANCISCO LAYMUNS HEILMAIER</t>
        </is>
      </c>
      <c r="V10" s="4" t="inlineStr">
        <is>
          <t xml:space="preserve">EQUIPAMIENTO INFORMÁTICO PARA IMPLEMENTAR SERVIDOR EN EL CENTRO DE INNOVACIÓN TECNOLÓGICA DE LA ARMADA</t>
        </is>
      </c>
      <c r="W10" s="5" t="str">
        <f>HYPERLINK("https://www.mercadopublico.cl/Procurement/Modules/Attachment/ViewAttachment.aspx?enc=B4P8ozZG6cdXE1StYulUo75ToJNSg59N7bHn8qiOnxfbHbLxCF3RSmDGUdUeC4xd2lWnlab9ron8va1jM%2f%2bAQxgE%2bvtozkhMymDEkI%2fO2oN2NQQeACSiVmPwuzeIIcqGnKTEkGUbp9vYOnzmgd%2fGSuX6FeHnPg3d%2f2yKRNhrJaDWAzDGgAyrZHmepmRdtQT3YA94nKasOclTwgJvUfJh4FNcBuwZWk8c%2fSdLidqt2UIvyfNtthppNzNB%2bDsUHNcAxulXEMBeZXCzVcg4cMzsVYAsKmSP1s5BaP8vNM55Pf8K6dMF99j7F1JOJMP9tWH2","descargar bases")</f>
      </c>
    </row>
    <row r="11">
      <c r="A11" s="0" t="inlineStr">
        <is>
          <t xml:space="preserve">2308-90-LE26</t>
        </is>
      </c>
      <c r="B11" s="4" t="inlineStr">
        <is>
          <t xml:space="preserve">REPARACIÓN MODERNIZACIÓN PUESTA EN MARCHA Y CERTIFICACIÓN DEL ASCENSOR DEL EDIFICIO CONSISTORIAL OSORNO</t>
        </is>
      </c>
      <c r="C11" s="0" t="inlineStr">
        <is>
          <t xml:space="preserve">Publicada</t>
        </is>
      </c>
      <c r="D11" s="0" t="inlineStr">
        <is>
          <t xml:space="preserve">I MUNICIPALIDAD DE OSORNO</t>
        </is>
      </c>
      <c r="E11" s="0" t="inlineStr">
        <is>
          <t xml:space="preserve">SECRETARIA DE PLANIFICACION</t>
        </is>
      </c>
      <c r="F11" s="0" t="inlineStr">
        <is>
          <t xml:space="preserve">Región de los Lagos </t>
        </is>
      </c>
      <c r="G11" s="0" t="inlineStr">
        <is>
          <t xml:space="preserve">Osorno</t>
        </is>
      </c>
      <c r="H11" s="2">
        <v>46303.685648</v>
      </c>
      <c r="I11" s="2">
        <v>46322.416667</v>
      </c>
      <c r="J11" s="0">
        <v>18</v>
      </c>
      <c r="K11" s="3"/>
      <c r="L11" s="0" t="inlineStr">
        <is>
          <t xml:space="preserve">CLP</t>
        </is>
      </c>
      <c r="M11" s="0" t="inlineStr">
        <is>
          <t xml:space="preserve">LE</t>
        </is>
      </c>
      <c r="N11" s="4" t="inlineStr">
        <is>
          <t xml:space="preserve">Servicios de construcción y mantenimiento / Servicios de atención, mantenimiento y reparaciones de edificios / Servicios de apoyo para la construcción</t>
        </is>
      </c>
      <c r="O11" s="4" t="inlineStr">
        <is>
          <t xml:space="preserve">1 Unidad · Servicios de mantenimiento de ascensores</t>
        </is>
      </c>
      <c r="P11" s="2"/>
      <c r="Q11" s="2"/>
      <c r="R11" s="0"/>
      <c r="S11" s="0" t="inlineStr">
        <is>
          <t xml:space="preserve">No</t>
        </is>
      </c>
      <c r="T11" s="4"/>
      <c r="U11" s="0" t="inlineStr">
        <is>
          <t xml:space="preserve">I.MUNICIPALIDAD DE OSORNO</t>
        </is>
      </c>
      <c r="V11" s="4" t="inlineStr">
        <is>
          <t xml:space="preserve">La iniciativa tiene por objeto la contratación de un servicio técnico especializado para ejecutar las obras de reparación, pruebas, puesta en marcha y certificación del sistema de tracción y componentes críticos de Ascensor del Edificio Consistorial, garantizando la total seguridad y continuidad operativa del edificio., el cual se deberá ejecutar conforme a los requerimientos establecidos en las presentes bases administrativas y bases técnicas adjuntas.</t>
        </is>
      </c>
      <c r="W11" s="5" t="str">
        <f>HYPERLINK("https://www.mercadopublico.cl/Procurement/Modules/Attachment/ViewAttachment.aspx?enc=zPnfgd0dtMgnfJ0v93HVMTkoJp8otUs5yme2qxH10S%2f9S5SgrsNm3CfL%2fZIoBxgtg%2bAFqdKYdgOO1q2Xl%2fsTk283yu%2fDJK%2frjQsjkTQkOcclfyEtyj4Nft%2bBUWe2gBSoQzJCdppBe1wpx5tsQfwSGXzqr1H7cfSoz3S2ppGOyGwIOU5cn3BOd%2fFpDckCFZYXFt3AmD4m%2fzGW0y2%2f%2f8qA%2fOIKSzLclvF%2bOsEbwCPrpJUi3W9Hh4fyUzTVx9RbNbO9iJd21IgXKbI0NC%2fvZKtmco%2fa%2fnXd9AZzsmMSelNLZdxGvlu0FtC%2fhGbej3viEzZT","descargar bases")</f>
      </c>
    </row>
    <row r="12">
      <c r="A12" s="0" t="inlineStr">
        <is>
          <t xml:space="preserve">1005498-24-LP26</t>
        </is>
      </c>
      <c r="B12" s="4" t="inlineStr">
        <is>
          <t xml:space="preserve">SUSCRIPCIÓN DE LICENCIAS EN MODALIDAD CLOUD</t>
        </is>
      </c>
      <c r="C12" s="0" t="inlineStr">
        <is>
          <t xml:space="preserve">Publicada</t>
        </is>
      </c>
      <c r="D12" s="0" t="inlineStr">
        <is>
          <t xml:space="preserve">COMISION PARA EL MERCADO FINANCIERO</t>
        </is>
      </c>
      <c r="E12" s="0" t="inlineStr">
        <is>
          <t xml:space="preserve">COMISION PARA EL MERCADO FINANCIERO</t>
        </is>
      </c>
      <c r="F12" s="0" t="inlineStr">
        <is>
          <t xml:space="preserve">Región Metropolitana de Santiago</t>
        </is>
      </c>
      <c r="G12" s="0" t="inlineStr">
        <is>
          <t xml:space="preserve">Santiago Centro</t>
        </is>
      </c>
      <c r="H12" s="2">
        <v>46303.688009</v>
      </c>
      <c r="I12" s="2">
        <v>46323.666667</v>
      </c>
      <c r="J12" s="0">
        <v>19</v>
      </c>
      <c r="K12" s="3">
        <v>196000.0</v>
      </c>
      <c r="L12" s="0" t="inlineStr">
        <is>
          <t xml:space="preserve">USD</t>
        </is>
      </c>
      <c r="M12" s="0" t="inlineStr">
        <is>
          <t xml:space="preserve">LP</t>
        </is>
      </c>
      <c r="N12" s="4" t="inlineStr">
        <is>
          <t xml:space="preserve">Servicios basados en ingeniería, ciencias sociales y tecnología de la información / Servicios informáticos / Mantenimiento y soporte de software</t>
        </is>
      </c>
      <c r="O12" s="4" t="inlineStr">
        <is>
          <t xml:space="preserve">1 Global · Up grade de software</t>
        </is>
      </c>
      <c r="P12" s="2"/>
      <c r="Q12" s="2"/>
      <c r="R12" s="0" t="inlineStr">
        <is>
          <t xml:space="preserve">36 meses</t>
        </is>
      </c>
      <c r="S12" s="0" t="inlineStr">
        <is>
          <t xml:space="preserve">No</t>
        </is>
      </c>
      <c r="T12" s="4" t="inlineStr">
        <is>
          <t xml:space="preserve">No se permite según Art.13.2.2 de Bases de licitación</t>
        </is>
      </c>
      <c r="U12" s="0" t="inlineStr">
        <is>
          <t xml:space="preserve">CHRISTIAN METCALFE</t>
        </is>
      </c>
      <c r="V12"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12" s="5" t="str">
        <f>HYPERLINK("https://www.mercadopublico.cl/Procurement/Modules/Attachment/ViewAttachment.aspx?enc=rJcnbYKdURC3FyuvUjiJoFPQMfLiL2AOZndazf0R%2fJzFzM6753kBPAKXnwLV%2fLP3FFeJOW1GuUYVzI6UQ%2bIjjSVzUXqKXMx380VvXX%2fR7GardKg7zlZmG6gdvUQvXXqUCQcyBuwA%2bxL4nEPXZVAVomXKeNV30WPOOavFvJcipGJckC4e33UsNoCAdT71GlW9oPxXGZKvn41EDqJK%2bAqar4tffTHAWaU5bX9ZZxxZAymWlxiVjPzRdOfWnYC%2bFvOSfQq%2bPO6avRil1byd9SSVrjk5eUxr0SHwwcg2V9htYZVzZOkcT4%2fNl7ZetHDtIurT","descargar bases")</f>
      </c>
    </row>
    <row r="13">
      <c r="A13" s="0" t="inlineStr">
        <is>
          <t xml:space="preserve">2981-287-LP26</t>
        </is>
      </c>
      <c r="B13" s="4" t="inlineStr">
        <is>
          <t xml:space="preserve">CIBERSEGURIDAD- CONSULTORIA</t>
        </is>
      </c>
      <c r="C13" s="0" t="inlineStr">
        <is>
          <t xml:space="preserve">Publicada</t>
        </is>
      </c>
      <c r="D13" s="0" t="inlineStr">
        <is>
          <t xml:space="preserve">POLICIA DE INVESTIGACIONES DE CHILE</t>
        </is>
      </c>
      <c r="E13" s="0" t="inlineStr">
        <is>
          <t xml:space="preserve">DEPARTAMENTO ADMINISTRATIVO</t>
        </is>
      </c>
      <c r="F13" s="0" t="inlineStr">
        <is>
          <t xml:space="preserve">Región Metropolitana de Santiago</t>
        </is>
      </c>
      <c r="G13" s="0" t="inlineStr">
        <is>
          <t xml:space="preserve">Santiago Centro</t>
        </is>
      </c>
      <c r="H13" s="2">
        <v>46303.658333</v>
      </c>
      <c r="I13" s="2">
        <v>46323.625</v>
      </c>
      <c r="J13" s="0">
        <v>19</v>
      </c>
      <c r="K13" s="3">
        <v>80000000.0</v>
      </c>
      <c r="L13" s="0" t="inlineStr">
        <is>
          <t xml:space="preserve">CLP</t>
        </is>
      </c>
      <c r="M13" s="0" t="inlineStr">
        <is>
          <t xml:space="preserve">LP</t>
        </is>
      </c>
      <c r="N13" s="4" t="inlineStr">
        <is>
          <t xml:space="preserve">Servicios profesionales, administrativos y consultorías de gestión empresarial / Consultorías o asesorías en gestión empresarial / Servicios de consultoría en gestión de empresas</t>
        </is>
      </c>
      <c r="O13" s="4" t="inlineStr">
        <is>
          <t xml:space="preserve">1 Unidad · Asesorías en gestión estratégica</t>
        </is>
      </c>
      <c r="P13" s="2"/>
      <c r="Q13" s="2"/>
      <c r="R13" s="0" t="inlineStr">
        <is>
          <t xml:space="preserve">12 meses</t>
        </is>
      </c>
      <c r="S13" s="0" t="inlineStr">
        <is>
          <t xml:space="preserve">No</t>
        </is>
      </c>
      <c r="T13" s="4" t="inlineStr">
        <is>
          <t xml:space="preserve">No permite subcontratacion, Art 53 de las bases</t>
        </is>
      </c>
      <c r="U13" s="0" t="inlineStr">
        <is>
          <t xml:space="preserve">CRISTOPHER SILVA GUZMAN</t>
        </is>
      </c>
      <c r="V13" s="4" t="inlineStr">
        <is>
          <t xml:space="preserve">SE REQUIERE CONTRATAR LOS SERVICIOS DE CONSULTORIA SEGUN BASES ADMINISTRATIVAS, TECNICAS Y ANEXOS ADJUNTOS.</t>
        </is>
      </c>
      <c r="W13" s="5" t="str">
        <f>HYPERLINK("https://www.mercadopublico.cl/Procurement/Modules/Attachment/ViewAttachment.aspx?enc=fXkScA4CaENK8LdO1Hv1Q9WuLLxChygNMvfEtJwanj5QB8hrlNxnvuy%2bXYIjJCC1n9jM7QBBkzNW1TaV0iN%2bmjqGSQ5ZCkdRM4PeiMK06UWuIawyg9xIU64W3ELcW%2fXaIkUDUdlKmkrgLbx%2fOCVRvKmtN%2fei8ofHyB0ulnmDN9VBbgaoFg%2fb%2fTA8pNLDJf%2f3FCO2ZHJftoLgxvl4kFwcGKsAgjbwDg1o6usVu89krdm13Sdv3%2bCU132E1G6J63cq2hcpkoz7FgZeunIAPcrQ4Mef2aRC59wH%2bYRsRJ8YdAgg3TofNrLc1VauXWw7erY3","descargar bases")</f>
      </c>
    </row>
    <row r="14">
      <c r="A14" s="0" t="inlineStr">
        <is>
          <t xml:space="preserve">5512-18-LE26</t>
        </is>
      </c>
      <c r="B14" s="4" t="inlineStr">
        <is>
          <t xml:space="preserve">ADQUISICIÓN DE MINICOMPUTADORES PARA IA PROYECTO UTA 22991</t>
        </is>
      </c>
      <c r="C14" s="0" t="inlineStr">
        <is>
          <t xml:space="preserve">Publicada</t>
        </is>
      </c>
      <c r="D14" s="0" t="inlineStr">
        <is>
          <t xml:space="preserve">UNIVERSIDAD DE TARAPACA</t>
        </is>
      </c>
      <c r="E14" s="0" t="inlineStr">
        <is>
          <t xml:space="preserve">Convenio de Desempeño</t>
        </is>
      </c>
      <c r="F14" s="0" t="inlineStr">
        <is>
          <t xml:space="preserve">Región de Arica y Parinacota</t>
        </is>
      </c>
      <c r="G14" s="0" t="inlineStr">
        <is>
          <t xml:space="preserve">Iquique</t>
        </is>
      </c>
      <c r="H14" s="2">
        <v>46304.456655</v>
      </c>
      <c r="I14" s="2">
        <v>46323.666667</v>
      </c>
      <c r="J14" s="0">
        <v>19</v>
      </c>
      <c r="K14" s="3">
        <v>30000000.0</v>
      </c>
      <c r="L14" s="0" t="inlineStr">
        <is>
          <t xml:space="preserve">CLP</t>
        </is>
      </c>
      <c r="M14" s="0" t="inlineStr">
        <is>
          <t xml:space="preserve">LE</t>
        </is>
      </c>
      <c r="N14" s="4" t="inlineStr">
        <is>
          <t xml:space="preserve">Tecnologías de la información, telecomunicaciones y radiodifusión / Equipos informáticos y accesorios / Computadores</t>
        </is>
      </c>
      <c r="O14" s="4" t="inlineStr">
        <is>
          <t xml:space="preserve">3 Unidad · Computadores de escritorio</t>
        </is>
      </c>
      <c r="P14" s="2"/>
      <c r="Q14" s="2"/>
      <c r="R14" s="0"/>
      <c r="S14" s="0" t="inlineStr">
        <is>
          <t xml:space="preserve">No</t>
        </is>
      </c>
      <c r="T14" s="4" t="inlineStr">
        <is>
          <t xml:space="preserve">No permite subcontratación De acuerdo al Capítulo IX Contrato de suministro y servicio, párrafo 4 Cesión y subcontratación, Artículo 128. Subcontratación del reglamento de Ley Nº 19.886 sobre compras Públicas.</t>
        </is>
      </c>
      <c r="U14" s="0" t="inlineStr">
        <is>
          <t xml:space="preserve">Jefe de Proyecto, UTA 22991</t>
        </is>
      </c>
      <c r="V14"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14" s="5" t="str">
        <f>HYPERLINK("https://www.mercadopublico.cl/Procurement/Modules/Attachment/ViewAttachment.aspx?enc=oVQF4Wod9VagdsGIsTywBOACZ09hAMAsD56%2fD2V%2f85Fl5g5FI%2b%2fFzx8xG4EhSfrkJWZNfQ5aqK2zo7WyygfcVBeq%2b%2b2vlLNZjG8vLA33sTEsgJm1%2bCc8ub%2fKyPDatVseqA7N9NrIcfnu2UpUKqJhW%2bj%2br2xMHOsxvF8ynfkf8Ei%2bpV8po2OoEQysj7DQfR26Dw%2fRNeE%2f9lynsyJ3pqExLeD4wqinmoUAf1YCn8TxVVllorToxwxa8Y30NPIw2PIIaqYoulAwSnyxFNMsKXApLIu3q10nBWUVUTN4IKNjyJ0kO83Ad3%2bGNec4BpMPPscD","descargar bases")</f>
      </c>
    </row>
    <row r="15">
      <c r="A15" s="0" t="inlineStr">
        <is>
          <t xml:space="preserve">2982-48-LE26</t>
        </is>
      </c>
      <c r="B15" s="4" t="inlineStr">
        <is>
          <t xml:space="preserve">SERVICIO DE RENOVACIÓN Y ADQUISICIÓN DE LICENCIAS SOFTWARE DETEP - JENAED</t>
        </is>
      </c>
      <c r="C15" s="0" t="inlineStr">
        <is>
          <t xml:space="preserve">Publicada</t>
        </is>
      </c>
      <c r="D15" s="0" t="inlineStr">
        <is>
          <t xml:space="preserve">POLICIA DE INVESTIGACIONES DE CHILE</t>
        </is>
      </c>
      <c r="E15" s="0" t="inlineStr">
        <is>
          <t xml:space="preserve">JEFATURA NACIONAL DE EDUCACIÓN Y DOCTRINA (JENAED)</t>
        </is>
      </c>
      <c r="F15" s="0" t="inlineStr">
        <is>
          <t xml:space="preserve">Región Metropolitana de Santiago</t>
        </is>
      </c>
      <c r="G15" s="0" t="inlineStr">
        <is>
          <t xml:space="preserve">Estación Central</t>
        </is>
      </c>
      <c r="H15" s="2">
        <v>46303.729861</v>
      </c>
      <c r="I15" s="2">
        <v>46325.625</v>
      </c>
      <c r="J15" s="0">
        <v>21</v>
      </c>
      <c r="K15" s="3">
        <v>18063000.0</v>
      </c>
      <c r="L15" s="0" t="inlineStr">
        <is>
          <t xml:space="preserve">CLP</t>
        </is>
      </c>
      <c r="M15" s="0" t="inlineStr">
        <is>
          <t xml:space="preserve">LE</t>
        </is>
      </c>
      <c r="N15" s="4" t="inlineStr">
        <is>
          <t xml:space="preserve">Tecnologías de la información, telecomunicaciones y radiodifusión / Software / Software de gestión</t>
        </is>
      </c>
      <c r="O15" s="4" t="inlineStr">
        <is>
          <t xml:space="preserve">1 Kit · Software de gestión de licencias</t>
        </is>
      </c>
      <c r="P15" s="2"/>
      <c r="Q15" s="2"/>
      <c r="R15" s="0"/>
      <c r="S15" s="0" t="inlineStr">
        <is>
          <t xml:space="preserve">No</t>
        </is>
      </c>
      <c r="T15" s="4" t="inlineStr">
        <is>
          <t xml:space="preserve">Subcontratación permitida solo en servicios accesorios y despacho.</t>
        </is>
      </c>
      <c r="U15" s="0" t="inlineStr">
        <is>
          <t xml:space="preserve">LUIS ROJAS CASTRO</t>
        </is>
      </c>
      <c r="V15" s="4" t="inlineStr">
        <is>
          <t xml:space="preserve">Contar con las últimas actualizaciones de software, permitiendo cumplir con la alta demanda de requerimientos de capacitaciones y cursos en formato online que se llevan a cabo en término de desarrollo de aplicativos, como también permitiendo la administración y mantención proactiva de los distintos sistemas, bases de datos y plataforma de educación a distancia.</t>
        </is>
      </c>
      <c r="W15" s="5" t="str">
        <f>HYPERLINK("https://www.mercadopublico.cl/Procurement/Modules/Attachment/ViewAttachment.aspx?enc=ACr4NEhrHLrvXseS%2fUddyCXcaU5pK84kFA%2bG4MnCno4qL2cKXVsO73QyWie4mKbbBcc8XVuv7YXU31W91AR%2bzbtONKj42aA0CYkh%2fzDEUBy%2bXoccNqSFLQDqCyjGl6TmFW9HaJ2ECGAdMkfN%2b9JZapMQYOJwnKR7cbcWsohdJgk6zIpf98qU4riHfCHYN06Ymgx3jPFLTW8WraUNibhNrAjsj3H5BkTsUk3nHriFgr4Yw4MaDlXf1ZRk8qs6gCWYtI3mQAjqyVe%2fgZz%2fwDOjKqdcdISXdiEfqxF7JQejxGLwdluDSS0R3A231Gc2LY8e","descargar bases")</f>
      </c>
    </row>
    <row r="16">
      <c r="A16" s="0" t="inlineStr">
        <is>
          <t xml:space="preserve">1057898-85-LR26</t>
        </is>
      </c>
      <c r="B16" s="4" t="inlineStr">
        <is>
          <t xml:space="preserve">ADQUISICIÓN DE SOFTWARES HIS-ESB-BI Y ERP PARA EL NUEVO HOSPITAL REGIONAL DE ÑUBLE</t>
        </is>
      </c>
      <c r="C16" s="0" t="inlineStr">
        <is>
          <t xml:space="preserve">Publicada</t>
        </is>
      </c>
      <c r="D16" s="0" t="inlineStr">
        <is>
          <t xml:space="preserve">SERVICIO DE SALUD NUBLE</t>
        </is>
      </c>
      <c r="E16" s="0" t="inlineStr">
        <is>
          <t xml:space="preserve">Activos Fijos</t>
        </is>
      </c>
      <c r="F16" s="0" t="inlineStr">
        <is>
          <t xml:space="preserve">Región del Ñuble</t>
        </is>
      </c>
      <c r="G16" s="0" t="inlineStr">
        <is>
          <t xml:space="preserve">Chillán</t>
        </is>
      </c>
      <c r="H16" s="2">
        <v>46304.500741</v>
      </c>
      <c r="I16" s="2">
        <v>46349.708333</v>
      </c>
      <c r="J16" s="0">
        <v>45</v>
      </c>
      <c r="K16" s="3">
        <v>19373825000.0</v>
      </c>
      <c r="L16" s="0" t="inlineStr">
        <is>
          <t xml:space="preserve">CLP</t>
        </is>
      </c>
      <c r="M16" s="0" t="inlineStr">
        <is>
          <t xml:space="preserve">LR</t>
        </is>
      </c>
      <c r="N16" s="4" t="inlineStr">
        <is>
          <t xml:space="preserve">Tecnologías de la información, telecomunicaciones y radiodifusión / Software / Software de administración de redes</t>
        </is>
      </c>
      <c r="O16" s="4" t="inlineStr">
        <is>
          <t xml:space="preserve">1 Global · Software de administración · 1 Global · Software de administración</t>
        </is>
      </c>
      <c r="P16" s="2"/>
      <c r="Q16" s="2"/>
      <c r="R16" s="0" t="inlineStr">
        <is>
          <t xml:space="preserve">96 meses</t>
        </is>
      </c>
      <c r="S16" s="0" t="inlineStr">
        <is>
          <t xml:space="preserve">No</t>
        </is>
      </c>
      <c r="T16" s="4"/>
      <c r="U16" s="0" t="inlineStr">
        <is>
          <t xml:space="preserve">RODOLFO JIMENEZ</t>
        </is>
      </c>
      <c r="V16" s="4" t="inlineStr">
        <is>
          <t xml:space="preserve">El Servicio de Salud Ñuble requiere efectuar la ADQUISICIÓN DE SOFTWARES HIS-ESB-BI Y ERP PARA EL NUEVO HOSPITAL REGIONAL DE ÑUBLE, de acuerdo a las Bases Administrativas adjuntas y sus respectivos Anexos.</t>
        </is>
      </c>
      <c r="W16" s="5" t="str">
        <f>HYPERLINK("https://www.mercadopublico.cl/Procurement/Modules/Attachment/ViewAttachment.aspx?enc=8TRwsDLltpdT7u3c6j52QCbcB0EQgiTXqetTGi1lIX5w4PwKiXidbOhiNzZMJDASbvVcED8wgH4fpwIaIc2geZdgYKGoTbbgsZfp%2fOArRhY4tQeC4lhecs%2b8aNvMuXDEFXBoEHPjuGPtm0veswIJSmin7YR7paFy3fSxS4BGBtj2ToFlDE7VBIyOMLxS62NiHvCK05SWlZp0KCclcB6CE%2b%2fAspqQbY4SX8LEbtCA5BzQi%2f%2fUc7vlkCAV1gtQgQ4FxBOgTi634DRYnsKMUmmHsGC%2b%2b0JNd7yk1R35fLG%2fqUfR52ZzqKV18ABrCqXsHXiH","descargar bases")</f>
      </c>
    </row>
  </sheetData>
  <autoFilter ref="A1:W16"/>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3413-12-LE26</t>
        </is>
      </c>
      <c r="B2" s="4" t="inlineStr">
        <is>
          <t xml:space="preserve">Adquisicion de elementos informaticos para la VIDE</t>
        </is>
      </c>
      <c r="C2" s="0" t="inlineStr">
        <is>
          <t xml:space="preserve">Publicada</t>
        </is>
      </c>
      <c r="D2" s="0" t="inlineStr">
        <is>
          <t xml:space="preserve">DIVISION LOGISTICA DEL EJERCITO</t>
        </is>
      </c>
      <c r="E2" s="0" t="inlineStr">
        <is>
          <t xml:space="preserve">Cuartel General VI División de Ejército</t>
        </is>
      </c>
      <c r="F2" s="0" t="inlineStr">
        <is>
          <t xml:space="preserve">Región de Tarapacá  </t>
        </is>
      </c>
      <c r="G2" s="0" t="inlineStr">
        <is>
          <t xml:space="preserve">Iquique</t>
        </is>
      </c>
      <c r="H2" s="2">
        <v>46300.724109</v>
      </c>
      <c r="I2" s="2">
        <v>46308.625</v>
      </c>
      <c r="J2" s="0">
        <v>4</v>
      </c>
      <c r="K2" s="3">
        <v>12037326.0</v>
      </c>
      <c r="L2" s="0" t="inlineStr">
        <is>
          <t xml:space="preserve">CLP</t>
        </is>
      </c>
      <c r="M2" s="0" t="inlineStr">
        <is>
          <t xml:space="preserve">LE</t>
        </is>
      </c>
      <c r="N2" s="4" t="inlineStr">
        <is>
          <t xml:space="preserve">Equipos y suministros de imprenta, fotográficos y audiovisuales / Equipos de imprenta y publicación / Accesorios de imprenta, Tecnologías de la información, telecomunicaciones y radiodifusión / Equipos informáticos y accesorios / Dispositivos informáticos de entrada de datos, Tecnologías de la información, telecomunicaciones y radiodifusión / Software / Software de gestión</t>
        </is>
      </c>
      <c r="O2" s="4" t="inlineStr">
        <is>
          <t xml:space="preserve">6 Unidad · Software de gestión de licencias · 6 Unidad · Perforadoras impresoras · 6 Unidad · Escáner</t>
        </is>
      </c>
      <c r="P2" s="2"/>
      <c r="Q2" s="2"/>
      <c r="R2" s="0"/>
      <c r="S2" s="0" t="inlineStr">
        <is>
          <t xml:space="preserve">No</t>
        </is>
      </c>
      <c r="T2" s="4"/>
      <c r="U2" s="0" t="inlineStr">
        <is>
          <t xml:space="preserve">RODRIGO ALVAREZ ARELLANO</t>
        </is>
      </c>
      <c r="V2" s="4" t="inlineStr">
        <is>
          <t xml:space="preserve">Que, el Ejército de Chile, a través del Cuartel General de la VIDE, tiene la necesidad de adquirir elementos informáticos para las secciones de finanzas de la VI División de Ejército.</t>
        </is>
      </c>
      <c r="W2" s="5" t="str">
        <f>HYPERLINK("https://www.mercadopublico.cl/Procurement/Modules/Attachment/ViewAttachment.aspx?enc=QIUmHtskD4a8LIEGegZJ62INoiigUX3%2fDlG3m1g5EjijsMrNWt0AxGp4eICej7kQV0H3shlsMCvQJbF34zSbMEc0r2Gyez4zDxxpLE9jR7xGSyqLiKthd9XO2LGEG%2bPkGxQ1Cwnvs7Z%2fhPkQMcCDCEKLxhEOe9MGV7kkVO%2fhdvYdh%2fX8r9mM2%2b5HJAGn4XCFc5U7i2%2fOb9CdnQvN%2ffF66g4jrk8DOaxAhLLSHZtHkrsK270oDk3Hk6xWJiVyTL3AqNTXRcxHeq34MJRKEpaEwXVpMq5EBRJahHAitcEpaaIMYAxXmruzPOe7xmcXcUkC","descargar bases")</f>
      </c>
    </row>
    <row r="3">
      <c r="A3" s="0" t="inlineStr">
        <is>
          <t xml:space="preserve">1111089-20-LE26</t>
        </is>
      </c>
      <c r="B3" s="4" t="inlineStr">
        <is>
          <t xml:space="preserve">LICENCIAS DE SOFTWARE Y COMPLEMENTOS TECNOLÓGICOS</t>
        </is>
      </c>
      <c r="C3" s="0" t="inlineStr">
        <is>
          <t xml:space="preserve">Publicada</t>
        </is>
      </c>
      <c r="D3" s="0" t="inlineStr">
        <is>
          <t xml:space="preserve">Comisión Nacional de Investigación Científica y Tecnológicas - CONICYT</t>
        </is>
      </c>
      <c r="E3" s="0" t="inlineStr">
        <is>
          <t xml:space="preserve">Agencia Nacional de Investigación y Desarrollo</t>
        </is>
      </c>
      <c r="F3" s="0" t="inlineStr">
        <is>
          <t xml:space="preserve">Región Metropolitana de Santiago</t>
        </is>
      </c>
      <c r="G3" s="0" t="inlineStr">
        <is>
          <t xml:space="preserve">Santiago</t>
        </is>
      </c>
      <c r="H3" s="2">
        <v>46295.772187</v>
      </c>
      <c r="I3" s="2">
        <v>46308.625694</v>
      </c>
      <c r="J3" s="0">
        <v>4</v>
      </c>
      <c r="K3" s="3">
        <v>11090000.0</v>
      </c>
      <c r="L3" s="0" t="inlineStr">
        <is>
          <t xml:space="preserve">CLP</t>
        </is>
      </c>
      <c r="M3" s="0" t="inlineStr">
        <is>
          <t xml:space="preserve">LE</t>
        </is>
      </c>
      <c r="N3" s="4" t="inlineStr">
        <is>
          <t xml:space="preserve">Tecnologías de la información, telecomunicaciones y radiodifusión / Software / Programas de desarrollo, Tecnologías de la información, telecomunicaciones y radiodifusión / Software / Software de aplicaciones de red, Tecnologías de la información, telecomunicaciones y radiodifusión / Software / Software de controladores de dispositivos y utilidades, Tecnologías de la información, telecomunicaciones y radiodifusión / Software / Software de edición y creación de contenidos</t>
        </is>
      </c>
      <c r="O3" s="4" t="inlineStr">
        <is>
          <t xml:space="preserve">1 Unidad · Software de servidor de aplicaciones · 1 Unidad · Software de compresión de datos · 1 Unidad · Software de servidor de aplicaciones · y 4 más</t>
        </is>
      </c>
      <c r="P3" s="2"/>
      <c r="Q3" s="2"/>
      <c r="R3" s="0" t="inlineStr">
        <is>
          <t xml:space="preserve">12 meses</t>
        </is>
      </c>
      <c r="S3" s="0" t="inlineStr">
        <is>
          <t xml:space="preserve">No</t>
        </is>
      </c>
      <c r="T3" s="4"/>
      <c r="U3" s="0" t="inlineStr">
        <is>
          <t xml:space="preserve">Joel Donoso</t>
        </is>
      </c>
      <c r="V3" s="4" t="inlineStr">
        <is>
          <t xml:space="preserve">La Agencia Nacional de Investigación y Desarrollo ANID requiere contratar la adquisición y renovación de licencias de software utilizadas en el desarrollo de sus funciones institucionales, con el objeto de asegurar la continuidad operativa de las plataformas y herramientas tecnológicas que apoyan los procesos de gestión, análisis de información, diseño, administración y publicación de contenidos institucionales.</t>
        </is>
      </c>
      <c r="W3" s="5" t="str">
        <f>HYPERLINK("https://www.mercadopublico.cl/Procurement/Modules/Attachment/ViewAttachment.aspx?enc=X9jYEDSJJGuljN21cH1GdX81e9bvIVUJHK821OjXN9zIF%2b%2fhQ3ma0hd%2fSYYp%2f0uyz5%2f%2biPx9Zmy9UsOmgq9ZDyquUgCY5FDw2Xd85aBsga1zDZToVoNHeQOVSoQ4%2b0YdxF%2fb4zrFz%2bJ%2f%2f3wjNlUvJCov%2fdFu0D54f71xSQ%2bN2BA6w4mJj4tp51raB%2flQMK8cvay4VndvK2FULrn5ZeSVfA%2bNzZ%2bv1z42BaKNzPoG4KZREA3HVq%2b2MQIy27SkCa0ZoXX2l61ggpZZG1yk%2bGyYK7rl4YbR1EeI3UU%2bCtou7LbI%2bbUcnHEf24PyBpXCnu7%2b","descargar bases")</f>
      </c>
    </row>
    <row r="4">
      <c r="A4" s="0" t="inlineStr">
        <is>
          <t xml:space="preserve">1239966-13-LP26</t>
        </is>
      </c>
      <c r="B4" s="4" t="inlineStr">
        <is>
          <t xml:space="preserve">CONVENIO AGL EQUIPAMIENTO TECNOLÓGICO E INFORMÁTIC</t>
        </is>
      </c>
      <c r="C4" s="0" t="inlineStr">
        <is>
          <t xml:space="preserve">Publicada</t>
        </is>
      </c>
      <c r="D4" s="0" t="inlineStr">
        <is>
          <t xml:space="preserve">Corporación de Ecuación, Salud y Menores de Puerto Natales</t>
        </is>
      </c>
      <c r="E4" s="0" t="inlineStr">
        <is>
          <t xml:space="preserve">CESFAM JUAN LOZIC PEREZ</t>
        </is>
      </c>
      <c r="F4" s="0" t="inlineStr">
        <is>
          <t xml:space="preserve">Región de Magallanes y de la Antártica</t>
        </is>
      </c>
      <c r="G4" s="0" t="inlineStr">
        <is>
          <t xml:space="preserve">Puerto Natales</t>
        </is>
      </c>
      <c r="H4" s="2">
        <v>46293.632037</v>
      </c>
      <c r="I4" s="2">
        <v>46308.625694</v>
      </c>
      <c r="J4" s="0">
        <v>4</v>
      </c>
      <c r="K4" s="3"/>
      <c r="L4" s="0" t="inlineStr">
        <is>
          <t xml:space="preserve">CLP</t>
        </is>
      </c>
      <c r="M4" s="0" t="inlineStr">
        <is>
          <t xml:space="preserve">LP</t>
        </is>
      </c>
      <c r="N4" s="4" t="inlineStr">
        <is>
          <t xml:space="preserve">Tecnologías de la información, telecomunicaciones y radiodifusión / Equipos informáticos y accesorios / Computadores</t>
        </is>
      </c>
      <c r="O4" s="4" t="inlineStr">
        <is>
          <t xml:space="preserve">1 Unidad · Computadores personales</t>
        </is>
      </c>
      <c r="P4" s="2"/>
      <c r="Q4" s="2"/>
      <c r="R4" s="0"/>
      <c r="S4" s="0" t="inlineStr">
        <is>
          <t xml:space="preserve">No</t>
        </is>
      </c>
      <c r="T4" s="4"/>
      <c r="U4" s="0" t="inlineStr">
        <is>
          <t xml:space="preserve">Daniela Vega Blasquez</t>
        </is>
      </c>
      <c r="V4" s="4" t="inlineStr">
        <is>
          <t xml:space="preserve">Se requiere adquirir los productos del convenio al Programa de Apoyo a la Gestión a Nivel Local en Atención Primaria de Salud, para el Cesfam Dr. Juan E. Lozic Pérez, ubicado en Javiera Carrera N°1430, de la Ciudad de Puerto Natales</t>
        </is>
      </c>
      <c r="W4" s="5" t="str">
        <f>HYPERLINK("https://www.mercadopublico.cl/Procurement/Modules/Attachment/ViewAttachment.aspx?enc=5SbMQepHu1oKVzqfSQFCvkSwPH0eGLw7toGoYk5267skGZh91bweDa7GQn5YaQjLWe%2b8cbww4yowQTw%2fsM3XGm5rfS8b93S1Z2EDTLq3HWCygZq4HUWXtsFcAnTI4fLRlP9pggzW9185p3UeYQ0Qjllnw%2f%2b2OxkhjJhdyVwhS9T0c5SeDWq1GJTKBYvyrNebdRjPIfchJZuEULl8Ai7C1M9MSstoGsHXeY%2fpX9xV7rnwKe9cjR97R76K0Iw03mvsxIc%2fnLohLd7Fsg%2fggvjiZD0rEOVTUB3gvU6HGCb9kAlEk%2fR%2bgNJ5hNQ6N8n0calA","descargar bases")</f>
      </c>
    </row>
    <row r="5">
      <c r="A5" s="0" t="inlineStr">
        <is>
          <t xml:space="preserve">1375753-39-LE26</t>
        </is>
      </c>
      <c r="B5" s="4" t="inlineStr">
        <is>
          <t xml:space="preserve">Adquisición de equipos informaticos SLEP Los Andes</t>
        </is>
      </c>
      <c r="C5" s="0" t="inlineStr">
        <is>
          <t xml:space="preserve">Publicada</t>
        </is>
      </c>
      <c r="D5" s="0" t="inlineStr">
        <is>
          <t xml:space="preserve">SERVICIO LOCAL DE EDUCACIÓN PÚBLICA LOS ANDES</t>
        </is>
      </c>
      <c r="E5" s="0" t="inlineStr">
        <is>
          <t xml:space="preserve">COMPRAS Y LICITACIONES</t>
        </is>
      </c>
      <c r="F5" s="0" t="inlineStr">
        <is>
          <t xml:space="preserve">Región de Valparaíso </t>
        </is>
      </c>
      <c r="G5" s="0" t="inlineStr">
        <is>
          <t xml:space="preserve">Santiago</t>
        </is>
      </c>
      <c r="H5" s="2">
        <v>46296.534977</v>
      </c>
      <c r="I5" s="2">
        <v>46308.625694</v>
      </c>
      <c r="J5" s="0">
        <v>4</v>
      </c>
      <c r="K5" s="3"/>
      <c r="L5" s="0" t="inlineStr">
        <is>
          <t xml:space="preserve">CLP</t>
        </is>
      </c>
      <c r="M5" s="0" t="inlineStr">
        <is>
          <t xml:space="preserve">LE</t>
        </is>
      </c>
      <c r="N5" s="4" t="inlineStr">
        <is>
          <t xml:space="preserve">Equipos y suministros de imprenta, fotográficos y audiovisuales / Equipos de composición y presentación audiovisual / Proyectores y suministros,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Computadores, Tecnologías de la información, telecomunicaciones y radiodifusión / Equipos informáticos y accesorios / Impresoras, Tecnologías de la información, telecomunicaciones y radiodifusión / Equipos informáticos y accesorios / Pantallas o monitores de computador, Vehículos y equipamiento en general / Aeronaves / Aeronave de ala fija militar</t>
        </is>
      </c>
      <c r="O5" s="4" t="inlineStr">
        <is>
          <t xml:space="preserve">9 Unidad · Notebook, laptop o computador portátil excepto Tablet PC · 5 Unidad · Monitores de pantalla táctil · 1 Unidad · Servidores · y 5 más</t>
        </is>
      </c>
      <c r="P5" s="2"/>
      <c r="Q5" s="2"/>
      <c r="R5" s="0"/>
      <c r="S5" s="0" t="inlineStr">
        <is>
          <t xml:space="preserve">No</t>
        </is>
      </c>
      <c r="T5" s="4" t="inlineStr">
        <is>
          <t xml:space="preserve">Según se indica en bases adjuntas</t>
        </is>
      </c>
      <c r="U5" s="0" t="inlineStr">
        <is>
          <t xml:space="preserve">Marcelo Blanca</t>
        </is>
      </c>
      <c r="V5" s="4" t="inlineStr">
        <is>
          <t xml:space="preserve">Fortalecer las capacidades tecnológicas y operativas del Servicio Local de Educación Pública de Los Andes mediante la adquisición de equipamiento informático, audiovisual, de almacenamiento y seguridad, destinado a apoyar la gestión administrativa, las actividades institucionales, el resguardo de información y la continuidad operativa del Servicio.</t>
        </is>
      </c>
      <c r="W5" s="5" t="str">
        <f>HYPERLINK("https://www.mercadopublico.cl/Procurement/Modules/Attachment/ViewAttachment.aspx?enc=sLB5y3cLCD82Ng%2bqBnT12R%2f1A%2fvMI1WFD%2fGaIF2YAZ2YIvi7XzC3qyDWHKpo3oHPSpNdNYgZupB6eIRO8lDI6SjKQWGIUdH%2f%2bY4bxvmT8yRe14i0DlGFXoTuCTltEZQUJ7UHea4kVWUktCzCVVSkeeQRiJsk%2bBaJeSfymkoJpUy%2f4ajgekzDj%2bXjmCOSiitBls%2byYrFaSpPhWjLFdWFM9lrzQMJCTxa00M2CtYvtjrCxHxpvDD1VmS55mDe6ljmt2FJ7OBHXmpWuOgBs%2b6xKch6lK%2f%2bJxFjBTfZ%2fkSPuEaoWZWfI8a3oFJR7DI7wqvyq","descargar bases")</f>
      </c>
    </row>
    <row r="6">
      <c r="A6" s="0" t="inlineStr">
        <is>
          <t xml:space="preserve">2445-124-LP26</t>
        </is>
      </c>
      <c r="B6" s="4" t="inlineStr">
        <is>
          <t xml:space="preserve">SERVICIO DE TELEFONIA FIJA IP Y PLATAFORMA IVR</t>
        </is>
      </c>
      <c r="C6" s="0" t="inlineStr">
        <is>
          <t xml:space="preserve">Publicada</t>
        </is>
      </c>
      <c r="D6" s="0" t="inlineStr">
        <is>
          <t xml:space="preserve">I MUNICIPALIDAD DE CURICO</t>
        </is>
      </c>
      <c r="E6" s="0" t="inlineStr">
        <is>
          <t xml:space="preserve">Salud - Adquisiciones</t>
        </is>
      </c>
      <c r="F6" s="0" t="inlineStr">
        <is>
          <t xml:space="preserve">Región del Maule </t>
        </is>
      </c>
      <c r="G6" s="0" t="inlineStr">
        <is>
          <t xml:space="preserve">Curicó</t>
        </is>
      </c>
      <c r="H6" s="2">
        <v>46286.707014</v>
      </c>
      <c r="I6" s="2">
        <v>46308.625694</v>
      </c>
      <c r="J6" s="0">
        <v>4</v>
      </c>
      <c r="K6" s="3"/>
      <c r="L6" s="0" t="inlineStr">
        <is>
          <t xml:space="preserve">CLP</t>
        </is>
      </c>
      <c r="M6" s="0" t="inlineStr">
        <is>
          <t xml:space="preserve">LP</t>
        </is>
      </c>
      <c r="N6" s="4" t="inlineStr">
        <is>
          <t xml:space="preserve">Servicios profesionales, administrativos y consultorías de gestión empresarial / Servicios de recursos humanos / Servicios de personal temporal</t>
        </is>
      </c>
      <c r="O6" s="4" t="inlineStr">
        <is>
          <t xml:space="preserve">1 Unidad · Mano de obra temporal</t>
        </is>
      </c>
      <c r="P6" s="2"/>
      <c r="Q6" s="2"/>
      <c r="R6" s="0" t="inlineStr">
        <is>
          <t xml:space="preserve">48 meses</t>
        </is>
      </c>
      <c r="S6" s="0" t="inlineStr">
        <is>
          <t xml:space="preserve">No</t>
        </is>
      </c>
      <c r="T6" s="4" t="inlineStr">
        <is>
          <t xml:space="preserve">.</t>
        </is>
      </c>
      <c r="U6" s="0" t="inlineStr">
        <is>
          <t xml:space="preserve">ENRIQUE IBARRA</t>
        </is>
      </c>
      <c r="V6" s="4" t="inlineStr">
        <is>
          <t xml:space="preserve">LA NECESIDAD DE CONTRATAR EL SERVICIO DE TELEFONIA FIJA IP Y PLATAFORMA IVR PARA EL DEPARTAMENTO DE SALUD DE CURICO POR 48 MESES. SE REALIZARA VISITA A TERRENO OBLIGATORIA EL DÍA VIERNES 25 A LAS 11:30 EN CARMEN 925</t>
        </is>
      </c>
      <c r="W6" s="5" t="str">
        <f>HYPERLINK("https://www.mercadopublico.cl/Procurement/Modules/Attachment/ViewAttachment.aspx?enc=gq46eFW5%2fCL0ypkDDNkUbChdeIAaXhYPL8bTgeXtJqqajFf%2ffc2lD18OXDrTLO4yL5C7QrdSN1zTrMXqL4thRbeoBiPzGf%2bhO3bY68ub6PPd18%2bEoyJhVOskzPj4xhjP7hZoi2yT7Nv1QTwC%2bnuvLXpoPgCUKBN1%2bH5SW9kgmRraaY9GF1xkM8BkszbgVI9BXXLeSm0uL1HvUxvwv9HVFCLAYznZPd9umSakfXh1rz7aV13SbHBwx0orbEBwe6vSNq1MpodakkOjNkkVXTqu8HDZm46MBdPB6NeZczYTq1FhY%2f2y2NT9LeoY%2b0RtfjoB","descargar bases")</f>
      </c>
    </row>
    <row r="7">
      <c r="A7" s="0" t="inlineStr">
        <is>
          <t xml:space="preserve">29-81-LP26</t>
        </is>
      </c>
      <c r="B7" s="4" t="inlineStr">
        <is>
          <t xml:space="preserve">AGF - PLATAFORMA INGLES</t>
        </is>
      </c>
      <c r="C7" s="0" t="inlineStr">
        <is>
          <t xml:space="preserve">Publicada</t>
        </is>
      </c>
      <c r="D7" s="0" t="inlineStr">
        <is>
          <t xml:space="preserve">FUERZA AEREA DE CHILE COMANDO LOGISTICO</t>
        </is>
      </c>
      <c r="E7" s="0" t="inlineStr">
        <is>
          <t xml:space="preserve">Comando Logístico</t>
        </is>
      </c>
      <c r="F7" s="0" t="inlineStr">
        <is>
          <t xml:space="preserve">Región Metropolitana de Santiago</t>
        </is>
      </c>
      <c r="G7" s="0" t="inlineStr">
        <is>
          <t xml:space="preserve">El Bosque</t>
        </is>
      </c>
      <c r="H7" s="2">
        <v>46276.548981</v>
      </c>
      <c r="I7" s="2">
        <v>46308.625694</v>
      </c>
      <c r="J7" s="0">
        <v>4</v>
      </c>
      <c r="K7" s="3"/>
      <c r="L7" s="0" t="inlineStr">
        <is>
          <t xml:space="preserve">USD</t>
        </is>
      </c>
      <c r="M7" s="0" t="inlineStr">
        <is>
          <t xml:space="preserve">LP</t>
        </is>
      </c>
      <c r="N7" s="4" t="inlineStr">
        <is>
          <t xml:space="preserve">Educación, formación, entrenamiento y capacitación / Sistemas educativos complementarios / Escuelas de idiomas</t>
        </is>
      </c>
      <c r="O7" s="4" t="inlineStr">
        <is>
          <t xml:space="preserve">1 Global · Enseñanza conversacional de idiomas extranjeros</t>
        </is>
      </c>
      <c r="P7" s="2"/>
      <c r="Q7" s="2"/>
      <c r="R7" s="0"/>
      <c r="S7" s="0" t="inlineStr">
        <is>
          <t xml:space="preserve">No</t>
        </is>
      </c>
      <c r="T7" s="4"/>
      <c r="U7" s="0" t="inlineStr">
        <is>
          <t xml:space="preserve">PAULO ARELLANO WOLFF</t>
        </is>
      </c>
      <c r="V7" s="4" t="inlineStr">
        <is>
          <t xml:space="preserve">CONTRATACIÓN DE SERVICIO DE PLATAFORMA INTEGRAL DE CAPACITACIÓN EN IDIOMA INGLÉS MODALIDAD E-LEARNING CON TUTORIA</t>
        </is>
      </c>
      <c r="W7" s="5" t="str">
        <f>HYPERLINK("https://www.mercadopublico.cl/Procurement/Modules/Attachment/ViewAttachment.aspx?enc=6X640dREnPjHCIC%2bSI%2fFLwSz8JFn16mz73j%2fxIb%2fegcN%2bGfeqcvT6%2fc6jehRM4JPD51WEzsdK8llVADPSz7dOHdopty9mdDyI6rLLEIM1bz8hJyK4poKxrlZI0y3k%2ffVBmXGYFgfKAEU3EyT4TIcp9qVvGvPzKHF5lzgUCoUFONFJgu%2bSrV051uK3EoWtAjMq6qh%2fEAzM4n8zW1PB453b9hOpjmslxR4o4h4dT8IXVfWPDE8RUA%2b4zrtd%2bEHGC%2bPBuslSCS6DosFx%2bldinH%2bB%2fodxwDqgFw9%2b0%2b%2b7bc7zDZUyiGhOTFRWBwQWs0qInpP","descargar bases")</f>
      </c>
    </row>
    <row r="8">
      <c r="A8" s="0" t="inlineStr">
        <is>
          <t xml:space="preserve">3447-145-LR26</t>
        </is>
      </c>
      <c r="B8" s="4" t="inlineStr">
        <is>
          <t xml:space="preserve">Adquisición e Implementación Plataforma Integral</t>
        </is>
      </c>
      <c r="C8" s="0" t="inlineStr">
        <is>
          <t xml:space="preserve">Publicada</t>
        </is>
      </c>
      <c r="D8" s="0" t="inlineStr">
        <is>
          <t xml:space="preserve">MUNICIPALIDAD DE ALTO HOSPICIO</t>
        </is>
      </c>
      <c r="E8" s="0" t="inlineStr">
        <is>
          <t xml:space="preserve">Direccion de Administracion y Finanzas</t>
        </is>
      </c>
      <c r="F8" s="0" t="inlineStr">
        <is>
          <t xml:space="preserve">Región de Tarapacá  </t>
        </is>
      </c>
      <c r="G8" s="0" t="inlineStr">
        <is>
          <t xml:space="preserve">Alto Hospicio</t>
        </is>
      </c>
      <c r="H8" s="2">
        <v>46276.643669</v>
      </c>
      <c r="I8" s="2">
        <v>46308.625694</v>
      </c>
      <c r="J8" s="0">
        <v>4</v>
      </c>
      <c r="K8" s="3"/>
      <c r="L8" s="0" t="inlineStr">
        <is>
          <t xml:space="preserve">CLP</t>
        </is>
      </c>
      <c r="M8" s="0" t="inlineStr">
        <is>
          <t xml:space="preserve">LR</t>
        </is>
      </c>
      <c r="N8" s="4" t="inlineStr">
        <is>
          <t xml:space="preserve">Servicios basados en ingeniería, ciencias sociales y tecnología de la información / Servicios informáticos / Ingeniería en computación e informática</t>
        </is>
      </c>
      <c r="O8" s="4" t="inlineStr">
        <is>
          <t xml:space="preserve">1 Global · Servicios de programación de sistemas operativos</t>
        </is>
      </c>
      <c r="P8" s="2"/>
      <c r="Q8" s="2"/>
      <c r="R8" s="0" t="inlineStr">
        <is>
          <t xml:space="preserve">24 meses</t>
        </is>
      </c>
      <c r="S8" s="0" t="inlineStr">
        <is>
          <t xml:space="preserve">No</t>
        </is>
      </c>
      <c r="T8" s="4"/>
      <c r="U8" s="0" t="inlineStr">
        <is>
          <t xml:space="preserve">JAIME AROS BINIMELIS</t>
        </is>
      </c>
      <c r="V8"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8" s="5" t="str">
        <f>HYPERLINK("https://www.mercadopublico.cl/Procurement/Modules/Attachment/ViewAttachment.aspx?enc=fo2PIyIS5D8PIgT0tHPMZ19iQpcsSqakuMoBJUDDYrh1Ry76tQE9W4rtGrdj3WDlpupPxaWmFIV%2fyAgBkkpMFhLwL4wQalpb1Kk0TjfEWL2Wg60g1ZkAYwmRbfoNqJkiZWT0U%2fdgBltPobg4D380KadJOfJOH6e3UrCYJw%2f1pRxWjys34EgUyhIBj4YdQK%2fwVkvUMq8wgjzyrkzg9ZAqtMVbDngOyrrTS4yRKUN1zjZbFF8pgLhdHIZO2Jy831iJzMsrGGE%2b29aZmf%2ba0yYT552GLEmCP5ybTy65NxeB1vfYg15AnlJFdNUF61%2bWErYg","descargar bases")</f>
      </c>
    </row>
    <row r="9">
      <c r="A9" s="0" t="inlineStr">
        <is>
          <t xml:space="preserve">4246-9-LE26</t>
        </is>
      </c>
      <c r="B9" s="4" t="inlineStr">
        <is>
          <t xml:space="preserve">Licencias de software EDB Enterprise</t>
        </is>
      </c>
      <c r="C9" s="0" t="inlineStr">
        <is>
          <t xml:space="preserve">Publicada</t>
        </is>
      </c>
      <c r="D9" s="0" t="inlineStr">
        <is>
          <t xml:space="preserve">SUPERINTENDENCIA DE CASINOS DE JUEGO</t>
        </is>
      </c>
      <c r="E9" s="0" t="inlineStr">
        <is>
          <t xml:space="preserve">Superintendencia de Casinos de Juego</t>
        </is>
      </c>
      <c r="F9" s="0" t="inlineStr">
        <is>
          <t xml:space="preserve">Región Metropolitana de Santiago</t>
        </is>
      </c>
      <c r="G9" s="0" t="inlineStr">
        <is>
          <t xml:space="preserve">Santiago</t>
        </is>
      </c>
      <c r="H9" s="2">
        <v>46293.44537</v>
      </c>
      <c r="I9" s="2">
        <v>46308.625694</v>
      </c>
      <c r="J9" s="0">
        <v>4</v>
      </c>
      <c r="K9" s="3">
        <v>31000.0</v>
      </c>
      <c r="L9" s="0" t="inlineStr">
        <is>
          <t xml:space="preserve">USD</t>
        </is>
      </c>
      <c r="M9" s="0" t="inlineStr">
        <is>
          <t xml:space="preserve">LE</t>
        </is>
      </c>
      <c r="N9" s="4" t="inlineStr">
        <is>
          <t xml:space="preserve">Tecnologías de la información, telecomunicaciones y radiodifusión / Software / Software de consultas y gestión de datos</t>
        </is>
      </c>
      <c r="O9" s="4" t="inlineStr">
        <is>
          <t xml:space="preserve">1 Unidad · Software de administración de bases de datos orientado a objetos</t>
        </is>
      </c>
      <c r="P9" s="2"/>
      <c r="Q9" s="2"/>
      <c r="R9" s="0"/>
      <c r="S9" s="0" t="inlineStr">
        <is>
          <t xml:space="preserve">No</t>
        </is>
      </c>
      <c r="T9" s="4"/>
      <c r="U9" s="0" t="inlineStr">
        <is>
          <t xml:space="preserve">Alejandro Ledezma</t>
        </is>
      </c>
      <c r="V9" s="4" t="inlineStr">
        <is>
          <t xml:space="preserve">Adquisición de 4 EDB Enterprise Plan Production Support 1 Year Subscription y 10 EDB Enterprise Plan Basic Support 1 Year Subscription. 
Según bases de licitación aprobadas por Resolución Exenta N°945 adjunta</t>
        </is>
      </c>
      <c r="W9" s="5" t="str">
        <f>HYPERLINK("https://www.mercadopublico.cl/Procurement/Modules/Attachment/ViewAttachment.aspx?enc=Rh0pmgNoPxJjde0pCFGlLis82hdEVBQ136SYVKJ1B92VeuAdplk2hOx%2ftY%2bkA%2fUyaGQzQ2xo7e%2fxhP7jJd%2f5UgbmnX%2buoX%2fh0WCjO4hSNz3eOlRDgSawJ6xnTx3e%2bA5PhoMqtdixAXcKJSAFDbqlco4YleR7RBHrQ68ZnlYchEOOrNuwoxhimOTgfL%2fOp%2bPPFgS%2fEo9Iyn5%2bYilZMwTO%2bvYDiaoxTKlLiuiVxqBs1pGgVjJqHx2Y8SCC836MXn6JPw5qr%2biaKG4S2e66zIucTTyBR9VW2Ua3vyOjf74jqWwMZTtOF4OXAuLGv37mP%2fj0","descargar bases")</f>
      </c>
    </row>
    <row r="10">
      <c r="A10" s="0" t="inlineStr">
        <is>
          <t xml:space="preserve">808-7-LE26</t>
        </is>
      </c>
      <c r="B10" s="4" t="inlineStr">
        <is>
          <t xml:space="preserve">Recuperación digitalización y puesta en valor de fuentes documentales para la memoria histórica de los pueblos originarios de Magallanes.</t>
        </is>
      </c>
      <c r="C10" s="0" t="inlineStr">
        <is>
          <t xml:space="preserve">Publicada</t>
        </is>
      </c>
      <c r="D10" s="0" t="inlineStr">
        <is>
          <t xml:space="preserve">CORP NACIONAL DE DESARROLLO INDIGENA</t>
        </is>
      </c>
      <c r="E10" s="0" t="inlineStr">
        <is>
          <t xml:space="preserve">O.A.I. Punta Arenas CONADI</t>
        </is>
      </c>
      <c r="F10" s="0" t="inlineStr">
        <is>
          <t xml:space="preserve">Región de Magallanes y de la Antártica</t>
        </is>
      </c>
      <c r="G10" s="0" t="inlineStr">
        <is>
          <t xml:space="preserve">Punta Arenas</t>
        </is>
      </c>
      <c r="H10" s="2">
        <v>46296.525243</v>
      </c>
      <c r="I10" s="2">
        <v>46308.625694</v>
      </c>
      <c r="J10" s="0">
        <v>4</v>
      </c>
      <c r="K10" s="3"/>
      <c r="L10" s="0" t="inlineStr">
        <is>
          <t xml:space="preserve">CLP</t>
        </is>
      </c>
      <c r="M10" s="0" t="inlineStr">
        <is>
          <t xml:space="preserve">LE</t>
        </is>
      </c>
      <c r="N10" s="4" t="inlineStr">
        <is>
          <t xml:space="preserve">Servicios basados en ingeniería, ciencias sociales y tecnología de la información / Servicios informáticos / Servicios de datos</t>
        </is>
      </c>
      <c r="O10" s="4" t="inlineStr">
        <is>
          <t xml:space="preserve">1 Unidad · Servicios de recuperación de datos</t>
        </is>
      </c>
      <c r="P10" s="2"/>
      <c r="Q10" s="2"/>
      <c r="R10" s="0" t="inlineStr">
        <is>
          <t xml:space="preserve">3 meses</t>
        </is>
      </c>
      <c r="S10" s="0" t="inlineStr">
        <is>
          <t xml:space="preserve">No</t>
        </is>
      </c>
      <c r="T10" s="4" t="inlineStr">
        <is>
          <t xml:space="preserve">No será admisible la subcontratación de acuerdo a lo señalado en el numeral 11. subcontratacion: letras a, b, c y d.</t>
        </is>
      </c>
      <c r="U10" s="0" t="inlineStr">
        <is>
          <t xml:space="preserve">Marco Morales Vargas</t>
        </is>
      </c>
      <c r="V10" s="4" t="inlineStr">
        <is>
          <t xml:space="preserve">La iniciativa tiene por finalidad contribuir a la recuperación, conservación y puesta en valor de fuentes documentales, fotográficas y audiovisuales vinculadas a la memoria histórica de los pueblos originarios presentes en la Región de Magallanes y de la Antártica Chilena. Para ello, contempla la realización y digitalización de estudios especializados desarrollados por la Oficina de Asuntos Indígenas de Punta Arenas, junto con la restauración y digitalización del archivo fotográfico de los pueblos orginarios de la region de Magallanes.</t>
        </is>
      </c>
      <c r="W10" s="5" t="str">
        <f>HYPERLINK("https://www.mercadopublico.cl/Procurement/Modules/Attachment/ViewAttachment.aspx?enc=J25S9VyD8WRhL3h47PmganD048SbWd%2bj3AHiwN6u%2bn0uUBIXNtH26WGC63jGs8ZkIGbOt5TSxR7PqTnsav%2bGdl1%2bdgjImu4qT1lYORuTh%2fdReGJDlmvYMy%2fKEDqzuGb%2br0gzDdmeD4Pf02owNaZggEMJK47c1VX9tOC8%2bbL25R1VaPPfSS437%2bSs%2b2xNuMTRxmWgaPJnRMLPJoEuLxq%2b13zGo5kMfCcQ6cXPtNU3d5jMrygRATApx9GckRD9AhJrDDDgGgKY2eb0NGMNRx%2bOD3MwtvcLfkU%2fW2GvSkUB1mfKBlnvXKQ%2bd8iUnZU9qiiA","descargar bases")</f>
      </c>
    </row>
    <row r="11">
      <c r="A11" s="0" t="inlineStr">
        <is>
          <t xml:space="preserve">1020-40-LP26</t>
        </is>
      </c>
      <c r="B11" s="4" t="inlineStr">
        <is>
          <t xml:space="preserve">Serv.Cloud Amazon Web Services AWS o Equivalente</t>
        </is>
      </c>
      <c r="C11" s="0" t="inlineStr">
        <is>
          <t xml:space="preserve">Publicada</t>
        </is>
      </c>
      <c r="D11" s="0" t="inlineStr">
        <is>
          <t xml:space="preserve">MINISTERIO DE OBRAS PUBLICAS DIREC CION GRAL DE OO PP DCYF</t>
        </is>
      </c>
      <c r="E11" s="0" t="inlineStr">
        <is>
          <t xml:space="preserve">MOP Subsecretaría </t>
        </is>
      </c>
      <c r="F11" s="0" t="inlineStr">
        <is>
          <t xml:space="preserve">Región Metropolitana de Santiago</t>
        </is>
      </c>
      <c r="G11" s="0"/>
      <c r="H11" s="2">
        <v>46254.652083</v>
      </c>
      <c r="I11" s="2">
        <v>46308.625694</v>
      </c>
      <c r="J11" s="0">
        <v>4</v>
      </c>
      <c r="K11" s="3">
        <v>295121.0</v>
      </c>
      <c r="L11" s="0" t="inlineStr">
        <is>
          <t xml:space="preserve">USD</t>
        </is>
      </c>
      <c r="M11" s="0" t="inlineStr">
        <is>
          <t xml:space="preserve">LP</t>
        </is>
      </c>
      <c r="N11" s="4" t="inlineStr">
        <is>
          <t xml:space="preserve">Tecnologías de la información, telecomunicaciones y radiodifusión / Software / Software de consultas y gestión de datos</t>
        </is>
      </c>
      <c r="O11" s="4" t="inlineStr">
        <is>
          <t xml:space="preserve">1 Unidad · Software del sistema de administración de bases de datos</t>
        </is>
      </c>
      <c r="P11" s="2"/>
      <c r="Q11" s="2"/>
      <c r="R11" s="0" t="inlineStr">
        <is>
          <t xml:space="preserve">36 meses</t>
        </is>
      </c>
      <c r="S11" s="0" t="inlineStr">
        <is>
          <t xml:space="preserve">No</t>
        </is>
      </c>
      <c r="T11" s="4" t="inlineStr">
        <is>
          <t xml:space="preserve">Ver numeral 10.5 de las Bases Administrativas, en archivo adjunto.</t>
        </is>
      </c>
      <c r="U11" s="0" t="inlineStr">
        <is>
          <t xml:space="preserve">Carmen Gloria Ponce Pérez</t>
        </is>
      </c>
      <c r="V11"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11" s="5" t="str">
        <f>HYPERLINK("https://www.mercadopublico.cl/Procurement/Modules/Attachment/ViewAttachment.aspx?enc=xhB%2fszaAYViIozrwmwy6Ik6W5Lja265oLZugwujgUljLaiD4%2bevuDuFd6Nvy%2f3DHwWHQ88aw18cPWdi6szyZ%2fRbzQKdGIS2eOofmYCE3N63DD1VyzoJpdO%2fyyKdCVSFvNkPz0TFOM2bJ%2bPQnMjTxZJ6WHp8hr5HQ8OtTr5Ba0qr6e67FbGaAH%2bsdHqsLdyjxMPAz3cPdr0rCdoBE1LhLX9OYpfaph1IvZBXIs6Cb%2fXHecd%2ftfjTi7RufpX%2fKFDOO6CIg6Hzf7zxq%2fMPZKjVwHkt0RkvGHaUcJhXzZ1tboIFfR%2bQXP5znvYh0YXSgkA5n","descargar bases")</f>
      </c>
    </row>
    <row r="12">
      <c r="A12" s="0" t="inlineStr">
        <is>
          <t xml:space="preserve">1126922-40-L126</t>
        </is>
      </c>
      <c r="B12" s="4" t="inlineStr">
        <is>
          <t xml:space="preserve">PLATAFORMA WEB PARA GESTION DE DOTACION</t>
        </is>
      </c>
      <c r="C12" s="0" t="inlineStr">
        <is>
          <t xml:space="preserve">Publicada</t>
        </is>
      </c>
      <c r="D12" s="0" t="inlineStr">
        <is>
          <t xml:space="preserve">SERVICIO LOCAL DE EDUCACION PUBLICA DE LLANQUIHUE</t>
        </is>
      </c>
      <c r="E12" s="0" t="inlineStr">
        <is>
          <t xml:space="preserve">SERVICIO LOCAL DE EDUCACION PUBLICA DE LLANQUIHUE</t>
        </is>
      </c>
      <c r="F12" s="0" t="inlineStr">
        <is>
          <t xml:space="preserve">Región de los Lagos </t>
        </is>
      </c>
      <c r="G12" s="0" t="inlineStr">
        <is>
          <t xml:space="preserve">Frutillar</t>
        </is>
      </c>
      <c r="H12" s="2">
        <v>46296.592361</v>
      </c>
      <c r="I12" s="2">
        <v>46308.625694</v>
      </c>
      <c r="J12" s="0">
        <v>4</v>
      </c>
      <c r="K12" s="3"/>
      <c r="L12" s="0" t="inlineStr">
        <is>
          <t xml:space="preserve">CLP</t>
        </is>
      </c>
      <c r="M12" s="0" t="inlineStr">
        <is>
          <t xml:space="preserve">L1</t>
        </is>
      </c>
      <c r="N12" s="4" t="inlineStr">
        <is>
          <t xml:space="preserve">Tecnologías de la información, telecomunicaciones y radiodifusión / Software / Programas de desarrollo</t>
        </is>
      </c>
      <c r="O12" s="4" t="inlineStr">
        <is>
          <t xml:space="preserve">1 Global · Software de desarrollo de plataforma Web</t>
        </is>
      </c>
      <c r="P12" s="2"/>
      <c r="Q12" s="2"/>
      <c r="R12" s="0"/>
      <c r="S12" s="0" t="inlineStr">
        <is>
          <t xml:space="preserve">No</t>
        </is>
      </c>
      <c r="T12" s="4"/>
      <c r="U12" s="0" t="inlineStr">
        <is>
          <t xml:space="preserve">Cristian Téllez Calixto</t>
        </is>
      </c>
      <c r="V12" s="4" t="inlineStr">
        <is>
          <t xml:space="preserve">CONTRATACIÓN DEL SERVICIO DE GESTIÓN DE DOTACIÓN DOCENTE Y ASISTENTES DE LA EDUCACIÓN MEDIANTE PLATAFORMA WEB PARA LOS ESTABLECIMIENTOS
EDUCACIONALES DEL SERVICIO LOCAL DE EDUCACIÓN PÚBLICA LLANQUIHUE</t>
        </is>
      </c>
      <c r="W12" s="5" t="str">
        <f>HYPERLINK("https://www.mercadopublico.cl/Procurement/Modules/Attachment/ViewAttachment.aspx?enc=W04rMiSJmr5t%2bppqr%2b92jGbZM455Miuaw8k4Pk3ZkJLUlioOmAN5eZwmKvaa995B4ORNXyOqjPvSH%2bxR53tQeysASufGNvcLvYZedsleZu6d2sfTnLRa78AEqITTE%2bY4BCd4Oftt6RirL65WgmGZ1nQKOxQq2%2fXe5eDHqw0SQjTXLhevywHB0MWanceSH93z54Lnry6wQ%2fB6tqoSIytHowCm3I5DiMQ4%2fVRzo6SbePx9BuHpWjH%2fy9yNZNo5bnQ4R1rq9KDHuk5PO7PqMi2lYb7327QOkKDyShCygcDJCTjTz05WhmMAnatTqJxp%2bCQq","descargar bases")</f>
      </c>
    </row>
    <row r="13">
      <c r="A13" s="0" t="inlineStr">
        <is>
          <t xml:space="preserve">2013-15-LE26</t>
        </is>
      </c>
      <c r="B13" s="4" t="inlineStr">
        <is>
          <t xml:space="preserve">CONTRATACIÓN DE SERVICIO DE SOFTWARE ODONTOLÓGICO</t>
        </is>
      </c>
      <c r="C13" s="0" t="inlineStr">
        <is>
          <t xml:space="preserve">Publicada</t>
        </is>
      </c>
      <c r="D13" s="0" t="inlineStr">
        <is>
          <t xml:space="preserve">UNIVERSIDAD ARTURO PRAT</t>
        </is>
      </c>
      <c r="E13" s="0" t="inlineStr">
        <is>
          <t xml:space="preserve">UNIVERSIDAD ARTURO PRAT SEDE IQUIQUE</t>
        </is>
      </c>
      <c r="F13" s="0" t="inlineStr">
        <is>
          <t xml:space="preserve">Región de Tarapacá  </t>
        </is>
      </c>
      <c r="G13" s="0" t="inlineStr">
        <is>
          <t xml:space="preserve">Iquique</t>
        </is>
      </c>
      <c r="H13" s="2">
        <v>46296.609248</v>
      </c>
      <c r="I13" s="2">
        <v>46308.625694</v>
      </c>
      <c r="J13" s="0">
        <v>4</v>
      </c>
      <c r="K13" s="3">
        <v>28000000.0</v>
      </c>
      <c r="L13" s="0" t="inlineStr">
        <is>
          <t xml:space="preserve">CLP</t>
        </is>
      </c>
      <c r="M13" s="0" t="inlineStr">
        <is>
          <t xml:space="preserve">LE</t>
        </is>
      </c>
      <c r="N13" s="4" t="inlineStr">
        <is>
          <t xml:space="preserve">Servicios profesionales, administrativos y consultorías de gestión empresarial / Servicios de recursos humanos / Contratación de personal</t>
        </is>
      </c>
      <c r="O13" s="4" t="inlineStr">
        <is>
          <t xml:space="preserve">1 Global · Desarrolladores de software</t>
        </is>
      </c>
      <c r="P13" s="2"/>
      <c r="Q13" s="2"/>
      <c r="R13" s="0" t="inlineStr">
        <is>
          <t xml:space="preserve">12 meses</t>
        </is>
      </c>
      <c r="S13" s="0" t="inlineStr">
        <is>
          <t xml:space="preserve">No</t>
        </is>
      </c>
      <c r="T13" s="4" t="inlineStr">
        <is>
          <t xml:space="preserve">En caso que se prohíba subcontratar la entrega de los productos o la prestación de los servicios encomendados, el incumplimiento de esta prohibición de parte del contratista se considerará de carácter grave, facultándose a la Universidad para poner térm</t>
        </is>
      </c>
      <c r="U13" s="0" t="inlineStr">
        <is>
          <t xml:space="preserve">GERARDO YEVENES FUENTES</t>
        </is>
      </c>
      <c r="V13" s="4" t="inlineStr">
        <is>
          <t xml:space="preserve">Es indispensable contratar por 12 meses el Software Odontológico Académico Digital para los Centros Odontológicos. Esta plataforma permite la operación clínica y académica, la supervisión docente y la continuidad formativa, asegurando el cumplimiento de la Ley N°20.584 sobre confidencialidad de fichas clínicas, trazabilidad de tratamientos y calidad asistencial universitaria.</t>
        </is>
      </c>
      <c r="W13" s="5" t="str">
        <f>HYPERLINK("https://www.mercadopublico.cl/Procurement/Modules/Attachment/ViewAttachment.aspx?enc=3p5gK6d8rH39%2fBcmDnvG8hbgy37DtmQvsWqNM1F9lb8B3KilO454fnvo5PmlQVdcBkZryelPcHMk%2bxG8VPjuYSGs9IH0SB6SM8xOKnH9ikQm1py%2fPHVTTyI8uT1YOOCTE%2fFy52HRJnKBe6soJopay%2b5m%2bKNPEeDY0NPw6zzrVmNkAxylOJFHs1qj1H1ugnrPSohSM7NoYhu%2bUIBXmmuSYJXFgSEoYCj2BD6krviN%2fJCHCCGlpqZSb%2f49M27gsHQw7i%2bMGcBBbjlf5xokdqmDJ%2bKClZXi3IwkoWhhHR7wjYl20eGjYZd6XPmw7U%2b7Ee4H","descargar bases")</f>
      </c>
    </row>
    <row r="14">
      <c r="A14" s="0" t="inlineStr">
        <is>
          <t xml:space="preserve">606-26-LE26</t>
        </is>
      </c>
      <c r="B14" s="4" t="inlineStr">
        <is>
          <t xml:space="preserve">Adquisición e implementación de plataforma APIs</t>
        </is>
      </c>
      <c r="C14" s="0" t="inlineStr">
        <is>
          <t xml:space="preserve">Publicada</t>
        </is>
      </c>
      <c r="D14" s="0" t="inlineStr">
        <is>
          <t xml:space="preserve">SUBSECRETARIA DE TELECOMUNICACIONES</t>
        </is>
      </c>
      <c r="E14" s="0" t="inlineStr">
        <is>
          <t xml:space="preserve">Subsecretaría de Telecomunicaciones</t>
        </is>
      </c>
      <c r="F14" s="0" t="inlineStr">
        <is>
          <t xml:space="preserve">Región Metropolitana de Santiago</t>
        </is>
      </c>
      <c r="G14" s="0" t="inlineStr">
        <is>
          <t xml:space="preserve">Santiago</t>
        </is>
      </c>
      <c r="H14" s="2">
        <v>46296.726551</v>
      </c>
      <c r="I14" s="2">
        <v>46308.625694</v>
      </c>
      <c r="J14" s="0">
        <v>4</v>
      </c>
      <c r="K14" s="3">
        <v>70000000.0</v>
      </c>
      <c r="L14" s="0" t="inlineStr">
        <is>
          <t xml:space="preserve">CLP</t>
        </is>
      </c>
      <c r="M14" s="0" t="inlineStr">
        <is>
          <t xml:space="preserve">LE</t>
        </is>
      </c>
      <c r="N14" s="4" t="inlineStr">
        <is>
          <t xml:space="preserve">Servicios basados en ingeniería, ciencias sociales y tecnología de la información / Servicios informáticos / Ingeniería en computación e informática</t>
        </is>
      </c>
      <c r="O14" s="4" t="inlineStr">
        <is>
          <t xml:space="preserve">1 Unidad · Programación de aplicaciones</t>
        </is>
      </c>
      <c r="P14" s="2"/>
      <c r="Q14" s="2"/>
      <c r="R14" s="0"/>
      <c r="S14" s="0" t="inlineStr">
        <is>
          <t xml:space="preserve">No</t>
        </is>
      </c>
      <c r="T14" s="4" t="inlineStr">
        <is>
          <t xml:space="preserve">Se prohíbe la subcontratación.
En caso que el contratista contravenga la prohibición indicada en el párrafo
precedente, se entenderá que dicha situación constituye un incumplimiento grave
de las obligaciones esenciales que impone el contrato al contrat</t>
        </is>
      </c>
      <c r="U14" s="0" t="inlineStr">
        <is>
          <t xml:space="preserve">Macarena Pacheco</t>
        </is>
      </c>
      <c r="V14" s="4" t="inlineStr">
        <is>
          <t xml:space="preserve">Contratar, implementar y poner en operación una plataforma empresarial que
permita diseñar, construir, publicar, proteger, administrar, observar, gobernar y
evolucionar APIs e integraciones en una arquitectura híbrida entre el CPD
institucional y Google Cloud, manteniendo interoperabilidad con PISEE, sistemas
legados y servicios institucionales.</t>
        </is>
      </c>
      <c r="W14" s="5" t="str">
        <f>HYPERLINK("https://www.mercadopublico.cl/Procurement/Modules/Attachment/ViewAttachment.aspx?enc=Y6COvSSiLXvJmZutguyTCq5ZDPiLsg0KGpkPXMpGa73s3oRmnzZdZyvjld3gt2az7wBoZokdXTh1jLU6R3G4x81zn1rQkrRcFnCtnfade1ted6L%2f%2fQAQax4vLoQm7M0WEhtfe231R9LDjCP0OINvSzy5pkG0bWQ0B5NAQQM6zaRP%2f%2bRQysyCnBP%2fAYXsSaHqmZ14k3T0MiYR9Wq1Rsb%2fwkOedtUZ%2bSCAmCDtPzSiMLyKvyrDUZKgctmnWHgEYnE2Aar3jgSzDM2luWyc%2bNrEEICkWeYpxvZ30sv6m6D9vzeQv%2f9wlmr2cr6vFSbZdTpd","descargar bases")</f>
      </c>
    </row>
    <row r="15">
      <c r="A15" s="0" t="inlineStr">
        <is>
          <t xml:space="preserve">1209-12-L126</t>
        </is>
      </c>
      <c r="B15" s="4" t="inlineStr">
        <is>
          <t xml:space="preserve">CURSO INTELIGENCIA ARTIFICIAL NIVEL MEDIO PARA LA GESTÍÓN PÚBLICA</t>
        </is>
      </c>
      <c r="C15" s="0" t="inlineStr">
        <is>
          <t xml:space="preserve">Publicada</t>
        </is>
      </c>
      <c r="D15" s="0" t="inlineStr">
        <is>
          <t xml:space="preserve">SUBSECRETARIA DEL MINISTERIO DE EDUCACION PUBLICA</t>
        </is>
      </c>
      <c r="E15" s="0" t="inlineStr">
        <is>
          <t xml:space="preserve">Mineduc Administración II Región</t>
        </is>
      </c>
      <c r="F15" s="0" t="inlineStr">
        <is>
          <t xml:space="preserve">Región de Antofagasta </t>
        </is>
      </c>
      <c r="G15" s="0" t="inlineStr">
        <is>
          <t xml:space="preserve">Antofagasta</t>
        </is>
      </c>
      <c r="H15" s="2">
        <v>46301.603715</v>
      </c>
      <c r="I15" s="2">
        <v>46308.628472</v>
      </c>
      <c r="J15" s="0">
        <v>4</v>
      </c>
      <c r="K15" s="3">
        <v>4110000.0</v>
      </c>
      <c r="L15" s="0" t="inlineStr">
        <is>
          <t xml:space="preserve">CLP</t>
        </is>
      </c>
      <c r="M15" s="0" t="inlineStr">
        <is>
          <t xml:space="preserve">L1</t>
        </is>
      </c>
      <c r="N15" s="4" t="inlineStr">
        <is>
          <t xml:space="preserve">Educación, formación, entrenamiento y capacitación / Sistemas educativos complementarios / Educación de adultos</t>
        </is>
      </c>
      <c r="O15" s="4" t="inlineStr">
        <is>
          <t xml:space="preserve">1 Unidad no definida · Capacitación a empleados</t>
        </is>
      </c>
      <c r="P15" s="2"/>
      <c r="Q15" s="2"/>
      <c r="R15" s="0"/>
      <c r="S15" s="0" t="inlineStr">
        <is>
          <t xml:space="preserve">No</t>
        </is>
      </c>
      <c r="T15" s="4"/>
      <c r="U15" s="0"/>
      <c r="V15" s="4" t="inlineStr">
        <is>
          <t xml:space="preserve">Curso de capacitación denominado "Curso Inteligencia Artificial Nivel Medio para la Gestión Pública" siendo beneficiarios de este curso, los funcionarios de la SEREMI de la región de Antofagasta, para dar cumplimiento al PAC Regional de capacitación 2026.</t>
        </is>
      </c>
      <c r="W15" s="5" t="str">
        <f>HYPERLINK("https://www.mercadopublico.cl/Procurement/Modules/Attachment/ViewAttachment.aspx?enc=lgT%2fVWKTyvwACT8ZAv5XtW7UaDRhpJiVgqYysaNff974Kmu22L5fAGUqiv0DyfT6ArmTZ0MQOUFLVRgzfJP0yyrn06gU8WOVJ5C5TPY7JstXYp2IHMmnkJLvtuc2FJYrIakzDDLX5KWvXkvh1WfIP08hS2nOaUBexc4fnlJIesh6OvElgzkoV2v%2fOgicZYhgmJo6FGH8VjyvpDpXJRsXuHdMROHsBTbuikLfIDJOUEDsDDkdT50AooxbTX2IlPds825C4Rm0QsVAfwqaFvS5m3XnIC2Bajd1e6AQm9KLPGvZx3F3%2bB6e9UWYPgMI2e8X","descargar bases")</f>
      </c>
    </row>
    <row r="16">
      <c r="A16" s="0" t="inlineStr">
        <is>
          <t xml:space="preserve">4449-30-LP26</t>
        </is>
      </c>
      <c r="B16" s="4" t="inlineStr">
        <is>
          <t xml:space="preserve">Adquisición de libros a perpetuida para BP Digital</t>
        </is>
      </c>
      <c r="C16" s="0" t="inlineStr">
        <is>
          <t xml:space="preserve">Publicada</t>
        </is>
      </c>
      <c r="D16" s="0" t="inlineStr">
        <is>
          <t xml:space="preserve">SERVICIO NACIONAL DEL PATRIMONIO CULTURAL</t>
        </is>
      </c>
      <c r="E16" s="0" t="inlineStr">
        <is>
          <t xml:space="preserve">SUBDIRECCIÓN DE BIBLIOTECAS PÚBLICAS</t>
        </is>
      </c>
      <c r="F16" s="0" t="inlineStr">
        <is>
          <t xml:space="preserve">Región Metropolitana de Santiago</t>
        </is>
      </c>
      <c r="G16" s="0" t="inlineStr">
        <is>
          <t xml:space="preserve">Santiago Centro</t>
        </is>
      </c>
      <c r="H16" s="2">
        <v>46287.715394</v>
      </c>
      <c r="I16" s="2">
        <v>46308.628472</v>
      </c>
      <c r="J16" s="0">
        <v>4</v>
      </c>
      <c r="K16" s="3">
        <v>73000000.0</v>
      </c>
      <c r="L16" s="0" t="inlineStr">
        <is>
          <t xml:space="preserve">CLP</t>
        </is>
      </c>
      <c r="M16" s="0" t="inlineStr">
        <is>
          <t xml:space="preserve">LP</t>
        </is>
      </c>
      <c r="N16" s="4" t="inlineStr">
        <is>
          <t xml:space="preserve">Productos impresos y publicaciones / Material electrónico de referencia / Publicaciones electrónicas y música</t>
        </is>
      </c>
      <c r="O16" s="4" t="inlineStr">
        <is>
          <t xml:space="preserve">3 Unidad · Libros en casetes o CD · 3 Unidad · Libros en casetes o CD · 3 Unidad · Libros en casetes o CD · y 577 más</t>
        </is>
      </c>
      <c r="P16" s="2"/>
      <c r="Q16" s="2"/>
      <c r="R16" s="0"/>
      <c r="S16" s="0" t="inlineStr">
        <is>
          <t xml:space="preserve">No</t>
        </is>
      </c>
      <c r="T16" s="4"/>
      <c r="U16" s="0" t="inlineStr">
        <is>
          <t xml:space="preserve">Salvador Young</t>
        </is>
      </c>
      <c r="V16" s="4" t="inlineStr">
        <is>
          <t xml:space="preserve">ADQUISICIÓN DE MATERIAL BIBLIOGRÁFICO BAJO LICENCIA A PERPETUIDAD PARA BIBLIOTECA PÚBLICA DIGITAL”</t>
        </is>
      </c>
      <c r="W16" s="5" t="str">
        <f>HYPERLINK("https://www.mercadopublico.cl/Procurement/Modules/Attachment/ViewAttachment.aspx?enc=D5AF9r1%2fQ6%2bWTJiBz%2f7judIeoOfOmhZ1MKyMfuJvFpYRxVYkcK8BGViZDeMW7%2bkDYmsdQK8QRgElmfA%2b0loMRoI1dnvMjDRPCBrmuKwZwHfwVr5DdHD6%2b51vBncp06%2flPSUDeifW7hY9DIBLmc82ySczI0cefc4rkQDFjBnabv9syop7SpmsWi7AFRXCstno2QfJr4xL3DYNBCLgqZyJJPDRzT%2fT72s3dnA2ZvdWpsa6M6FoPYRBD2nsQG6Efjvymvf2cD03L6VQlFqaM7er%2bHidISPoT4NF7GmJ%2f4lbTU8%2f4vQPG32%2brweP2oN0fudu","descargar bases")</f>
      </c>
    </row>
    <row r="17">
      <c r="A17" s="0" t="inlineStr">
        <is>
          <t xml:space="preserve">2432-31-LE26</t>
        </is>
      </c>
      <c r="B17" s="4" t="inlineStr">
        <is>
          <t xml:space="preserve">SERVICIO INTEGRAL DE CONTINUIDAD PAGINA WEB</t>
        </is>
      </c>
      <c r="C17" s="0" t="inlineStr">
        <is>
          <t xml:space="preserve">Publicada</t>
        </is>
      </c>
      <c r="D17" s="0" t="inlineStr">
        <is>
          <t xml:space="preserve">I MUNICIPALIDAD ESTACION CENTRAL</t>
        </is>
      </c>
      <c r="E17" s="0" t="inlineStr">
        <is>
          <t xml:space="preserve">IMUNI_ESTCENTRAL ADQUISICIONES</t>
        </is>
      </c>
      <c r="F17" s="0" t="inlineStr">
        <is>
          <t xml:space="preserve">Región Metropolitana de Santiago</t>
        </is>
      </c>
      <c r="G17" s="0" t="inlineStr">
        <is>
          <t xml:space="preserve">Estación Central</t>
        </is>
      </c>
      <c r="H17" s="2">
        <v>46302.454282</v>
      </c>
      <c r="I17" s="2">
        <v>46308.638889</v>
      </c>
      <c r="J17" s="0">
        <v>4</v>
      </c>
      <c r="K17" s="3"/>
      <c r="L17" s="0" t="inlineStr">
        <is>
          <t xml:space="preserve">CLP</t>
        </is>
      </c>
      <c r="M17" s="0" t="inlineStr">
        <is>
          <t xml:space="preserve">LE</t>
        </is>
      </c>
      <c r="N17" s="4" t="inlineStr">
        <is>
          <t xml:space="preserve">Servicios basados en ingeniería, ciencias sociales y tecnología de la información / Servicios informáticos / Servicios para internet</t>
        </is>
      </c>
      <c r="O17" s="4" t="inlineStr">
        <is>
          <t xml:space="preserve">1 Global · Servicios de diseño de sitio Web</t>
        </is>
      </c>
      <c r="P17" s="2"/>
      <c r="Q17" s="2"/>
      <c r="R17" s="0" t="inlineStr">
        <is>
          <t xml:space="preserve">12 meses</t>
        </is>
      </c>
      <c r="S17" s="0" t="inlineStr">
        <is>
          <t xml:space="preserve">No</t>
        </is>
      </c>
      <c r="T17" s="4" t="inlineStr">
        <is>
          <t xml:space="preserve">Lo indicado en el artículo 24 de las bases administrativas</t>
        </is>
      </c>
      <c r="U17" s="0" t="inlineStr">
        <is>
          <t xml:space="preserve">JUAN PABLO PARADA</t>
        </is>
      </c>
      <c r="V17" s="4" t="inlineStr">
        <is>
          <t xml:space="preserve">El objetivo general de la presente contratación es disponer de un servicio integral de continuidad operacional, mantención, soporte técnico, alojamiento, seguridad y evolución del sitio web municipal de la Municipalidad de Estación Central, con el propósito de asegurar su funcionamiento permanente, disponibilidad, estabilidad y adecuado desempeño durante toda la vigencia del contrato.</t>
        </is>
      </c>
      <c r="W17" s="5" t="str">
        <f>HYPERLINK("https://www.mercadopublico.cl/Procurement/Modules/Attachment/ViewAttachment.aspx?enc=a3TTK05Vhdnt9A%2fKAZKO8re5KgAsQ6ZqEPaYNsKi7TK5t7IIAoaBMBLtx0F1rHn5J7YP1WZUG1mDFmqlX92uSuTJc54jWpIcu0pVgIn1UYurp04MNdjUmS4ZmT4swK976s4EdIT%2fgqo6G2s10heB63TXibe14KVaKl8WgrzJLImArFCh%2bHZ254aKNupYTUSrlpH5F4mXK0ellBpGiNDJevIQcl6lFpdi%2fwHY%2ftE%2bBgmtBZrWFveBE1wlCxz8AjlAJta02NbYDhEITystcmUBKzB7Uf7G5iBm8Tq5fvH2T9WGHUPuj4AUEj05XCL9FoQs","descargar bases")</f>
      </c>
    </row>
    <row r="18">
      <c r="A18" s="0" t="inlineStr">
        <is>
          <t xml:space="preserve">1057415-60-LE26</t>
        </is>
      </c>
      <c r="B18" s="4" t="inlineStr">
        <is>
          <t xml:space="preserve">SOFTWARE DE GESTIÓN TRIBUTARIA E INVENTARIO</t>
        </is>
      </c>
      <c r="C18" s="0" t="inlineStr">
        <is>
          <t xml:space="preserve">Publicada</t>
        </is>
      </c>
      <c r="D18" s="0" t="inlineStr">
        <is>
          <t xml:space="preserve">SERVICIO SALUD BIO BIO HOSPITAL NACIMIENTO</t>
        </is>
      </c>
      <c r="E18" s="0" t="inlineStr">
        <is>
          <t xml:space="preserve">Bienes y Servicios</t>
        </is>
      </c>
      <c r="F18" s="0" t="inlineStr">
        <is>
          <t xml:space="preserve">Región del Biobío </t>
        </is>
      </c>
      <c r="G18" s="0" t="inlineStr">
        <is>
          <t xml:space="preserve">Nacimiento</t>
        </is>
      </c>
      <c r="H18" s="2">
        <v>46295.700637</v>
      </c>
      <c r="I18" s="2">
        <v>46308.645833</v>
      </c>
      <c r="J18" s="0">
        <v>4</v>
      </c>
      <c r="K18" s="3">
        <v>9000000.0</v>
      </c>
      <c r="L18" s="0" t="inlineStr">
        <is>
          <t xml:space="preserve">CLP</t>
        </is>
      </c>
      <c r="M18" s="0" t="inlineStr">
        <is>
          <t xml:space="preserve">LE</t>
        </is>
      </c>
      <c r="N18" s="4" t="inlineStr">
        <is>
          <t xml:space="preserve">Tecnologías de la información, telecomunicaciones y radiodifusión / Software / Software de consultas y gestión de datos</t>
        </is>
      </c>
      <c r="O18" s="4" t="inlineStr">
        <is>
          <t xml:space="preserve">1 Unidad · Software del sistema de administración de bases de datos</t>
        </is>
      </c>
      <c r="P18" s="2"/>
      <c r="Q18" s="2"/>
      <c r="R18" s="0"/>
      <c r="S18" s="0" t="inlineStr">
        <is>
          <t xml:space="preserve">No</t>
        </is>
      </c>
      <c r="T18" s="4"/>
      <c r="U18" s="0" t="inlineStr">
        <is>
          <t xml:space="preserve">Laura Fuentealba</t>
        </is>
      </c>
      <c r="V18" s="4" t="inlineStr">
        <is>
          <t xml:space="preserve">Disponer del servicio de software de gestión tributaria, retenciones e inventario farmacéutico para las unidades de Recaudación, Finanzas y Farmacia para el Hospital Familiar y Comunitario de Nacimiento, acorde a las condiciones requeridas por la Unidad de Contabilidad, que serán reguladas por el pliego de condiciones establecidas en las presentes bases.</t>
        </is>
      </c>
      <c r="W18" s="5" t="str">
        <f>HYPERLINK("https://www.mercadopublico.cl/Procurement/Modules/Attachment/ViewAttachment.aspx?enc=SPJo%2bVsH9pJR7i%2b3lhIIi6t5BEeOm5%2fW8gf97SEh90kcgJEWyB3Rhv0NaMe8Bbt2xfjqkwxid90E5LptHU9sVolE6zGFNp666e2wb4A%2felfqdDHddbNm1H9%2bi18h9xKgV5qGDweppSMl%2bgJNz9VoP%2f3ysA1KILhIgTH7clN1%2fuufaniapIKiu0RMpkMOQJTIb%2bYeIrPhgeCWxPofZ1U47FFlZx4qWQL1rP0gSGc4qarKbnmsUEL7eMJW%2bN050lhOw6%2f3rG9aOk%2fsThv3Ba%2bJ6hRnMHl84p9gzmsZB4SVqUCVHVuSeUwKRFbuXQRVuHjN","descargar bases")</f>
      </c>
    </row>
    <row r="19">
      <c r="A19" s="0" t="inlineStr">
        <is>
          <t xml:space="preserve">1733-8-LE26</t>
        </is>
      </c>
      <c r="B19" s="4" t="inlineStr">
        <is>
          <t xml:space="preserve">Levantamiento de Datos de Biodiversidad</t>
        </is>
      </c>
      <c r="C19" s="0" t="inlineStr">
        <is>
          <t xml:space="preserve">Publicada</t>
        </is>
      </c>
      <c r="D19" s="0" t="inlineStr">
        <is>
          <t xml:space="preserve">INSTITUTO FORESTAL</t>
        </is>
      </c>
      <c r="E19" s="0" t="inlineStr">
        <is>
          <t xml:space="preserve">Instituto Forestal</t>
        </is>
      </c>
      <c r="F19" s="0" t="inlineStr">
        <is>
          <t xml:space="preserve">Región de Los Ríos</t>
        </is>
      </c>
      <c r="G19" s="0" t="inlineStr">
        <is>
          <t xml:space="preserve">La Serena</t>
        </is>
      </c>
      <c r="H19" s="2">
        <v>46295.763715</v>
      </c>
      <c r="I19" s="2">
        <v>46308.645833</v>
      </c>
      <c r="J19" s="0">
        <v>4</v>
      </c>
      <c r="K19" s="3"/>
      <c r="L19" s="0" t="inlineStr">
        <is>
          <t xml:space="preserve">CLP</t>
        </is>
      </c>
      <c r="M19" s="0" t="inlineStr">
        <is>
          <t xml:space="preserve">LE</t>
        </is>
      </c>
      <c r="N19" s="4" t="inlineStr">
        <is>
          <t xml:space="preserve">Servicios agrícolas, pesqueros, forestales y relacionados con la fauna / Cultivos forestales / Administración de cultivos forestales</t>
        </is>
      </c>
      <c r="O19" s="4" t="inlineStr">
        <is>
          <t xml:space="preserve">1 Unidad · Inventario forestal</t>
        </is>
      </c>
      <c r="P19" s="2"/>
      <c r="Q19" s="2"/>
      <c r="R19" s="0" t="inlineStr">
        <is>
          <t xml:space="preserve">2 meses</t>
        </is>
      </c>
      <c r="S19" s="0" t="inlineStr">
        <is>
          <t xml:space="preserve">No</t>
        </is>
      </c>
      <c r="T19" s="4"/>
      <c r="U19" s="0" t="inlineStr">
        <is>
          <t xml:space="preserve">RODRIGO SAGARDIA</t>
        </is>
      </c>
      <c r="V19" s="4" t="inlineStr">
        <is>
          <t xml:space="preserve">Obtención y análisis de datos de biodiversidad recabados a partir de levantamientos a realizar en terreno en el marco del monitoreo de biodiversidad del Inventario Forestal Nacional IFN de INFOR. Comprenderá muestreo, colecta, registro, clasificación y preservación de especímenes pertenecientes al filo Arthropoda, obtenidos desde 22 unidades muestrales situadas en ecosistemas forestales nativos de la región de Los Lagos.</t>
        </is>
      </c>
      <c r="W19" s="5" t="str">
        <f>HYPERLINK("https://www.mercadopublico.cl/Procurement/Modules/Attachment/ViewAttachment.aspx?enc=lTpPXtJAtsgZwxqbh2Hj8sURTF0v2lH2pPZczInLZSPsUq7HqrvSZsDIdZb19KHXFbo8rrHU4LfiwTZdfKiqiy35vBJUCiLqq7N2LVjzWebNS3SGC37ZgOSzTcB6yX5MdooTuLc9pUyIdMHkBe0slZp5Djsi%2fEOynNNQBXKU5OUtYhaFF6GyHzFMywmqisf%2f5d8ombHXgrPV%2bEIpvrbs8nd2oTvfByXJSlg59QVJo3cZSNGqGqJ2jNMdJnZyEh801oCvGuUF%2fsV%2bsdj7wVMmVhMo0OqDSDYhVSjyvMCuGCLiQK7BNt60Oy3n1VD71%2fCO","descargar bases")</f>
      </c>
    </row>
    <row r="20">
      <c r="A20" s="0" t="inlineStr">
        <is>
          <t xml:space="preserve">5420-22-LP26</t>
        </is>
      </c>
      <c r="B20" s="4" t="inlineStr">
        <is>
          <t xml:space="preserve">Arriendo de enlace de voz y datos</t>
        </is>
      </c>
      <c r="C20" s="0" t="inlineStr">
        <is>
          <t xml:space="preserve">Publicada</t>
        </is>
      </c>
      <c r="D20" s="0" t="inlineStr">
        <is>
          <t xml:space="preserve">GOBIERNO REGIONAL DE ARICA-PARINACOTA</t>
        </is>
      </c>
      <c r="E20" s="0" t="inlineStr">
        <is>
          <t xml:space="preserve">Gobierno Regional de Arica y Parinacota</t>
        </is>
      </c>
      <c r="F20" s="0" t="inlineStr">
        <is>
          <t xml:space="preserve">Región de Arica y Parinacota</t>
        </is>
      </c>
      <c r="G20" s="0" t="inlineStr">
        <is>
          <t xml:space="preserve">Arica</t>
        </is>
      </c>
      <c r="H20" s="2">
        <v>46286.430567</v>
      </c>
      <c r="I20" s="2">
        <v>46308.645833</v>
      </c>
      <c r="J20" s="0">
        <v>4</v>
      </c>
      <c r="K20" s="3"/>
      <c r="L20" s="0" t="inlineStr">
        <is>
          <t xml:space="preserve">CLP</t>
        </is>
      </c>
      <c r="M20" s="0" t="inlineStr">
        <is>
          <t xml:space="preserve">LP</t>
        </is>
      </c>
      <c r="N20" s="4" t="inlineStr">
        <is>
          <t xml:space="preserve">Servicios basados en ingeniería, ciencias sociales y tecnología de la información / Servicios informáticos / Servicios para internet</t>
        </is>
      </c>
      <c r="O20" s="4" t="inlineStr">
        <is>
          <t xml:space="preserve">1 Unidad · Proveedores de servicio de Internet (ISP)</t>
        </is>
      </c>
      <c r="P20" s="2"/>
      <c r="Q20" s="2"/>
      <c r="R20" s="0"/>
      <c r="S20" s="0" t="inlineStr">
        <is>
          <t xml:space="preserve">No</t>
        </is>
      </c>
      <c r="T20" s="4"/>
      <c r="U20" s="0" t="inlineStr">
        <is>
          <t xml:space="preserve">Omar Sepulveda Vasquez</t>
        </is>
      </c>
      <c r="V20" s="4" t="inlineStr">
        <is>
          <t xml:space="preserve">Poseer un enlace de voz y datos para las dependencias del Gobierno Regional de Arica y Parinacota y Consejo Regional de Arica y Parinacota</t>
        </is>
      </c>
      <c r="W20" s="5" t="str">
        <f>HYPERLINK("https://www.mercadopublico.cl/Procurement/Modules/Attachment/ViewAttachment.aspx?enc=XT2GqWzbLQRIA12R95ZAdWeYMcOF0OkvHW%2bmxDrWjipJp8t%2fA6P0wXf4FgERJ79vaIZyzLqAHEW7pnw7og%2fK8Fq%2bmZY6Cep0%2fCd8AIrgoz50yU2M2ahwN5S234Rxn3pj%2fMhccrCR4oKaYhVUbHsrOr0h6SUaldX81tvMtMDOQkn%2fVvwqLCnuakw3w9F6NZKEBQReqEBHJNQCkFAnZvuCwsteZADumlYsMsdIa1y0ij8650bz2YFGD8Edys5TTijYlmwB35ldb05i4Qi2%2b559DCETmUpzLeENsGG9mjcXiLV0dO45hOMolR4%2bP2ctq%2b2a","descargar bases")</f>
      </c>
    </row>
    <row r="21">
      <c r="A21" s="0" t="inlineStr">
        <is>
          <t xml:space="preserve">906973-10-LP26</t>
        </is>
      </c>
      <c r="B21" s="4" t="inlineStr">
        <is>
          <t xml:space="preserve">SEGUNDO LLAMADO SISTEMAS INFORMÁTICOS DE GESTIÓN MUNICIPAL</t>
        </is>
      </c>
      <c r="C21" s="0" t="inlineStr">
        <is>
          <t xml:space="preserve">Publicada</t>
        </is>
      </c>
      <c r="D21" s="0" t="inlineStr">
        <is>
          <t xml:space="preserve">I MUNICIPALIDAD DE VICHUQUEN</t>
        </is>
      </c>
      <c r="E21" s="0" t="inlineStr">
        <is>
          <t xml:space="preserve">SECPLAC</t>
        </is>
      </c>
      <c r="F21" s="0" t="inlineStr">
        <is>
          <t xml:space="preserve">Región del Maule </t>
        </is>
      </c>
      <c r="G21" s="0" t="inlineStr">
        <is>
          <t xml:space="preserve">Vichuquén</t>
        </is>
      </c>
      <c r="H21" s="2">
        <v>46288.631944</v>
      </c>
      <c r="I21" s="2">
        <v>46308.645833</v>
      </c>
      <c r="J21" s="0">
        <v>4</v>
      </c>
      <c r="K21" s="3"/>
      <c r="L21" s="0" t="inlineStr">
        <is>
          <t xml:space="preserve">CLP</t>
        </is>
      </c>
      <c r="M21" s="0" t="inlineStr">
        <is>
          <t xml:space="preserve">LP</t>
        </is>
      </c>
      <c r="N21" s="4" t="inlineStr">
        <is>
          <t xml:space="preserve">Organizaciones y consultorías políticas, demográficas, económicas, sociales y de administración pública / Administración y finanzas públicas / Finanzas públicas</t>
        </is>
      </c>
      <c r="O21" s="4" t="inlineStr">
        <is>
          <t xml:space="preserve">36 Mes · Servicios contables gubernamentales</t>
        </is>
      </c>
      <c r="P21" s="2"/>
      <c r="Q21" s="2"/>
      <c r="R21" s="0"/>
      <c r="S21" s="0" t="inlineStr">
        <is>
          <t xml:space="preserve">No</t>
        </is>
      </c>
      <c r="T21" s="4"/>
      <c r="U21" s="0" t="inlineStr">
        <is>
          <t xml:space="preserve">Ariel Munoz Vasquez</t>
        </is>
      </c>
      <c r="V21"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21" s="5" t="str">
        <f>HYPERLINK("https://www.mercadopublico.cl/Procurement/Modules/Attachment/ViewAttachment.aspx?enc=Wbxw%2bg3IRLVraertijipYKjDZF1dQlG%2fIHpiydLRBu2O7JnK4Jh6juZSso%2fSlDULQwNnH6ZbvznvTRfZm5IbeIGWmcf8Nm8M4Sk5RzLOtQFBfKAdJEIiV8oVEhV2p2DTizZ6eItHj6LGHjepWfYEwvDporrA57IQvfraKByRz9G1NOeyxONp0LM%2fXa0lT9QZcKs644RyBoNvu4O8SmBOrvC9oN8P6LS1D6elaogXLA5MPERBgqzX2Sk9Vm8WO1tAIiyV%2bV3aurQhTfJmo2pptaWBxHeDDF0Pd94voc1HHA6ptGr9Iava9BqLYfGAnxYx","descargar bases")</f>
      </c>
    </row>
    <row r="22">
      <c r="A22" s="0" t="inlineStr">
        <is>
          <t xml:space="preserve">1488587-36-LE26</t>
        </is>
      </c>
      <c r="B22" s="4" t="inlineStr">
        <is>
          <t xml:space="preserve">Ampliación Laboratorio de Imagen Digital Carrera de Periodismo Campus Andrés Bello de Universidad de La Serena</t>
        </is>
      </c>
      <c r="C22" s="0" t="inlineStr">
        <is>
          <t xml:space="preserve">Publicada</t>
        </is>
      </c>
      <c r="D22" s="0" t="inlineStr">
        <is>
          <t xml:space="preserve">UNIVERSIDAD DE LA SERENA</t>
        </is>
      </c>
      <c r="E22" s="0" t="inlineStr">
        <is>
          <t xml:space="preserve">DIRECCIÓN DE INFRAESTRUCTURA</t>
        </is>
      </c>
      <c r="F22" s="0" t="inlineStr">
        <is>
          <t xml:space="preserve">Región de Coquimbo </t>
        </is>
      </c>
      <c r="G22" s="0"/>
      <c r="H22" s="2">
        <v>46294.568044</v>
      </c>
      <c r="I22" s="2">
        <v>46308.666667</v>
      </c>
      <c r="J22" s="0">
        <v>4</v>
      </c>
      <c r="K22" s="3">
        <v>50000000.0</v>
      </c>
      <c r="L22" s="0" t="inlineStr">
        <is>
          <t xml:space="preserve">CLP</t>
        </is>
      </c>
      <c r="M22" s="0" t="inlineStr">
        <is>
          <t xml:space="preserve">LE</t>
        </is>
      </c>
      <c r="N22" s="4" t="inlineStr">
        <is>
          <t xml:space="preserve">Servicios de construcción y mantenimiento / Construcción de edificios en general / Construcción residencial</t>
        </is>
      </c>
      <c r="O22" s="4" t="inlineStr">
        <is>
          <t xml:space="preserve">1 Global · Construcción de edificios y departamentos</t>
        </is>
      </c>
      <c r="P22" s="2"/>
      <c r="Q22" s="2"/>
      <c r="R22" s="0" t="inlineStr">
        <is>
          <t xml:space="preserve">120 días</t>
        </is>
      </c>
      <c r="S22" s="0" t="inlineStr">
        <is>
          <t xml:space="preserve">No</t>
        </is>
      </c>
      <c r="T22" s="4"/>
      <c r="U22" s="0" t="inlineStr">
        <is>
          <t xml:space="preserve">Luis Alejandro Paz Rivera</t>
        </is>
      </c>
      <c r="V22" s="4" t="inlineStr">
        <is>
          <t xml:space="preserve">Que la Universidad de La Serena requiere contratar los servicios de Ampliación Laboratorio de Imagen Digital, Carrera de Periodismo, Campus Andrés Bello de Universidad de La Serena.</t>
        </is>
      </c>
      <c r="W22" s="5" t="str">
        <f>HYPERLINK("https://www.mercadopublico.cl/Procurement/Modules/Attachment/ViewAttachment.aspx?enc=UapKzbOoG03Fi3ZgxlSgArtOiyTMujNNBUeAirGU3dKhp3847rSmrc%2bpgDYs0IQ0WGPdbdCMLH6OmPv41WqHGQxd0yf08eiwuSS8l9mkS1xknAc4BCo9c2h8%2bfJbbmoYBpRhW6bEOjYfDEZH45PwxLMB%2bf6qFuGM6wuqjn1MRKHBhVYrDE%2bQJqKGpOEt0eLcFVcQxB5asfGKC9bx7B41FUIwuuyq7cLje2M1UNE7NgxVnoNn4JN6TNu3jAKGV7pUZLLC6BtWDIxsl4Q5vn%2fQl%2bSttMp2lLZdI%2brI06Z9xhVqygbhIDfwGM03eGri%2fmfp","descargar bases")</f>
      </c>
    </row>
    <row r="23">
      <c r="A23" s="0" t="inlineStr">
        <is>
          <t xml:space="preserve">3134-94-LE26</t>
        </is>
      </c>
      <c r="B23" s="4" t="inlineStr">
        <is>
          <t xml:space="preserve">LICENCIAS DE SOFTWARE CONTROL DE TRÁFICO MARÍTIMO.</t>
        </is>
      </c>
      <c r="C23" s="0" t="inlineStr">
        <is>
          <t xml:space="preserve">Publicada</t>
        </is>
      </c>
      <c r="D23" s="0" t="inlineStr">
        <is>
          <t xml:space="preserve">DIRECCION DE ABASTECIMIENTO DE LA ARMADA</t>
        </is>
      </c>
      <c r="E23" s="0" t="inlineStr">
        <is>
          <t xml:space="preserve">DIRECCION GENERAL DEL TERRITORIO MARITIMO Y M.M.</t>
        </is>
      </c>
      <c r="F23" s="0" t="inlineStr">
        <is>
          <t xml:space="preserve">Región de Valparaíso </t>
        </is>
      </c>
      <c r="G23" s="0" t="inlineStr">
        <is>
          <t xml:space="preserve">Valparaíso</t>
        </is>
      </c>
      <c r="H23" s="2">
        <v>46295.661123</v>
      </c>
      <c r="I23" s="2">
        <v>46308.666667</v>
      </c>
      <c r="J23" s="0">
        <v>4</v>
      </c>
      <c r="K23" s="3">
        <v>59040660.0</v>
      </c>
      <c r="L23" s="0" t="inlineStr">
        <is>
          <t xml:space="preserve">CLP</t>
        </is>
      </c>
      <c r="M23" s="0" t="inlineStr">
        <is>
          <t xml:space="preserve">LE</t>
        </is>
      </c>
      <c r="N23" s="4" t="inlineStr">
        <is>
          <t xml:space="preserve">Equipos y suministros de defensa, orden público, protección y seguridad / Seguridad y control público / Control de tráfico</t>
        </is>
      </c>
      <c r="O23" s="4" t="inlineStr">
        <is>
          <t xml:space="preserve">3 Unidad · Sistemas de señalización marítima</t>
        </is>
      </c>
      <c r="P23" s="2"/>
      <c r="Q23" s="2"/>
      <c r="R23" s="0"/>
      <c r="S23" s="0" t="inlineStr">
        <is>
          <t xml:space="preserve">No</t>
        </is>
      </c>
      <c r="T23" s="4" t="inlineStr">
        <is>
          <t xml:space="preserve">SEGÚN CLÁUSULA 19.- DE LAS BASES ADMINISTRATIVAS ADJUNTAS.</t>
        </is>
      </c>
      <c r="U23" s="0" t="inlineStr">
        <is>
          <t xml:space="preserve">Manuel Torres Cifuentes</t>
        </is>
      </c>
      <c r="V23" s="4" t="inlineStr">
        <is>
          <t xml:space="preserve">ADQUISICIÓN DE 3 LICENCIAS DE SOFTWARE CONTROL DE TRÁFICO MARÍTIMO.</t>
        </is>
      </c>
      <c r="W23" s="5" t="str">
        <f>HYPERLINK("https://www.mercadopublico.cl/Procurement/Modules/Attachment/ViewAttachment.aspx?enc=xZQjlkp6kJV524Godh%2fEFhmnBbgCWEVk7fmFdzHsqTBIbKCTwUQhycvAt0YggUTC2F7QZ9xDDGVM4SjGdssZ85qWIHSfjkjM5l1oo9qambl8BjHshnZJsbzR1xpNlfxkK38O457VYgrfCtdBcJKYDUlSTrzB9YFisL7qeuVOhKCrkHXIw2VpLeVIPPBMPaDe99wiifmS03MgsDsGhEPcGEFNvkse82uC4zLAYnNWLsAgYpVyz2E7wH3WxjOGyak%2fD8d%2bWRK4nOB3vMk6MVOqlpoypvb3PKjN6fhZXrVsCtkfAf6Ye1z5Td9%2bDnKeZKR%2f","descargar bases")</f>
      </c>
    </row>
    <row r="24">
      <c r="A24" s="0" t="inlineStr">
        <is>
          <t xml:space="preserve">3232-56-LE26</t>
        </is>
      </c>
      <c r="B24" s="4" t="inlineStr">
        <is>
          <t xml:space="preserve">LICENCIAMIENTO ANUAL DE SOFTWARE ÁREA MUNICIPAL</t>
        </is>
      </c>
      <c r="C24" s="0" t="inlineStr">
        <is>
          <t xml:space="preserve">Publicada</t>
        </is>
      </c>
      <c r="D24" s="0" t="inlineStr">
        <is>
          <t xml:space="preserve">I MUNICIPALIDAD DE SANTO DOMINGO</t>
        </is>
      </c>
      <c r="E24" s="0" t="inlineStr">
        <is>
          <t xml:space="preserve">I MUNICIPALIDAD DE SANTO DOMINGO</t>
        </is>
      </c>
      <c r="F24" s="0" t="inlineStr">
        <is>
          <t xml:space="preserve">Región de Valparaíso </t>
        </is>
      </c>
      <c r="G24" s="0" t="inlineStr">
        <is>
          <t xml:space="preserve">Santo Domingo</t>
        </is>
      </c>
      <c r="H24" s="2">
        <v>46297.676551</v>
      </c>
      <c r="I24" s="2">
        <v>46308.666667</v>
      </c>
      <c r="J24" s="0">
        <v>4</v>
      </c>
      <c r="K24" s="3"/>
      <c r="L24" s="0" t="inlineStr">
        <is>
          <t xml:space="preserve">CLP</t>
        </is>
      </c>
      <c r="M24" s="0" t="inlineStr">
        <is>
          <t xml:space="preserve">LE</t>
        </is>
      </c>
      <c r="N24" s="4" t="inlineStr">
        <is>
          <t xml:space="preserve">Tecnologías de la información, telecomunicaciones y radiodifusión / Software / Software de gestión</t>
        </is>
      </c>
      <c r="O24" s="4" t="inlineStr">
        <is>
          <t xml:space="preserve">17 Unidad · Software de gestión de licencias · 1 Unidad · Software de gestión de licencias · 1 Unidad · Software de gestión de licencias</t>
        </is>
      </c>
      <c r="P24" s="2"/>
      <c r="Q24" s="2"/>
      <c r="R24" s="0"/>
      <c r="S24" s="0" t="inlineStr">
        <is>
          <t xml:space="preserve">No</t>
        </is>
      </c>
      <c r="T24" s="4"/>
      <c r="U24" s="0" t="inlineStr">
        <is>
          <t xml:space="preserve">JUAN PABLO VIDAL</t>
        </is>
      </c>
      <c r="V24" s="4" t="inlineStr">
        <is>
          <t xml:space="preserve">La Ilustre Municipalidad de Santo Domingo, a través del Departamento de Informática y Gobierno Electrónico, requieren contratar la adquisición y renovación de licencias anuales de software Autodesk (AutoCAD LT 2026, AutoCAD Map 3D Specialized Tools 2026 y AutoCAD Revit 2026) para el presupuesto 2026, destinadas a apoyar las labores operativas, técnicas, cartográficas y de infraestructura del área municipal.</t>
        </is>
      </c>
      <c r="W24" s="5" t="str">
        <f>HYPERLINK("https://www.mercadopublico.cl/Procurement/Modules/Attachment/ViewAttachment.aspx?enc=MqKktEAJoID3oSMAq5WWrNS3oa0NUvgdwvgReCdrxL7hjwxwJra29%2bRVsNT39j%2fr8LY48QCH%2bsBOURePN3rSOzVOrBG19b9r0oWeVtyq2NpcBGty34omCJKOEQEM%2fG7Jw1Bd7nk5yu1AYWw7Fbu5aAsdHavdPF%2fH%2f%2bq0fB0It6znnIkS5eSyNRCS2DQbTfrPJNHyW%2fqLq68hDa5J3k7esn%2f%2fZn144xJ0K7M6bmG5Zw%2fFTztkPHv5y60we6qShcr6YNbZil6ttaMuy89I7X2w1jVzA3G9q3B9%2bnO1nC8s%2bTOz7FYZGirkCMASid00JfFf","descargar bases")</f>
      </c>
    </row>
    <row r="25">
      <c r="A25" s="0" t="inlineStr">
        <is>
          <t xml:space="preserve">591-26-LP26</t>
        </is>
      </c>
      <c r="B25" s="4" t="inlineStr">
        <is>
          <t xml:space="preserve">PLATAFORMA DE OBSERVABILIDAD AVANZADA MULTICLOUD PARA FONASA.</t>
        </is>
      </c>
      <c r="C25" s="0" t="inlineStr">
        <is>
          <t xml:space="preserve">Publicada</t>
        </is>
      </c>
      <c r="D25" s="0" t="inlineStr">
        <is>
          <t xml:space="preserve">FONDO NACIONAL DE SALUD</t>
        </is>
      </c>
      <c r="E25" s="0" t="inlineStr">
        <is>
          <t xml:space="preserve">FONASA, Nivel Central</t>
        </is>
      </c>
      <c r="F25" s="0" t="inlineStr">
        <is>
          <t xml:space="preserve">Región Metropolitana de Santiago</t>
        </is>
      </c>
      <c r="G25" s="0"/>
      <c r="H25" s="2">
        <v>46275.725</v>
      </c>
      <c r="I25" s="2">
        <v>46308.666667</v>
      </c>
      <c r="J25" s="0">
        <v>4</v>
      </c>
      <c r="K25" s="3"/>
      <c r="L25" s="0" t="inlineStr">
        <is>
          <t xml:space="preserve">CLP</t>
        </is>
      </c>
      <c r="M25" s="0" t="inlineStr">
        <is>
          <t xml:space="preserve">LP</t>
        </is>
      </c>
      <c r="N25" s="4" t="inlineStr">
        <is>
          <t xml:space="preserve">Tecnologías de la información, telecomunicaciones y radiodifusión / Software / Software de gestión</t>
        </is>
      </c>
      <c r="O25" s="4" t="inlineStr">
        <is>
          <t xml:space="preserve">1 Unidad · Software de gestión de licencias</t>
        </is>
      </c>
      <c r="P25" s="2"/>
      <c r="Q25" s="2"/>
      <c r="R25" s="0" t="inlineStr">
        <is>
          <t xml:space="preserve">15 meses</t>
        </is>
      </c>
      <c r="S25" s="0" t="inlineStr">
        <is>
          <t xml:space="preserve">No</t>
        </is>
      </c>
      <c r="T25" s="4"/>
      <c r="U25" s="0" t="inlineStr">
        <is>
          <t xml:space="preserve">Marcelo Gonzalez</t>
        </is>
      </c>
      <c r="V25" s="4" t="inlineStr">
        <is>
          <t xml:space="preserve">El Oferente para la provisión de una plataforma de observabilidad SaaS y la prestación de servicios profesionales especializados para su configuración, despliegue multicloud y transferencia tecnológica</t>
        </is>
      </c>
      <c r="W25" s="5" t="str">
        <f>HYPERLINK("https://www.mercadopublico.cl/Procurement/Modules/Attachment/ViewAttachment.aspx?enc=ezA%2bnU%2f5iu4AHjWwIIb6zCcuHK%2fXM%2fdELDwk1%2fi3mWYCrzVak5bmUa%2bMM6a6tFEqRe%2bQ6XW9kdS2bZJnMancmZbwy7BkasqYbGKaqpM%2bb%2bewT47si8FsbXxtaIEz%2bGioYrnqrgWkmj9HThClCswfXi8edBByNcswh79gSMe8Wxh9MX45KGxDYWp%2f301o2DrTY8zvWY99SobB2Vnp9U47TQh93sDv4fPaWzI6hgcUQumHbSQrOVA6Z6EYpMxDrjBISb66cAIkyFHiWkvjgtCTikXOzmLgDKYnyurCvojfpOTtKg58L2uVgo9f1WQ51Dfl","descargar bases")</f>
      </c>
    </row>
    <row r="26">
      <c r="A26" s="0" t="inlineStr">
        <is>
          <t xml:space="preserve">611669-20-LE26</t>
        </is>
      </c>
      <c r="B26" s="4" t="inlineStr">
        <is>
          <t xml:space="preserve">ADQUISICIÓN DE LICENCIAS DE SOFTWARE</t>
        </is>
      </c>
      <c r="C26" s="0" t="inlineStr">
        <is>
          <t xml:space="preserve">Publicada</t>
        </is>
      </c>
      <c r="D26" s="0" t="inlineStr">
        <is>
          <t xml:space="preserve">Superintendencia del Medio Ambiente</t>
        </is>
      </c>
      <c r="E26" s="0" t="inlineStr">
        <is>
          <t xml:space="preserve">Superintendencia del Medio Ambiente -Nivel Central</t>
        </is>
      </c>
      <c r="F26" s="0" t="inlineStr">
        <is>
          <t xml:space="preserve">Región Metropolitana de Santiago</t>
        </is>
      </c>
      <c r="G26" s="0" t="inlineStr">
        <is>
          <t xml:space="preserve">Santiago Centro</t>
        </is>
      </c>
      <c r="H26" s="2">
        <v>46296.660081</v>
      </c>
      <c r="I26" s="2">
        <v>46308.666667</v>
      </c>
      <c r="J26" s="0">
        <v>4</v>
      </c>
      <c r="K26" s="3">
        <v>66100000.0</v>
      </c>
      <c r="L26" s="0" t="inlineStr">
        <is>
          <t xml:space="preserve">CLP</t>
        </is>
      </c>
      <c r="M26" s="0" t="inlineStr">
        <is>
          <t xml:space="preserve">LE</t>
        </is>
      </c>
      <c r="N26" s="4" t="inlineStr">
        <is>
          <t xml:space="preserve">Tecnologías de la información, telecomunicaciones y radiodifusión / Software / Software de administración de redes, Tecnologías de la información, telecomunicaciones y radiodifusión / Software / Software de aplicaciones de red, 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para trabajo en redes</t>
        </is>
      </c>
      <c r="O26" s="4" t="inlineStr">
        <is>
          <t xml:space="preserve">1 Unidad · Programas de gestión de proyectos · 1 Unidad · Software de consultas e interfaz de usuario de bases de datos · 4 Unidad · Software de red de almacenamiento · y 3 más</t>
        </is>
      </c>
      <c r="P26" s="2"/>
      <c r="Q26" s="2"/>
      <c r="R26" s="0" t="inlineStr">
        <is>
          <t xml:space="preserve">24 meses</t>
        </is>
      </c>
      <c r="S26" s="0" t="inlineStr">
        <is>
          <t xml:space="preserve">No</t>
        </is>
      </c>
      <c r="T26" s="4"/>
      <c r="U26" s="0" t="inlineStr">
        <is>
          <t xml:space="preserve">Francisco Donoso Galdames</t>
        </is>
      </c>
      <c r="V26" s="4" t="inlineStr">
        <is>
          <t xml:space="preserve">Adquisición de   licencias de software especializadas, que permitan fortalecer y dar continuidad al trabajo técnico desarrollado por el Departamento de Tecnología, Monitoreo e Información DTM de la Superintendencia del Medio Ambiente SMA.</t>
        </is>
      </c>
      <c r="W26" s="5" t="str">
        <f>HYPERLINK("https://www.mercadopublico.cl/Procurement/Modules/Attachment/ViewAttachment.aspx?enc=E%2bKoYqvoMc3TXTAMCvHNwLCy3HXyBnJHYaXcxhIwu2by1Gb1oyFlohXNh3gDaiQ9Xu4yXSZbGU6AcOnxBUpxLGNydEc2CuPxm44QkFB7aEaXxDREXxFRqBRO6XwiCb4b2WWBbHKpxJNwll543S%2bZ1QMKxx9IKPCkqqi%2fPOLhc1M1pMqrPmtHNeoTUcJ2g0%2fqBhfXsZnw2JZ%2bpfcQrABNyC69AKvqNBeAaXlAFBDj5uR9i9eXZ3%2bBv9hBUMh4k32pUAp3emoL9Dg0Ont%2brU5xpBI7W1wZCy4dqOWG95rGWviT9I0ssSdmSa%2b%2bA%2fV0tqrj","descargar bases")</f>
      </c>
    </row>
    <row r="27">
      <c r="A27" s="0" t="inlineStr">
        <is>
          <t xml:space="preserve">885-94-LE26</t>
        </is>
      </c>
      <c r="B27" s="4" t="inlineStr">
        <is>
          <t xml:space="preserve">Renovación soporte y mantención de licencias software SAP Sybase IQ Enterprise</t>
        </is>
      </c>
      <c r="C27" s="0" t="inlineStr">
        <is>
          <t xml:space="preserve">Publicada</t>
        </is>
      </c>
      <c r="D27" s="0" t="inlineStr">
        <is>
          <t xml:space="preserve">CONTRALORIA GENERAL DE LA REPUBLICA</t>
        </is>
      </c>
      <c r="E27" s="0" t="inlineStr">
        <is>
          <t xml:space="preserve">Contraloría General de la República</t>
        </is>
      </c>
      <c r="F27" s="0" t="inlineStr">
        <is>
          <t xml:space="preserve">Región Metropolitana de Santiago</t>
        </is>
      </c>
      <c r="G27" s="0"/>
      <c r="H27" s="2">
        <v>46297.509248</v>
      </c>
      <c r="I27" s="2">
        <v>46308.666667</v>
      </c>
      <c r="J27" s="0">
        <v>4</v>
      </c>
      <c r="K27" s="3">
        <v>54000000.0</v>
      </c>
      <c r="L27" s="0" t="inlineStr">
        <is>
          <t xml:space="preserve">CLP</t>
        </is>
      </c>
      <c r="M27" s="0" t="inlineStr">
        <is>
          <t xml:space="preserve">LE</t>
        </is>
      </c>
      <c r="N27" s="4" t="inlineStr">
        <is>
          <t xml:space="preserve">Tecnologías de la información, telecomunicaciones y radiodifusión / Software / Software de gestión</t>
        </is>
      </c>
      <c r="O27" s="4" t="inlineStr">
        <is>
          <t xml:space="preserve">1 Unidad · Software de gestión de licencias</t>
        </is>
      </c>
      <c r="P27" s="2"/>
      <c r="Q27" s="2"/>
      <c r="R27" s="0" t="inlineStr">
        <is>
          <t xml:space="preserve">12 meses</t>
        </is>
      </c>
      <c r="S27" s="0" t="inlineStr">
        <is>
          <t xml:space="preserve">No</t>
        </is>
      </c>
      <c r="T27" s="4"/>
      <c r="U27" s="0" t="inlineStr">
        <is>
          <t xml:space="preserve">Irma del Carmen Garcés Ramírez</t>
        </is>
      </c>
      <c r="V27" s="4" t="inlineStr">
        <is>
          <t xml:space="preserve">La Contraloría General de la República requiere la renovación, soporte y mantención de licencias, cuatro (4) de core productivo y dos (2) de core de desarrollo, del software Sybase IQ Enterprise, por un periodo de 12 meses.</t>
        </is>
      </c>
      <c r="W27" s="5" t="str">
        <f>HYPERLINK("https://www.mercadopublico.cl/Procurement/Modules/Attachment/ViewAttachment.aspx?enc=avvxrB6cc7LvqzD%2bsDgC0xeF9lW7V3hzw5%2ft2kN0%2b9F%2fNpQZ0qXlYVX59UGubU4faJpHqYWoJfXK3G3emy5II1YvpBn6fPNioaHLfHAEIWSGmqSv2WHiDg6V09eGtLxBB%2fz3kK%2fCzqDaUjPitMULgAv5ElCNSv%2buMsG44aGg1jNF6CSv5n8WBRTO61C7Lylv4aMzJB3yiQbGC7uhvv43mEEnDdCev4jZb6O0dgwos7yZhS6npinHFeKkknN8JDzUoZiU1UyZryaq6b2zBoej563kt4pFrIMpC9FaeA9%2bhbXIMOCmcafFBdOUyNo45d%2fZ","descargar bases")</f>
      </c>
    </row>
    <row r="28">
      <c r="A28" s="0" t="inlineStr">
        <is>
          <t xml:space="preserve">899-44-LE26</t>
        </is>
      </c>
      <c r="B28" s="4" t="inlineStr">
        <is>
          <t xml:space="preserve">“Servicio de arriendo de equipos informáticos por un período de 36 meses para Hospital Familiar y Comunitario San José de Casablanca”</t>
        </is>
      </c>
      <c r="C28" s="0" t="inlineStr">
        <is>
          <t xml:space="preserve">Publicada</t>
        </is>
      </c>
      <c r="D28" s="0" t="inlineStr">
        <is>
          <t xml:space="preserve">SERVICIO DE SALUD VALPARAISO SAN ANTONIO</t>
        </is>
      </c>
      <c r="E28" s="0" t="inlineStr">
        <is>
          <t xml:space="preserve">Hospital San Jose - Casablanca</t>
        </is>
      </c>
      <c r="F28" s="0" t="inlineStr">
        <is>
          <t xml:space="preserve">Región de Valparaíso </t>
        </is>
      </c>
      <c r="G28" s="0" t="inlineStr">
        <is>
          <t xml:space="preserve">Casablanca</t>
        </is>
      </c>
      <c r="H28" s="2">
        <v>46296.728449</v>
      </c>
      <c r="I28" s="2">
        <v>46308.666667</v>
      </c>
      <c r="J28" s="0">
        <v>4</v>
      </c>
      <c r="K28" s="3"/>
      <c r="L28" s="0" t="inlineStr">
        <is>
          <t xml:space="preserve">CLP</t>
        </is>
      </c>
      <c r="M28" s="0" t="inlineStr">
        <is>
          <t xml:space="preserve">LE</t>
        </is>
      </c>
      <c r="N28" s="4" t="inlineStr">
        <is>
          <t xml:space="preserve">Tecnologías de la información, telecomunicaciones y radiodifusión / Equipos informáticos y accesorios / Computadores</t>
        </is>
      </c>
      <c r="O28" s="4" t="inlineStr">
        <is>
          <t xml:space="preserve">1 Unidad · Computadores personales</t>
        </is>
      </c>
      <c r="P28" s="2"/>
      <c r="Q28" s="2"/>
      <c r="R28" s="0" t="inlineStr">
        <is>
          <t xml:space="preserve">36 meses</t>
        </is>
      </c>
      <c r="S28" s="0" t="inlineStr">
        <is>
          <t xml:space="preserve">No</t>
        </is>
      </c>
      <c r="T28" s="4"/>
      <c r="U28" s="0" t="inlineStr">
        <is>
          <t xml:space="preserve">Hector Richard</t>
        </is>
      </c>
      <c r="V28" s="4" t="inlineStr">
        <is>
          <t xml:space="preserve">El Hospital Familiar y Comunitario San José de Casablanca requiere contar para su gestión con el suministro del servicio de arriendo de equipos informáticos por un período de 36 meses, para mantener en forma permanente y continua las atenciones clínicas para los pacientes beneficiarios del Hospital Familiar y Comunitario San José de Casablanca y así poder cumplir de manera eficiente la labor asistencial que ha sido encomendada a esta Institución de Salud, respondiendo oportunamente a los requerimientos de nuestros pacientes beneficiarios.</t>
        </is>
      </c>
      <c r="W28" s="5" t="str">
        <f>HYPERLINK("https://www.mercadopublico.cl/Procurement/Modules/Attachment/ViewAttachment.aspx?enc=yqhboyDhPYCDkLbQMIl9tsDFQH6mZ5OBUyVhRjGjaAw78%2bTa0pDEl8BJF3LRVRkoDheuZztlfvyPfvgFggzuTpaoqOpGFZQHl2GVPwdF92vAF2yAmxET6ubiOvoeMv23Et8foUDtzjADWza94LGI4qJooBKqt%2bM4tutUdqjVmPDT25uSi3h6McBWp40skD4mhrUz8rBQl1fCu0akPJEKJF9YhfM2djqp9CE6UCceLT9ab9lQDoA6O1tgCQ1KGUoj86SDrzPRuA8uQ3MK5o%2fm6F24UWaoY%2buiFzhJ5%2b3%2bhT83zCFZYlBBlCvxhERXYVt%2f","descargar bases")</f>
      </c>
    </row>
    <row r="29">
      <c r="A29" s="0" t="inlineStr">
        <is>
          <t xml:space="preserve">951-6-L126</t>
        </is>
      </c>
      <c r="B29" s="4" t="inlineStr">
        <is>
          <t xml:space="preserve">CONVENIO DE SUMINISTRO PARA LOS SERVICIOS MENORES DE GASFITERÍA, CARPINTERÍA, ELÉCTRICIDAD, PUNTO DE RED INFORMATICOS Y REPARACIONES MENORES PARA LA DELEGACIÓN PRESIDENCIAL REGIONAL DE TARAPACA</t>
        </is>
      </c>
      <c r="C29" s="0" t="inlineStr">
        <is>
          <t xml:space="preserve">Publicada</t>
        </is>
      </c>
      <c r="D29" s="0" t="inlineStr">
        <is>
          <t xml:space="preserve">DELEGACIÓN PRESIDENCIAL REGIONAL DE TARAPACÁ</t>
        </is>
      </c>
      <c r="E29" s="0" t="inlineStr">
        <is>
          <t xml:space="preserve">DELEGACIÓN PRESIDENCIAL REGIONAL DE TARAPACÁ</t>
        </is>
      </c>
      <c r="F29" s="0" t="inlineStr">
        <is>
          <t xml:space="preserve">Región Metropolitana de Santiago</t>
        </is>
      </c>
      <c r="G29" s="0" t="inlineStr">
        <is>
          <t xml:space="preserve">Santiago</t>
        </is>
      </c>
      <c r="H29" s="2">
        <v>46301.685833</v>
      </c>
      <c r="I29" s="2">
        <v>46308.6875</v>
      </c>
      <c r="J29" s="0">
        <v>4</v>
      </c>
      <c r="K29" s="3">
        <v>6000000.0</v>
      </c>
      <c r="L29" s="0" t="inlineStr">
        <is>
          <t xml:space="preserve">CLP</t>
        </is>
      </c>
      <c r="M29" s="0" t="inlineStr">
        <is>
          <t xml:space="preserve">L1</t>
        </is>
      </c>
      <c r="N29" s="4" t="inlineStr">
        <is>
          <t xml:space="preserve">Servicios de construcción y mantenimiento / Servicios de atención, mantenimiento y reparaciones de edificios / Gasfitería, calefacción y aire acondicionado</t>
        </is>
      </c>
      <c r="O29" s="4" t="inlineStr">
        <is>
          <t xml:space="preserve">1 Unidad · Mantenimiento o reparación de sistemas de fontanería, gasfitería</t>
        </is>
      </c>
      <c r="P29" s="2"/>
      <c r="Q29" s="2"/>
      <c r="R29" s="0"/>
      <c r="S29" s="0" t="inlineStr">
        <is>
          <t xml:space="preserve">No</t>
        </is>
      </c>
      <c r="T29" s="4"/>
      <c r="U29" s="0"/>
      <c r="V29" s="4" t="inlineStr">
        <is>
          <t xml:space="preserve">CONVENIO DE SUMINISTRO PARA LOS SERVICIOS MENORES DE GASFITERÍA, CARPINTERÍA, ELÉCTRICIDAD, PUNTO DE RED INFORMATICOS Y REPARACIONES MENORES PARA LA DELEGACIÓN PRESIDENCIAL REGIONAL DE TARAPACA</t>
        </is>
      </c>
      <c r="W29" s="5" t="str">
        <f>HYPERLINK("https://www.mercadopublico.cl/Procurement/Modules/Attachment/ViewAttachment.aspx?enc=WoryXaPzMETga3MwutxiF73E77luz1y8ie%2bRwu3%2byHgtTwPmUIGzQqEVwKYW9Dj9%2b%2b02eaZ2jd8PAoL6VFNeX33huz%2b8AKltj761i6DGDJVW95ZrThELu0YJrOauY%2b8p%2b1fxQlcj%2fAVHVms0Hic0v1Fuf452su1c50nma7sm2PzRuFRWe6atoP%2fgPBMuQawES1iuxI118FS0W4L7VsT09Ts3zVRD9Aqxc9zpflbDGzsELH79R9fxUnRjDBtfxANnSbyS8osVOzQGMYQ8XYYb%2bJJICIL%2flgJ9w3RqWhdVc1ymXEH524s1dXjLpDkHMif9","descargar bases")</f>
      </c>
    </row>
    <row r="30">
      <c r="A30" s="0" t="inlineStr">
        <is>
          <t xml:space="preserve">1002-84-LP26</t>
        </is>
      </c>
      <c r="B30" s="4" t="inlineStr">
        <is>
          <t xml:space="preserve">ADQUISICION DE TABLERO DE MADERA PRESERVADA CON HERRAJE</t>
        </is>
      </c>
      <c r="C30" s="0" t="inlineStr">
        <is>
          <t xml:space="preserve">Publicada</t>
        </is>
      </c>
      <c r="D30" s="0" t="inlineStr">
        <is>
          <t xml:space="preserve">MINISTERIO DE OBRAS PUBLICAS DIREC CION GRAL DE OO PP DCYF</t>
        </is>
      </c>
      <c r="E30" s="0" t="inlineStr">
        <is>
          <t xml:space="preserve">Dirección de Vialidad - X Región - Dirección Regional</t>
        </is>
      </c>
      <c r="F30" s="0" t="inlineStr">
        <is>
          <t xml:space="preserve">Región de los Lagos </t>
        </is>
      </c>
      <c r="G30" s="0" t="inlineStr">
        <is>
          <t xml:space="preserve">Puerto Montt</t>
        </is>
      </c>
      <c r="H30" s="2">
        <v>46287.611111</v>
      </c>
      <c r="I30" s="2">
        <v>46308.708333</v>
      </c>
      <c r="J30" s="0">
        <v>4</v>
      </c>
      <c r="K30" s="3"/>
      <c r="L30" s="0" t="inlineStr">
        <is>
          <t xml:space="preserve">CLP</t>
        </is>
      </c>
      <c r="M30" s="0" t="inlineStr">
        <is>
          <t xml:space="preserve">LP</t>
        </is>
      </c>
      <c r="N30" s="4" t="inlineStr">
        <is>
          <t xml:space="preserve">Artículos para estructuras, obras y construcciones / Materiales estructurales básicos / Productos estructurales</t>
        </is>
      </c>
      <c r="O30" s="4" t="inlineStr">
        <is>
          <t xml:space="preserve">1 Unidad · Vigas de madera</t>
        </is>
      </c>
      <c r="P30" s="2"/>
      <c r="Q30" s="2"/>
      <c r="R30" s="0"/>
      <c r="S30" s="0" t="inlineStr">
        <is>
          <t xml:space="preserve">No</t>
        </is>
      </c>
      <c r="T30" s="4" t="inlineStr">
        <is>
          <t xml:space="preserve">La Empresa adjudicada no puede traspasar a Terceros la responsabilidad del suministro de los productos ofertados.</t>
        </is>
      </c>
      <c r="U30" s="0" t="inlineStr">
        <is>
          <t xml:space="preserve">FERNANDA NUÑEZ JORQUERA</t>
        </is>
      </c>
      <c r="V30" s="4" t="inlineStr">
        <is>
          <t xml:space="preserve">Destinado a la reposición del tablero del puente Maicolpue, ubicado en el Sector Maicolpue, comuna de San Juan de la Costa, provincia de Osorno</t>
        </is>
      </c>
      <c r="W30" s="5" t="str">
        <f>HYPERLINK("https://www.mercadopublico.cl/Procurement/Modules/Attachment/ViewAttachment.aspx?enc=d0fNREo%2b0KEJl1MtDil7NJm0TeMPqbAuBzGfL%2fzYvF4EwRYd4a3kwh7r7cjPDE%2bdR1xgJ0dkyj4NRYRpHr%2bCMvsCyxZZv%2fpqXKkI1vGamxxkPJCFBvSvtod1AQcTQrsJbZn%2bshtOzw3nm8xgO95BZtkQnw%2fI0m2KO69mH%2bb1C%2fFbgSw%2fYROxdl5p7hoc46mcVxw%2f8cFYPUUles2y0d%2fUibNh2022t%2fvhYLQ2mmZ85hqfc6T%2fJVfLHBQs1OABrsSmQCKtcpv7hoTMCXaaSzd30yB0CQx0kiWktPmIekQ47seEJS8o7zR0SqLEMeASKcLz","descargar bases")</f>
      </c>
    </row>
    <row r="31">
      <c r="A31" s="0" t="inlineStr">
        <is>
          <t xml:space="preserve">1457281-19-L126</t>
        </is>
      </c>
      <c r="B31" s="4" t="inlineStr">
        <is>
          <t xml:space="preserve">SERVICIO DE SOFTWARE Y SOPORTE PARA SISTEMA DE CONTEO DE PÚBLICO M100</t>
        </is>
      </c>
      <c r="C31" s="0" t="inlineStr">
        <is>
          <t xml:space="preserve">Publicada</t>
        </is>
      </c>
      <c r="D31" s="0" t="inlineStr">
        <is>
          <t xml:space="preserve">CORP CULTURAL MATUCANA CIEN</t>
        </is>
      </c>
      <c r="E31" s="0" t="inlineStr">
        <is>
          <t xml:space="preserve">CORP CULTURAL MATUCANA CIEN</t>
        </is>
      </c>
      <c r="F31" s="0" t="inlineStr">
        <is>
          <t xml:space="preserve">Región Metropolitana de Santiago</t>
        </is>
      </c>
      <c r="G31" s="0" t="inlineStr">
        <is>
          <t xml:space="preserve">Estación Central</t>
        </is>
      </c>
      <c r="H31" s="2">
        <v>46296.650729</v>
      </c>
      <c r="I31" s="2">
        <v>46308.708333</v>
      </c>
      <c r="J31" s="0">
        <v>4</v>
      </c>
      <c r="K31" s="3">
        <v>1600000.0</v>
      </c>
      <c r="L31" s="0" t="inlineStr">
        <is>
          <t xml:space="preserve">CLP</t>
        </is>
      </c>
      <c r="M31" s="0" t="inlineStr">
        <is>
          <t xml:space="preserve">L1</t>
        </is>
      </c>
      <c r="N31" s="4" t="inlineStr">
        <is>
          <t xml:space="preserve">Servicios basados en ingeniería, ciencias sociales y tecnología de la información / Servicios informáticos / Administración de sistemas</t>
        </is>
      </c>
      <c r="O31" s="4" t="inlineStr">
        <is>
          <t xml:space="preserve">12 Mes · Soporte técnico y servicios de mesa de ayuda</t>
        </is>
      </c>
      <c r="P31" s="2"/>
      <c r="Q31" s="2"/>
      <c r="R31" s="0"/>
      <c r="S31" s="0" t="inlineStr">
        <is>
          <t xml:space="preserve">No</t>
        </is>
      </c>
      <c r="T31" s="4"/>
      <c r="U31" s="0"/>
      <c r="V31" s="4" t="inlineStr">
        <is>
          <t xml:space="preserve">Contratación de servicio de software y soporte técnico mensual para la plataforma de gestión de datos del sistema de conteo de público del Centro Cultural M100, operando sobre los 3 puntos ya instalados (acceso principal, sala Teatro y sala Artes Visuales). Incluye dashboard de datos, reportes exportables/imprimibles, soporte ante fallas y certificación de precisión del conteo. Datos usados para rendiciones ante el Ministerio de las Culturas, las Artes y el Patrimonio. Contrato de 12 meses.</t>
        </is>
      </c>
      <c r="W31" s="5" t="str">
        <f>HYPERLINK("https://www.mercadopublico.cl/Procurement/Modules/Attachment/ViewAttachment.aspx?enc=G6tcRLy5gOcih0R%2buqKs2dpODLTO%2bdMKDxYk%2f%2fCsGOn35%2fKhV4%2bJEur%2bNsbo%2bpFe6eblNrn9cBzo1Fa0H2QpQ52%2b9fFfDnBYcdoSMFzNjyIwn%2f913rL9yo1mNOLoe0SEmb1Bhu%2fRsKCXlmAUFPrNZF%2buohZgDNe%2fSKwDHFQi9Z6LboZLqlK%2fsfDhosKuAWvQ%2fT%2frSmarpA%2brsO%2by6Fb1o13lrXIIrk4RJnF4CLpw7ad%2f%2f3hPuCThQvTryYnzev6n3Tc0qTWF%2bMQ6W5ZczKeD7JLg%2bT%2fQpNyfdmLS%2bUGRMSsYzi%2b%2f%2fYeZMW1jtExF6t6s","descargar bases")</f>
      </c>
    </row>
    <row r="32">
      <c r="A32" s="0" t="inlineStr">
        <is>
          <t xml:space="preserve">1469-241-L126</t>
        </is>
      </c>
      <c r="B32" s="4" t="inlineStr">
        <is>
          <t xml:space="preserve">ADQUISICIÓN LICENCIAS DIGITALES PLATAFORMA EDUCACIONAL IDIOMA FRANCÉS”, UNIVERSIDAD DE TALCA”</t>
        </is>
      </c>
      <c r="C32" s="0" t="inlineStr">
        <is>
          <t xml:space="preserve">Publicada</t>
        </is>
      </c>
      <c r="D32" s="0" t="inlineStr">
        <is>
          <t xml:space="preserve">UNIVERSIDAD DE TALCA</t>
        </is>
      </c>
      <c r="E32" s="0" t="inlineStr">
        <is>
          <t xml:space="preserve">Universidad de Talca</t>
        </is>
      </c>
      <c r="F32" s="0" t="inlineStr">
        <is>
          <t xml:space="preserve">Región del Maule </t>
        </is>
      </c>
      <c r="G32" s="0" t="inlineStr">
        <is>
          <t xml:space="preserve">Talca</t>
        </is>
      </c>
      <c r="H32" s="2">
        <v>46297.500521</v>
      </c>
      <c r="I32" s="2">
        <v>46308.708333</v>
      </c>
      <c r="J32" s="0">
        <v>4</v>
      </c>
      <c r="K32" s="3">
        <v>1075600.0</v>
      </c>
      <c r="L32" s="0" t="inlineStr">
        <is>
          <t xml:space="preserve">CLP</t>
        </is>
      </c>
      <c r="M32" s="0" t="inlineStr">
        <is>
          <t xml:space="preserve">L1</t>
        </is>
      </c>
      <c r="N32" s="4" t="inlineStr">
        <is>
          <t xml:space="preserve">Instrumentos musicales, juegos, juguetes, artesanías y materiales educativos / Materiales, artículos y suministros didácticos profesionales y para el desarrollo personal / Recursos de lenguas extranjeras</t>
        </is>
      </c>
      <c r="O32" s="4" t="inlineStr">
        <is>
          <t xml:space="preserve">2 Unidad · Cursos y materiales de apoyo para aprender a hablar francés · 2 Unidad · Cursos y materiales de apoyo para aprender a hablar francés · 2 Unidad · Cursos y materiales de apoyo para aprender a hablar francés · y 11 más</t>
        </is>
      </c>
      <c r="P32" s="2"/>
      <c r="Q32" s="2"/>
      <c r="R32" s="0"/>
      <c r="S32" s="0" t="inlineStr">
        <is>
          <t xml:space="preserve">No</t>
        </is>
      </c>
      <c r="T32" s="4"/>
      <c r="U32" s="0"/>
      <c r="V32" s="4" t="inlineStr">
        <is>
          <t xml:space="preserve">La Universidad de Talca requiere adquirir licencias digitales de 3 Editoriales: Maison des Langues, Clé y Hachette, para docentes de cursos de francés de pregrado, desde el 05 de octubre de 2026 al 05 de octubre de 2027.</t>
        </is>
      </c>
      <c r="W32" s="5" t="str">
        <f>HYPERLINK("https://www.mercadopublico.cl/Procurement/Modules/Attachment/ViewAttachment.aspx?enc=biZlnbYygo22WlRfXfIrWnfRcJlKueb8IyIDatdrBXM%2b%2fLHOsE4nl%2foh60a4s7J1FjiwU6O3vyYLNdmcOB3%2ftH7rnuM77PIO1BGuaPtH6DNilQs8AD7CBhD15siHeEFoz2fxWXKLNP5J3JcpD113c2b5iIMfMbOZRmiid3%2fx6KT%2bg7ZrrDJyMJ0jL84PRgtCN%2faC%2fwFF0kiJlC0yvLdW3AaF5u1ns9G8jd4EgQ4X8Rva8u3VyrEFkn9ECviZflneCvNCVu45wn1zpS2FSGgp8bcJ423c7AqFULONa9EkGg5ptlzUaQ5yvfOHzq9Piih%2f","descargar bases")</f>
      </c>
    </row>
    <row r="33">
      <c r="A33" s="0" t="inlineStr">
        <is>
          <t xml:space="preserve">599-37-LP26</t>
        </is>
      </c>
      <c r="B33" s="4" t="inlineStr">
        <is>
          <t xml:space="preserve">ADQUISICIÓN DE SOFTWARE COMPRAS Y PAGOS 36 MESES</t>
        </is>
      </c>
      <c r="C33" s="0" t="inlineStr">
        <is>
          <t xml:space="preserve">Publicada</t>
        </is>
      </c>
      <c r="D33" s="0" t="inlineStr">
        <is>
          <t xml:space="preserve">JUNTA NACIONAL DE JARDINES         INFANTILES</t>
        </is>
      </c>
      <c r="E33" s="0" t="inlineStr">
        <is>
          <t xml:space="preserve">JUNTA NACIONAL DE JARDINES         INFANTILES</t>
        </is>
      </c>
      <c r="F33" s="0" t="inlineStr">
        <is>
          <t xml:space="preserve">Región Metropolitana de Santiago</t>
        </is>
      </c>
      <c r="G33" s="0" t="inlineStr">
        <is>
          <t xml:space="preserve">Santiago</t>
        </is>
      </c>
      <c r="H33" s="2">
        <v>46288.761505</v>
      </c>
      <c r="I33" s="2">
        <v>46308.75</v>
      </c>
      <c r="J33" s="0">
        <v>4</v>
      </c>
      <c r="K33" s="3"/>
      <c r="L33" s="0" t="inlineStr">
        <is>
          <t xml:space="preserve">CLP</t>
        </is>
      </c>
      <c r="M33" s="0" t="inlineStr">
        <is>
          <t xml:space="preserve">LP</t>
        </is>
      </c>
      <c r="N33" s="4" t="inlineStr">
        <is>
          <t xml:space="preserve">Tecnologías de la información, telecomunicaciones y radiodifusión / Software / Software de gestión</t>
        </is>
      </c>
      <c r="O33" s="4" t="inlineStr">
        <is>
          <t xml:space="preserve">1 Unidad · Software de gestión de adquisiciones</t>
        </is>
      </c>
      <c r="P33" s="2"/>
      <c r="Q33" s="2"/>
      <c r="R33" s="0" t="inlineStr">
        <is>
          <t xml:space="preserve">36 meses</t>
        </is>
      </c>
      <c r="S33" s="0" t="inlineStr">
        <is>
          <t xml:space="preserve">No</t>
        </is>
      </c>
      <c r="T33" s="4"/>
      <c r="U33" s="0" t="inlineStr">
        <is>
          <t xml:space="preserve">Oficina de Gestión de Contratos</t>
        </is>
      </c>
      <c r="V33"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33" s="5" t="str">
        <f>HYPERLINK("https://www.mercadopublico.cl/Procurement/Modules/Attachment/ViewAttachment.aspx?enc=PgcdXpytj1gAyZPUD1d3W85cpblU9%2f7srNPzvRHEJRyd8P%2fcSQZjczfHAyCPde0gJ7q7LpaJIq0fe1kwlKpWOWVpIUGa7ZuOZAoJdVvnylTlDxrmWWJCwkr9LsKryYaLcvXduj5g7WpdlZHay8gwKfM69CbgB327tEiTwG8jyvwQjuo5KcXVMqbeKeR8jMJHB2VWGBoFUEXyzh68fxhaQ2Q6ugtpHgvs9qanF493m6bkIZIobs2676JPu71pAYqB%2bCHkiR5JUQG8%2fS1GrQy%2f4bEJQimgbGiMw7sxFtAJ46ajb5glGmh1d%2fOVOjAQK0ej","descargar bases")</f>
      </c>
    </row>
    <row r="34">
      <c r="A34" s="0" t="inlineStr">
        <is>
          <t xml:space="preserve">568658-71-LE26</t>
        </is>
      </c>
      <c r="B34" s="4" t="inlineStr">
        <is>
          <t xml:space="preserve">SOFTWARE DE GESTIÓN PARA FARMACIAS Y OPTICAS</t>
        </is>
      </c>
      <c r="C34" s="0" t="inlineStr">
        <is>
          <t xml:space="preserve">Publicada</t>
        </is>
      </c>
      <c r="D34" s="0" t="inlineStr">
        <is>
          <t xml:space="preserve">CORPORACION MUNICIPAL VINA DEL MAR PARA EL DESARROLLO SOCIAL</t>
        </is>
      </c>
      <c r="E34" s="0" t="inlineStr">
        <is>
          <t xml:space="preserve">CORPORACION MUNICIPAL VINA DEL MAR PARA EL DESARRO</t>
        </is>
      </c>
      <c r="F34" s="0" t="inlineStr">
        <is>
          <t xml:space="preserve">Región de Valparaíso </t>
        </is>
      </c>
      <c r="G34" s="0" t="inlineStr">
        <is>
          <t xml:space="preserve">Viña del Mar</t>
        </is>
      </c>
      <c r="H34" s="2">
        <v>46293.681412</v>
      </c>
      <c r="I34" s="2">
        <v>46309.375</v>
      </c>
      <c r="J34" s="0">
        <v>5</v>
      </c>
      <c r="K34" s="3">
        <v>35112264.0</v>
      </c>
      <c r="L34" s="0" t="inlineStr">
        <is>
          <t xml:space="preserve">CLP</t>
        </is>
      </c>
      <c r="M34" s="0" t="inlineStr">
        <is>
          <t xml:space="preserve">LE</t>
        </is>
      </c>
      <c r="N34" s="4" t="inlineStr">
        <is>
          <t xml:space="preserve">Tecnologías de la información, telecomunicaciones y radiodifusión / Software / Software de consultas y gestión de datos</t>
        </is>
      </c>
      <c r="O34" s="4" t="inlineStr">
        <is>
          <t xml:space="preserve">1 Unidad · Software de administración de metadatos</t>
        </is>
      </c>
      <c r="P34" s="2"/>
      <c r="Q34" s="2"/>
      <c r="R34" s="0" t="inlineStr">
        <is>
          <t xml:space="preserve">36 meses</t>
        </is>
      </c>
      <c r="S34" s="0" t="inlineStr">
        <is>
          <t xml:space="preserve">No</t>
        </is>
      </c>
      <c r="T34" s="4"/>
      <c r="U34" s="0" t="inlineStr">
        <is>
          <t xml:space="preserve">Jean Baptiste Pujos</t>
        </is>
      </c>
      <c r="V34" s="4" t="inlineStr">
        <is>
          <t xml:space="preserve">Las presentes Bases Administrativas tienen por objeto regular el llamado a propuesta pública denominada “CONTRATACIÓN DE UNA SOLUCIÓN INTEGRAL DE SOFTWARE DE GESTIÓN PARA FARMACIAS MUNICIPALES Y ÓPTICA MUNICIPAL” Esta licitación es de carácter público y tiene por objeto la contratación de un sistema informático para gestionar Farmacias Municipales y la Óptica Municipal.</t>
        </is>
      </c>
      <c r="W34" s="5" t="str">
        <f>HYPERLINK("https://www.mercadopublico.cl/Procurement/Modules/Attachment/ViewAttachment.aspx?enc=ghNmsEz6Qu38su3RoAafcQiYUHjZAD9n3ZhmNM6n0wyElL%2fmqe5p0R2yALjhtZ65fTQEBTmmXeJVhcyAVRrZv5lF8COgO%2bLHEC3VmTeqsWCALf2UXElFrUqoxLFRYUFQ9erO%2fhXhuYSgPlP4sPbePOCLC%2fm78WcZAKaDYqvg4RcB2YQj81C%2bsKP6MseJbX75HpScVOjE7YHxqDp5wjTRiVFmCytRZB%2bEW36JeOl0lwdWG5t9Z4f2XFA0WeWY67rr06QeVCcPS%2bCpHzt2j1BXUTFAoLR4z1Qc9F8K6Jt0ueeY3DWunzTbJLK87Fu4N%2fvp","descargar bases")</f>
      </c>
    </row>
    <row r="35">
      <c r="A35" s="0" t="inlineStr">
        <is>
          <t xml:space="preserve">728-13-LE26</t>
        </is>
      </c>
      <c r="B35" s="4" t="inlineStr">
        <is>
          <t xml:space="preserve">Servicio de automatización de Banco de Calibracion</t>
        </is>
      </c>
      <c r="C35" s="0" t="inlineStr">
        <is>
          <t xml:space="preserve">Publicada</t>
        </is>
      </c>
      <c r="D35" s="0" t="inlineStr">
        <is>
          <t xml:space="preserve">INSTITUTO NACIONAL DE HIDRAULICA</t>
        </is>
      </c>
      <c r="E35" s="0" t="inlineStr">
        <is>
          <t xml:space="preserve">Instituto Nacional de Hidráulicas - INH</t>
        </is>
      </c>
      <c r="F35" s="0" t="inlineStr">
        <is>
          <t xml:space="preserve">Región Metropolitana de Santiago</t>
        </is>
      </c>
      <c r="G35" s="0" t="inlineStr">
        <is>
          <t xml:space="preserve">Peñaflor</t>
        </is>
      </c>
      <c r="H35" s="2">
        <v>46294.706412</v>
      </c>
      <c r="I35" s="2">
        <v>46309.583333</v>
      </c>
      <c r="J35" s="0">
        <v>5</v>
      </c>
      <c r="K35" s="3"/>
      <c r="L35" s="0" t="inlineStr">
        <is>
          <t xml:space="preserve">CLP</t>
        </is>
      </c>
      <c r="M35" s="0" t="inlineStr">
        <is>
          <t xml:space="preserve">LE</t>
        </is>
      </c>
      <c r="N35" s="4" t="inlineStr">
        <is>
          <t xml:space="preserve">Maquinaria para fabricación y transformación industrial / Maquinaria y suministros de procesos industriales / Dispositivos de guía, posicionamiento y sujeción</t>
        </is>
      </c>
      <c r="O35" s="4" t="inlineStr">
        <is>
          <t xml:space="preserve">1 Unidad · Artículo de calibración</t>
        </is>
      </c>
      <c r="P35" s="2"/>
      <c r="Q35" s="2"/>
      <c r="R35" s="0"/>
      <c r="S35" s="0" t="inlineStr">
        <is>
          <t xml:space="preserve">No</t>
        </is>
      </c>
      <c r="T35" s="4"/>
      <c r="U35" s="0" t="inlineStr">
        <is>
          <t xml:space="preserve">Jimena Castillo</t>
        </is>
      </c>
      <c r="V35" s="4" t="inlineStr">
        <is>
          <t xml:space="preserve">Se requiere la automatizacion de banco de calibraciones.</t>
        </is>
      </c>
      <c r="W35" s="5" t="str">
        <f>HYPERLINK("https://www.mercadopublico.cl/Procurement/Modules/Attachment/ViewAttachment.aspx?enc=GW1W1QvYTLAghRabukZrwMTI85%2bh5npgna4YcZinZJDBR5W6qaylBsfF%2bZ6Z%2fvG%2bRTr5dHDrl0C%2b2cH9%2fUsAxixd%2fY0Px5kTWcYbwMHIuyA7KziuUCwtpeIcHsCMRhIINWy9pEvvt1ZChV3plJziSuJVFLGF3CN0P8mHqK5W9N9jwie0k%2bAmJrb5NRXzM04mikELi5K%2fyQXi8vWhD4aUGoKmJY2Tr8h93XoJgapUOstNjDXJwVrCXyh45iv84fZ5W6DhxLk0NaMtp7cP9HJT7oDA5HGnatJtL5eLhV94ctlx2RZSWyJf8bET0kFt9DJQ","descargar bases")</f>
      </c>
    </row>
    <row r="36">
      <c r="A36" s="0" t="inlineStr">
        <is>
          <t xml:space="preserve">1469-251-L126</t>
        </is>
      </c>
      <c r="B36" s="4" t="inlineStr">
        <is>
          <t xml:space="preserve">“Servicio suministro de puntos de datos para la Universidad de Talca, Dirección de Tecnologías de información, nueva Oficina Servicios TI”</t>
        </is>
      </c>
      <c r="C36" s="0" t="inlineStr">
        <is>
          <t xml:space="preserve">Publicada</t>
        </is>
      </c>
      <c r="D36" s="0" t="inlineStr">
        <is>
          <t xml:space="preserve">UNIVERSIDAD DE TALCA</t>
        </is>
      </c>
      <c r="E36" s="0" t="inlineStr">
        <is>
          <t xml:space="preserve">Universidad de Talca</t>
        </is>
      </c>
      <c r="F36" s="0" t="inlineStr">
        <is>
          <t xml:space="preserve">Región del Maule </t>
        </is>
      </c>
      <c r="G36" s="0" t="inlineStr">
        <is>
          <t xml:space="preserve">Talca</t>
        </is>
      </c>
      <c r="H36" s="2">
        <v>46297.774097</v>
      </c>
      <c r="I36" s="2">
        <v>46309.625</v>
      </c>
      <c r="J36" s="0">
        <v>5</v>
      </c>
      <c r="K36" s="3">
        <v>3730650.0</v>
      </c>
      <c r="L36" s="0" t="inlineStr">
        <is>
          <t xml:space="preserve">CLP</t>
        </is>
      </c>
      <c r="M36" s="0" t="inlineStr">
        <is>
          <t xml:space="preserve">L1</t>
        </is>
      </c>
      <c r="N36" s="4" t="inlineStr">
        <is>
          <t xml:space="preserve">Servicios básicos y de información pública / Bibliotecas y otros centros de información pública / Comunicación social y de masas</t>
        </is>
      </c>
      <c r="O36" s="4" t="inlineStr">
        <is>
          <t xml:space="preserve">1 Unidad · Servicios relacionados con Internet</t>
        </is>
      </c>
      <c r="P36" s="2"/>
      <c r="Q36" s="2"/>
      <c r="R36" s="0"/>
      <c r="S36" s="0" t="inlineStr">
        <is>
          <t xml:space="preserve">No</t>
        </is>
      </c>
      <c r="T36" s="4"/>
      <c r="U36" s="0"/>
      <c r="V36" s="4" t="inlineStr">
        <is>
          <t xml:space="preserve">Contratar la provisión e instalación integral de infraestructura de red para la habilitación del servicio de datos en la nueva oficina del Departamento de Servicios y Procesos TI.</t>
        </is>
      </c>
      <c r="W36" s="5" t="str">
        <f>HYPERLINK("https://www.mercadopublico.cl/Procurement/Modules/Attachment/ViewAttachment.aspx?enc=bLaJBprDWA6IqUrlrMppNDue0pCRZ%2ba6X%2ffRdOFv%2fPwvreqbMuEGdNJ5vT%2fvXLq59aUHrgx6KM7dr4%2fOO%2bh61sfelvKB4iX89%2bPcpx%2bXh6aGjcZzs5bndiKY7D7%2f7KfkYmCftwF4BLmSgCcwnobIs0XumYJWr5X1zXvue0aYeZru0gLnMZmyhummeEWlOeAmMAqkmNG9zACAvlXnhGKFYZm0LdJoelLJ5eqMNXflkXaJpnEJKvwenL5xTe6aVjzQnSwJTwnzX2%2bZ00YG4UkJfpN8O4CVVDPS0JF45NTTBnsGhjN%2bjwL4vtBATkbKcRN2","descargar bases")</f>
      </c>
    </row>
    <row r="37">
      <c r="A37" s="0" t="inlineStr">
        <is>
          <t xml:space="preserve">2107-153-LP26</t>
        </is>
      </c>
      <c r="B37" s="4" t="inlineStr">
        <is>
          <t xml:space="preserve">ARRIENDO DE INFRAESTRUCTURA FÍSICA ENTERPRISE PARA PLATAFORMA TECNOLÓGICA INSTITUCIONAL</t>
        </is>
      </c>
      <c r="C37" s="0" t="inlineStr">
        <is>
          <t xml:space="preserve">Publicada</t>
        </is>
      </c>
      <c r="D37" s="0" t="inlineStr">
        <is>
          <t xml:space="preserve">SERVICIO DE SALUD HOSPITAL DE SANTA CRUZ</t>
        </is>
      </c>
      <c r="E37" s="0" t="inlineStr">
        <is>
          <t xml:space="preserve">Hospital de Santa Cruz</t>
        </is>
      </c>
      <c r="F37" s="0" t="inlineStr">
        <is>
          <t xml:space="preserve">Región del Libertador General Bernardo O´Higgins</t>
        </is>
      </c>
      <c r="G37" s="0"/>
      <c r="H37" s="2">
        <v>46287.719167</v>
      </c>
      <c r="I37" s="2">
        <v>46309.645139</v>
      </c>
      <c r="J37" s="0">
        <v>5</v>
      </c>
      <c r="K37" s="3"/>
      <c r="L37" s="0" t="inlineStr">
        <is>
          <t xml:space="preserve">CLP</t>
        </is>
      </c>
      <c r="M37" s="0" t="inlineStr">
        <is>
          <t xml:space="preserve">LP</t>
        </is>
      </c>
      <c r="N37" s="4" t="inlineStr">
        <is>
          <t xml:space="preserve">Tecnologías de la información, telecomunicaciones y radiodifusión / Componentes para tecnología de la información, difusión o telecomunicaciones / Subconjuntos para dispositivos electrónicos</t>
        </is>
      </c>
      <c r="O37" s="4" t="inlineStr">
        <is>
          <t xml:space="preserve">1 Unidad · Componentes de dispositivo de entrada o unidad de almacenamiento</t>
        </is>
      </c>
      <c r="P37" s="2"/>
      <c r="Q37" s="2"/>
      <c r="R37" s="0" t="inlineStr">
        <is>
          <t xml:space="preserve">36 meses</t>
        </is>
      </c>
      <c r="S37" s="0" t="inlineStr">
        <is>
          <t xml:space="preserve">No</t>
        </is>
      </c>
      <c r="T37" s="4"/>
      <c r="U37" s="0" t="inlineStr">
        <is>
          <t xml:space="preserve">Nicolas Salgado</t>
        </is>
      </c>
      <c r="V37" s="4" t="inlineStr">
        <is>
          <t xml:space="preserve">la contratación permitirá mantener la continuidad operacional de los servicios institucionales, disminuyendo riesgos tecnológicos y asegurando la disponibilidad permanente de la información clínica y administrativa</t>
        </is>
      </c>
      <c r="W37" s="5" t="str">
        <f>HYPERLINK("https://www.mercadopublico.cl/Procurement/Modules/Attachment/ViewAttachment.aspx?enc=iFLOpJWftbgEaOo1S4cSiUY8Jo9ytKrHz6g5N%2fkrsved8usTyxle6nzQXtuPZjmK2qBuoLUn9c2NFFoN3LqHuE1UNkl%2biCIvkGieQrUiaEjeHAB0Dv2idW58CJlxvOsrJXOkcJEKRBHljPolfZwt%2bAYXvpI%2fX%2fHx92c22ljJD3lNGDWiX1HHKEieElGyNxgtHJNEyTuSsPrsy%2follf%2fwMv7w1xkpIQU945DCuiBQj4avqXNQMG9SoaLDzoMFfynvwUWPxH%2fQenZrOmSO8XUPs9prKOujVQrqEED6PRsaw7YU0tWvjqHRhXrfYN6KleNx","descargar bases")</f>
      </c>
    </row>
    <row r="38">
      <c r="A38" s="0" t="inlineStr">
        <is>
          <t xml:space="preserve">591-34-LE26</t>
        </is>
      </c>
      <c r="B38" s="4" t="inlineStr">
        <is>
          <t xml:space="preserve">CURSO IA EN INGENIERÍA DE SOFTWARE Y ANALÍTICA  A</t>
        </is>
      </c>
      <c r="C38" s="0" t="inlineStr">
        <is>
          <t xml:space="preserve">Publicada</t>
        </is>
      </c>
      <c r="D38" s="0" t="inlineStr">
        <is>
          <t xml:space="preserve">FONDO NACIONAL DE SALUD</t>
        </is>
      </c>
      <c r="E38" s="0" t="inlineStr">
        <is>
          <t xml:space="preserve">FONASA, Nivel Central</t>
        </is>
      </c>
      <c r="F38" s="0" t="inlineStr">
        <is>
          <t xml:space="preserve">Región Metropolitana de Santiago</t>
        </is>
      </c>
      <c r="G38" s="0"/>
      <c r="H38" s="2">
        <v>46300.676539</v>
      </c>
      <c r="I38" s="2">
        <v>46310.41875</v>
      </c>
      <c r="J38" s="0">
        <v>6</v>
      </c>
      <c r="K38" s="3">
        <v>3000000.0</v>
      </c>
      <c r="L38" s="0" t="inlineStr">
        <is>
          <t xml:space="preserve">CLP</t>
        </is>
      </c>
      <c r="M38" s="0" t="inlineStr">
        <is>
          <t xml:space="preserve">LE</t>
        </is>
      </c>
      <c r="N38" s="4" t="inlineStr">
        <is>
          <t xml:space="preserve">Educación, formación, entrenamiento y capacitación / Sistemas educativos complementarios / Aprendizaje a distancia</t>
        </is>
      </c>
      <c r="O38" s="4" t="inlineStr">
        <is>
          <t xml:space="preserve">1 Unidad · Programas o cursos no diplomados a distancia</t>
        </is>
      </c>
      <c r="P38" s="2"/>
      <c r="Q38" s="2"/>
      <c r="R38" s="0"/>
      <c r="S38" s="0" t="inlineStr">
        <is>
          <t xml:space="preserve">No</t>
        </is>
      </c>
      <c r="T38" s="4" t="inlineStr">
        <is>
          <t xml:space="preserve">Las señaladas en la Resolución.</t>
        </is>
      </c>
      <c r="U38" s="0" t="inlineStr">
        <is>
          <t xml:space="preserve">ISMENIA TUDELA ROJO</t>
        </is>
      </c>
      <c r="V38" s="4" t="inlineStr">
        <is>
          <t xml:space="preserve">FONASA busca fortalecer las competencias técnicas de sus funcionarios y funcionarias para mejorar su desempeño laboral y contribuir al óptimo funcionamiento institucional. En este contexto, se requiere la contratación del curso IA EN INGENIERÍA DE SOFTWARE Y ANALÍTICA AVANZADA contemplado en el Plan Anual de Capacitación 2026, con el fin de fortalecer el conocimientos  y herramientas prácticas en inteligencia artificial, analítica avanzada, generación de indicadores, protección de datos y ciberseguridad, aplicadas a entornos AWS, GCP, OCI y plataformas on-premise.</t>
        </is>
      </c>
      <c r="W38" s="5" t="str">
        <f>HYPERLINK("https://www.mercadopublico.cl/Procurement/Modules/Attachment/ViewAttachment.aspx?enc=U6HDzuw96cEDmgM6R3vNv1QeMPX3PcIKzDt7Tk6ShMb8CrLE55xtF8AliWIkegm8KVUiOoyWpLryUzUPnL8YcqqygS2k1klpmi%2b8jxJu0DiU95jEbDZoQNjbO1iCJCd9ls9ZpoFHgyysmMG%2fkj1jziXHIYJOny7x7zcAbctQDkwVrBI7%2bwEue72WgdDfkb2vPxQI3kMFuNyO7G5Z3fLxCfVDek4ZybVfjHBY%2fhw0iNGPAreGvnvQcq2LtYtc2ECaT1%2fneRQMNT3FOj2nDUT0k2NnhhthK27ky%2b68vtkSBjRs8TR%2fQH13P5pk8x7pIxGr","descargar bases")</f>
      </c>
    </row>
    <row r="39">
      <c r="A39" s="0" t="inlineStr">
        <is>
          <t xml:space="preserve">2078-47-LE26</t>
        </is>
      </c>
      <c r="B39" s="4" t="inlineStr">
        <is>
          <t xml:space="preserve">“SERVICIO DE DIFUSIÓN MULTIMEDIAL REGIONAL EN MEDIOS DE COMUNICACIÓN Y PLATAFORMAS DIGITALES” LA SEREMI DE SALUD REGIÓN DEL BIOBÍO  S.C. N° 464 465 466 467 472 474 475 476 477 478</t>
        </is>
      </c>
      <c r="C39" s="0" t="inlineStr">
        <is>
          <t xml:space="preserve">Publicada</t>
        </is>
      </c>
      <c r="D39" s="0" t="inlineStr">
        <is>
          <t xml:space="preserve">SUBSECRETARIA DE SALUD PUBLICA</t>
        </is>
      </c>
      <c r="E39" s="0" t="inlineStr">
        <is>
          <t xml:space="preserve">Seremi de Salud VIII región</t>
        </is>
      </c>
      <c r="F39" s="0" t="inlineStr">
        <is>
          <t xml:space="preserve">Región del Biobío </t>
        </is>
      </c>
      <c r="G39" s="0" t="inlineStr">
        <is>
          <t xml:space="preserve">Lebu</t>
        </is>
      </c>
      <c r="H39" s="2">
        <v>46300.507986</v>
      </c>
      <c r="I39" s="2">
        <v>46310.420139</v>
      </c>
      <c r="J39" s="0">
        <v>6</v>
      </c>
      <c r="K39" s="3">
        <v>10600000.0</v>
      </c>
      <c r="L39" s="0" t="inlineStr">
        <is>
          <t xml:space="preserve">CLP</t>
        </is>
      </c>
      <c r="M39" s="0" t="inlineStr">
        <is>
          <t xml:space="preserve">LE</t>
        </is>
      </c>
      <c r="N39" s="4" t="inlineStr">
        <is>
          <t xml:space="preserve">Servicios editoriales, de diseño, publicidad, gráficos y artistas / Publicidad / Agencias de publicidad, Servicios editoriales, de diseño, publicidad, gráficos y artistas / Publicidad / Inserciones publicitarias en medios, Servicios editoriales, de diseño, publicidad, gráficos y artistas / Publicidad / Publicidad en medios no impresos</t>
        </is>
      </c>
      <c r="O39" s="4" t="inlineStr">
        <is>
          <t xml:space="preserve">1 Unidad · Publicidad en radio · 1 Unidad · Publicidad en radio · 1 Unidad · Avisos en televisión · y 7 más</t>
        </is>
      </c>
      <c r="P39" s="2"/>
      <c r="Q39" s="2"/>
      <c r="R39" s="0"/>
      <c r="S39" s="0" t="inlineStr">
        <is>
          <t xml:space="preserve">No</t>
        </is>
      </c>
      <c r="T39" s="4" t="inlineStr">
        <is>
          <t xml:space="preserve">A TODO EVENTO</t>
        </is>
      </c>
      <c r="U39" s="0" t="inlineStr">
        <is>
          <t xml:space="preserve">VICTOR BUSTOS</t>
        </is>
      </c>
      <c r="V39" s="4" t="inlineStr">
        <is>
          <t xml:space="preserve">“SERVICIO DE DIFUSIÓN MULTIMEDIAL REGIONAL EN MEDIOS DE COMUNICACIÓN Y PLATAFORMAS DIGITALES” LA SEREMI DE SALUD REGIÓN DEL BIOBÍO
 (S.C. N° 464, 465, 466, 467, 472, 474, 475, 476, 477, 478)</t>
        </is>
      </c>
      <c r="W39" s="5" t="str">
        <f>HYPERLINK("https://www.mercadopublico.cl/Procurement/Modules/Attachment/ViewAttachment.aspx?enc=PBaS9u0aTV9Zqlua6yvcATkd66S4vyIH6uXwxSaamsj0k58nA0emzFbyvw8%2bKVi3O8J77RgWdhic5NTIxKjsQrmlhf8%2btB2GKfXXMOUMvj5BliVI6ZcQy5HlgNwgzeVOXi3A9Y5B%2beOIAvbeceb%2bvDQfs4pGmBKkslNTdaOx%2b17rFaY0pCMvp9QG2JlyL5mg6O3vg%2bauDLQvfCUlTLCoJfKdz5OwnBvwEeA41wkEzmU7b0kZHSas4212U6Z6ATzM%2fMQfl1a4NxQPKIqoVU3Tvk0DyBXE5eXttlDmSJWWOHQhhjb8da%2bVfnfxRX3O1ceX","descargar bases")</f>
      </c>
    </row>
    <row r="40">
      <c r="A40" s="0" t="inlineStr">
        <is>
          <t xml:space="preserve">1208129-10-LP26</t>
        </is>
      </c>
      <c r="B40" s="4" t="inlineStr">
        <is>
          <t xml:space="preserve">Giftcards digitales nominativas para las RR.FF A.D</t>
        </is>
      </c>
      <c r="C40" s="0" t="inlineStr">
        <is>
          <t xml:space="preserve">Publicada</t>
        </is>
      </c>
      <c r="D40" s="0" t="inlineStr">
        <is>
          <t xml:space="preserve">SERVICIO NACIONAL DE PROTECCIÓN ESPECIALIZADA A LA NIÑEZ Y ADOLESCENCI</t>
        </is>
      </c>
      <c r="E40" s="0" t="inlineStr">
        <is>
          <t xml:space="preserve">ADMINISTRACIÓN DIRECTA REGIÓN DEL BIOBÍO</t>
        </is>
      </c>
      <c r="F40" s="0" t="inlineStr">
        <is>
          <t xml:space="preserve">Región del Biobío </t>
        </is>
      </c>
      <c r="G40" s="0" t="inlineStr">
        <is>
          <t xml:space="preserve">Concepción</t>
        </is>
      </c>
      <c r="H40" s="2">
        <v>46297.700833</v>
      </c>
      <c r="I40" s="2">
        <v>46310.450694</v>
      </c>
      <c r="J40" s="0">
        <v>6</v>
      </c>
      <c r="K40" s="3">
        <v>222800000.0</v>
      </c>
      <c r="L40" s="0" t="inlineStr">
        <is>
          <t xml:space="preserve">CLP</t>
        </is>
      </c>
      <c r="M40" s="0" t="inlineStr">
        <is>
          <t xml:space="preserve">LP</t>
        </is>
      </c>
      <c r="N40" s="4" t="inlineStr">
        <is>
          <t xml:space="preserve">Servicios profesionales, administrativos y consultorías de gestión empresarial / Servicios de recursos humanos / Consultorías para el desarrollo de recursos humanos</t>
        </is>
      </c>
      <c r="O40" s="4" t="inlineStr">
        <is>
          <t xml:space="preserve">1 Global · Planificación de compensaciones o beneficios · 1 Global · Planificación de compensaciones o beneficios · 1 Global · Planificación de compensaciones o beneficios</t>
        </is>
      </c>
      <c r="P40" s="2"/>
      <c r="Q40" s="2"/>
      <c r="R40" s="0" t="inlineStr">
        <is>
          <t xml:space="preserve">12 meses</t>
        </is>
      </c>
      <c r="S40" s="0" t="inlineStr">
        <is>
          <t xml:space="preserve">No</t>
        </is>
      </c>
      <c r="T40" s="4"/>
      <c r="U40" s="0" t="inlineStr">
        <is>
          <t xml:space="preserve">PAULA GATICA</t>
        </is>
      </c>
      <c r="V40" s="4" t="inlineStr">
        <is>
          <t xml:space="preserve">SERVICIOS DE ADMINISTRACIÓN Y PROVISIÓN DE BENEFICIOS MEDIANTE GIFTCARDS DIGITALES NOMINATIVAS PARA ALIMENTACIÓN, VESTUARIO Y CALZADO PARA LAS RESIDENCIAS FAMILIARES DE ADMINISTRACION DIRECTA DEL SERVICIO NACIONAL DE PROTECCIÓN ESPECIALIZADA A LA NIÑEZ Y ADOLESCENCIA REGIÓN DEL BIOBIO.</t>
        </is>
      </c>
      <c r="W40" s="5" t="str">
        <f>HYPERLINK("https://www.mercadopublico.cl/Procurement/Modules/Attachment/ViewAttachment.aspx?enc=6efpflMLUjOudT0oaP%2fcPZCWeU%2bJJsYUzXZBN%2fW9BFVFYtgWfY4QwxPe2zlPCnkDVaNTknDk%2fRlTyVB%2f%2fABYL8S9u6OLSBO6mQb1NvM1%2bGDwxyT64ROPBnVYwtCbCXBuu3g6f9yxd4Ck2EE7EDlgaQa8KlM2tvDQ9rVtgEzkDV0z7tq%2bTVODPmv6N6H7MOUfssELEI0hJLaLZvwKYcd5Fh%2fjvzzk6o5J%2fSYSCsQnYdzRc08x9dhh5wNYJWhdjkvITaurP1wUEo9dwBZSY9IyE2Iop6v7yaLZx%2b3cwX7yFljMaml9%2bkLW1Ld0PLoWdCX1","descargar bases")</f>
      </c>
    </row>
    <row r="41">
      <c r="A41" s="0" t="inlineStr">
        <is>
          <t xml:space="preserve">1562-75-LE26</t>
        </is>
      </c>
      <c r="B41" s="4" t="inlineStr">
        <is>
          <t xml:space="preserve">ADQUISICIÓN DE SOFTWARE AGISOFT METASHAPE PROFESSI</t>
        </is>
      </c>
      <c r="C41" s="0" t="inlineStr">
        <is>
          <t xml:space="preserve">Publicada</t>
        </is>
      </c>
      <c r="D41" s="0" t="inlineStr">
        <is>
          <t xml:space="preserve">SERVICIO NACIONAL DE GEOLOGIA Y MINERIA</t>
        </is>
      </c>
      <c r="E41" s="0" t="inlineStr">
        <is>
          <t xml:space="preserve">Servicio Nacional de Geología y Minería</t>
        </is>
      </c>
      <c r="F41" s="0" t="inlineStr">
        <is>
          <t xml:space="preserve">Región Metropolitana de Santiago</t>
        </is>
      </c>
      <c r="G41" s="0" t="inlineStr">
        <is>
          <t xml:space="preserve">Providencia</t>
        </is>
      </c>
      <c r="H41" s="2">
        <v>46300.706366</v>
      </c>
      <c r="I41" s="2">
        <v>46310.625</v>
      </c>
      <c r="J41" s="0">
        <v>6</v>
      </c>
      <c r="K41" s="3">
        <v>12349000.0</v>
      </c>
      <c r="L41" s="0" t="inlineStr">
        <is>
          <t xml:space="preserve">CLP</t>
        </is>
      </c>
      <c r="M41" s="0" t="inlineStr">
        <is>
          <t xml:space="preserve">LE</t>
        </is>
      </c>
      <c r="N41" s="4" t="inlineStr">
        <is>
          <t xml:space="preserve">Tecnologías de la información, telecomunicaciones y radiodifusión / Software / Software de gestión</t>
        </is>
      </c>
      <c r="O41" s="4" t="inlineStr">
        <is>
          <t xml:space="preserve">1 Unidad · Software de gestión de licencias</t>
        </is>
      </c>
      <c r="P41" s="2"/>
      <c r="Q41" s="2"/>
      <c r="R41" s="0"/>
      <c r="S41" s="0" t="inlineStr">
        <is>
          <t xml:space="preserve">No</t>
        </is>
      </c>
      <c r="T41" s="4"/>
      <c r="U41" s="0" t="inlineStr">
        <is>
          <t xml:space="preserve">Hugo Neira</t>
        </is>
      </c>
      <c r="V41" s="4" t="inlineStr">
        <is>
          <t xml:space="preserve">El Servicio Nacional de Geología y Minería SERNAGEOMIN, a través del Subdepartamento de Analítica Territorial, requiere la adquisición de un paquete de tres licencias fijas del software Agisoft Metashape Professional o equivalente, destinado al procesamiento, análisis y gestión de información digital y geoespacial.
La solución permitirá procesar grandes volúmenes de imágenes y generar productos técnicos de alta resolución, tales como ortomosaicos georreferenciados, modelos digitales de elevación, nubes de puntos y modelos tridimensionales texturizados.</t>
        </is>
      </c>
      <c r="W41" s="5" t="str">
        <f>HYPERLINK("https://www.mercadopublico.cl/Procurement/Modules/Attachment/ViewAttachment.aspx?enc=7Seh9C70dss%2fzXhcEZVb9JvSzqhXOUfaR6MIGI1mP8stSvfv9pQhOxpOVwmI0DredDM8Dx5WnXI5r7c9tz%2b76gi0ojXf18z4O9gSc7UW%2b0oi2u9hUloN1zNUTzPxovDqChobwQURGeU1oWkK9opNhinbtnHciG6biRdyWH9S%2b9b%2fFan0YgxoN6Kmgud57tjcVce07efLGlf71f%2bFQMvjVQduX6sGJhb6vL46WRb4P%2bicM8UgnJuj8YHp7LCfoooeptsMQLOz%2bpIJ4ndwQYxr6wGFTkezvLX0IXIrDnyHfO14fpmyNxFF5aEctQkOs7N3","descargar bases")</f>
      </c>
    </row>
    <row r="42">
      <c r="A42" s="0" t="inlineStr">
        <is>
          <t xml:space="preserve">2563-34-LR26</t>
        </is>
      </c>
      <c r="B42" s="4" t="inlineStr">
        <is>
          <t xml:space="preserve">EQUIPOS PARA REDES INFORMÁTICAS Y LICENCIAS</t>
        </is>
      </c>
      <c r="C42" s="0" t="inlineStr">
        <is>
          <t xml:space="preserve">Publicada</t>
        </is>
      </c>
      <c r="D42" s="0" t="inlineStr">
        <is>
          <t xml:space="preserve">DIRECCION GENERAL DE AERONAUTICA CIVIL</t>
        </is>
      </c>
      <c r="E42" s="0" t="inlineStr">
        <is>
          <t xml:space="preserve">UNIDAD DE COMPRA CONTRATOS NACIONALES</t>
        </is>
      </c>
      <c r="F42" s="0" t="inlineStr">
        <is>
          <t xml:space="preserve">Región Metropolitana de Santiago</t>
        </is>
      </c>
      <c r="G42" s="0" t="inlineStr">
        <is>
          <t xml:space="preserve">Providencia</t>
        </is>
      </c>
      <c r="H42" s="2">
        <v>46254.63125</v>
      </c>
      <c r="I42" s="2">
        <v>46310.625</v>
      </c>
      <c r="J42" s="0">
        <v>6</v>
      </c>
      <c r="K42" s="3">
        <v>453590167.0</v>
      </c>
      <c r="L42" s="0" t="inlineStr">
        <is>
          <t xml:space="preserve">CLP</t>
        </is>
      </c>
      <c r="M42" s="0" t="inlineStr">
        <is>
          <t xml:space="preserve">LR</t>
        </is>
      </c>
      <c r="N42" s="4" t="inlineStr">
        <is>
          <t xml:space="preserve">Tecnologías de la información, telecomunicaciones y radiodifusión / Equipos informáticos y accesorios / Accesorios de computador</t>
        </is>
      </c>
      <c r="O42" s="4" t="inlineStr">
        <is>
          <t xml:space="preserve">10 Unidad · Cajas de conmutación de computadores · 11 Unidad · Cajas de conmutación de computadores · 1 Unidad · Cajas de conmutación de computadores · y 14 más</t>
        </is>
      </c>
      <c r="P42" s="2"/>
      <c r="Q42" s="2"/>
      <c r="R42" s="0"/>
      <c r="S42" s="0" t="inlineStr">
        <is>
          <t xml:space="preserve">No</t>
        </is>
      </c>
      <c r="T42" s="4"/>
      <c r="U42" s="0" t="inlineStr">
        <is>
          <t xml:space="preserve">Javier Pacheco Barahona</t>
        </is>
      </c>
      <c r="V42"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42" s="5" t="str">
        <f>HYPERLINK("https://www.mercadopublico.cl/Procurement/Modules/Attachment/ViewAttachment.aspx?enc=GEON4q9yzsyjnWUBXBPpiRNT9U5EKVMsqZUJ6JdI6rUqSrIkmcd5oT7mCP5IEN%2fckn0w0iJFMFoRRd8d%2bX15CutuYJXdZ1pxBsBpwNNglL%2fWfFmR17U1yLX1HoSS52Oq2T6H9mL%2fUXPXqmmf5noSmRHmOrFkmY92QRYaUkDahkD6QgJciiAwUlZT05fjz530KVxnVJH%2bAVuPrG1HmkLeM2sYQJtY0bEorBAAIouuk15OnT94MNDvanigB36iuJfOfkjo7pFAqeLZa7QXJSJElxbBGUE%2bj7jD1lALCWGDfEojpquvJQ%2fFIUtAcVMNnxrE","descargar bases")</f>
      </c>
    </row>
    <row r="43">
      <c r="A43" s="0" t="inlineStr">
        <is>
          <t xml:space="preserve">2760-118-LR26</t>
        </is>
      </c>
      <c r="B43" s="4" t="inlineStr">
        <is>
          <t xml:space="preserve">SERVICIOS DE TELECOMUNICACIONES Y OTROS SERVICIOS INFORMÁTICOS PARA LA MUNICIPALIDAD DE CORONEL</t>
        </is>
      </c>
      <c r="C43" s="0" t="inlineStr">
        <is>
          <t xml:space="preserve">Publicada</t>
        </is>
      </c>
      <c r="D43" s="0" t="inlineStr">
        <is>
          <t xml:space="preserve">I MUNICIPALIDAD DE CORONEL</t>
        </is>
      </c>
      <c r="E43" s="0" t="inlineStr">
        <is>
          <t xml:space="preserve">SECRETARIA COMUNAL DE PLANIFICACION</t>
        </is>
      </c>
      <c r="F43" s="0" t="inlineStr">
        <is>
          <t xml:space="preserve">Región del Biobío </t>
        </is>
      </c>
      <c r="G43" s="0" t="inlineStr">
        <is>
          <t xml:space="preserve">Coronel</t>
        </is>
      </c>
      <c r="H43" s="2">
        <v>46279.810417</v>
      </c>
      <c r="I43" s="2">
        <v>46310.625</v>
      </c>
      <c r="J43" s="0">
        <v>6</v>
      </c>
      <c r="K43" s="3">
        <v>540000000.0</v>
      </c>
      <c r="L43" s="0" t="inlineStr">
        <is>
          <t xml:space="preserve">CLP</t>
        </is>
      </c>
      <c r="M43" s="0" t="inlineStr">
        <is>
          <t xml:space="preserve">LR</t>
        </is>
      </c>
      <c r="N43" s="4" t="inlineStr">
        <is>
          <t xml:space="preserve">Servicios basados en ingeniería, ciencias sociales y tecnología de la información / Servicios informáticos / Administración de sistemas</t>
        </is>
      </c>
      <c r="O43" s="4" t="inlineStr">
        <is>
          <t xml:space="preserve">1 Global · Soporte y mantenimiento de red de área local (LAN)</t>
        </is>
      </c>
      <c r="P43" s="2"/>
      <c r="Q43" s="2"/>
      <c r="R43" s="0" t="inlineStr">
        <is>
          <t xml:space="preserve">60 meses</t>
        </is>
      </c>
      <c r="S43" s="0" t="inlineStr">
        <is>
          <t xml:space="preserve">No</t>
        </is>
      </c>
      <c r="T43" s="4"/>
      <c r="U43" s="0" t="inlineStr">
        <is>
          <t xml:space="preserve">RODRIGO HENRIQUEZ ARANEDA</t>
        </is>
      </c>
      <c r="V43" s="4" t="inlineStr">
        <is>
          <t xml:space="preserve">SERVICIOS DE TELECOMUNICACIONES Y OTROS SERVICIOS INFORMÁTICOS PARA LA MUNICIPALIDAD DE CORONEL</t>
        </is>
      </c>
      <c r="W43" s="5" t="str">
        <f>HYPERLINK("https://www.mercadopublico.cl/Procurement/Modules/Attachment/ViewAttachment.aspx?enc=ujYIeOoi4fDd2ZyQCQyH4BLDPHYxlc2RFwf6fc1T684Z44KZIZmptwGvmPnfve8dCnaZr5TR8IRdyz7kce5TKPxVqHnQMmw%2bvS2YMSS5KsLG5s4FNJpOglhWXok%2bAnjl0zlz9gtaAYqK56wov5AMMzUeUQOtCzD%2fEtxj4BAiONn9hQguhs4aJESceGZyAgUZ71%2f3xcUG20oH1evHJ3SSwreVywDyPVIRbRAzxXvieY7vlJ9eH0Oyf438WNup8BPn70byMdC8rI4pmNqG18557rSVjh%2fXLYwk6KQ2s5DZqR96wpOnHkTjsW6MsQfJSu18","descargar bases")</f>
      </c>
    </row>
    <row r="44">
      <c r="A44" s="0" t="inlineStr">
        <is>
          <t xml:space="preserve">548874-78-LR26</t>
        </is>
      </c>
      <c r="B44" s="4" t="inlineStr">
        <is>
          <t xml:space="preserve">SERVICIO DE LICENCIAS CLOUD SUCCESSFACTORS</t>
        </is>
      </c>
      <c r="C44" s="0" t="inlineStr">
        <is>
          <t xml:space="preserve">Publicada</t>
        </is>
      </c>
      <c r="D44" s="0" t="inlineStr">
        <is>
          <t xml:space="preserve">INSTITUTO DE PREVISION SOCIAL</t>
        </is>
      </c>
      <c r="E44" s="0" t="inlineStr">
        <is>
          <t xml:space="preserve">IPS Oficina Central de Compras</t>
        </is>
      </c>
      <c r="F44" s="0" t="inlineStr">
        <is>
          <t xml:space="preserve">Región Metropolitana de Santiago</t>
        </is>
      </c>
      <c r="G44" s="0" t="inlineStr">
        <is>
          <t xml:space="preserve">Santiago</t>
        </is>
      </c>
      <c r="H44" s="2">
        <v>46272.683935</v>
      </c>
      <c r="I44" s="2">
        <v>46310.625</v>
      </c>
      <c r="J44" s="0">
        <v>6</v>
      </c>
      <c r="K44" s="3">
        <v>606192000.0</v>
      </c>
      <c r="L44" s="0" t="inlineStr">
        <is>
          <t xml:space="preserve">CLP</t>
        </is>
      </c>
      <c r="M44" s="0" t="inlineStr">
        <is>
          <t xml:space="preserve">LR</t>
        </is>
      </c>
      <c r="N44" s="4" t="inlineStr">
        <is>
          <t xml:space="preserve">Tecnologías de la información, telecomunicaciones y radiodifusión / Software / Software de gestión</t>
        </is>
      </c>
      <c r="O44" s="4" t="inlineStr">
        <is>
          <t xml:space="preserve">1 Global · Software de gestión de licencias</t>
        </is>
      </c>
      <c r="P44" s="2"/>
      <c r="Q44" s="2"/>
      <c r="R44" s="0" t="inlineStr">
        <is>
          <t xml:space="preserve">12 meses</t>
        </is>
      </c>
      <c r="S44" s="0" t="inlineStr">
        <is>
          <t xml:space="preserve">No</t>
        </is>
      </c>
      <c r="T44" s="4" t="inlineStr">
        <is>
          <t xml:space="preserve">Ver bases administrativas punto 16.</t>
        </is>
      </c>
      <c r="U44" s="0" t="inlineStr">
        <is>
          <t xml:space="preserve">Por Definir</t>
        </is>
      </c>
      <c r="V44" s="4" t="inlineStr">
        <is>
          <t xml:space="preserve">SERVICIO DE LICENCIAS CLOUD SUCCESSFACTORS EN MODALIDAD SAAS  E1O2RT8.</t>
        </is>
      </c>
      <c r="W44" s="5" t="str">
        <f>HYPERLINK("https://www.mercadopublico.cl/Procurement/Modules/Attachment/ViewAttachment.aspx?enc=8PPs1%2bkqm0BoHQAWESoE4RvUEJDE3iPPeceBXkpWrKMF7AYnsa1iTlM%2bJ7U%2bT8KNFhZDJBA7iBw8teAylEmeWhFIS6EMNVco5hONWcMBBqolAo8JVtYd%2fmqcHbHlCEwakXGycN4usfRp1UDMppd1uqX9eCyrvFYw%2fFHm2IlpJuWJineBA1cPVxan%2fgvRRQqK4hftTm1DonZY%2fmxlkDGPEabovx9yRytenuGntUJfN1N41jP91%2fROrBI%2bQ08tvpS79U2%2byUNB3HeCcCQzh3VDyK5sGsflZEHaDm%2fcQADZDvl25CZxfSGEH7XvO85ux47X","descargar bases")</f>
      </c>
    </row>
    <row r="45">
      <c r="A45" s="0" t="inlineStr">
        <is>
          <t xml:space="preserve">5574-13-LE26</t>
        </is>
      </c>
      <c r="B45" s="4" t="inlineStr">
        <is>
          <t xml:space="preserve">Licencias Adobe Creative Cloud y Acrobat Pro DC.</t>
        </is>
      </c>
      <c r="C45" s="0" t="inlineStr">
        <is>
          <t xml:space="preserve">Publicada</t>
        </is>
      </c>
      <c r="D45" s="0" t="inlineStr">
        <is>
          <t xml:space="preserve">UNIVERSIDAD DE CHILE</t>
        </is>
      </c>
      <c r="E45" s="0" t="inlineStr">
        <is>
          <t xml:space="preserve">UCHILE Vicerrectoría de Tecnologías de Información</t>
        </is>
      </c>
      <c r="F45" s="0" t="inlineStr">
        <is>
          <t xml:space="preserve">Región Metropolitana de Santiago</t>
        </is>
      </c>
      <c r="G45" s="0" t="inlineStr">
        <is>
          <t xml:space="preserve">Santiago Centro</t>
        </is>
      </c>
      <c r="H45" s="2">
        <v>46300.510752</v>
      </c>
      <c r="I45" s="2">
        <v>46310.625</v>
      </c>
      <c r="J45" s="0">
        <v>6</v>
      </c>
      <c r="K45" s="3">
        <v>40000.0</v>
      </c>
      <c r="L45" s="0" t="inlineStr">
        <is>
          <t xml:space="preserve">USD</t>
        </is>
      </c>
      <c r="M45" s="0" t="inlineStr">
        <is>
          <t xml:space="preserve">LE</t>
        </is>
      </c>
      <c r="N45" s="4" t="inlineStr">
        <is>
          <t xml:space="preserve">Tecnologías de la información, telecomunicaciones y radiodifusión / Software / Software de gestión</t>
        </is>
      </c>
      <c r="O45" s="4" t="inlineStr">
        <is>
          <t xml:space="preserve">100 Unidad · Software de gestión de licencias · 80 Unidad · Software de gestión de licencias</t>
        </is>
      </c>
      <c r="P45" s="2"/>
      <c r="Q45" s="2"/>
      <c r="R45" s="0" t="inlineStr">
        <is>
          <t xml:space="preserve">12 meses</t>
        </is>
      </c>
      <c r="S45" s="0" t="inlineStr">
        <is>
          <t xml:space="preserve">No</t>
        </is>
      </c>
      <c r="T45" s="4"/>
      <c r="U45" s="0" t="inlineStr">
        <is>
          <t xml:space="preserve">Sandra Jaque Figueroa</t>
        </is>
      </c>
      <c r="V45" s="4" t="inlineStr">
        <is>
          <t xml:space="preserve">Se requiere renovar y ampliar el licenciamiento de los siguientes productos asociados al Value Incentive Plan VIP 1735DDC90004E4085CBA. Cien licencias de Creative Cloud para equipos for teams All Apps, o su equivalente tecnológico. Ochenta licencias de Adobe Acrobat Pro para equipos for teams All, o su equivalente tecnológico. Por un periodo de 12 meses. Presupuesto de USD 40.000, más IVA.</t>
        </is>
      </c>
      <c r="W45" s="5" t="str">
        <f>HYPERLINK("https://www.mercadopublico.cl/Procurement/Modules/Attachment/ViewAttachment.aspx?enc=1P8%2bS%2fdfPxPPSIZ4MfcmNqI46zLz080uGL2KCMmnLiYJdt9MaH8dXdVYrT6%2fh6YqIQzByzQJFAiVw3rjz0viTX7HsOfdYg8aEbwONELq479oJO2wioXt1udqCD6hbsVF1GfOvvo%2fdbldiQ1wvweOsDNT%2fn%2f6EsfuvY0PlLaU7gZAQg%2bJTh1CvYc0eyI6a2mWnBtGXgiH9ZhwokjwidArZAxSBn56RSk0M40crVYf06YsAykgGeV5MarKr2GttJ0wdhpj6ts7ci0PGrTwauaro4pQz%2fFppGGqhdnwoCZs%2bKYPK%2feHCy6Bs08BduqOwVfQ","descargar bases")</f>
      </c>
    </row>
    <row r="46">
      <c r="A46" s="0" t="inlineStr">
        <is>
          <t xml:space="preserve">558869-62-LE26</t>
        </is>
      </c>
      <c r="B46" s="4" t="inlineStr">
        <is>
          <t xml:space="preserve">CAPACITACIÓN EN INTELIGENCIA ARTIFICIAL</t>
        </is>
      </c>
      <c r="C46" s="0" t="inlineStr">
        <is>
          <t xml:space="preserve">Publicada</t>
        </is>
      </c>
      <c r="D46" s="0" t="inlineStr">
        <is>
          <t xml:space="preserve">CORP MUNICIPAL DE DESARROLLO SOCIAL DE A</t>
        </is>
      </c>
      <c r="E46" s="0" t="inlineStr">
        <is>
          <t xml:space="preserve">ADQUISICIONES - DIRECC ADMIN Y FINANZAS</t>
        </is>
      </c>
      <c r="F46" s="0" t="inlineStr">
        <is>
          <t xml:space="preserve">Región de Antofagasta </t>
        </is>
      </c>
      <c r="G46" s="0" t="inlineStr">
        <is>
          <t xml:space="preserve">Antofagasta</t>
        </is>
      </c>
      <c r="H46" s="2">
        <v>46301.704699</v>
      </c>
      <c r="I46" s="2">
        <v>46310.625</v>
      </c>
      <c r="J46" s="0">
        <v>6</v>
      </c>
      <c r="K46" s="3"/>
      <c r="L46" s="0" t="inlineStr">
        <is>
          <t xml:space="preserve">CLP</t>
        </is>
      </c>
      <c r="M46" s="0" t="inlineStr">
        <is>
          <t xml:space="preserve">LE</t>
        </is>
      </c>
      <c r="N46" s="4" t="inlineStr">
        <is>
          <t xml:space="preserve">Educación, formación, entrenamiento y capacitación / Sistemas educativos complementarios / Educación de adultos</t>
        </is>
      </c>
      <c r="O46" s="4" t="inlineStr">
        <is>
          <t xml:space="preserve">1 Unidad · Capacitación a empleados</t>
        </is>
      </c>
      <c r="P46" s="2"/>
      <c r="Q46" s="2"/>
      <c r="R46" s="0"/>
      <c r="S46" s="0" t="inlineStr">
        <is>
          <t xml:space="preserve">No</t>
        </is>
      </c>
      <c r="T46" s="4"/>
      <c r="U46" s="0" t="inlineStr">
        <is>
          <t xml:space="preserve">Wilma Vega Cardenas</t>
        </is>
      </c>
      <c r="V46" s="4" t="inlineStr">
        <is>
          <t xml:space="preserve">objetivo complementar el proceso de licitación que sustenta las bases administrativas, reglamentando la operatoria mínima necesaria para la correcta ejecución del servicio y cautelando el estricto cumplimiento del contrato.
El propósito principal es capacitar a equipos de gestión, docentes, profesionales del Programa de Integración Escolar PIE y asistentes de la educación, con el fin de fortalecer y profundizar sus competencias profesionales, pedagógicas y digitales. Mediante el uso estratégico, ético y pedagógico de la Inteligencia Artificial IA y metodologías activas, se busca</t>
        </is>
      </c>
      <c r="W46" s="5" t="str">
        <f>HYPERLINK("https://www.mercadopublico.cl/Procurement/Modules/Attachment/ViewAttachment.aspx?enc=C88rWPGyQQfux1V%2bgCmtxRrFM%2biIx%2b2uWeqWeP4NzT9KhNbT%2fI3HTb2dt78F%2f1XWVjNcpZr3kSl0SApaKq0FQQ%2fRK%2fslTx3GVO69%2bpUSeUKG%2fTbaxdBC3eyxN4yC3miB1Vki%2fF39buoOCssqHnkh4sI%2btQIWYif8FUdMw2G%2bXqkI%2bPfXNS7UIYv4dk4qXjmTgyOG5OIiAVsFsU9z%2f%2frcISh26AzOJrfU7X135ccq9M8MaYAQFfldZhWuaJew8H5Jc7OLopT5FEifhJQBo%2fOLNruFDbtrYUKxA9FF0uVkUHih1VcrEQl3vMk8I1xoMMOC","descargar bases")</f>
      </c>
    </row>
    <row r="47">
      <c r="A47" s="0" t="inlineStr">
        <is>
          <t xml:space="preserve">1305532-14-LP26</t>
        </is>
      </c>
      <c r="B47" s="4" t="inlineStr">
        <is>
          <t xml:space="preserve">VALORIZACION ACTIVO FIJO Y SOFTWARE INVENTARIO</t>
        </is>
      </c>
      <c r="C47" s="0" t="inlineStr">
        <is>
          <t xml:space="preserve">Publicada</t>
        </is>
      </c>
      <c r="D47" s="0" t="inlineStr">
        <is>
          <t xml:space="preserve">SERVICIO LOCAL DE EDUCACIÓN PÚBLICA DEL ELQUI</t>
        </is>
      </c>
      <c r="E47" s="0" t="inlineStr">
        <is>
          <t xml:space="preserve">COMPRAS Y LICITACIONES</t>
        </is>
      </c>
      <c r="F47" s="0" t="inlineStr">
        <is>
          <t xml:space="preserve">Región de Coquimbo </t>
        </is>
      </c>
      <c r="G47" s="0" t="inlineStr">
        <is>
          <t xml:space="preserve">La Serena</t>
        </is>
      </c>
      <c r="H47" s="2">
        <v>46288.674861</v>
      </c>
      <c r="I47" s="2">
        <v>46310.645833</v>
      </c>
      <c r="J47" s="0">
        <v>6</v>
      </c>
      <c r="K47" s="3">
        <v>138000000.0</v>
      </c>
      <c r="L47" s="0" t="inlineStr">
        <is>
          <t xml:space="preserve">CLP</t>
        </is>
      </c>
      <c r="M47" s="0" t="inlineStr">
        <is>
          <t xml:space="preserve">LP</t>
        </is>
      </c>
      <c r="N47" s="4" t="inlineStr">
        <is>
          <t xml:space="preserve">Servicios financieros, pensiones y seguros / Contabilidad y auditorías / Servicios contables</t>
        </is>
      </c>
      <c r="O47" s="4" t="inlineStr">
        <is>
          <t xml:space="preserve">1 Unidad · Contabilidad de inventario</t>
        </is>
      </c>
      <c r="P47" s="2"/>
      <c r="Q47" s="2"/>
      <c r="R47" s="0" t="inlineStr">
        <is>
          <t xml:space="preserve">24 meses</t>
        </is>
      </c>
      <c r="S47" s="0" t="inlineStr">
        <is>
          <t xml:space="preserve">No</t>
        </is>
      </c>
      <c r="T47" s="4"/>
      <c r="U47" s="0" t="inlineStr">
        <is>
          <t xml:space="preserve">Francisca Pérez García</t>
        </is>
      </c>
      <c r="V47"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47" s="5" t="str">
        <f>HYPERLINK("https://www.mercadopublico.cl/Procurement/Modules/Attachment/ViewAttachment.aspx?enc=oaprEC%2feZLPArIte7vn8LeyPsLup6Qr%2blt%2fyJmBSq8gpgFInbptK3gngGNlIcxZXNOTmfzsx0NuTyZflzCLZBH4Zg7X0V6FRR1bkvXTCQ3gmswxLgEKhR0jbhLcP2RYi4%2fD%2b21%2byT3zRm3B2H0jcZ%2bNmpIUVXNG0%2faCZJ8l2NVOxXmKUJs6q1kn29k4q0o5h%2frbKQPZGLQ66%2f4BTlokY3Z%2b%2b0ioUohDUbvKku3Syn8vwUljKVxfR5dU8%2fwmABW9PZzUSHQxMybEFMw5AL1o1rIZ98M8XckhRsLABAPNlnFg7pzAUYBj2fnToLJBmpkYG","descargar bases")</f>
      </c>
    </row>
    <row r="48">
      <c r="A48" s="0" t="inlineStr">
        <is>
          <t xml:space="preserve">1658-233-LE26</t>
        </is>
      </c>
      <c r="B48" s="4" t="inlineStr">
        <is>
          <t xml:space="preserve">P.280-2026 SUSCRIPCIÓN DE LICENCIAS DE SOFTWARE DE</t>
        </is>
      </c>
      <c r="C48" s="0" t="inlineStr">
        <is>
          <t xml:space="preserve">Publicada</t>
        </is>
      </c>
      <c r="D48" s="0" t="inlineStr">
        <is>
          <t xml:space="preserve">I MUNICIPALIDAD DE TEMUCO</t>
        </is>
      </c>
      <c r="E48" s="0" t="inlineStr">
        <is>
          <t xml:space="preserve">I MUNICIPALIDAD DE TEMUCO</t>
        </is>
      </c>
      <c r="F48" s="0" t="inlineStr">
        <is>
          <t xml:space="preserve">Región de la Araucanía </t>
        </is>
      </c>
      <c r="G48" s="0" t="inlineStr">
        <is>
          <t xml:space="preserve">Temuco</t>
        </is>
      </c>
      <c r="H48" s="2">
        <v>46300.697894</v>
      </c>
      <c r="I48" s="2">
        <v>46310.645833</v>
      </c>
      <c r="J48" s="0">
        <v>6</v>
      </c>
      <c r="K48" s="3"/>
      <c r="L48" s="0" t="inlineStr">
        <is>
          <t xml:space="preserve">CLP</t>
        </is>
      </c>
      <c r="M48" s="0" t="inlineStr">
        <is>
          <t xml:space="preserve">LE</t>
        </is>
      </c>
      <c r="N48" s="4" t="inlineStr">
        <is>
          <t xml:space="preserve">Servicios editoriales, de diseño, publicidad, gráficos y artistas / Escritura y traducciones / Servicios editoriales y de apoyo</t>
        </is>
      </c>
      <c r="O48" s="4" t="inlineStr">
        <is>
          <t xml:space="preserve">1 Global · Edición</t>
        </is>
      </c>
      <c r="P48" s="2"/>
      <c r="Q48" s="2"/>
      <c r="R48" s="0" t="inlineStr">
        <is>
          <t xml:space="preserve">12 meses</t>
        </is>
      </c>
      <c r="S48" s="0" t="inlineStr">
        <is>
          <t xml:space="preserve">No</t>
        </is>
      </c>
      <c r="T48" s="4"/>
      <c r="U48" s="0" t="inlineStr">
        <is>
          <t xml:space="preserve">GLORIA BIELEFELD</t>
        </is>
      </c>
      <c r="V48" s="4" t="inlineStr">
        <is>
          <t xml:space="preserve">Se requiere la suscripción de licencias de software de edición multimedia para uso de profesionales audiovisualistas y diseñadores en el departamento de comunicaciones y de la dirección de turismo de la municipalidad de Temuco</t>
        </is>
      </c>
      <c r="W48" s="5" t="str">
        <f>HYPERLINK("https://www.mercadopublico.cl/Procurement/Modules/Attachment/ViewAttachment.aspx?enc=Qhkegnjy5GXVW5jpttVTTO5ZXhkg6QlWooOphqLfkJl2%2f%2fgaCIlx30ye6zE5k9eatz9HeeNBGqIoen9c8%2bw6CcG5lTs%2foWAOm%2fhNWPlsVCcrHEKQTv%2fvLVqfbomvDi4jyO%2fzAKeUUd0EGBW%2fvMDChbZnrUm3nFpmCu37Sa7JVLOuhMXAInRKzDs3S2hx25ZXXOVW60QbZsKOBHRmDZDWWf9VKUo7j17ET2sdVMqsgkTHZfqaBoXJ%2f9Ktxe4z1e7NptKcjwAisdSUJ%2fzEpZzEKqFRxG9cpCOc%2fb1F3j8JwelRRIEgF5310kUH2tLV4pvp","descargar bases")</f>
      </c>
    </row>
    <row r="49">
      <c r="A49" s="0" t="inlineStr">
        <is>
          <t xml:space="preserve">2403-72-LP26</t>
        </is>
      </c>
      <c r="B49" s="4" t="inlineStr">
        <is>
          <t xml:space="preserve">Servicios Cloud</t>
        </is>
      </c>
      <c r="C49" s="0" t="inlineStr">
        <is>
          <t xml:space="preserve">Publicada</t>
        </is>
      </c>
      <c r="D49" s="0" t="inlineStr">
        <is>
          <t xml:space="preserve">I MUNICIPALIDAD DE PENALOLEN</t>
        </is>
      </c>
      <c r="E49" s="0" t="inlineStr">
        <is>
          <t xml:space="preserve">I.MUNICIPALIDAD DE PEÑALOLEN</t>
        </is>
      </c>
      <c r="F49" s="0" t="inlineStr">
        <is>
          <t xml:space="preserve">Región Metropolitana de Santiago</t>
        </is>
      </c>
      <c r="G49" s="0" t="inlineStr">
        <is>
          <t xml:space="preserve">Peñalolén</t>
        </is>
      </c>
      <c r="H49" s="2">
        <v>46288.529942</v>
      </c>
      <c r="I49" s="2">
        <v>46310.645833</v>
      </c>
      <c r="J49" s="0">
        <v>6</v>
      </c>
      <c r="K49" s="3">
        <v>320000.0</v>
      </c>
      <c r="L49" s="0" t="inlineStr">
        <is>
          <t xml:space="preserve">USD</t>
        </is>
      </c>
      <c r="M49" s="0" t="inlineStr">
        <is>
          <t xml:space="preserve">LP</t>
        </is>
      </c>
      <c r="N49" s="4" t="inlineStr">
        <is>
          <t xml:space="preserve">Servicios basados en ingeniería, ciencias sociales y tecnología de la información / Servicios informáticos / Servicios de datos</t>
        </is>
      </c>
      <c r="O49" s="4" t="inlineStr">
        <is>
          <t xml:space="preserve">1 Global · Centro de servicios de datos</t>
        </is>
      </c>
      <c r="P49" s="2"/>
      <c r="Q49" s="2"/>
      <c r="R49" s="0" t="inlineStr">
        <is>
          <t xml:space="preserve">49 meses</t>
        </is>
      </c>
      <c r="S49" s="0" t="inlineStr">
        <is>
          <t xml:space="preserve">No</t>
        </is>
      </c>
      <c r="T49" s="4" t="inlineStr">
        <is>
          <t xml:space="preserve">Según Bases de Licitación</t>
        </is>
      </c>
      <c r="U49" s="0" t="inlineStr">
        <is>
          <t xml:space="preserve">Matías Allende</t>
        </is>
      </c>
      <c r="V49"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49" s="5" t="str">
        <f>HYPERLINK("https://www.mercadopublico.cl/Procurement/Modules/Attachment/ViewAttachment.aspx?enc=bJ1Bf9FCqmQru2hPpI4uTp%2fRV37Iatx5PL1zv3tUxpBA3UdTouFicztSGNlWK7AZmhfupMWFfg%2fszFk5WKC3I4zbPNrKbZsSllIivaTDQlIifGV0%2bPwkodNWLzMpwHDb%2fWfFpy2lPM4MsMpdgIk6qnaK%2bjyRygZ5Rr0hLMNIOyZTnf%2f2J41M86VluLgrtDHRoMx%2bbvmq1bQhC5GF0Q6x3RnmXJkwcCtkkn%2fdLo8Qbmj20MeGMhwHI%2fwZSw7Bzqjir8SnKA3H6h%2fnpRRg9A726juFt%2bj5IItC56GBpTbpe0LJJwfmpdr9ShcHqbTjuBCV","descargar bases")</f>
      </c>
    </row>
    <row r="50">
      <c r="A50" s="0" t="inlineStr">
        <is>
          <t xml:space="preserve">1305532-16-LP26</t>
        </is>
      </c>
      <c r="B50" s="4" t="inlineStr">
        <is>
          <t xml:space="preserve">LICENCIAMIENTO SOFTWARE CONCILIACIONES BANCARIAS</t>
        </is>
      </c>
      <c r="C50" s="0" t="inlineStr">
        <is>
          <t xml:space="preserve">Publicada</t>
        </is>
      </c>
      <c r="D50" s="0" t="inlineStr">
        <is>
          <t xml:space="preserve">SERVICIO LOCAL DE EDUCACIÓN PÚBLICA DEL ELQUI</t>
        </is>
      </c>
      <c r="E50" s="0" t="inlineStr">
        <is>
          <t xml:space="preserve">COMPRAS Y LICITACIONES</t>
        </is>
      </c>
      <c r="F50" s="0" t="inlineStr">
        <is>
          <t xml:space="preserve">Región de Coquimbo </t>
        </is>
      </c>
      <c r="G50" s="0" t="inlineStr">
        <is>
          <t xml:space="preserve">La Serena</t>
        </is>
      </c>
      <c r="H50" s="2">
        <v>46289.534722</v>
      </c>
      <c r="I50" s="2">
        <v>46310.645833</v>
      </c>
      <c r="J50" s="0">
        <v>6</v>
      </c>
      <c r="K50" s="3">
        <v>72000000.0</v>
      </c>
      <c r="L50" s="0" t="inlineStr">
        <is>
          <t xml:space="preserve">CLP</t>
        </is>
      </c>
      <c r="M50" s="0" t="inlineStr">
        <is>
          <t xml:space="preserve">LP</t>
        </is>
      </c>
      <c r="N50" s="4" t="inlineStr">
        <is>
          <t xml:space="preserve">Tecnologías de la información, telecomunicaciones y radiodifusión / Software / Software de planificación de recursos empresariales (ERP) y contabilidad financiera</t>
        </is>
      </c>
      <c r="O50" s="4" t="inlineStr">
        <is>
          <t xml:space="preserve">1 Unidad · Programas de contabilidad</t>
        </is>
      </c>
      <c r="P50" s="2"/>
      <c r="Q50" s="2"/>
      <c r="R50" s="0" t="inlineStr">
        <is>
          <t xml:space="preserve">36 meses</t>
        </is>
      </c>
      <c r="S50" s="0" t="inlineStr">
        <is>
          <t xml:space="preserve">No</t>
        </is>
      </c>
      <c r="T50"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50" s="0" t="inlineStr">
        <is>
          <t xml:space="preserve">Francisca Pérez García</t>
        </is>
      </c>
      <c r="V50"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50" s="5" t="str">
        <f>HYPERLINK("https://www.mercadopublico.cl/Procurement/Modules/Attachment/ViewAttachment.aspx?enc=Yom9TTUxrP72T4pWz5H7NI8Nchfg8raFB2FFUKOieg1T9CGowGsu3dthVwNuSuHjOn7wUnfvsaJSQyAbzr8AYhe%2ba4mJWfDAu6tR1VP0sTOVYce3bkinNufCONfUek01ZOlnrE1sjjzC308LEcLuLFDP5LsTkvd0W0DP2iTXS0TghJCysLqds5ZQgelXCfnAA4HW%2ffhECjvbTegMvTAwhpE0p3QmGhZoJvmsrZAfIFEsBC6AcGabmR2e67%2b1NiZGNW%2fJLJxvnrmlBu3tBI7DnpYGvoXK3p%2beXbFaPjQb5PK0Ub8L80NCwPVQc8iue7pt","descargar bases")</f>
      </c>
    </row>
    <row r="51">
      <c r="A51" s="0" t="inlineStr">
        <is>
          <t xml:space="preserve">5190-21-LE26</t>
        </is>
      </c>
      <c r="B51" s="4" t="inlineStr">
        <is>
          <t xml:space="preserve">JENABIEN - SOFTWARE FINANCIERO DE EMISION DTE</t>
        </is>
      </c>
      <c r="C51" s="0" t="inlineStr">
        <is>
          <t xml:space="preserve">Publicada</t>
        </is>
      </c>
      <c r="D51" s="0" t="inlineStr">
        <is>
          <t xml:space="preserve">POLICIA DE INVESTIGACIONES DE CHILE</t>
        </is>
      </c>
      <c r="E51" s="0" t="inlineStr">
        <is>
          <t xml:space="preserve">JENABIEN</t>
        </is>
      </c>
      <c r="F51" s="0" t="inlineStr">
        <is>
          <t xml:space="preserve">Región Metropolitana de Santiago</t>
        </is>
      </c>
      <c r="G51" s="0" t="inlineStr">
        <is>
          <t xml:space="preserve">Santiago Centro</t>
        </is>
      </c>
      <c r="H51" s="2">
        <v>46300.716944</v>
      </c>
      <c r="I51" s="2">
        <v>46310.652778</v>
      </c>
      <c r="J51" s="0">
        <v>6</v>
      </c>
      <c r="K51" s="3">
        <v>760.0</v>
      </c>
      <c r="L51" s="0" t="inlineStr">
        <is>
          <t xml:space="preserve">CLF</t>
        </is>
      </c>
      <c r="M51" s="0" t="inlineStr">
        <is>
          <t xml:space="preserve">LE</t>
        </is>
      </c>
      <c r="N51" s="4" t="inlineStr">
        <is>
          <t xml:space="preserve">Tecnologías de la información, telecomunicaciones y radiodifusión / Software / Software de planificación de recursos empresariales (ERP) y contabilidad financiera</t>
        </is>
      </c>
      <c r="O51" s="4" t="inlineStr">
        <is>
          <t xml:space="preserve">1 Unidad no definida · Programas de contabilidad</t>
        </is>
      </c>
      <c r="P51" s="2"/>
      <c r="Q51" s="2"/>
      <c r="R51" s="0" t="inlineStr">
        <is>
          <t xml:space="preserve">24 meses</t>
        </is>
      </c>
      <c r="S51" s="0" t="inlineStr">
        <is>
          <t xml:space="preserve">No</t>
        </is>
      </c>
      <c r="T51" s="4"/>
      <c r="U51" s="0" t="inlineStr">
        <is>
          <t xml:space="preserve">Marcos DAZA SEPÚLVEDA</t>
        </is>
      </c>
      <c r="V51" s="4" t="inlineStr">
        <is>
          <t xml:space="preserve">Procurar la contratación del servicio de software financiero de emisión de documentos tributarios electrónicos para el Departamento de Contabilidad y Finanzas, dependiente de la Jefatura Nacional de Bienestar y Calidad de Vida.</t>
        </is>
      </c>
      <c r="W51" s="5" t="str">
        <f>HYPERLINK("https://www.mercadopublico.cl/Procurement/Modules/Attachment/ViewAttachment.aspx?enc=5CAWNHO6jrB2V9xgJCpufzWfZAkDqOZ0OsOllfzWUKtSgosUjAZKe1ROtrGXGPjDBZdM9%2fFC2ONrh5qIkHT2%2bt4%2bPGPsrrWkBg6pjnR%2fJEB6QWqxjEIofEDjHm1xrGFaAEMji%2bBK8D6O6yohafk9JyQ73QAdiWLCWXcnS2k1n62yuNtMfA5YXWgmwkiWnS0%2fAvylzdzzkON%2bVzbZp1Hhfb8kRkm0l5O%2bqxLiZKBy%2fZP9M7G%2bNSwr9NoxGQ92iCUZfEnL%2bUmWQx%2bq%2f8LglgcUcV4SpmIWrXN03uCmGXwyVQ%2bIJDEcGR%2fpV3DDkP8BfXSi","descargar bases")</f>
      </c>
    </row>
    <row r="52">
      <c r="A52" s="0" t="inlineStr">
        <is>
          <t xml:space="preserve">1057503-146-LE26</t>
        </is>
      </c>
      <c r="B52" s="4" t="inlineStr">
        <is>
          <t xml:space="preserve">Contratación de Solución Tecnológica Bajo Modalidad SaaS para Automatizar Procesos de Gestión Estratégica Institucional para el Hospital Padre Alberto Hurtado</t>
        </is>
      </c>
      <c r="C52" s="0" t="inlineStr">
        <is>
          <t xml:space="preserve">Publicada</t>
        </is>
      </c>
      <c r="D52" s="0" t="inlineStr">
        <is>
          <t xml:space="preserve">HOSPITAL PADRE ALBERTO HURTADO</t>
        </is>
      </c>
      <c r="E52" s="0" t="inlineStr">
        <is>
          <t xml:space="preserve">Bienes y Servicios</t>
        </is>
      </c>
      <c r="F52" s="0" t="inlineStr">
        <is>
          <t xml:space="preserve">Región Metropolitana de Santiago</t>
        </is>
      </c>
      <c r="G52" s="0" t="inlineStr">
        <is>
          <t xml:space="preserve">San Ramón</t>
        </is>
      </c>
      <c r="H52" s="2">
        <v>46295.709595</v>
      </c>
      <c r="I52" s="2">
        <v>46310.666667</v>
      </c>
      <c r="J52" s="0">
        <v>6</v>
      </c>
      <c r="K52" s="3">
        <v>1600.0</v>
      </c>
      <c r="L52" s="0" t="inlineStr">
        <is>
          <t xml:space="preserve">CLF</t>
        </is>
      </c>
      <c r="M52" s="0" t="inlineStr">
        <is>
          <t xml:space="preserve">LE</t>
        </is>
      </c>
      <c r="N52" s="4" t="inlineStr">
        <is>
          <t xml:space="preserve">Tecnologías de la información, telecomunicaciones y radiodifusión / Software / Software de administración de redes</t>
        </is>
      </c>
      <c r="O52" s="4" t="inlineStr">
        <is>
          <t xml:space="preserve">1 Unidad · Software de administración</t>
        </is>
      </c>
      <c r="P52" s="2"/>
      <c r="Q52" s="2"/>
      <c r="R52" s="0" t="inlineStr">
        <is>
          <t xml:space="preserve">24 meses</t>
        </is>
      </c>
      <c r="S52" s="0" t="inlineStr">
        <is>
          <t xml:space="preserve">No</t>
        </is>
      </c>
      <c r="T52" s="4"/>
      <c r="U52" s="0" t="inlineStr">
        <is>
          <t xml:space="preserve">Erika Valdés Rubio</t>
        </is>
      </c>
      <c r="V52"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52" s="5" t="str">
        <f>HYPERLINK("https://www.mercadopublico.cl/Procurement/Modules/Attachment/ViewAttachment.aspx?enc=ezKWKY0t3dzbEpUAqHA0aJ1zkeGQE4uVMg6lN4KDdb0VT4vzLLd%2fzUFWULJIXqIIepJ0Ve6kRbfuAPrPGEKFjQRcKMxYlGyOTdVTNBQ2YY%2f%2bKXMiUpv3kCXTD7XKc5P7szVDPncsIjE8AblokQs0A2qqVxHMk7Oh41pdbtgum5jpcUFfqslwHtmM5OL7S5rXq%2fZBMRqQYgy5bS6Gc53oWmFCHr6bFwZ8aBxYbVY3sOcHy5Bdp0Vqzu4BLGdTzeiPgPJg1XpFJdSBYevFzh2oKP68SfpGC3YMlj25S9G6pyIkQzOdYq4BZFu%2fAMSieGYW","descargar bases")</f>
      </c>
    </row>
    <row r="53">
      <c r="A53" s="0" t="inlineStr">
        <is>
          <t xml:space="preserve">425-67-LE26</t>
        </is>
      </c>
      <c r="B53" s="4" t="inlineStr">
        <is>
          <t xml:space="preserve">Software de seguridad extendida y Ciberdefensa</t>
        </is>
      </c>
      <c r="C53" s="0" t="inlineStr">
        <is>
          <t xml:space="preserve">Publicada</t>
        </is>
      </c>
      <c r="D53" s="0" t="inlineStr">
        <is>
          <t xml:space="preserve">CORP ADMINISTRATIVA DEL PODER JUDICIAL</t>
        </is>
      </c>
      <c r="E53" s="0" t="inlineStr">
        <is>
          <t xml:space="preserve">Servicios</t>
        </is>
      </c>
      <c r="F53" s="0" t="inlineStr">
        <is>
          <t xml:space="preserve">Región Metropolitana de Santiago</t>
        </is>
      </c>
      <c r="G53" s="0" t="inlineStr">
        <is>
          <t xml:space="preserve">Santiago Centro</t>
        </is>
      </c>
      <c r="H53" s="2">
        <v>46289.704861</v>
      </c>
      <c r="I53" s="2">
        <v>46310.666667</v>
      </c>
      <c r="J53" s="0">
        <v>6</v>
      </c>
      <c r="K53" s="3"/>
      <c r="L53" s="0" t="inlineStr">
        <is>
          <t xml:space="preserve">USD</t>
        </is>
      </c>
      <c r="M53" s="0" t="inlineStr">
        <is>
          <t xml:space="preserve">LE</t>
        </is>
      </c>
      <c r="N53" s="4" t="inlineStr">
        <is>
          <t xml:space="preserve">Tecnologías de la información, telecomunicaciones y radiodifusión / Software / Software de seguridad y protección</t>
        </is>
      </c>
      <c r="O53" s="4" t="inlineStr">
        <is>
          <t xml:space="preserve">1 Unidad · Software de equipos de red privada virtual (VPN) o de seguridad de red</t>
        </is>
      </c>
      <c r="P53" s="2"/>
      <c r="Q53" s="2"/>
      <c r="R53" s="0" t="inlineStr">
        <is>
          <t xml:space="preserve">12 meses</t>
        </is>
      </c>
      <c r="S53" s="0" t="inlineStr">
        <is>
          <t xml:space="preserve">No</t>
        </is>
      </c>
      <c r="T53" s="4"/>
      <c r="U53" s="0" t="inlineStr">
        <is>
          <t xml:space="preserve">Jorge Quezada</t>
        </is>
      </c>
      <c r="V53"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53" s="5" t="str">
        <f>HYPERLINK("https://www.mercadopublico.cl/Procurement/Modules/Attachment/ViewAttachment.aspx?enc=RoI%2fQdB1g56FG%2bUQrdyH2pQrmjQ9jBWYlWB5vDYAJAFX%2b887u69CmSWuax73gjGW%2fiXKCXWkCjLirR5m%2fcvs6M6m3S4iikC4t9DjZ7bebyyDgvnMVlYHMkJMBsIYm8dtyCSv0odnj40B8a69J5fi94fWJ%2fbmIUMstEBsx2TvNjVmMwBKjLi%2b%2fUkNnlRocffCYvR49lTIxH2IdnVnxKKxmQYnLzkC9AghI9CkqmXZdtWSY6M1vuUumep72TEMWnN2%2b%2b5KsUwY1Vp%2ffnguOj1RdyQMq%2b%2fvfdHfYO1xG97Vlb3%2fM13TkVyte7%2bjM0XxuCC7","descargar bases")</f>
      </c>
    </row>
    <row r="54">
      <c r="A54" s="0" t="inlineStr">
        <is>
          <t xml:space="preserve">948354-150-LP26</t>
        </is>
      </c>
      <c r="B54" s="4" t="inlineStr">
        <is>
          <t xml:space="preserve">CONTRATACIÓN DEL SERVICIO DE SISTEMA INFORMÁTICO PARA GESTIÓN DE DATOS DE BANCO DE SANGRE DEL HOSPITAL DIPRECA</t>
        </is>
      </c>
      <c r="C54" s="0" t="inlineStr">
        <is>
          <t xml:space="preserve">Publicada</t>
        </is>
      </c>
      <c r="D54" s="0" t="inlineStr">
        <is>
          <t xml:space="preserve">FONDO HOSPITAL DE LA DIRECCION DE PREVISION DE CARABINEROS DE CHILE</t>
        </is>
      </c>
      <c r="E54" s="0" t="inlineStr">
        <is>
          <t xml:space="preserve">Unidad de Compra de Bienes y Servicios</t>
        </is>
      </c>
      <c r="F54" s="0" t="inlineStr">
        <is>
          <t xml:space="preserve">Región Metropolitana de Santiago</t>
        </is>
      </c>
      <c r="G54" s="0" t="inlineStr">
        <is>
          <t xml:space="preserve">Las Condes</t>
        </is>
      </c>
      <c r="H54" s="2">
        <v>46300.512141</v>
      </c>
      <c r="I54" s="2">
        <v>46310.666667</v>
      </c>
      <c r="J54" s="0">
        <v>6</v>
      </c>
      <c r="K54" s="3">
        <v>175000000.0</v>
      </c>
      <c r="L54" s="0" t="inlineStr">
        <is>
          <t xml:space="preserve">CLP</t>
        </is>
      </c>
      <c r="M54" s="0" t="inlineStr">
        <is>
          <t xml:space="preserve">LP</t>
        </is>
      </c>
      <c r="N54" s="4" t="inlineStr">
        <is>
          <t xml:space="preserve">Tecnologías de la información, telecomunicaciones y radiodifusión / Software / Programas de desarrollo</t>
        </is>
      </c>
      <c r="O54" s="4" t="inlineStr">
        <is>
          <t xml:space="preserve">24 Mes · Software de desarrollo orientado a objetos o componentes</t>
        </is>
      </c>
      <c r="P54" s="2"/>
      <c r="Q54" s="2"/>
      <c r="R54" s="0" t="inlineStr">
        <is>
          <t xml:space="preserve">24 meses</t>
        </is>
      </c>
      <c r="S54" s="0" t="inlineStr">
        <is>
          <t xml:space="preserve">No</t>
        </is>
      </c>
      <c r="T54" s="4"/>
      <c r="U54" s="0" t="inlineStr">
        <is>
          <t xml:space="preserve">Patricio Salinas</t>
        </is>
      </c>
      <c r="V54" s="4" t="inlineStr">
        <is>
          <t xml:space="preserve">El Hospital de la Dirección de Previsión de Carabineros de Chile, ubicado en Vital Apoquindo N°1.200, Comuna de Las Condes, Región Metropolitana, en adelante “EL HOSPITAL”, llama a Licitación Pública para la Contratación del Servicio de Sistema Informático para Gestión de Datos de Banco de Sangre, en adelante “EL SERVICIO”, por un periodo de 24 meses, cuyas características y requisitos técnicos constan en las Bases Administrativas y Técnicas de esta Licitación con sus respectivos anexos.</t>
        </is>
      </c>
      <c r="W54" s="5" t="str">
        <f>HYPERLINK("https://www.mercadopublico.cl/Procurement/Modules/Attachment/ViewAttachment.aspx?enc=o0qaCdQ33YBK%2b23t6yZR4YLvY5yuQtxMLqYnoV%2f5q7ulu%2fzSA2Tgb9y5WQr0Bek0yaw3dkj4gBkYJk%2foWmFYfkUe2h17ER8VRcDWVt9Ukj1%2bsjs4R4nO%2bh96c4VZQyNmChpBciUoT19v84KsYCSHGKC18cGYomUr2Oj5CLwTb3HCXNH0JievLZs4sdoHjt1prPTp4mKBtvBw7eJ52cOBN5MC7OWB046ylJTyLYrfznlGk6I2KKXMWNDPVEq343Kpmsgq1%2bD0qCAJYcuy9GrZlQBR9tYeQrpp%2bANy6mHL5u0wyN2f3sstyrgpccA73vSK","descargar bases")</f>
      </c>
    </row>
    <row r="55">
      <c r="A55" s="0" t="inlineStr">
        <is>
          <t xml:space="preserve">1643-91-LP26</t>
        </is>
      </c>
      <c r="B55" s="4" t="inlineStr">
        <is>
          <t xml:space="preserve">SISTEMA INFORMÁTICO ERP</t>
        </is>
      </c>
      <c r="C55" s="0" t="inlineStr">
        <is>
          <t xml:space="preserve">Publicada</t>
        </is>
      </c>
      <c r="D55" s="0" t="inlineStr">
        <is>
          <t xml:space="preserve">SERVICIO NACIONAL DE SALUD HOSPITAL DE T</t>
        </is>
      </c>
      <c r="E55" s="0" t="inlineStr">
        <is>
          <t xml:space="preserve">Hospital de Talagante</t>
        </is>
      </c>
      <c r="F55" s="0" t="inlineStr">
        <is>
          <t xml:space="preserve">Región Metropolitana de Santiago</t>
        </is>
      </c>
      <c r="G55" s="0" t="inlineStr">
        <is>
          <t xml:space="preserve">Talagante</t>
        </is>
      </c>
      <c r="H55" s="2">
        <v>46290.5386</v>
      </c>
      <c r="I55" s="2">
        <v>46310.708333</v>
      </c>
      <c r="J55" s="0">
        <v>6</v>
      </c>
      <c r="K55" s="3">
        <v>320000000.0</v>
      </c>
      <c r="L55" s="0" t="inlineStr">
        <is>
          <t xml:space="preserve">CLP</t>
        </is>
      </c>
      <c r="M55" s="0" t="inlineStr">
        <is>
          <t xml:space="preserve">LP</t>
        </is>
      </c>
      <c r="N55" s="4" t="inlineStr">
        <is>
          <t xml:space="preserve">Tecnologías de la información, telecomunicaciones y radiodifusión / Software / Software de planificación de recursos empresariales (ERP) y contabilidad financiera</t>
        </is>
      </c>
      <c r="O55" s="4" t="inlineStr">
        <is>
          <t xml:space="preserve">1 Unidad · Software de planificación de recursos empresariales (ERP)</t>
        </is>
      </c>
      <c r="P55" s="2"/>
      <c r="Q55" s="2"/>
      <c r="R55" s="0" t="inlineStr">
        <is>
          <t xml:space="preserve">24 meses</t>
        </is>
      </c>
      <c r="S55" s="0" t="inlineStr">
        <is>
          <t xml:space="preserve">No</t>
        </is>
      </c>
      <c r="T55" s="4"/>
      <c r="U55" s="0" t="inlineStr">
        <is>
          <t xml:space="preserve">Paulina Montenegro Aguilera</t>
        </is>
      </c>
      <c r="V55" s="4" t="inlineStr">
        <is>
          <t xml:space="preserve">EL HOSPITAL DE TALAGANTE REQUIERE LA CONTRATACIÓN DEL SERVICIO DE IMPLEMENTACIÓN, MIGRACIÓN, PUESTA EN MARCHA Y EJECUCIÓN DE UN SISTEMA INFORMÁTICO DE GESTIÓN ERP POR 24 MESES.</t>
        </is>
      </c>
      <c r="W55" s="5" t="str">
        <f>HYPERLINK("https://www.mercadopublico.cl/Procurement/Modules/Attachment/ViewAttachment.aspx?enc=h4E63EMRZCUMeLRTwu453rLBV6p39ivUjlAA8n%2fur2lR3OJAU5bCypnWE6GJMwPdCVXajiiHfKvUefJ7TzxGvQf%2fdyaGlp8Y6c9eVVxbixsYvpjX5RiAn63Q4OQrB3hpTHjTYlk8bXzcyGye7GE0WkMo8FWIrGoyHF3rGNqx2QUZDfSfOWm7bkQCPmKmnUX%2bHhFajNJ%2bzVvvcoivlzgvS7jNPdtH%2bd8J3mBXUWsf1Ku%2fw%2fg2pBWy193sGqK1eT%2b%2f6f6VibhjaAaWE6r2g2lxmHLsc0%2bRCp8at710q490rT4NHnWejhcS1iMJXyinrieC","descargar bases")</f>
      </c>
    </row>
    <row r="56">
      <c r="A56" s="0" t="inlineStr">
        <is>
          <t xml:space="preserve">847-55-LE26</t>
        </is>
      </c>
      <c r="B56" s="4" t="inlineStr">
        <is>
          <t xml:space="preserve">PLANI-ADQ. DE ACCESORIOS INFORMÁTICOS P04-SC61.307</t>
        </is>
      </c>
      <c r="C56" s="0" t="inlineStr">
        <is>
          <t xml:space="preserve">Publicada</t>
        </is>
      </c>
      <c r="D56" s="0" t="inlineStr">
        <is>
          <t xml:space="preserve">JUNTA NACIONAL DE JARDINES         INFANTILES</t>
        </is>
      </c>
      <c r="E56" s="0" t="inlineStr">
        <is>
          <t xml:space="preserve">Junji - V Región</t>
        </is>
      </c>
      <c r="F56" s="0" t="inlineStr">
        <is>
          <t xml:space="preserve">Región de Valparaíso </t>
        </is>
      </c>
      <c r="G56" s="0" t="inlineStr">
        <is>
          <t xml:space="preserve">Viña del Mar</t>
        </is>
      </c>
      <c r="H56" s="2">
        <v>46300.693623</v>
      </c>
      <c r="I56" s="2">
        <v>46310.75</v>
      </c>
      <c r="J56" s="0">
        <v>6</v>
      </c>
      <c r="K56" s="3"/>
      <c r="L56" s="0" t="inlineStr">
        <is>
          <t xml:space="preserve">CLP</t>
        </is>
      </c>
      <c r="M56" s="0" t="inlineStr">
        <is>
          <t xml:space="preserve">LE</t>
        </is>
      </c>
      <c r="N56" s="4" t="inlineStr">
        <is>
          <t xml:space="preserve">Artículos eléctricos y de iluminación / Equipamiento y artículos eléctricos / Conectores, enchufes y terminales, Muebles, accesorios, electrodomésticos y productos electrónicos / Equipos y accesorios audiovisuales / Equipos audiovisuales y de electrónica menor,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Dispositivos informáticos de entrada de datos</t>
        </is>
      </c>
      <c r="O56" s="4" t="inlineStr">
        <is>
          <t xml:space="preserve">75 Unidad · Teclados · 75 Unidad · Trackballs y mouse de computador · 10 Unidad · Trackballs y mouse de computador · y 6 más</t>
        </is>
      </c>
      <c r="P56" s="2"/>
      <c r="Q56" s="2"/>
      <c r="R56" s="0"/>
      <c r="S56" s="0" t="inlineStr">
        <is>
          <t xml:space="preserve">No</t>
        </is>
      </c>
      <c r="T56" s="4"/>
      <c r="U56" s="0" t="inlineStr">
        <is>
          <t xml:space="preserve">Marcelo Pineda</t>
        </is>
      </c>
      <c r="V56" s="4" t="inlineStr">
        <is>
          <t xml:space="preserve">La Junta Nacional de Jardines Infantiles, JUNJI, a través de la Unidad de Tecnologías de la información, 
requiere la “Adquisición de accesorios informáticos para la Dirección Regional de la Junta Nacional de 
Jardines Infantiles de la Región de Valparaíso”. El objetivo de la presente licitación es proveer los 
artículos individualizados en las bases técnicas, los cuales serán destinados al cumplimiento de sus 
funciones institucionales.
Que, por las características técnicas de la presente, y para darle cabal cumplimiento, se levanta licitación 
pública con adjudicación múltiple, en nueve líneas de adjudicación independiente de la otra.</t>
        </is>
      </c>
      <c r="W56" s="5" t="str">
        <f>HYPERLINK("https://www.mercadopublico.cl/Procurement/Modules/Attachment/ViewAttachment.aspx?enc=pvlqaf58jdsLn9myMCZCQ2JM3o%2fhvxnnvnWqglMRDDI9Yyv4lN8y3pe%2bQ4ITRqcDOoQmYk%2bWY6Bcw7U8mgIiZZybpvgycwoqf6xY0W368gdvT4JR%2bKex%2bIKFHEr8dy6mPUqegzXIp9GNUheDCRIatIjE2oaM3ebSFtJB0m%2fWRH%2fNpGLCZ2mrUjfyfXcUf9DkRWEBLomiqYnzuTXaV2ABBxENADKb9V87W%2bDqzSPcmhgVyTSaVz3SaDJo3RcJAIm3kqPHsw0AG%2fj7UK4J3Tx8UAYTdYtVhu6jYUDRbqIFHk%2f0TVPygBNTVPLJjhN701HY","descargar bases")</f>
      </c>
    </row>
    <row r="57">
      <c r="A57" s="0" t="inlineStr">
        <is>
          <t xml:space="preserve">1375761-51-LP26</t>
        </is>
      </c>
      <c r="B57" s="4" t="inlineStr">
        <is>
          <t xml:space="preserve">SIST. INF PLATAFORMA DE GESTION ESCOLAR SLEP V.D</t>
        </is>
      </c>
      <c r="C57" s="0" t="inlineStr">
        <is>
          <t xml:space="preserve">Publicada</t>
        </is>
      </c>
      <c r="D57" s="0" t="inlineStr">
        <is>
          <t xml:space="preserve">SERVICIO LOCAL DE EDUCACIÓN PÚBLICA VALLE DIGUILLÍN</t>
        </is>
      </c>
      <c r="E57" s="0" t="inlineStr">
        <is>
          <t xml:space="preserve">COMPRAS Y LICITACIONES</t>
        </is>
      </c>
      <c r="F57" s="0" t="inlineStr">
        <is>
          <t xml:space="preserve">Región del Ñuble</t>
        </is>
      </c>
      <c r="G57" s="0"/>
      <c r="H57" s="2">
        <v>46300.620231</v>
      </c>
      <c r="I57" s="2">
        <v>46310.751389</v>
      </c>
      <c r="J57" s="0">
        <v>6</v>
      </c>
      <c r="K57" s="3"/>
      <c r="L57" s="0" t="inlineStr">
        <is>
          <t xml:space="preserve">CLP</t>
        </is>
      </c>
      <c r="M57" s="0" t="inlineStr">
        <is>
          <t xml:space="preserve">LP</t>
        </is>
      </c>
      <c r="N57" s="4" t="inlineStr">
        <is>
          <t xml:space="preserve">Tecnologías de la información, telecomunicaciones y radiodifusión / Software / Software de consultas y gestión de datos</t>
        </is>
      </c>
      <c r="O57" s="4" t="inlineStr">
        <is>
          <t xml:space="preserve">1 Unidad · Software del sistema de administración de bases de datos</t>
        </is>
      </c>
      <c r="P57" s="2"/>
      <c r="Q57" s="2"/>
      <c r="R57" s="0" t="inlineStr">
        <is>
          <t xml:space="preserve">24 meses</t>
        </is>
      </c>
      <c r="S57" s="0" t="inlineStr">
        <is>
          <t xml:space="preserve">No</t>
        </is>
      </c>
      <c r="T57" s="4"/>
      <c r="U57" s="0" t="inlineStr">
        <is>
          <t xml:space="preserve">Subdirector de Apoyo Técnico Pedagógico</t>
        </is>
      </c>
      <c r="V57"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57" s="5" t="str">
        <f>HYPERLINK("https://www.mercadopublico.cl/Procurement/Modules/Attachment/ViewAttachment.aspx?enc=wxenJKb9yHhnflJDF%2fYEBHglV5%2foEAjCdrMg3ADlnajJBYP7Ae7ceusSMK3%2bkWe1m9sDFUxTVnwNkjx7ZTRT2Lqc0ZbmKoPdSIVEJT1wZrWyv670ht%2bO0%2b7TW%2bxS7usCakP1JuEKtajOILYsZl4c2fmg6%2fAM9SM1qumi3twUd0N1fezkVyJLcSX2uoK6rJeD2jbEaZnKcKEkeu%2fHrAa6BzM5WOIRmNam7XnEObj8Xf9DQ0vgzhGoZHnbeKzgmgJEEN2esycn7Ylg9KZQdhfdFoTqJuN8HajqPDWnlA3lGQp%2fOs0X4pqQsRkqMp67dvry","descargar bases")</f>
      </c>
    </row>
    <row r="58">
      <c r="A58" s="0" t="inlineStr">
        <is>
          <t xml:space="preserve">1660-150-L126</t>
        </is>
      </c>
      <c r="B58" s="4" t="inlineStr">
        <is>
          <t xml:space="preserve">COMPRA DE SERVICIO TONS/TENS BODEGA DENTAL DE FARMACIA Y GESTIÓN DOCUMENTAL PARA EL HOSPITAL DE SALAMANCA</t>
        </is>
      </c>
      <c r="C58" s="0" t="inlineStr">
        <is>
          <t xml:space="preserve">Publicada</t>
        </is>
      </c>
      <c r="D58" s="0" t="inlineStr">
        <is>
          <t xml:space="preserve">SERVICIO SALUD COQUIMBO HOSP DE SALAMANC</t>
        </is>
      </c>
      <c r="E58" s="0" t="inlineStr">
        <is>
          <t xml:space="preserve">SERVICIO SALUD COQUIMBO HOSP DE SALAMANC</t>
        </is>
      </c>
      <c r="F58" s="0" t="inlineStr">
        <is>
          <t xml:space="preserve">Región de Coquimbo </t>
        </is>
      </c>
      <c r="G58" s="0" t="inlineStr">
        <is>
          <t xml:space="preserve">Salamanca</t>
        </is>
      </c>
      <c r="H58" s="2">
        <v>46300.692477</v>
      </c>
      <c r="I58" s="2">
        <v>46310.791667</v>
      </c>
      <c r="J58" s="0">
        <v>6</v>
      </c>
      <c r="K58" s="3">
        <v>1324000.0</v>
      </c>
      <c r="L58" s="0" t="inlineStr">
        <is>
          <t xml:space="preserve">CLP</t>
        </is>
      </c>
      <c r="M58" s="0" t="inlineStr">
        <is>
          <t xml:space="preserve">L1</t>
        </is>
      </c>
      <c r="N58" s="4" t="inlineStr">
        <is>
          <t xml:space="preserve">Servicios profesionales, administrativos y consultorías de gestión empresarial / Servicios de recursos humanos / Contratación de personal</t>
        </is>
      </c>
      <c r="O58" s="4" t="inlineStr">
        <is>
          <t xml:space="preserve">1 Unidad · Personal técnico</t>
        </is>
      </c>
      <c r="P58" s="2"/>
      <c r="Q58" s="2"/>
      <c r="R58" s="0"/>
      <c r="S58" s="0" t="inlineStr">
        <is>
          <t xml:space="preserve">No</t>
        </is>
      </c>
      <c r="T58" s="4"/>
      <c r="U58" s="0"/>
      <c r="V58" s="4" t="inlineStr">
        <is>
          <t xml:space="preserve">COMPRA DE SERVICIO TONS/TENS BODEGA DENTAL DE FARMACIA Y GESTIÓN DOCUMENTAL PARA EL HOSPITAL DE SALAMANCA</t>
        </is>
      </c>
      <c r="W58" s="5" t="str">
        <f>HYPERLINK("https://www.mercadopublico.cl/Procurement/Modules/Attachment/ViewAttachment.aspx?enc=2lcG5zTbtCymGf8m%2bcPT9OQR19DW%2bsQLnCqmWPzTzSNX%2foGdy1r88bUHYYSPYH792QhlVY2ZpDcgqErB8mmCCqYVDJ5c%2bDyHsH0YmxXFQXv7ONo0uIgzpYIVeD1IhtDmximxPqxDI8TK8jBiLtooRhhlSzdvgys5GwyFFaMvmXUB1umCqPV5ZjFROtTk8CLL7J%2b9Z4rF2oM%2fidyOjK5Z8%2f5XLKXKYEfZMYN0pk1n6gkFFo9UmYVqAdzlanPIO4x6KNX8Z%2ftEKRAMpUxGX4pLVQxCkfqbDGwiTXyztto06S4Dpdb9MjfE0wop3HaXwJLE","descargar bases")</f>
      </c>
    </row>
    <row r="59">
      <c r="A59" s="0" t="inlineStr">
        <is>
          <t xml:space="preserve">2852-59-LP26</t>
        </is>
      </c>
      <c r="B59" s="4" t="inlineStr">
        <is>
          <t xml:space="preserve">ADQUISICION DE LICENCIAS DE SOFTWARE</t>
        </is>
      </c>
      <c r="C59" s="0" t="inlineStr">
        <is>
          <t xml:space="preserve">Publicada</t>
        </is>
      </c>
      <c r="D59" s="0" t="inlineStr">
        <is>
          <t xml:space="preserve">I MUNICIPALIDAD DE PUERTO VARAS</t>
        </is>
      </c>
      <c r="E59" s="0" t="inlineStr">
        <is>
          <t xml:space="preserve">Adquisiciones Municipalidad</t>
        </is>
      </c>
      <c r="F59" s="0" t="inlineStr">
        <is>
          <t xml:space="preserve">Región de los Lagos </t>
        </is>
      </c>
      <c r="G59" s="0" t="inlineStr">
        <is>
          <t xml:space="preserve">Puerto Varas</t>
        </is>
      </c>
      <c r="H59" s="2">
        <v>46290.736354</v>
      </c>
      <c r="I59" s="2">
        <v>46310.829167</v>
      </c>
      <c r="J59" s="0">
        <v>6</v>
      </c>
      <c r="K59" s="3"/>
      <c r="L59" s="0" t="inlineStr">
        <is>
          <t xml:space="preserve">CLP</t>
        </is>
      </c>
      <c r="M59" s="0" t="inlineStr">
        <is>
          <t xml:space="preserve">LP</t>
        </is>
      </c>
      <c r="N59"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59" s="4" t="inlineStr">
        <is>
          <t xml:space="preserve">1 Unidad · Software de gestión de licencias · 1 Unidad · Software de gestión de licencias · 1 Unidad · Software de gestión de licencias · y 8 más</t>
        </is>
      </c>
      <c r="P59" s="2"/>
      <c r="Q59" s="2"/>
      <c r="R59" s="0"/>
      <c r="S59" s="0" t="inlineStr">
        <is>
          <t xml:space="preserve">No</t>
        </is>
      </c>
      <c r="T59" s="4"/>
      <c r="U59" s="0" t="inlineStr">
        <is>
          <t xml:space="preserve">Segundo Garcés Leuquen</t>
        </is>
      </c>
      <c r="V59"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59" s="5" t="str">
        <f>HYPERLINK("https://www.mercadopublico.cl/Procurement/Modules/Attachment/ViewAttachment.aspx?enc=3hTw5V58n3pHDh70XyKXwRX9RTjsxBqpkkGq4qUdRFVIhyQXxvIFF6jy6HTLpGqVduRflixn51%2bfq9ETKMSJdHmjPsOgLZ2XU5U7fplLqj2jDz2U41I9gps0IqRmnZS2qiGumaKqMDjdERGMAcsRwrel57iUjk%2f9i4%2fQBpy8t14alLwYWe8%2f55VtECg7QVb6%2bmWtA%2b3IIcGKaO5v6bP%2ftp3maLiiF9WkW9QCpQA4U8BIDtyDcA6cqxsMK%2favwUHb%2feLKXRHkTFcKFjS618ik5nxiuYvRbqCIBe7EaUEcbF98dr8C59AMi5eeVvfx0cCO","descargar bases")</f>
      </c>
    </row>
    <row r="60">
      <c r="A60" s="0" t="inlineStr">
        <is>
          <t xml:space="preserve">2343-33-LE26</t>
        </is>
      </c>
      <c r="B60" s="4" t="inlineStr">
        <is>
          <t xml:space="preserve">ADQUISICION DE PLATAFORMA TECNOLOGICA UAS</t>
        </is>
      </c>
      <c r="C60" s="0" t="inlineStr">
        <is>
          <t xml:space="preserve">Publicada</t>
        </is>
      </c>
      <c r="D60" s="0" t="inlineStr">
        <is>
          <t xml:space="preserve">I MUNICIPALIDAD DE SANTIAGO</t>
        </is>
      </c>
      <c r="E60" s="0" t="inlineStr">
        <is>
          <t xml:space="preserve">DEPARTAMENTO DE COMPRAS</t>
        </is>
      </c>
      <c r="F60" s="0" t="inlineStr">
        <is>
          <t xml:space="preserve">Región Metropolitana de Santiago</t>
        </is>
      </c>
      <c r="G60" s="0" t="inlineStr">
        <is>
          <t xml:space="preserve">Santiago</t>
        </is>
      </c>
      <c r="H60" s="2">
        <v>46300.401123</v>
      </c>
      <c r="I60" s="2">
        <v>46311.583333</v>
      </c>
      <c r="J60" s="0">
        <v>7</v>
      </c>
      <c r="K60" s="3"/>
      <c r="L60" s="0" t="inlineStr">
        <is>
          <t xml:space="preserve">CLP</t>
        </is>
      </c>
      <c r="M60" s="0" t="inlineStr">
        <is>
          <t xml:space="preserve">LE</t>
        </is>
      </c>
      <c r="N60" s="4" t="inlineStr">
        <is>
          <t xml:space="preserve">Equipos y suministros de defensa, orden público, protección y seguridad / Seguridad, vigilancia y detección / Equipo de vigilancia y detección</t>
        </is>
      </c>
      <c r="O60" s="4" t="inlineStr">
        <is>
          <t xml:space="preserve">1 Unidad · Cámaras de seguridad</t>
        </is>
      </c>
      <c r="P60" s="2"/>
      <c r="Q60" s="2"/>
      <c r="R60" s="0" t="inlineStr">
        <is>
          <t xml:space="preserve">12 meses</t>
        </is>
      </c>
      <c r="S60" s="0" t="inlineStr">
        <is>
          <t xml:space="preserve">No</t>
        </is>
      </c>
      <c r="T60" s="4"/>
      <c r="U60" s="0" t="inlineStr">
        <is>
          <t xml:space="preserve">ALVARO ADASME</t>
        </is>
      </c>
      <c r="V60" s="4" t="inlineStr">
        <is>
          <t xml:space="preserve">La Ilustre Municipalidad de Santiago, en adelante la “Municipalidad”, en el cumplimiento de sus
funciones establecidas en la Ley N°18.695, Orgánica Constitucional de Municipalidades, requiere
contratar la plataforma y los servicios asociados a la iniciativa denominada “ADQUISICIÓN DE
PLATAFORMA TECNOLÓGICA DE TELEVIGILANCIA UAS”.</t>
        </is>
      </c>
      <c r="W60" s="5" t="str">
        <f>HYPERLINK("https://www.mercadopublico.cl/Procurement/Modules/Attachment/ViewAttachment.aspx?enc=WuQFHxmmRlMCskttjaeEFR0y5iwbshNeukvbLYaJlmdzSELRme7KloFsDSG%2fieMS4Iws8fQlm9B6d971jS2l2GMa3cFPNmWD8bKZsVmRLsx7a5hcjyUhc1MqyWfXddyYlzkIYi7tMNn2bFH8OUeTunjf1SE1y4SvWTvrMUXC1cFN4Y2dbQ41ZkWNCUArW8TtbG7qdkjtJGdM5RxZoMrYbRaD0h9ay979na8x2ru1QJwmQ%2ffb112o0wU3qsbryZkLZGIb25XDbqUW6PA2Hr1dJuDKXJCECWQeS7kIWSsAUIq98CbLErceFodx3jPiNIjo","descargar bases")</f>
      </c>
    </row>
    <row r="61">
      <c r="A61" s="0" t="inlineStr">
        <is>
          <t xml:space="preserve">1079639-23-LE26</t>
        </is>
      </c>
      <c r="B61" s="4" t="inlineStr">
        <is>
          <t xml:space="preserve">RENOVACIÓN SOFTWARE INSEYETS PRO POR 12 MESES</t>
        </is>
      </c>
      <c r="C61" s="0" t="inlineStr">
        <is>
          <t xml:space="preserve">Publicada</t>
        </is>
      </c>
      <c r="D61" s="0" t="inlineStr">
        <is>
          <t xml:space="preserve">DIRECCION DE LOGISTICA DE CARABINEROS</t>
        </is>
      </c>
      <c r="E61" s="0" t="inlineStr">
        <is>
          <t xml:space="preserve">SECCIÓN COMPRAS ZONA DE CARABINEROS LOS LAGOS</t>
        </is>
      </c>
      <c r="F61" s="0" t="inlineStr">
        <is>
          <t xml:space="preserve">Región de los Lagos </t>
        </is>
      </c>
      <c r="G61" s="0" t="inlineStr">
        <is>
          <t xml:space="preserve">Puerto Montt</t>
        </is>
      </c>
      <c r="H61" s="2">
        <v>46302.755139</v>
      </c>
      <c r="I61" s="2">
        <v>46311.625</v>
      </c>
      <c r="J61" s="0">
        <v>7</v>
      </c>
      <c r="K61" s="3"/>
      <c r="L61" s="0" t="inlineStr">
        <is>
          <t xml:space="preserve">CLP</t>
        </is>
      </c>
      <c r="M61" s="0" t="inlineStr">
        <is>
          <t xml:space="preserve">LE</t>
        </is>
      </c>
      <c r="N61" s="4" t="inlineStr">
        <is>
          <t xml:space="preserve">Tecnologías de la información, telecomunicaciones y radiodifusión / Software / Software de gestión</t>
        </is>
      </c>
      <c r="O61" s="4" t="inlineStr">
        <is>
          <t xml:space="preserve">1 Unidad · Software de sistema experto</t>
        </is>
      </c>
      <c r="P61" s="2"/>
      <c r="Q61" s="2"/>
      <c r="R61" s="0"/>
      <c r="S61" s="0" t="inlineStr">
        <is>
          <t xml:space="preserve">No</t>
        </is>
      </c>
      <c r="T61" s="4"/>
      <c r="U61" s="0" t="inlineStr">
        <is>
          <t xml:space="preserve">GERMÁN CANDIA CONCHA</t>
        </is>
      </c>
      <c r="V61" s="4" t="inlineStr">
        <is>
          <t xml:space="preserve">RENOVACIÓN SOFTWARE INSEYETS PRO POR 12 MESES PARA LA SECCIÓN OS9 LOS LAGOS</t>
        </is>
      </c>
      <c r="W61" s="5" t="str">
        <f>HYPERLINK("https://www.mercadopublico.cl/Procurement/Modules/Attachment/ViewAttachment.aspx?enc=nZJx8upZ%2fVOPqi7eEQDqz2oBMwpPJa64tPyBOaVh8iiFa%2feO0yfTjEseEzBad5QcYrQ2v8WMdgMf2KkEOIMM8LCFCoKbQRAMzDQaqor4SqAQlKLRMz2ojtmCcwBTMJZIxay0%2boe3AcQWvpg0UNFCnC48h9J5GnjZkNjgZQtJHNw80A%2bN1AeSq1siaUCv20eVwhq8BRE%2f%2fxDelx9neL2Nk0PhRXMXg%2fZScpZFa%2bSUYwsXOyg7F%2fvR4BqYz%2bLiUReZvo8SyxilJBTxk78CdarFgRpDexuur9rgiSQExbZb9HuIxGtMW3UyV0bJziSBq0r%2b","descargar bases")</f>
      </c>
    </row>
    <row r="62">
      <c r="A62" s="0" t="inlineStr">
        <is>
          <t xml:space="preserve">3712-70-LE26</t>
        </is>
      </c>
      <c r="B62" s="4" t="inlineStr">
        <is>
          <t xml:space="preserve">ADQUISICION DE TOTEM DE AUTOATENCION CHILEATIENDE</t>
        </is>
      </c>
      <c r="C62" s="0" t="inlineStr">
        <is>
          <t xml:space="preserve">Publicada</t>
        </is>
      </c>
      <c r="D62" s="0" t="inlineStr">
        <is>
          <t xml:space="preserve">I MUNICIPALIDAD DE LOS VILOS</t>
        </is>
      </c>
      <c r="E62" s="0" t="inlineStr">
        <is>
          <t xml:space="preserve">Finanzas</t>
        </is>
      </c>
      <c r="F62" s="0" t="inlineStr">
        <is>
          <t xml:space="preserve">Región de Coquimbo </t>
        </is>
      </c>
      <c r="G62" s="0" t="inlineStr">
        <is>
          <t xml:space="preserve">Los Vilos</t>
        </is>
      </c>
      <c r="H62" s="2">
        <v>46301.746134</v>
      </c>
      <c r="I62" s="2">
        <v>46311.625</v>
      </c>
      <c r="J62" s="0">
        <v>7</v>
      </c>
      <c r="K62" s="3"/>
      <c r="L62" s="0" t="inlineStr">
        <is>
          <t xml:space="preserve">CLP</t>
        </is>
      </c>
      <c r="M62" s="0" t="inlineStr">
        <is>
          <t xml:space="preserve">LE</t>
        </is>
      </c>
      <c r="N62" s="4" t="inlineStr">
        <is>
          <t xml:space="preserve">Tecnologías de la información, telecomunicaciones y radiodifusión / Equipos informáticos y accesorios / Pantallas o monitores de computador</t>
        </is>
      </c>
      <c r="O62" s="4" t="inlineStr">
        <is>
          <t xml:space="preserve">1 Unidad · Monitores de pantalla táctil</t>
        </is>
      </c>
      <c r="P62" s="2"/>
      <c r="Q62" s="2"/>
      <c r="R62" s="0"/>
      <c r="S62" s="0" t="inlineStr">
        <is>
          <t xml:space="preserve">No</t>
        </is>
      </c>
      <c r="T62" s="4"/>
      <c r="U62" s="0" t="inlineStr">
        <is>
          <t xml:space="preserve">ANDREA TAPIA GODOY</t>
        </is>
      </c>
      <c r="V62" s="4" t="inlineStr">
        <is>
          <t xml:space="preserve">La Municipalidad de Los Vilos, a través del Programa Registro Social de Hogares, requiere adquirir dos 02 Tótems de Autoservicio ChileAtiende, destinados a su instalación en las Delegaciones Municipales de Quilimarí y Caimanes, con el propósito de facilitar y acercar a la comunidad el acceso a diversos trámites, consultas y certificados de servicios públicos. La implementación de estos dispositivos permitirá fortalecer la atención y orientación a los usuarios, promoviendo la autogestión, reduciendo los tiempos de espera y desplazamiento, y optimizando los recursos y tiempos destinados por las profesionales municipales a la atención presencial, contribuyendo de esta manera a una prestación de servicios más oportuna, eficiente y accesible para los habitantes de dichos sectores.</t>
        </is>
      </c>
      <c r="W62" s="5" t="str">
        <f>HYPERLINK("https://www.mercadopublico.cl/Procurement/Modules/Attachment/ViewAttachment.aspx?enc=47GDRsx8eN6TmjuCNZpjyZuxF%2bcv73Q%2bf6TtPEKfBiAlWNaWhZ0oXZHk3ATB7QHs8YrbPMev7SmIJvYeYFZgy%2bUyWbNCJAbHh7N8jO9Vmj3ox1SYm%2f6KLXAlQ%2bn2UBUwx34RIympQELRWQA4D8OC%2fflgook3CgaRn2%2fbppOb00LpEYUE2dNLbtJQolH38F%2bG4wIZEMKo2VeM4tTwR41eXthocx3KmrAT%2fhUiUbGvZgPcdo5%2bOJeBcM8a5rSaaVDFhruYkWqWtYQFqoDnkrlhAH11z9MR9%2fo7D62rnz4AbAtFozh2Hm%2fQKAPGEkak9HGe","descargar bases")</f>
      </c>
    </row>
    <row r="63">
      <c r="A63" s="0" t="inlineStr">
        <is>
          <t xml:space="preserve">4511-58-LE26</t>
        </is>
      </c>
      <c r="B63" s="4" t="inlineStr">
        <is>
          <t xml:space="preserve">Contratación de software trámites en línea Dirección de Obras Municipales I. Municipalidad de Retiro</t>
        </is>
      </c>
      <c r="C63" s="0" t="inlineStr">
        <is>
          <t xml:space="preserve">Publicada</t>
        </is>
      </c>
      <c r="D63" s="0" t="inlineStr">
        <is>
          <t xml:space="preserve">ILUSTRE MUNICIPALIDAD DE RETIRO</t>
        </is>
      </c>
      <c r="E63" s="0" t="inlineStr">
        <is>
          <t xml:space="preserve">Secpla</t>
        </is>
      </c>
      <c r="F63" s="0" t="inlineStr">
        <is>
          <t xml:space="preserve">Región del Maule </t>
        </is>
      </c>
      <c r="G63" s="0" t="inlineStr">
        <is>
          <t xml:space="preserve">Retiro</t>
        </is>
      </c>
      <c r="H63" s="2">
        <v>46300.657037</v>
      </c>
      <c r="I63" s="2">
        <v>46311.625</v>
      </c>
      <c r="J63" s="0">
        <v>7</v>
      </c>
      <c r="K63" s="3"/>
      <c r="L63" s="0" t="inlineStr">
        <is>
          <t xml:space="preserve">CLP</t>
        </is>
      </c>
      <c r="M63" s="0" t="inlineStr">
        <is>
          <t xml:space="preserve">LE</t>
        </is>
      </c>
      <c r="N63" s="4" t="inlineStr">
        <is>
          <t xml:space="preserve">Tecnologías de la información, telecomunicaciones y radiodifusión / Software / Software de consultas y gestión de datos</t>
        </is>
      </c>
      <c r="O63" s="4" t="inlineStr">
        <is>
          <t xml:space="preserve">1 Global · Software de creación de informes de bases de datos</t>
        </is>
      </c>
      <c r="P63" s="2"/>
      <c r="Q63" s="2"/>
      <c r="R63" s="0" t="inlineStr">
        <is>
          <t xml:space="preserve">24 meses</t>
        </is>
      </c>
      <c r="S63" s="0" t="inlineStr">
        <is>
          <t xml:space="preserve">No</t>
        </is>
      </c>
      <c r="T63" s="4" t="inlineStr">
        <is>
          <t xml:space="preserve">CONFORME NUMERAl 21.8</t>
        </is>
      </c>
      <c r="U63" s="0" t="inlineStr">
        <is>
          <t xml:space="preserve">ADELQUI MILLAR</t>
        </is>
      </c>
      <c r="V63" s="4" t="inlineStr">
        <is>
          <t xml:space="preserve">Existe la necesidad de contratar el arriendo software en la nube, que permita implementar una plataforma digital, a través de la cual la ciudadanía pueda realizar en forma remota trámites ante la Dirección de Obras Municipales (DOM) de la comuna de Retiro, entre los que figuran permisos de edificación, subdivisión, urbanización, regularizaciones y certificados, entre otros.</t>
        </is>
      </c>
      <c r="W63" s="5" t="str">
        <f>HYPERLINK("https://www.mercadopublico.cl/Procurement/Modules/Attachment/ViewAttachment.aspx?enc=Qfin2sIz3wsrqv9GKeZSFjqPQU7ShxDpMtU2cO5iW3RBDt%2bscrO0KTLWabPsaL4SIm66qr4LY%2bRGV%2fAAwKPvl%2buyoyEB0S5R7Ep%2b2E0qP5Z7tRHb4QEnu9xLL6B%2fksnh7BP61COPyFMGGy4g8k5Q0RprvKAA%2fesLB0l3mZghgkiDEBB9gZI6IbGONzhNuSS6g16nx5o7Sz3sveyYMUzlsDYLk3lZXUDExL5fapSNNGFHbvU%2f8u%2f4tZv5RFcMZnzm3vxzBBYafbtcRfFLudiYMsLl55fdepraP494rPyN3cg5Uu2UakWd%2fiZseGUERf5K","descargar bases")</f>
      </c>
    </row>
    <row r="64">
      <c r="A64" s="0" t="inlineStr">
        <is>
          <t xml:space="preserve">976-20-LE26</t>
        </is>
      </c>
      <c r="B64" s="4" t="inlineStr">
        <is>
          <t xml:space="preserve">Equipos computacionales e informáticos</t>
        </is>
      </c>
      <c r="C64" s="0" t="inlineStr">
        <is>
          <t xml:space="preserve">Publicada</t>
        </is>
      </c>
      <c r="D64" s="0" t="inlineStr">
        <is>
          <t xml:space="preserve">MINISTERIO DE OBRAS PUBLICAS DIREC CION GRAL DE OO PP DCYF</t>
        </is>
      </c>
      <c r="E64" s="0" t="inlineStr">
        <is>
          <t xml:space="preserve">Dirección de Aeropuertos - MOPTT</t>
        </is>
      </c>
      <c r="F64" s="0" t="inlineStr">
        <is>
          <t xml:space="preserve">Región Metropolitana de Santiago</t>
        </is>
      </c>
      <c r="G64" s="0" t="inlineStr">
        <is>
          <t xml:space="preserve">Santiago Centro</t>
        </is>
      </c>
      <c r="H64" s="2">
        <v>46302.640197</v>
      </c>
      <c r="I64" s="2">
        <v>46311.625</v>
      </c>
      <c r="J64" s="0">
        <v>7</v>
      </c>
      <c r="K64" s="3">
        <v>70000000.0</v>
      </c>
      <c r="L64" s="0" t="inlineStr">
        <is>
          <t xml:space="preserve">CLP</t>
        </is>
      </c>
      <c r="M64" s="0" t="inlineStr">
        <is>
          <t xml:space="preserve">LE</t>
        </is>
      </c>
      <c r="N64" s="4" t="inlineStr">
        <is>
          <t xml:space="preserve">Tecnologías de la información, telecomunicaciones y radiodifusión / Equipos informáticos y accesorios / Computadores, Tecnologías de la información, telecomunicaciones y radiodifusión / Equipos informáticos y accesorios / Impresoras</t>
        </is>
      </c>
      <c r="O64" s="4" t="inlineStr">
        <is>
          <t xml:space="preserve">1 Unidad · Trazadoras de gráficos · 15 Unidad · Computadores de escritorio · 41 Unidad · Notebook, laptop o computador portátil excepto Tablet PC · y 2 más</t>
        </is>
      </c>
      <c r="P64" s="2"/>
      <c r="Q64" s="2"/>
      <c r="R64" s="0"/>
      <c r="S64" s="0" t="inlineStr">
        <is>
          <t xml:space="preserve">No</t>
        </is>
      </c>
      <c r="T64" s="4" t="inlineStr">
        <is>
          <t xml:space="preserve">Numeral 10.5 de las BA_Subcontratación. El adjudicatario no podrá subcontratar los servicios derivados de la ejecución de los servicios que se suscriba.</t>
        </is>
      </c>
      <c r="U64" s="0" t="inlineStr">
        <is>
          <t xml:space="preserve">Ana Belén Vera Donoso</t>
        </is>
      </c>
      <c r="V64" s="4" t="inlineStr">
        <is>
          <t xml:space="preserve">APRUEBA BASES ADMINISTRATIVAS, FORMULARIOS, ESPECIFICACIONES TÉCNICAS Y DESIGNA COMISIÓN DE EVALUACIÓN DE OFERTAS PARA ADQUISICIÓN DE EQUIPOS COMPUTACIONALES E INFORMATICOS PARA LA DIRECCIÓN DE AEROPUERTOS, NIVEL CENTRAL. ESPECIFICACIONES TÉCNICAS EN NUMERAL 15 DE LAS BA</t>
        </is>
      </c>
      <c r="W64" s="5" t="str">
        <f>HYPERLINK("https://www.mercadopublico.cl/Procurement/Modules/Attachment/ViewAttachment.aspx?enc=rF3oHUajSLrlfOiGUGs%2b7QLyTxUHDsHLY%2fuvzz6AqL5T9I%2fL6exKFzvTEWRekyq19W8oAIYNRuhDMskmHiLUyM3XXUplUcRbaZlpxaMIMtQcuGjz0zYzH66C7urvWXC7GA2mEbDxOazottBLqvjB0%2bWyygZlrAC2kMeIx7VA16AVEd%2fBe13FDVWsiyQlGeEpjec2z4FZ3DO2A0Q%2bi5epNDjnq2PNm94Y%2fu%2f6irMkWTvUXCMKXChDTyuoA6dsEizDiewiedzo%2f6Yb%2bQFahUaZXliJkmVec2Lk3SZobHokDIkX%2bEP5hp%2bkEFieykCKYoC6","descargar bases")</f>
      </c>
    </row>
    <row r="65">
      <c r="A65" s="0" t="inlineStr">
        <is>
          <t xml:space="preserve">4459-23-LP26</t>
        </is>
      </c>
      <c r="B65" s="4" t="inlineStr">
        <is>
          <t xml:space="preserve">Plataforma de Sistemas Informáticos de Gestión Municipal para la Ilustre Municipalidad de Pichilemu</t>
        </is>
      </c>
      <c r="C65" s="0" t="inlineStr">
        <is>
          <t xml:space="preserve">Publicada</t>
        </is>
      </c>
      <c r="D65" s="0" t="inlineStr">
        <is>
          <t xml:space="preserve">ILUSTRE MUNICIPALIDAD DE PICHILEMU</t>
        </is>
      </c>
      <c r="E65" s="0" t="inlineStr">
        <is>
          <t xml:space="preserve">Departamento de Proyectos</t>
        </is>
      </c>
      <c r="F65" s="0" t="inlineStr">
        <is>
          <t xml:space="preserve">Región del Libertador General Bernardo O´Higgins</t>
        </is>
      </c>
      <c r="G65" s="0" t="inlineStr">
        <is>
          <t xml:space="preserve">Pichilemu</t>
        </is>
      </c>
      <c r="H65" s="2">
        <v>46290.508056</v>
      </c>
      <c r="I65" s="2">
        <v>46311.625</v>
      </c>
      <c r="J65" s="0">
        <v>7</v>
      </c>
      <c r="K65" s="3">
        <v>265216200.0</v>
      </c>
      <c r="L65" s="0" t="inlineStr">
        <is>
          <t xml:space="preserve">CLP</t>
        </is>
      </c>
      <c r="M65" s="0" t="inlineStr">
        <is>
          <t xml:space="preserve">LP</t>
        </is>
      </c>
      <c r="N65" s="4" t="inlineStr">
        <is>
          <t xml:space="preserve">Tecnologías de la información, telecomunicaciones y radiodifusión / Software / Software de administración de redes</t>
        </is>
      </c>
      <c r="O65" s="4" t="inlineStr">
        <is>
          <t xml:space="preserve">1 Unidad · Software de mejora de sistemas operativos de redes</t>
        </is>
      </c>
      <c r="P65" s="2"/>
      <c r="Q65" s="2"/>
      <c r="R65" s="0"/>
      <c r="S65" s="0" t="inlineStr">
        <is>
          <t xml:space="preserve">No</t>
        </is>
      </c>
      <c r="T65" s="4"/>
      <c r="U65" s="0" t="inlineStr">
        <is>
          <t xml:space="preserve">Isabel Riquelme Gonzalez</t>
        </is>
      </c>
      <c r="V65"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65" s="5" t="str">
        <f>HYPERLINK("https://www.mercadopublico.cl/Procurement/Modules/Attachment/ViewAttachment.aspx?enc=siUOUf1c%2fAVEcOO5VV8joBDTs7h44PBDQBdlWtDQlZgWtn7ZO01Jhi9tFdW0gNHg3COPufq1sNmwNmYa7ay8spkhOO3OOuMjiwiW2dRyWgXFI57ucekD9aVcS%2bccOrQaB8ACoiP8fCFopw804AFd66f7Xnci%2fxRl6WzeyOg57UmZf54PWpZ243thrtWoYIFZwsQUC8du4v7lI0nZxt0tDSBPqVl4eE98d6WJJfnRM%2f0BqlHCZ85vIqE%2biuQ7nfg0fmbHPCIZA2n6dqS5qdZrlJtCnstxZxH4ctGxB8hP22bs%2fRerzOCYq3Hx2RG2FVCj","descargar bases")</f>
      </c>
    </row>
    <row r="66">
      <c r="A66" s="0" t="inlineStr">
        <is>
          <t xml:space="preserve">948354-139-LR26</t>
        </is>
      </c>
      <c r="B66" s="4" t="inlineStr">
        <is>
          <t xml:space="preserve">CONTRATACIÓN DE SERVICIO DE SOFTWARE DE RECURSOS HUMANOS PARA EL HOSPITAL DIPRECA</t>
        </is>
      </c>
      <c r="C66" s="0" t="inlineStr">
        <is>
          <t xml:space="preserve">Publicada</t>
        </is>
      </c>
      <c r="D66" s="0" t="inlineStr">
        <is>
          <t xml:space="preserve">FONDO HOSPITAL DE LA DIRECCION DE PREVISION DE CARABINEROS DE CHILE</t>
        </is>
      </c>
      <c r="E66" s="0" t="inlineStr">
        <is>
          <t xml:space="preserve">Unidad de Compra de Bienes y Servicios</t>
        </is>
      </c>
      <c r="F66" s="0" t="inlineStr">
        <is>
          <t xml:space="preserve">Región Metropolitana de Santiago</t>
        </is>
      </c>
      <c r="G66" s="0" t="inlineStr">
        <is>
          <t xml:space="preserve">Las Condes</t>
        </is>
      </c>
      <c r="H66" s="2">
        <v>46281.643044</v>
      </c>
      <c r="I66" s="2">
        <v>46311.666667</v>
      </c>
      <c r="J66" s="0">
        <v>7</v>
      </c>
      <c r="K66" s="3">
        <v>450000000.0</v>
      </c>
      <c r="L66" s="0" t="inlineStr">
        <is>
          <t xml:space="preserve">CLP</t>
        </is>
      </c>
      <c r="M66" s="0" t="inlineStr">
        <is>
          <t xml:space="preserve">LR</t>
        </is>
      </c>
      <c r="N66" s="4" t="inlineStr">
        <is>
          <t xml:space="preserve">Tecnologías de la información, telecomunicaciones y radiodifusión / Software / Software de gestión</t>
        </is>
      </c>
      <c r="O66" s="4" t="inlineStr">
        <is>
          <t xml:space="preserve">1 Unidad · Software de gestión de recursos humanos</t>
        </is>
      </c>
      <c r="P66" s="2"/>
      <c r="Q66" s="2"/>
      <c r="R66" s="0" t="inlineStr">
        <is>
          <t xml:space="preserve">36 meses</t>
        </is>
      </c>
      <c r="S66" s="0" t="inlineStr">
        <is>
          <t xml:space="preserve">No</t>
        </is>
      </c>
      <c r="T66" s="4"/>
      <c r="U66" s="0" t="inlineStr">
        <is>
          <t xml:space="preserve">Patricio Salinas</t>
        </is>
      </c>
      <c r="V66"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66" s="5" t="str">
        <f>HYPERLINK("https://www.mercadopublico.cl/Procurement/Modules/Attachment/ViewAttachment.aspx?enc=9v0k0ONkr3UNO6O7TX63PGLkdpgH8mfCIMOV1xb0RkIboyblWJ%2fbNI5W%2fYBzp3d74qeCVCLQPIs%2frnWC%2fBvfzHFGp4%2f2CT4hoSIKgHVYs%2bdiJzOlKUJq2nK3Q3OxJdpkhYL5l4sFgv4z3GzN4GVCsk2JYQv4G02w6i1qvV8vk9roS7X6fAzE%2fyyogYg%2fVwrInMgIyfuaed4TEQi%2bX%2bJz2NDmoe2k2f1PTiVSxhEDk0b9b%2fVjpXTy4UAEhlmlu3T2RYErXABHwTdbwIWPRRn8HzYx4LP5uZDjczX%2bxymJFyflxFwTNZ4MmpOp001OCk16","descargar bases")</f>
      </c>
    </row>
    <row r="67">
      <c r="A67" s="0" t="inlineStr">
        <is>
          <t xml:space="preserve">3090-11-L126</t>
        </is>
      </c>
      <c r="B67" s="4" t="inlineStr">
        <is>
          <t xml:space="preserve">RETIRO, PROVISIÓN E INSTALACIÓN DE TABLERO Y EMPALME ELECTRICO</t>
        </is>
      </c>
      <c r="C67" s="0" t="inlineStr">
        <is>
          <t xml:space="preserve">Publicada</t>
        </is>
      </c>
      <c r="D67" s="0" t="inlineStr">
        <is>
          <t xml:space="preserve">DIRECCION DE ABASTECIMIENTO DE LA ARMADA</t>
        </is>
      </c>
      <c r="E67" s="0" t="inlineStr">
        <is>
          <t xml:space="preserve">CENTRAL ODONTOLOGICA IIA. ZONA NAVAL</t>
        </is>
      </c>
      <c r="F67" s="0" t="inlineStr">
        <is>
          <t xml:space="preserve">Región del Biobío </t>
        </is>
      </c>
      <c r="G67" s="0" t="inlineStr">
        <is>
          <t xml:space="preserve">Talcahuano</t>
        </is>
      </c>
      <c r="H67" s="2">
        <v>46300.462396</v>
      </c>
      <c r="I67" s="2">
        <v>46311.677083</v>
      </c>
      <c r="J67" s="0">
        <v>7</v>
      </c>
      <c r="K67" s="3">
        <v>6000000.0</v>
      </c>
      <c r="L67" s="0" t="inlineStr">
        <is>
          <t xml:space="preserve">CLP</t>
        </is>
      </c>
      <c r="M67" s="0" t="inlineStr">
        <is>
          <t xml:space="preserve">L1</t>
        </is>
      </c>
      <c r="N67" s="4" t="inlineStr">
        <is>
          <t xml:space="preserve">Servicios de construcción y mantenimiento / Servicios de atención, mantenimiento y reparaciones de edificios / Servicios eléctricos</t>
        </is>
      </c>
      <c r="O67" s="4" t="inlineStr">
        <is>
          <t xml:space="preserve">1 Unidad no definida · Instalación o servicio de sistemas de energía eléctrica</t>
        </is>
      </c>
      <c r="P67" s="2"/>
      <c r="Q67" s="2"/>
      <c r="R67" s="0"/>
      <c r="S67" s="0" t="inlineStr">
        <is>
          <t xml:space="preserve">No</t>
        </is>
      </c>
      <c r="T67" s="4"/>
      <c r="U67" s="0"/>
      <c r="V67" s="4" t="inlineStr">
        <is>
          <t xml:space="preserve">Se eleva la necesidad de contratar el servicio de retiro, provisión e instalación de tablero y empalme eléctrico de la Central Odontológica de la Segunda Zona Naval.</t>
        </is>
      </c>
      <c r="W67" s="5" t="str">
        <f>HYPERLINK("https://www.mercadopublico.cl/Procurement/Modules/Attachment/ViewAttachment.aspx?enc=8u06%2bubK3iIxEIITVAArYt%2bv6NNk%2fOR2ygtY0UgpjXIwiHW29LYN4ddXSvMoV%2bWRDmC9FA%2bjiRL70CNXdUChPDH%2bXC11xp3l3o8eAqOSylAISp5Lkfd16sufq3DohezCW2FmqrpPN7aITPJ2oKyDRBxZdyiTvVI42PDUcod1gB8SkbQXprcHFGPUlnBd8fuUzHzkYo8wFwnO4TPtkbTirZdv%2f3q1k0vlBwYtxKdADOShBj%2bW4sMM%2f1P5xo6qlXZ3%2f8PgRe12nnQJbw7My1TIBCoSIqGAzcV67rrCcJkN9F6a%2fKjCi6cD90DJw54bwuYy","descargar bases")</f>
      </c>
    </row>
    <row r="68">
      <c r="A68" s="0" t="inlineStr">
        <is>
          <t xml:space="preserve">1494906-9-LE26</t>
        </is>
      </c>
      <c r="B68" s="4" t="inlineStr">
        <is>
          <t xml:space="preserve">SEGUNDO LLAMADO ADQUISICIÓN DE EQUIPOS ESPECIALIZADOS PARA DIGITALIZACIÓN Y ALMACENAMIENTO</t>
        </is>
      </c>
      <c r="C68" s="0" t="inlineStr">
        <is>
          <t xml:space="preserve">Publicada</t>
        </is>
      </c>
      <c r="D68" s="0" t="inlineStr">
        <is>
          <t xml:space="preserve">SERVICIO NACIONAL DEL PATRIMONIO CULTURAL</t>
        </is>
      </c>
      <c r="E68" s="0" t="inlineStr">
        <is>
          <t xml:space="preserve">CINETECA NACIONAL DE CHILE</t>
        </is>
      </c>
      <c r="F68" s="0" t="inlineStr">
        <is>
          <t xml:space="preserve">Región Metropolitana de Santiago</t>
        </is>
      </c>
      <c r="G68" s="0" t="inlineStr">
        <is>
          <t xml:space="preserve">Ñuñoa</t>
        </is>
      </c>
      <c r="H68" s="2">
        <v>46301.670312</v>
      </c>
      <c r="I68" s="2">
        <v>46311.708333</v>
      </c>
      <c r="J68" s="0">
        <v>7</v>
      </c>
      <c r="K68" s="3"/>
      <c r="L68" s="0" t="inlineStr">
        <is>
          <t xml:space="preserve">CLP</t>
        </is>
      </c>
      <c r="M68" s="0" t="inlineStr">
        <is>
          <t xml:space="preserve">LE</t>
        </is>
      </c>
      <c r="N68" s="4" t="inlineStr">
        <is>
          <t xml:space="preserve">Tecnologías de la información, telecomunicaciones y radiodifusión / Componentes para tecnología de la información, difusión o telecomunicaciones / Dispositivos de soporte de almacenamiento, Tecnologías de la información, telecomunicaciones y radiodifusión / Componentes para tecnología de la información, difusión o telecomunicaciones / Tarjetas de sistema, Tecnologías de la información, telecomunicaciones y radiodifusión / Equipos informáticos y accesorios / Computadores</t>
        </is>
      </c>
      <c r="O68" s="4" t="inlineStr">
        <is>
          <t xml:space="preserve">1 Unidad · Computadores personales · 8 Unidad · Unidades de medios desmontables de gran capacidad · 1 Unidad · Tarjetas aceleradoras de video o gráficos</t>
        </is>
      </c>
      <c r="P68" s="2"/>
      <c r="Q68" s="2"/>
      <c r="R68" s="0"/>
      <c r="S68" s="0" t="inlineStr">
        <is>
          <t xml:space="preserve">No</t>
        </is>
      </c>
      <c r="T68" s="4"/>
      <c r="U68" s="0" t="inlineStr">
        <is>
          <t xml:space="preserve">Consuelo Castillo</t>
        </is>
      </c>
      <c r="V68" s="4" t="inlineStr">
        <is>
          <t xml:space="preserve">Que la Cineteca Nacional de Chile es la institución patrimonial encargada de la preservación, restauración, investigación y difusión del patrimonio audiovisual nacional, y en el marco del Proyecto Patrimonial Nº20 - “Rescate colección noticieros nacionales en nitrato: Chile al día (1944–1949)”, financiado mediante el Programa de Acciones Culturales Complementarias del Servicio Nacional del Patrimonio Cultural, contempla acciones de salvaguarda, digitalización, catalogación y acceso público de dicha colección, para lo cual se requieren equipos especializados para las labores de digitalización y almacenamiento.</t>
        </is>
      </c>
      <c r="W68" s="5" t="str">
        <f>HYPERLINK("https://www.mercadopublico.cl/Procurement/Modules/Attachment/ViewAttachment.aspx?enc=R60IitjmXECtcjJtni5HMn0H2YQTXFRRYuZlLvKwiM7VtGICdrWThj5XExTJxUq%2fYVfHn4yxvEVWLY6EvHe9Z8J%2fCKDhjIkET%2foLCUU%2b3m7sj6R7j1mVWWr63IDVRKxlAwQvRq04VcKBoMwcbgi1tBTQXJB1VQkMVAaZe5cBcvbi7sZAeCFj0YqInnHJO2mwbEf%2fp1G%2bFAAd9s3e08DHZYOBwgjbdLLJPOtsVcwQ1qThmtREZ4z5q6R03HO1znz6VRVAcKWsj0SlLc4K3YNzU%2fw3iypuAv7rHmFas5Hcd8Ik6wOwocA7ZBo8R4CNQFpN","descargar bases")</f>
      </c>
    </row>
    <row r="69">
      <c r="A69" s="0" t="inlineStr">
        <is>
          <t xml:space="preserve">1020-38-LP26</t>
        </is>
      </c>
      <c r="B69" s="4" t="inlineStr">
        <is>
          <t xml:space="preserve">Adquisición de Plataforma Next Generation Firewall</t>
        </is>
      </c>
      <c r="C69" s="0" t="inlineStr">
        <is>
          <t xml:space="preserve">Publicada</t>
        </is>
      </c>
      <c r="D69" s="0" t="inlineStr">
        <is>
          <t xml:space="preserve">MINISTERIO DE OBRAS PUBLICAS DIREC CION GRAL DE OO PP DCYF</t>
        </is>
      </c>
      <c r="E69" s="0" t="inlineStr">
        <is>
          <t xml:space="preserve">MOP Subsecretaría </t>
        </is>
      </c>
      <c r="F69" s="0" t="inlineStr">
        <is>
          <t xml:space="preserve">Región Metropolitana de Santiago</t>
        </is>
      </c>
      <c r="G69" s="0"/>
      <c r="H69" s="2">
        <v>46252.442361</v>
      </c>
      <c r="I69" s="2">
        <v>46314.625</v>
      </c>
      <c r="J69" s="0">
        <v>10</v>
      </c>
      <c r="K69" s="3">
        <v>240000000.0</v>
      </c>
      <c r="L69" s="0" t="inlineStr">
        <is>
          <t xml:space="preserve">CLP</t>
        </is>
      </c>
      <c r="M69" s="0" t="inlineStr">
        <is>
          <t xml:space="preserve">LP</t>
        </is>
      </c>
      <c r="N69"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69" s="4" t="inlineStr">
        <is>
          <t xml:space="preserve">2 Unidad · Equipo de seguridad de red de firewall · 1 Unidad · Software de vigilancia de redes</t>
        </is>
      </c>
      <c r="P69" s="2"/>
      <c r="Q69" s="2"/>
      <c r="R69" s="0" t="inlineStr">
        <is>
          <t xml:space="preserve">16 meses</t>
        </is>
      </c>
      <c r="S69" s="0" t="inlineStr">
        <is>
          <t xml:space="preserve">No</t>
        </is>
      </c>
      <c r="T69" s="4" t="inlineStr">
        <is>
          <t xml:space="preserve">Conforme al punto 10.5 de las Bases Administrativas, el oferente adjudicado no podrá subcontratar los servicios derivados de la ejecución del Contrato</t>
        </is>
      </c>
      <c r="U69" s="0" t="inlineStr">
        <is>
          <t xml:space="preserve">Francisco Borques</t>
        </is>
      </c>
      <c r="V69"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69" s="5" t="str">
        <f>HYPERLINK("https://www.mercadopublico.cl/Procurement/Modules/Attachment/ViewAttachment.aspx?enc=Id8DOUUS1jkTUYOBIBDaEENN88xrrdfec4feQDErrUitc2mq2S98%2btYpuTggjSGMuK71roNwA63nam1vN0E6K3LDmvXpGssHTXjZo%2b7kcnPwnsbs0XEPyf7M6G67L4GHmqUp%2fjLFjhjU2vdmaLQC7KXdrz4cPMc0yVV%2bDTbP1s96nmY5g5fbpr7As1%2fF4yveBHuDFO5lWGf9g8y3t6U9FXIfaXQi0kACyYCxZCQY%2bK2lcgeU40BhZenQYVULASUKmfxg%2b2LZykJwjeKpkNAWOpHGLbjPjFFpEToTkwb9TBlbwCT32A383LPgxP8OCmX2","descargar bases")</f>
      </c>
    </row>
    <row r="70">
      <c r="A70" s="0" t="inlineStr">
        <is>
          <t xml:space="preserve">1153624-22-LE26</t>
        </is>
      </c>
      <c r="B70" s="4" t="inlineStr">
        <is>
          <t xml:space="preserve">Servicio enlace de datos de internet</t>
        </is>
      </c>
      <c r="C70" s="0" t="inlineStr">
        <is>
          <t xml:space="preserve">Publicada</t>
        </is>
      </c>
      <c r="D70" s="0" t="inlineStr">
        <is>
          <t xml:space="preserve">SUBSECRETARIA DE RELACIONES ECONOMICAS INTERNACIONALES</t>
        </is>
      </c>
      <c r="E70" s="0" t="inlineStr">
        <is>
          <t xml:space="preserve">Departamento Adquisiciones MN</t>
        </is>
      </c>
      <c r="F70" s="0" t="inlineStr">
        <is>
          <t xml:space="preserve">Región Metropolitana de Santiago</t>
        </is>
      </c>
      <c r="G70" s="0" t="inlineStr">
        <is>
          <t xml:space="preserve">Santiago</t>
        </is>
      </c>
      <c r="H70" s="2">
        <v>46295.481829</v>
      </c>
      <c r="I70" s="2">
        <v>46314.625</v>
      </c>
      <c r="J70" s="0">
        <v>10</v>
      </c>
      <c r="K70" s="3"/>
      <c r="L70" s="0" t="inlineStr">
        <is>
          <t xml:space="preserve">CLP</t>
        </is>
      </c>
      <c r="M70" s="0" t="inlineStr">
        <is>
          <t xml:space="preserve">LE</t>
        </is>
      </c>
      <c r="N70" s="4" t="inlineStr">
        <is>
          <t xml:space="preserve">Servicios basados en ingeniería, ciencias sociales y tecnología de la información / Servicios informáticos / Servicios de datos</t>
        </is>
      </c>
      <c r="O70" s="4" t="inlineStr">
        <is>
          <t xml:space="preserve">1 Unidad · Servicios de almacenamiento de datos</t>
        </is>
      </c>
      <c r="P70" s="2"/>
      <c r="Q70" s="2"/>
      <c r="R70" s="0" t="inlineStr">
        <is>
          <t xml:space="preserve">24 meses</t>
        </is>
      </c>
      <c r="S70" s="0" t="inlineStr">
        <is>
          <t xml:space="preserve">No</t>
        </is>
      </c>
      <c r="T70" s="4" t="inlineStr">
        <is>
          <t xml:space="preserve">No permite subcontratación.
El adjudicatario no podrá subcontratar, salvo autorización escrita de la Subsecretaría de Relaciones Económicas Internacionales</t>
        </is>
      </c>
      <c r="U70" s="0" t="inlineStr">
        <is>
          <t xml:space="preserve">Berland Méndez, René</t>
        </is>
      </c>
      <c r="V70" s="4" t="inlineStr">
        <is>
          <t xml:space="preserve">La Subsecretaría de Relaciones Económicas Internacionales invita a participar en el proceso de contratación de Servicios de enlace de datos de internet de la Subsecretaría de Relaciones Económicas Internacionales.</t>
        </is>
      </c>
      <c r="W70" s="5" t="str">
        <f>HYPERLINK("https://www.mercadopublico.cl/Procurement/Modules/Attachment/ViewAttachment.aspx?enc=OA3qcOSUSsYHVDZL5rB9eAEIwM4Ny3dWODuId0C8Qz1Vj%2fWPWO9Wr%2fpFqYHonGCFCVopsUDqH6IhaA08zmLgb70erFq1LKasKCxpK9I3CbuwgJR6Te5Q2lU8TfKdmJe8nDrtMeQ2aZEfsQVq7OowlWITdAjw4STA3GJacNw5OqsS1ZSioP%2bucXJQS1P07DD5rfF2pXMm3TgyyUq%2fKH01PiGUVutrv7yfN1iAFG3YUNcbsB5J0V507RHdraebgUDjcBhoyL1e7tdUdvXy8842FlOacjA1LGlsek5yMInjswzwTMJeGR9Priz7%2fW7mOlgZ","descargar bases")</f>
      </c>
    </row>
    <row r="71">
      <c r="A71" s="0" t="inlineStr">
        <is>
          <t xml:space="preserve">2563-43-LP26</t>
        </is>
      </c>
      <c r="B71" s="4" t="inlineStr">
        <is>
          <t xml:space="preserve">Adquisición de cámaras IA y radares de seguridad</t>
        </is>
      </c>
      <c r="C71" s="0" t="inlineStr">
        <is>
          <t xml:space="preserve">Publicada</t>
        </is>
      </c>
      <c r="D71" s="0" t="inlineStr">
        <is>
          <t xml:space="preserve">DIRECCION GENERAL DE AERONAUTICA CIVIL</t>
        </is>
      </c>
      <c r="E71" s="0" t="inlineStr">
        <is>
          <t xml:space="preserve">UNIDAD DE COMPRA CONTRATOS NACIONALES</t>
        </is>
      </c>
      <c r="F71" s="0" t="inlineStr">
        <is>
          <t xml:space="preserve">Región Metropolitana de Santiago</t>
        </is>
      </c>
      <c r="G71" s="0" t="inlineStr">
        <is>
          <t xml:space="preserve">Providencia</t>
        </is>
      </c>
      <c r="H71" s="2">
        <v>46293.5386</v>
      </c>
      <c r="I71" s="2">
        <v>46314.625</v>
      </c>
      <c r="J71" s="0">
        <v>10</v>
      </c>
      <c r="K71" s="3">
        <v>192000000.0</v>
      </c>
      <c r="L71" s="0" t="inlineStr">
        <is>
          <t xml:space="preserve">CLP</t>
        </is>
      </c>
      <c r="M71" s="0" t="inlineStr">
        <is>
          <t xml:space="preserve">LP</t>
        </is>
      </c>
      <c r="N71" s="4" t="inlineStr">
        <is>
          <t xml:space="preserve">Equipos y suministros de defensa, orden público, protección y seguridad / Seguridad, vigilancia y detección / Equipo de vigilancia y detección</t>
        </is>
      </c>
      <c r="O71" s="4" t="inlineStr">
        <is>
          <t xml:space="preserve">2 Unidad · Cámaras de seguridad · 2 Unidad · Cámaras de seguridad · 1 Unidad · Cámaras de seguridad · y 13 más</t>
        </is>
      </c>
      <c r="P71" s="2"/>
      <c r="Q71" s="2"/>
      <c r="R71" s="0"/>
      <c r="S71" s="0" t="inlineStr">
        <is>
          <t xml:space="preserve">No</t>
        </is>
      </c>
      <c r="T71" s="4"/>
      <c r="U71" s="0" t="inlineStr">
        <is>
          <t xml:space="preserve">Javier Pacheco</t>
        </is>
      </c>
      <c r="V71"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71" s="5" t="str">
        <f>HYPERLINK("https://www.mercadopublico.cl/Procurement/Modules/Attachment/ViewAttachment.aspx?enc=325d2boERmUVh%2fg2R4GX69Qi%2bRyrh1Zm7G1kwc9k73ps6O1y7Oqk8yopQk1Ne7ITuieXhHa9Or8QIZx9N8ndJHxuEKU20eqPnYwPZFC7qgaGTQcYJ4RZVK66uTcvCfV5S2RR8Z4fBWGSu3E8pNlbxIMVbjzGDhq9UQqNOBkaO6hoKtj15XkqiqIZ%2f%2fEt1PmDdkD6Wo6monliy0ODS3EkF%2fMEPP8b6rrUp7n8IxxF9XAVvZu3tdJktZVmF6Koh%2fS5%2bd3YKzm2%2fAapiR7bp7AEJ9%2fMK%2bKNEe3300fDS9JWoH7uvfiHcJI3RBigczyMiYNu","descargar bases")</f>
      </c>
    </row>
    <row r="72">
      <c r="A72" s="0" t="inlineStr">
        <is>
          <t xml:space="preserve">514862-125-LR26</t>
        </is>
      </c>
      <c r="B72" s="4" t="inlineStr">
        <is>
          <t xml:space="preserve">10032938 PLATAFORMA DE AGENDAMIENTO TELECONSULTAS</t>
        </is>
      </c>
      <c r="C72" s="0" t="inlineStr">
        <is>
          <t xml:space="preserve">Publicada</t>
        </is>
      </c>
      <c r="D72" s="0" t="inlineStr">
        <is>
          <t xml:space="preserve">CORPORACION MUNICIPAL DE PENALOLEN PARA EL DESARROLO SOCIAL CORMUP</t>
        </is>
      </c>
      <c r="E72" s="0" t="inlineStr">
        <is>
          <t xml:space="preserve">CORPORACION MUNICIPAL DE PENALOLEN PARA EL DESARRO</t>
        </is>
      </c>
      <c r="F72" s="0" t="inlineStr">
        <is>
          <t xml:space="preserve">Región Metropolitana de Santiago</t>
        </is>
      </c>
      <c r="G72" s="0" t="inlineStr">
        <is>
          <t xml:space="preserve">Peñalolén</t>
        </is>
      </c>
      <c r="H72" s="2">
        <v>46281.559005</v>
      </c>
      <c r="I72" s="2">
        <v>46314.625</v>
      </c>
      <c r="J72" s="0">
        <v>10</v>
      </c>
      <c r="K72" s="3">
        <v>408000000.0</v>
      </c>
      <c r="L72" s="0" t="inlineStr">
        <is>
          <t xml:space="preserve">CLP</t>
        </is>
      </c>
      <c r="M72" s="0" t="inlineStr">
        <is>
          <t xml:space="preserve">LR</t>
        </is>
      </c>
      <c r="N72" s="4" t="inlineStr">
        <is>
          <t xml:space="preserve">Servicios basados en ingeniería, ciencias sociales y tecnología de la información / Servicios informáticos / Servicios de datos</t>
        </is>
      </c>
      <c r="O72" s="4" t="inlineStr">
        <is>
          <t xml:space="preserve">1 Unidad · Servicios de transformación de datos</t>
        </is>
      </c>
      <c r="P72" s="2"/>
      <c r="Q72" s="2"/>
      <c r="R72" s="0"/>
      <c r="S72" s="0" t="inlineStr">
        <is>
          <t xml:space="preserve">No</t>
        </is>
      </c>
      <c r="T72" s="4" t="inlineStr">
        <is>
          <t xml:space="preserve">SEGUN BASES ADJUNTAS</t>
        </is>
      </c>
      <c r="U72" s="0" t="inlineStr">
        <is>
          <t xml:space="preserve">DANILA SEGUEL</t>
        </is>
      </c>
      <c r="V72" s="4" t="inlineStr">
        <is>
          <t xml:space="preserve">SEGUN BASES ADJUNTAS</t>
        </is>
      </c>
      <c r="W72" s="5" t="str">
        <f>HYPERLINK("https://www.mercadopublico.cl/Procurement/Modules/Attachment/ViewAttachment.aspx?enc=uJQVLz7WDRKzV5zqhuqXWhW2t4H0hynqeM37%2baFz1w5UxcVXQXl6%2bM5FePSWoY51kkAqP9O2bhXAq4pNv5uwOIvJ2YBD2uO2FiZXyQ%2fc8ROBgvq62OV2qvDfpTDBisk8nPO%2bsPSl0GgIhW8vfNyA%2b2uE5T6Iip08iJGPxqHhAi9n0KTCQfDzzK%2b8AeEJTlPEVgcoyyU%2f5N5TEzlxWIhWAoo2slBJzXRI5i8v%2bxcX3gVj4DeteLrXajYxW1ZKRSVHErVjaOLpjFXFGVZTHtI9S4Ys0aO5HSnGR8%2fPyY5iw1c1mOtXnCOU52jjnkjQzCIH","descargar bases")</f>
      </c>
    </row>
    <row r="73">
      <c r="A73" s="0" t="inlineStr">
        <is>
          <t xml:space="preserve">869591-12-LP26</t>
        </is>
      </c>
      <c r="B73" s="4" t="inlineStr">
        <is>
          <t xml:space="preserve">CONTRATACIÓN DE PLATAFORMA DE GESTIÓN DOCUMENTAL EXPEDIENTE ELECTRÓNICO Y GESTIÓN DE PROCESOS</t>
        </is>
      </c>
      <c r="C73" s="0" t="inlineStr">
        <is>
          <t xml:space="preserve">Publicada</t>
        </is>
      </c>
      <c r="D73" s="0" t="inlineStr">
        <is>
          <t xml:space="preserve">DIRECCION DE COMPRAS Y CONTRATACION PUBLICA</t>
        </is>
      </c>
      <c r="E73" s="0" t="inlineStr">
        <is>
          <t xml:space="preserve">Calidad del Gasto en las Compras Públicas</t>
        </is>
      </c>
      <c r="F73" s="0" t="inlineStr">
        <is>
          <t xml:space="preserve">Región Metropolitana de Santiago</t>
        </is>
      </c>
      <c r="G73" s="0" t="inlineStr">
        <is>
          <t xml:space="preserve">Santiago Centro</t>
        </is>
      </c>
      <c r="H73" s="2">
        <v>46280.607639</v>
      </c>
      <c r="I73" s="2">
        <v>46314.625</v>
      </c>
      <c r="J73" s="0">
        <v>10</v>
      </c>
      <c r="K73" s="3"/>
      <c r="L73" s="0" t="inlineStr">
        <is>
          <t xml:space="preserve">CLP</t>
        </is>
      </c>
      <c r="M73" s="0" t="inlineStr">
        <is>
          <t xml:space="preserve">LP</t>
        </is>
      </c>
      <c r="N73" s="4" t="inlineStr">
        <is>
          <t xml:space="preserve">Tecnologías de la información, telecomunicaciones y radiodifusión / Software / Software de gestión de contenidos</t>
        </is>
      </c>
      <c r="O73" s="4" t="inlineStr">
        <is>
          <t xml:space="preserve">1 Unidad · Programas de gestión de documentos</t>
        </is>
      </c>
      <c r="P73" s="2"/>
      <c r="Q73" s="2"/>
      <c r="R73" s="0" t="inlineStr">
        <is>
          <t xml:space="preserve">44 meses</t>
        </is>
      </c>
      <c r="S73" s="0" t="inlineStr">
        <is>
          <t xml:space="preserve">No</t>
        </is>
      </c>
      <c r="T73" s="4" t="inlineStr">
        <is>
          <t xml:space="preserve">ver clausula 10 de las bases especiales</t>
        </is>
      </c>
      <c r="U73" s="0" t="inlineStr">
        <is>
          <t xml:space="preserve">Marcela Cabrera</t>
        </is>
      </c>
      <c r="V73" s="4" t="inlineStr">
        <is>
          <t xml:space="preserve">CONTRATACIÓN DE PLATAFORMA DE GESTIÓN DOCUMENTAL, EXPEDIENTE ELECTRÓNICO Y GESTIÓN DE PROCESOS PARA LA DIRECCIÓN DE COMPRAS Y CONTRATACIÓN PÚBLICA</t>
        </is>
      </c>
      <c r="W73" s="5" t="str">
        <f>HYPERLINK("https://www.mercadopublico.cl/Procurement/Modules/Attachment/ViewAttachment.aspx?enc=6PeyFNqUOwBopyCAjESC26UVv%2fHcQdnY7oZ9MI%2f%2byJZQSc%2b3NF3ZHyL2njpx0ScJIvlqFoPoImGDid6QfOBgNck%2bAtrmu0bHrIxnsIYenQMtKJmturpFtS9XNrWHNBXHBOSMAFozkoYUkoODYhK9U7m8qWO2VUUfyQU6KnGrnDzOXHGsix2D5544F2Ko1MmCvYr2NoHhJuiBbyReaMFVuj4rn%2b%2fp4KmXVkYSpCGujU9cNRVOYgcPqio3BibANSeTcdogdfYO2TkRh0SIivFv6mFM20dqSgrvSiWZWW58SMDLgFG9TyhwQ1oi1It23vlP","descargar bases")</f>
      </c>
    </row>
    <row r="74">
      <c r="A74" s="0" t="inlineStr">
        <is>
          <t xml:space="preserve">3000-34-LE26</t>
        </is>
      </c>
      <c r="B74" s="4" t="inlineStr">
        <is>
          <t xml:space="preserve">Relojes Control de Asistencia Software de Gestión</t>
        </is>
      </c>
      <c r="C74" s="0" t="inlineStr">
        <is>
          <t xml:space="preserve">Publicada</t>
        </is>
      </c>
      <c r="D74" s="0" t="inlineStr">
        <is>
          <t xml:space="preserve">I MUNICIPALIDAD DE MONTEPATRIA</t>
        </is>
      </c>
      <c r="E74" s="0" t="inlineStr">
        <is>
          <t xml:space="preserve">Dirección  Adm. y  Finanzas</t>
        </is>
      </c>
      <c r="F74" s="0" t="inlineStr">
        <is>
          <t xml:space="preserve">Región de Coquimbo </t>
        </is>
      </c>
      <c r="G74" s="0" t="inlineStr">
        <is>
          <t xml:space="preserve">Monte Patria</t>
        </is>
      </c>
      <c r="H74" s="2">
        <v>46304.464792</v>
      </c>
      <c r="I74" s="2">
        <v>46314.625</v>
      </c>
      <c r="J74" s="0">
        <v>10</v>
      </c>
      <c r="K74" s="3">
        <v>65824330.0</v>
      </c>
      <c r="L74" s="0" t="inlineStr">
        <is>
          <t xml:space="preserve">CLP</t>
        </is>
      </c>
      <c r="M74" s="0" t="inlineStr">
        <is>
          <t xml:space="preserve">LE</t>
        </is>
      </c>
      <c r="N74" s="4" t="inlineStr">
        <is>
          <t xml:space="preserve">Equipos, accesorios y suministros de oficina / Maquinarias, suministros y accesorios de oficina / Máquinas y accesorios para registro de hora y asistencia en la oficina</t>
        </is>
      </c>
      <c r="O74" s="4" t="inlineStr">
        <is>
          <t xml:space="preserve">20 Unidad · Reloj de control · 1 Global · Reloj de control · 1 Unidad · Reloj de control · y 3 más</t>
        </is>
      </c>
      <c r="P74" s="2"/>
      <c r="Q74" s="2"/>
      <c r="R74" s="0" t="inlineStr">
        <is>
          <t xml:space="preserve">36 meses</t>
        </is>
      </c>
      <c r="S74" s="0" t="inlineStr">
        <is>
          <t xml:space="preserve">No</t>
        </is>
      </c>
      <c r="T74" s="4"/>
      <c r="U74" s="0" t="inlineStr">
        <is>
          <t xml:space="preserve">Juan Fuentevilla Jofre</t>
        </is>
      </c>
      <c r="V74" s="4" t="inlineStr">
        <is>
          <t xml:space="preserve">Llámese a participar en la propuesta Pública para la provisión de Relojes Control de Asistencia, Capacitación, y Arriendo de Software de Gestión on-line para Reloj Control, durante un periodo de 36 meses. Lo anterior para las áreas Municipal y Salud de la Municipalidad de Monte Patria.</t>
        </is>
      </c>
      <c r="W74" s="5" t="str">
        <f>HYPERLINK("https://www.mercadopublico.cl/Procurement/Modules/Attachment/ViewAttachment.aspx?enc=DtB7TOuPii52Pax0pUr3J6GR1P3jtwh4msBcHrg0rWAJDM0OUt6cks1%2btJ6mKtG6TVBYmDwgLdbGcjdsxsQYceCaHJNLS1mCNhFn%2fDVohJHe6rr3VxraY8Y8oA6Kewq%2fQy5wYl2scaOt7VR9gMSi5tiSDZ8jzkNWpmS81HHhX6Wko1mkCN3Ol9NoVW98ir2sbnvP%2fGOOHFBFIfv953y%2fihBJkiy%2ff6vIJIKtQUqoilb6fOlihaqTDSbcNdzS8wy84rRqiBbFNOb6w9arSimEn5P2kXTbrtpa92YyjV6wMXWD3U%2blmqPhKsBfRL%2bSH%2bAA","descargar bases")</f>
      </c>
    </row>
    <row r="75">
      <c r="A75" s="0" t="inlineStr">
        <is>
          <t xml:space="preserve">1057549-8-LE26</t>
        </is>
      </c>
      <c r="B75" s="4" t="inlineStr">
        <is>
          <t xml:space="preserve">CONVENIO FOTOCOPIADO IMPRESIÓN Y DIGITALIZACIÓN</t>
        </is>
      </c>
      <c r="C75" s="0" t="inlineStr">
        <is>
          <t xml:space="preserve">Publicada</t>
        </is>
      </c>
      <c r="D75" s="0" t="inlineStr">
        <is>
          <t xml:space="preserve">SERVICIO DE SALUD VALDIVIA HOSPITAL LANC</t>
        </is>
      </c>
      <c r="E75" s="0" t="inlineStr">
        <is>
          <t xml:space="preserve">Bienes y Servicios</t>
        </is>
      </c>
      <c r="F75" s="0" t="inlineStr">
        <is>
          <t xml:space="preserve">Región de Los Ríos</t>
        </is>
      </c>
      <c r="G75" s="0" t="inlineStr">
        <is>
          <t xml:space="preserve">Lanco</t>
        </is>
      </c>
      <c r="H75" s="2">
        <v>46303.59897</v>
      </c>
      <c r="I75" s="2">
        <v>46314.625694</v>
      </c>
      <c r="J75" s="0">
        <v>10</v>
      </c>
      <c r="K75" s="3"/>
      <c r="L75" s="0" t="inlineStr">
        <is>
          <t xml:space="preserve">CLP</t>
        </is>
      </c>
      <c r="M75" s="0" t="inlineStr">
        <is>
          <t xml:space="preserve">LE</t>
        </is>
      </c>
      <c r="N75" s="4" t="inlineStr">
        <is>
          <t xml:space="preserve">Servicios editoriales, de diseño, publicidad, gráficos y artistas / Servicios de impresión y reproducción / Impresión</t>
        </is>
      </c>
      <c r="O75" s="4" t="inlineStr">
        <is>
          <t xml:space="preserve">1 Unidad · Impresión digital</t>
        </is>
      </c>
      <c r="P75" s="2"/>
      <c r="Q75" s="2"/>
      <c r="R75" s="0" t="inlineStr">
        <is>
          <t xml:space="preserve">24 meses</t>
        </is>
      </c>
      <c r="S75" s="0" t="inlineStr">
        <is>
          <t xml:space="preserve">No</t>
        </is>
      </c>
      <c r="T75" s="4"/>
      <c r="U75" s="0" t="inlineStr">
        <is>
          <t xml:space="preserve">Andrea Folch Bernales</t>
        </is>
      </c>
      <c r="V75" s="4" t="inlineStr">
        <is>
          <t xml:space="preserve">El Hospital Familiar y Comunitario de Lanco requiere celebrar un “CONVENIO DE SUMINISTRO DE SERCICIO DE FOTOCOPIADO, IMPRESIÓN Y DIGITALIZACIÓN CON ENTREGA DE EQUIPOS PARA EL HOSPITAL FAMILIAR Y COMUNITARIO DE LANCO” para los diferentes servicios del Hospital por un periodo de 24 meses.</t>
        </is>
      </c>
      <c r="W75" s="5" t="str">
        <f>HYPERLINK("https://www.mercadopublico.cl/Procurement/Modules/Attachment/ViewAttachment.aspx?enc=1yqKv618%2fUrhaVLQ0gKo1QyjAIRAOMOkvKLExhmFjQdvElkweyil6Vil947entn%2fzF%2bo6hc94nKd%2fBJZVU%2b4F7IlrTrVCrM1bDIXq46sFcC5t2l4NIGqGiTaBmyOFUhXYVAaxDy%2fQ4IVKD8%2bIJzwD1jY4nTA29bScUb7bW%2buOrh6wFdJaW%2fU64g6N0PavtCwZxWlgtVb%2fGRrRQFq4vwREYGLQP6N23w0sAk9bjMZLCIhwVxsn1YV9LF1oH1grRyjLryQjk5YtpfcvO%2fxSAjdk71NyDKhHJSnQvC2msJli8%2byTWSORDFk4k%2fMrRgq%2fGkz","descargar bases")</f>
      </c>
    </row>
    <row r="76">
      <c r="A76" s="0" t="inlineStr">
        <is>
          <t xml:space="preserve">425-65-LR26</t>
        </is>
      </c>
      <c r="B76" s="4" t="inlineStr">
        <is>
          <t xml:space="preserve">Renovación de licencias y servicio de administración de software Falcon Crowdstrike EDR para el Poder Judicial</t>
        </is>
      </c>
      <c r="C76" s="0" t="inlineStr">
        <is>
          <t xml:space="preserve">Publicada</t>
        </is>
      </c>
      <c r="D76" s="0" t="inlineStr">
        <is>
          <t xml:space="preserve">CORP ADMINISTRATIVA DEL PODER JUDICIAL</t>
        </is>
      </c>
      <c r="E76" s="0" t="inlineStr">
        <is>
          <t xml:space="preserve">Servicios</t>
        </is>
      </c>
      <c r="F76" s="0" t="inlineStr">
        <is>
          <t xml:space="preserve">Región Metropolitana de Santiago</t>
        </is>
      </c>
      <c r="G76" s="0" t="inlineStr">
        <is>
          <t xml:space="preserve">Santiago Centro</t>
        </is>
      </c>
      <c r="H76" s="2">
        <v>46282.496528</v>
      </c>
      <c r="I76" s="2">
        <v>46314.666667</v>
      </c>
      <c r="J76" s="0">
        <v>10</v>
      </c>
      <c r="K76" s="3"/>
      <c r="L76" s="0" t="inlineStr">
        <is>
          <t xml:space="preserve">USD</t>
        </is>
      </c>
      <c r="M76" s="0" t="inlineStr">
        <is>
          <t xml:space="preserve">LR</t>
        </is>
      </c>
      <c r="N76" s="4" t="inlineStr">
        <is>
          <t xml:space="preserve">Tecnologías de la información, telecomunicaciones y radiodifusión / Software / Software de gestión</t>
        </is>
      </c>
      <c r="O76" s="4" t="inlineStr">
        <is>
          <t xml:space="preserve">1 Global · Software de gestión de licencias · 1 Global · Software de gestión de licencias · 1 Global · Software de gestión de licencias · y 2 más</t>
        </is>
      </c>
      <c r="P76" s="2"/>
      <c r="Q76" s="2"/>
      <c r="R76" s="0" t="inlineStr">
        <is>
          <t xml:space="preserve">12 meses</t>
        </is>
      </c>
      <c r="S76" s="0" t="inlineStr">
        <is>
          <t xml:space="preserve">No</t>
        </is>
      </c>
      <c r="T76" s="4" t="inlineStr">
        <is>
          <t xml:space="preserve">De acuerdo al numeral 15 de las bases administrativas especiales</t>
        </is>
      </c>
      <c r="U76" s="0" t="inlineStr">
        <is>
          <t xml:space="preserve">Jorge Quezada</t>
        </is>
      </c>
      <c r="V76" s="4" t="inlineStr">
        <is>
          <t xml:space="preserve">Renovación de licencias y servicio de administración de software Falcon Crowdstrike EDR para el Poder Judicial</t>
        </is>
      </c>
      <c r="W76" s="5" t="str">
        <f>HYPERLINK("https://www.mercadopublico.cl/Procurement/Modules/Attachment/ViewAttachment.aspx?enc=1bIZTHhf4RpQISLtyhF7RGZQV4Yi8Muww7Ujc2DA2McHcgdB36%2f9W3PfscBAcflLu0x9ft1xIcK6sKMZK5Je4GNk5tPrO39YxyoVFuAr2Z6X7%2bJCbVymiBATHYQCRvw5FC6v28eVwht5rp7spUFKfSSmUm%2fDn3SuUOo7zePd%2bTD3VieOJA8fqZUPR4SOVhLRdg39p44MUu7pZqCrdCEjbUh29VMW66P%2fCzd5iFvLMTnUkHFNC9ijGVOOGqRSdaFd7PlmYQ884d30DarLmR8HjKqJCMHwy%2bo4D9sqUls6MU8g8zRirbeXa9%2bJqZawymTz","descargar bases")</f>
      </c>
    </row>
    <row r="77">
      <c r="A77" s="0" t="inlineStr">
        <is>
          <t xml:space="preserve">1375758-7-LE26</t>
        </is>
      </c>
      <c r="B77" s="4" t="inlineStr">
        <is>
          <t xml:space="preserve">PLATAFORMA INTEGRAL PARA LA PLANIFICACIÓN CONTROL DE DOTACIÓN ESCOLAR Y GESTIÓN DE SOLICITUDES DE CONTRATACIÓN</t>
        </is>
      </c>
      <c r="C77" s="0" t="inlineStr">
        <is>
          <t xml:space="preserve">Publicada</t>
        </is>
      </c>
      <c r="D77" s="0" t="inlineStr">
        <is>
          <t xml:space="preserve">SERVICIO LOCAL DE EDUCACIÓN PÚBLICA SANTIAGO CENTRO</t>
        </is>
      </c>
      <c r="E77" s="0" t="inlineStr">
        <is>
          <t xml:space="preserve">NIVEL CENTRAL SLEP SANTIAGO CENTRO P01</t>
        </is>
      </c>
      <c r="F77" s="0" t="inlineStr">
        <is>
          <t xml:space="preserve">Región Metropolitana de Santiago</t>
        </is>
      </c>
      <c r="G77" s="0" t="inlineStr">
        <is>
          <t xml:space="preserve">Santiago</t>
        </is>
      </c>
      <c r="H77" s="2">
        <v>46301.667801</v>
      </c>
      <c r="I77" s="2">
        <v>46314.6875</v>
      </c>
      <c r="J77" s="0">
        <v>10</v>
      </c>
      <c r="K77" s="3"/>
      <c r="L77" s="0" t="inlineStr">
        <is>
          <t xml:space="preserve">CLP</t>
        </is>
      </c>
      <c r="M77" s="0" t="inlineStr">
        <is>
          <t xml:space="preserve">LE</t>
        </is>
      </c>
      <c r="N77" s="4" t="inlineStr">
        <is>
          <t xml:space="preserve">Servicios basados en ingeniería, ciencias sociales y tecnología de la información / Servicios informáticos / Ingeniería en computación e informática</t>
        </is>
      </c>
      <c r="O77" s="4" t="inlineStr">
        <is>
          <t xml:space="preserve">24 Mes · Desarrollo de Aplicaciones de Recursos Empresariales (ERP)</t>
        </is>
      </c>
      <c r="P77" s="2"/>
      <c r="Q77" s="2"/>
      <c r="R77" s="0" t="inlineStr">
        <is>
          <t xml:space="preserve">24 meses</t>
        </is>
      </c>
      <c r="S77" s="0" t="inlineStr">
        <is>
          <t xml:space="preserve">No</t>
        </is>
      </c>
      <c r="T77" s="4"/>
      <c r="U77" s="0" t="inlineStr">
        <is>
          <t xml:space="preserve">Christian Rivillo</t>
        </is>
      </c>
      <c r="V77" s="4" t="inlineStr">
        <is>
          <t xml:space="preserve">SE REQUEIRE CONTRATAR PLATAFORMA INTEGRAL PARA LA PLANIFICACIÓN, CONTROL DE DOTACIÓN ESCOLAR Y GESTIÓN DE SOLICITUDES DE CONTRATACIÓN, SEGÚN BASES ADJUNTAS, APROBADAS POR RES. EXENTA N°</t>
        </is>
      </c>
      <c r="W77" s="5" t="str">
        <f>HYPERLINK("https://www.mercadopublico.cl/Procurement/Modules/Attachment/ViewAttachment.aspx?enc=SsX0mLUZHVujWVuRxAUXxgK5V7S0RK4L%2bN0gelcQ1TfPfQKay4oz7v44u8uVOnUfKzi7DnWGJxQMW2gHD4o%2bbsCs6EAUYhunsed8IOBjJ9WdNClbPZ50DD0mHDTLalpQrTWbeWiI1cN3zHydEXjjKYWKqVtbnUFgRWf2EP88OCPIxIUoYfXHRS%2bEMw88FcwmdvnHtEbCg%2bN1mTKD3STnZb51xWos6G5MoJCgQ94r6AtaqLFojg1VzcDsRDfPFIwbaFfyVAW4651J7ghmmQwRfmc2j27q2UzdHE95evSVj83t7CesOIHXgyZ4a%2fjIBlvC","descargar bases")</f>
      </c>
    </row>
    <row r="78">
      <c r="A78" s="0" t="inlineStr">
        <is>
          <t xml:space="preserve">2548-94-CO26</t>
        </is>
      </c>
      <c r="B78" s="4" t="inlineStr">
        <is>
          <t xml:space="preserve">PROVISIÓN DE AUDÍFONOS RETROAURICULARES DIGITALES</t>
        </is>
      </c>
      <c r="C78" s="0" t="inlineStr">
        <is>
          <t xml:space="preserve">Publicada</t>
        </is>
      </c>
      <c r="D78" s="0" t="inlineStr">
        <is>
          <t xml:space="preserve">I MUNICIPALIDAD DE PADRE LAS CASAS</t>
        </is>
      </c>
      <c r="E78" s="0" t="inlineStr">
        <is>
          <t xml:space="preserve">MUNICIPALIDAD DE PADRE LAS CASAS  SALUD</t>
        </is>
      </c>
      <c r="F78" s="0" t="inlineStr">
        <is>
          <t xml:space="preserve">Región de la Araucanía </t>
        </is>
      </c>
      <c r="G78" s="0" t="inlineStr">
        <is>
          <t xml:space="preserve">Padre Las Casas</t>
        </is>
      </c>
      <c r="H78" s="2">
        <v>46302.691782</v>
      </c>
      <c r="I78" s="2">
        <v>46314.6875</v>
      </c>
      <c r="J78" s="0">
        <v>10</v>
      </c>
      <c r="K78" s="3">
        <v>29790000.0</v>
      </c>
      <c r="L78" s="0" t="inlineStr">
        <is>
          <t xml:space="preserve">CLP</t>
        </is>
      </c>
      <c r="M78" s="0" t="inlineStr">
        <is>
          <t xml:space="preserve">CO</t>
        </is>
      </c>
      <c r="N78" s="4" t="inlineStr">
        <is>
          <t xml:space="preserve">Equipamiento y suministros médicos / Ayuda para personas con discapacidad / Artículos de ayuda para la comunicación de discapacitados</t>
        </is>
      </c>
      <c r="O78" s="4" t="inlineStr">
        <is>
          <t xml:space="preserve">1 Unidad · Audífonos para personas con discapacidad física</t>
        </is>
      </c>
      <c r="P78" s="2"/>
      <c r="Q78" s="2"/>
      <c r="R78" s="0"/>
      <c r="S78" s="0" t="inlineStr">
        <is>
          <t xml:space="preserve">No</t>
        </is>
      </c>
      <c r="T78" s="4" t="inlineStr">
        <is>
          <t xml:space="preserve">DE ACUERDO A BASES</t>
        </is>
      </c>
      <c r="U78" s="0" t="inlineStr">
        <is>
          <t xml:space="preserve">ESTEFANI LEIVA CASTRO</t>
        </is>
      </c>
      <c r="V78"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78" s="5" t="str">
        <f>HYPERLINK("https://www.mercadopublico.cl/Procurement/Modules/Attachment/ViewAttachment.aspx?enc=fPxr3WgFTMzSXuyn7DMbLfHVKrcZvr60qL6TH9eS%2bZ35orThT2dEEtXRFjojzZMx5eeV%2f94khrS%2f73e69SeZrwfT0I67NQFu25YPejqNLCPcv1bjWRdSqvVLXYqtIHIceJt4CwvQHywInKxmYeyxh1DbkqpIFEho6GieVDM4%2f4R0HDHYE4bcHVO4bUXx%2f4CwYOLNpGX2RYK244H8%2fJATRPmoTPixAqefkkputdYPwEIgIN7izs3nQKhx1F7K4VPztV3YtPqer%2bTGIm4Y2cErj5LbnHXjzzVL6xTBr%2bjKgwlguqmC5F3igLTmeKKun5Cc","descargar bases")</f>
      </c>
    </row>
    <row r="79">
      <c r="A79" s="0" t="inlineStr">
        <is>
          <t xml:space="preserve">1375757-32-LP26</t>
        </is>
      </c>
      <c r="B79" s="4" t="inlineStr">
        <is>
          <t xml:space="preserve">LICENCIAS DE SOFTWARE PARA SLEP DE PUELCHE</t>
        </is>
      </c>
      <c r="C79" s="0" t="inlineStr">
        <is>
          <t xml:space="preserve">Publicada</t>
        </is>
      </c>
      <c r="D79" s="0" t="inlineStr">
        <is>
          <t xml:space="preserve">SERVICIO LOCAL DE EDUCACIÓN PÚBLICA PUELCHE</t>
        </is>
      </c>
      <c r="E79" s="0" t="inlineStr">
        <is>
          <t xml:space="preserve">COMPRAS Y LICITACIONES</t>
        </is>
      </c>
      <c r="F79" s="0" t="inlineStr">
        <is>
          <t xml:space="preserve">Región del Biobío </t>
        </is>
      </c>
      <c r="G79" s="0" t="inlineStr">
        <is>
          <t xml:space="preserve">Santiago</t>
        </is>
      </c>
      <c r="H79" s="2">
        <v>46301.723102</v>
      </c>
      <c r="I79" s="2">
        <v>46314.708333</v>
      </c>
      <c r="J79" s="0">
        <v>10</v>
      </c>
      <c r="K79" s="3">
        <v>101220000.0</v>
      </c>
      <c r="L79" s="0" t="inlineStr">
        <is>
          <t xml:space="preserve">CLP</t>
        </is>
      </c>
      <c r="M79" s="0" t="inlineStr">
        <is>
          <t xml:space="preserve">LP</t>
        </is>
      </c>
      <c r="N79" s="4" t="inlineStr">
        <is>
          <t xml:space="preserve">Tecnologías de la información, telecomunicaciones y radiodifusión / Software / Software de gestión</t>
        </is>
      </c>
      <c r="O79" s="4" t="inlineStr">
        <is>
          <t xml:space="preserve">1 Global · Software de gestión de licencias · 1 Global · Software de gestión de licencias · 1 Global · Software de gestión de licencias · y 10 más</t>
        </is>
      </c>
      <c r="P79" s="2"/>
      <c r="Q79" s="2"/>
      <c r="R79" s="0"/>
      <c r="S79" s="0" t="inlineStr">
        <is>
          <t xml:space="preserve">No</t>
        </is>
      </c>
      <c r="T79" s="4"/>
      <c r="U79" s="0" t="inlineStr">
        <is>
          <t xml:space="preserve">DIEGO ALONSO CORTÉS RODRÍGUEZ</t>
        </is>
      </c>
      <c r="V79" s="4" t="inlineStr">
        <is>
          <t xml:space="preserve">Según bases adjuntas.</t>
        </is>
      </c>
      <c r="W79" s="5" t="str">
        <f>HYPERLINK("https://www.mercadopublico.cl/Procurement/Modules/Attachment/ViewAttachment.aspx?enc=FEvrSQT3osLj2boczBITdmELw%2bQlaSyEDomzav0vbmRpMGQabwL7O659qIzj8wY6iav0CrW2rPoJpC0ulofrMNGpZP0rRi8ztNSgY1NfmUxxveD%2feayxWK6WwkbmvFI4ujn5ZGLxPlZGoB36MoLpT6HF3zCY4SFP7ltAiByjC%2fuJ%2fQKUaURBqUB8s4SQ46ThN8glAk3PhxIhaNdPp0eZ9t5wo3AueyEF%2f9DJjyb%2f4dNI6mUPgJGv%2bj%2baNhs2ooMYr5BjyNzWTgq53cNpAduvFwbYyhuylGWgCPkJ9UX3QrylUlOZcWfawHJwd4lJBKCK","descargar bases")</f>
      </c>
    </row>
    <row r="80">
      <c r="A80" s="0" t="inlineStr">
        <is>
          <t xml:space="preserve">1389183-71-LE26</t>
        </is>
      </c>
      <c r="B80" s="4" t="inlineStr">
        <is>
          <t xml:space="preserve">PROGRAMAS INFORMATICOS PARA LICEOS TP</t>
        </is>
      </c>
      <c r="C80" s="0" t="inlineStr">
        <is>
          <t xml:space="preserve">Publicada</t>
        </is>
      </c>
      <c r="D80" s="0" t="inlineStr">
        <is>
          <t xml:space="preserve">SERVICIO LOCAL DE EDUCACIÓN PÚBLICA DE ANDALIÉN COSTA</t>
        </is>
      </c>
      <c r="E80" s="0" t="inlineStr">
        <is>
          <t xml:space="preserve">SERVICIO EDUCATIVO ANDALIEN COSTA</t>
        </is>
      </c>
      <c r="F80" s="0" t="inlineStr">
        <is>
          <t xml:space="preserve">Región del Biobío </t>
        </is>
      </c>
      <c r="G80" s="0" t="inlineStr">
        <is>
          <t xml:space="preserve">Coronel</t>
        </is>
      </c>
      <c r="H80" s="2">
        <v>46300.652407</v>
      </c>
      <c r="I80" s="2">
        <v>46314.708333</v>
      </c>
      <c r="J80" s="0">
        <v>10</v>
      </c>
      <c r="K80" s="3">
        <v>9000000.0</v>
      </c>
      <c r="L80" s="0" t="inlineStr">
        <is>
          <t xml:space="preserve">CLP</t>
        </is>
      </c>
      <c r="M80" s="0" t="inlineStr">
        <is>
          <t xml:space="preserve">LE</t>
        </is>
      </c>
      <c r="N80" s="4" t="inlineStr">
        <is>
          <t xml:space="preserve">Tecnologías de la información, telecomunicaciones y radiodifusión / Software / Software de gestión, Tecnologías de la información, telecomunicaciones y radiodifusión / Software / Software de planificación de recursos empresariales (ERP) y contabilidad financiera</t>
        </is>
      </c>
      <c r="O80" s="4" t="inlineStr">
        <is>
          <t xml:space="preserve">1 Unidad · Programas de contabilidad · 1 Unidad · Software de gestión de recursos humanos</t>
        </is>
      </c>
      <c r="P80" s="2"/>
      <c r="Q80" s="2"/>
      <c r="R80" s="0"/>
      <c r="S80" s="0" t="inlineStr">
        <is>
          <t xml:space="preserve">No</t>
        </is>
      </c>
      <c r="T80" s="4"/>
      <c r="U80" s="0" t="inlineStr">
        <is>
          <t xml:space="preserve">Ingrid Cortes</t>
        </is>
      </c>
      <c r="V80" s="4" t="inlineStr">
        <is>
          <t xml:space="preserve">Conforme a la Ley de Compras Públicas 19.886, el Decreto 661 que fija el reglamento y sus modificaciones, el Servicio Local de Educación Pública de Andalién Costa, llama a licitación pública a personas naturales o jurídicas, empresas o proveedores del rubro, o unión temporal de proveedores, para gestionar la compra de “PROGRAMAS INFORMÁTICOS PARA LICEOS TP”, el que tiene por objeto, adquirir Programas Computacionales para el desarrollo de las especialidades de Contabilidad y Administración de establecimientos educacionales Técnicos Profesionales dependientes del Servicio Local de Educación Pública Andalién Costa.</t>
        </is>
      </c>
      <c r="W80" s="5" t="str">
        <f>HYPERLINK("https://www.mercadopublico.cl/Procurement/Modules/Attachment/ViewAttachment.aspx?enc=7aawnh0naqYibIVKdkj4FaXI9T4lqdTQkve83xje8uGSo5hMMHV6VjLMlezUX8ZbmNy%2bZbJm14oqGlY6z5kFttn941o%2fmaEZe5v%2fq25o4gGGgjbja3Ogj%2btLaetZDy%2fs9kENzu4oGwDCGEx8Otq%2fflN3Oye2Ddf0w9%2fP8ta1fRcyBZtou%2bN2iyXVee5X9FZFuYrcsoP%2bgXr9uAeRas3aNxpltOAFUBFR9L7bOT6ZTANOGyYC9g1%2fRHDmlxPSTlA7mRDm%2fb%2bE7UlmxL2ZhuOXjD1Beoxa%2fCM8PB5cqm9IK5Dvc0elsFXrsLTYw8qYBmxD","descargar bases")</f>
      </c>
    </row>
    <row r="81">
      <c r="A81" s="0" t="inlineStr">
        <is>
          <t xml:space="preserve">4455-53-LE26</t>
        </is>
      </c>
      <c r="B81" s="4" t="inlineStr">
        <is>
          <t xml:space="preserve">SERVICIO ARRIENDO DE SOFWARE DE ASISTENCIA CLOUD</t>
        </is>
      </c>
      <c r="C81" s="0" t="inlineStr">
        <is>
          <t xml:space="preserve">Publicada</t>
        </is>
      </c>
      <c r="D81" s="0" t="inlineStr">
        <is>
          <t xml:space="preserve">I MUNICIPALIDAD DE ARAUCO</t>
        </is>
      </c>
      <c r="E81" s="0" t="inlineStr">
        <is>
          <t xml:space="preserve">Ilustre Municipalidad de Arauco - Educación</t>
        </is>
      </c>
      <c r="F81" s="0" t="inlineStr">
        <is>
          <t xml:space="preserve">Región del Biobío </t>
        </is>
      </c>
      <c r="G81" s="0"/>
      <c r="H81" s="2">
        <v>46303.608819</v>
      </c>
      <c r="I81" s="2">
        <v>46314.73125</v>
      </c>
      <c r="J81" s="0">
        <v>10</v>
      </c>
      <c r="K81" s="3"/>
      <c r="L81" s="0" t="inlineStr">
        <is>
          <t xml:space="preserve">CLP</t>
        </is>
      </c>
      <c r="M81" s="0" t="inlineStr">
        <is>
          <t xml:space="preserve">LE</t>
        </is>
      </c>
      <c r="N81" s="4" t="inlineStr">
        <is>
          <t xml:space="preserve">Equipos, accesorios y suministros de oficina / Maquinarias, suministros y accesorios de oficina / Máquinas y accesorios para registro de hora y asistencia en la oficina</t>
        </is>
      </c>
      <c r="O81" s="4" t="inlineStr">
        <is>
          <t xml:space="preserve">1 Unidad · Reloj de control</t>
        </is>
      </c>
      <c r="P81" s="2"/>
      <c r="Q81" s="2"/>
      <c r="R81" s="0" t="inlineStr">
        <is>
          <t xml:space="preserve">14 meses</t>
        </is>
      </c>
      <c r="S81" s="0" t="inlineStr">
        <is>
          <t xml:space="preserve">No</t>
        </is>
      </c>
      <c r="T81" s="4"/>
      <c r="U81" s="0" t="inlineStr">
        <is>
          <t xml:space="preserve">Henry Salazar Pastrana</t>
        </is>
      </c>
      <c r="V81" s="4" t="inlineStr">
        <is>
          <t xml:space="preserve">Servicio Arriendo de SOFTWARE de Asistencia Cloud para Establecimientos Educacionales, Jardines, Salas Cunas de la Comuna y Departamento de Educación Municipal, por 14 meses</t>
        </is>
      </c>
      <c r="W81" s="5" t="str">
        <f>HYPERLINK("https://www.mercadopublico.cl/Procurement/Modules/Attachment/ViewAttachment.aspx?enc=CksxCd2vCJF7IbV9Z0kmhgmv32QNVL6H6pjmvgA17tF8TCk%2bLrHVhqg0WV7KayaSbrDK7JEQ%2bBQEcaaLmebiFsCWut5e6oC4LSBPT04RKeovyCNSaBH4TkXLXDcvBha7dLWVROSEhZausehBEV5nr5PsgbbuDd8NfXnHM%2bYANjK8hEqBcG8O86Md8T5kvVOHXpHb%2btxJ3ufHJmeyZ99wIjbpYlGOIutVDM2KdIMs1qFnMF1Pn1ccRbeieKxt3I1Rj6E7KzcE18wrTYgmsU15cWyKHs9QFYuUWDQl1S9CgYPdsacotRZogI%2fsLGlhsZUY","descargar bases")</f>
      </c>
    </row>
    <row r="82">
      <c r="A82" s="0" t="inlineStr">
        <is>
          <t xml:space="preserve">1230869-7-LE26</t>
        </is>
      </c>
      <c r="B82" s="4" t="inlineStr">
        <is>
          <t xml:space="preserve">SERVICIO DE SOFTWARE DE CONTABILIDAD GUBERNAMENTAL</t>
        </is>
      </c>
      <c r="C82" s="0" t="inlineStr">
        <is>
          <t xml:space="preserve">Publicada</t>
        </is>
      </c>
      <c r="D82" s="0" t="inlineStr">
        <is>
          <t xml:space="preserve">Corporación Cultural de La Florida</t>
        </is>
      </c>
      <c r="E82" s="0" t="inlineStr">
        <is>
          <t xml:space="preserve">Corporación Cultural de La Florida</t>
        </is>
      </c>
      <c r="F82" s="0" t="inlineStr">
        <is>
          <t xml:space="preserve">Región Metropolitana de Santiago</t>
        </is>
      </c>
      <c r="G82" s="0" t="inlineStr">
        <is>
          <t xml:space="preserve">La Florida</t>
        </is>
      </c>
      <c r="H82" s="2">
        <v>46302.551852</v>
      </c>
      <c r="I82" s="2">
        <v>46314.83125</v>
      </c>
      <c r="J82" s="0">
        <v>10</v>
      </c>
      <c r="K82" s="3">
        <v>52800000.0</v>
      </c>
      <c r="L82" s="0" t="inlineStr">
        <is>
          <t xml:space="preserve">CLP</t>
        </is>
      </c>
      <c r="M82" s="0" t="inlineStr">
        <is>
          <t xml:space="preserve">LE</t>
        </is>
      </c>
      <c r="N82" s="4" t="inlineStr">
        <is>
          <t xml:space="preserve">Tecnologías de la información, telecomunicaciones y radiodifusión / Software / Software de planificación de recursos empresariales (ERP) y contabilidad financiera</t>
        </is>
      </c>
      <c r="O82" s="4" t="inlineStr">
        <is>
          <t xml:space="preserve">1 Unidad · Programas de contabilidad</t>
        </is>
      </c>
      <c r="P82" s="2"/>
      <c r="Q82" s="2"/>
      <c r="R82" s="0" t="inlineStr">
        <is>
          <t xml:space="preserve">24 meses</t>
        </is>
      </c>
      <c r="S82" s="0" t="inlineStr">
        <is>
          <t xml:space="preserve">No</t>
        </is>
      </c>
      <c r="T82" s="4" t="inlineStr">
        <is>
          <t xml:space="preserve">No se autoriza la subcontratación.</t>
        </is>
      </c>
      <c r="U82" s="0" t="inlineStr">
        <is>
          <t xml:space="preserve">Carolina Lagos</t>
        </is>
      </c>
      <c r="V82" s="4" t="inlineStr">
        <is>
          <t xml:space="preserve">Las presentes bases administrativas especiales, establecen las disposiciones, condiciones y términos que regularán las exigencias para el servicio de software de contabilidad gubernamental para la Corporación Cultural de La Florida, bajo la modalidad de suministro por 24 meses.</t>
        </is>
      </c>
      <c r="W82" s="5" t="str">
        <f>HYPERLINK("https://www.mercadopublico.cl/Procurement/Modules/Attachment/ViewAttachment.aspx?enc=6IrBl6S6CwtBe8%2b5HoL9YlvApD2VISnu4FdDrvcdoh12fTACtzf7h%2bTGsgnghl1%2f9ApPpYQ2NMQMM7r%2bXMUGTtaNEi3GYB9GURjrVLuNZvySYyHtfC4u9iMh72nI2CZOHHzx%2bn%2fY6wkBTCcOJi1r3ZU90Sm%2fKyxrRclPlcSteBJKzoCiWkx4BjvBsrSyj8yASOGDoxM7VHYpgFLQ9wqPTDaLhPoGRPyTIHjxAIXJjkRHKIXv5HfgRshSizNvTN6QzR10zALlqKKShM8NQhJyOZp%2fq0FLm2HOYsTHb9ZlTyZK%2ftwNQh5A5dKvMU1NR65x","descargar bases")</f>
      </c>
    </row>
    <row r="83">
      <c r="A83" s="0" t="inlineStr">
        <is>
          <t xml:space="preserve">1191449-19-LP26</t>
        </is>
      </c>
      <c r="B83" s="4" t="inlineStr">
        <is>
          <t xml:space="preserve">SERVICIOS  DE ADMINIS DE INFRAES CLOUD Y MANTEN AN</t>
        </is>
      </c>
      <c r="C83" s="0" t="inlineStr">
        <is>
          <t xml:space="preserve">Publicada</t>
        </is>
      </c>
      <c r="D83" s="0" t="inlineStr">
        <is>
          <t xml:space="preserve">SERVICIO NACIONAL DEL PATRIMONIO CULTURAL</t>
        </is>
      </c>
      <c r="E83" s="0" t="inlineStr">
        <is>
          <t xml:space="preserve">SUBDIRECCIÓN ARCHIVO NACIONAL DOS</t>
        </is>
      </c>
      <c r="F83" s="0" t="inlineStr">
        <is>
          <t xml:space="preserve">Región Metropolitana de Santiago</t>
        </is>
      </c>
      <c r="G83" s="0" t="inlineStr">
        <is>
          <t xml:space="preserve">Santiago</t>
        </is>
      </c>
      <c r="H83" s="2">
        <v>46294.62088</v>
      </c>
      <c r="I83" s="2">
        <v>46314.833333</v>
      </c>
      <c r="J83" s="0">
        <v>10</v>
      </c>
      <c r="K83" s="3">
        <v>114470000.0</v>
      </c>
      <c r="L83" s="0" t="inlineStr">
        <is>
          <t xml:space="preserve">CLP</t>
        </is>
      </c>
      <c r="M83" s="0" t="inlineStr">
        <is>
          <t xml:space="preserve">LP</t>
        </is>
      </c>
      <c r="N83" s="4" t="inlineStr">
        <is>
          <t xml:space="preserve">Servicios profesionales, administrativos y consultorías de gestión empresarial / Servicios de recursos humanos / Contratación de personal</t>
        </is>
      </c>
      <c r="O83" s="4" t="inlineStr">
        <is>
          <t xml:space="preserve">1 Unidad · Profesionales · 1 Unidad · Profesionales</t>
        </is>
      </c>
      <c r="P83" s="2"/>
      <c r="Q83" s="2"/>
      <c r="R83" s="0" t="inlineStr">
        <is>
          <t xml:space="preserve">12 meses</t>
        </is>
      </c>
      <c r="S83" s="0" t="inlineStr">
        <is>
          <t xml:space="preserve">No</t>
        </is>
      </c>
      <c r="T83"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83" s="0" t="inlineStr">
        <is>
          <t xml:space="preserve">CONSTANZA ACUÑA CERDA</t>
        </is>
      </c>
      <c r="V83" s="4" t="inlineStr">
        <is>
          <t xml:space="preserve">“SERVICIOS PROFESIONALES DE ADMINISTRACIÓN DE INFRAESTRUCTURA CLOUD Y MANTENCIÓN DE SISTEMAS PARA EL ARCHIVO NACIONAL”.</t>
        </is>
      </c>
      <c r="W83" s="5" t="str">
        <f>HYPERLINK("https://www.mercadopublico.cl/Procurement/Modules/Attachment/ViewAttachment.aspx?enc=rFjgHgHHQ74zgv%2f5WzbuVKVSdH45XgE4KRoBUl9VcZC5y1alT9JfgrqJycoghImxXRalpNYbK1QW00rkKaPi%2f4pUylQoglH5YIy%2ft3o9CD6pYy5nTrT%2ffKUYPebAlvXxVctyHWPHLffrkAzm55j3mXnmN5tiOjspYH7UG5s3FS%2fRIfON1%2f9uQG2clMpmDWYIMooz0Lhh09gcN8e8RZ%2bO%2bOUrZcJLGQjkfEWb95f%2f%2bDrKLpKPm0fQP825l0i260o9OP4UTRDwz8xS8k%2b%2fQGWedsrwPBi6YFg4zyAxFvHbKEywIEE%2bJmIMqrqSZN%2fMpnVi","descargar bases")</f>
      </c>
    </row>
    <row r="84">
      <c r="A84" s="0" t="inlineStr">
        <is>
          <t xml:space="preserve">1409-15-LE26</t>
        </is>
      </c>
      <c r="B84" s="4" t="inlineStr">
        <is>
          <t xml:space="preserve">Servicio arriendo red de datos e internet</t>
        </is>
      </c>
      <c r="C84" s="0" t="inlineStr">
        <is>
          <t xml:space="preserve">Publicada</t>
        </is>
      </c>
      <c r="D84" s="0" t="inlineStr">
        <is>
          <t xml:space="preserve">DIRECCION GENERAL DE AERONAUTICA CIVIL</t>
        </is>
      </c>
      <c r="E84" s="0" t="inlineStr">
        <is>
          <t xml:space="preserve">UNIDAD DE COMPRA PUERTO MONTT</t>
        </is>
      </c>
      <c r="F84" s="0" t="inlineStr">
        <is>
          <t xml:space="preserve">Región de los Lagos </t>
        </is>
      </c>
      <c r="G84" s="0" t="inlineStr">
        <is>
          <t xml:space="preserve">Puerto Montt</t>
        </is>
      </c>
      <c r="H84" s="2">
        <v>46294.686956</v>
      </c>
      <c r="I84" s="2">
        <v>46315.416667</v>
      </c>
      <c r="J84" s="0">
        <v>11</v>
      </c>
      <c r="K84" s="3"/>
      <c r="L84" s="0" t="inlineStr">
        <is>
          <t xml:space="preserve">CLP</t>
        </is>
      </c>
      <c r="M84" s="0" t="inlineStr">
        <is>
          <t xml:space="preserve">LE</t>
        </is>
      </c>
      <c r="N84" s="4" t="inlineStr">
        <is>
          <t xml:space="preserve">Servicios basados en ingeniería, ciencias sociales y tecnología de la información / Servicios informáticos / Servicios para internet</t>
        </is>
      </c>
      <c r="O84" s="4" t="inlineStr">
        <is>
          <t xml:space="preserve">36 Mes · Proveedores de servicio de Internet (ISP)</t>
        </is>
      </c>
      <c r="P84" s="2"/>
      <c r="Q84" s="2"/>
      <c r="R84" s="0" t="inlineStr">
        <is>
          <t xml:space="preserve">36 meses</t>
        </is>
      </c>
      <c r="S84" s="0" t="inlineStr">
        <is>
          <t xml:space="preserve">No</t>
        </is>
      </c>
      <c r="T84" s="4"/>
      <c r="U84" s="0" t="inlineStr">
        <is>
          <t xml:space="preserve">Rocio Marin Chambla</t>
        </is>
      </c>
      <c r="V84" s="4" t="inlineStr">
        <is>
          <t xml:space="preserve">se requiere contratar el servicio de arriendo red de datos e internet para el aeropuerto el Tepual de Puerto Montt, por un periodo de 36 meses.</t>
        </is>
      </c>
      <c r="W84" s="5" t="str">
        <f>HYPERLINK("https://www.mercadopublico.cl/Procurement/Modules/Attachment/ViewAttachment.aspx?enc=ozb65Y9e8M7pcWmZh3QcuLb80gbv6iGoXARjMtlp9mVgIVaIMb%2bYPsnqQGqhAUh07OQGn2580yubtRhjEQJHoqdxfuN2KYz7sTy1ZGTE2z6DS%2f9aVFNWOzzaBsaCzUKFTr2QAOE20eA1LP6akWMjsErS%2bzceGu3AoDATh%2bbAze7%2b%2bRWX28Si8O0Fjqf%2fuFWxCzQ8OytqSlksiMQyqHqTvVpZ%2b0%2b5hSPqnHeEgHmR%2bgSwX7dqLtlIY3liTd70GCMOYwcqNXPNKAPCxwc%2bEUP8NG6EbWZ8N9lrLtuHWIEF%2fFgagm5v93VqPm8g2%2fBdTrdc","descargar bases")</f>
      </c>
    </row>
    <row r="85">
      <c r="A85" s="0" t="inlineStr">
        <is>
          <t xml:space="preserve">630-29-LE26</t>
        </is>
      </c>
      <c r="B85" s="4" t="inlineStr">
        <is>
          <t xml:space="preserve">SERVICIO DE GESTIÓN DOCUMENTAL EN MODALIDAD SAAS</t>
        </is>
      </c>
      <c r="C85" s="0" t="inlineStr">
        <is>
          <t xml:space="preserve">Publicada</t>
        </is>
      </c>
      <c r="D85" s="0" t="inlineStr">
        <is>
          <t xml:space="preserve">SUBSECRETARIA DEL TRABAJO</t>
        </is>
      </c>
      <c r="E85" s="0" t="inlineStr">
        <is>
          <t xml:space="preserve">Subsecretaria del Trabajo</t>
        </is>
      </c>
      <c r="F85" s="0" t="inlineStr">
        <is>
          <t xml:space="preserve">Región Metropolitana de Santiago</t>
        </is>
      </c>
      <c r="G85" s="0" t="inlineStr">
        <is>
          <t xml:space="preserve">Santiago</t>
        </is>
      </c>
      <c r="H85" s="2">
        <v>46300.575498</v>
      </c>
      <c r="I85" s="2">
        <v>46315.416667</v>
      </c>
      <c r="J85" s="0">
        <v>11</v>
      </c>
      <c r="K85" s="3">
        <v>40000000.0</v>
      </c>
      <c r="L85" s="0" t="inlineStr">
        <is>
          <t xml:space="preserve">CLP</t>
        </is>
      </c>
      <c r="M85" s="0" t="inlineStr">
        <is>
          <t xml:space="preserve">LE</t>
        </is>
      </c>
      <c r="N85" s="4" t="inlineStr">
        <is>
          <t xml:space="preserve">Tecnologías de la información, telecomunicaciones y radiodifusión / Software / Software de gestión de contenidos</t>
        </is>
      </c>
      <c r="O85" s="4" t="inlineStr">
        <is>
          <t xml:space="preserve">1 Unidad · Programas de gestión de documentos</t>
        </is>
      </c>
      <c r="P85" s="2"/>
      <c r="Q85" s="2"/>
      <c r="R85" s="0" t="inlineStr">
        <is>
          <t xml:space="preserve">12 meses</t>
        </is>
      </c>
      <c r="S85" s="0" t="inlineStr">
        <is>
          <t xml:space="preserve">No</t>
        </is>
      </c>
      <c r="T85"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85" s="0" t="inlineStr">
        <is>
          <t xml:space="preserve">JOSÉ VICENTE ELGUETA</t>
        </is>
      </c>
      <c r="V85"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85" s="5" t="str">
        <f>HYPERLINK("https://www.mercadopublico.cl/Procurement/Modules/Attachment/ViewAttachment.aspx?enc=AZz3aTCgxaCoqGl5v5NLuRcOUnCBXVfzd7ZV2WThnhVdf%2fcMW%2fLcBq3FijMtiGKb9e7gQrGEZ7We7dmDnVTXnDaV1d%2f6cgMfD2gHexFsOzhUr%2bbl5vVofGM5yTni%2f65l6Ez0ebbupj4d3sHeVL3gu%2bgs9eKyBoIQhioNtp7LIiypw8gScDzssejqGmJfU%2fP1UVCVlcn5TlJ03PjMih29mUhOE09G6gMcp2fP8GG85lVRonF%2fxBJmra4ZKFtJM0bk%2bG%2f7qZ9PWU8DxP%2fF0nLOook3IzvLhvuOqerkGZUzv9nfvcet9J4WjdVypDDohwjX","descargar bases")</f>
      </c>
    </row>
    <row r="86">
      <c r="A86" s="0" t="inlineStr">
        <is>
          <t xml:space="preserve">4160-15-LP26</t>
        </is>
      </c>
      <c r="B86" s="4" t="inlineStr">
        <is>
          <t xml:space="preserve">SERV MANTENIMIENTO TRANSMISION DE DATOS CAMARAS</t>
        </is>
      </c>
      <c r="C86" s="0" t="inlineStr">
        <is>
          <t xml:space="preserve">Publicada</t>
        </is>
      </c>
      <c r="D86" s="0" t="inlineStr">
        <is>
          <t xml:space="preserve">MUNICIPALIDAD DE HUALPEN</t>
        </is>
      </c>
      <c r="E86" s="0" t="inlineStr">
        <is>
          <t xml:space="preserve">Secplan</t>
        </is>
      </c>
      <c r="F86" s="0" t="inlineStr">
        <is>
          <t xml:space="preserve">Región del Biobío </t>
        </is>
      </c>
      <c r="G86" s="0" t="inlineStr">
        <is>
          <t xml:space="preserve">Hualpén</t>
        </is>
      </c>
      <c r="H86" s="2">
        <v>46293.499931</v>
      </c>
      <c r="I86" s="2">
        <v>46315.583333</v>
      </c>
      <c r="J86" s="0">
        <v>11</v>
      </c>
      <c r="K86" s="3"/>
      <c r="L86" s="0" t="inlineStr">
        <is>
          <t xml:space="preserve">CLF</t>
        </is>
      </c>
      <c r="M86" s="0" t="inlineStr">
        <is>
          <t xml:space="preserve">LP</t>
        </is>
      </c>
      <c r="N86" s="4" t="inlineStr">
        <is>
          <t xml:space="preserve">Equipos y suministros de defensa, orden público, protección y seguridad / Seguridad, vigilancia y detección / Equipo de vigilancia y detección</t>
        </is>
      </c>
      <c r="O86" s="4" t="inlineStr">
        <is>
          <t xml:space="preserve">48 Mes · Cámaras de seguridad</t>
        </is>
      </c>
      <c r="P86" s="2"/>
      <c r="Q86" s="2"/>
      <c r="R86" s="0" t="inlineStr">
        <is>
          <t xml:space="preserve">48 meses</t>
        </is>
      </c>
      <c r="S86" s="0" t="inlineStr">
        <is>
          <t xml:space="preserve">No</t>
        </is>
      </c>
      <c r="T86" s="4"/>
      <c r="U86" s="0" t="inlineStr">
        <is>
          <t xml:space="preserve">RENE IBAÑEZ RETAMAL</t>
        </is>
      </c>
      <c r="V86" s="4" t="inlineStr">
        <is>
          <t xml:space="preserve">contratación del “SERVICIO DE MANTENIMIENTO, TRANSMISION DE DATOS CAMARAS DE TELEVIGILANCIA HUALPÉN”, para lo cual se deberá considerar un plazo de prestación del servicio de 48 meses corridos.</t>
        </is>
      </c>
      <c r="W86" s="5" t="str">
        <f>HYPERLINK("https://www.mercadopublico.cl/Procurement/Modules/Attachment/ViewAttachment.aspx?enc=vbRL698Mo6k8yUw3d2c0ttwUEhORh%2bPIkoIvqHjbfPmAob3RXbMJOpoIfavgbYbBzJQyuBHKzR4IYgQOzucIZ23cteBNgc2Kn8SMgnTiYqsKZTKcjOd0CNEQ8tjHZ9Pfx4DpZhk3FE9U8CTKpe83VNGfdpOSMBxxYgejp62mE0Vs4cJOS83JWp%2bZVOFp5RfR8r9Unuj94U8WhbNdrLu%2bZh2dyivU3BY5R%2bRESe1k%2fRrOm7ooQbwvroz1qNWUg6zfhbE%2bmSpC8aOYHBamsgnlJTGcE32fj%2b8kpOXvkRxyhhUap%2fjQSlVa1%2b9k9zylwvVW","descargar bases")</f>
      </c>
    </row>
    <row r="87">
      <c r="A87" s="0" t="inlineStr">
        <is>
          <t xml:space="preserve">2122-34-LE26</t>
        </is>
      </c>
      <c r="B87" s="4" t="inlineStr">
        <is>
          <t xml:space="preserve">SOLUCIONES DE INTELIGENCIA ARTIFICIAL</t>
        </is>
      </c>
      <c r="C87" s="0" t="inlineStr">
        <is>
          <t xml:space="preserve">Publicada</t>
        </is>
      </c>
      <c r="D87" s="0" t="inlineStr">
        <is>
          <t xml:space="preserve">SUBSECRETARIA DE SALUD PUBLICA</t>
        </is>
      </c>
      <c r="E87" s="0" t="inlineStr">
        <is>
          <t xml:space="preserve">Seremi de Salud II Región</t>
        </is>
      </c>
      <c r="F87" s="0" t="inlineStr">
        <is>
          <t xml:space="preserve">Región de Antofagasta </t>
        </is>
      </c>
      <c r="G87" s="0" t="inlineStr">
        <is>
          <t xml:space="preserve">Antofagasta</t>
        </is>
      </c>
      <c r="H87" s="2">
        <v>46302.7125</v>
      </c>
      <c r="I87" s="2">
        <v>46315.625</v>
      </c>
      <c r="J87" s="0">
        <v>11</v>
      </c>
      <c r="K87" s="3"/>
      <c r="L87" s="0" t="inlineStr">
        <is>
          <t xml:space="preserve">CLP</t>
        </is>
      </c>
      <c r="M87" s="0" t="inlineStr">
        <is>
          <t xml:space="preserve">LE</t>
        </is>
      </c>
      <c r="N87" s="4" t="inlineStr">
        <is>
          <t xml:space="preserve">Servicios profesionales, administrativos y consultorías de gestión empresarial / Servicios de recursos humanos / Contratación de personal</t>
        </is>
      </c>
      <c r="O87" s="4" t="inlineStr">
        <is>
          <t xml:space="preserve">1 Unidad · Desarrolladores de software</t>
        </is>
      </c>
      <c r="P87" s="2"/>
      <c r="Q87" s="2"/>
      <c r="R87" s="0" t="inlineStr">
        <is>
          <t xml:space="preserve">100 días</t>
        </is>
      </c>
      <c r="S87" s="0" t="inlineStr">
        <is>
          <t xml:space="preserve">No</t>
        </is>
      </c>
      <c r="T87" s="4"/>
      <c r="U87" s="0" t="inlineStr">
        <is>
          <t xml:space="preserve">Crishna Erices</t>
        </is>
      </c>
      <c r="V87"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 de cáncer para la SEREMI de Salud de Antofagasta.</t>
        </is>
      </c>
      <c r="W87" s="5" t="str">
        <f>HYPERLINK("https://www.mercadopublico.cl/Procurement/Modules/Attachment/ViewAttachment.aspx?enc=XFGkjk7m5j5LqtOD7N0nQitEV4LOQck27WVQ5nI70swmoxyIpkQt4RapuKENIrJFa2cfMDojsMNy2LzhqhwxCz0BZBZku53r7JG3U9LEL4D05CiOhhtARvMrC8M3If%2fyn6Awj%2bNxFrPVtmlCPQl2gU0xYjl57194CvptO2hx%2biMmcQ%2bPDY%2b%2bgupp8D8No5pIHAhgbGM%2fIBXjqj0%2beZHvdVzwLMW%2fdb37mI%2f8P8DKU1DNuFhuZxHrIjBVAc6PoNvxWs09f5EgsWurSvp%2bGmyGu%2bvY1nC4oHqQnNKmoyMFHt95W3mrg13thyUMctZI2agP","descargar bases")</f>
      </c>
    </row>
    <row r="88">
      <c r="A88" s="0" t="inlineStr">
        <is>
          <t xml:space="preserve">2981-293-LE26</t>
        </is>
      </c>
      <c r="B88" s="4" t="inlineStr">
        <is>
          <t xml:space="preserve">ADQUISICIÓN DE 100 GPS TRACKER CON PLATAFORMA INTEGRADA GEOESPACIAL Y DE TRAZABILIDAD Y SU RESPECTIVO EQUIPAMIENTO EJECUCIÓN DEL PLAN CALLE SIN VIOLENCIA</t>
        </is>
      </c>
      <c r="C88" s="0" t="inlineStr">
        <is>
          <t xml:space="preserve">Publicada</t>
        </is>
      </c>
      <c r="D88" s="0" t="inlineStr">
        <is>
          <t xml:space="preserve">POLICIA DE INVESTIGACIONES DE CHILE</t>
        </is>
      </c>
      <c r="E88" s="0" t="inlineStr">
        <is>
          <t xml:space="preserve">DEPARTAMENTO ADMINISTRATIVO</t>
        </is>
      </c>
      <c r="F88" s="0" t="inlineStr">
        <is>
          <t xml:space="preserve">Región Metropolitana de Santiago</t>
        </is>
      </c>
      <c r="G88" s="0" t="inlineStr">
        <is>
          <t xml:space="preserve">Santiago Centro</t>
        </is>
      </c>
      <c r="H88" s="2">
        <v>46304.491053</v>
      </c>
      <c r="I88" s="2">
        <v>46315.625</v>
      </c>
      <c r="J88" s="0">
        <v>11</v>
      </c>
      <c r="K88" s="3"/>
      <c r="L88" s="0" t="inlineStr">
        <is>
          <t xml:space="preserve">CLP</t>
        </is>
      </c>
      <c r="M88" s="0" t="inlineStr">
        <is>
          <t xml:space="preserve">LE</t>
        </is>
      </c>
      <c r="N88" s="4" t="inlineStr">
        <is>
          <t xml:space="preserve">Muebles, accesorios, electrodomésticos y productos electrónicos / Equipos y accesorios audiovisuales / Equipos audiovisuales y de electrónica menor</t>
        </is>
      </c>
      <c r="O88" s="4" t="inlineStr">
        <is>
          <t xml:space="preserve">100 Unidad · Receptores GPS</t>
        </is>
      </c>
      <c r="P88" s="2"/>
      <c r="Q88" s="2"/>
      <c r="R88" s="0"/>
      <c r="S88" s="0" t="inlineStr">
        <is>
          <t xml:space="preserve">No</t>
        </is>
      </c>
      <c r="T88" s="4" t="inlineStr">
        <is>
          <t xml:space="preserve">SEGÚN ART. 51 DE RESOLEX N°851 DE 08.OCT.026, DEPADM</t>
        </is>
      </c>
      <c r="U88" s="0" t="inlineStr">
        <is>
          <t xml:space="preserve">DAYANA MORI GONZALEZ</t>
        </is>
      </c>
      <c r="V88" s="4" t="inlineStr">
        <is>
          <t xml:space="preserve">ADQUISICIÓN DE 100 GPS TRACKER CON PLATAFORMA INTEGRADA GEOESPACIAL Y DE TRAZABILIDAD Y SU RESPECTIVO EQUIPAMIENTO EJECUCIÓN DEL PLAN CALLE SIN VIOLENCIA</t>
        </is>
      </c>
      <c r="W88" s="5" t="str">
        <f>HYPERLINK("https://www.mercadopublico.cl/Procurement/Modules/Attachment/ViewAttachment.aspx?enc=azhNuhEMWzwLFz4D%2bDheJayhigumJOH%2brAN0xmQyYGBZCYxNWir92T%2fkzHZrVQKgueNcAXrvKGAbtaGSJx8N36BoPiI0V1oLDE2HZUGqBPM6vFwmPoLHi2YgzyLd%2bgbW87gezO1zcCbq2saWqnaSxbWeEjdgjPiq32J7m82cGNK8uq3HyPOSBYRqZinNQZafalGCKfV%2blcH5l4oTMFFrKDekpJi26fCo8jbUn13Aq155nw3WAmdrQ7rby0iQNHy6dWYeCvhsX423VQxsh46X4Jj%2fq8O%2fM1nU9E29q8uBc7lWgz%2bFN1mrOpEqFvLNQ0ji","descargar bases")</f>
      </c>
    </row>
    <row r="89">
      <c r="A89" s="0" t="inlineStr">
        <is>
          <t xml:space="preserve">1107281-6-LE26</t>
        </is>
      </c>
      <c r="B89" s="4" t="inlineStr">
        <is>
          <t xml:space="preserve">COMPRA SOFTWARE COMPATIBLE CON EQUIPO HPLC AGILENT</t>
        </is>
      </c>
      <c r="C89" s="0" t="inlineStr">
        <is>
          <t xml:space="preserve">Publicada</t>
        </is>
      </c>
      <c r="D89" s="0" t="inlineStr">
        <is>
          <t xml:space="preserve">INIA</t>
        </is>
      </c>
      <c r="E89" s="0" t="inlineStr">
        <is>
          <t xml:space="preserve">CARILLANCA</t>
        </is>
      </c>
      <c r="F89" s="0" t="inlineStr">
        <is>
          <t xml:space="preserve">Región de la Araucanía </t>
        </is>
      </c>
      <c r="G89" s="0" t="inlineStr">
        <is>
          <t xml:space="preserve">Vilcún</t>
        </is>
      </c>
      <c r="H89" s="2">
        <v>46304.465972</v>
      </c>
      <c r="I89" s="2">
        <v>46315.629861</v>
      </c>
      <c r="J89" s="0">
        <v>11</v>
      </c>
      <c r="K89" s="3">
        <v>10400000.0</v>
      </c>
      <c r="L89" s="0" t="inlineStr">
        <is>
          <t xml:space="preserve">CLP</t>
        </is>
      </c>
      <c r="M89" s="0" t="inlineStr">
        <is>
          <t xml:space="preserve">LE</t>
        </is>
      </c>
      <c r="N89" s="4" t="inlineStr">
        <is>
          <t xml:space="preserve">Tecnologías de la información, telecomunicaciones y radiodifusión / Software / Programas de desarrollo</t>
        </is>
      </c>
      <c r="O89" s="4" t="inlineStr">
        <is>
          <t xml:space="preserve">1 Unidad · Software de desarrollo de interfaz gráfica de usuario</t>
        </is>
      </c>
      <c r="P89" s="2"/>
      <c r="Q89" s="2"/>
      <c r="R89" s="0"/>
      <c r="S89" s="0" t="inlineStr">
        <is>
          <t xml:space="preserve">No</t>
        </is>
      </c>
      <c r="T89" s="4"/>
      <c r="U89" s="0" t="inlineStr">
        <is>
          <t xml:space="preserve">ALDO MARCELO ARRIAGADA RÍOS</t>
        </is>
      </c>
      <c r="V89" s="4" t="inlineStr">
        <is>
          <t xml:space="preserve">Se requiere la adquisición de un (1) software compatible de control cromatográfico para su equipo HPLC Agilent existente, incluyendo un computador apto para su instalación y operación. El oferente debe incluir la capacitación al encargado del equipo en INIA, con el fin de realizar análisis de metabolitos secundarios, proteínas, pigmentos y otros compuestos necesarios para una adecuada caracterización de los materiales editados derivados del proyecto Plataforma de edición génica en arveja y trigo</t>
        </is>
      </c>
      <c r="W89" s="5" t="str">
        <f>HYPERLINK("https://www.mercadopublico.cl/Procurement/Modules/Attachment/ViewAttachment.aspx?enc=k6QFz75sAdr85vIX4bPchJ6xLN513ByzHrMpkI7%2bwLaBZ3wdIWp6Eqrzw8CDNkSMcIVUq0LP%2fK4a%2fIzOQ9g5RSV1xzfCsVQR1wjTGHX1VpsqWqGbVSpUXGrKDvVjSjPyXf76q9y7kAe7glUivcVxOJWNTu9ANDLeRFeH1qeXJYPlEetzwlFNOd7akKKRy4OnQ8E2R43yu%2fidpH9TvfSba4t6B%2fcaGMkFJ05P0yIn7cJLGzmc3gFcBkv6Cktyv1KONbvwjyGCieCZvADi%2fuIFIV2vQHxMSzDPW%2f6WnX%2f0NEkC32hwfRwoLBQEUPdx8Lrf","descargar bases")</f>
      </c>
    </row>
    <row r="90">
      <c r="A90" s="0" t="inlineStr">
        <is>
          <t xml:space="preserve">1005498-23-LE26</t>
        </is>
      </c>
      <c r="B90" s="4" t="inlineStr">
        <is>
          <t xml:space="preserve">Servicio de enlace de datos punto a punto alameda-</t>
        </is>
      </c>
      <c r="C90" s="0" t="inlineStr">
        <is>
          <t xml:space="preserve">Publicada</t>
        </is>
      </c>
      <c r="D90" s="0" t="inlineStr">
        <is>
          <t xml:space="preserve">COMISION PARA EL MERCADO FINANCIERO</t>
        </is>
      </c>
      <c r="E90" s="0" t="inlineStr">
        <is>
          <t xml:space="preserve">COMISION PARA EL MERCADO FINANCIERO</t>
        </is>
      </c>
      <c r="F90" s="0" t="inlineStr">
        <is>
          <t xml:space="preserve">Región Metropolitana de Santiago</t>
        </is>
      </c>
      <c r="G90" s="0" t="inlineStr">
        <is>
          <t xml:space="preserve">Santiago Centro</t>
        </is>
      </c>
      <c r="H90" s="2">
        <v>46300.470093</v>
      </c>
      <c r="I90" s="2">
        <v>46315.666667</v>
      </c>
      <c r="J90" s="0">
        <v>11</v>
      </c>
      <c r="K90" s="3">
        <v>16100000.0</v>
      </c>
      <c r="L90" s="0" t="inlineStr">
        <is>
          <t xml:space="preserve">CLP</t>
        </is>
      </c>
      <c r="M90" s="0" t="inlineStr">
        <is>
          <t xml:space="preserve">LE</t>
        </is>
      </c>
      <c r="N90" s="4" t="inlineStr">
        <is>
          <t xml:space="preserve">Servicios básicos y de información pública / Telecomunicaciones / Servicios de telecomunicaciones por circuitos de líneas selectivas y líneas dedicadas arrendadas</t>
        </is>
      </c>
      <c r="O90" s="4" t="inlineStr">
        <is>
          <t xml:space="preserve">1 Unidad · Circuitos de telecomunicaciones digitales punto a punto</t>
        </is>
      </c>
      <c r="P90" s="2"/>
      <c r="Q90" s="2"/>
      <c r="R90" s="0" t="inlineStr">
        <is>
          <t xml:space="preserve">24 meses</t>
        </is>
      </c>
      <c r="S90" s="0" t="inlineStr">
        <is>
          <t xml:space="preserve">No</t>
        </is>
      </c>
      <c r="T90" s="4" t="inlineStr">
        <is>
          <t xml:space="preserve">No se permite.</t>
        </is>
      </c>
      <c r="U90" s="0" t="inlineStr">
        <is>
          <t xml:space="preserve">Jefatura del Departamento de Ingeniería de Sistema</t>
        </is>
      </c>
      <c r="V90" s="4" t="inlineStr">
        <is>
          <t xml:space="preserve">La CMF llama a presentar ofertas en la licitación pública para la contratación del servicio de enlace de datos punto a punto alameda-moneda, según las especificaciones que se han definido en las presentes bases administrativas, técnicas y sus anexos.</t>
        </is>
      </c>
      <c r="W90" s="5" t="str">
        <f>HYPERLINK("https://www.mercadopublico.cl/Procurement/Modules/Attachment/ViewAttachment.aspx?enc=HqOsHJLqrPnURVFamRnTyvc2KPM%2b3bo1GNv8NDI%2b%2bRUbWat46siCMhMhVWKYFSL2zJfcJob%2fjlfAFe8vnYdAF7wYnJP888X97Ri54mgZ1VGfkmnmM8fo%2barsi3RwBBk0GLsrCLcMaxpA0iot8bryrz53JbQl4dLyJU0ujHlpjApUzmXqh7CeiMg4h4xa3BBbogbzNL6lQMlxR9R%2fMzrbJWJA6IumzdYBhkmg05otcd1sX5hJ%2bmbQUumJ9Llk4l%2fGCN%2b9Ab6i9cIJU%2bBFUxUslnSR1dph09it68c5Zb3jdmj3UbFaCBHX70qKMf6JqR%2by","descargar bases")</f>
      </c>
    </row>
    <row r="91">
      <c r="A91" s="0" t="inlineStr">
        <is>
          <t xml:space="preserve">4469-213-L126</t>
        </is>
      </c>
      <c r="B91" s="4" t="inlineStr">
        <is>
          <t xml:space="preserve">S.C. N° 40675(U.F.), LICENCIA WI FI MERAKI MR ENTERPRISE POR 12 MESES. INFORMÁTICA UPLA. AIUE 2655.</t>
        </is>
      </c>
      <c r="C91" s="0" t="inlineStr">
        <is>
          <t xml:space="preserve">Publicada</t>
        </is>
      </c>
      <c r="D91" s="0" t="inlineStr">
        <is>
          <t xml:space="preserve">UNIVERSIDAD DE PLAYA ANCHA DE CIENCIAS DE LA EDUCACION</t>
        </is>
      </c>
      <c r="E91" s="0" t="inlineStr">
        <is>
          <t xml:space="preserve">ADQUISICIONES</t>
        </is>
      </c>
      <c r="F91" s="0" t="inlineStr">
        <is>
          <t xml:space="preserve">Región Metropolitana de Santiago</t>
        </is>
      </c>
      <c r="G91" s="0" t="inlineStr">
        <is>
          <t xml:space="preserve">Santiago</t>
        </is>
      </c>
      <c r="H91" s="2">
        <v>46303.69044</v>
      </c>
      <c r="I91" s="2">
        <v>46315.666667</v>
      </c>
      <c r="J91" s="0">
        <v>11</v>
      </c>
      <c r="K91" s="3">
        <v>4353541.0</v>
      </c>
      <c r="L91" s="0" t="inlineStr">
        <is>
          <t xml:space="preserve">CLP</t>
        </is>
      </c>
      <c r="M91" s="0" t="inlineStr">
        <is>
          <t xml:space="preserve">L1</t>
        </is>
      </c>
      <c r="N91" s="4" t="inlineStr">
        <is>
          <t xml:space="preserve">Tecnologías de la información, telecomunicaciones y radiodifusión / Software / Software de gestión</t>
        </is>
      </c>
      <c r="O91" s="4" t="inlineStr">
        <is>
          <t xml:space="preserve">49 Unidad · Software de sistema experto</t>
        </is>
      </c>
      <c r="P91" s="2"/>
      <c r="Q91" s="2"/>
      <c r="R91" s="0"/>
      <c r="S91" s="0" t="inlineStr">
        <is>
          <t xml:space="preserve">No</t>
        </is>
      </c>
      <c r="T91" s="4"/>
      <c r="U91" s="0"/>
      <c r="V91" s="4" t="inlineStr">
        <is>
          <t xml:space="preserve">S.C. N° 40675(U.F.), LICENCIA WI FI MERAKI MR ENTERPRISE POR 12 MESES. INFORMÁTICA UPLA. AIUE 2655.</t>
        </is>
      </c>
      <c r="W91" s="5" t="str">
        <f>HYPERLINK("https://www.mercadopublico.cl/Procurement/Modules/Attachment/ViewAttachment.aspx?enc=Tr5MK7hPnmZLjLXZwDp%2bOWPele%2f6jL7Dr2W63CktFIsaZBaRCd7FE%2f5D%2fQGXG6iLgmBhzZKJap%2bhb494%2bRyqLhjGhqubT8YQSYRwZo0fqM%2bsLHq4IFsVC9fRVV9iTGl9TYSABFS3kbzx2%2bUMfHULMhkboe%2bAgeUgF%2fp%2fYgKEUn%2bPAlBwoTEJXfF2s7t6XHdHOrRSfL0RRXmjeYR2EX40C3cBRCPsjj0DnPu%2b0iHyEgKhdyhR%2f9i6i5RPRkYLoXFfhDq25uGMr3ZjN8ZFIP9obR3SyiB1KRdm0TZwA8mCFXg3cADtpc9aVMIN5G%2bI2hgd","descargar bases")</f>
      </c>
    </row>
    <row r="92">
      <c r="A92" s="0" t="inlineStr">
        <is>
          <t xml:space="preserve">5482-94-LP26</t>
        </is>
      </c>
      <c r="B92" s="4" t="inlineStr">
        <is>
          <t xml:space="preserve">SERVICIO DE ARRIENDO MANTENCIÓN Y SOPORTE DE PLATAFORMA DOM</t>
        </is>
      </c>
      <c r="C92" s="0" t="inlineStr">
        <is>
          <t xml:space="preserve">Publicada</t>
        </is>
      </c>
      <c r="D92" s="0" t="inlineStr">
        <is>
          <t xml:space="preserve">I MUNICIPALIDAD DE NUNOA</t>
        </is>
      </c>
      <c r="E92" s="0" t="inlineStr">
        <is>
          <t xml:space="preserve">SECPLANUNOA</t>
        </is>
      </c>
      <c r="F92" s="0" t="inlineStr">
        <is>
          <t xml:space="preserve">Región Metropolitana de Santiago</t>
        </is>
      </c>
      <c r="G92" s="0" t="inlineStr">
        <is>
          <t xml:space="preserve">Ñuñoa</t>
        </is>
      </c>
      <c r="H92" s="2">
        <v>46300.418843</v>
      </c>
      <c r="I92" s="2">
        <v>46315.775</v>
      </c>
      <c r="J92" s="0">
        <v>11</v>
      </c>
      <c r="K92" s="3"/>
      <c r="L92" s="0" t="inlineStr">
        <is>
          <t xml:space="preserve">CLP</t>
        </is>
      </c>
      <c r="M92" s="0" t="inlineStr">
        <is>
          <t xml:space="preserve">LP</t>
        </is>
      </c>
      <c r="N92" s="4" t="inlineStr">
        <is>
          <t xml:space="preserve">Tecnologías de la información, telecomunicaciones y radiodifusión / Software / Programas de desarrollo</t>
        </is>
      </c>
      <c r="O92" s="4" t="inlineStr">
        <is>
          <t xml:space="preserve">1 Unidad · Software de desarrollo de plataforma Web</t>
        </is>
      </c>
      <c r="P92" s="2"/>
      <c r="Q92" s="2"/>
      <c r="R92" s="0" t="inlineStr">
        <is>
          <t xml:space="preserve">36 meses</t>
        </is>
      </c>
      <c r="S92" s="0" t="inlineStr">
        <is>
          <t xml:space="preserve">No</t>
        </is>
      </c>
      <c r="T92" s="4"/>
      <c r="U92" s="0" t="inlineStr">
        <is>
          <t xml:space="preserve">Katherine Ayala</t>
        </is>
      </c>
      <c r="V92"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92" s="5" t="str">
        <f>HYPERLINK("https://www.mercadopublico.cl/Procurement/Modules/Attachment/ViewAttachment.aspx?enc=E60dXOQhgFcreGQHamV2uk%2fte4v%2f%2bUUtUyMjWeGRTcgn5mni9SkO%2b8GDQd%2bUWc8XBP8R6DFfO%2fZ4nt8dJfAjhmjjwtKMCaC%2f%2bocuetZf9mvTbFYPvBsHD3UuCIRytm6zYCOULdFSBgDat5W5qPbHbD0zqmuF6tSo4S6I72NXM3xZSvBzFO%2bXD9QodRtwa9gQCEZSf4FP4jreamz0OuZLW90fU7w57EjDrOvhlHUNGfE6FahjW5Z8MfDx%2blMsicHWQ7I3KqaZIX%2fjxBDwHS4rlTumxP9ex6NuyMx%2feYH5erK3bujMSiVfKabiJ7cNZM6i","descargar bases")</f>
      </c>
    </row>
    <row r="93">
      <c r="A93" s="0" t="inlineStr">
        <is>
          <t xml:space="preserve">1080094-17-L126</t>
        </is>
      </c>
      <c r="B93" s="4" t="inlineStr">
        <is>
          <t xml:space="preserve">RADIO PORTÁTIL DIGITAL VHF PARA SAMU</t>
        </is>
      </c>
      <c r="C93" s="0" t="inlineStr">
        <is>
          <t xml:space="preserve">Publicada</t>
        </is>
      </c>
      <c r="D93" s="0" t="inlineStr">
        <is>
          <t xml:space="preserve">SERVICIO DE SALUD MAGALLANES</t>
        </is>
      </c>
      <c r="E93" s="0" t="inlineStr">
        <is>
          <t xml:space="preserve">Bienes y servicios - SAMU</t>
        </is>
      </c>
      <c r="F93" s="0" t="inlineStr">
        <is>
          <t xml:space="preserve">Región de Magallanes y de la Antártica</t>
        </is>
      </c>
      <c r="G93" s="0" t="inlineStr">
        <is>
          <t xml:space="preserve">Punta Arenas</t>
        </is>
      </c>
      <c r="H93" s="2">
        <v>46300.674248</v>
      </c>
      <c r="I93" s="2">
        <v>46315.833333</v>
      </c>
      <c r="J93" s="0">
        <v>11</v>
      </c>
      <c r="K93" s="3">
        <v>2707075.0</v>
      </c>
      <c r="L93" s="0" t="inlineStr">
        <is>
          <t xml:space="preserve">CLP</t>
        </is>
      </c>
      <c r="M93" s="0" t="inlineStr">
        <is>
          <t xml:space="preserve">L1</t>
        </is>
      </c>
      <c r="N93" s="4" t="inlineStr">
        <is>
          <t xml:space="preserve">Muebles, accesorios, electrodomésticos y productos electrónicos / Equipos y accesorios audiovisuales / Equipos audiovisuales y de electrónica menor</t>
        </is>
      </c>
      <c r="O93" s="4" t="inlineStr">
        <is>
          <t xml:space="preserve">20 Unidad · Receptores o transmisores de radiofrecuencia</t>
        </is>
      </c>
      <c r="P93" s="2"/>
      <c r="Q93" s="2"/>
      <c r="R93" s="0"/>
      <c r="S93" s="0" t="inlineStr">
        <is>
          <t xml:space="preserve">No</t>
        </is>
      </c>
      <c r="T93" s="4"/>
      <c r="U93" s="0"/>
      <c r="V93" s="4" t="inlineStr">
        <is>
          <t xml:space="preserve">Se requiere adquirir radios portátiles profesionales para reforzar la disponibilidad de equipos de radiocomunicación del SAMU Magallanes y mantener la continuidad de las comunicaciones operativas entre el Centro Regulador, las bases, las ambulancias y los demás puntos de la red institucional.
Los equipos deberán ser compatibles con la infraestructura radial existente, permitir su utilización en canales analógicos y digitales e interoperar con las radios Motorola actualmente utilizadas por el SAM</t>
        </is>
      </c>
      <c r="W93" s="5" t="str">
        <f>HYPERLINK("https://www.mercadopublico.cl/Procurement/Modules/Attachment/ViewAttachment.aspx?enc=IW0m3Wc4gIh7nsy50YFRQte0p4Z%2bgR5k%2f0Ilm9qItcus4tN%2bZJ7VfFaMgR4AwNujGknV8adI%2fyn843Tk105xaaShxHXBdfbS5ut6sCydDYY%2b5lquVHnym568nzeV6PWYYcsCLystAilzQq0mKOjBiP5Ldiq7Xe5qmqNuJGLuVaUPc0iw2Ycl9exaSdmCQ%2bXxp5SOtf3jZ%2bBvrvQUM8V5zuOZXeh9VFhke5XukuFwflKZVHdfs2fyFeEWHplQ8OV8mywj0KLXSc9JpIRvQWYpqRLzV4XMxg4F4sp49wt6yGOCRc6UHbWYakgaWRCrOpxg","descargar bases")</f>
      </c>
    </row>
    <row r="94">
      <c r="A94" s="0" t="inlineStr">
        <is>
          <t xml:space="preserve">1602-20-LE26</t>
        </is>
      </c>
      <c r="B94" s="4" t="inlineStr">
        <is>
          <t xml:space="preserve">ADQUISICIÓN DE LICENCIAS PARA EQUIPOS DE COMUNICACIONES DE LA RED DE DATOS DE LA DGAC 122 dgv</t>
        </is>
      </c>
      <c r="C94" s="0" t="inlineStr">
        <is>
          <t xml:space="preserve">Publicada</t>
        </is>
      </c>
      <c r="D94" s="0" t="inlineStr">
        <is>
          <t xml:space="preserve">DIRECCION GENERAL DE AERONAUTICA CIVIL</t>
        </is>
      </c>
      <c r="E94" s="0" t="inlineStr">
        <is>
          <t xml:space="preserve">UNIDAD DE COMPRA SERVICIOS GENERALES</t>
        </is>
      </c>
      <c r="F94" s="0" t="inlineStr">
        <is>
          <t xml:space="preserve">Región Metropolitana de Santiago</t>
        </is>
      </c>
      <c r="G94" s="0" t="inlineStr">
        <is>
          <t xml:space="preserve">Providencia</t>
        </is>
      </c>
      <c r="H94" s="2">
        <v>46302.409664</v>
      </c>
      <c r="I94" s="2">
        <v>46316.583333</v>
      </c>
      <c r="J94" s="0">
        <v>12</v>
      </c>
      <c r="K94" s="3">
        <v>50755889.0</v>
      </c>
      <c r="L94" s="0" t="inlineStr">
        <is>
          <t xml:space="preserve">CLP</t>
        </is>
      </c>
      <c r="M94" s="0" t="inlineStr">
        <is>
          <t xml:space="preserve">LE</t>
        </is>
      </c>
      <c r="N94" s="4" t="inlineStr">
        <is>
          <t xml:space="preserve">Tecnologías de la información, telecomunicaciones y radiodifusión / Software / Software de gestión</t>
        </is>
      </c>
      <c r="O94" s="4" t="inlineStr">
        <is>
          <t xml:space="preserve">70 Unidad · Software de gestión de licencias · 70 Unidad · Software de gestión de licencias · 2 Unidad · Software de gestión de licencias</t>
        </is>
      </c>
      <c r="P94" s="2"/>
      <c r="Q94" s="2"/>
      <c r="R94" s="0"/>
      <c r="S94" s="0" t="inlineStr">
        <is>
          <t xml:space="preserve">No</t>
        </is>
      </c>
      <c r="T94" s="4" t="inlineStr">
        <is>
          <t xml:space="preserve">No permite subcontratación
DIRIGIRSE PUNTO: XX DE LA RESOLUCIÓN QUE SE ADJUNTA</t>
        </is>
      </c>
      <c r="U94" s="0" t="inlineStr">
        <is>
          <t xml:space="preserve">Jaime Leighton</t>
        </is>
      </c>
      <c r="V94" s="4" t="inlineStr">
        <is>
          <t xml:space="preserve">Asegurar la continuidad operacional y adecuada administración de la infraestructura de conectividad inalámbrica Aruba actualmente implementada en la Institución, mediante la adquisición del licenciamiento requerido para su operación</t>
        </is>
      </c>
      <c r="W94" s="5" t="str">
        <f>HYPERLINK("https://www.mercadopublico.cl/Procurement/Modules/Attachment/ViewAttachment.aspx?enc=kBDg%2fg4FiSMttPqF3Rl5l8nMZNOHKjXtGbP8V9eAHCNG9Y4gELYUAcBrnV4ZZjDBVp4f3i0Q2GvrlwMJsNmLFSNo2%2f%2bdiCGdimbgwgt9IBBtROxW9VneU0Wt7JPNhKKmzl2J5k%2b5%2fpFvUp7pAHVDLtTdnr0FfIjVNJvXuYq041Befoajo8wODV%2buO7XSaE%2bIUeNntzmvA1z3STc3OONU227t%2bEiVezDyptt5x9NZLrDVkHTOwhiJfo6UsKO74c05LWl9JT0ETIUuC4v%2fUskVob8kSsR1zuItfBjnDNg9ChjTQd8fPGHcj048kgjQzq3J","descargar bases")</f>
      </c>
    </row>
    <row r="95">
      <c r="A95" s="0" t="inlineStr">
        <is>
          <t xml:space="preserve">1153624-24-L126</t>
        </is>
      </c>
      <c r="B95" s="4" t="inlineStr">
        <is>
          <t xml:space="preserve">Servicio de Ordenamiento de Cableado de Datos y Eléctrico en Datacenter y Rack de Comunicaciones</t>
        </is>
      </c>
      <c r="C95" s="0" t="inlineStr">
        <is>
          <t xml:space="preserve">Publicada</t>
        </is>
      </c>
      <c r="D95" s="0" t="inlineStr">
        <is>
          <t xml:space="preserve">SUBSECRETARIA DE RELACIONES ECONOMICAS INTERNACIONALES</t>
        </is>
      </c>
      <c r="E95" s="0" t="inlineStr">
        <is>
          <t xml:space="preserve">Departamento Adquisiciones MN</t>
        </is>
      </c>
      <c r="F95" s="0" t="inlineStr">
        <is>
          <t xml:space="preserve">Región Metropolitana de Santiago</t>
        </is>
      </c>
      <c r="G95" s="0" t="inlineStr">
        <is>
          <t xml:space="preserve">Santiago</t>
        </is>
      </c>
      <c r="H95" s="2">
        <v>46303.678692</v>
      </c>
      <c r="I95" s="2">
        <v>46316.625</v>
      </c>
      <c r="J95" s="0">
        <v>12</v>
      </c>
      <c r="K95" s="3">
        <v>900000.0</v>
      </c>
      <c r="L95" s="0" t="inlineStr">
        <is>
          <t xml:space="preserve">CLP</t>
        </is>
      </c>
      <c r="M95" s="0" t="inlineStr">
        <is>
          <t xml:space="preserve">L1</t>
        </is>
      </c>
      <c r="N95" s="4" t="inlineStr">
        <is>
          <t xml:space="preserve">Tecnologías de la información, telecomunicaciones y radiodifusión / Componentes para tecnología de la información, difusión o telecomunicaciones / Subconjuntos para dispositivos electrónicos</t>
        </is>
      </c>
      <c r="O95" s="4" t="inlineStr">
        <is>
          <t xml:space="preserve">1 Unidad · Conjuntos de cableado</t>
        </is>
      </c>
      <c r="P95" s="2"/>
      <c r="Q95" s="2"/>
      <c r="R95" s="0"/>
      <c r="S95" s="0" t="inlineStr">
        <is>
          <t xml:space="preserve">No</t>
        </is>
      </c>
      <c r="T95" s="4"/>
      <c r="U95" s="0"/>
      <c r="V95" s="4" t="inlineStr">
        <is>
          <t xml:space="preserve">La Subsecretaría de Relaciones Económicas Internacionales invita a participar en el proceso de contratación del servicio de ordenamiento de cableado de datos y eléctrico en   datacenter y rack en el edificio ubicado en San Martín 88.</t>
        </is>
      </c>
      <c r="W95" s="5" t="str">
        <f>HYPERLINK("https://www.mercadopublico.cl/Procurement/Modules/Attachment/ViewAttachment.aspx?enc=rBrBwolzfhGrAsUnAG2ymkmmBnSPGTQTmiiAitRnGOWhf%2fgGIjCS94fJOPzdlb9rcUwQU4o%2fnsPponV9wUOwgLRK7Yy8Afftap%2fYNGYrBMiiknW7iw6PWJQ5jES3RlK5OdktcJ%2bCSwbhVQPeJtZqsDyprNWO0NagZo0KYJL0TJseyYKMy6L4D%2bEbDX68KFKTbjxrCIKs%2b6qhBu0z4cHUz0tMTUHJeqn1NENXuNWD4oLxEIufRPH27byLT664Hb%2bHw%2fZYWP0mtm164Opzh1MJDpP1vq2c8g9St0Czmb11sP4Oo79envjYD%2fJgiJysZCKH","descargar bases")</f>
      </c>
    </row>
    <row r="96">
      <c r="A96" s="0" t="inlineStr">
        <is>
          <t xml:space="preserve">608897-61-LP26</t>
        </is>
      </c>
      <c r="B96" s="4" t="inlineStr">
        <is>
          <t xml:space="preserve">SOPORTE PLATAFORMAS DE INFORMACIÓN AMBIENTAL BIANUAL</t>
        </is>
      </c>
      <c r="C96" s="0" t="inlineStr">
        <is>
          <t xml:space="preserve">Publicada</t>
        </is>
      </c>
      <c r="D96" s="0" t="inlineStr">
        <is>
          <t xml:space="preserve">SUBSECRETARIA DEL MEDIO AMBIENTE</t>
        </is>
      </c>
      <c r="E96" s="0" t="inlineStr">
        <is>
          <t xml:space="preserve">Subsecretaría del Medio Ambiente</t>
        </is>
      </c>
      <c r="F96" s="0" t="inlineStr">
        <is>
          <t xml:space="preserve">Región Metropolitana de Santiago</t>
        </is>
      </c>
      <c r="G96" s="0" t="inlineStr">
        <is>
          <t xml:space="preserve">Santiago</t>
        </is>
      </c>
      <c r="H96" s="2">
        <v>46296.78</v>
      </c>
      <c r="I96" s="2">
        <v>46316.645833</v>
      </c>
      <c r="J96" s="0">
        <v>12</v>
      </c>
      <c r="K96" s="3">
        <v>100000000.0</v>
      </c>
      <c r="L96" s="0" t="inlineStr">
        <is>
          <t xml:space="preserve">CLP</t>
        </is>
      </c>
      <c r="M96" s="0" t="inlineStr">
        <is>
          <t xml:space="preserve">LP</t>
        </is>
      </c>
      <c r="N96" s="4" t="inlineStr">
        <is>
          <t xml:space="preserve">Servicios medioambientales / Gestión medioambiental / Servicios de asesoría medioambiental</t>
        </is>
      </c>
      <c r="O96" s="4" t="inlineStr">
        <is>
          <t xml:space="preserve">1 Unidad · Servicios de asesoría de tecnología medioambiental</t>
        </is>
      </c>
      <c r="P96" s="2"/>
      <c r="Q96" s="2"/>
      <c r="R96" s="0" t="inlineStr">
        <is>
          <t xml:space="preserve">14 meses</t>
        </is>
      </c>
      <c r="S96" s="0" t="inlineStr">
        <is>
          <t xml:space="preserve">No</t>
        </is>
      </c>
      <c r="T96" s="4" t="inlineStr">
        <is>
          <t xml:space="preserve">De acuerdo a lo indicado en punto 27 de bases de licitación</t>
        </is>
      </c>
      <c r="U96" s="0" t="inlineStr">
        <is>
          <t xml:space="preserve">FERNANDO DIAZ</t>
        </is>
      </c>
      <c r="V96"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96" s="5" t="str">
        <f>HYPERLINK("https://www.mercadopublico.cl/Procurement/Modules/Attachment/ViewAttachment.aspx?enc=XXH3jlxemZE1iKm3bnPgvtig7FcL%2b7pRMn%2bROmGCVM6y1SxFWLY%2bgLfYiD0aM67hGKBhNKweC3QddPOwlyqH5YREjSGbfOLzMM%2fy80P5U6X%2f6zMFW0RhPRWiQRVzvqpf3S9bFZVhdwLdoQHa%2b%2fHMoGXZHpiB%2flMhiYOKI8kGYLWjxSkaBqwBhS5V6fZLmm1R7zTm9WzZgjX%2f2i8HZAkkh3jyJkWEBER21AqBpvnaRuGQpUSFCHqQdbUCFAVDM5m8cwfsLqMhZizFV7lUHdHehxpn4s5zsDBFvbDccb1eJzdRmHdz7dQa4vqUC7ICHXrc","descargar bases")</f>
      </c>
    </row>
    <row r="97">
      <c r="A97" s="0" t="inlineStr">
        <is>
          <t xml:space="preserve">1422051-29-LE26</t>
        </is>
      </c>
      <c r="B97" s="4" t="inlineStr">
        <is>
          <t xml:space="preserve">Contratación Servicio Plataforma de Gestión RRHH</t>
        </is>
      </c>
      <c r="C97" s="0" t="inlineStr">
        <is>
          <t xml:space="preserve">Publicada</t>
        </is>
      </c>
      <c r="D97" s="0" t="inlineStr">
        <is>
          <t xml:space="preserve">JUNTA DE ALCALDES PROVIDENCIA LAS CONDES LA REINA</t>
        </is>
      </c>
      <c r="E97" s="0" t="inlineStr">
        <is>
          <t xml:space="preserve">JUNTA DE ALCALDES PROVIDENCIA LAS CONDES LA REINA</t>
        </is>
      </c>
      <c r="F97" s="0" t="inlineStr">
        <is>
          <t xml:space="preserve">Región Metropolitana de Santiago</t>
        </is>
      </c>
      <c r="G97" s="0"/>
      <c r="H97" s="2">
        <v>46301.50103</v>
      </c>
      <c r="I97" s="2">
        <v>46316.729167</v>
      </c>
      <c r="J97" s="0">
        <v>12</v>
      </c>
      <c r="K97" s="3">
        <v>28000000.0</v>
      </c>
      <c r="L97" s="0" t="inlineStr">
        <is>
          <t xml:space="preserve">CLP</t>
        </is>
      </c>
      <c r="M97" s="0" t="inlineStr">
        <is>
          <t xml:space="preserve">LE</t>
        </is>
      </c>
      <c r="N97" s="4" t="inlineStr">
        <is>
          <t xml:space="preserve">Tecnologías de la información, telecomunicaciones y radiodifusión / Software / Software de gestión</t>
        </is>
      </c>
      <c r="O97" s="4" t="inlineStr">
        <is>
          <t xml:space="preserve">1 Unidad · Software de gestión de recursos humanos</t>
        </is>
      </c>
      <c r="P97" s="2"/>
      <c r="Q97" s="2"/>
      <c r="R97" s="0" t="inlineStr">
        <is>
          <t xml:space="preserve">24 meses</t>
        </is>
      </c>
      <c r="S97" s="0" t="inlineStr">
        <is>
          <t xml:space="preserve">No</t>
        </is>
      </c>
      <c r="T97" s="4"/>
      <c r="U97" s="0" t="inlineStr">
        <is>
          <t xml:space="preserve">Hector Fuentealba Riquelme</t>
        </is>
      </c>
      <c r="V97" s="4" t="inlineStr">
        <is>
          <t xml:space="preserve">Implementar una plataforma integral de gestión de personas para la Junta de Alcaldes, orientada a dar solución a los requerimientos derivados de las funciones comunes y diarias de la institución.</t>
        </is>
      </c>
      <c r="W97" s="5" t="str">
        <f>HYPERLINK("https://www.mercadopublico.cl/Procurement/Modules/Attachment/ViewAttachment.aspx?enc=2UY%2bBrxTn7c8Z7nNcMlF%2b1rH5lKVPFv6%2bGVNj0%2biVFmIwtYrs%2fngK6dQrmY4%2fwxpfZVRmBbEZFBWsQAFf0NsTrG%2fqC6eqTKvGxKZSRUg4bc5p%2bU3qxg6cYM4eEKhQ8rqlIibg%2bi7chcyuMM%2b1TCJ1%2fC75BnpQngmNLqRqK%2bqC3p4Sst21q%2fdOen248Hb64lD%2fGtN02OKbfda5SYIHNYjqdvIFnrEUpd%2fFmZ8vIHe72ykKwiEmCxUtDPqaZEDWYYqdmI6a%2fx1%2f%2bjBAOMMiPTY7vhl%2f3z%2f41Nf9X69ccEAZYWoH%2fYj18N%2bB4odLCVlLm3y","descargar bases")</f>
      </c>
    </row>
    <row r="98">
      <c r="A98" s="0" t="inlineStr">
        <is>
          <t xml:space="preserve">4086-48-LP26</t>
        </is>
      </c>
      <c r="B98" s="4" t="inlineStr">
        <is>
          <t xml:space="preserve">SERVICIO DE SISTEMA DE INFORMACIÓN DE LA GESTIÓN</t>
        </is>
      </c>
      <c r="C98" s="0" t="inlineStr">
        <is>
          <t xml:space="preserve">Publicada</t>
        </is>
      </c>
      <c r="D98" s="0" t="inlineStr">
        <is>
          <t xml:space="preserve">I MUNICIPALIDAD DE MAULLIN</t>
        </is>
      </c>
      <c r="E98" s="0" t="inlineStr">
        <is>
          <t xml:space="preserve">Administracion y Finanzas</t>
        </is>
      </c>
      <c r="F98" s="0" t="inlineStr">
        <is>
          <t xml:space="preserve">Región de los Lagos </t>
        </is>
      </c>
      <c r="G98" s="0" t="inlineStr">
        <is>
          <t xml:space="preserve">Maullín</t>
        </is>
      </c>
      <c r="H98" s="2">
        <v>46295.670671</v>
      </c>
      <c r="I98" s="2">
        <v>46317.416667</v>
      </c>
      <c r="J98" s="0">
        <v>13</v>
      </c>
      <c r="K98" s="3">
        <v>202800000.0</v>
      </c>
      <c r="L98" s="0" t="inlineStr">
        <is>
          <t xml:space="preserve">CLP</t>
        </is>
      </c>
      <c r="M98" s="0" t="inlineStr">
        <is>
          <t xml:space="preserve">LP</t>
        </is>
      </c>
      <c r="N98" s="4" t="inlineStr">
        <is>
          <t xml:space="preserve">Tecnologías de la información, telecomunicaciones y radiodifusión / Software / Programas de desarrollo</t>
        </is>
      </c>
      <c r="O98" s="4" t="inlineStr">
        <is>
          <t xml:space="preserve">1 Unidad · Programas de gestión de configuración</t>
        </is>
      </c>
      <c r="P98" s="2"/>
      <c r="Q98" s="2"/>
      <c r="R98" s="0" t="inlineStr">
        <is>
          <t xml:space="preserve">60 meses</t>
        </is>
      </c>
      <c r="S98" s="0" t="inlineStr">
        <is>
          <t xml:space="preserve">No</t>
        </is>
      </c>
      <c r="T98" s="4"/>
      <c r="U98" s="0" t="inlineStr">
        <is>
          <t xml:space="preserve">XIMENA OJEDA</t>
        </is>
      </c>
      <c r="V98" s="4" t="inlineStr">
        <is>
          <t xml:space="preserve">SERVICIO DE MANTENCIÓN, ARRIENDO Y PROVISIÓN DE SISTEMA DE INFORMACIÓN DE LA GESTIÓN MUNICIPAL Y SOPORTE COMPUTACIONAL SEGÚN BASES, ESPECIFICACIONES TÉCNICAS, ANEXOS E ITEM ADJUNTOS.</t>
        </is>
      </c>
      <c r="W98" s="5" t="str">
        <f>HYPERLINK("https://www.mercadopublico.cl/Procurement/Modules/Attachment/ViewAttachment.aspx?enc=xt9BjzoolyUdVmA%2b3U9y%2fwOAp7z3u1YmUcWhqet4FiGv1FiWHMyLlsggxe2YFw%2fDKZIbGhCcU2yJJ%2baPLmyJ7K7Vq8c2WMQOtZlNR5tnyIuC0R%2fGAphiRxYruRJxAx0HmCNPsPTdOWqRxirm5Y1uy2%2bK%2b4iXr%2fqz8V%2bGIjrkUQqP8PJ2oCD99gQA2jTCORCdQnn%2b5QbU4c%2fFs8cN8ltQgL6SPlsjNB%2fif8ZkG6QH%2fb%2b%2bCS8Mdxf5kEeXxN3h0kHceSUCreqTHlrOI7CfpMDosGSLI%2fnVfQeC9RhZ7sFX4x%2fMyYcPnL42KB7hSOhie81D","descargar bases")</f>
      </c>
    </row>
    <row r="99">
      <c r="A99" s="0" t="inlineStr">
        <is>
          <t xml:space="preserve">1469-267-L126</t>
        </is>
      </c>
      <c r="B99" s="4" t="inlineStr">
        <is>
          <t xml:space="preserve">Servicio de Mantenimiento UPS del Centro de Datos en Campus Talca de la Universidad de Talca</t>
        </is>
      </c>
      <c r="C99" s="0" t="inlineStr">
        <is>
          <t xml:space="preserve">Publicada</t>
        </is>
      </c>
      <c r="D99" s="0" t="inlineStr">
        <is>
          <t xml:space="preserve">UNIVERSIDAD DE TALCA</t>
        </is>
      </c>
      <c r="E99" s="0" t="inlineStr">
        <is>
          <t xml:space="preserve">Universidad de Talca</t>
        </is>
      </c>
      <c r="F99" s="0" t="inlineStr">
        <is>
          <t xml:space="preserve">Región del Maule </t>
        </is>
      </c>
      <c r="G99" s="0" t="inlineStr">
        <is>
          <t xml:space="preserve">Talca</t>
        </is>
      </c>
      <c r="H99" s="2">
        <v>46303.7375</v>
      </c>
      <c r="I99" s="2">
        <v>46317.5</v>
      </c>
      <c r="J99" s="0">
        <v>13</v>
      </c>
      <c r="K99" s="3">
        <v>6975100.0</v>
      </c>
      <c r="L99" s="0" t="inlineStr">
        <is>
          <t xml:space="preserve">CLP</t>
        </is>
      </c>
      <c r="M99" s="0" t="inlineStr">
        <is>
          <t xml:space="preserve">L1</t>
        </is>
      </c>
      <c r="N99" s="4" t="inlineStr">
        <is>
          <t xml:space="preserve">Servicios de construcción y mantenimiento / Servicios de atención, mantenimiento y reparaciones de edificios / Servicios eléctricos</t>
        </is>
      </c>
      <c r="O99" s="4" t="inlineStr">
        <is>
          <t xml:space="preserve">1 Unidad · Instalación o servicio de sistemas de energía eléctrica</t>
        </is>
      </c>
      <c r="P99" s="2"/>
      <c r="Q99" s="2"/>
      <c r="R99" s="0"/>
      <c r="S99" s="0" t="inlineStr">
        <is>
          <t xml:space="preserve">No</t>
        </is>
      </c>
      <c r="T99" s="4"/>
      <c r="U99" s="0"/>
      <c r="V99" s="4" t="inlineStr">
        <is>
          <t xml:space="preserve">La Universidad de Talca requiere la realización del servicio de mantenimiento preventivo para la UPS marca Liebert, modelo APM 150K, ubicada en el Centro de Datos, del Campus Talca (Lircay) de la Universidad de Talca.</t>
        </is>
      </c>
      <c r="W99" s="5" t="str">
        <f>HYPERLINK("https://www.mercadopublico.cl/Procurement/Modules/Attachment/ViewAttachment.aspx?enc=kOe2Shp%2fzOUZIDkR%2b%2fqgaymb%2bGTLTUQx6xipGs07CRhdqXtFfDLFmNW8k9ESgHitXVGl%2bWS61k%2buA41qiJRKvlCtKsLtyyh45hGvu%2fqHZ5nmbNWPePuJ5LFEajryrgRTs0GlBnX2SIIjX%2fzN16AFYEbLPNBAA%2fV1zwcdSUDY8dGVewP0HaPd74ny5%2fRunJKhEYAvXbNP3yEx35AWGfrxlaAkAlWZSMK6f8r79FZD7AbQUcxDDcn%2fDmJM%2fMN7%2bSQMm6z1JPiEknaysBn7Xk58%2bRLyXZN2FCS0JcTWrXnOco%2bacBy34Gki936pQKQvE7Uz","descargar bases")</f>
      </c>
    </row>
    <row r="100">
      <c r="A100" s="0" t="inlineStr">
        <is>
          <t xml:space="preserve">1606-34-LE26</t>
        </is>
      </c>
      <c r="B100" s="4" t="inlineStr">
        <is>
          <t xml:space="preserve">Consultoría para la digitalización de rutas de taxis colectivos. Proyecto Apoyo a la estrategia Chilena de transporte sostenible - CLETS Financiado por la GEF e implementado por CAF</t>
        </is>
      </c>
      <c r="C100" s="0" t="inlineStr">
        <is>
          <t xml:space="preserve">Publicada</t>
        </is>
      </c>
      <c r="D100" s="0" t="inlineStr">
        <is>
          <t xml:space="preserve">AGENCIA CHILENA DE COOPERACION INTERNACIONAL PARA EL DESARROLLO</t>
        </is>
      </c>
      <c r="E100" s="0" t="inlineStr">
        <is>
          <t xml:space="preserve">AGCID</t>
        </is>
      </c>
      <c r="F100" s="0" t="inlineStr">
        <is>
          <t xml:space="preserve">Región Metropolitana de Santiago</t>
        </is>
      </c>
      <c r="G100" s="0" t="inlineStr">
        <is>
          <t xml:space="preserve">Santiago</t>
        </is>
      </c>
      <c r="H100" s="2">
        <v>46303.531296</v>
      </c>
      <c r="I100" s="2">
        <v>46317.625</v>
      </c>
      <c r="J100" s="0">
        <v>13</v>
      </c>
      <c r="K100" s="3">
        <v>20000.0</v>
      </c>
      <c r="L100" s="0" t="inlineStr">
        <is>
          <t xml:space="preserve">USD</t>
        </is>
      </c>
      <c r="M100" s="0" t="inlineStr">
        <is>
          <t xml:space="preserve">LE</t>
        </is>
      </c>
      <c r="N100" s="4" t="inlineStr">
        <is>
          <t xml:space="preserve">Servicios profesionales, administrativos y consultorías de gestión empresarial / Consultorías o asesorías en gestión empresarial / Servicios de consultoría en gestión de empresas</t>
        </is>
      </c>
      <c r="O100" s="4" t="inlineStr">
        <is>
          <t xml:space="preserve">1 Unidad · Asesorías en planificación estratégica</t>
        </is>
      </c>
      <c r="P100" s="2"/>
      <c r="Q100" s="2"/>
      <c r="R100" s="0" t="inlineStr">
        <is>
          <t xml:space="preserve">7 meses</t>
        </is>
      </c>
      <c r="S100" s="0" t="inlineStr">
        <is>
          <t xml:space="preserve">No</t>
        </is>
      </c>
      <c r="T100" s="4" t="inlineStr">
        <is>
          <t xml:space="preserve">Según numeral 11.8 de Cesión y subcontratación de la Resolución Exenta de AGCID 305, de fecha 07 de octubre del 2026</t>
        </is>
      </c>
      <c r="U100" s="0" t="inlineStr">
        <is>
          <t xml:space="preserve">Paula Krautz Vargas</t>
        </is>
      </c>
      <c r="V100"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100" s="5" t="str">
        <f>HYPERLINK("https://www.mercadopublico.cl/Procurement/Modules/Attachment/ViewAttachment.aspx?enc=KTl5d0daxUBrDcZO51k3bd6xLKoX2AJq7WSpWjF1xOSKGpL6P7pdQMmXbSObOSPz9g9sbvJf6AmbD43c2oqIHLqcl8MPtwXfv7EvZckGFX%2fzpmkVESzvxuPhNROxfsjXjBzDaxBcGduaAHzdSFdKPHU%2bzVwthJH8AkiwRgH3WNJPzYe0LpltQhcyHDO%2bCSgIpQJZWLjBCw83SxS81EmE5VJXYPltbzjtAWlZjRSjsRdeiaso%2bwaL8DjVbbvCu%2bKaLsr0gd8x7kWkHTHA%2b9RA7dRBuoz2mwMXfSBcivIMpfy8AInFaafY%2fZugyoFfIBJv","descargar bases")</f>
      </c>
    </row>
    <row r="101">
      <c r="A101" s="0" t="inlineStr">
        <is>
          <t xml:space="preserve">617807-79-B226</t>
        </is>
      </c>
      <c r="B101" s="4" t="inlineStr">
        <is>
          <t xml:space="preserve">SERVICIO DE MANTENCIÓN PREVENTIVA Y REPARATIVA DE EQUIPOS DE RAYOS X DIGITAL ARCO C PARA EL HOSPITAL SAN JUAN DE DIOS DE LOS ANDES</t>
        </is>
      </c>
      <c r="C101" s="0" t="inlineStr">
        <is>
          <t xml:space="preserve">Publicada</t>
        </is>
      </c>
      <c r="D101" s="0" t="inlineStr">
        <is>
          <t xml:space="preserve">SERV NAC SALUD HOSPITAL DE LOS ANDES</t>
        </is>
      </c>
      <c r="E101" s="0" t="inlineStr">
        <is>
          <t xml:space="preserve">Hospital San Juan de Dios de Los Andes</t>
        </is>
      </c>
      <c r="F101" s="0" t="inlineStr">
        <is>
          <t xml:space="preserve">Región de Valparaíso </t>
        </is>
      </c>
      <c r="G101" s="0" t="inlineStr">
        <is>
          <t xml:space="preserve">Los Andes</t>
        </is>
      </c>
      <c r="H101" s="2">
        <v>46297.633194</v>
      </c>
      <c r="I101" s="2">
        <v>46317.625</v>
      </c>
      <c r="J101" s="0">
        <v>13</v>
      </c>
      <c r="K101" s="3"/>
      <c r="L101" s="0" t="inlineStr">
        <is>
          <t xml:space="preserve">CLP</t>
        </is>
      </c>
      <c r="M101" s="0" t="inlineStr">
        <is>
          <t xml:space="preserve">B2</t>
        </is>
      </c>
      <c r="N101" s="4" t="inlineStr">
        <is>
          <t xml:space="preserve">Servicios de producción y fabricación industrial / Servicios de apoyo o soporte a la fabricación / Servicios de mantenimiento y reparación de equipo de fabricación</t>
        </is>
      </c>
      <c r="O101" s="4" t="inlineStr">
        <is>
          <t xml:space="preserve">1 Unidad · Servicio de mantenimiento de equipo de fabricación</t>
        </is>
      </c>
      <c r="P101" s="2"/>
      <c r="Q101" s="2"/>
      <c r="R101" s="0" t="inlineStr">
        <is>
          <t xml:space="preserve">36 meses</t>
        </is>
      </c>
      <c r="S101" s="0" t="inlineStr">
        <is>
          <t xml:space="preserve">No</t>
        </is>
      </c>
      <c r="T101" s="4"/>
      <c r="U101" s="0" t="inlineStr">
        <is>
          <t xml:space="preserve">MARCIA MANDIOLA GOMEZ</t>
        </is>
      </c>
      <c r="V101"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101" s="5" t="str">
        <f>HYPERLINK("https://www.mercadopublico.cl/Procurement/Modules/Attachment/ViewAttachment.aspx?enc=ZCXj5VP%2fhARWDFCymBbbH9nLMLyEWCp4kMmf90PeeOyrZi%2fEUKuZyMlksSG%2buI6L%2bZ3goD78WiuRdpuygTaTBstJY9IxlqR6fD7rstClCGgvxMJy2vJbzXoW2NOGjD15yg6xPD7iLrlk3iMXPU5ntB9cavGsqlk8AyIx%2fV9%2fPgg0zFf2WGGKRku%2fecwm%2fQ0%2biYqxuo0zYgoSPISqb%2f1%2beYSjswhMXuJUOOjusNIfUNdVda0euK7Fl6fg6mcWIABxub%2f1TaoxcvVunF4ioaWB1f2yx5DIKcNR29Ux%2bBrZZj1u7NStgm2k1fFe6FiYZg1b","descargar bases")</f>
      </c>
    </row>
    <row r="102">
      <c r="A102" s="0" t="inlineStr">
        <is>
          <t xml:space="preserve">1461054-45-LP26</t>
        </is>
      </c>
      <c r="B102" s="4" t="inlineStr">
        <is>
          <t xml:space="preserve">PLATAFORMA DE GESTIÓN EDUCACIONAL PARA 77 E.E</t>
        </is>
      </c>
      <c r="C102" s="0" t="inlineStr">
        <is>
          <t xml:space="preserve">Publicada</t>
        </is>
      </c>
      <c r="D102" s="0" t="inlineStr">
        <is>
          <t xml:space="preserve">SERVICIO LOCAL DE EDUCACIÓN PÚBLICA DEL ELQUI</t>
        </is>
      </c>
      <c r="E102" s="0" t="inlineStr">
        <is>
          <t xml:space="preserve">P02 Establecimientos Educacionales</t>
        </is>
      </c>
      <c r="F102" s="0" t="inlineStr">
        <is>
          <t xml:space="preserve">Región de Coquimbo </t>
        </is>
      </c>
      <c r="G102" s="0" t="inlineStr">
        <is>
          <t xml:space="preserve">La Serena</t>
        </is>
      </c>
      <c r="H102" s="2">
        <v>46288.638889</v>
      </c>
      <c r="I102" s="2">
        <v>46317.645833</v>
      </c>
      <c r="J102" s="0">
        <v>13</v>
      </c>
      <c r="K102" s="3">
        <v>290234736.0</v>
      </c>
      <c r="L102" s="0" t="inlineStr">
        <is>
          <t xml:space="preserve">CLP</t>
        </is>
      </c>
      <c r="M102" s="0" t="inlineStr">
        <is>
          <t xml:space="preserve">LP</t>
        </is>
      </c>
      <c r="N102" s="4" t="inlineStr">
        <is>
          <t xml:space="preserve">Tecnologías de la información, telecomunicaciones y radiodifusión / Software / Software de consultas y gestión de datos</t>
        </is>
      </c>
      <c r="O102" s="4" t="inlineStr">
        <is>
          <t xml:space="preserve">1 Unidad · Software del sistema de administración de bases de datos</t>
        </is>
      </c>
      <c r="P102" s="2"/>
      <c r="Q102" s="2"/>
      <c r="R102" s="0" t="inlineStr">
        <is>
          <t xml:space="preserve">36 meses</t>
        </is>
      </c>
      <c r="S102" s="0" t="inlineStr">
        <is>
          <t xml:space="preserve">No</t>
        </is>
      </c>
      <c r="T102"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02" s="0" t="inlineStr">
        <is>
          <t xml:space="preserve">Francisca Pérez García</t>
        </is>
      </c>
      <c r="V102"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102" s="5" t="str">
        <f>HYPERLINK("https://www.mercadopublico.cl/Procurement/Modules/Attachment/ViewAttachment.aspx?enc=6mn8cfeA4EpGzVzcXx%2fufj29Zagl%2bMo2T8q4j6LHHawOIJhrnj6fW%2fLsPL8j02705qviCxLIKAP6ikZ04fKNY9NnFMHTmQ58S241mhDZ9tS2cj%2buX4RdHCKbVkf%2fMKJLwJWzaOyYhGR4A3ZvvyqMNjapo%2be13SuaAqva7KYU1sYr7tfhceWDQEHX7wQRp3vRiEyphPnFUfMrHgpw5lTpB76p3JGWOE%2fE%2bBxPDdea03u1yUpJks793YkVzVPLkLCNkSHmJVLpHdro7kCg3fhzdBMCeoI0rqmnsRMMNEcAU1d9%2brlat%2bH4GHCyL1KYARKj","descargar bases")</f>
      </c>
    </row>
    <row r="103">
      <c r="A103" s="0" t="inlineStr">
        <is>
          <t xml:space="preserve">3348-9-LE26</t>
        </is>
      </c>
      <c r="B103" s="4" t="inlineStr">
        <is>
          <t xml:space="preserve">Servicio de Arriendo de Tótem Gestor de Filas</t>
        </is>
      </c>
      <c r="C103" s="0" t="inlineStr">
        <is>
          <t xml:space="preserve">Publicada</t>
        </is>
      </c>
      <c r="D103" s="0" t="inlineStr">
        <is>
          <t xml:space="preserve">DIVISION LOGISTICA DEL EJERCITO</t>
        </is>
      </c>
      <c r="E103" s="0" t="inlineStr">
        <is>
          <t xml:space="preserve">Centro Clínico Militar "Arica"</t>
        </is>
      </c>
      <c r="F103" s="0" t="inlineStr">
        <is>
          <t xml:space="preserve">Región de Arica y Parinacota</t>
        </is>
      </c>
      <c r="G103" s="0" t="inlineStr">
        <is>
          <t xml:space="preserve">Arica</t>
        </is>
      </c>
      <c r="H103" s="2">
        <v>46302.699063</v>
      </c>
      <c r="I103" s="2">
        <v>46317.666667</v>
      </c>
      <c r="J103" s="0">
        <v>13</v>
      </c>
      <c r="K103" s="3">
        <v>7200000.0</v>
      </c>
      <c r="L103" s="0" t="inlineStr">
        <is>
          <t xml:space="preserve">CLP</t>
        </is>
      </c>
      <c r="M103" s="0" t="inlineStr">
        <is>
          <t xml:space="preserve">LE</t>
        </is>
      </c>
      <c r="N103" s="4" t="inlineStr">
        <is>
          <t xml:space="preserve">Tecnologías de la información, telecomunicaciones y radiodifusión / Equipos informáticos y accesorios / Pantallas o monitores de computador</t>
        </is>
      </c>
      <c r="O103" s="4" t="inlineStr">
        <is>
          <t xml:space="preserve">1 Unidad · Monitores de pantalla táctil</t>
        </is>
      </c>
      <c r="P103" s="2"/>
      <c r="Q103" s="2"/>
      <c r="R103" s="0" t="inlineStr">
        <is>
          <t xml:space="preserve">24 meses</t>
        </is>
      </c>
      <c r="S103" s="0" t="inlineStr">
        <is>
          <t xml:space="preserve">No</t>
        </is>
      </c>
      <c r="T103" s="4" t="inlineStr">
        <is>
          <t xml:space="preserve">a.El adjudicatario no podrá ceder ni transferir en forma alguna, sea total o parcialmente, los derechos y obligaciones que nacen con ocasión de la presente Licitación y del contrato que en definitiva se suscriba, salvo que sea posible una norma legal e</t>
        </is>
      </c>
      <c r="U103" s="0" t="inlineStr">
        <is>
          <t xml:space="preserve">Victor Gomez Vuch</t>
        </is>
      </c>
      <c r="V103" s="4" t="inlineStr">
        <is>
          <t xml:space="preserve">Contratar el “Servicio de arriendo de tótem gestor de filas” a 24 meses de duración, para la gestión de filas de atención del hall del servicio de medicina de esta Instalación de Salud.</t>
        </is>
      </c>
      <c r="W103" s="5" t="str">
        <f>HYPERLINK("https://www.mercadopublico.cl/Procurement/Modules/Attachment/ViewAttachment.aspx?enc=JBzvwbVJ5FmQvc%2fxNs4f0d30xOPNycKduFgqY93AgcX5gMoW8%2bi3%2fOYm%2bRuYvEo1IISSoHM4YWh0aDa6Q%2fHIe39D%2bDhyGGfJZa%2follvjvBpQBRtzuTh1LKCOmyWnnOuiry1B8WIYSNIvwqprZ7kNF7NgqgvP1%2f7PGyWKPFEUyYYVVPb4BMUi1z0IviiTqjgW2oAVV%2bIsjEoapiHIja1IUoHdoeMjfB9hV9BCFUinWxXDnc18nGmvbUfJ9Blv1C%2bZYMzuDxIgJgF0enIrjXgsAkIqZnsIayTojw5IOLIp7iSJNYnPyI327iyu1Msg2vIW","descargar bases")</f>
      </c>
    </row>
    <row r="104">
      <c r="A104" s="0" t="inlineStr">
        <is>
          <t xml:space="preserve">948354-140-LR26</t>
        </is>
      </c>
      <c r="B104" s="4" t="inlineStr">
        <is>
          <t xml:space="preserve">CONTRATACIÓN DE UNA SOLUCIÓN INTEGRAL RIS-PACS INCLUYENDO LA PROVISIÓN DE SERVICIOS SOFTWARE HARDWARE E INFRAESTRUCTURA TECNOLÓGICA PARA EL SERVICIO DE IMAGENOLOGÍA DEL HOSPITAL DIPRECA</t>
        </is>
      </c>
      <c r="C104" s="0" t="inlineStr">
        <is>
          <t xml:space="preserve">Publicada</t>
        </is>
      </c>
      <c r="D104" s="0" t="inlineStr">
        <is>
          <t xml:space="preserve">FONDO HOSPITAL DE LA DIRECCION DE PREVISION DE CARABINEROS DE CHILE</t>
        </is>
      </c>
      <c r="E104" s="0" t="inlineStr">
        <is>
          <t xml:space="preserve">Unidad de Compra de Bienes y Servicios</t>
        </is>
      </c>
      <c r="F104" s="0" t="inlineStr">
        <is>
          <t xml:space="preserve">Región Metropolitana de Santiago</t>
        </is>
      </c>
      <c r="G104" s="0" t="inlineStr">
        <is>
          <t xml:space="preserve">Las Condes</t>
        </is>
      </c>
      <c r="H104" s="2">
        <v>46287.400255</v>
      </c>
      <c r="I104" s="2">
        <v>46317.666667</v>
      </c>
      <c r="J104" s="0">
        <v>13</v>
      </c>
      <c r="K104" s="3">
        <v>3310000000.0</v>
      </c>
      <c r="L104" s="0" t="inlineStr">
        <is>
          <t xml:space="preserve">CLP</t>
        </is>
      </c>
      <c r="M104" s="0" t="inlineStr">
        <is>
          <t xml:space="preserve">LR</t>
        </is>
      </c>
      <c r="N104" s="4" t="inlineStr">
        <is>
          <t xml:space="preserve">Equipamiento y suministros médicos / Productos para imágenes y de medicina nuclear / Artículos para archivar información e imágenes radiológicas</t>
        </is>
      </c>
      <c r="O104" s="4" t="inlineStr">
        <is>
          <t xml:space="preserve">60 Mes · Sistemas informatizados de archivado de imágenes (PACS) médicos</t>
        </is>
      </c>
      <c r="P104" s="2"/>
      <c r="Q104" s="2"/>
      <c r="R104" s="0" t="inlineStr">
        <is>
          <t xml:space="preserve">60 meses</t>
        </is>
      </c>
      <c r="S104" s="0" t="inlineStr">
        <is>
          <t xml:space="preserve">No</t>
        </is>
      </c>
      <c r="T104" s="4"/>
      <c r="U104" s="0" t="inlineStr">
        <is>
          <t xml:space="preserve">Dra. Constanza Damm Araneda</t>
        </is>
      </c>
      <c r="V104"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04" s="5" t="str">
        <f>HYPERLINK("https://www.mercadopublico.cl/Procurement/Modules/Attachment/ViewAttachment.aspx?enc=ipN%2bRkRtDdvNL4BAeYhh2qNXvn3CIFYg2CFhwvuCZugb0ymI3Kf7hoGzCSXprATAW%2bUSEg2CcEUdOFsRszJxswvcO5BPWkfQizU3jOs6WqZnR4eVqkKy4wB5jxIXEgEhhDVTlfR6UoDj4PsvXnq87mkwCc8f7VaaWBJFvfXu4is6GQuYoEi8VUXu76vd0WTCa6st5FNpNf7echCGAm8%2bVpAXRyUYbe8Qp%2bnJBqTM2irkMib2yYVavw%2fknzmUz7UsqTIrqqBdZnzEsMdYK5Ws0gYoUvghOVnXt120HNMRumzzfNN3ghJxZbK5dgh%2bHty4","descargar bases")</f>
      </c>
    </row>
    <row r="105">
      <c r="A105" s="0" t="inlineStr">
        <is>
          <t xml:space="preserve">5148-13-LP26</t>
        </is>
      </c>
      <c r="B105" s="4" t="inlineStr">
        <is>
          <t xml:space="preserve">ADQUISICIÓN SERVIDORES PARA PLATAFORMA IA DEL MP</t>
        </is>
      </c>
      <c r="C105" s="0" t="inlineStr">
        <is>
          <t xml:space="preserve">Publicada</t>
        </is>
      </c>
      <c r="D105" s="0" t="inlineStr">
        <is>
          <t xml:space="preserve">MINISTERIO PUBLICO</t>
        </is>
      </c>
      <c r="E105" s="0" t="inlineStr">
        <is>
          <t xml:space="preserve">Fiscalía Nacional</t>
        </is>
      </c>
      <c r="F105" s="0" t="inlineStr">
        <is>
          <t xml:space="preserve">Región Metropolitana de Santiago</t>
        </is>
      </c>
      <c r="G105" s="0" t="inlineStr">
        <is>
          <t xml:space="preserve">Santiago Centro</t>
        </is>
      </c>
      <c r="H105" s="2">
        <v>46301.729387</v>
      </c>
      <c r="I105" s="2">
        <v>46317.708333</v>
      </c>
      <c r="J105" s="0">
        <v>13</v>
      </c>
      <c r="K105" s="3"/>
      <c r="L105" s="0" t="inlineStr">
        <is>
          <t xml:space="preserve">USD</t>
        </is>
      </c>
      <c r="M105" s="0" t="inlineStr">
        <is>
          <t xml:space="preserve">LP</t>
        </is>
      </c>
      <c r="N105" s="4" t="inlineStr">
        <is>
          <t xml:space="preserve">Tecnologías de la información, telecomunicaciones y radiodifusión / Equipos informáticos y accesorios / Computadores</t>
        </is>
      </c>
      <c r="O105" s="4" t="inlineStr">
        <is>
          <t xml:space="preserve">1 Unidad · Servidores · 1 Unidad · Servidores</t>
        </is>
      </c>
      <c r="P105" s="2"/>
      <c r="Q105" s="2"/>
      <c r="R105" s="0"/>
      <c r="S105" s="0" t="inlineStr">
        <is>
          <t xml:space="preserve">No</t>
        </is>
      </c>
      <c r="T105" s="4" t="inlineStr">
        <is>
          <t xml:space="preserve">Los derechos y obligaciones que nacen con ocasión del desarrollo de esta licitación serán intransferibles. El contratante no podrá concertar con terceros la ejecución parcial del contrato. Por lo anterior, no procederá la subcontratación de servicios.</t>
        </is>
      </c>
      <c r="U105" s="0" t="inlineStr">
        <is>
          <t xml:space="preserve">RICHARD ROJAS CASTEX</t>
        </is>
      </c>
      <c r="V105" s="4" t="inlineStr">
        <is>
          <t xml:space="preserve">El MINISTERIO PÚBLICO necesita adquirir dos (2) servidores para su Plataforma de Inteligencia Artificial, con soporte incluido por 36 meses, para permitir el normal y eficiente desarrollo de las actividades propias de la División de Informática del Ministerio Público.</t>
        </is>
      </c>
      <c r="W105" s="5" t="str">
        <f>HYPERLINK("https://www.mercadopublico.cl/Procurement/Modules/Attachment/ViewAttachment.aspx?enc=f3USrq6lPq11rnJiNY41qs2uup6VOZcG0tN0lcGilEeJpLIwqz1912ViUMbhlDJe3wkWYAR1DH8fYXZRsvhkAm%2fMMHJiwZEPabxMajeWfWMX1IBGxCo1b7eMCKC%2fR1IUfWstFLtFW7n26hA8N2FOtShKlFsyECn9vw%2br9i4SNwAYFQWH8UQTyqo9T473vZAbokT3HYCzpOY7I0zR%2f4pEJGim1LV2dCvHX6Cxyedna78cwPlJER%2bFSMZSzGOvR6RpCVBpKrA8wXnUI7gyp%2fjrAIyjFGkuuYZYdR4qvK02hRCjaflHcWr2IIrXGv1VQJPF","descargar bases")</f>
      </c>
    </row>
    <row r="106">
      <c r="A106" s="0" t="inlineStr">
        <is>
          <t xml:space="preserve">598-26-LE26</t>
        </is>
      </c>
      <c r="B106" s="4" t="inlineStr">
        <is>
          <t xml:space="preserve">Licencia Automatización de Procesos IFM por 36 mes</t>
        </is>
      </c>
      <c r="C106" s="0" t="inlineStr">
        <is>
          <t xml:space="preserve">Publicada</t>
        </is>
      </c>
      <c r="D106" s="0" t="inlineStr">
        <is>
          <t xml:space="preserve">DIRECCION PREVISION DE CARABINEROS DE CHILE</t>
        </is>
      </c>
      <c r="E106" s="0" t="inlineStr">
        <is>
          <t xml:space="preserve">Unidad de Abastecimiento DIPRECA</t>
        </is>
      </c>
      <c r="F106" s="0" t="inlineStr">
        <is>
          <t xml:space="preserve">Región Metropolitana de Santiago</t>
        </is>
      </c>
      <c r="G106" s="0" t="inlineStr">
        <is>
          <t xml:space="preserve">Santiago</t>
        </is>
      </c>
      <c r="H106" s="2">
        <v>46304.477535</v>
      </c>
      <c r="I106" s="2">
        <v>46318.395833</v>
      </c>
      <c r="J106" s="0">
        <v>14</v>
      </c>
      <c r="K106" s="3">
        <v>24000000.0</v>
      </c>
      <c r="L106" s="0" t="inlineStr">
        <is>
          <t xml:space="preserve">CLP</t>
        </is>
      </c>
      <c r="M106" s="0" t="inlineStr">
        <is>
          <t xml:space="preserve">LE</t>
        </is>
      </c>
      <c r="N106" s="4" t="inlineStr">
        <is>
          <t xml:space="preserve">Tecnologías de la información, telecomunicaciones y radiodifusión / Software / Software de gestión</t>
        </is>
      </c>
      <c r="O106" s="4" t="inlineStr">
        <is>
          <t xml:space="preserve">1 Unidad · Software de gestión de licencias</t>
        </is>
      </c>
      <c r="P106" s="2"/>
      <c r="Q106" s="2"/>
      <c r="R106" s="0"/>
      <c r="S106" s="0" t="inlineStr">
        <is>
          <t xml:space="preserve">No</t>
        </is>
      </c>
      <c r="T106" s="4"/>
      <c r="U106" s="0" t="inlineStr">
        <is>
          <t xml:space="preserve">Alex Saavedra</t>
        </is>
      </c>
      <c r="V106" s="4" t="inlineStr">
        <is>
          <t xml:space="preserve">Se requiere contratar el servicio de suscripción y licenciamiento de la plataforma de
Automatización de Procesos IFM por un período de 36 meses, destinada a gestionar y ejecutar
de forma automatizada el envío masivo de correos electrónicos con las boletas de pago de
pensiones adjuntas para los beneficiarios de la Dirección de Previsión de Carabineros de Chile.</t>
        </is>
      </c>
      <c r="W106" s="5" t="str">
        <f>HYPERLINK("https://www.mercadopublico.cl/Procurement/Modules/Attachment/ViewAttachment.aspx?enc=kCvF2ZjOUFWLja5i66bmrnNphOjb6sgBNdC5ZUrUMSt1Dfx4DXNkxlODF8vczpnWUN19LAfmPndHIU23Yo21zcVCbCBnojqbTaYWtgJOhyfuzDRZ%2fyXRh2QrVlEcd63UgTzitychrBbVDnfMLo4wGAirUn6vgPMFywL1piSuFoCw6IWh%2bnXruHSLLn%2bXEICiihuFt2QfWId6eOszXMZPSbrckh2Z1Z5qrfRNTSZd%2fzPkMfL4ik4CUhpl5T07vFEhc5%2bN0ne%2b4kgRtKaBXdYxDpdTm4JFSD3bpq5SuM9qVPkNgFHu6bzDglmzCV0VU8HD","descargar bases")</f>
      </c>
    </row>
    <row r="107">
      <c r="A107" s="0" t="inlineStr">
        <is>
          <t xml:space="preserve">976-15-O126</t>
        </is>
      </c>
      <c r="B107" s="4" t="inlineStr">
        <is>
          <t xml:space="preserve">Ampliación Plataformas Comercial y General Ad. El Loa</t>
        </is>
      </c>
      <c r="C107" s="0" t="inlineStr">
        <is>
          <t xml:space="preserve">Publicada</t>
        </is>
      </c>
      <c r="D107" s="0" t="inlineStr">
        <is>
          <t xml:space="preserve">MINISTERIO DE OBRAS PUBLICAS DIREC CION GRAL DE OO PP DCYF</t>
        </is>
      </c>
      <c r="E107" s="0" t="inlineStr">
        <is>
          <t xml:space="preserve">Dirección de Aeropuertos - MOPTT</t>
        </is>
      </c>
      <c r="F107" s="0" t="inlineStr">
        <is>
          <t xml:space="preserve">Región de Antofagasta </t>
        </is>
      </c>
      <c r="G107" s="0" t="inlineStr">
        <is>
          <t xml:space="preserve">Santiago</t>
        </is>
      </c>
      <c r="H107" s="2">
        <v>46265.341667</v>
      </c>
      <c r="I107" s="2">
        <v>46318.458333</v>
      </c>
      <c r="J107" s="0">
        <v>14</v>
      </c>
      <c r="K107" s="3"/>
      <c r="L107" s="0" t="inlineStr">
        <is>
          <t xml:space="preserve">CLP</t>
        </is>
      </c>
      <c r="M107" s="0" t="inlineStr">
        <is>
          <t xml:space="preserve">O1</t>
        </is>
      </c>
      <c r="N107" s="4" t="inlineStr">
        <is>
          <t xml:space="preserve">Consultoria / Consultoria / Planificación y Factibilidad</t>
        </is>
      </c>
      <c r="O107" s="4" t="inlineStr">
        <is>
          <t xml:space="preserve">1 Unidad · Licitación Pública de Obra</t>
        </is>
      </c>
      <c r="P107" s="2"/>
      <c r="Q107" s="2"/>
      <c r="R107" s="0"/>
      <c r="S107" s="0" t="inlineStr">
        <is>
          <t xml:space="preserve">No</t>
        </is>
      </c>
      <c r="T107" s="4"/>
      <c r="U107" s="0"/>
      <c r="V107" s="4" t="inlineStr">
        <is>
          <t xml:space="preserve">Esta Dirección necesita llamar a licitación para contratar la obra Ampliación Plataformas Comercial y General Aeródromo El Loa.</t>
        </is>
      </c>
      <c r="W107" s="5" t="str">
        <f>HYPERLINK("https://www.mercadopublico.cl/Procurement/Modules/Attachment/ViewAttachment.aspx?enc=rUZqkEbGo%2fFR1LIRxTx%2fAejv2opY8d4L0w36MoPzu642hpqcSRVIs2xeutgMEyhCrJt2kG9ofGoUXE8q1Xd%2fxMrD7bCPY6vX5TPCfEGQTgpPb8vsgorXxJksGQTsszue7vuwnXSeHE30lXQ8i0tF9I0MfNE%2fXUEg%2bA2MvUDw3Ig%2bsDPdVukHuGrXU0gv8FzxwqXbyMIhDRBwUc%2fDbww%2bdHF9zPJz6H7w3nTqdajoDMk1BQqbPf7PCovnyabkN7u4xjpPm8XOizIVs8xMX7ZHuXqUQS2nrjfetuPbq7W22iwgS%2fUs2W3tVk6EHw3kheww","descargar bases")</f>
      </c>
    </row>
    <row r="108">
      <c r="A108" s="0" t="inlineStr">
        <is>
          <t xml:space="preserve">2667-71-LR26</t>
        </is>
      </c>
      <c r="B108" s="4" t="inlineStr">
        <is>
          <t xml:space="preserve">ARRIENDO SOPORTE Y MANTENCIÓN DE CENTRAL TELEFONICA IP TELEFONOS IP Y PLATAFORMA DE CONTACT CENTER</t>
        </is>
      </c>
      <c r="C108" s="0" t="inlineStr">
        <is>
          <t xml:space="preserve">Publicada</t>
        </is>
      </c>
      <c r="D108" s="0" t="inlineStr">
        <is>
          <t xml:space="preserve">I MUNICIPALIDAD DE VITACURA</t>
        </is>
      </c>
      <c r="E108" s="0" t="inlineStr">
        <is>
          <t xml:space="preserve">SECPLA</t>
        </is>
      </c>
      <c r="F108" s="0" t="inlineStr">
        <is>
          <t xml:space="preserve">Región Metropolitana de Santiago</t>
        </is>
      </c>
      <c r="G108" s="0" t="inlineStr">
        <is>
          <t xml:space="preserve">Vitacura</t>
        </is>
      </c>
      <c r="H108" s="2">
        <v>46282.54353</v>
      </c>
      <c r="I108" s="2">
        <v>46318.625</v>
      </c>
      <c r="J108" s="0">
        <v>14</v>
      </c>
      <c r="K108" s="3"/>
      <c r="L108" s="0" t="inlineStr">
        <is>
          <t xml:space="preserve">CLF</t>
        </is>
      </c>
      <c r="M108" s="0" t="inlineStr">
        <is>
          <t xml:space="preserve">LR</t>
        </is>
      </c>
      <c r="N108" s="4" t="inlineStr">
        <is>
          <t xml:space="preserve">Equipos y suministros de defensa, orden público, protección y seguridad / Seguridad, vigilancia y detección / Equipo de vigilancia y detección</t>
        </is>
      </c>
      <c r="O108" s="4" t="inlineStr">
        <is>
          <t xml:space="preserve">1 Global · Sistemas de alarma</t>
        </is>
      </c>
      <c r="P108" s="2"/>
      <c r="Q108" s="2"/>
      <c r="R108" s="0" t="inlineStr">
        <is>
          <t xml:space="preserve">48 meses</t>
        </is>
      </c>
      <c r="S108" s="0" t="inlineStr">
        <is>
          <t xml:space="preserve">No</t>
        </is>
      </c>
      <c r="T108" s="4"/>
      <c r="U108" s="0" t="inlineStr">
        <is>
          <t xml:space="preserve">Gonzalo Fuentes Osses</t>
        </is>
      </c>
      <c r="V108"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08" s="5" t="str">
        <f>HYPERLINK("https://www.mercadopublico.cl/Procurement/Modules/Attachment/ViewAttachment.aspx?enc=ZI9eYkswbJQjt0YpAQLRT4ijfxRRr3LLZ5j%2fLgMEf9U%2bY3aHdRolo1vrBiZhYh%2fAlCBLMPwrx%2fPNwYk1s3ClqIUiJ3D8XGOHmXNLGiFLNFnHFgVu2AE0TgJScyFnBE17fwigJGF0dzfenLd8H6iMIwlkuuW%2fN5OaZzU1bdWFWPjJBCgG7BgpA37oxKSs1Yx6Z3h60fbi359BXIWx59RQLE92rJi1DjXTaRxs3VpHTPvwrKe5NMZIxfb6uViTsHEP4WqsmGMkOYILzSIkOGBuiWe%2byF8rzUh9VpkbWZpdsKzJD7oiXYiMcQkZuxbSEe%2fK","descargar bases")</f>
      </c>
    </row>
    <row r="109">
      <c r="A109" s="0" t="inlineStr">
        <is>
          <t xml:space="preserve">608-197-LR26</t>
        </is>
      </c>
      <c r="B109" s="4" t="inlineStr">
        <is>
          <t xml:space="preserve">SERVICIO DE OPERACIÓN MANTENIMIENTO Y ACTUALIZACIÓN DE PLATAFORMAS TECNOLÓGICAS DE LA SALA DE CONTROL CENTRALIZADO DEL HOSPITAL DR. GUSTAVO FRICKE</t>
        </is>
      </c>
      <c r="C109" s="0" t="inlineStr">
        <is>
          <t xml:space="preserve">Publicada</t>
        </is>
      </c>
      <c r="D109" s="0" t="inlineStr">
        <is>
          <t xml:space="preserve">HOSPITAL DR GUSTAVO FRICKE DE VINA DEL MAR</t>
        </is>
      </c>
      <c r="E109" s="0" t="inlineStr">
        <is>
          <t xml:space="preserve">Hospital Dr. Gustavo Fricke</t>
        </is>
      </c>
      <c r="F109" s="0" t="inlineStr">
        <is>
          <t xml:space="preserve">Región de Valparaíso </t>
        </is>
      </c>
      <c r="G109" s="0"/>
      <c r="H109" s="2">
        <v>46279.504861</v>
      </c>
      <c r="I109" s="2">
        <v>46318.686806</v>
      </c>
      <c r="J109" s="0">
        <v>14</v>
      </c>
      <c r="K109" s="3">
        <v>675433201.0</v>
      </c>
      <c r="L109" s="0" t="inlineStr">
        <is>
          <t xml:space="preserve">CLP</t>
        </is>
      </c>
      <c r="M109" s="0" t="inlineStr">
        <is>
          <t xml:space="preserve">LR</t>
        </is>
      </c>
      <c r="N109" s="4" t="inlineStr">
        <is>
          <t xml:space="preserve">Servicios basados en ingeniería, ciencias sociales y tecnología de la información / Servicios informáticos / Ingeniería en computación e informática</t>
        </is>
      </c>
      <c r="O109" s="4" t="inlineStr">
        <is>
          <t xml:space="preserve">1 Unidad · Integración de sistemas</t>
        </is>
      </c>
      <c r="P109" s="2"/>
      <c r="Q109" s="2"/>
      <c r="R109" s="0" t="inlineStr">
        <is>
          <t xml:space="preserve">17 meses</t>
        </is>
      </c>
      <c r="S109" s="0" t="inlineStr">
        <is>
          <t xml:space="preserve">No</t>
        </is>
      </c>
      <c r="T109" s="4"/>
      <c r="U109" s="0" t="inlineStr">
        <is>
          <t xml:space="preserve">SE DEFINIRÁ AL MOMENTO DE ADJUDICAR PROCESO</t>
        </is>
      </c>
      <c r="V109" s="4" t="inlineStr">
        <is>
          <t xml:space="preserve">Que la unidad de control centralizado integra plataformas tecnológicas y de comunicación complejas que
permiten el monitoreo constante y reacción inmediata ante incidentes y respuesta en tiempo real frente a
emergencias.</t>
        </is>
      </c>
      <c r="W109" s="5" t="str">
        <f>HYPERLINK("https://www.mercadopublico.cl/Procurement/Modules/Attachment/ViewAttachment.aspx?enc=1Dxe7ej4lLMnOXQq4qomt%2bV42Y70HN%2b0t0m%2bhSZ4Akl2Aa4jwj6SOFN7YSVOIcgLBPT%2f%2fVbU%2beRLwiCcurbQagDKc%2bAFp9umNLLHGpT%2bsT2L84ry%2fvzbAbVnPuAWTwgIIwcISJEYEExDGlQkXCiHBLDn6bpccFP8cDtyFrNUGSeV8DHvGCPj3s57cgrfVb%2b3MWT0C37%2fZ%2bF43%2bBZAD9hjIGIi5v6ijlyYeuJAGPtKJOWWkRCQsdZ5M%2bAVwjQgrnfr80sWfdBVhltZfUquRj0F0a69hB9fKeDPG3V0xEO9TpkSatk8umIvvCy4oyV1WR7","descargar bases")</f>
      </c>
    </row>
    <row r="110">
      <c r="A110" s="0" t="inlineStr">
        <is>
          <t xml:space="preserve">577290-4-LP26</t>
        </is>
      </c>
      <c r="B110" s="4" t="inlineStr">
        <is>
          <t xml:space="preserve">RENOVACIÓN Y ADQUISICIÓN DE LICENCIAS DE SOFTWARE</t>
        </is>
      </c>
      <c r="C110" s="0" t="inlineStr">
        <is>
          <t xml:space="preserve">Publicada</t>
        </is>
      </c>
      <c r="D110" s="0" t="inlineStr">
        <is>
          <t xml:space="preserve">SUBSECRETARIA DE TRANSPORTES</t>
        </is>
      </c>
      <c r="E110" s="0" t="inlineStr">
        <is>
          <t xml:space="preserve">Subsidio Nacional Transporte Publico</t>
        </is>
      </c>
      <c r="F110" s="0" t="inlineStr">
        <is>
          <t xml:space="preserve">Región Metropolitana de Santiago</t>
        </is>
      </c>
      <c r="G110" s="0" t="inlineStr">
        <is>
          <t xml:space="preserve">Santiago Centro</t>
        </is>
      </c>
      <c r="H110" s="2">
        <v>46301.443924</v>
      </c>
      <c r="I110" s="2">
        <v>46321.625</v>
      </c>
      <c r="J110" s="0">
        <v>17</v>
      </c>
      <c r="K110" s="3">
        <v>74076010.0</v>
      </c>
      <c r="L110" s="0" t="inlineStr">
        <is>
          <t xml:space="preserve">CLP</t>
        </is>
      </c>
      <c r="M110" s="0" t="inlineStr">
        <is>
          <t xml:space="preserve">LP</t>
        </is>
      </c>
      <c r="N110" s="4" t="inlineStr">
        <is>
          <t xml:space="preserve">Tecnologías de la información, telecomunicaciones y radiodifusión / Software / Software de gestión</t>
        </is>
      </c>
      <c r="O110" s="4" t="inlineStr">
        <is>
          <t xml:space="preserve">4 Unidad · Software de gestión de licencias · 1 Unidad · Software de gestión de licencias · 4 Unidad · Software de gestión de licencias · y 3 más</t>
        </is>
      </c>
      <c r="P110" s="2"/>
      <c r="Q110" s="2"/>
      <c r="R110" s="0"/>
      <c r="S110" s="0" t="inlineStr">
        <is>
          <t xml:space="preserve">No</t>
        </is>
      </c>
      <c r="T110" s="4" t="inlineStr">
        <is>
          <t xml:space="preserve">VER NUMERAL 2.34 SUBCONTRATACIÓN</t>
        </is>
      </c>
      <c r="U110" s="0" t="inlineStr">
        <is>
          <t xml:space="preserve">Mauricio Segovia Briceño</t>
        </is>
      </c>
      <c r="V110"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110" s="5" t="str">
        <f>HYPERLINK("https://www.mercadopublico.cl/Procurement/Modules/Attachment/ViewAttachment.aspx?enc=JFhbUvzY7yrDYAdStj8l9CIpXLhN1CsSYUZKoo1zeK2ABWyOshYJ8Q28%2fHZBOIFa%2fKwEgTeZgQhmaRC68j5PiRTjESD%2f0WrVteNorzc1KuiQnZFFce8CxmHR3jnGc1PXw3z3GxAg0BWOXvntZq2JexN5dY9d5DoHFxyo5w6bXr2IFfWqZ2m97SyxR%2f6de9yVAMQJHFqqFuDuTBxk50bpJs%2fnBIKXTWKCGY5lXe2Fz3a8kfBlPWROA5okrVqKWC0bUHS59IQjCaN6AgSKDWFfi9zLwx3NJbc7NHger0ibB2NQT06AYBGLzr4VWQHXpK7z","descargar bases")</f>
      </c>
    </row>
    <row r="111">
      <c r="A111" s="0" t="inlineStr">
        <is>
          <t xml:space="preserve">3047-60-LE26</t>
        </is>
      </c>
      <c r="B111" s="4" t="inlineStr">
        <is>
          <t xml:space="preserve">EQUIPAMIENTO INFORMÁTICO PARA IMPLEMENTAR SERVIDOR EN EL CENTRO DE INNOVACIÓN TECNOLÓGICA DE LA ARMADA</t>
        </is>
      </c>
      <c r="C111" s="0" t="inlineStr">
        <is>
          <t xml:space="preserve">Publicada</t>
        </is>
      </c>
      <c r="D111" s="0" t="inlineStr">
        <is>
          <t xml:space="preserve">DIRECCION DE ABASTECIMIENTO DE LA ARMADA</t>
        </is>
      </c>
      <c r="E111" s="0" t="inlineStr">
        <is>
          <t xml:space="preserve">ACADEMIA POLITECNICA NAVAL</t>
        </is>
      </c>
      <c r="F111" s="0" t="inlineStr">
        <is>
          <t xml:space="preserve">Región de Valparaíso </t>
        </is>
      </c>
      <c r="G111" s="0"/>
      <c r="H111" s="2">
        <v>46303.664468</v>
      </c>
      <c r="I111" s="2">
        <v>46321.625</v>
      </c>
      <c r="J111" s="0">
        <v>17</v>
      </c>
      <c r="K111" s="3">
        <v>60000000.0</v>
      </c>
      <c r="L111" s="0" t="inlineStr">
        <is>
          <t xml:space="preserve">CLP</t>
        </is>
      </c>
      <c r="M111" s="0" t="inlineStr">
        <is>
          <t xml:space="preserve">LE</t>
        </is>
      </c>
      <c r="N111" s="4" t="inlineStr">
        <is>
          <t xml:space="preserve">Tecnologías de la información, telecomunicaciones y radiodifusión / Equipos informáticos y accesorios / Computadores</t>
        </is>
      </c>
      <c r="O111" s="4" t="inlineStr">
        <is>
          <t xml:space="preserve">1 Unidad · Servidores</t>
        </is>
      </c>
      <c r="P111" s="2"/>
      <c r="Q111" s="2"/>
      <c r="R111" s="0"/>
      <c r="S111" s="0" t="inlineStr">
        <is>
          <t xml:space="preserve">No</t>
        </is>
      </c>
      <c r="T111" s="4"/>
      <c r="U111" s="0" t="inlineStr">
        <is>
          <t xml:space="preserve">FRANCISCO LAYMUNS HEILMAIER</t>
        </is>
      </c>
      <c r="V111" s="4" t="inlineStr">
        <is>
          <t xml:space="preserve">EQUIPAMIENTO INFORMÁTICO PARA IMPLEMENTAR SERVIDOR EN EL CENTRO DE INNOVACIÓN TECNOLÓGICA DE LA ARMADA</t>
        </is>
      </c>
      <c r="W111" s="5" t="str">
        <f>HYPERLINK("https://www.mercadopublico.cl/Procurement/Modules/Attachment/ViewAttachment.aspx?enc=B4P8ozZG6cdXE1StYulUo75ToJNSg59N7bHn8qiOnxfbHbLxCF3RSmDGUdUeC4xd2lWnlab9ron8va1jM%2f%2bAQxgE%2bvtozkhMymDEkI%2fO2oN2NQQeACSiVmPwuzeIIcqGnKTEkGUbp9vYOnzmgd%2fGSuX6FeHnPg3d%2f2yKRNhrJaDWAzDGgAyrZHmepmRdtQT3YA94nKasOclTwgJvUfJh4FNcBuwZWk8c%2fSdLidqt2UIvyfNtthppNzNB%2bDsUHNcAxulXEMBeZXCzVcg4cMzsVYAsKmSP1s5BaP8vNM55Pf8K6dMF99j7F1JOJMP9tWH2","descargar bases")</f>
      </c>
    </row>
    <row r="112">
      <c r="A112" s="0" t="inlineStr">
        <is>
          <t xml:space="preserve">5482-101-LR26</t>
        </is>
      </c>
      <c r="B112" s="4" t="inlineStr">
        <is>
          <t xml:space="preserve">Plataforma IA para video y seguridad urbana</t>
        </is>
      </c>
      <c r="C112" s="0" t="inlineStr">
        <is>
          <t xml:space="preserve">Publicada</t>
        </is>
      </c>
      <c r="D112" s="0" t="inlineStr">
        <is>
          <t xml:space="preserve">I MUNICIPALIDAD DE NUNOA</t>
        </is>
      </c>
      <c r="E112" s="0" t="inlineStr">
        <is>
          <t xml:space="preserve">SECPLANUNOA</t>
        </is>
      </c>
      <c r="F112" s="0" t="inlineStr">
        <is>
          <t xml:space="preserve">Región Metropolitana de Santiago</t>
        </is>
      </c>
      <c r="G112" s="0" t="inlineStr">
        <is>
          <t xml:space="preserve">Ñuñoa</t>
        </is>
      </c>
      <c r="H112" s="2">
        <v>46275.729861</v>
      </c>
      <c r="I112" s="2">
        <v>46321.625694</v>
      </c>
      <c r="J112" s="0">
        <v>17</v>
      </c>
      <c r="K112" s="3"/>
      <c r="L112" s="0" t="inlineStr">
        <is>
          <t xml:space="preserve">CLF</t>
        </is>
      </c>
      <c r="M112" s="0" t="inlineStr">
        <is>
          <t xml:space="preserve">LR</t>
        </is>
      </c>
      <c r="N112" s="4" t="inlineStr">
        <is>
          <t xml:space="preserve">Tecnologías de la información, telecomunicaciones y radiodifusión / Software / Programas de desarrollo</t>
        </is>
      </c>
      <c r="O112" s="4" t="inlineStr">
        <is>
          <t xml:space="preserve">1 Global · Software de desarrollo de plataforma Web · 26 Mes · Software de desarrollo de plataforma Web</t>
        </is>
      </c>
      <c r="P112" s="2"/>
      <c r="Q112" s="2"/>
      <c r="R112" s="0" t="inlineStr">
        <is>
          <t xml:space="preserve">26 meses</t>
        </is>
      </c>
      <c r="S112" s="0" t="inlineStr">
        <is>
          <t xml:space="preserve">No</t>
        </is>
      </c>
      <c r="T112" s="4"/>
      <c r="U112" s="0" t="inlineStr">
        <is>
          <t xml:space="preserve">Katherinne Ayala</t>
        </is>
      </c>
      <c r="V112"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12" s="5" t="str">
        <f>HYPERLINK("https://www.mercadopublico.cl/Procurement/Modules/Attachment/ViewAttachment.aspx?enc=3hpoZFhN%2fIW6mWQL82lnb2foC4%2bCDH6zKPq%2bhY4bHF5uDRrq1Y2UxHItvd6TFP1Xcu1K%2bknWid858botVH8Z%2fNo4o6qr0lr8tTTzH69OBeGBF%2fOi5aRFhLHPKItdOiABHv24JRQOW%2b8GlybeRZNuZzBk9Q4sJe2jP0Q3NsGyqGKNFQC73ReQ%2fLul%2bG7LFHz6iAgZUiXsC5MyhM4PpZjCLtOfXsgsEJg7GTnBPb4RPBWgeLFhtQyNgJTcXaqAgpNWfkhF6wyflqU8zyRA9FeyMUbdlqAViemsyyvepffClNfmfJBOFQVJCkDwBa%2fWAN%2f7","descargar bases")</f>
      </c>
    </row>
    <row r="113">
      <c r="A113" s="0" t="inlineStr">
        <is>
          <t xml:space="preserve">2342-36-LR26</t>
        </is>
      </c>
      <c r="B113" s="4" t="inlineStr">
        <is>
          <t xml:space="preserve">CONCESIÓN DE ESTACIONAMIENTOS EN CALLES DE LA ZONA CENTRO DE LA COMUNA DE SAN BERNARDO APLICANDO SISTEMA DE CONTROL DE TIEMPO DE USO CAPTADORES DE DATOS</t>
        </is>
      </c>
      <c r="C113" s="0" t="inlineStr">
        <is>
          <t xml:space="preserve">Publicada</t>
        </is>
      </c>
      <c r="D113" s="0" t="inlineStr">
        <is>
          <t xml:space="preserve">I MUNICIPALIDAD DE SAN BERNARDO</t>
        </is>
      </c>
      <c r="E113" s="0" t="inlineStr">
        <is>
          <t xml:space="preserve">SECRETARIA COMUNAL DE PLANIFICACION</t>
        </is>
      </c>
      <c r="F113" s="0" t="inlineStr">
        <is>
          <t xml:space="preserve">Región Metropolitana de Santiago</t>
        </is>
      </c>
      <c r="G113" s="0" t="inlineStr">
        <is>
          <t xml:space="preserve">San Bernardo</t>
        </is>
      </c>
      <c r="H113" s="2">
        <v>46289.68978</v>
      </c>
      <c r="I113" s="2">
        <v>46321.625694</v>
      </c>
      <c r="J113" s="0">
        <v>17</v>
      </c>
      <c r="K113" s="3"/>
      <c r="L113" s="0" t="inlineStr">
        <is>
          <t xml:space="preserve">UTM</t>
        </is>
      </c>
      <c r="M113" s="0" t="inlineStr">
        <is>
          <t xml:space="preserve">LR</t>
        </is>
      </c>
      <c r="N113" s="4" t="inlineStr">
        <is>
          <t xml:space="preserve">Servicios de transporte, almacenaje y correo / Servicios de mantención o reparaciones de transportes / Combustible para vehículos de transporte, estacionamiento y otros servicios de apoyo</t>
        </is>
      </c>
      <c r="O113" s="4" t="inlineStr">
        <is>
          <t xml:space="preserve">1 Unidad · Estacionamientos</t>
        </is>
      </c>
      <c r="P113" s="2"/>
      <c r="Q113" s="2"/>
      <c r="R113" s="0" t="inlineStr">
        <is>
          <t xml:space="preserve">36 meses</t>
        </is>
      </c>
      <c r="S113" s="0" t="inlineStr">
        <is>
          <t xml:space="preserve">No</t>
        </is>
      </c>
      <c r="T113" s="4"/>
      <c r="U113" s="0" t="inlineStr">
        <is>
          <t xml:space="preserve">JUAN CARLOS CABRERA CAMPOS</t>
        </is>
      </c>
      <c r="V113" s="4" t="inlineStr">
        <is>
          <t xml:space="preserve">CONCESIÓN DE ESTACIONAMIENTOS EN CALLES DE LA ZONA CENTRO DE LA COMUNA DE SAN BERNARDO, APLICANDO SISTEMA DE CONTROL DE TIEMPO DE USO CAPTADORES DE DATOS</t>
        </is>
      </c>
      <c r="W113" s="5" t="str">
        <f>HYPERLINK("https://www.mercadopublico.cl/Procurement/Modules/Attachment/ViewAttachment.aspx?enc=Whtlki9zmrDySe3YAwOSGFuMw3Q46u8SMvb6g8viGlSu40OEcGaPbZkWX%2bRF1BNIzmrQDrS27gx77lMcFZlweV%2f%2fHQQtblBVxtTP5DFnudNXT77NpnFFEn1FhnSdM%2fGX6VxbFfIXHGCXtnbOjFphx0UIj6six2lyPmv8sZR%2fT%2fdq7beGLsyExv8VX6R6Gfx9%2bNdch6Mw3Hw%2fP2FnNadlsFt630ZxW4za%2bodR%2f5X1mqx%2fKoIyoLPXbJ2hj6fznzUIh8dF1qd138HD6Gy%2fUKIzM8Uc695xZJMvzSAfvmvYjB5VDgtQqCcK8Bim5%2bMNHBGV","descargar bases")</f>
      </c>
    </row>
    <row r="114">
      <c r="A114" s="0" t="inlineStr">
        <is>
          <t xml:space="preserve">1622-22-LP26</t>
        </is>
      </c>
      <c r="B114" s="4" t="inlineStr">
        <is>
          <t xml:space="preserve">ARRIENDO SISTEMA DE INFORMACIÓN DE LABORATORIO HSV</t>
        </is>
      </c>
      <c r="C114" s="0" t="inlineStr">
        <is>
          <t xml:space="preserve">Publicada</t>
        </is>
      </c>
      <c r="D114" s="0" t="inlineStr">
        <is>
          <t xml:space="preserve">SERVICIO DE SALUD HOSPITAL DE SAN VICENTE DE TAGUA TAGUA</t>
        </is>
      </c>
      <c r="E114" s="0" t="inlineStr">
        <is>
          <t xml:space="preserve">Hospital de San Vicente de Tagua Tagua</t>
        </is>
      </c>
      <c r="F114" s="0" t="inlineStr">
        <is>
          <t xml:space="preserve">Región del Libertador General Bernardo O´Higgins</t>
        </is>
      </c>
      <c r="G114" s="0" t="inlineStr">
        <is>
          <t xml:space="preserve">San Vicente de Tagua Tagua</t>
        </is>
      </c>
      <c r="H114" s="2">
        <v>46301.633356</v>
      </c>
      <c r="I114" s="2">
        <v>46321.645833</v>
      </c>
      <c r="J114" s="0">
        <v>17</v>
      </c>
      <c r="K114" s="3"/>
      <c r="L114" s="0" t="inlineStr">
        <is>
          <t xml:space="preserve">CLP</t>
        </is>
      </c>
      <c r="M114" s="0" t="inlineStr">
        <is>
          <t xml:space="preserve">LP</t>
        </is>
      </c>
      <c r="N114" s="4" t="inlineStr">
        <is>
          <t xml:space="preserve">Tecnologías de la información, telecomunicaciones y radiodifusión / Software / Software de consultas y gestión de datos</t>
        </is>
      </c>
      <c r="O114" s="4" t="inlineStr">
        <is>
          <t xml:space="preserve">1 Unidad · Software del sistema de administración de bases de datos</t>
        </is>
      </c>
      <c r="P114" s="2"/>
      <c r="Q114" s="2"/>
      <c r="R114" s="0" t="inlineStr">
        <is>
          <t xml:space="preserve">36 meses</t>
        </is>
      </c>
      <c r="S114" s="0" t="inlineStr">
        <is>
          <t xml:space="preserve">No</t>
        </is>
      </c>
      <c r="T114" s="4"/>
      <c r="U114" s="0" t="inlineStr">
        <is>
          <t xml:space="preserve">ANIBAL DONOSO MARTIN</t>
        </is>
      </c>
      <c r="V114"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114" s="5" t="str">
        <f>HYPERLINK("https://www.mercadopublico.cl/Procurement/Modules/Attachment/ViewAttachment.aspx?enc=3uhJTboAIF0eO9o9Q5DqFX1T3ju6qwKTlKKkR23%2bSWyzaRWeHyghr%2f%2f74n1Yx5s5xyvYUECbZvmnSqKG5BG0rErEVFntmUMxe%2fwfEUB12nolzYNlmiL943nHeTCKTld5wds2Y9sHqc8YsVVsoq8YnDucTP8hL2zQoKgyE0o1gUqXx4BIKsLpsYXMNsFBjDKtlzUMN%2bvXa6NYsKbpiWIpGc1IQ05DkKXLW5eExiFycFUkJIkTYdvIDsEd5KUlwy%2f0%2bwyN%2bGLnr5mfTpfGUVZAznKjA%2b0IRqqoMKfQ3iIQ8OAvUbaDkAkbetzYqkmZOK84","descargar bases")</f>
      </c>
    </row>
    <row r="115">
      <c r="A115" s="0" t="inlineStr">
        <is>
          <t xml:space="preserve">2403-73-LR26</t>
        </is>
      </c>
      <c r="B115" s="4" t="inlineStr">
        <is>
          <t xml:space="preserve">Servicios de conectividad telecomunicaciones operación de infraestructura y gestión de ciberseguridad.</t>
        </is>
      </c>
      <c r="C115" s="0" t="inlineStr">
        <is>
          <t xml:space="preserve">Publicada</t>
        </is>
      </c>
      <c r="D115" s="0" t="inlineStr">
        <is>
          <t xml:space="preserve">I MUNICIPALIDAD DE PENALOLEN</t>
        </is>
      </c>
      <c r="E115" s="0" t="inlineStr">
        <is>
          <t xml:space="preserve">I.MUNICIPALIDAD DE PEÑALOLEN</t>
        </is>
      </c>
      <c r="F115" s="0" t="inlineStr">
        <is>
          <t xml:space="preserve">Región Metropolitana de Santiago</t>
        </is>
      </c>
      <c r="G115" s="0" t="inlineStr">
        <is>
          <t xml:space="preserve">Peñalolén</t>
        </is>
      </c>
      <c r="H115" s="2">
        <v>46288.605347</v>
      </c>
      <c r="I115" s="2">
        <v>46321.645833</v>
      </c>
      <c r="J115" s="0">
        <v>17</v>
      </c>
      <c r="K115" s="3">
        <v>1910656000.0</v>
      </c>
      <c r="L115" s="0" t="inlineStr">
        <is>
          <t xml:space="preserve">CLP</t>
        </is>
      </c>
      <c r="M115" s="0" t="inlineStr">
        <is>
          <t xml:space="preserve">LR</t>
        </is>
      </c>
      <c r="N115" s="4" t="inlineStr">
        <is>
          <t xml:space="preserve">Servicios de construcción y mantenimiento / Servicios de atención, mantenimiento y reparaciones de edificios / Servicios eléctricos</t>
        </is>
      </c>
      <c r="O115" s="4" t="inlineStr">
        <is>
          <t xml:space="preserve">1 Global · Instalación de sistemas de seguridad</t>
        </is>
      </c>
      <c r="P115" s="2"/>
      <c r="Q115" s="2"/>
      <c r="R115" s="0" t="inlineStr">
        <is>
          <t xml:space="preserve">51 meses</t>
        </is>
      </c>
      <c r="S115" s="0" t="inlineStr">
        <is>
          <t xml:space="preserve">No</t>
        </is>
      </c>
      <c r="T115" s="4" t="inlineStr">
        <is>
          <t xml:space="preserve">Previa autorización de la inspección técnica, y siempre que no supere el 30% del precio total de la contratación.</t>
        </is>
      </c>
      <c r="U115" s="0" t="inlineStr">
        <is>
          <t xml:space="preserve">Matías Allende Contreras</t>
        </is>
      </c>
      <c r="V115"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15" s="5" t="str">
        <f>HYPERLINK("https://www.mercadopublico.cl/Procurement/Modules/Attachment/ViewAttachment.aspx?enc=1kYbXboxfdi4PH%2f%2fkrTChTZEGqBdBkwxXfB99UBhnIXTRoF7w9CbejvS2Urzpbyn1KKjuAAhXKaE1soAyMu%2bwgs8ifpXITQaF1VR5mfwu60Lnsr2L%2fJJCFSPeO4I4ZdT6x420dPLZDOcZRfcVLPLGdSF%2bI92cxeGKpxI7oABSZez2KVOvknT%2firMhDrtOHo0jzjTqa9d9SorCsqidrG2yN3KltSbG3PfWz6VJQcYc6H%2fCuT6pwVPOkPyr893aScX741FU38VMDVjuRgXeptRTciDd0SFJ1taHNhG5JlJkzB%2bfwjMcmTajw2tlSJBPQ1o","descargar bases")</f>
      </c>
    </row>
    <row r="116">
      <c r="A116" s="0" t="inlineStr">
        <is>
          <t xml:space="preserve">634-92-LE26</t>
        </is>
      </c>
      <c r="B116" s="4" t="inlineStr">
        <is>
          <t xml:space="preserve">SISTEMA RADIOGRÁFICO ODONTOLÓGICO DIGITAL</t>
        </is>
      </c>
      <c r="C116" s="0" t="inlineStr">
        <is>
          <t xml:space="preserve">Publicada</t>
        </is>
      </c>
      <c r="D116" s="0" t="inlineStr">
        <is>
          <t xml:space="preserve">DIRECCION GENERAL DE GENDARMERIA DE CHIL</t>
        </is>
      </c>
      <c r="E116" s="0" t="inlineStr">
        <is>
          <t xml:space="preserve">Dirección Nacional</t>
        </is>
      </c>
      <c r="F116" s="0" t="inlineStr">
        <is>
          <t xml:space="preserve">Región Metropolitana de Santiago</t>
        </is>
      </c>
      <c r="G116" s="0" t="inlineStr">
        <is>
          <t xml:space="preserve">Santiago</t>
        </is>
      </c>
      <c r="H116" s="2">
        <v>46297.655498</v>
      </c>
      <c r="I116" s="2">
        <v>46321.645833</v>
      </c>
      <c r="J116" s="0">
        <v>17</v>
      </c>
      <c r="K116" s="3">
        <v>35009800.0</v>
      </c>
      <c r="L116" s="0" t="inlineStr">
        <is>
          <t xml:space="preserve">CLP</t>
        </is>
      </c>
      <c r="M116" s="0" t="inlineStr">
        <is>
          <t xml:space="preserve">LE</t>
        </is>
      </c>
      <c r="N116" s="4" t="inlineStr">
        <is>
          <t xml:space="preserve">Equipamiento y suministros médicos / Equipos y suministros odontológicos / Equipo y suministros para imágenes dentales</t>
        </is>
      </c>
      <c r="O116" s="4" t="inlineStr">
        <is>
          <t xml:space="preserve">1 Unidad · Unidades de Rayos X dentales</t>
        </is>
      </c>
      <c r="P116" s="2"/>
      <c r="Q116" s="2"/>
      <c r="R116" s="0"/>
      <c r="S116" s="0" t="inlineStr">
        <is>
          <t xml:space="preserve">No</t>
        </is>
      </c>
      <c r="T116" s="4"/>
      <c r="U116" s="0" t="inlineStr">
        <is>
          <t xml:space="preserve">José Silva Díaz</t>
        </is>
      </c>
      <c r="V116"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116" s="5" t="str">
        <f>HYPERLINK("https://www.mercadopublico.cl/Procurement/Modules/Attachment/ViewAttachment.aspx?enc=XXGKysmCYSmBdIKvI5hFMns4uP92PbvbWbjz22BCf6d5R31pvQwMcTo75KXqICypwrn0ZAfQWjvlTJZycYGktEI1ykTQZxQpZUpj3y1U3l6o9j3NhxHalNMf8Oktn6cqpdBE%2frgZvMT%2fd5xRNcAGh6JEnsPhUHLtWoNWTozAesBcCEds%2fEWPR1oS41MZ3fzEqXa1mnJyy9rIPL%2fJdwR4u%2fsm%2fY8xOvd4wDvW22ZoR%2f1i7EuuV0Gale6Xypo19U%2bug2w4acafCRBdRLaszUkVsJzZR5jlrUavIKLewm3BS7seqckdWGSqgWPLnUjhHaCm","descargar bases")</f>
      </c>
    </row>
    <row r="117">
      <c r="A117" s="0" t="inlineStr">
        <is>
          <t xml:space="preserve">3755-6-LP26</t>
        </is>
      </c>
      <c r="B117" s="4" t="inlineStr">
        <is>
          <t xml:space="preserve">Serv datos de tránsito y tráfico de dispositivos</t>
        </is>
      </c>
      <c r="C117" s="0" t="inlineStr">
        <is>
          <t xml:space="preserve">Publicada</t>
        </is>
      </c>
      <c r="D117" s="0" t="inlineStr">
        <is>
          <t xml:space="preserve">SUBSECRETARIA DE TRANSPORTES</t>
        </is>
      </c>
      <c r="E117" s="0" t="inlineStr">
        <is>
          <t xml:space="preserve">Fiscalización y Control</t>
        </is>
      </c>
      <c r="F117" s="0" t="inlineStr">
        <is>
          <t xml:space="preserve">Región Metropolitana de Santiago</t>
        </is>
      </c>
      <c r="G117" s="0" t="inlineStr">
        <is>
          <t xml:space="preserve">Santiago</t>
        </is>
      </c>
      <c r="H117" s="2">
        <v>46301.501343</v>
      </c>
      <c r="I117" s="2">
        <v>46321.666667</v>
      </c>
      <c r="J117" s="0">
        <v>17</v>
      </c>
      <c r="K117" s="3"/>
      <c r="L117" s="0" t="inlineStr">
        <is>
          <t xml:space="preserve">CLP</t>
        </is>
      </c>
      <c r="M117" s="0" t="inlineStr">
        <is>
          <t xml:space="preserve">LP</t>
        </is>
      </c>
      <c r="N117" s="4" t="inlineStr">
        <is>
          <t xml:space="preserve">Tecnologías de la información, telecomunicaciones y radiodifusión / Software / Software de consultas y gestión de datos</t>
        </is>
      </c>
      <c r="O117" s="4" t="inlineStr">
        <is>
          <t xml:space="preserve">1 Global · Software de extracción de datos</t>
        </is>
      </c>
      <c r="P117" s="2"/>
      <c r="Q117" s="2"/>
      <c r="R117" s="0" t="inlineStr">
        <is>
          <t xml:space="preserve">12 meses</t>
        </is>
      </c>
      <c r="S117" s="0" t="inlineStr">
        <is>
          <t xml:space="preserve">No</t>
        </is>
      </c>
      <c r="T117" s="4"/>
      <c r="U117" s="0" t="inlineStr">
        <is>
          <t xml:space="preserve">CARLOS TORO ARAYA</t>
        </is>
      </c>
      <c r="V117"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117" s="5" t="str">
        <f>HYPERLINK("https://www.mercadopublico.cl/Procurement/Modules/Attachment/ViewAttachment.aspx?enc=OA4RGZFZUjD2JBxUNqMeq3V%2fufafcoj1T%2f9ZRrep1oSbeeJInMdSuHp8rTqDvZ%2b%2bgoOhLepA1irPkOYzag3bDtlAdRc0blqlZtVEQ8Z9wJO0rN9V3bheHGDznASUytRrU5QvchYRZu7rvQ278bC%2f8W6%2bjLJUGBX%2bLaYUL7youHaDtyNCpRv992ABCK0KeLet1Y1nqMb6Jn663YRnh3eq6et4WRWPAaCTXUrJE2R6DJwC0Pv0BTUraT7elyIi5BxpeQsOg3ZKDYWli4diOmz86RIWwBitMU3oVy%2b3YPGWakAsBwIPrY2vpkuw9SKM8OUf","descargar bases")</f>
      </c>
    </row>
    <row r="118">
      <c r="A118" s="0" t="inlineStr">
        <is>
          <t xml:space="preserve">799595-5-LP26</t>
        </is>
      </c>
      <c r="B118" s="4" t="inlineStr">
        <is>
          <t xml:space="preserve">Servicio de Cloud Computing MINDEP</t>
        </is>
      </c>
      <c r="C118" s="0" t="inlineStr">
        <is>
          <t xml:space="preserve">Publicada</t>
        </is>
      </c>
      <c r="D118" s="0" t="inlineStr">
        <is>
          <t xml:space="preserve">SUBSECRETARIA DEL DEPORTE</t>
        </is>
      </c>
      <c r="E118" s="0" t="inlineStr">
        <is>
          <t xml:space="preserve">Subsecretaría del Deporte</t>
        </is>
      </c>
      <c r="F118" s="0" t="inlineStr">
        <is>
          <t xml:space="preserve">Región Metropolitana de Santiago</t>
        </is>
      </c>
      <c r="G118" s="0" t="inlineStr">
        <is>
          <t xml:space="preserve">Providencia</t>
        </is>
      </c>
      <c r="H118" s="2">
        <v>46301.788206</v>
      </c>
      <c r="I118" s="2">
        <v>46321.708333</v>
      </c>
      <c r="J118" s="0">
        <v>17</v>
      </c>
      <c r="K118" s="3">
        <v>106618.0</v>
      </c>
      <c r="L118" s="0" t="inlineStr">
        <is>
          <t xml:space="preserve">USD</t>
        </is>
      </c>
      <c r="M118" s="0" t="inlineStr">
        <is>
          <t xml:space="preserve">LP</t>
        </is>
      </c>
      <c r="N118" s="4" t="inlineStr">
        <is>
          <t xml:space="preserve">Servicios basados en ingeniería, ciencias sociales y tecnología de la información / Servicios informáticos / Servicios de datos</t>
        </is>
      </c>
      <c r="O118" s="4" t="inlineStr">
        <is>
          <t xml:space="preserve">1 Unidad · Centro de servicios de datos</t>
        </is>
      </c>
      <c r="P118" s="2"/>
      <c r="Q118" s="2"/>
      <c r="R118" s="0" t="inlineStr">
        <is>
          <t xml:space="preserve">36 meses</t>
        </is>
      </c>
      <c r="S118" s="0" t="inlineStr">
        <is>
          <t xml:space="preserve">No</t>
        </is>
      </c>
      <c r="T118" s="4"/>
      <c r="U118" s="0" t="inlineStr">
        <is>
          <t xml:space="preserve">Ignacio Sáez</t>
        </is>
      </c>
      <c r="V118" s="4" t="inlineStr">
        <is>
          <t xml:space="preserve">Servicio de Cloud Computing y Servicios Asociados para la Subsecretaría del Deporte</t>
        </is>
      </c>
      <c r="W118" s="5" t="str">
        <f>HYPERLINK("https://www.mercadopublico.cl/Procurement/Modules/Attachment/ViewAttachment.aspx?enc=7bFdwA%2fnkYfW5MsDwNEy9dPdm4aY0HUFXZhDS0tmM7V3kF%2bTTDVdh3l2k99aJ3HFSd1ZB%2bDdF%2b1HsYqYcdGY6j7PDy75E1Yb6x4oRdDQ%2b3Q75wKNXNfI8Xy8gpDNXWD0y9C6tgtPu1xoqUlU0K8j2ncii6NRVsxAXPRC31l4sXeS3s1vdbFS%2bwMoJCiDDP8zM5O5rk%2fXlC3psaKv9l%2fYcnVSoToX3aLJSa4IMFjf%2bVjBcRZSesh1nIRQcCm68%2bBwTlUbOhkpiPog01F76yj9FxvmUNgtoEuCpbRsSw%2bTBe8z69%2fi8BlpS1MmdNtZ30CN","descargar bases")</f>
      </c>
    </row>
    <row r="119">
      <c r="A119" s="0" t="inlineStr">
        <is>
          <t xml:space="preserve">434-110-LP26</t>
        </is>
      </c>
      <c r="B119" s="4" t="inlineStr">
        <is>
          <t xml:space="preserve">SISTEMA DE GESTIÓN DOCUMENTAL SEGÚN LEY N°21.180</t>
        </is>
      </c>
      <c r="C119" s="0" t="inlineStr">
        <is>
          <t xml:space="preserve">Publicada</t>
        </is>
      </c>
      <c r="D119" s="0" t="inlineStr">
        <is>
          <t xml:space="preserve">I MUNICIPALIDAD DE CAUQUENES</t>
        </is>
      </c>
      <c r="E119" s="0" t="inlineStr">
        <is>
          <t xml:space="preserve">Adquisiciones</t>
        </is>
      </c>
      <c r="F119" s="0" t="inlineStr">
        <is>
          <t xml:space="preserve">Región del Maule </t>
        </is>
      </c>
      <c r="G119" s="0" t="inlineStr">
        <is>
          <t xml:space="preserve">Cauquenes</t>
        </is>
      </c>
      <c r="H119" s="2">
        <v>46302.681944</v>
      </c>
      <c r="I119" s="2">
        <v>46322.375</v>
      </c>
      <c r="J119" s="0">
        <v>18</v>
      </c>
      <c r="K119" s="3">
        <v>75000000.0</v>
      </c>
      <c r="L119" s="0" t="inlineStr">
        <is>
          <t xml:space="preserve">CLP</t>
        </is>
      </c>
      <c r="M119" s="0" t="inlineStr">
        <is>
          <t xml:space="preserve">LP</t>
        </is>
      </c>
      <c r="N119" s="4" t="inlineStr">
        <is>
          <t xml:space="preserve">Artículos para estructuras, obras y construcciones / Construcciones permanentes / Construcciones para educación e investigación</t>
        </is>
      </c>
      <c r="O119" s="4" t="inlineStr">
        <is>
          <t xml:space="preserve">1 Unidad · Servicios de investigación o medición · 1 Unidad · Servicios de investigación o medición</t>
        </is>
      </c>
      <c r="P119" s="2"/>
      <c r="Q119" s="2"/>
      <c r="R119" s="0" t="inlineStr">
        <is>
          <t xml:space="preserve">36 meses</t>
        </is>
      </c>
      <c r="S119" s="0" t="inlineStr">
        <is>
          <t xml:space="preserve">No</t>
        </is>
      </c>
      <c r="T119" s="4"/>
      <c r="U119" s="0" t="inlineStr">
        <is>
          <t xml:space="preserve">CHRISTIAN AGUILERA LETELIER</t>
        </is>
      </c>
      <c r="V119" s="4" t="inlineStr">
        <is>
          <t xml:space="preserve">TENER UN SISTEMA PARA ACOMPAÑAMIENTO EN LA IMPLEMENTACIÓN DE LA LEY DE TRANSFORMACIÓN DIGITAL DEL ESTADO.</t>
        </is>
      </c>
      <c r="W119" s="5" t="str">
        <f>HYPERLINK("https://www.mercadopublico.cl/Procurement/Modules/Attachment/ViewAttachment.aspx?enc=ChmKNlu7NyE29UtdDkZ5fDJT%2blhlWAaJSSrjq%2fKaqldi3DHb55GpxVI09QXxjp4Gtx%2btkArc8RPNQn9nw3B58En9Oas6Zq%2bLMdMqsnZT12tVSh3Xx4tbyx1pW%2f2L73bGf8bNqtgu96oQ7MPL4T3eEVc9MtdaNZ25gtclMLJ6ZmczFMJ4ToQhAZ1D76Jh7LHN9uwyCLPOdOTlLB%2b8XKZGxysBODRakvd7H8aqWxpxoowtfjP8OiSrsDiKZ1L5An7%2bfn9sDC3nVlPyZmRJTkcu8BkynV9T%2bSzy6%2bszX1mMFiyoAmBSM1ekAFlJTtr%2f77Dv","descargar bases")</f>
      </c>
    </row>
    <row r="120">
      <c r="A120" s="0" t="inlineStr">
        <is>
          <t xml:space="preserve">2308-90-LE26</t>
        </is>
      </c>
      <c r="B120" s="4" t="inlineStr">
        <is>
          <t xml:space="preserve">REPARACIÓN MODERNIZACIÓN PUESTA EN MARCHA Y CERTIFICACIÓN DEL ASCENSOR DEL EDIFICIO CONSISTORIAL OSORNO</t>
        </is>
      </c>
      <c r="C120" s="0" t="inlineStr">
        <is>
          <t xml:space="preserve">Publicada</t>
        </is>
      </c>
      <c r="D120" s="0" t="inlineStr">
        <is>
          <t xml:space="preserve">I MUNICIPALIDAD DE OSORNO</t>
        </is>
      </c>
      <c r="E120" s="0" t="inlineStr">
        <is>
          <t xml:space="preserve">SECRETARIA DE PLANIFICACION</t>
        </is>
      </c>
      <c r="F120" s="0" t="inlineStr">
        <is>
          <t xml:space="preserve">Región de los Lagos </t>
        </is>
      </c>
      <c r="G120" s="0" t="inlineStr">
        <is>
          <t xml:space="preserve">Osorno</t>
        </is>
      </c>
      <c r="H120" s="2">
        <v>46303.685648</v>
      </c>
      <c r="I120" s="2">
        <v>46322.416667</v>
      </c>
      <c r="J120" s="0">
        <v>18</v>
      </c>
      <c r="K120" s="3"/>
      <c r="L120" s="0" t="inlineStr">
        <is>
          <t xml:space="preserve">CLP</t>
        </is>
      </c>
      <c r="M120" s="0" t="inlineStr">
        <is>
          <t xml:space="preserve">LE</t>
        </is>
      </c>
      <c r="N120" s="4" t="inlineStr">
        <is>
          <t xml:space="preserve">Servicios de construcción y mantenimiento / Servicios de atención, mantenimiento y reparaciones de edificios / Servicios de apoyo para la construcción</t>
        </is>
      </c>
      <c r="O120" s="4" t="inlineStr">
        <is>
          <t xml:space="preserve">1 Unidad · Servicios de mantenimiento de ascensores</t>
        </is>
      </c>
      <c r="P120" s="2"/>
      <c r="Q120" s="2"/>
      <c r="R120" s="0"/>
      <c r="S120" s="0" t="inlineStr">
        <is>
          <t xml:space="preserve">No</t>
        </is>
      </c>
      <c r="T120" s="4"/>
      <c r="U120" s="0" t="inlineStr">
        <is>
          <t xml:space="preserve">I.MUNICIPALIDAD DE OSORNO</t>
        </is>
      </c>
      <c r="V120" s="4" t="inlineStr">
        <is>
          <t xml:space="preserve">La iniciativa tiene por objeto la contratación de un servicio técnico especializado para ejecutar las obras de reparación, pruebas, puesta en marcha y certificación del sistema de tracción y componentes críticos de Ascensor del Edificio Consistorial, garantizando la total seguridad y continuidad operativa del edificio., el cual se deberá ejecutar conforme a los requerimientos establecidos en las presentes bases administrativas y bases técnicas adjuntas.</t>
        </is>
      </c>
      <c r="W120" s="5" t="str">
        <f>HYPERLINK("https://www.mercadopublico.cl/Procurement/Modules/Attachment/ViewAttachment.aspx?enc=zPnfgd0dtMgnfJ0v93HVMTkoJp8otUs5yme2qxH10S%2f9S5SgrsNm3CfL%2fZIoBxgtg%2bAFqdKYdgOO1q2Xl%2fsTk283yu%2fDJK%2frjQsjkTQkOcclfyEtyj4Nft%2bBUWe2gBSoQzJCdppBe1wpx5tsQfwSGXzqr1H7cfSoz3S2ppGOyGwIOU5cn3BOd%2fFpDckCFZYXFt3AmD4m%2fzGW0y2%2f%2f8qA%2fOIKSzLclvF%2bOsEbwCPrpJUi3W9Hh4fyUzTVx9RbNbO9iJd21IgXKbI0NC%2fvZKtmco%2fa%2fnXd9AZzsmMSelNLZdxGvlu0FtC%2fhGbej3viEzZT","descargar bases")</f>
      </c>
    </row>
    <row r="121">
      <c r="A121" s="0" t="inlineStr">
        <is>
          <t xml:space="preserve">5360-5-LP26</t>
        </is>
      </c>
      <c r="B121" s="4" t="inlineStr">
        <is>
          <t xml:space="preserve">SERVICIOS DE ELECTRICIDAD Y DATOS UTA - ARICA</t>
        </is>
      </c>
      <c r="C121" s="0" t="inlineStr">
        <is>
          <t xml:space="preserve">Publicada</t>
        </is>
      </c>
      <c r="D121" s="0" t="inlineStr">
        <is>
          <t xml:space="preserve">UNIVERSIDAD DE TARAPACA</t>
        </is>
      </c>
      <c r="E121" s="0" t="inlineStr">
        <is>
          <t xml:space="preserve">DIRECCIÓN DE SERVICIOS Y  LOGÍSTICA</t>
        </is>
      </c>
      <c r="F121" s="0" t="inlineStr">
        <is>
          <t xml:space="preserve">Región de Arica y Parinacota</t>
        </is>
      </c>
      <c r="G121" s="0" t="inlineStr">
        <is>
          <t xml:space="preserve">Arica</t>
        </is>
      </c>
      <c r="H121" s="2">
        <v>46302.721933</v>
      </c>
      <c r="I121" s="2">
        <v>46322.666667</v>
      </c>
      <c r="J121" s="0">
        <v>18</v>
      </c>
      <c r="K121" s="3"/>
      <c r="L121" s="0" t="inlineStr">
        <is>
          <t xml:space="preserve">CLP</t>
        </is>
      </c>
      <c r="M121" s="0" t="inlineStr">
        <is>
          <t xml:space="preserve">LP</t>
        </is>
      </c>
      <c r="N121" s="4" t="inlineStr">
        <is>
          <t xml:space="preserve">Servicios de construcción y mantenimiento / Servicios de atención, mantenimiento y reparaciones de edificios / Servicios eléctricos</t>
        </is>
      </c>
      <c r="O121" s="4" t="inlineStr">
        <is>
          <t xml:space="preserve">1 Unidad · Instalación o servicio de sistemas de energía eléctrica</t>
        </is>
      </c>
      <c r="P121" s="2"/>
      <c r="Q121" s="2"/>
      <c r="R121" s="0" t="inlineStr">
        <is>
          <t xml:space="preserve">24 meses</t>
        </is>
      </c>
      <c r="S121" s="0" t="inlineStr">
        <is>
          <t xml:space="preserve">No</t>
        </is>
      </c>
      <c r="T121" s="4" t="inlineStr">
        <is>
          <t xml:space="preserve">No permite subcontratación. De acuerdo al Capítulo VIII Contrato de suministro
y servicio, párrafo 4 Cesión y subcontratación, Artículo 128 reglamento.
Subcontratación del reglamento de Ley Nº 19.886 sobre compras Públicas.</t>
        </is>
      </c>
      <c r="U121" s="0" t="inlineStr">
        <is>
          <t xml:space="preserve">Armando Villalobos</t>
        </is>
      </c>
      <c r="V121"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121" s="5" t="str">
        <f>HYPERLINK("https://www.mercadopublico.cl/Procurement/Modules/Attachment/ViewAttachment.aspx?enc=5oMp%2b6gSwqWFIb2q4i7VSoPhByPOl3tcNSECY75ATpBJRUO%2bg%2fzrsemQtfHaUCz%2b5F%2bmDjMiBsXqUXs%2f6kD9JscaDvLyJapdJTnRztFQlU%2fQemqAjTCM6C7Gvm22%2by0vGPMVnekdpocQKz8SewMog8AMSKtkKJlsHyMDylRuXRmu6eqvs5yaTN2gFB7TUhWKjeBmr%2fdG8AcHVRAs3KVSRJ3eXLX4yn3KPnfjQ3mgtVyLQxZnU2sY8Fvcdum%2f8w2JnpLnd0LJAqGCJjtYZdURTpwVjXxJa4kZMOZAs8VDDmSBi3s1TFaiiN1cABcKJF%2fy","descargar bases")</f>
      </c>
    </row>
    <row r="122">
      <c r="A122" s="0" t="inlineStr">
        <is>
          <t xml:space="preserve">622-66-LE26</t>
        </is>
      </c>
      <c r="B122" s="4" t="inlineStr">
        <is>
          <t xml:space="preserve">ADQUISICIÓN DE LICENCIAS PARA SOFTWARE DLP</t>
        </is>
      </c>
      <c r="C122" s="0" t="inlineStr">
        <is>
          <t xml:space="preserve">Publicada</t>
        </is>
      </c>
      <c r="D122" s="0" t="inlineStr">
        <is>
          <t xml:space="preserve">TESORERIA GENERAL DE LA REPUBLICA</t>
        </is>
      </c>
      <c r="E122" s="0" t="inlineStr">
        <is>
          <t xml:space="preserve">Tesorería General de la República</t>
        </is>
      </c>
      <c r="F122" s="0" t="inlineStr">
        <is>
          <t xml:space="preserve">Región Metropolitana de Santiago</t>
        </is>
      </c>
      <c r="G122" s="0" t="inlineStr">
        <is>
          <t xml:space="preserve">Santiago</t>
        </is>
      </c>
      <c r="H122" s="2">
        <v>46303.43956</v>
      </c>
      <c r="I122" s="2">
        <v>46323.625</v>
      </c>
      <c r="J122" s="0">
        <v>19</v>
      </c>
      <c r="K122" s="3">
        <v>69700000.0</v>
      </c>
      <c r="L122" s="0" t="inlineStr">
        <is>
          <t xml:space="preserve">CLP</t>
        </is>
      </c>
      <c r="M122" s="0" t="inlineStr">
        <is>
          <t xml:space="preserve">LE</t>
        </is>
      </c>
      <c r="N122" s="4" t="inlineStr">
        <is>
          <t xml:space="preserve">Tecnologías de la información, telecomunicaciones y radiodifusión / Software / Software de gestión</t>
        </is>
      </c>
      <c r="O122" s="4" t="inlineStr">
        <is>
          <t xml:space="preserve">1 Unidad · Software de gestión de licencias</t>
        </is>
      </c>
      <c r="P122" s="2"/>
      <c r="Q122" s="2"/>
      <c r="R122" s="0" t="inlineStr">
        <is>
          <t xml:space="preserve">24 meses</t>
        </is>
      </c>
      <c r="S122" s="0" t="inlineStr">
        <is>
          <t xml:space="preserve">No</t>
        </is>
      </c>
      <c r="T122"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122" s="0" t="inlineStr">
        <is>
          <t xml:space="preserve">Será indicado en el contrato a suscribir.</t>
        </is>
      </c>
      <c r="V122"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122" s="5" t="str">
        <f>HYPERLINK("https://www.mercadopublico.cl/Procurement/Modules/Attachment/ViewAttachment.aspx?enc=INE5njSFzGstomb3EQzqHWqo%2fDiOluDnXPDVZ1Yv5HMBgRCJxhp8NYvPmEeNbbJi%2biQDvuC5Ssz6NU4NvLJE23xGnSP7mh16oPnqFmLvgx3csOcgsr28VraeIen4pRWglQMqPATuyKCKZvO85zWILO%2fFeP14%2bsGhTebTUpGmKbdM5evgGWe%2baVE6ulmYUxbpVPZIT5besI0%2bLDpnOVsbdITCUVczEsGozZNItxzebubi3MPBXr7LnO4Urib20d4E%2f96fdYRwEiukrfALueleX4SCrqB3f8dPGNL%2fJfOYf7eIfTWqMNd5Yse4mHlnqAGe","descargar bases")</f>
      </c>
    </row>
    <row r="123">
      <c r="A123" s="0" t="inlineStr">
        <is>
          <t xml:space="preserve">2981-287-LP26</t>
        </is>
      </c>
      <c r="B123" s="4" t="inlineStr">
        <is>
          <t xml:space="preserve">CIBERSEGURIDAD- CONSULTORIA</t>
        </is>
      </c>
      <c r="C123" s="0" t="inlineStr">
        <is>
          <t xml:space="preserve">Publicada</t>
        </is>
      </c>
      <c r="D123" s="0" t="inlineStr">
        <is>
          <t xml:space="preserve">POLICIA DE INVESTIGACIONES DE CHILE</t>
        </is>
      </c>
      <c r="E123" s="0" t="inlineStr">
        <is>
          <t xml:space="preserve">DEPARTAMENTO ADMINISTRATIVO</t>
        </is>
      </c>
      <c r="F123" s="0" t="inlineStr">
        <is>
          <t xml:space="preserve">Región Metropolitana de Santiago</t>
        </is>
      </c>
      <c r="G123" s="0" t="inlineStr">
        <is>
          <t xml:space="preserve">Santiago Centro</t>
        </is>
      </c>
      <c r="H123" s="2">
        <v>46303.658333</v>
      </c>
      <c r="I123" s="2">
        <v>46323.625</v>
      </c>
      <c r="J123" s="0">
        <v>19</v>
      </c>
      <c r="K123" s="3">
        <v>80000000.0</v>
      </c>
      <c r="L123" s="0" t="inlineStr">
        <is>
          <t xml:space="preserve">CLP</t>
        </is>
      </c>
      <c r="M123" s="0" t="inlineStr">
        <is>
          <t xml:space="preserve">LP</t>
        </is>
      </c>
      <c r="N123" s="4" t="inlineStr">
        <is>
          <t xml:space="preserve">Servicios profesionales, administrativos y consultorías de gestión empresarial / Consultorías o asesorías en gestión empresarial / Servicios de consultoría en gestión de empresas</t>
        </is>
      </c>
      <c r="O123" s="4" t="inlineStr">
        <is>
          <t xml:space="preserve">1 Unidad · Asesorías en gestión estratégica</t>
        </is>
      </c>
      <c r="P123" s="2"/>
      <c r="Q123" s="2"/>
      <c r="R123" s="0" t="inlineStr">
        <is>
          <t xml:space="preserve">12 meses</t>
        </is>
      </c>
      <c r="S123" s="0" t="inlineStr">
        <is>
          <t xml:space="preserve">No</t>
        </is>
      </c>
      <c r="T123" s="4" t="inlineStr">
        <is>
          <t xml:space="preserve">No permite subcontratacion, Art 53 de las bases</t>
        </is>
      </c>
      <c r="U123" s="0" t="inlineStr">
        <is>
          <t xml:space="preserve">CRISTOPHER SILVA GUZMAN</t>
        </is>
      </c>
      <c r="V123" s="4" t="inlineStr">
        <is>
          <t xml:space="preserve">SE REQUIERE CONTRATAR LOS SERVICIOS DE CONSULTORIA SEGUN BASES ADMINISTRATIVAS, TECNICAS Y ANEXOS ADJUNTOS.</t>
        </is>
      </c>
      <c r="W123" s="5" t="str">
        <f>HYPERLINK("https://www.mercadopublico.cl/Procurement/Modules/Attachment/ViewAttachment.aspx?enc=fXkScA4CaENK8LdO1Hv1Q9WuLLxChygNMvfEtJwanj5QB8hrlNxnvuy%2bXYIjJCC1n9jM7QBBkzNW1TaV0iN%2bmjqGSQ5ZCkdRM4PeiMK06UWuIawyg9xIU64W3ELcW%2fXaIkUDUdlKmkrgLbx%2fOCVRvKmtN%2fei8ofHyB0ulnmDN9VBbgaoFg%2fb%2fTA8pNLDJf%2f3FCO2ZHJftoLgxvl4kFwcGKsAgjbwDg1o6usVu89krdm13Sdv3%2bCU132E1G6J63cq2hcpkoz7FgZeunIAPcrQ4Mef2aRC59wH%2bYRsRJ8YdAgg3TofNrLc1VauXWw7erY3","descargar bases")</f>
      </c>
    </row>
    <row r="124">
      <c r="A124" s="0" t="inlineStr">
        <is>
          <t xml:space="preserve">1057049-376-LP26</t>
        </is>
      </c>
      <c r="B124" s="4" t="inlineStr">
        <is>
          <t xml:space="preserve">PROV E INSTALACIÓN DE PLATAFORMAS DE SEGURIDAD PARA SHAFTS DEL HOSPITAL CLÍNICO SAN BORJA ARRIARÁN</t>
        </is>
      </c>
      <c r="C124" s="0" t="inlineStr">
        <is>
          <t xml:space="preserve">Publicada</t>
        </is>
      </c>
      <c r="D124" s="0" t="inlineStr">
        <is>
          <t xml:space="preserve">SERV SALUD METROPOLITANO CENTRAL HOSPITAL CLINICO SAN BORJA ARRIARAN</t>
        </is>
      </c>
      <c r="E124" s="0" t="inlineStr">
        <is>
          <t xml:space="preserve">Bienes y Servicios</t>
        </is>
      </c>
      <c r="F124" s="0" t="inlineStr">
        <is>
          <t xml:space="preserve">Región Metropolitana de Santiago</t>
        </is>
      </c>
      <c r="G124" s="0" t="inlineStr">
        <is>
          <t xml:space="preserve">Santiago</t>
        </is>
      </c>
      <c r="H124" s="2">
        <v>46303.592002</v>
      </c>
      <c r="I124" s="2">
        <v>46323.645833</v>
      </c>
      <c r="J124" s="0">
        <v>19</v>
      </c>
      <c r="K124" s="3"/>
      <c r="L124" s="0" t="inlineStr">
        <is>
          <t xml:space="preserve">CLP</t>
        </is>
      </c>
      <c r="M124" s="0" t="inlineStr">
        <is>
          <t xml:space="preserve">LP</t>
        </is>
      </c>
      <c r="N124" s="4" t="inlineStr">
        <is>
          <t xml:space="preserve">Maquinaria para construcción y edificación / Maquinaria pesada de construcción / Elevadores</t>
        </is>
      </c>
      <c r="O124" s="4" t="inlineStr">
        <is>
          <t xml:space="preserve">1 Global · Plataforma elevadora</t>
        </is>
      </c>
      <c r="P124" s="2"/>
      <c r="Q124" s="2"/>
      <c r="R124" s="0"/>
      <c r="S124" s="0" t="inlineStr">
        <is>
          <t xml:space="preserve">No</t>
        </is>
      </c>
      <c r="T124" s="4"/>
      <c r="U124" s="0" t="inlineStr">
        <is>
          <t xml:space="preserve">Andres Muñoz</t>
        </is>
      </c>
      <c r="V124"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124" s="5" t="str">
        <f>HYPERLINK("https://www.mercadopublico.cl/Procurement/Modules/Attachment/ViewAttachment.aspx?enc=DVmeyWgV3pypSr%2fpCVtpVXV455l7aX9pdtQ4EYlnVQD2MwQ2GT9pagPH7ebFb%2benDMIYazLy3gzqY3k%2bfSdl8nVNZGngkfIWPHKL%2fGvX0dbVwoNMHW%2fElnuSU6l9TZ%2b7%2bAQwvD8BzSHKLxBtpGe%2f2OnNr%2fjnauVQBk9CDDzpHwvz8dFQKhA%2bVY%2fB6DMx8z9rcsQmFCRvmVRo9lYbfpYfYOFJ%2flh5p2afVZlybK2Md4aAHXbrnTlFjxzwMHefMVSZDcXDwOYrcNdCElm7W3jmo2giA0D9Z2vSr4lku7kL8G1AQaZHgn4I9OgKGzoVpmqD","descargar bases")</f>
      </c>
    </row>
    <row r="125">
      <c r="A125" s="0" t="inlineStr">
        <is>
          <t xml:space="preserve">1005498-24-LP26</t>
        </is>
      </c>
      <c r="B125" s="4" t="inlineStr">
        <is>
          <t xml:space="preserve">SUSCRIPCIÓN DE LICENCIAS EN MODALIDAD CLOUD</t>
        </is>
      </c>
      <c r="C125" s="0" t="inlineStr">
        <is>
          <t xml:space="preserve">Publicada</t>
        </is>
      </c>
      <c r="D125" s="0" t="inlineStr">
        <is>
          <t xml:space="preserve">COMISION PARA EL MERCADO FINANCIERO</t>
        </is>
      </c>
      <c r="E125" s="0" t="inlineStr">
        <is>
          <t xml:space="preserve">COMISION PARA EL MERCADO FINANCIERO</t>
        </is>
      </c>
      <c r="F125" s="0" t="inlineStr">
        <is>
          <t xml:space="preserve">Región Metropolitana de Santiago</t>
        </is>
      </c>
      <c r="G125" s="0" t="inlineStr">
        <is>
          <t xml:space="preserve">Santiago Centro</t>
        </is>
      </c>
      <c r="H125" s="2">
        <v>46303.688009</v>
      </c>
      <c r="I125" s="2">
        <v>46323.666667</v>
      </c>
      <c r="J125" s="0">
        <v>19</v>
      </c>
      <c r="K125" s="3">
        <v>196000.0</v>
      </c>
      <c r="L125" s="0" t="inlineStr">
        <is>
          <t xml:space="preserve">USD</t>
        </is>
      </c>
      <c r="M125" s="0" t="inlineStr">
        <is>
          <t xml:space="preserve">LP</t>
        </is>
      </c>
      <c r="N125" s="4" t="inlineStr">
        <is>
          <t xml:space="preserve">Servicios basados en ingeniería, ciencias sociales y tecnología de la información / Servicios informáticos / Mantenimiento y soporte de software</t>
        </is>
      </c>
      <c r="O125" s="4" t="inlineStr">
        <is>
          <t xml:space="preserve">1 Global · Up grade de software</t>
        </is>
      </c>
      <c r="P125" s="2"/>
      <c r="Q125" s="2"/>
      <c r="R125" s="0" t="inlineStr">
        <is>
          <t xml:space="preserve">36 meses</t>
        </is>
      </c>
      <c r="S125" s="0" t="inlineStr">
        <is>
          <t xml:space="preserve">No</t>
        </is>
      </c>
      <c r="T125" s="4" t="inlineStr">
        <is>
          <t xml:space="preserve">No se permite según Art.13.2.2 de Bases de licitación</t>
        </is>
      </c>
      <c r="U125" s="0" t="inlineStr">
        <is>
          <t xml:space="preserve">CHRISTIAN METCALFE</t>
        </is>
      </c>
      <c r="V125"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125" s="5" t="str">
        <f>HYPERLINK("https://www.mercadopublico.cl/Procurement/Modules/Attachment/ViewAttachment.aspx?enc=rJcnbYKdURC3FyuvUjiJoFPQMfLiL2AOZndazf0R%2fJzFzM6753kBPAKXnwLV%2fLP3FFeJOW1GuUYVzI6UQ%2bIjjSVzUXqKXMx380VvXX%2fR7GardKg7zlZmG6gdvUQvXXqUCQcyBuwA%2bxL4nEPXZVAVomXKeNV30WPOOavFvJcipGJckC4e33UsNoCAdT71GlW9oPxXGZKvn41EDqJK%2bAqar4tffTHAWaU5bX9ZZxxZAymWlxiVjPzRdOfWnYC%2bFvOSfQq%2bPO6avRil1byd9SSVrjk5eUxr0SHwwcg2V9htYZVzZOkcT4%2fNl7ZetHDtIurT","descargar bases")</f>
      </c>
    </row>
    <row r="126">
      <c r="A126" s="0" t="inlineStr">
        <is>
          <t xml:space="preserve">5512-18-LE26</t>
        </is>
      </c>
      <c r="B126" s="4" t="inlineStr">
        <is>
          <t xml:space="preserve">ADQUISICIÓN DE MINICOMPUTADORES PARA IA PROYECTO UTA 22991</t>
        </is>
      </c>
      <c r="C126" s="0" t="inlineStr">
        <is>
          <t xml:space="preserve">Publicada</t>
        </is>
      </c>
      <c r="D126" s="0" t="inlineStr">
        <is>
          <t xml:space="preserve">UNIVERSIDAD DE TARAPACA</t>
        </is>
      </c>
      <c r="E126" s="0" t="inlineStr">
        <is>
          <t xml:space="preserve">Convenio de Desempeño</t>
        </is>
      </c>
      <c r="F126" s="0" t="inlineStr">
        <is>
          <t xml:space="preserve">Región de Arica y Parinacota</t>
        </is>
      </c>
      <c r="G126" s="0" t="inlineStr">
        <is>
          <t xml:space="preserve">Iquique</t>
        </is>
      </c>
      <c r="H126" s="2">
        <v>46304.456655</v>
      </c>
      <c r="I126" s="2">
        <v>46323.666667</v>
      </c>
      <c r="J126" s="0">
        <v>19</v>
      </c>
      <c r="K126" s="3">
        <v>30000000.0</v>
      </c>
      <c r="L126" s="0" t="inlineStr">
        <is>
          <t xml:space="preserve">CLP</t>
        </is>
      </c>
      <c r="M126" s="0" t="inlineStr">
        <is>
          <t xml:space="preserve">LE</t>
        </is>
      </c>
      <c r="N126" s="4" t="inlineStr">
        <is>
          <t xml:space="preserve">Tecnologías de la información, telecomunicaciones y radiodifusión / Equipos informáticos y accesorios / Computadores</t>
        </is>
      </c>
      <c r="O126" s="4" t="inlineStr">
        <is>
          <t xml:space="preserve">3 Unidad · Computadores de escritorio</t>
        </is>
      </c>
      <c r="P126" s="2"/>
      <c r="Q126" s="2"/>
      <c r="R126" s="0"/>
      <c r="S126" s="0" t="inlineStr">
        <is>
          <t xml:space="preserve">No</t>
        </is>
      </c>
      <c r="T126" s="4" t="inlineStr">
        <is>
          <t xml:space="preserve">No permite subcontratación De acuerdo al Capítulo IX Contrato de suministro y servicio, párrafo 4 Cesión y subcontratación, Artículo 128. Subcontratación del reglamento de Ley Nº 19.886 sobre compras Públicas.</t>
        </is>
      </c>
      <c r="U126" s="0" t="inlineStr">
        <is>
          <t xml:space="preserve">Jefe de Proyecto, UTA 22991</t>
        </is>
      </c>
      <c r="V126"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126" s="5" t="str">
        <f>HYPERLINK("https://www.mercadopublico.cl/Procurement/Modules/Attachment/ViewAttachment.aspx?enc=oVQF4Wod9VagdsGIsTywBOACZ09hAMAsD56%2fD2V%2f85Fl5g5FI%2b%2fFzx8xG4EhSfrkJWZNfQ5aqK2zo7WyygfcVBeq%2b%2b2vlLNZjG8vLA33sTEsgJm1%2bCc8ub%2fKyPDatVseqA7N9NrIcfnu2UpUKqJhW%2bj%2br2xMHOsxvF8ynfkf8Ei%2bpV8po2OoEQysj7DQfR26Dw%2fRNeE%2f9lynsyJ3pqExLeD4wqinmoUAf1YCn8TxVVllorToxwxa8Y30NPIw2PIIaqYoulAwSnyxFNMsKXApLIu3q10nBWUVUTN4IKNjyJ0kO83Ad3%2bGNec4BpMPPscD","descargar bases")</f>
      </c>
    </row>
    <row r="127">
      <c r="A127" s="0" t="inlineStr">
        <is>
          <t xml:space="preserve">1067778-4-LP26</t>
        </is>
      </c>
      <c r="B127" s="4" t="inlineStr">
        <is>
          <t xml:space="preserve">ARRIENDO CON OPCION DE COMPRA  DE SERVIDOR PARA IA</t>
        </is>
      </c>
      <c r="C127" s="0" t="inlineStr">
        <is>
          <t xml:space="preserve">Publicada</t>
        </is>
      </c>
      <c r="D127" s="0" t="inlineStr">
        <is>
          <t xml:space="preserve">FISCALIA NACIONAL ECONOMICA</t>
        </is>
      </c>
      <c r="E127" s="0" t="inlineStr">
        <is>
          <t xml:space="preserve">Tecnologías de Información</t>
        </is>
      </c>
      <c r="F127" s="0" t="inlineStr">
        <is>
          <t xml:space="preserve">Región Metropolitana de Santiago</t>
        </is>
      </c>
      <c r="G127" s="0" t="inlineStr">
        <is>
          <t xml:space="preserve">Santiago Centro</t>
        </is>
      </c>
      <c r="H127" s="2">
        <v>46302.538113</v>
      </c>
      <c r="I127" s="2">
        <v>46324.625</v>
      </c>
      <c r="J127" s="0">
        <v>20</v>
      </c>
      <c r="K127" s="3">
        <v>75203.0</v>
      </c>
      <c r="L127" s="0" t="inlineStr">
        <is>
          <t xml:space="preserve">USD</t>
        </is>
      </c>
      <c r="M127" s="0" t="inlineStr">
        <is>
          <t xml:space="preserve">LP</t>
        </is>
      </c>
      <c r="N127" s="4" t="inlineStr">
        <is>
          <t xml:space="preserve">Tecnologías de la información, telecomunicaciones y radiodifusión / Equipos informáticos y accesorios / Computadores</t>
        </is>
      </c>
      <c r="O127" s="4" t="inlineStr">
        <is>
          <t xml:space="preserve">60 Mes · Servidores</t>
        </is>
      </c>
      <c r="P127" s="2"/>
      <c r="Q127" s="2"/>
      <c r="R127" s="0" t="inlineStr">
        <is>
          <t xml:space="preserve">60 meses</t>
        </is>
      </c>
      <c r="S127" s="0" t="inlineStr">
        <is>
          <t xml:space="preserve">No</t>
        </is>
      </c>
      <c r="T127"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127" s="0" t="inlineStr">
        <is>
          <t xml:space="preserve">Cristian Mella Cisterna</t>
        </is>
      </c>
      <c r="V127" s="4" t="inlineStr">
        <is>
          <t xml:space="preserve">Contar con una infraestructura tecnológica robusta, segura y escalable que permita alojar y soportar los desarrollos tecnológicos actuales y futuros de la Fiscalía Nacional Económica.</t>
        </is>
      </c>
      <c r="W127" s="5" t="str">
        <f>HYPERLINK("https://www.mercadopublico.cl/Procurement/Modules/Attachment/ViewAttachment.aspx?enc=pLV8yHHnGrbPgBlGryL0nqpbGvK9YQvGVk9mJlS%2faZgIO1T0fPPWJ5aD3cInEWXgutvIfnFcFWP9YdnnUJ9fXwz%2bNZsa69uIrZ5MdfpZ1ie8oPrp59VL%2bRJF3jSJ%2fOP%2flvSKG%2bG46Z%2bwi6XQ9SoA923cyGbac31fPu7WkPeZJ64trZcutNuFbmPjTqjqgkfkqvcXKw9o3U5a52z%2bNpygfHkhSIRrIbyg09VIjJ3vp1go8dwanGDn36qcpq%2fSseKtZhljpYFL07GSATRxoYt0dR9xZbvcC93HbvEPk0D84JwoYKarBAB0GqbKe3aa0iod","descargar bases")</f>
      </c>
    </row>
    <row r="128">
      <c r="A128" s="0" t="inlineStr">
        <is>
          <t xml:space="preserve">976-18-O126</t>
        </is>
      </c>
      <c r="B128" s="4" t="inlineStr">
        <is>
          <t xml:space="preserve">ATIF Ampliación Plataformas Comercial y General Ad. El Loa</t>
        </is>
      </c>
      <c r="C128" s="0" t="inlineStr">
        <is>
          <t xml:space="preserve">Publicada</t>
        </is>
      </c>
      <c r="D128" s="0" t="inlineStr">
        <is>
          <t xml:space="preserve">MINISTERIO DE OBRAS PUBLICAS DIREC CION GRAL DE OO PP DCYF</t>
        </is>
      </c>
      <c r="E128" s="0" t="inlineStr">
        <is>
          <t xml:space="preserve">Dirección de Aeropuertos - MOPTT</t>
        </is>
      </c>
      <c r="F128" s="0" t="inlineStr">
        <is>
          <t xml:space="preserve">Región de Antofagasta </t>
        </is>
      </c>
      <c r="G128" s="0" t="inlineStr">
        <is>
          <t xml:space="preserve">Santiago</t>
        </is>
      </c>
      <c r="H128" s="2">
        <v>46290.38125</v>
      </c>
      <c r="I128" s="2">
        <v>46325.375</v>
      </c>
      <c r="J128" s="0">
        <v>21</v>
      </c>
      <c r="K128" s="3"/>
      <c r="L128" s="0" t="inlineStr">
        <is>
          <t xml:space="preserve">CLP</t>
        </is>
      </c>
      <c r="M128" s="0" t="inlineStr">
        <is>
          <t xml:space="preserve">O1</t>
        </is>
      </c>
      <c r="N128" s="4" t="inlineStr">
        <is>
          <t xml:space="preserve">Consultoria / Consultoria / Planificación y Factibilidad</t>
        </is>
      </c>
      <c r="O128" s="4" t="inlineStr">
        <is>
          <t xml:space="preserve">1 Unidad · Licitación Pública de Consultoria</t>
        </is>
      </c>
      <c r="P128" s="2"/>
      <c r="Q128" s="2"/>
      <c r="R128" s="0"/>
      <c r="S128" s="0" t="inlineStr">
        <is>
          <t xml:space="preserve">No</t>
        </is>
      </c>
      <c r="T128" s="4"/>
      <c r="U128" s="0"/>
      <c r="V128" s="4" t="inlineStr">
        <is>
          <t xml:space="preserve">ESTA DIRECCIÓN NECESITA CONTRATAR ASESORÍA TECNICA DE INSPECCIÓN FISCAL PARA EL CONTRATO DE OBRA AMPLICACION PLATAFORMAS COMERCIAL Y GENERAL AERÓDROMO EL LOA</t>
        </is>
      </c>
      <c r="W128" s="5" t="str">
        <f>HYPERLINK("https://www.mercadopublico.cl/Procurement/Modules/Attachment/ViewAttachment.aspx?enc=cLVhMCSkSTUqABMhWvmMRjbr%2bxgSZDAr%2bIZ96%2fSwx8TshpsoKQQtbfgbhQPigPLxjy8Y3RTiE7NiBFXZlhPolb9NDgKkqAjkQ6uHsa2U%2b1c6D1%2f1iSwPzOL5Ms9KfRIUfBHfrO5hX6%2brCKdwozGiHatt9UU9ALV7OgIBVMfFAJfce3Bu78Gx%2brmMGoQqfxk3gw5WctAbias8JlsF1cQ%2f63kPpkhdM6fZeZimnTJzxf2MtZOmdkyq4Fw431s1x7IB1PicGuYcqC4YdlnY%2fLm528f5nZBWdBNfKnwac8SN9XQZ4JDwSz018hrbHNex9boJ","descargar bases")</f>
      </c>
    </row>
    <row r="129">
      <c r="A129" s="0" t="inlineStr">
        <is>
          <t xml:space="preserve">2490-91-LP26</t>
        </is>
      </c>
      <c r="B129" s="4" t="inlineStr">
        <is>
          <t xml:space="preserve">ARRIENDO SOPORTE Y MANTENCIÓN DE GABINETES PSICOSENSOMÉTRICOS Y EQUIPOS COMPUTACIONALES CON SOFTWARE SPI INTEGRADO 2027-2031</t>
        </is>
      </c>
      <c r="C129" s="0" t="inlineStr">
        <is>
          <t xml:space="preserve">Publicada</t>
        </is>
      </c>
      <c r="D129" s="0" t="inlineStr">
        <is>
          <t xml:space="preserve">I MUNICIPALIDAD DE PROVIDENCIA</t>
        </is>
      </c>
      <c r="E129" s="0" t="inlineStr">
        <is>
          <t xml:space="preserve">Dirección de Secpla</t>
        </is>
      </c>
      <c r="F129" s="0" t="inlineStr">
        <is>
          <t xml:space="preserve">Región Metropolitana de Santiago</t>
        </is>
      </c>
      <c r="G129" s="0" t="inlineStr">
        <is>
          <t xml:space="preserve">Providencia</t>
        </is>
      </c>
      <c r="H129" s="2">
        <v>46296.700741</v>
      </c>
      <c r="I129" s="2">
        <v>46325.541667</v>
      </c>
      <c r="J129" s="0">
        <v>21</v>
      </c>
      <c r="K129" s="3">
        <v>190000000.0</v>
      </c>
      <c r="L129" s="0" t="inlineStr">
        <is>
          <t xml:space="preserve">CLP</t>
        </is>
      </c>
      <c r="M129" s="0" t="inlineStr">
        <is>
          <t xml:space="preserve">LP</t>
        </is>
      </c>
      <c r="N129" s="4" t="inlineStr">
        <is>
          <t xml:space="preserve">Equipos y suministros de defensa, orden público, protección y seguridad / Seguridad y control público / Control de tráfico</t>
        </is>
      </c>
      <c r="O129" s="4" t="inlineStr">
        <is>
          <t xml:space="preserve">1 Global · Señales de tránsito</t>
        </is>
      </c>
      <c r="P129" s="2"/>
      <c r="Q129" s="2"/>
      <c r="R129" s="0" t="inlineStr">
        <is>
          <t xml:space="preserve">48 meses</t>
        </is>
      </c>
      <c r="S129" s="0" t="inlineStr">
        <is>
          <t xml:space="preserve">No</t>
        </is>
      </c>
      <c r="T129" s="4"/>
      <c r="U129" s="0" t="inlineStr">
        <is>
          <t xml:space="preserve">Luis Barrientos Echavarría</t>
        </is>
      </c>
      <c r="V129"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129" s="5" t="str">
        <f>HYPERLINK("https://www.mercadopublico.cl/Procurement/Modules/Attachment/ViewAttachment.aspx?enc=7X4g%2fjQrQgV%2fn9bOBDajidIzSAYRLfIBccyLBbwhjKpHTWfvEK0wawH9ZJL%2fXSuKTnHbeiOzGHaExTrkpEI6GD3TASVR3qTaoHI%2blWm8D8KQwp2jQtQilVpC3fd8CgYmaViI2GaRr%2bmy6a9LngEnwE8n83%2bTlnOSaPG6bZj97gkPsISnKdB%2f4iJgd3Tk5wyeZn8d7%2bePMaNNY11auF3obd6r34yqScQHPMNBZHka%2bqJAUSKti4azM6T1ZvshuJwlowHZ3zKb5%2fU50GSO3ifDx%2bv4D4DkFf%2fbAG6J1s2IjfPvJ3sggswrLnqW5WPCMJfu","descargar bases")</f>
      </c>
    </row>
    <row r="130">
      <c r="A130" s="0" t="inlineStr">
        <is>
          <t xml:space="preserve">2982-48-LE26</t>
        </is>
      </c>
      <c r="B130" s="4" t="inlineStr">
        <is>
          <t xml:space="preserve">SERVICIO DE RENOVACIÓN Y ADQUISICIÓN DE LICENCIAS SOFTWARE DETEP - JENAED</t>
        </is>
      </c>
      <c r="C130" s="0" t="inlineStr">
        <is>
          <t xml:space="preserve">Publicada</t>
        </is>
      </c>
      <c r="D130" s="0" t="inlineStr">
        <is>
          <t xml:space="preserve">POLICIA DE INVESTIGACIONES DE CHILE</t>
        </is>
      </c>
      <c r="E130" s="0" t="inlineStr">
        <is>
          <t xml:space="preserve">JEFATURA NACIONAL DE EDUCACIÓN Y DOCTRINA (JENAED)</t>
        </is>
      </c>
      <c r="F130" s="0" t="inlineStr">
        <is>
          <t xml:space="preserve">Región Metropolitana de Santiago</t>
        </is>
      </c>
      <c r="G130" s="0" t="inlineStr">
        <is>
          <t xml:space="preserve">Estación Central</t>
        </is>
      </c>
      <c r="H130" s="2">
        <v>46303.729861</v>
      </c>
      <c r="I130" s="2">
        <v>46325.625</v>
      </c>
      <c r="J130" s="0">
        <v>21</v>
      </c>
      <c r="K130" s="3">
        <v>18063000.0</v>
      </c>
      <c r="L130" s="0" t="inlineStr">
        <is>
          <t xml:space="preserve">CLP</t>
        </is>
      </c>
      <c r="M130" s="0" t="inlineStr">
        <is>
          <t xml:space="preserve">LE</t>
        </is>
      </c>
      <c r="N130" s="4" t="inlineStr">
        <is>
          <t xml:space="preserve">Tecnologías de la información, telecomunicaciones y radiodifusión / Software / Software de gestión</t>
        </is>
      </c>
      <c r="O130" s="4" t="inlineStr">
        <is>
          <t xml:space="preserve">1 Kit · Software de gestión de licencias</t>
        </is>
      </c>
      <c r="P130" s="2"/>
      <c r="Q130" s="2"/>
      <c r="R130" s="0"/>
      <c r="S130" s="0" t="inlineStr">
        <is>
          <t xml:space="preserve">No</t>
        </is>
      </c>
      <c r="T130" s="4" t="inlineStr">
        <is>
          <t xml:space="preserve">Subcontratación permitida solo en servicios accesorios y despacho.</t>
        </is>
      </c>
      <c r="U130" s="0" t="inlineStr">
        <is>
          <t xml:space="preserve">LUIS ROJAS CASTRO</t>
        </is>
      </c>
      <c r="V130" s="4" t="inlineStr">
        <is>
          <t xml:space="preserve">Contar con las últimas actualizaciones de software, permitiendo cumplir con la alta demanda de requerimientos de capacitaciones y cursos en formato online que se llevan a cabo en término de desarrollo de aplicativos, como también permitiendo la administración y mantención proactiva de los distintos sistemas, bases de datos y plataforma de educación a distancia.</t>
        </is>
      </c>
      <c r="W130" s="5" t="str">
        <f>HYPERLINK("https://www.mercadopublico.cl/Procurement/Modules/Attachment/ViewAttachment.aspx?enc=ACr4NEhrHLrvXseS%2fUddyCXcaU5pK84kFA%2bG4MnCno4qL2cKXVsO73QyWie4mKbbBcc8XVuv7YXU31W91AR%2bzbtONKj42aA0CYkh%2fzDEUBy%2bXoccNqSFLQDqCyjGl6TmFW9HaJ2ECGAdMkfN%2b9JZapMQYOJwnKR7cbcWsohdJgk6zIpf98qU4riHfCHYN06Ymgx3jPFLTW8WraUNibhNrAjsj3H5BkTsUk3nHriFgr4Yw4MaDlXf1ZRk8qs6gCWYtI3mQAjqyVe%2fgZz%2fwDOjKqdcdISXdiEfqxF7JQejxGLwdluDSS0R3A231Gc2LY8e","descargar bases")</f>
      </c>
    </row>
    <row r="131">
      <c r="A131" s="0" t="inlineStr">
        <is>
          <t xml:space="preserve">5441-12-LP26</t>
        </is>
      </c>
      <c r="B131" s="4" t="inlineStr">
        <is>
          <t xml:space="preserve">Generador 500 kVA y Tablero de Transf. Autom. 800A</t>
        </is>
      </c>
      <c r="C131" s="0" t="inlineStr">
        <is>
          <t xml:space="preserve">Publicada</t>
        </is>
      </c>
      <c r="D131" s="0" t="inlineStr">
        <is>
          <t xml:space="preserve">UNIVERSIDAD DE CHILE</t>
        </is>
      </c>
      <c r="E131" s="0" t="inlineStr">
        <is>
          <t xml:space="preserve">UCHILE Facultad Cs.Veterinarias</t>
        </is>
      </c>
      <c r="F131" s="0" t="inlineStr">
        <is>
          <t xml:space="preserve">Región Metropolitana de Santiago</t>
        </is>
      </c>
      <c r="G131" s="0" t="inlineStr">
        <is>
          <t xml:space="preserve">La Pintana</t>
        </is>
      </c>
      <c r="H131" s="2">
        <v>46302.464919</v>
      </c>
      <c r="I131" s="2">
        <v>46328.625694</v>
      </c>
      <c r="J131" s="0">
        <v>24</v>
      </c>
      <c r="K131" s="3"/>
      <c r="L131" s="0" t="inlineStr">
        <is>
          <t xml:space="preserve">CLP</t>
        </is>
      </c>
      <c r="M131" s="0" t="inlineStr">
        <is>
          <t xml:space="preserve">LP</t>
        </is>
      </c>
      <c r="N131"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131" s="4" t="inlineStr">
        <is>
          <t xml:space="preserve">1 Unidad · Generadores diesel · 1 Unidad · Paneles de control eléctrico para generadores</t>
        </is>
      </c>
      <c r="P131" s="2"/>
      <c r="Q131" s="2"/>
      <c r="R131" s="0"/>
      <c r="S131" s="0" t="inlineStr">
        <is>
          <t xml:space="preserve">No</t>
        </is>
      </c>
      <c r="T131" s="4"/>
      <c r="U131" s="0" t="inlineStr">
        <is>
          <t xml:space="preserve">Carlos Miranda</t>
        </is>
      </c>
      <c r="V131"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131" s="5" t="str">
        <f>HYPERLINK("https://www.mercadopublico.cl/Procurement/Modules/Attachment/ViewAttachment.aspx?enc=gYqNVOF5ALeh3BtFRHe45esYfd0buoeSmzwEVw4bXLOZv9nlZtPTW0OnRLtflB0kyLw8aWtKmVnlEfGgnyKNBYF73H07JjnnVivAMj7j5zjLEZ%2f5q6O9A9mJU8inJfIitV25tSaArX4UcLkVRdQxlzXQY1f%2fwB9xyaon8XeyhPK5n%2bkaneLyvwZD%2bhk%2bJUY3PULH%2bnAdFwXXMuskDGtJUvbfOHzkVvjo6%2fVZkaAtk6QDx7gvr%2bUkJ1zG%2fRujNZbkMv2Tx%2bP1zgNt54QUfPuU2NnMfEhlbOYX1Qjc1EMdf0aK7wqBSVdS2NgF1b0iJ5tn","descargar bases")</f>
      </c>
    </row>
    <row r="132">
      <c r="A132" s="0" t="inlineStr">
        <is>
          <t xml:space="preserve">587-47-LE26</t>
        </is>
      </c>
      <c r="B132" s="4" t="inlineStr">
        <is>
          <t xml:space="preserve">RENOVACIÓN DE LICENCIAS DE SOFTWARE</t>
        </is>
      </c>
      <c r="C132" s="0" t="inlineStr">
        <is>
          <t xml:space="preserve">Publicada</t>
        </is>
      </c>
      <c r="D132" s="0" t="inlineStr">
        <is>
          <t xml:space="preserve">SUBSECRETARIA DEL MINISTERIO DE LA VIVIENDA Y URBANISMO</t>
        </is>
      </c>
      <c r="E132" s="0" t="inlineStr">
        <is>
          <t xml:space="preserve">Ministerio de Vivienda y Urbanismo(766)</t>
        </is>
      </c>
      <c r="F132" s="0" t="inlineStr">
        <is>
          <t xml:space="preserve">Región Metropolitana de Santiago</t>
        </is>
      </c>
      <c r="G132" s="0"/>
      <c r="H132" s="2">
        <v>46302.47669</v>
      </c>
      <c r="I132" s="2">
        <v>46328.631944</v>
      </c>
      <c r="J132" s="0">
        <v>24</v>
      </c>
      <c r="K132" s="3">
        <v>52000.0</v>
      </c>
      <c r="L132" s="0" t="inlineStr">
        <is>
          <t xml:space="preserve">USD</t>
        </is>
      </c>
      <c r="M132" s="0" t="inlineStr">
        <is>
          <t xml:space="preserve">LE</t>
        </is>
      </c>
      <c r="N132" s="4" t="inlineStr">
        <is>
          <t xml:space="preserve">Tecnologías de la información, telecomunicaciones y radiodifusión / Software / Software de gestión</t>
        </is>
      </c>
      <c r="O132" s="4" t="inlineStr">
        <is>
          <t xml:space="preserve">12 Unidad · Software de gestión de licencias</t>
        </is>
      </c>
      <c r="P132" s="2"/>
      <c r="Q132" s="2"/>
      <c r="R132" s="0" t="inlineStr">
        <is>
          <t xml:space="preserve">12 meses</t>
        </is>
      </c>
      <c r="S132" s="0" t="inlineStr">
        <is>
          <t xml:space="preserve">No</t>
        </is>
      </c>
      <c r="T132" s="4" t="inlineStr">
        <is>
          <t xml:space="preserve">NO PERMITE SUBCONTRATACIÓN VER PUNTO 1.13.5.7. “SUBCONTRATACIÓN” DE LAS BASES ADMINISTRATIVAS.</t>
        </is>
      </c>
      <c r="U132" s="0" t="inlineStr">
        <is>
          <t xml:space="preserve">Adrian Muñoz Brevis</t>
        </is>
      </c>
      <c r="V132"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132" s="5" t="str">
        <f>HYPERLINK("https://www.mercadopublico.cl/Procurement/Modules/Attachment/ViewAttachment.aspx?enc=J08URmxw8kj1pLIBPSsVHuO%2biPBazrfXqWWuhZH4NZpCyFLK6e%2fBebQuPEoAwRNbXQVecCSy7UuVKYqItd0nRKQZziC6QMrAnS6Og8n1gUWqO%2fxIdfOaSqBYx7w6VNVhXnegT18QirYw8XPlio1fsb4bDK%2bnerE5LCBdHihcymVRYwqWda2spneJFlrlEtQenVQDsZr%2b9PWyQa%2b27OJQ5UGnvFFZzXWaM6lOjlzHtp19A9xQg4rwl%2bvrSDzVMgNQxHmLfzPT1JLSJfJnwj4VrVSAPbXA8XS%2b2Bu8aYC%2fjV4BetrxEOTmZRHtFyGLz6mT","descargar bases")</f>
      </c>
    </row>
    <row r="133">
      <c r="A133" s="0" t="inlineStr">
        <is>
          <t xml:space="preserve">2735-149-LR26</t>
        </is>
      </c>
      <c r="B133" s="4" t="inlineStr">
        <is>
          <t xml:space="preserve">Servicio de Software de Gestión y Registro Clinico</t>
        </is>
      </c>
      <c r="C133" s="0" t="inlineStr">
        <is>
          <t xml:space="preserve">Publicada</t>
        </is>
      </c>
      <c r="D133" s="0" t="inlineStr">
        <is>
          <t xml:space="preserve">I MUNICIPALIDAD LO BARNECHEA</t>
        </is>
      </c>
      <c r="E133" s="0" t="inlineStr">
        <is>
          <t xml:space="preserve">Municipalidad de lo Barnechea - Adquisiciones - Consistorial</t>
        </is>
      </c>
      <c r="F133" s="0" t="inlineStr">
        <is>
          <t xml:space="preserve">Región Metropolitana de Santiago</t>
        </is>
      </c>
      <c r="G133" s="0" t="inlineStr">
        <is>
          <t xml:space="preserve">Lo Barnechea</t>
        </is>
      </c>
      <c r="H133" s="2">
        <v>46296.503356</v>
      </c>
      <c r="I133" s="2">
        <v>46328.645833</v>
      </c>
      <c r="J133" s="0">
        <v>24</v>
      </c>
      <c r="K133" s="3"/>
      <c r="L133" s="0" t="inlineStr">
        <is>
          <t xml:space="preserve">CLF</t>
        </is>
      </c>
      <c r="M133" s="0" t="inlineStr">
        <is>
          <t xml:space="preserve">LR</t>
        </is>
      </c>
      <c r="N133" s="4" t="inlineStr">
        <is>
          <t xml:space="preserve">Tecnologías de la información, telecomunicaciones y radiodifusión / Software / Software específico para la industria</t>
        </is>
      </c>
      <c r="O133" s="4" t="inlineStr">
        <is>
          <t xml:space="preserve">1 Unidad · Software médico</t>
        </is>
      </c>
      <c r="P133" s="2"/>
      <c r="Q133" s="2"/>
      <c r="R133" s="0" t="inlineStr">
        <is>
          <t xml:space="preserve">63 meses</t>
        </is>
      </c>
      <c r="S133" s="0" t="inlineStr">
        <is>
          <t xml:space="preserve">No</t>
        </is>
      </c>
      <c r="T133" s="4" t="inlineStr">
        <is>
          <t xml:space="preserve">Conforme a lo establecido en el numeral 16.6 de las bases administrativas</t>
        </is>
      </c>
      <c r="U133" s="0" t="inlineStr">
        <is>
          <t xml:space="preserve">Angelica Parra</t>
        </is>
      </c>
      <c r="V133"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133" s="5" t="str">
        <f>HYPERLINK("https://www.mercadopublico.cl/Procurement/Modules/Attachment/ViewAttachment.aspx?enc=jNwDvNGOZvvI6xwvzLMNzhdp1vbFWtBCbJ97yNoMkHu1nrX2%2f%2bnFCdxUkoU0Hj%2fjMcryreZ0X4f5fEzjrQOr21HVyp8bzMzR6onUCyY95lVk0fkm6x%2ftq2VqC1%2bKojyHUu%2fQApjHnAUt9ZdJHF9WZykDp7w4qX0OkIcvsvr4PQttly59VRU5wyN4wmBcnlVfl817ZwrixDDNhaXpNK8c5PZQpVSEtf7wzPW9ILRoxshhdvWHWZVk9ao1Bqg%2b4V6dWgIZrqlwcTrdaK8aidm9B4iy1jnsuFj2ao24eJjtpAPzt6sHa0%2fi%2ftJsxvTjbFim","descargar bases")</f>
      </c>
    </row>
    <row r="134">
      <c r="A134" s="0" t="inlineStr">
        <is>
          <t xml:space="preserve">621-909-LR26</t>
        </is>
      </c>
      <c r="B134" s="4" t="inlineStr">
        <is>
          <t xml:space="preserve">TERMOGRAFO DIGITAL MONITOREO TEMPERATURA 1000023277</t>
        </is>
      </c>
      <c r="C134" s="0" t="inlineStr">
        <is>
          <t xml:space="preserve">Publicada</t>
        </is>
      </c>
      <c r="D134" s="0" t="inlineStr">
        <is>
          <t xml:space="preserve">CENTRAL DE ABASTECIMIENTO DEL SISTEMA NACIONAL DE SERVICIO DE SALUD</t>
        </is>
      </c>
      <c r="E134" s="0" t="inlineStr">
        <is>
          <t xml:space="preserve">Compras del Giro 621</t>
        </is>
      </c>
      <c r="F134" s="0" t="inlineStr">
        <is>
          <t xml:space="preserve">Región Metropolitana de Santiago</t>
        </is>
      </c>
      <c r="G134" s="0" t="inlineStr">
        <is>
          <t xml:space="preserve">Santiago Centro</t>
        </is>
      </c>
      <c r="H134" s="2">
        <v>46297.536181</v>
      </c>
      <c r="I134" s="2">
        <v>46328.666667</v>
      </c>
      <c r="J134" s="0">
        <v>24</v>
      </c>
      <c r="K134" s="3">
        <v>533715000.0</v>
      </c>
      <c r="L134" s="0" t="inlineStr">
        <is>
          <t xml:space="preserve">CLP</t>
        </is>
      </c>
      <c r="M134" s="0" t="inlineStr">
        <is>
          <t xml:space="preserve">LR</t>
        </is>
      </c>
      <c r="N134" s="4" t="inlineStr">
        <is>
          <t xml:space="preserve">Equipamiento para laboratorios / Instrumentos de medida y experimentación / Instrumentos para medir temperatura y calor</t>
        </is>
      </c>
      <c r="O134" s="4" t="inlineStr">
        <is>
          <t xml:space="preserve">3000 Unidad · Termómetros de tele indicación</t>
        </is>
      </c>
      <c r="P134" s="2"/>
      <c r="Q134" s="2"/>
      <c r="R134" s="0" t="inlineStr">
        <is>
          <t xml:space="preserve">14 meses</t>
        </is>
      </c>
      <c r="S134" s="0" t="inlineStr">
        <is>
          <t xml:space="preserve">No</t>
        </is>
      </c>
      <c r="T134" s="4"/>
      <c r="U134" s="0" t="inlineStr">
        <is>
          <t xml:space="preserve">Gisela Teresa Castro Gomez</t>
        </is>
      </c>
      <c r="V134"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134" s="5" t="str">
        <f>HYPERLINK("https://www.mercadopublico.cl/Procurement/Modules/Attachment/ViewAttachment.aspx?enc=%2f19UWxxKOwkmLc1GrWtY7kwibAvu9FagOrka8o%2fpkQOoNrZ8hCYWU2gooNdUXytqfhE7pPhz8KnU4DRHl1rcgvDblbRw4QMNWC%2fzfVFkopZ%2fdQRL4%2bo%2fUEtGWqi9Dsr4OwMj1hGItNcS74CggXZ5cmj4gRG0zcgdn5X2%2fnxboOgAShuJyPhqW%2bWiI9myzfwLiI3wgfsvnHgEUW5BpIBaeZkdrWo89OeAowRlJ%2fVsZQgD1eo%2bRv6jLs6lN%2fAGRkRlx5d316NCVXsln%2fSazwFJzE6e2medcsXdBuF%2flHzNubeB3Su4R7rJ6fvQlaDbyTRE","descargar bases")</f>
      </c>
    </row>
    <row r="135">
      <c r="A135" s="0" t="inlineStr">
        <is>
          <t xml:space="preserve">2426-52-LR26</t>
        </is>
      </c>
      <c r="B135" s="4" t="inlineStr">
        <is>
          <t xml:space="preserve">DATACENTER ENLACES DE DATOS TELEFONIA E INTERNET</t>
        </is>
      </c>
      <c r="C135" s="0" t="inlineStr">
        <is>
          <t xml:space="preserve">Publicada</t>
        </is>
      </c>
      <c r="D135" s="0" t="inlineStr">
        <is>
          <t xml:space="preserve">I MUNICIPALIDAD DE VALPARAISO</t>
        </is>
      </c>
      <c r="E135" s="0" t="inlineStr">
        <is>
          <t xml:space="preserve">ADQUISICIONES MAYORES</t>
        </is>
      </c>
      <c r="F135" s="0" t="inlineStr">
        <is>
          <t xml:space="preserve">Región de Valparaíso </t>
        </is>
      </c>
      <c r="G135" s="0" t="inlineStr">
        <is>
          <t xml:space="preserve">Valparaíso</t>
        </is>
      </c>
      <c r="H135" s="2">
        <v>46297.658079</v>
      </c>
      <c r="I135" s="2">
        <v>46328.708333</v>
      </c>
      <c r="J135" s="0">
        <v>24</v>
      </c>
      <c r="K135" s="3">
        <v>40719.0</v>
      </c>
      <c r="L135" s="0" t="inlineStr">
        <is>
          <t xml:space="preserve">CLF</t>
        </is>
      </c>
      <c r="M135" s="0" t="inlineStr">
        <is>
          <t xml:space="preserve">LR</t>
        </is>
      </c>
      <c r="N135" s="4" t="inlineStr">
        <is>
          <t xml:space="preserve">Servicios basados en ingeniería, ciencias sociales y tecnología de la información / Servicios informáticos / Servicios de datos</t>
        </is>
      </c>
      <c r="O135" s="4" t="inlineStr">
        <is>
          <t xml:space="preserve">1 Unidad · Centro de servicios de datos</t>
        </is>
      </c>
      <c r="P135" s="2"/>
      <c r="Q135" s="2"/>
      <c r="R135" s="0" t="inlineStr">
        <is>
          <t xml:space="preserve">48 meses</t>
        </is>
      </c>
      <c r="S135" s="0" t="inlineStr">
        <is>
          <t xml:space="preserve">No</t>
        </is>
      </c>
      <c r="T135" s="4"/>
      <c r="U135" s="0" t="inlineStr">
        <is>
          <t xml:space="preserve">Juan Carlos Tempine</t>
        </is>
      </c>
      <c r="V135" s="4" t="inlineStr">
        <is>
          <t xml:space="preserve">SERVICIOS DE DATA CENTER, ENLACES DE DATOS, TELEFONÍA E INTERNET PARA LA MUNICIPALIDAD DE VALPARAÍSO</t>
        </is>
      </c>
      <c r="W135" s="5" t="str">
        <f>HYPERLINK("https://www.mercadopublico.cl/Procurement/Modules/Attachment/ViewAttachment.aspx?enc=KIevwXQPkY%2bfjN1m9DWKhLgsLViJ9bOf4rHmdA75dQCwDPgdZjk3DO5NFYQsGscBTylFiqIjKgi24VGrbz9RhvDzNEt66OQdGIDWVMuaOygf2INQZpcvHs5OYVabvRvg8X0GTzNho1TZ%2fnoHlxvxKjBCLGPtVg9OM5tu6Ui5u4dUyIsAal4f24KGXFyEX29wDvwUeyFhLwK0Fkq%2blalWFzFrP3x5arijcKtog%2fb91j8htNSmuW8DnkDuiKbilmu36PacQvIb%2fgpjss3%2fLC81CFp7RxGIuuag4MBTP%2fz7nQhhLM85nnWaH4mh4i3ujJoi","descargar bases")</f>
      </c>
    </row>
    <row r="136">
      <c r="A136" s="0" t="inlineStr">
        <is>
          <t xml:space="preserve">4127-51-LR26</t>
        </is>
      </c>
      <c r="B136" s="4" t="inlineStr">
        <is>
          <t xml:space="preserve">[DIGEDEP]Cursos M-Learning Plataforma SIAD 26-27</t>
        </is>
      </c>
      <c r="C136" s="0" t="inlineStr">
        <is>
          <t xml:space="preserve">Publicada</t>
        </is>
      </c>
      <c r="D136" s="0" t="inlineStr">
        <is>
          <t xml:space="preserve">SUBSECRETARIA DE SALUD PUBLICA</t>
        </is>
      </c>
      <c r="E136" s="0" t="inlineStr">
        <is>
          <t xml:space="preserve">Subsecretaria de Redes Asistenciales</t>
        </is>
      </c>
      <c r="F136" s="0" t="inlineStr">
        <is>
          <t xml:space="preserve">Región Metropolitana de Santiago</t>
        </is>
      </c>
      <c r="G136" s="0" t="inlineStr">
        <is>
          <t xml:space="preserve">Santiago</t>
        </is>
      </c>
      <c r="H136" s="2">
        <v>46300.445336</v>
      </c>
      <c r="I136" s="2">
        <v>46330.625</v>
      </c>
      <c r="J136" s="0">
        <v>26</v>
      </c>
      <c r="K136" s="3"/>
      <c r="L136" s="0" t="inlineStr">
        <is>
          <t xml:space="preserve">CLP</t>
        </is>
      </c>
      <c r="M136" s="0" t="inlineStr">
        <is>
          <t xml:space="preserve">LR</t>
        </is>
      </c>
      <c r="N136" s="4" t="inlineStr">
        <is>
          <t xml:space="preserve">Educación, formación, entrenamiento y capacitación / Sistemas educativos complementarios / Educación de adultos</t>
        </is>
      </c>
      <c r="O136" s="4" t="inlineStr">
        <is>
          <t xml:space="preserve">1 Unidad · Capacitación a empleados</t>
        </is>
      </c>
      <c r="P136" s="2"/>
      <c r="Q136" s="2"/>
      <c r="R136" s="0" t="inlineStr">
        <is>
          <t xml:space="preserve">12 meses</t>
        </is>
      </c>
      <c r="S136" s="0" t="inlineStr">
        <is>
          <t xml:space="preserve">No</t>
        </is>
      </c>
      <c r="T136" s="4"/>
      <c r="U136" s="0" t="inlineStr">
        <is>
          <t xml:space="preserve">Ana Osorio Yeuto</t>
        </is>
      </c>
      <c r="V136" s="4" t="inlineStr">
        <is>
          <t xml:space="preserve">Los servicios que considera este programa Sistema de Aprendizaje a Distancia SIAD son Despliegue de Cursos M- Learning, Desarrollo de Cursos Moodle, Actualizaciones Cursos Moodle Bacoffice para platafoma SIAD 2026 - 2027.</t>
        </is>
      </c>
      <c r="W136" s="5" t="str">
        <f>HYPERLINK("https://www.mercadopublico.cl/Procurement/Modules/Attachment/ViewAttachment.aspx?enc=AvddI3O7khz2YUO3wkev8i%2b1as9ACajW6%2bkhHWqsjxFX3Q7c%2fZKjS3UZCI7DLRu885ROsg3Rz1nAf940ZY9g9vHGjApIdP%2bzWQ8oc8Hzm2mNTF12pHb3SN219zSVaz6UKtll%2bs3eXXzy29wd5sPbEJLgtBvX9p4OGmyAtUoinSVghjoSffYYgqbVSQhI00%2fZqs%2bb5257a3kJhUcxgE4y9JwyjxtT9ZKMKeEI1nwguxw49ytuqEMnRKg5LotCdpMbIDoezcizgvkc4i17wCCL7ZsHkMabUvAPsStCb6VL5CUwqplLJdbbcm6vMMBTx9GR","descargar bases")</f>
      </c>
    </row>
    <row r="137">
      <c r="A137" s="0" t="inlineStr">
        <is>
          <t xml:space="preserve">1020-54-LP26</t>
        </is>
      </c>
      <c r="B137" s="4" t="inlineStr">
        <is>
          <t xml:space="preserve">Administración y Mantención de Bases de Datos MOP</t>
        </is>
      </c>
      <c r="C137" s="0" t="inlineStr">
        <is>
          <t xml:space="preserve">Publicada</t>
        </is>
      </c>
      <c r="D137" s="0" t="inlineStr">
        <is>
          <t xml:space="preserve">MINISTERIO DE OBRAS PUBLICAS DIREC CION GRAL DE OO PP DCYF</t>
        </is>
      </c>
      <c r="E137" s="0" t="inlineStr">
        <is>
          <t xml:space="preserve">MOP Subsecretaría </t>
        </is>
      </c>
      <c r="F137" s="0" t="inlineStr">
        <is>
          <t xml:space="preserve">Región Metropolitana de Santiago</t>
        </is>
      </c>
      <c r="G137" s="0"/>
      <c r="H137" s="2">
        <v>46303.478727</v>
      </c>
      <c r="I137" s="2">
        <v>46332.625</v>
      </c>
      <c r="J137" s="0">
        <v>28</v>
      </c>
      <c r="K137" s="3">
        <v>174000000.0</v>
      </c>
      <c r="L137" s="0" t="inlineStr">
        <is>
          <t xml:space="preserve">CLP</t>
        </is>
      </c>
      <c r="M137" s="0" t="inlineStr">
        <is>
          <t xml:space="preserve">LP</t>
        </is>
      </c>
      <c r="N137" s="4" t="inlineStr">
        <is>
          <t xml:space="preserve">Servicios profesionales, administrativos y consultorías de gestión empresarial / Servicios de recursos humanos / Contratación de personal</t>
        </is>
      </c>
      <c r="O137" s="4" t="inlineStr">
        <is>
          <t xml:space="preserve">24 Mes · Administradores de bases de datos</t>
        </is>
      </c>
      <c r="P137" s="2"/>
      <c r="Q137" s="2"/>
      <c r="R137" s="0" t="inlineStr">
        <is>
          <t xml:space="preserve">25 meses</t>
        </is>
      </c>
      <c r="S137" s="0" t="inlineStr">
        <is>
          <t xml:space="preserve">No</t>
        </is>
      </c>
      <c r="T137" s="4" t="inlineStr">
        <is>
          <t xml:space="preserve">Según 10.5 de las BA El oferente adjudicado no podrá subcontratar los servicios derivados de la ejecución del Contrato</t>
        </is>
      </c>
      <c r="U137" s="0" t="inlineStr">
        <is>
          <t xml:space="preserve">Francisco Borquez</t>
        </is>
      </c>
      <c r="V137"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137" s="5" t="str">
        <f>HYPERLINK("https://www.mercadopublico.cl/Procurement/Modules/Attachment/ViewAttachment.aspx?enc=91ZlK2Fe5j4kG%2bUWhNi9V1YkgS7NCafrmprFFBFfn7%2bj7oAFVzPhcur96ZTUDdfgVE8ZBpbFMBT1LnA8eoyDycxHxboFy68gZS5p0q0T4OASmaEE5HB9QyAbTwFwAeIXIzwKlvCYFl2KMFAz5JRru1A6zLIcf14t5g0lvtXbEeOigi%2fDnReG%2bORJXoeePCaHcedaG15JbedBqAnBsWKKgPzt3Ttqna6taH5QDHa0HyigyiA3zwICl6geWkbUsk5PwzOiOoU%2bM9sPDrDRIHyN7yTm5PD5hD71yOhqZa1qnCj03px7rV3nr%2bDCGfwrZdGn","descargar bases")</f>
      </c>
    </row>
    <row r="138">
      <c r="A138" s="0" t="inlineStr">
        <is>
          <t xml:space="preserve">605-17-LP26</t>
        </is>
      </c>
      <c r="B138" s="4" t="inlineStr">
        <is>
          <t xml:space="preserve">TELEFONÍA FIJA Y RED PRIVADA DE DATOS</t>
        </is>
      </c>
      <c r="C138" s="0" t="inlineStr">
        <is>
          <t xml:space="preserve">Publicada</t>
        </is>
      </c>
      <c r="D138" s="0" t="inlineStr">
        <is>
          <t xml:space="preserve">Consejo de Defensa del Estado</t>
        </is>
      </c>
      <c r="E138" s="0" t="inlineStr">
        <is>
          <t xml:space="preserve">Consejo de Defensa del Estado</t>
        </is>
      </c>
      <c r="F138" s="0" t="inlineStr">
        <is>
          <t xml:space="preserve">Región Metropolitana de Santiago</t>
        </is>
      </c>
      <c r="G138" s="0" t="inlineStr">
        <is>
          <t xml:space="preserve">Santiago</t>
        </is>
      </c>
      <c r="H138" s="2">
        <v>46267.454861</v>
      </c>
      <c r="I138" s="2">
        <v>46332.625</v>
      </c>
      <c r="J138" s="0">
        <v>28</v>
      </c>
      <c r="K138" s="3">
        <v>8500.0</v>
      </c>
      <c r="L138" s="0" t="inlineStr">
        <is>
          <t xml:space="preserve">CLF</t>
        </is>
      </c>
      <c r="M138" s="0" t="inlineStr">
        <is>
          <t xml:space="preserve">LP</t>
        </is>
      </c>
      <c r="N138" s="4" t="inlineStr">
        <is>
          <t xml:space="preserve">Servicios básicos y de información pública / Telecomunicaciones / Telefonía local y de larga distancia</t>
        </is>
      </c>
      <c r="O138" s="4" t="inlineStr">
        <is>
          <t xml:space="preserve">1 Unidad · Servicio telefónico local · 1 Unidad · Servicio de comunicación IP</t>
        </is>
      </c>
      <c r="P138" s="2"/>
      <c r="Q138" s="2"/>
      <c r="R138" s="0" t="inlineStr">
        <is>
          <t xml:space="preserve">24 meses</t>
        </is>
      </c>
      <c r="S138" s="0" t="inlineStr">
        <is>
          <t xml:space="preserve">No</t>
        </is>
      </c>
      <c r="T138"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38" s="0" t="inlineStr">
        <is>
          <t xml:space="preserve">IVANHOE AGUIRRE RIVERA</t>
        </is>
      </c>
      <c r="V138"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38" s="5" t="str">
        <f>HYPERLINK("https://www.mercadopublico.cl/Procurement/Modules/Attachment/ViewAttachment.aspx?enc=JElIO7aJr139IcASrDCyCiDVpCrcqkp%2bMzyf3trbfVF3Stp4RhTI%2bcKz4UDF9vOz4AvUjTk5LE3QoDQWfnmIka0LtoFULB%2fBoAvxe92gmbrIXga8z9%2bKyA0FW6iuDTegJXuHScMQTmH2jS3MD6mOfrfr3qfh4t15GTG2Mci0j4ziv7Rg6lhsNxW6OeMjfGwg152rEAg4xgxFOUWsttA0p7XWYegSLJ%2bm5CjKuGrnHFT2gb6B7woh3Mxs1JSH4MmHwJ3%2b0ICWZQG6jUF4It9Z3329Of2bVnKh3rnKccIn6iewcVNX5h3pEqR4GXc6axbg","descargar bases")</f>
      </c>
    </row>
    <row r="139">
      <c r="A139" s="0" t="inlineStr">
        <is>
          <t xml:space="preserve">2421-52-LR26</t>
        </is>
      </c>
      <c r="B139" s="4" t="inlineStr">
        <is>
          <t xml:space="preserve">SUMINISTRO SERVICIO DE TELECOMUNICACIONES DATOS Y VOZ</t>
        </is>
      </c>
      <c r="C139" s="0" t="inlineStr">
        <is>
          <t xml:space="preserve">Publicada</t>
        </is>
      </c>
      <c r="D139" s="0" t="inlineStr">
        <is>
          <t xml:space="preserve">I MUNICIPALIDAD DE CONCEPCION</t>
        </is>
      </c>
      <c r="E139" s="0" t="inlineStr">
        <is>
          <t xml:space="preserve">DIRECCION DE SALUD MUNICIPAL DE CONCEPCION</t>
        </is>
      </c>
      <c r="F139" s="0" t="inlineStr">
        <is>
          <t xml:space="preserve">Región del Biobío </t>
        </is>
      </c>
      <c r="G139" s="0" t="inlineStr">
        <is>
          <t xml:space="preserve">Concepción</t>
        </is>
      </c>
      <c r="H139" s="2">
        <v>46303.407569</v>
      </c>
      <c r="I139" s="2">
        <v>46335.625</v>
      </c>
      <c r="J139" s="0">
        <v>31</v>
      </c>
      <c r="K139" s="3"/>
      <c r="L139" s="0" t="inlineStr">
        <is>
          <t xml:space="preserve">CLP</t>
        </is>
      </c>
      <c r="M139" s="0" t="inlineStr">
        <is>
          <t xml:space="preserve">LR</t>
        </is>
      </c>
      <c r="N139" s="4" t="inlineStr">
        <is>
          <t xml:space="preserve">Servicios básicos y de información pública / Telecomunicaciones / Telefonía local y de larga distancia</t>
        </is>
      </c>
      <c r="O139" s="4" t="inlineStr">
        <is>
          <t xml:space="preserve">1 Unidad · Servicio telefónico local · 1 Unidad · Servicio telefónico local</t>
        </is>
      </c>
      <c r="P139" s="2"/>
      <c r="Q139" s="2"/>
      <c r="R139" s="0" t="inlineStr">
        <is>
          <t xml:space="preserve">60 meses</t>
        </is>
      </c>
      <c r="S139" s="0" t="inlineStr">
        <is>
          <t xml:space="preserve">No</t>
        </is>
      </c>
      <c r="T139" s="4"/>
      <c r="U139" s="0" t="inlineStr">
        <is>
          <t xml:space="preserve">MARCELO SEPULVEDA</t>
        </is>
      </c>
      <c r="V139" s="4" t="inlineStr">
        <is>
          <t xml:space="preserve">LA DIRECCION DE SALUD DE CONCEPCION SOLICITA LA ADQUISICION DE SUMINISTRO DE SERVICIO DE TELECOMUNICACIONES DE DATOS Y VOZ POR UN PLAZO DE 60 MESES.</t>
        </is>
      </c>
      <c r="W139" s="5" t="str">
        <f>HYPERLINK("https://www.mercadopublico.cl/Procurement/Modules/Attachment/ViewAttachment.aspx?enc=9zVriscYtoafjHiKHThb%2fAscR%2btBIrF2xmmJt3UnJCuvI9j3uW%2f48XYkO64aT%2flD1ACkQkcOyG9Qe57l4%2bAMhVXiHOORMytK8J46%2fh4NDVIVeXi%2bRFFFOOPQh6FXbdZljbOTIOjkCd%2b5p6Ct3MNlpOpmnQkQ5U35hrbyvNJKeh19RgRI9gvnlMa8taHq0%2fIj1oLMdGfKNOz7Q4A9yEl3jAOMDKTacD5h9L5Z6gDOz4TiKfkcCIkYhuhV0bgtEv1xscrq6MIS1DXF2eg0%2bhymLUaUpHF%2b7O%2fAwmBa6FncqRdOPa1cX8u5KdVbGf2Sx6U%2f","descargar bases")</f>
      </c>
    </row>
    <row r="140">
      <c r="A140" s="0" t="inlineStr">
        <is>
          <t xml:space="preserve">1260-17-LP26</t>
        </is>
      </c>
      <c r="B140" s="4" t="inlineStr">
        <is>
          <t xml:space="preserve">NARRATIVAS DIGITALES Y PRODUCCION CONTENIDOS</t>
        </is>
      </c>
      <c r="C140" s="0" t="inlineStr">
        <is>
          <t xml:space="preserve">Publicada</t>
        </is>
      </c>
      <c r="D140" s="0" t="inlineStr">
        <is>
          <t xml:space="preserve">GOBIERNO REGIONAL REGION METROPOLITANA</t>
        </is>
      </c>
      <c r="E140" s="0" t="inlineStr">
        <is>
          <t xml:space="preserve">ADQUISICIONES - PROGRAMA 01</t>
        </is>
      </c>
      <c r="F140" s="0" t="inlineStr">
        <is>
          <t xml:space="preserve">Región Metropolitana de Santiago</t>
        </is>
      </c>
      <c r="G140" s="0"/>
      <c r="H140" s="2">
        <v>46303.472778</v>
      </c>
      <c r="I140" s="2">
        <v>46335.645833</v>
      </c>
      <c r="J140" s="0">
        <v>31</v>
      </c>
      <c r="K140" s="3">
        <v>160650000.0</v>
      </c>
      <c r="L140" s="0" t="inlineStr">
        <is>
          <t xml:space="preserve">CLP</t>
        </is>
      </c>
      <c r="M140" s="0" t="inlineStr">
        <is>
          <t xml:space="preserve">LP</t>
        </is>
      </c>
      <c r="N140" s="4" t="inlineStr">
        <is>
          <t xml:space="preserve">Servicios profesionales, administrativos y consultorías de gestión empresarial / Servicios para la comercialización y distribución / Ventas y marketing</t>
        </is>
      </c>
      <c r="O140" s="4" t="inlineStr">
        <is>
          <t xml:space="preserve">1 Unidad · Agencias de marketing de ventas, incluidas las impresiones</t>
        </is>
      </c>
      <c r="P140" s="2"/>
      <c r="Q140" s="2"/>
      <c r="R140" s="0" t="inlineStr">
        <is>
          <t xml:space="preserve">365 días</t>
        </is>
      </c>
      <c r="S140" s="0" t="inlineStr">
        <is>
          <t xml:space="preserve">No</t>
        </is>
      </c>
      <c r="T140" s="4"/>
      <c r="U140" s="0" t="inlineStr">
        <is>
          <t xml:space="preserve">Joaquín Orellana Calderón</t>
        </is>
      </c>
      <c r="V140"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140" s="5" t="str">
        <f>HYPERLINK("https://www.mercadopublico.cl/Procurement/Modules/Attachment/ViewAttachment.aspx?enc=3awQI2fafPimum3h7r5MPcMrH6Czulz%2bheSZdmUe4ALVUjM1%2fpzxu0oYLzaPMZ9OFew31yLqkQ5RBUm3J0p3BxWsY3kvOJS%2fHrpLemlMOM35rdfNev5xC3sAtgORJDSlJFxloQZWuBL4g32qQFtkAgvr1ov6zvIwR5fwQ7Y8Jo0BgL8zmh4hr53%2bh%2bmqzfRzz3QU%2fPRS9RtfHWxE%2ftSrnbXe7ahZ6n08WAW3ATuItLouvyb1jb%2fI2Me%2bu3MYo%2fBhHFCGwyMvxTtijW8fkwHtV7jfNgMdzsRYKW7kyibIvRjdVesxL5CVHpvn5kbKDu1%2b","descargar bases")</f>
      </c>
    </row>
    <row r="141">
      <c r="A141" s="0" t="inlineStr">
        <is>
          <t xml:space="preserve">1057898-85-LR26</t>
        </is>
      </c>
      <c r="B141" s="4" t="inlineStr">
        <is>
          <t xml:space="preserve">ADQUISICIÓN DE SOFTWARES HIS-ESB-BI Y ERP PARA EL NUEVO HOSPITAL REGIONAL DE ÑUBLE</t>
        </is>
      </c>
      <c r="C141" s="0" t="inlineStr">
        <is>
          <t xml:space="preserve">Publicada</t>
        </is>
      </c>
      <c r="D141" s="0" t="inlineStr">
        <is>
          <t xml:space="preserve">SERVICIO DE SALUD NUBLE</t>
        </is>
      </c>
      <c r="E141" s="0" t="inlineStr">
        <is>
          <t xml:space="preserve">Activos Fijos</t>
        </is>
      </c>
      <c r="F141" s="0" t="inlineStr">
        <is>
          <t xml:space="preserve">Región del Ñuble</t>
        </is>
      </c>
      <c r="G141" s="0" t="inlineStr">
        <is>
          <t xml:space="preserve">Chillán</t>
        </is>
      </c>
      <c r="H141" s="2">
        <v>46304.500741</v>
      </c>
      <c r="I141" s="2">
        <v>46349.708333</v>
      </c>
      <c r="J141" s="0">
        <v>45</v>
      </c>
      <c r="K141" s="3">
        <v>19373825000.0</v>
      </c>
      <c r="L141" s="0" t="inlineStr">
        <is>
          <t xml:space="preserve">CLP</t>
        </is>
      </c>
      <c r="M141" s="0" t="inlineStr">
        <is>
          <t xml:space="preserve">LR</t>
        </is>
      </c>
      <c r="N141" s="4" t="inlineStr">
        <is>
          <t xml:space="preserve">Tecnologías de la información, telecomunicaciones y radiodifusión / Software / Software de administración de redes</t>
        </is>
      </c>
      <c r="O141" s="4" t="inlineStr">
        <is>
          <t xml:space="preserve">1 Global · Software de administración · 1 Global · Software de administración</t>
        </is>
      </c>
      <c r="P141" s="2"/>
      <c r="Q141" s="2"/>
      <c r="R141" s="0" t="inlineStr">
        <is>
          <t xml:space="preserve">96 meses</t>
        </is>
      </c>
      <c r="S141" s="0" t="inlineStr">
        <is>
          <t xml:space="preserve">No</t>
        </is>
      </c>
      <c r="T141" s="4"/>
      <c r="U141" s="0" t="inlineStr">
        <is>
          <t xml:space="preserve">RODOLFO JIMENEZ</t>
        </is>
      </c>
      <c r="V141" s="4" t="inlineStr">
        <is>
          <t xml:space="preserve">El Servicio de Salud Ñuble requiere efectuar la ADQUISICIÓN DE SOFTWARES HIS-ESB-BI Y ERP PARA EL NUEVO HOSPITAL REGIONAL DE ÑUBLE, de acuerdo a las Bases Administrativas adjuntas y sus respectivos Anexos.</t>
        </is>
      </c>
      <c r="W141" s="5" t="str">
        <f>HYPERLINK("https://www.mercadopublico.cl/Procurement/Modules/Attachment/ViewAttachment.aspx?enc=8TRwsDLltpdT7u3c6j52QCbcB0EQgiTXqetTGi1lIX5w4PwKiXidbOhiNzZMJDASbvVcED8wgH4fpwIaIc2geZdgYKGoTbbgsZfp%2fOArRhY4tQeC4lhecs%2b8aNvMuXDEFXBoEHPjuGPtm0veswIJSmin7YR7paFy3fSxS4BGBtj2ToFlDE7VBIyOMLxS62NiHvCK05SWlZp0KCclcB6CE%2b%2fAspqQbY4SX8LEbtCA5BzQi%2f%2fUc7vlkCAV1gtQgQ4FxBOgTi634DRYnsKMUmmHsGC%2b%2b0JNd7yk1R35fLG%2fqUfR52ZzqKV18ABrCqXsHXiH","descargar bases")</f>
      </c>
    </row>
    <row r="142">
      <c r="A142" s="0" t="inlineStr">
        <is>
          <t xml:space="preserve">1969-34-LS19</t>
        </is>
      </c>
      <c r="B142" s="4" t="inlineStr">
        <is>
          <t xml:space="preserve">AUTOMATIZACIÓN PORTÓN ACCESO A LINEA DE FUEGO</t>
        </is>
      </c>
      <c r="C142" s="0" t="inlineStr">
        <is>
          <t xml:space="preserve">Publicada</t>
        </is>
      </c>
      <c r="D142" s="0" t="inlineStr">
        <is>
          <t xml:space="preserve">DIRECCION GENERAL DE GENDARMERIA DE CHIL</t>
        </is>
      </c>
      <c r="E142" s="0" t="inlineStr">
        <is>
          <t xml:space="preserve">Región del Bio Bío</t>
        </is>
      </c>
      <c r="F142" s="0" t="inlineStr">
        <is>
          <t xml:space="preserve">Región del Biobío </t>
        </is>
      </c>
      <c r="G142" s="0" t="inlineStr">
        <is>
          <t xml:space="preserve">Concepción</t>
        </is>
      </c>
      <c r="H142" s="2">
        <v>43588.74809</v>
      </c>
      <c r="I142" s="2"/>
      <c r="J142" s="0"/>
      <c r="K142" s="3"/>
      <c r="L142" s="0" t="inlineStr">
        <is>
          <t xml:space="preserve">CLP</t>
        </is>
      </c>
      <c r="M142" s="0" t="inlineStr">
        <is>
          <t xml:space="preserve">LS</t>
        </is>
      </c>
      <c r="N142" s="4" t="inlineStr">
        <is>
          <t xml:space="preserve">Artículos para estructuras, obras y construcciones / Puertas, ventanas y vidrios / Puertas</t>
        </is>
      </c>
      <c r="O142" s="4" t="inlineStr">
        <is>
          <t xml:space="preserve">1 Unidad · Puertas de metal</t>
        </is>
      </c>
      <c r="P142" s="2"/>
      <c r="Q142" s="2"/>
      <c r="R142" s="0"/>
      <c r="S142" s="0" t="inlineStr">
        <is>
          <t xml:space="preserve">No</t>
        </is>
      </c>
      <c r="T142" s="4"/>
      <c r="U142" s="0" t="inlineStr">
        <is>
          <t xml:space="preserve">Héctor Polma Lillo</t>
        </is>
      </c>
      <c r="V142" s="4" t="inlineStr">
        <is>
          <t xml:space="preserve">AUTOMATIZACIÓN DE PORTÓN ACCESO A LINEA DE FUEGO C.P. CONCEPCIÓN</t>
        </is>
      </c>
      <c r="W142" s="5" t="str">
        <f>HYPERLINK("https://www.mercadopublico.cl/Procurement/Modules/Attachment/ViewAttachment.aspx?enc=fcuo4W8rt2mxR%2brxW8VTysK4w6%2ba5QSRmtukPwr3c9LYtZO8iXC%2fp2A7VcqTvMMgeO0viTlIhcvjKRjVYcWWB4SHMjMFASODJAIAEamt7eQOqxxokE%2b%2b4Ccy7UITRr%2ffGDjA9H1jGK8I3sNsf0wmUN9a3gEuQfIkYATXG7H4dukAVdGflcO66%2f6JX345V15lkto3%2b8eXlM4po9jgmjjbA2Z5haLqQNwh%2fA03q3Eobv1ysRcXRS6fdkHkVhfEjPotXqCZeSQoYI6SLkKcLV3%2bCYQIWYIC2AUS41EtJ2OqDc8v0ujtDvUrxgITgdX3rYG2","descargar bases")</f>
      </c>
    </row>
  </sheetData>
  <autoFilter ref="A1:W142"/>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3413-12-LE26</t>
        </is>
      </c>
      <c r="B2" s="4" t="inlineStr">
        <is>
          <t xml:space="preserve">Adquisicion de elementos informaticos para la VIDE</t>
        </is>
      </c>
      <c r="C2" s="0">
        <v>1</v>
      </c>
      <c r="D2" s="4" t="inlineStr">
        <is>
          <t xml:space="preserve">Software de gestión de licencias</t>
        </is>
      </c>
      <c r="E2" s="4" t="inlineStr">
        <is>
          <t xml:space="preserve">Tecnologías de la información, telecomunicaciones y radiodifusión / Software / Software de gestión</t>
        </is>
      </c>
      <c r="F2" s="0">
        <v>6.0</v>
      </c>
      <c r="G2" s="0" t="inlineStr">
        <is>
          <t xml:space="preserve">Unidad</t>
        </is>
      </c>
      <c r="H2" s="4" t="inlineStr">
        <is>
          <t xml:space="preserve">LICENCIA OFFICE HOGAR Y EMPRESAS 2024, CONFORME A BASES TÉCNICAS.</t>
        </is>
      </c>
    </row>
    <row r="3">
      <c r="A3" s="0" t="inlineStr">
        <is>
          <t xml:space="preserve">3413-12-LE26</t>
        </is>
      </c>
      <c r="B3" s="4" t="inlineStr">
        <is>
          <t xml:space="preserve">Adquisicion de elementos informaticos para la VIDE</t>
        </is>
      </c>
      <c r="C3" s="0">
        <v>2</v>
      </c>
      <c r="D3" s="4" t="inlineStr">
        <is>
          <t xml:space="preserve">Perforadoras impresoras</t>
        </is>
      </c>
      <c r="E3" s="4" t="inlineStr">
        <is>
          <t xml:space="preserve">Equipos y suministros de imprenta, fotográficos y audiovisuales / Equipos de imprenta y publicación / Accesorios de imprenta</t>
        </is>
      </c>
      <c r="F3" s="0">
        <v>6.0</v>
      </c>
      <c r="G3" s="0" t="inlineStr">
        <is>
          <t xml:space="preserve">Unidad</t>
        </is>
      </c>
      <c r="H3" s="4" t="inlineStr">
        <is>
          <t xml:space="preserve">IMPRESORA EQUIVALENTE A EPSON ECOTAK L6370 USB CONFORME A BASES TECNICAS</t>
        </is>
      </c>
    </row>
    <row r="4">
      <c r="A4" s="0" t="inlineStr">
        <is>
          <t xml:space="preserve">3413-12-LE26</t>
        </is>
      </c>
      <c r="B4" s="4" t="inlineStr">
        <is>
          <t xml:space="preserve">Adquisicion de elementos informaticos para la VIDE</t>
        </is>
      </c>
      <c r="C4" s="0">
        <v>3</v>
      </c>
      <c r="D4" s="4" t="inlineStr">
        <is>
          <t xml:space="preserve">Escáner</t>
        </is>
      </c>
      <c r="E4" s="4" t="inlineStr">
        <is>
          <t xml:space="preserve">Tecnologías de la información, telecomunicaciones y radiodifusión / Equipos informáticos y accesorios / Dispositivos informáticos de entrada de datos</t>
        </is>
      </c>
      <c r="F4" s="0">
        <v>6.0</v>
      </c>
      <c r="G4" s="0" t="inlineStr">
        <is>
          <t xml:space="preserve">Unidad</t>
        </is>
      </c>
      <c r="H4" s="4" t="inlineStr">
        <is>
          <t xml:space="preserve">ESCANER PROFESIONAL EQUIVALENTE A BROTHER ADS 4900W, CONFORME A BASES TECNICAS.</t>
        </is>
      </c>
    </row>
    <row r="5">
      <c r="A5" s="0" t="inlineStr">
        <is>
          <t xml:space="preserve">1111089-20-LE26</t>
        </is>
      </c>
      <c r="B5" s="4" t="inlineStr">
        <is>
          <t xml:space="preserve">LICENCIAS DE SOFTWARE Y COMPLEMENTOS TECNOLÓGICOS</t>
        </is>
      </c>
      <c r="C5" s="0">
        <v>1</v>
      </c>
      <c r="D5" s="4" t="inlineStr">
        <is>
          <t xml:space="preserve">Software de servidor de aplicaciones</t>
        </is>
      </c>
      <c r="E5" s="4" t="inlineStr">
        <is>
          <t xml:space="preserve">Tecnologías de la información, telecomunicaciones y radiodifusión / Software / Software de aplicaciones de red</t>
        </is>
      </c>
      <c r="F5" s="0">
        <v>1.0</v>
      </c>
      <c r="G5" s="0" t="inlineStr">
        <is>
          <t xml:space="preserve">Unidad</t>
        </is>
      </c>
      <c r="H5" s="4" t="inlineStr">
        <is>
          <t xml:space="preserve">Renovación de licencia de Adobe Creative Cloud (o equivalente) por un año, con modalidad VIP</t>
        </is>
      </c>
    </row>
    <row r="6">
      <c r="A6" s="0" t="inlineStr">
        <is>
          <t xml:space="preserve">1111089-20-LE26</t>
        </is>
      </c>
      <c r="B6" s="4" t="inlineStr">
        <is>
          <t xml:space="preserve">LICENCIAS DE SOFTWARE Y COMPLEMENTOS TECNOLÓGICOS</t>
        </is>
      </c>
      <c r="C6" s="0">
        <v>2</v>
      </c>
      <c r="D6" s="4" t="inlineStr">
        <is>
          <t xml:space="preserve">Software de compresión de datos</t>
        </is>
      </c>
      <c r="E6" s="4" t="inlineStr">
        <is>
          <t xml:space="preserve">Tecnologías de la información, telecomunicaciones y radiodifusión / Software / Software de controladores de dispositivos y utilidades</t>
        </is>
      </c>
      <c r="F6" s="0">
        <v>1.0</v>
      </c>
      <c r="G6" s="0" t="inlineStr">
        <is>
          <t xml:space="preserve">Unidad</t>
        </is>
      </c>
      <c r="H6" s="4" t="inlineStr">
        <is>
          <t xml:space="preserve">Licencia ACL analytics (o equivalente) por un año</t>
        </is>
      </c>
    </row>
    <row r="7">
      <c r="A7" s="0" t="inlineStr">
        <is>
          <t xml:space="preserve">1111089-20-LE26</t>
        </is>
      </c>
      <c r="B7" s="4" t="inlineStr">
        <is>
          <t xml:space="preserve">LICENCIAS DE SOFTWARE Y COMPLEMENTOS TECNOLÓGICOS</t>
        </is>
      </c>
      <c r="C7" s="0">
        <v>3</v>
      </c>
      <c r="D7" s="4" t="inlineStr">
        <is>
          <t xml:space="preserve">Software de servidor de aplicaciones</t>
        </is>
      </c>
      <c r="E7" s="4" t="inlineStr">
        <is>
          <t xml:space="preserve">Tecnologías de la información, telecomunicaciones y radiodifusión / Software / Software de aplicaciones de red</t>
        </is>
      </c>
      <c r="F7" s="0">
        <v>1.0</v>
      </c>
      <c r="G7" s="0" t="inlineStr">
        <is>
          <t xml:space="preserve">Unidad</t>
        </is>
      </c>
      <c r="H7" s="4" t="inlineStr">
        <is>
          <t xml:space="preserve">Licencias Pulsar (o equivalente) por un año</t>
        </is>
      </c>
    </row>
    <row r="8">
      <c r="A8" s="0" t="inlineStr">
        <is>
          <t xml:space="preserve">1111089-20-LE26</t>
        </is>
      </c>
      <c r="B8" s="4" t="inlineStr">
        <is>
          <t xml:space="preserve">LICENCIAS DE SOFTWARE Y COMPLEMENTOS TECNOLÓGICOS</t>
        </is>
      </c>
      <c r="C8" s="0">
        <v>4</v>
      </c>
      <c r="D8" s="4" t="inlineStr">
        <is>
          <t xml:space="preserve">Software de edición y creación de páginas Web</t>
        </is>
      </c>
      <c r="E8" s="4" t="inlineStr">
        <is>
          <t xml:space="preserve">Tecnologías de la información, telecomunicaciones y radiodifusión / Software / Software de edición y creación de contenidos</t>
        </is>
      </c>
      <c r="F8" s="0">
        <v>1.0</v>
      </c>
      <c r="G8" s="0" t="inlineStr">
        <is>
          <t xml:space="preserve">Unidad</t>
        </is>
      </c>
      <c r="H8" s="4" t="inlineStr">
        <is>
          <t xml:space="preserve">Complementos para wordpress jetEngine 3.6.4.1 y jetElements 2.7.4.1 (o equivalente) por un año</t>
        </is>
      </c>
    </row>
    <row r="9">
      <c r="A9" s="0" t="inlineStr">
        <is>
          <t xml:space="preserve">1111089-20-LE26</t>
        </is>
      </c>
      <c r="B9" s="4" t="inlineStr">
        <is>
          <t xml:space="preserve">LICENCIAS DE SOFTWARE Y COMPLEMENTOS TECNOLÓGICOS</t>
        </is>
      </c>
      <c r="C9" s="0">
        <v>5</v>
      </c>
      <c r="D9" s="4" t="inlineStr">
        <is>
          <t xml:space="preserve">Software de edición y creación de páginas Web</t>
        </is>
      </c>
      <c r="E9" s="4" t="inlineStr">
        <is>
          <t xml:space="preserve">Tecnologías de la información, telecomunicaciones y radiodifusión / Software / Software de edición y creación de contenidos</t>
        </is>
      </c>
      <c r="F9" s="0">
        <v>1.0</v>
      </c>
      <c r="G9" s="0" t="inlineStr">
        <is>
          <t xml:space="preserve">Unidad</t>
        </is>
      </c>
      <c r="H9" s="4" t="inlineStr">
        <is>
          <t xml:space="preserve">Licencia Crocoblock Membership (o equivalente) por un año</t>
        </is>
      </c>
    </row>
    <row r="10">
      <c r="A10" s="0" t="inlineStr">
        <is>
          <t xml:space="preserve">1111089-20-LE26</t>
        </is>
      </c>
      <c r="B10" s="4" t="inlineStr">
        <is>
          <t xml:space="preserve">LICENCIAS DE SOFTWARE Y COMPLEMENTOS TECNOLÓGICOS</t>
        </is>
      </c>
      <c r="C10" s="0">
        <v>6</v>
      </c>
      <c r="D10" s="4" t="inlineStr">
        <is>
          <t xml:space="preserve">Software de desarrollo de interfaz gráfica de usuario</t>
        </is>
      </c>
      <c r="E10" s="4" t="inlineStr">
        <is>
          <t xml:space="preserve">Tecnologías de la información, telecomunicaciones y radiodifusión / Software / Programas de desarrollo</t>
        </is>
      </c>
      <c r="F10" s="0">
        <v>1.0</v>
      </c>
      <c r="G10" s="0" t="inlineStr">
        <is>
          <t xml:space="preserve">Unidad</t>
        </is>
      </c>
      <c r="H10" s="4" t="inlineStr">
        <is>
          <t xml:space="preserve">Licencia complemento FIGMA versión organization/fullseat (o equivalente) por un año</t>
        </is>
      </c>
    </row>
    <row r="11">
      <c r="A11" s="0" t="inlineStr">
        <is>
          <t xml:space="preserve">1111089-20-LE26</t>
        </is>
      </c>
      <c r="B11" s="4" t="inlineStr">
        <is>
          <t xml:space="preserve">LICENCIAS DE SOFTWARE Y COMPLEMENTOS TECNOLÓGICOS</t>
        </is>
      </c>
      <c r="C11" s="0">
        <v>7</v>
      </c>
      <c r="D11" s="4" t="inlineStr">
        <is>
          <t xml:space="preserve">Software de edición y creación de páginas Web</t>
        </is>
      </c>
      <c r="E11" s="4" t="inlineStr">
        <is>
          <t xml:space="preserve">Tecnologías de la información, telecomunicaciones y radiodifusión / Software / Software de edición y creación de contenidos</t>
        </is>
      </c>
      <c r="F11" s="0">
        <v>1.0</v>
      </c>
      <c r="G11" s="0" t="inlineStr">
        <is>
          <t xml:space="preserve">Unidad</t>
        </is>
      </c>
      <c r="H11" s="4" t="inlineStr">
        <is>
          <t xml:space="preserve">Licencia complemento Better Notificacions for WP-PRO (o equivalente) por un año</t>
        </is>
      </c>
    </row>
    <row r="12">
      <c r="A12" s="0" t="inlineStr">
        <is>
          <t xml:space="preserve">1239966-13-LP26</t>
        </is>
      </c>
      <c r="B12" s="4" t="inlineStr">
        <is>
          <t xml:space="preserve">CONVENIO AGL EQUIPAMIENTO TECNOLÓGICO E INFORMÁTIC</t>
        </is>
      </c>
      <c r="C12" s="0">
        <v>1</v>
      </c>
      <c r="D12" s="4" t="inlineStr">
        <is>
          <t xml:space="preserve">Computadores personales</t>
        </is>
      </c>
      <c r="E12" s="4" t="inlineStr">
        <is>
          <t xml:space="preserve">Tecnologías de la información, telecomunicaciones y radiodifusión / Equipos informáticos y accesorios / Computadores</t>
        </is>
      </c>
      <c r="F12" s="0">
        <v>1.0</v>
      </c>
      <c r="G12" s="0" t="inlineStr">
        <is>
          <t xml:space="preserve">Unidad</t>
        </is>
      </c>
      <c r="H12" s="4" t="inlineStr">
        <is>
          <t xml:space="preserve">CONVENIO AGL EQUIPAMIENTO TECNOLÓGICO E INFORMÁTICO</t>
        </is>
      </c>
    </row>
    <row r="13">
      <c r="A13" s="0" t="inlineStr">
        <is>
          <t xml:space="preserve">1375753-39-LE26</t>
        </is>
      </c>
      <c r="B13" s="4" t="inlineStr">
        <is>
          <t xml:space="preserve">Adquisición de equipos informaticos SLEP Los Andes</t>
        </is>
      </c>
      <c r="C13" s="0">
        <v>1</v>
      </c>
      <c r="D13" s="4" t="inlineStr">
        <is>
          <t xml:space="preserve">Notebook, laptop o computador portátil excepto Tablet PC</t>
        </is>
      </c>
      <c r="E13" s="4" t="inlineStr">
        <is>
          <t xml:space="preserve">Tecnologías de la información, telecomunicaciones y radiodifusión / Equipos informáticos y accesorios / Computadores</t>
        </is>
      </c>
      <c r="F13" s="0">
        <v>9.0</v>
      </c>
      <c r="G13" s="0" t="inlineStr">
        <is>
          <t xml:space="preserve">Unidad</t>
        </is>
      </c>
      <c r="H13" s="4" t="inlineStr">
        <is>
          <t xml:space="preserve">Notebook gama 1 proc. Intel i3 ryzen3, 8gb
ram, ssd 512 o superior</t>
        </is>
      </c>
    </row>
    <row r="14">
      <c r="A14" s="0" t="inlineStr">
        <is>
          <t xml:space="preserve">1375753-39-LE26</t>
        </is>
      </c>
      <c r="B14" s="4" t="inlineStr">
        <is>
          <t xml:space="preserve">Adquisición de equipos informaticos SLEP Los Andes</t>
        </is>
      </c>
      <c r="C14" s="0">
        <v>2</v>
      </c>
      <c r="D14" s="4" t="inlineStr">
        <is>
          <t xml:space="preserve">Monitores de pantalla táctil</t>
        </is>
      </c>
      <c r="E14" s="4" t="inlineStr">
        <is>
          <t xml:space="preserve">Tecnologías de la información, telecomunicaciones y radiodifusión / Equipos informáticos y accesorios / Pantallas o monitores de computador</t>
        </is>
      </c>
      <c r="F14" s="0">
        <v>5.0</v>
      </c>
      <c r="G14" s="0" t="inlineStr">
        <is>
          <t xml:space="preserve">Unidad</t>
        </is>
      </c>
      <c r="H14" s="4" t="inlineStr">
        <is>
          <t xml:space="preserve">Monitor 24”</t>
        </is>
      </c>
    </row>
    <row r="15">
      <c r="A15" s="0" t="inlineStr">
        <is>
          <t xml:space="preserve">1375753-39-LE26</t>
        </is>
      </c>
      <c r="B15" s="4" t="inlineStr">
        <is>
          <t xml:space="preserve">Adquisición de equipos informaticos SLEP Los Andes</t>
        </is>
      </c>
      <c r="C15" s="0">
        <v>3</v>
      </c>
      <c r="D15" s="4" t="inlineStr">
        <is>
          <t xml:space="preserve">Servidores</t>
        </is>
      </c>
      <c r="E15" s="4" t="inlineStr">
        <is>
          <t xml:space="preserve">Tecnologías de la información, telecomunicaciones y radiodifusión / Equipos informáticos y accesorios / Computadores</t>
        </is>
      </c>
      <c r="F15" s="0">
        <v>1.0</v>
      </c>
      <c r="G15" s="0" t="inlineStr">
        <is>
          <t xml:space="preserve">Unidad</t>
        </is>
      </c>
      <c r="H15" s="4" t="inlineStr">
        <is>
          <t xml:space="preserve">Servidor</t>
        </is>
      </c>
    </row>
    <row r="16">
      <c r="A16" s="0" t="inlineStr">
        <is>
          <t xml:space="preserve">1375753-39-LE26</t>
        </is>
      </c>
      <c r="B16" s="4" t="inlineStr">
        <is>
          <t xml:space="preserve">Adquisición de equipos informaticos SLEP Los Andes</t>
        </is>
      </c>
      <c r="C16" s="0">
        <v>4</v>
      </c>
      <c r="D16" s="4" t="inlineStr">
        <is>
          <t xml:space="preserve">Impresoras de chorro de tinta</t>
        </is>
      </c>
      <c r="E16" s="4" t="inlineStr">
        <is>
          <t xml:space="preserve">Tecnologías de la información, telecomunicaciones y radiodifusión / Equipos informáticos y accesorios / Impresoras</t>
        </is>
      </c>
      <c r="F16" s="0">
        <v>1.0</v>
      </c>
      <c r="G16" s="0" t="inlineStr">
        <is>
          <t xml:space="preserve">Unidad</t>
        </is>
      </c>
      <c r="H16" s="4" t="inlineStr">
        <is>
          <t xml:space="preserve">Impresora Portatil térmica con insumos</t>
        </is>
      </c>
    </row>
    <row r="17">
      <c r="A17" s="0" t="inlineStr">
        <is>
          <t xml:space="preserve">1375753-39-LE26</t>
        </is>
      </c>
      <c r="B17" s="4" t="inlineStr">
        <is>
          <t xml:space="preserve">Adquisición de equipos informaticos SLEP Los Andes</t>
        </is>
      </c>
      <c r="C17" s="0">
        <v>5</v>
      </c>
      <c r="D17" s="4" t="inlineStr">
        <is>
          <t xml:space="preserve">Proyectores multimedia</t>
        </is>
      </c>
      <c r="E17" s="4" t="inlineStr">
        <is>
          <t xml:space="preserve">Equipos y suministros de imprenta, fotográficos y audiovisuales / Equipos de composición y presentación audiovisual / Proyectores y suministros</t>
        </is>
      </c>
      <c r="F17" s="0">
        <v>1.0</v>
      </c>
      <c r="G17" s="0" t="inlineStr">
        <is>
          <t xml:space="preserve">Unidad</t>
        </is>
      </c>
      <c r="H17" s="4" t="inlineStr">
        <is>
          <t xml:space="preserve">Proyectores tiro corto</t>
        </is>
      </c>
    </row>
    <row r="18">
      <c r="A18" s="0" t="inlineStr">
        <is>
          <t xml:space="preserve">1375753-39-LE26</t>
        </is>
      </c>
      <c r="B18" s="4" t="inlineStr">
        <is>
          <t xml:space="preserve">Adquisición de equipos informaticos SLEP Los Andes</t>
        </is>
      </c>
      <c r="C18" s="0">
        <v>6</v>
      </c>
      <c r="D18" s="4" t="inlineStr">
        <is>
          <t xml:space="preserve">Proyectores multimedia</t>
        </is>
      </c>
      <c r="E18" s="4" t="inlineStr">
        <is>
          <t xml:space="preserve">Equipos y suministros de imprenta, fotográficos y audiovisuales / Equipos de composición y presentación audiovisual / Proyectores y suministros</t>
        </is>
      </c>
      <c r="F18" s="0">
        <v>2.0</v>
      </c>
      <c r="G18" s="0" t="inlineStr">
        <is>
          <t xml:space="preserve">Unidad</t>
        </is>
      </c>
      <c r="H18" s="4" t="inlineStr">
        <is>
          <t xml:space="preserve">Proyectores tiro normal</t>
        </is>
      </c>
    </row>
    <row r="19">
      <c r="A19" s="0" t="inlineStr">
        <is>
          <t xml:space="preserve">1375753-39-LE26</t>
        </is>
      </c>
      <c r="B19" s="4" t="inlineStr">
        <is>
          <t xml:space="preserve">Adquisición de equipos informaticos SLEP Los Andes</t>
        </is>
      </c>
      <c r="C19" s="0">
        <v>7</v>
      </c>
      <c r="D19" s="4" t="inlineStr">
        <is>
          <t xml:space="preserve">Aviones objetivo o de reconocimiento</t>
        </is>
      </c>
      <c r="E19" s="4" t="inlineStr">
        <is>
          <t xml:space="preserve">Vehículos y equipamiento en general / Aeronaves / Aeronave de ala fija militar</t>
        </is>
      </c>
      <c r="F19" s="0">
        <v>1.0</v>
      </c>
      <c r="G19" s="0" t="inlineStr">
        <is>
          <t xml:space="preserve">Unidad</t>
        </is>
      </c>
      <c r="H19" s="4" t="inlineStr">
        <is>
          <t xml:space="preserve">Drone</t>
        </is>
      </c>
    </row>
    <row r="20">
      <c r="A20" s="0" t="inlineStr">
        <is>
          <t xml:space="preserve">1375753-39-LE26</t>
        </is>
      </c>
      <c r="B20" s="4" t="inlineStr">
        <is>
          <t xml:space="preserve">Adquisición de equipos informaticos SLEP Los Andes</t>
        </is>
      </c>
      <c r="C20" s="0">
        <v>8</v>
      </c>
      <c r="D20" s="4" t="inlineStr">
        <is>
          <t xml:space="preserve">Discos duros</t>
        </is>
      </c>
      <c r="E20" s="4" t="inlineStr">
        <is>
          <t xml:space="preserve">Tecnologías de la información, telecomunicaciones y radiodifusión / Componentes para tecnología de la información, difusión o telecomunicaciones / Dispositivos de soporte de almacenamiento</t>
        </is>
      </c>
      <c r="F20" s="0">
        <v>4.0</v>
      </c>
      <c r="G20" s="0" t="inlineStr">
        <is>
          <t xml:space="preserve">Unidad</t>
        </is>
      </c>
      <c r="H20" s="4" t="inlineStr">
        <is>
          <t xml:space="preserve">SSD externo 1TB</t>
        </is>
      </c>
    </row>
    <row r="21">
      <c r="A21" s="0" t="inlineStr">
        <is>
          <t xml:space="preserve">2445-124-LP26</t>
        </is>
      </c>
      <c r="B21" s="4" t="inlineStr">
        <is>
          <t xml:space="preserve">SERVICIO DE TELEFONIA FIJA IP Y PLATAFORMA IVR</t>
        </is>
      </c>
      <c r="C21" s="0">
        <v>1</v>
      </c>
      <c r="D21" s="4" t="inlineStr">
        <is>
          <t xml:space="preserve">Mano de obra temporal</t>
        </is>
      </c>
      <c r="E21" s="4" t="inlineStr">
        <is>
          <t xml:space="preserve">Servicios profesionales, administrativos y consultorías de gestión empresarial / Servicios de recursos humanos / Servicios de personal temporal</t>
        </is>
      </c>
      <c r="F21" s="0">
        <v>1.0</v>
      </c>
      <c r="G21" s="0" t="inlineStr">
        <is>
          <t xml:space="preserve">Unidad</t>
        </is>
      </c>
      <c r="H21" s="4" t="inlineStr">
        <is>
          <t xml:space="preserve">SERVICIO DE TELEFONIA FIJA IP Y PLATAFORMA IVR PARA EL DEPTO DE SALUD POR 48 MESES</t>
        </is>
      </c>
    </row>
    <row r="22">
      <c r="A22" s="0" t="inlineStr">
        <is>
          <t xml:space="preserve">29-81-LP26</t>
        </is>
      </c>
      <c r="B22" s="4" t="inlineStr">
        <is>
          <t xml:space="preserve">AGF - PLATAFORMA INGLES</t>
        </is>
      </c>
      <c r="C22" s="0">
        <v>1</v>
      </c>
      <c r="D22" s="4" t="inlineStr">
        <is>
          <t xml:space="preserve">Enseñanza conversacional de idiomas extranjeros</t>
        </is>
      </c>
      <c r="E22" s="4" t="inlineStr">
        <is>
          <t xml:space="preserve">Educación, formación, entrenamiento y capacitación / Sistemas educativos complementarios / Escuelas de idiomas</t>
        </is>
      </c>
      <c r="F22" s="0">
        <v>1.0</v>
      </c>
      <c r="G22" s="0" t="inlineStr">
        <is>
          <t xml:space="preserve">Global</t>
        </is>
      </c>
      <c r="H22" s="4" t="inlineStr">
        <is>
          <t xml:space="preserve">CONTRATACIÓN DE SERVICIO DE PLATAFORMA INTEGRAL DE CAPACITACIÓN EN IDIOMA INGLÉS (MODALIDAD E-LEARNING CON TUTORIA)</t>
        </is>
      </c>
    </row>
    <row r="23">
      <c r="A23" s="0" t="inlineStr">
        <is>
          <t xml:space="preserve">3447-145-LR26</t>
        </is>
      </c>
      <c r="B23" s="4" t="inlineStr">
        <is>
          <t xml:space="preserve">Adquisición e Implementación Plataforma Integral</t>
        </is>
      </c>
      <c r="C23" s="0">
        <v>1</v>
      </c>
      <c r="D23" s="4" t="inlineStr">
        <is>
          <t xml:space="preserve">Servicios de programación de sistemas operativos</t>
        </is>
      </c>
      <c r="E23" s="4" t="inlineStr">
        <is>
          <t xml:space="preserve">Servicios basados en ingeniería, ciencias sociales y tecnología de la información / Servicios informáticos / Ingeniería en computación e informática</t>
        </is>
      </c>
      <c r="F23" s="0">
        <v>1.0</v>
      </c>
      <c r="G23" s="0" t="inlineStr">
        <is>
          <t xml:space="preserve">Global</t>
        </is>
      </c>
      <c r="H23" s="4" t="inlineStr">
        <is>
          <t xml:space="preserve">Adquisición e Implementación de Plataforma Integral de Gestión Municipal y Servicios Traspasados para la Municipalidad de Alto Hospicio. (INGRESAR VALOR TOTAL NETO)</t>
        </is>
      </c>
    </row>
    <row r="24">
      <c r="A24" s="0" t="inlineStr">
        <is>
          <t xml:space="preserve">4246-9-LE26</t>
        </is>
      </c>
      <c r="B24" s="4" t="inlineStr">
        <is>
          <t xml:space="preserve">Licencias de software EDB Enterprise</t>
        </is>
      </c>
      <c r="C24" s="0">
        <v>1</v>
      </c>
      <c r="D24" s="4" t="inlineStr">
        <is>
          <t xml:space="preserve">Software de administración de bases de datos orientado a objetos</t>
        </is>
      </c>
      <c r="E24" s="4" t="inlineStr">
        <is>
          <t xml:space="preserve">Tecnologías de la información, telecomunicaciones y radiodifusión / Software / Software de consultas y gestión de datos</t>
        </is>
      </c>
      <c r="F24" s="0">
        <v>1.0</v>
      </c>
      <c r="G24" s="0" t="inlineStr">
        <is>
          <t xml:space="preserve">Unidad</t>
        </is>
      </c>
      <c r="H24" s="4" t="inlineStr">
        <is>
          <t xml:space="preserve">4 EDB Enterprise Plan Production Support 1 Year Subscription y 10 EDB Enterprise Plan Basic Support 1 Year Subscription. Según bases de licitación aprobadas por Resolución Exenta N°945 adjunta</t>
        </is>
      </c>
    </row>
    <row r="25">
      <c r="A25" s="0" t="inlineStr">
        <is>
          <t xml:space="preserve">808-7-LE26</t>
        </is>
      </c>
      <c r="B25" s="4" t="inlineStr">
        <is>
          <t xml:space="preserve">Recuperación digitalización y puesta en valor de fuentes documentales para la memoria histórica de los pueblos originarios de Magallanes.</t>
        </is>
      </c>
      <c r="C25" s="0">
        <v>1</v>
      </c>
      <c r="D25" s="4" t="inlineStr">
        <is>
          <t xml:space="preserve">Servicios de recuperación de datos</t>
        </is>
      </c>
      <c r="E25" s="4" t="inlineStr">
        <is>
          <t xml:space="preserve">Servicios basados en ingeniería, ciencias sociales y tecnología de la información / Servicios informáticos / Servicios de datos</t>
        </is>
      </c>
      <c r="F25" s="0">
        <v>1.0</v>
      </c>
      <c r="G25" s="0" t="inlineStr">
        <is>
          <t xml:space="preserve">Unidad</t>
        </is>
      </c>
      <c r="H25" s="4" t="inlineStr">
        <is>
          <t xml:space="preserve">•Archivos digitalizados y procesados correspondientes a aproximadamente 5.000 páginas de estudios, publicaciones, boletines, informativos y demás fuentes documentales contempladas en el servicio.
•Documentos incorporados a la Biblioteca Virtual de CONA</t>
        </is>
      </c>
    </row>
    <row r="26">
      <c r="A26" s="0" t="inlineStr">
        <is>
          <t xml:space="preserve">1020-40-LP26</t>
        </is>
      </c>
      <c r="B26" s="4" t="inlineStr">
        <is>
          <t xml:space="preserve">Serv.Cloud Amazon Web Services AWS o Equivalente</t>
        </is>
      </c>
      <c r="C26" s="0">
        <v>1</v>
      </c>
      <c r="D26" s="4" t="inlineStr">
        <is>
          <t xml:space="preserve">Software del sistema de administración de bases de datos</t>
        </is>
      </c>
      <c r="E26" s="4" t="inlineStr">
        <is>
          <t xml:space="preserve">Tecnologías de la información, telecomunicaciones y radiodifusión / Software / Software de consultas y gestión de datos</t>
        </is>
      </c>
      <c r="F26" s="0">
        <v>1.0</v>
      </c>
      <c r="G26" s="0" t="inlineStr">
        <is>
          <t xml:space="preserve">Unidad</t>
        </is>
      </c>
      <c r="H26" s="4" t="inlineStr">
        <is>
          <t xml:space="preserve">PRECIO TOTAL NETO OFERTADO (SIN IVA), según Formulario N°1 "Oferta Económica" (Incluye los señalado en el numeral 5.1.1 de las Bases Administrativas, en archivo adjunto).</t>
        </is>
      </c>
    </row>
    <row r="27">
      <c r="A27" s="0" t="inlineStr">
        <is>
          <t xml:space="preserve">1126922-40-L126</t>
        </is>
      </c>
      <c r="B27" s="4" t="inlineStr">
        <is>
          <t xml:space="preserve">PLATAFORMA WEB PARA GESTION DE DOTACION</t>
        </is>
      </c>
      <c r="C27" s="0">
        <v>1</v>
      </c>
      <c r="D27" s="4" t="inlineStr">
        <is>
          <t xml:space="preserve">Software de desarrollo de plataforma Web</t>
        </is>
      </c>
      <c r="E27" s="4" t="inlineStr">
        <is>
          <t xml:space="preserve">Tecnologías de la información, telecomunicaciones y radiodifusión / Software / Programas de desarrollo</t>
        </is>
      </c>
      <c r="F27" s="0">
        <v>1.0</v>
      </c>
      <c r="G27" s="0" t="inlineStr">
        <is>
          <t xml:space="preserve">Global</t>
        </is>
      </c>
      <c r="H27" s="4" t="inlineStr">
        <is>
          <t xml:space="preserve">SERVICIO DE GESTIÓN DE DOTACIÓN DOCENTE Y ASISTENTES DE LA EDUCACIÓN MEDIANTE PLATAFORMA WEB PARA LOS ESTABLECIMIENTOS EDUCACIONALES DEL SERVICIO LOCAL DE
EDUCACIÓN PÚBLICA LLANQUIHUE</t>
        </is>
      </c>
    </row>
    <row r="28">
      <c r="A28" s="0" t="inlineStr">
        <is>
          <t xml:space="preserve">2013-15-LE26</t>
        </is>
      </c>
      <c r="B28" s="4" t="inlineStr">
        <is>
          <t xml:space="preserve">CONTRATACIÓN DE SERVICIO DE SOFTWARE ODONTOLÓGICO</t>
        </is>
      </c>
      <c r="C28" s="0">
        <v>1</v>
      </c>
      <c r="D28" s="4" t="inlineStr">
        <is>
          <t xml:space="preserve">Desarrolladores de software</t>
        </is>
      </c>
      <c r="E28" s="4" t="inlineStr">
        <is>
          <t xml:space="preserve">Servicios profesionales, administrativos y consultorías de gestión empresarial / Servicios de recursos humanos / Contratación de personal</t>
        </is>
      </c>
      <c r="F28" s="0">
        <v>1.0</v>
      </c>
      <c r="G28" s="0" t="inlineStr">
        <is>
          <t xml:space="preserve">Global</t>
        </is>
      </c>
      <c r="H28" s="4" t="inlineStr">
        <is>
          <t xml:space="preserve">CONTRATACIÓN DE SERVICIO DE SOFTWARE ODONTOLÓGICO ACADÉMICO DIGITAL PARA CENTROS ODONTOLÓGICOS – CARRERA DE ODONTOLOGÍA – FACULTAD DE CIENCIAS DE LA SALUD POR 12 MESES</t>
        </is>
      </c>
    </row>
    <row r="29">
      <c r="A29" s="0" t="inlineStr">
        <is>
          <t xml:space="preserve">606-26-LE26</t>
        </is>
      </c>
      <c r="B29" s="4" t="inlineStr">
        <is>
          <t xml:space="preserve">Adquisición e implementación de plataforma APIs</t>
        </is>
      </c>
      <c r="C29" s="0">
        <v>1</v>
      </c>
      <c r="D29" s="4" t="inlineStr">
        <is>
          <t xml:space="preserve">Programación de aplicaciones</t>
        </is>
      </c>
      <c r="E29" s="4" t="inlineStr">
        <is>
          <t xml:space="preserve">Servicios basados en ingeniería, ciencias sociales y tecnología de la información / Servicios informáticos / Ingeniería en computación e informática</t>
        </is>
      </c>
      <c r="F29" s="0">
        <v>1.0</v>
      </c>
      <c r="G29" s="0" t="inlineStr">
        <is>
          <t xml:space="preserve">Unidad</t>
        </is>
      </c>
      <c r="H29" s="4" t="inlineStr">
        <is>
          <t xml:space="preserve">Adquisición e implementación de una
plataforma de gestión de APIs e integración, para la Subsecretaría de Telecomunicaciones</t>
        </is>
      </c>
    </row>
    <row r="30">
      <c r="A30" s="0" t="inlineStr">
        <is>
          <t xml:space="preserve">1209-12-L126</t>
        </is>
      </c>
      <c r="B30" s="4" t="inlineStr">
        <is>
          <t xml:space="preserve">CURSO INTELIGENCIA ARTIFICIAL NIVEL MEDIO PARA LA GESTÍÓN PÚBLICA</t>
        </is>
      </c>
      <c r="C30" s="0">
        <v>1</v>
      </c>
      <c r="D30" s="4" t="inlineStr">
        <is>
          <t xml:space="preserve">Capacitación a empleados</t>
        </is>
      </c>
      <c r="E30" s="4" t="inlineStr">
        <is>
          <t xml:space="preserve">Educación, formación, entrenamiento y capacitación / Sistemas educativos complementarios / Educación de adultos</t>
        </is>
      </c>
      <c r="F30" s="0">
        <v>1.0</v>
      </c>
      <c r="G30" s="0" t="inlineStr">
        <is>
          <t xml:space="preserve">Unidad no definida</t>
        </is>
      </c>
      <c r="H30" s="4" t="inlineStr">
        <is>
          <t xml:space="preserve">La Secretaría Regional Ministerial de Educación, Región de Antofagasta, llama a presentar ofertas para la contratación del servicio educativo CURSO DE INTELIGENCIA ARTIFICIAL NIVEL MEDIO PARA LA GESTIÓN PÚBLICA.</t>
        </is>
      </c>
    </row>
    <row r="31">
      <c r="A31" s="0" t="inlineStr">
        <is>
          <t xml:space="preserve">4449-30-LP26</t>
        </is>
      </c>
      <c r="B31" s="4" t="inlineStr">
        <is>
          <t xml:space="preserve">Adquisición de libros a perpetuida para BP Digital</t>
        </is>
      </c>
      <c r="C31" s="0">
        <v>1</v>
      </c>
      <c r="D31" s="4" t="inlineStr">
        <is>
          <t xml:space="preserve">Libros en casetes o CD</t>
        </is>
      </c>
      <c r="E31" s="4" t="inlineStr">
        <is>
          <t xml:space="preserve">Productos impresos y publicaciones / Material electrónico de referencia / Publicaciones electrónicas y música</t>
        </is>
      </c>
      <c r="F31" s="0">
        <v>3.0</v>
      </c>
      <c r="G31" s="0" t="inlineStr">
        <is>
          <t xml:space="preserve">Unidad</t>
        </is>
      </c>
      <c r="H31" s="4" t="inlineStr">
        <is>
          <t xml:space="preserve">Nazi Literature in the AmericasRoberto Bolaño 9781250450661</t>
        </is>
      </c>
    </row>
    <row r="32">
      <c r="A32" s="0" t="inlineStr">
        <is>
          <t xml:space="preserve">4449-30-LP26</t>
        </is>
      </c>
      <c r="B32" s="4" t="inlineStr">
        <is>
          <t xml:space="preserve">Adquisición de libros a perpetuida para BP Digital</t>
        </is>
      </c>
      <c r="C32" s="0">
        <v>2</v>
      </c>
      <c r="D32" s="4" t="inlineStr">
        <is>
          <t xml:space="preserve">Libros en casetes o CD</t>
        </is>
      </c>
      <c r="E32" s="4" t="inlineStr">
        <is>
          <t xml:space="preserve">Productos impresos y publicaciones / Material electrónico de referencia / Publicaciones electrónicas y música</t>
        </is>
      </c>
      <c r="F32" s="0">
        <v>3.0</v>
      </c>
      <c r="G32" s="0" t="inlineStr">
        <is>
          <t xml:space="preserve">Unidad</t>
        </is>
      </c>
      <c r="H32" s="4" t="inlineStr">
        <is>
          <t xml:space="preserve">Distant StarRoberto BolañoMacmillan Audio9781250450630</t>
        </is>
      </c>
    </row>
    <row r="33">
      <c r="A33" s="0" t="inlineStr">
        <is>
          <t xml:space="preserve">4449-30-LP26</t>
        </is>
      </c>
      <c r="B33" s="4" t="inlineStr">
        <is>
          <t xml:space="preserve">Adquisición de libros a perpetuida para BP Digital</t>
        </is>
      </c>
      <c r="C33" s="0">
        <v>3</v>
      </c>
      <c r="D33" s="4" t="inlineStr">
        <is>
          <t xml:space="preserve">Libros en casetes o CD</t>
        </is>
      </c>
      <c r="E33" s="4" t="inlineStr">
        <is>
          <t xml:space="preserve">Productos impresos y publicaciones / Material electrónico de referencia / Publicaciones electrónicas y música</t>
        </is>
      </c>
      <c r="F33" s="0">
        <v>3.0</v>
      </c>
      <c r="G33" s="0" t="inlineStr">
        <is>
          <t xml:space="preserve">Unidad</t>
        </is>
      </c>
      <c r="H33" s="4" t="inlineStr">
        <is>
          <t xml:space="preserve">El amor en los tiempos del cóleraPenguin Random House Grupo Editorial9788439737919</t>
        </is>
      </c>
    </row>
    <row r="34">
      <c r="A34" s="0" t="inlineStr">
        <is>
          <t xml:space="preserve">4449-30-LP26</t>
        </is>
      </c>
      <c r="B34" s="4" t="inlineStr">
        <is>
          <t xml:space="preserve">Adquisición de libros a perpetuida para BP Digital</t>
        </is>
      </c>
      <c r="C34" s="0">
        <v>4</v>
      </c>
      <c r="D34" s="4" t="inlineStr">
        <is>
          <t xml:space="preserve">Libros en casetes o CD</t>
        </is>
      </c>
      <c r="E34" s="4" t="inlineStr">
        <is>
          <t xml:space="preserve">Productos impresos y publicaciones / Material electrónico de referencia / Publicaciones electrónicas y música</t>
        </is>
      </c>
      <c r="F34" s="0">
        <v>5.0</v>
      </c>
      <c r="G34" s="0" t="inlineStr">
        <is>
          <t xml:space="preserve">Unidad</t>
        </is>
      </c>
      <c r="H34" s="4" t="inlineStr">
        <is>
          <t xml:space="preserve">Toda culpa es un misterioLa Pollera Ediciones9789569203985</t>
        </is>
      </c>
    </row>
    <row r="35">
      <c r="A35" s="0" t="inlineStr">
        <is>
          <t xml:space="preserve">4449-30-LP26</t>
        </is>
      </c>
      <c r="B35" s="4" t="inlineStr">
        <is>
          <t xml:space="preserve">Adquisición de libros a perpetuida para BP Digital</t>
        </is>
      </c>
      <c r="C35" s="0">
        <v>5</v>
      </c>
      <c r="D35" s="4" t="inlineStr">
        <is>
          <t xml:space="preserve">Libros en casetes o CD</t>
        </is>
      </c>
      <c r="E35" s="4" t="inlineStr">
        <is>
          <t xml:space="preserve">Productos impresos y publicaciones / Material electrónico de referencia / Publicaciones electrónicas y música</t>
        </is>
      </c>
      <c r="F35" s="0">
        <v>3.0</v>
      </c>
      <c r="G35" s="0" t="inlineStr">
        <is>
          <t xml:space="preserve">Unidad</t>
        </is>
      </c>
      <c r="H35" s="4" t="inlineStr">
        <is>
          <t xml:space="preserve">Pastoral americanaPenguin Random House Grupo Editorial9788439735489</t>
        </is>
      </c>
    </row>
    <row r="36">
      <c r="A36" s="0" t="inlineStr">
        <is>
          <t xml:space="preserve">4449-30-LP26</t>
        </is>
      </c>
      <c r="B36" s="4" t="inlineStr">
        <is>
          <t xml:space="preserve">Adquisición de libros a perpetuida para BP Digital</t>
        </is>
      </c>
      <c r="C36" s="0">
        <v>6</v>
      </c>
      <c r="D36" s="4" t="inlineStr">
        <is>
          <t xml:space="preserve">Libros en casetes o CD</t>
        </is>
      </c>
      <c r="E36" s="4" t="inlineStr">
        <is>
          <t xml:space="preserve">Productos impresos y publicaciones / Material electrónico de referencia / Publicaciones electrónicas y música</t>
        </is>
      </c>
      <c r="F36" s="0">
        <v>5.0</v>
      </c>
      <c r="G36" s="0" t="inlineStr">
        <is>
          <t xml:space="preserve">Unidad</t>
        </is>
      </c>
      <c r="H36" s="4" t="inlineStr">
        <is>
          <t xml:space="preserve">BonsaiPenguin Random House9780593588543</t>
        </is>
      </c>
    </row>
    <row r="37">
      <c r="A37" s="0" t="inlineStr">
        <is>
          <t xml:space="preserve">4449-30-LP26</t>
        </is>
      </c>
      <c r="B37" s="4" t="inlineStr">
        <is>
          <t xml:space="preserve">Adquisición de libros a perpetuida para BP Digital</t>
        </is>
      </c>
      <c r="C37" s="0">
        <v>7</v>
      </c>
      <c r="D37" s="4" t="inlineStr">
        <is>
          <t xml:space="preserve">Libros en casetes o CD</t>
        </is>
      </c>
      <c r="E37" s="4" t="inlineStr">
        <is>
          <t xml:space="preserve">Productos impresos y publicaciones / Material electrónico de referencia / Publicaciones electrónicas y música</t>
        </is>
      </c>
      <c r="F37" s="0">
        <v>3.0</v>
      </c>
      <c r="G37" s="0" t="inlineStr">
        <is>
          <t xml:space="preserve">Unidad</t>
        </is>
      </c>
      <c r="H37" s="4" t="inlineStr">
        <is>
          <t xml:space="preserve">Last Supper of Queer Apostles, APenguin Random House9780593791899</t>
        </is>
      </c>
    </row>
    <row r="38">
      <c r="A38" s="0" t="inlineStr">
        <is>
          <t xml:space="preserve">4449-30-LP26</t>
        </is>
      </c>
      <c r="B38" s="4" t="inlineStr">
        <is>
          <t xml:space="preserve">Adquisición de libros a perpetuida para BP Digital</t>
        </is>
      </c>
      <c r="C38" s="0">
        <v>8</v>
      </c>
      <c r="D38" s="4" t="inlineStr">
        <is>
          <t xml:space="preserve">Libros en casetes o CD</t>
        </is>
      </c>
      <c r="E38" s="4" t="inlineStr">
        <is>
          <t xml:space="preserve">Productos impresos y publicaciones / Material electrónico de referencia / Publicaciones electrónicas y música</t>
        </is>
      </c>
      <c r="F38" s="0">
        <v>4.0</v>
      </c>
      <c r="G38" s="0" t="inlineStr">
        <is>
          <t xml:space="preserve">Unidad</t>
        </is>
      </c>
      <c r="H38" s="4" t="inlineStr">
        <is>
          <t xml:space="preserve">El olor de la guayabaPenguin Random House Grupo Editorial9788439741398</t>
        </is>
      </c>
    </row>
    <row r="39">
      <c r="A39" s="0" t="inlineStr">
        <is>
          <t xml:space="preserve">4449-30-LP26</t>
        </is>
      </c>
      <c r="B39" s="4" t="inlineStr">
        <is>
          <t xml:space="preserve">Adquisición de libros a perpetuida para BP Digital</t>
        </is>
      </c>
      <c r="C39" s="0">
        <v>9</v>
      </c>
      <c r="D39" s="4" t="inlineStr">
        <is>
          <t xml:space="preserve">Libros en casetes o CD</t>
        </is>
      </c>
      <c r="E39" s="4" t="inlineStr">
        <is>
          <t xml:space="preserve">Productos impresos y publicaciones / Material electrónico de referencia / Publicaciones electrónicas y música</t>
        </is>
      </c>
      <c r="F39" s="0">
        <v>3.0</v>
      </c>
      <c r="G39" s="0" t="inlineStr">
        <is>
          <t xml:space="preserve">Unidad</t>
        </is>
      </c>
      <c r="H39" s="4" t="inlineStr">
        <is>
          <t xml:space="preserve">El Tercer ReichPenguin Random House Grupo Editorial9788420438641</t>
        </is>
      </c>
    </row>
    <row r="40">
      <c r="A40" s="0" t="inlineStr">
        <is>
          <t xml:space="preserve">4449-30-LP26</t>
        </is>
      </c>
      <c r="B40" s="4" t="inlineStr">
        <is>
          <t xml:space="preserve">Adquisición de libros a perpetuida para BP Digital</t>
        </is>
      </c>
      <c r="C40" s="0">
        <v>10</v>
      </c>
      <c r="D40" s="4" t="inlineStr">
        <is>
          <t xml:space="preserve">Libros en casetes o CD</t>
        </is>
      </c>
      <c r="E40" s="4" t="inlineStr">
        <is>
          <t xml:space="preserve">Productos impresos y publicaciones / Material electrónico de referencia / Publicaciones electrónicas y música</t>
        </is>
      </c>
      <c r="F40" s="0">
        <v>3.0</v>
      </c>
      <c r="G40" s="0" t="inlineStr">
        <is>
          <t xml:space="preserve">Unidad</t>
        </is>
      </c>
      <c r="H40" s="4" t="inlineStr">
        <is>
          <t xml:space="preserve">No está solo (Colomba y Dante 1)Penguin Random House Grupo Editorial9788420439921</t>
        </is>
      </c>
    </row>
    <row r="41">
      <c r="A41" s="0" t="inlineStr">
        <is>
          <t xml:space="preserve">4449-30-LP26</t>
        </is>
      </c>
      <c r="B41" s="4" t="inlineStr">
        <is>
          <t xml:space="preserve">Adquisición de libros a perpetuida para BP Digital</t>
        </is>
      </c>
      <c r="C41" s="0">
        <v>11</v>
      </c>
      <c r="D41" s="4" t="inlineStr">
        <is>
          <t xml:space="preserve">Libros en casetes o CD</t>
        </is>
      </c>
      <c r="E41" s="4" t="inlineStr">
        <is>
          <t xml:space="preserve">Productos impresos y publicaciones / Material electrónico de referencia / Publicaciones electrónicas y música</t>
        </is>
      </c>
      <c r="F41" s="0">
        <v>3.0</v>
      </c>
      <c r="G41" s="0" t="inlineStr">
        <is>
          <t xml:space="preserve">Unidad</t>
        </is>
      </c>
      <c r="H41" s="4" t="inlineStr">
        <is>
          <t xml:space="preserve">Tu rostro mañana. 1 Fiebre y lanzaPenguin Random House Grupo Editorial9788420454900</t>
        </is>
      </c>
    </row>
    <row r="42">
      <c r="A42" s="0" t="inlineStr">
        <is>
          <t xml:space="preserve">4449-30-LP26</t>
        </is>
      </c>
      <c r="B42" s="4" t="inlineStr">
        <is>
          <t xml:space="preserve">Adquisición de libros a perpetuida para BP Digital</t>
        </is>
      </c>
      <c r="C42" s="0">
        <v>12</v>
      </c>
      <c r="D42" s="4" t="inlineStr">
        <is>
          <t xml:space="preserve">Libros en casetes o CD</t>
        </is>
      </c>
      <c r="E42" s="4" t="inlineStr">
        <is>
          <t xml:space="preserve">Productos impresos y publicaciones / Material electrónico de referencia / Publicaciones electrónicas y música</t>
        </is>
      </c>
      <c r="F42" s="0">
        <v>4.0</v>
      </c>
      <c r="G42" s="0" t="inlineStr">
        <is>
          <t xml:space="preserve">Unidad</t>
        </is>
      </c>
      <c r="H42" s="4" t="inlineStr">
        <is>
          <t xml:space="preserve">Zombi: Guía de supervivenciaPenguin Random House Grupo Editorial9788466375795</t>
        </is>
      </c>
    </row>
    <row r="43">
      <c r="A43" s="0" t="inlineStr">
        <is>
          <t xml:space="preserve">4449-30-LP26</t>
        </is>
      </c>
      <c r="B43" s="4" t="inlineStr">
        <is>
          <t xml:space="preserve">Adquisición de libros a perpetuida para BP Digital</t>
        </is>
      </c>
      <c r="C43" s="0">
        <v>13</v>
      </c>
      <c r="D43" s="4" t="inlineStr">
        <is>
          <t xml:space="preserve">Libros en casetes o CD</t>
        </is>
      </c>
      <c r="E43" s="4" t="inlineStr">
        <is>
          <t xml:space="preserve">Productos impresos y publicaciones / Material electrónico de referencia / Publicaciones electrónicas y música</t>
        </is>
      </c>
      <c r="F43" s="0">
        <v>5.0</v>
      </c>
      <c r="G43" s="0" t="inlineStr">
        <is>
          <t xml:space="preserve">Unidad</t>
        </is>
      </c>
      <c r="H43" s="4" t="inlineStr">
        <is>
          <t xml:space="preserve">La ninfa de porcelanaPenguin Random House Grupo Editorial9788401019753</t>
        </is>
      </c>
    </row>
    <row r="44">
      <c r="A44" s="0" t="inlineStr">
        <is>
          <t xml:space="preserve">4449-30-LP26</t>
        </is>
      </c>
      <c r="B44" s="4" t="inlineStr">
        <is>
          <t xml:space="preserve">Adquisición de libros a perpetuida para BP Digital</t>
        </is>
      </c>
      <c r="C44" s="0">
        <v>14</v>
      </c>
      <c r="D44" s="4" t="inlineStr">
        <is>
          <t xml:space="preserve">Libros en casetes o CD</t>
        </is>
      </c>
      <c r="E44" s="4" t="inlineStr">
        <is>
          <t xml:space="preserve">Productos impresos y publicaciones / Material electrónico de referencia / Publicaciones electrónicas y música</t>
        </is>
      </c>
      <c r="F44" s="0">
        <v>3.0</v>
      </c>
      <c r="G44" s="0" t="inlineStr">
        <is>
          <t xml:space="preserve">Unidad</t>
        </is>
      </c>
      <c r="H44" s="4" t="inlineStr">
        <is>
          <t xml:space="preserve">Apocalípticos e integradosPenguin Random House Grupo Editorial9788426423948</t>
        </is>
      </c>
    </row>
    <row r="45">
      <c r="A45" s="0" t="inlineStr">
        <is>
          <t xml:space="preserve">4449-30-LP26</t>
        </is>
      </c>
      <c r="B45" s="4" t="inlineStr">
        <is>
          <t xml:space="preserve">Adquisición de libros a perpetuida para BP Digital</t>
        </is>
      </c>
      <c r="C45" s="0">
        <v>15</v>
      </c>
      <c r="D45" s="4" t="inlineStr">
        <is>
          <t xml:space="preserve">Libros en casetes o CD</t>
        </is>
      </c>
      <c r="E45" s="4" t="inlineStr">
        <is>
          <t xml:space="preserve">Productos impresos y publicaciones / Material electrónico de referencia / Publicaciones electrónicas y música</t>
        </is>
      </c>
      <c r="F45" s="0">
        <v>4.0</v>
      </c>
      <c r="G45" s="0" t="inlineStr">
        <is>
          <t xml:space="preserve">Unidad</t>
        </is>
      </c>
      <c r="H45" s="4" t="inlineStr">
        <is>
          <t xml:space="preserve">Veterano de tres guerras - Parte 1Penguin Random House Grupo Editorial9789566056492</t>
        </is>
      </c>
    </row>
    <row r="46">
      <c r="A46" s="0" t="inlineStr">
        <is>
          <t xml:space="preserve">2432-31-LE26</t>
        </is>
      </c>
      <c r="B46" s="4" t="inlineStr">
        <is>
          <t xml:space="preserve">SERVICIO INTEGRAL DE CONTINUIDAD PAGINA WEB</t>
        </is>
      </c>
      <c r="C46" s="0">
        <v>1</v>
      </c>
      <c r="D46" s="4" t="inlineStr">
        <is>
          <t xml:space="preserve">Servicios de diseño de sitio Web</t>
        </is>
      </c>
      <c r="E46" s="4" t="inlineStr">
        <is>
          <t xml:space="preserve">Servicios basados en ingeniería, ciencias sociales y tecnología de la información / Servicios informáticos / Servicios para internet</t>
        </is>
      </c>
      <c r="F46" s="0">
        <v>1.0</v>
      </c>
      <c r="G46" s="0" t="inlineStr">
        <is>
          <t xml:space="preserve">Global</t>
        </is>
      </c>
      <c r="H46" s="4" t="inlineStr">
        <is>
          <t xml:space="preserve">“SERVICIO INTEGRAL DE CONTINUIDAD, MANTENCIÓN, SOPORTE, ALOJAMIENTO Y EVOLUCIÓN DEL SITIO WEB MUNICIPAL”</t>
        </is>
      </c>
    </row>
    <row r="47">
      <c r="A47" s="0" t="inlineStr">
        <is>
          <t xml:space="preserve">1057415-60-LE26</t>
        </is>
      </c>
      <c r="B47" s="4" t="inlineStr">
        <is>
          <t xml:space="preserve">SOFTWARE DE GESTIÓN TRIBUTARIA E INVENTARIO</t>
        </is>
      </c>
      <c r="C47" s="0">
        <v>1</v>
      </c>
      <c r="D47" s="4" t="inlineStr">
        <is>
          <t xml:space="preserve">Software del sistema de administración de bases de datos</t>
        </is>
      </c>
      <c r="E47" s="4" t="inlineStr">
        <is>
          <t xml:space="preserve">Tecnologías de la información, telecomunicaciones y radiodifusión / Software / Software de consultas y gestión de datos</t>
        </is>
      </c>
      <c r="F47" s="0">
        <v>1.0</v>
      </c>
      <c r="G47" s="0" t="inlineStr">
        <is>
          <t xml:space="preserve">Unidad</t>
        </is>
      </c>
      <c r="H47" s="4" t="inlineStr">
        <is>
          <t xml:space="preserve">SERVICIO DE SOFTWARE DE GESTIÓN TRIBUTARIA E INVENTARIO POR UN PERIODO DE 36 MESES.</t>
        </is>
      </c>
    </row>
    <row r="48">
      <c r="A48" s="0" t="inlineStr">
        <is>
          <t xml:space="preserve">1733-8-LE26</t>
        </is>
      </c>
      <c r="B48" s="4" t="inlineStr">
        <is>
          <t xml:space="preserve">Levantamiento de Datos de Biodiversidad</t>
        </is>
      </c>
      <c r="C48" s="0">
        <v>1</v>
      </c>
      <c r="D48" s="4" t="inlineStr">
        <is>
          <t xml:space="preserve">Inventario forestal</t>
        </is>
      </c>
      <c r="E48" s="4" t="inlineStr">
        <is>
          <t xml:space="preserve">Servicios agrícolas, pesqueros, forestales y relacionados con la fauna / Cultivos forestales / Administración de cultivos forestales</t>
        </is>
      </c>
      <c r="F48" s="0">
        <v>1.0</v>
      </c>
      <c r="G48" s="0" t="inlineStr">
        <is>
          <t xml:space="preserve">Unidad</t>
        </is>
      </c>
      <c r="H48" s="4" t="inlineStr">
        <is>
          <t xml:space="preserve">Levantamiento de Datos de Biodiversidad para filo Arthropoda de Ecosistemas Forestales Nativos de la Región de Los Lagos</t>
        </is>
      </c>
    </row>
    <row r="49">
      <c r="A49" s="0" t="inlineStr">
        <is>
          <t xml:space="preserve">5420-22-LP26</t>
        </is>
      </c>
      <c r="B49" s="4" t="inlineStr">
        <is>
          <t xml:space="preserve">Arriendo de enlace de voz y datos</t>
        </is>
      </c>
      <c r="C49" s="0">
        <v>1</v>
      </c>
      <c r="D49" s="4" t="inlineStr">
        <is>
          <t xml:space="preserve">Proveedores de servicio de Internet (ISP)</t>
        </is>
      </c>
      <c r="E49" s="4" t="inlineStr">
        <is>
          <t xml:space="preserve">Servicios basados en ingeniería, ciencias sociales y tecnología de la información / Servicios informáticos / Servicios para internet</t>
        </is>
      </c>
      <c r="F49" s="0">
        <v>1.0</v>
      </c>
      <c r="G49" s="0" t="inlineStr">
        <is>
          <t xml:space="preserve">Unidad</t>
        </is>
      </c>
      <c r="H49" s="4" t="inlineStr">
        <is>
          <t xml:space="preserve">Arriendo de Enlace de Datos y Solución en la Nube de Voz para Dependencias del Gobierno Regional y Consejo Regional de Arica y Parinacota</t>
        </is>
      </c>
    </row>
    <row r="50">
      <c r="A50" s="0" t="inlineStr">
        <is>
          <t xml:space="preserve">906973-10-LP26</t>
        </is>
      </c>
      <c r="B50" s="4" t="inlineStr">
        <is>
          <t xml:space="preserve">SEGUNDO LLAMADO SISTEMAS INFORMÁTICOS DE GESTIÓN MUNICIPAL</t>
        </is>
      </c>
      <c r="C50" s="0">
        <v>1</v>
      </c>
      <c r="D50" s="4" t="inlineStr">
        <is>
          <t xml:space="preserve">Servicios contables gubernamentales</t>
        </is>
      </c>
      <c r="E50" s="4" t="inlineStr">
        <is>
          <t xml:space="preserve">Organizaciones y consultorías políticas, demográficas, económicas, sociales y de administración pública / Administración y finanzas públicas / Finanzas públicas</t>
        </is>
      </c>
      <c r="F50" s="0">
        <v>36.0</v>
      </c>
      <c r="G50" s="0" t="inlineStr">
        <is>
          <t xml:space="preserve">Mes</t>
        </is>
      </c>
      <c r="H50"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51">
      <c r="A51" s="0" t="inlineStr">
        <is>
          <t xml:space="preserve">1488587-36-LE26</t>
        </is>
      </c>
      <c r="B51" s="4" t="inlineStr">
        <is>
          <t xml:space="preserve">Ampliación Laboratorio de Imagen Digital Carrera de Periodismo Campus Andrés Bello de Universidad de La Serena</t>
        </is>
      </c>
      <c r="C51" s="0">
        <v>1</v>
      </c>
      <c r="D51" s="4" t="inlineStr">
        <is>
          <t xml:space="preserve">Construcción de edificios y departamentos</t>
        </is>
      </c>
      <c r="E51" s="4" t="inlineStr">
        <is>
          <t xml:space="preserve">Servicios de construcción y mantenimiento / Construcción de edificios en general / Construcción residencial</t>
        </is>
      </c>
      <c r="F51" s="0">
        <v>1.0</v>
      </c>
      <c r="G51" s="0" t="inlineStr">
        <is>
          <t xml:space="preserve">Global</t>
        </is>
      </c>
      <c r="H51" s="4" t="inlineStr">
        <is>
          <t xml:space="preserve">Ampliación Laboratorio de Imagen Digital Carrera de Periodismo Campus Andrés Bello de Universidad de La Serena</t>
        </is>
      </c>
    </row>
    <row r="52">
      <c r="A52" s="0" t="inlineStr">
        <is>
          <t xml:space="preserve">3134-94-LE26</t>
        </is>
      </c>
      <c r="B52" s="4" t="inlineStr">
        <is>
          <t xml:space="preserve">LICENCIAS DE SOFTWARE CONTROL DE TRÁFICO MARÍTIMO.</t>
        </is>
      </c>
      <c r="C52" s="0">
        <v>1</v>
      </c>
      <c r="D52" s="4" t="inlineStr">
        <is>
          <t xml:space="preserve">Sistemas de señalización marítima</t>
        </is>
      </c>
      <c r="E52" s="4" t="inlineStr">
        <is>
          <t xml:space="preserve">Equipos y suministros de defensa, orden público, protección y seguridad / Seguridad y control público / Control de tráfico</t>
        </is>
      </c>
      <c r="F52" s="0">
        <v>3.0</v>
      </c>
      <c r="G52" s="0" t="inlineStr">
        <is>
          <t xml:space="preserve">Unidad</t>
        </is>
      </c>
      <c r="H52" s="4" t="inlineStr">
        <is>
          <t xml:space="preserve">SOFTWARE DE CONTROL DE TRÁFICO MARÍTIMO E INTEGRADOR DE RADAR AIS Y CÁMARAS.</t>
        </is>
      </c>
    </row>
    <row r="53">
      <c r="A53" s="0" t="inlineStr">
        <is>
          <t xml:space="preserve">3232-56-LE26</t>
        </is>
      </c>
      <c r="B53" s="4" t="inlineStr">
        <is>
          <t xml:space="preserve">LICENCIAMIENTO ANUAL DE SOFTWARE ÁREA MUNICIPAL</t>
        </is>
      </c>
      <c r="C53" s="0">
        <v>1</v>
      </c>
      <c r="D53" s="4" t="inlineStr">
        <is>
          <t xml:space="preserve">Software de gestión de licencias</t>
        </is>
      </c>
      <c r="E53" s="4" t="inlineStr">
        <is>
          <t xml:space="preserve">Tecnologías de la información, telecomunicaciones y radiodifusión / Software / Software de gestión</t>
        </is>
      </c>
      <c r="F53" s="0">
        <v>17.0</v>
      </c>
      <c r="G53" s="0" t="inlineStr">
        <is>
          <t xml:space="preserve">Unidad</t>
        </is>
      </c>
      <c r="H53" s="4" t="inlineStr">
        <is>
          <t xml:space="preserve">NUEVA - AUTODESK AUTOCAD LT 2026 - SIMILAR O EQUIVALENTE</t>
        </is>
      </c>
    </row>
    <row r="54">
      <c r="A54" s="0" t="inlineStr">
        <is>
          <t xml:space="preserve">3232-56-LE26</t>
        </is>
      </c>
      <c r="B54" s="4" t="inlineStr">
        <is>
          <t xml:space="preserve">LICENCIAMIENTO ANUAL DE SOFTWARE ÁREA MUNICIPAL</t>
        </is>
      </c>
      <c r="C54" s="0">
        <v>2</v>
      </c>
      <c r="D54" s="4" t="inlineStr">
        <is>
          <t xml:space="preserve">Software de gestión de licencias</t>
        </is>
      </c>
      <c r="E54" s="4" t="inlineStr">
        <is>
          <t xml:space="preserve">Tecnologías de la información, telecomunicaciones y radiodifusión / Software / Software de gestión</t>
        </is>
      </c>
      <c r="F54" s="0">
        <v>1.0</v>
      </c>
      <c r="G54" s="0" t="inlineStr">
        <is>
          <t xml:space="preserve">Unidad</t>
        </is>
      </c>
      <c r="H54" s="4" t="inlineStr">
        <is>
          <t xml:space="preserve">RENOVACIÓN - AUTOCAD MAP 3D SPECIALIZED TOOLS 2026- SIMILAR O EQUIVALENTE</t>
        </is>
      </c>
    </row>
    <row r="55">
      <c r="A55" s="0" t="inlineStr">
        <is>
          <t xml:space="preserve">3232-56-LE26</t>
        </is>
      </c>
      <c r="B55" s="4" t="inlineStr">
        <is>
          <t xml:space="preserve">LICENCIAMIENTO ANUAL DE SOFTWARE ÁREA MUNICIPAL</t>
        </is>
      </c>
      <c r="C55" s="0">
        <v>3</v>
      </c>
      <c r="D55" s="4" t="inlineStr">
        <is>
          <t xml:space="preserve">Software de gestión de licencias</t>
        </is>
      </c>
      <c r="E55" s="4" t="inlineStr">
        <is>
          <t xml:space="preserve">Tecnologías de la información, telecomunicaciones y radiodifusión / Software / Software de gestión</t>
        </is>
      </c>
      <c r="F55" s="0">
        <v>1.0</v>
      </c>
      <c r="G55" s="0" t="inlineStr">
        <is>
          <t xml:space="preserve">Unidad</t>
        </is>
      </c>
      <c r="H55" s="4" t="inlineStr">
        <is>
          <t xml:space="preserve">RENOVACIÓN – AUTOCAD REVIT 2026 - SIMILAR O EQUIVALENTE</t>
        </is>
      </c>
    </row>
    <row r="56">
      <c r="A56" s="0" t="inlineStr">
        <is>
          <t xml:space="preserve">591-26-LP26</t>
        </is>
      </c>
      <c r="B56" s="4" t="inlineStr">
        <is>
          <t xml:space="preserve">PLATAFORMA DE OBSERVABILIDAD AVANZADA MULTICLOUD PARA FONASA.</t>
        </is>
      </c>
      <c r="C56" s="0">
        <v>1</v>
      </c>
      <c r="D56" s="4" t="inlineStr">
        <is>
          <t xml:space="preserve">Software de gestión de licencias</t>
        </is>
      </c>
      <c r="E56" s="4" t="inlineStr">
        <is>
          <t xml:space="preserve">Tecnologías de la información, telecomunicaciones y radiodifusión / Software / Software de gestión</t>
        </is>
      </c>
      <c r="F56" s="0">
        <v>1.0</v>
      </c>
      <c r="G56" s="0" t="inlineStr">
        <is>
          <t xml:space="preserve">Unidad</t>
        </is>
      </c>
      <c r="H56"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57">
      <c r="A57" s="0" t="inlineStr">
        <is>
          <t xml:space="preserve">611669-20-LE26</t>
        </is>
      </c>
      <c r="B57" s="4" t="inlineStr">
        <is>
          <t xml:space="preserve">ADQUISICIÓN DE LICENCIAS DE SOFTWARE</t>
        </is>
      </c>
      <c r="C57" s="0">
        <v>1</v>
      </c>
      <c r="D57" s="4" t="inlineStr">
        <is>
          <t xml:space="preserve">Programas de gestión de proyectos</t>
        </is>
      </c>
      <c r="E57" s="4" t="inlineStr">
        <is>
          <t xml:space="preserve">Tecnologías de la información, telecomunicaciones y radiodifusión / Software / Software de gestión</t>
        </is>
      </c>
      <c r="F57" s="0">
        <v>1.0</v>
      </c>
      <c r="G57" s="0" t="inlineStr">
        <is>
          <t xml:space="preserve">Unidad</t>
        </is>
      </c>
      <c r="H57" s="4" t="inlineStr">
        <is>
          <t xml:space="preserve">Categoría N°1: Renovación de Licencias Atlassian con Plugin “Google Analytics in Jira &amp; 
JSM”. 12 meses</t>
        </is>
      </c>
    </row>
    <row r="58">
      <c r="A58" s="0" t="inlineStr">
        <is>
          <t xml:space="preserve">611669-20-LE26</t>
        </is>
      </c>
      <c r="B58" s="4" t="inlineStr">
        <is>
          <t xml:space="preserve">ADQUISICIÓN DE LICENCIAS DE SOFTWARE</t>
        </is>
      </c>
      <c r="C58" s="0">
        <v>2</v>
      </c>
      <c r="D58" s="4" t="inlineStr">
        <is>
          <t xml:space="preserve">Software de consultas e interfaz de usuario de bases de datos</t>
        </is>
      </c>
      <c r="E58" s="4" t="inlineStr">
        <is>
          <t xml:space="preserve">Tecnologías de la información, telecomunicaciones y radiodifusión / Software / Software de consultas y gestión de datos</t>
        </is>
      </c>
      <c r="F58" s="0">
        <v>1.0</v>
      </c>
      <c r="G58" s="0" t="inlineStr">
        <is>
          <t xml:space="preserve">Unidad</t>
        </is>
      </c>
      <c r="H58" s="4" t="inlineStr">
        <is>
          <t xml:space="preserve">Categoría N°2: Renovación de Licencia Google Maps. 12 meses ó hasta consumir la totalidad de los créditos.</t>
        </is>
      </c>
    </row>
    <row r="59">
      <c r="A59" s="0" t="inlineStr">
        <is>
          <t xml:space="preserve">611669-20-LE26</t>
        </is>
      </c>
      <c r="B59" s="4" t="inlineStr">
        <is>
          <t xml:space="preserve">ADQUISICIÓN DE LICENCIAS DE SOFTWARE</t>
        </is>
      </c>
      <c r="C59" s="0">
        <v>3</v>
      </c>
      <c r="D59" s="4" t="inlineStr">
        <is>
          <t xml:space="preserve">Software de red de almacenamiento</t>
        </is>
      </c>
      <c r="E59" s="4" t="inlineStr">
        <is>
          <t xml:space="preserve">Tecnologías de la información, telecomunicaciones y radiodifusión / Software / Software para trabajo en redes</t>
        </is>
      </c>
      <c r="F59" s="0">
        <v>4.0</v>
      </c>
      <c r="G59" s="0" t="inlineStr">
        <is>
          <t xml:space="preserve">Unidad</t>
        </is>
      </c>
      <c r="H59" s="4" t="inlineStr">
        <is>
          <t xml:space="preserve">Categoría N°3: Licencia plataforma de respaldo VEEAM ONE. 12 meses.</t>
        </is>
      </c>
    </row>
    <row r="60">
      <c r="A60" s="0" t="inlineStr">
        <is>
          <t xml:space="preserve">611669-20-LE26</t>
        </is>
      </c>
      <c r="B60" s="4" t="inlineStr">
        <is>
          <t xml:space="preserve">ADQUISICIÓN DE LICENCIAS DE SOFTWARE</t>
        </is>
      </c>
      <c r="C60" s="0">
        <v>4</v>
      </c>
      <c r="D60" s="4" t="inlineStr">
        <is>
          <t xml:space="preserve">Software de explorador de Internet</t>
        </is>
      </c>
      <c r="E60" s="4" t="inlineStr">
        <is>
          <t xml:space="preserve">Tecnologías de la información, telecomunicaciones y radiodifusión / Software / Software de aplicaciones de red</t>
        </is>
      </c>
      <c r="F60" s="0">
        <v>2.0</v>
      </c>
      <c r="G60" s="0" t="inlineStr">
        <is>
          <t xml:space="preserve">Unidad</t>
        </is>
      </c>
      <c r="H60" s="4" t="inlineStr">
        <is>
          <t xml:space="preserve">Categoría N°4:  Licencias Tableau Creator. 24 meses.</t>
        </is>
      </c>
    </row>
    <row r="61">
      <c r="A61" s="0" t="inlineStr">
        <is>
          <t xml:space="preserve">611669-20-LE26</t>
        </is>
      </c>
      <c r="B61" s="4" t="inlineStr">
        <is>
          <t xml:space="preserve">ADQUISICIÓN DE LICENCIAS DE SOFTWARE</t>
        </is>
      </c>
      <c r="C61" s="0">
        <v>5</v>
      </c>
      <c r="D61" s="4" t="inlineStr">
        <is>
          <t xml:space="preserve">Software de administración</t>
        </is>
      </c>
      <c r="E61" s="4" t="inlineStr">
        <is>
          <t xml:space="preserve">Tecnologías de la información, telecomunicaciones y radiodifusión / Software / Software de administración de redes</t>
        </is>
      </c>
      <c r="F61" s="0">
        <v>1.0</v>
      </c>
      <c r="G61" s="0" t="inlineStr">
        <is>
          <t xml:space="preserve">Unidad</t>
        </is>
      </c>
      <c r="H61" s="4" t="inlineStr">
        <is>
          <t xml:space="preserve">Categoría N°5: Licencia Google Earth Engine Enterprise Basic. 12 meses.</t>
        </is>
      </c>
    </row>
    <row r="62">
      <c r="A62" s="0" t="inlineStr">
        <is>
          <t xml:space="preserve">611669-20-LE26</t>
        </is>
      </c>
      <c r="B62" s="4" t="inlineStr">
        <is>
          <t xml:space="preserve">ADQUISICIÓN DE LICENCIAS DE SOFTWARE</t>
        </is>
      </c>
      <c r="C62" s="0">
        <v>6</v>
      </c>
      <c r="D62" s="4" t="inlineStr">
        <is>
          <t xml:space="preserve">Software de administración</t>
        </is>
      </c>
      <c r="E62" s="4" t="inlineStr">
        <is>
          <t xml:space="preserve">Tecnologías de la información, telecomunicaciones y radiodifusión / Software / Software de administración de redes</t>
        </is>
      </c>
      <c r="F62" s="0">
        <v>1.0</v>
      </c>
      <c r="G62" s="0" t="inlineStr">
        <is>
          <t xml:space="preserve">Unidad</t>
        </is>
      </c>
      <c r="H62" s="4" t="inlineStr">
        <is>
          <t xml:space="preserve">Categoría N°6: Licencia Medium de la API Storm Glass. 12 meses.</t>
        </is>
      </c>
    </row>
    <row r="63">
      <c r="A63" s="0" t="inlineStr">
        <is>
          <t xml:space="preserve">885-94-LE26</t>
        </is>
      </c>
      <c r="B63" s="4" t="inlineStr">
        <is>
          <t xml:space="preserve">Renovación soporte y mantención de licencias software SAP Sybase IQ Enterprise</t>
        </is>
      </c>
      <c r="C63" s="0">
        <v>1</v>
      </c>
      <c r="D63" s="4" t="inlineStr">
        <is>
          <t xml:space="preserve">Software de gestión de licencias</t>
        </is>
      </c>
      <c r="E63" s="4" t="inlineStr">
        <is>
          <t xml:space="preserve">Tecnologías de la información, telecomunicaciones y radiodifusión / Software / Software de gestión</t>
        </is>
      </c>
      <c r="F63" s="0">
        <v>1.0</v>
      </c>
      <c r="G63" s="0" t="inlineStr">
        <is>
          <t xml:space="preserve">Unidad</t>
        </is>
      </c>
      <c r="H63" s="4" t="inlineStr">
        <is>
          <t xml:space="preserve">Renovación, soporte y mantención de licencias, cuatro (4) de core productivo y dos (2) de core de desarrollo, del software Sybase IQ Enterprise, por un periodo de 12 meses.</t>
        </is>
      </c>
    </row>
    <row r="64">
      <c r="A64" s="0" t="inlineStr">
        <is>
          <t xml:space="preserve">899-44-LE26</t>
        </is>
      </c>
      <c r="B64" s="4" t="inlineStr">
        <is>
          <t xml:space="preserve">“Servicio de arriendo de equipos informáticos por un período de 36 meses para Hospital Familiar y Comunitario San José de Casablanca”</t>
        </is>
      </c>
      <c r="C64" s="0">
        <v>1</v>
      </c>
      <c r="D64" s="4" t="inlineStr">
        <is>
          <t xml:space="preserve">Computadores personales</t>
        </is>
      </c>
      <c r="E64" s="4" t="inlineStr">
        <is>
          <t xml:space="preserve">Tecnologías de la información, telecomunicaciones y radiodifusión / Equipos informáticos y accesorios / Computadores</t>
        </is>
      </c>
      <c r="F64" s="0">
        <v>1.0</v>
      </c>
      <c r="G64" s="0" t="inlineStr">
        <is>
          <t xml:space="preserve">Unidad</t>
        </is>
      </c>
      <c r="H64" s="4" t="inlineStr">
        <is>
          <t xml:space="preserve">“Servicio de arriendo de equipos informáticos por un período de 36 meses para Hospital Familiar y Comunitario San José de Casablanca”. De acuerdo a lo indicado en Bases Técnicas.</t>
        </is>
      </c>
    </row>
    <row r="65">
      <c r="A65" s="0" t="inlineStr">
        <is>
          <t xml:space="preserve">951-6-L126</t>
        </is>
      </c>
      <c r="B65" s="4" t="inlineStr">
        <is>
          <t xml:space="preserve">CONVENIO DE SUMINISTRO PARA LOS SERVICIOS MENORES DE GASFITERÍA, CARPINTERÍA, ELÉCTRICIDAD, PUNTO DE RED INFORMATICOS Y REPARACIONES MENORES PARA LA DELEGACIÓN PRESIDENCIAL REGIONAL DE TARAPACA</t>
        </is>
      </c>
      <c r="C65" s="0">
        <v>1</v>
      </c>
      <c r="D65" s="4" t="inlineStr">
        <is>
          <t xml:space="preserve">Mantenimiento o reparación de sistemas de fontanería, gasfitería</t>
        </is>
      </c>
      <c r="E65" s="4" t="inlineStr">
        <is>
          <t xml:space="preserve">Servicios de construcción y mantenimiento / Servicios de atención, mantenimiento y reparaciones de edificios / Gasfitería, calefacción y aire acondicionado</t>
        </is>
      </c>
      <c r="F65" s="0">
        <v>1.0</v>
      </c>
      <c r="G65" s="0" t="inlineStr">
        <is>
          <t xml:space="preserve">Unidad</t>
        </is>
      </c>
      <c r="H65" s="4" t="inlineStr">
        <is>
          <t xml:space="preserve">CONVENIO DE SUMINISTRO PARA LOS SERVICIOS MENORES DE GASFITERÍA, CARPINTERÍA, ELÉCTRICIDAD, PUNTOS DE RED INFORMATICOS Y REPARACIONES MENORES PARA LA DELEGACIÓN PRESIDENCIAL REGIONAL DE TARAPACA</t>
        </is>
      </c>
    </row>
    <row r="66">
      <c r="A66" s="0" t="inlineStr">
        <is>
          <t xml:space="preserve">1002-84-LP26</t>
        </is>
      </c>
      <c r="B66" s="4" t="inlineStr">
        <is>
          <t xml:space="preserve">ADQUISICION DE TABLERO DE MADERA PRESERVADA CON HERRAJE</t>
        </is>
      </c>
      <c r="C66" s="0">
        <v>1</v>
      </c>
      <c r="D66" s="4" t="inlineStr">
        <is>
          <t xml:space="preserve">Vigas de madera</t>
        </is>
      </c>
      <c r="E66" s="4" t="inlineStr">
        <is>
          <t xml:space="preserve">Artículos para estructuras, obras y construcciones / Materiales estructurales básicos / Productos estructurales</t>
        </is>
      </c>
      <c r="F66" s="0">
        <v>1.0</v>
      </c>
      <c r="G66" s="0" t="inlineStr">
        <is>
          <t xml:space="preserve">Unidad</t>
        </is>
      </c>
      <c r="H66" s="4" t="inlineStr">
        <is>
          <t xml:space="preserve">adquisición de un tablero de madera preservada, con su herraje segun solicitado en bases tecnicas</t>
        </is>
      </c>
    </row>
    <row r="67">
      <c r="A67" s="0" t="inlineStr">
        <is>
          <t xml:space="preserve">1457281-19-L126</t>
        </is>
      </c>
      <c r="B67" s="4" t="inlineStr">
        <is>
          <t xml:space="preserve">SERVICIO DE SOFTWARE Y SOPORTE PARA SISTEMA DE CONTEO DE PÚBLICO M100</t>
        </is>
      </c>
      <c r="C67" s="0">
        <v>1</v>
      </c>
      <c r="D67" s="4" t="inlineStr">
        <is>
          <t xml:space="preserve">Soporte técnico y servicios de mesa de ayuda</t>
        </is>
      </c>
      <c r="E67" s="4" t="inlineStr">
        <is>
          <t xml:space="preserve">Servicios basados en ingeniería, ciencias sociales y tecnología de la información / Servicios informáticos / Administración de sistemas</t>
        </is>
      </c>
      <c r="F67" s="0">
        <v>12.0</v>
      </c>
      <c r="G67" s="0" t="inlineStr">
        <is>
          <t xml:space="preserve">Mes</t>
        </is>
      </c>
      <c r="H67" s="4" t="inlineStr">
        <is>
          <t xml:space="preserve">Servicio de software y soporte técnico mensual para plataforma de conteo de público del Centro Cultural M100, sobre 3 puntos de conteo instalados. Incluye dashboard, reportes exportables y certificación de precisión.</t>
        </is>
      </c>
    </row>
    <row r="68">
      <c r="A68" s="0" t="inlineStr">
        <is>
          <t xml:space="preserve">1469-241-L126</t>
        </is>
      </c>
      <c r="B68" s="4" t="inlineStr">
        <is>
          <t xml:space="preserve">ADQUISICIÓN LICENCIAS DIGITALES PLATAFORMA EDUCACIONAL IDIOMA FRANCÉS”, UNIVERSIDAD DE TALCA”</t>
        </is>
      </c>
      <c r="C68" s="0">
        <v>1</v>
      </c>
      <c r="D68" s="4" t="inlineStr">
        <is>
          <t xml:space="preserve">Cursos y materiales de apoyo para aprender a hablar francés</t>
        </is>
      </c>
      <c r="E68" s="4" t="inlineStr">
        <is>
          <t xml:space="preserve">Instrumentos musicales, juegos, juguetes, artesanías y materiales educativos / Materiales, artículos y suministros didácticos profesionales y para el desarrollo personal / Recursos de lenguas extranjeras</t>
        </is>
      </c>
      <c r="F68" s="0">
        <v>2.0</v>
      </c>
      <c r="G68" s="0" t="inlineStr">
        <is>
          <t xml:space="preserve">Unidad</t>
        </is>
      </c>
      <c r="H68" s="4" t="inlineStr">
        <is>
          <t xml:space="preserve">La Universidad de Talca requiere adquirir licencias digitales de 3 Editoriales: Maison des Langues, Clé y Hachette, para docentes de cursos de francés de pregrado, desde el 05 de octubre de 2026 al 05 de octubre de 2027.</t>
        </is>
      </c>
    </row>
    <row r="69">
      <c r="A69" s="0" t="inlineStr">
        <is>
          <t xml:space="preserve">1469-241-L126</t>
        </is>
      </c>
      <c r="B69" s="4" t="inlineStr">
        <is>
          <t xml:space="preserve">ADQUISICIÓN LICENCIAS DIGITALES PLATAFORMA EDUCACIONAL IDIOMA FRANCÉS”, UNIVERSIDAD DE TALCA”</t>
        </is>
      </c>
      <c r="C69" s="0">
        <v>2</v>
      </c>
      <c r="D69" s="4" t="inlineStr">
        <is>
          <t xml:space="preserve">Cursos y materiales de apoyo para aprender a hablar francés</t>
        </is>
      </c>
      <c r="E69" s="4" t="inlineStr">
        <is>
          <t xml:space="preserve">Instrumentos musicales, juegos, juguetes, artesanías y materiales educativos / Materiales, artículos y suministros didácticos profesionales y para el desarrollo personal / Recursos de lenguas extranjeras</t>
        </is>
      </c>
      <c r="F69" s="0">
        <v>2.0</v>
      </c>
      <c r="G69" s="0" t="inlineStr">
        <is>
          <t xml:space="preserve">Unidad</t>
        </is>
      </c>
      <c r="H69" s="4" t="inlineStr">
        <is>
          <t xml:space="preserve">La Universidad de Talca requiere adquirir licencias digitales de 3 Editoriales: Maison des Langues, Clé y Hachette, para docentes de cursos de francés de pregrado, desde el 05 de octubre de 2026 al 05 de octubre de 2027.</t>
        </is>
      </c>
    </row>
    <row r="70">
      <c r="A70" s="0" t="inlineStr">
        <is>
          <t xml:space="preserve">1469-241-L126</t>
        </is>
      </c>
      <c r="B70" s="4" t="inlineStr">
        <is>
          <t xml:space="preserve">ADQUISICIÓN LICENCIAS DIGITALES PLATAFORMA EDUCACIONAL IDIOMA FRANCÉS”, UNIVERSIDAD DE TALCA”</t>
        </is>
      </c>
      <c r="C70" s="0">
        <v>3</v>
      </c>
      <c r="D70" s="4" t="inlineStr">
        <is>
          <t xml:space="preserve">Cursos y materiales de apoyo para aprender a hablar francés</t>
        </is>
      </c>
      <c r="E70" s="4" t="inlineStr">
        <is>
          <t xml:space="preserve">Instrumentos musicales, juegos, juguetes, artesanías y materiales educativos / Materiales, artículos y suministros didácticos profesionales y para el desarrollo personal / Recursos de lenguas extranjeras</t>
        </is>
      </c>
      <c r="F70" s="0">
        <v>2.0</v>
      </c>
      <c r="G70" s="0" t="inlineStr">
        <is>
          <t xml:space="preserve">Unidad</t>
        </is>
      </c>
      <c r="H70" s="4" t="inlineStr">
        <is>
          <t xml:space="preserve">La Universidad de Talca requiere adquirir licencias digitales de 3 Editoriales: Maison des Langues, Clé y Hachette, para docentes de cursos de francés de pregrado, desde el 05 de octubre de 2026 al 05 de octubre de 2027.</t>
        </is>
      </c>
    </row>
    <row r="71">
      <c r="A71" s="0" t="inlineStr">
        <is>
          <t xml:space="preserve">1469-241-L126</t>
        </is>
      </c>
      <c r="B71" s="4" t="inlineStr">
        <is>
          <t xml:space="preserve">ADQUISICIÓN LICENCIAS DIGITALES PLATAFORMA EDUCACIONAL IDIOMA FRANCÉS”, UNIVERSIDAD DE TALCA”</t>
        </is>
      </c>
      <c r="C71" s="0">
        <v>4</v>
      </c>
      <c r="D71" s="4" t="inlineStr">
        <is>
          <t xml:space="preserve">Cursos y materiales de apoyo para aprender a hablar francés</t>
        </is>
      </c>
      <c r="E71" s="4" t="inlineStr">
        <is>
          <t xml:space="preserve">Instrumentos musicales, juegos, juguetes, artesanías y materiales educativos / Materiales, artículos y suministros didácticos profesionales y para el desarrollo personal / Recursos de lenguas extranjeras</t>
        </is>
      </c>
      <c r="F71" s="0">
        <v>2.0</v>
      </c>
      <c r="G71" s="0" t="inlineStr">
        <is>
          <t xml:space="preserve">Unidad</t>
        </is>
      </c>
      <c r="H71" s="4" t="inlineStr">
        <is>
          <t xml:space="preserve">La Universidad de Talca requiere adquirir licencias digitales de 3 Editoriales: Maison des Langues, Clé y Hachette, para docentes de cursos de francés de pregrado, desde el 05 de octubre de 2026 al 05 de octubre de 2027.</t>
        </is>
      </c>
    </row>
    <row r="72">
      <c r="A72" s="0" t="inlineStr">
        <is>
          <t xml:space="preserve">1469-241-L126</t>
        </is>
      </c>
      <c r="B72" s="4" t="inlineStr">
        <is>
          <t xml:space="preserve">ADQUISICIÓN LICENCIAS DIGITALES PLATAFORMA EDUCACIONAL IDIOMA FRANCÉS”, UNIVERSIDAD DE TALCA”</t>
        </is>
      </c>
      <c r="C72" s="0">
        <v>5</v>
      </c>
      <c r="D72" s="4" t="inlineStr">
        <is>
          <t xml:space="preserve">Cursos y materiales de apoyo para aprender a hablar francés</t>
        </is>
      </c>
      <c r="E72" s="4" t="inlineStr">
        <is>
          <t xml:space="preserve">Instrumentos musicales, juegos, juguetes, artesanías y materiales educativos / Materiales, artículos y suministros didácticos profesionales y para el desarrollo personal / Recursos de lenguas extranjeras</t>
        </is>
      </c>
      <c r="F72" s="0">
        <v>2.0</v>
      </c>
      <c r="G72" s="0" t="inlineStr">
        <is>
          <t xml:space="preserve">Unidad</t>
        </is>
      </c>
      <c r="H72" s="4" t="inlineStr">
        <is>
          <t xml:space="preserve">La Universidad de Talca requiere adquirir licencias digitales de 3 Editoriales: Maison des Langues, Clé y Hachette, para docentes de cursos de francés de pregrado, desde el 05 de octubre de 2026 al 05 de octubre de 2027.</t>
        </is>
      </c>
    </row>
    <row r="73">
      <c r="A73" s="0" t="inlineStr">
        <is>
          <t xml:space="preserve">1469-241-L126</t>
        </is>
      </c>
      <c r="B73" s="4" t="inlineStr">
        <is>
          <t xml:space="preserve">ADQUISICIÓN LICENCIAS DIGITALES PLATAFORMA EDUCACIONAL IDIOMA FRANCÉS”, UNIVERSIDAD DE TALCA”</t>
        </is>
      </c>
      <c r="C73" s="0">
        <v>6</v>
      </c>
      <c r="D73" s="4" t="inlineStr">
        <is>
          <t xml:space="preserve">Cursos y materiales de apoyo para aprender a hablar francés</t>
        </is>
      </c>
      <c r="E73" s="4" t="inlineStr">
        <is>
          <t xml:space="preserve">Instrumentos musicales, juegos, juguetes, artesanías y materiales educativos / Materiales, artículos y suministros didácticos profesionales y para el desarrollo personal / Recursos de lenguas extranjeras</t>
        </is>
      </c>
      <c r="F73" s="0">
        <v>2.0</v>
      </c>
      <c r="G73" s="0" t="inlineStr">
        <is>
          <t xml:space="preserve">Unidad</t>
        </is>
      </c>
      <c r="H73" s="4" t="inlineStr">
        <is>
          <t xml:space="preserve">La Universidad de Talca requiere adquirir licencias digitales de 3 Editoriales: Maison des Langues, Clé y Hachette, para docentes de cursos de francés de pregrado, desde el 05 de octubre de 2026 al 05 de octubre de 2027.</t>
        </is>
      </c>
    </row>
    <row r="74">
      <c r="A74" s="0" t="inlineStr">
        <is>
          <t xml:space="preserve">1469-241-L126</t>
        </is>
      </c>
      <c r="B74" s="4" t="inlineStr">
        <is>
          <t xml:space="preserve">ADQUISICIÓN LICENCIAS DIGITALES PLATAFORMA EDUCACIONAL IDIOMA FRANCÉS”, UNIVERSIDAD DE TALCA”</t>
        </is>
      </c>
      <c r="C74" s="0">
        <v>7</v>
      </c>
      <c r="D74" s="4" t="inlineStr">
        <is>
          <t xml:space="preserve">Cursos y materiales de apoyo para aprender a hablar francés</t>
        </is>
      </c>
      <c r="E74" s="4" t="inlineStr">
        <is>
          <t xml:space="preserve">Instrumentos musicales, juegos, juguetes, artesanías y materiales educativos / Materiales, artículos y suministros didácticos profesionales y para el desarrollo personal / Recursos de lenguas extranjeras</t>
        </is>
      </c>
      <c r="F74" s="0">
        <v>2.0</v>
      </c>
      <c r="G74" s="0" t="inlineStr">
        <is>
          <t xml:space="preserve">Unidad</t>
        </is>
      </c>
      <c r="H74" s="4" t="inlineStr">
        <is>
          <t xml:space="preserve">La Universidad de Talca requiere adquirir licencias digitales de 3 Editoriales: Maison des Langues, Clé y Hachette, para docentes de cursos de francés de pregrado, desde el 05 de octubre de 2026 al 05 de octubre de 2027.</t>
        </is>
      </c>
    </row>
    <row r="75">
      <c r="A75" s="0" t="inlineStr">
        <is>
          <t xml:space="preserve">1469-241-L126</t>
        </is>
      </c>
      <c r="B75" s="4" t="inlineStr">
        <is>
          <t xml:space="preserve">ADQUISICIÓN LICENCIAS DIGITALES PLATAFORMA EDUCACIONAL IDIOMA FRANCÉS”, UNIVERSIDAD DE TALCA”</t>
        </is>
      </c>
      <c r="C75" s="0">
        <v>8</v>
      </c>
      <c r="D75" s="4" t="inlineStr">
        <is>
          <t xml:space="preserve">Cursos y materiales de apoyo para aprender a hablar francés</t>
        </is>
      </c>
      <c r="E75" s="4" t="inlineStr">
        <is>
          <t xml:space="preserve">Instrumentos musicales, juegos, juguetes, artesanías y materiales educativos / Materiales, artículos y suministros didácticos profesionales y para el desarrollo personal / Recursos de lenguas extranjeras</t>
        </is>
      </c>
      <c r="F75" s="0">
        <v>2.0</v>
      </c>
      <c r="G75" s="0" t="inlineStr">
        <is>
          <t xml:space="preserve">Unidad</t>
        </is>
      </c>
      <c r="H75" s="4" t="inlineStr">
        <is>
          <t xml:space="preserve">La Universidad de Talca requiere adquirir licencias digitales de 3 Editoriales: Maison des Langues, Clé y Hachette, para docentes de cursos de francés de pregrado, desde el 05 de octubre de 2026 al 05 de octubre de 2027.</t>
        </is>
      </c>
    </row>
    <row r="76">
      <c r="A76" s="0" t="inlineStr">
        <is>
          <t xml:space="preserve">1469-241-L126</t>
        </is>
      </c>
      <c r="B76" s="4" t="inlineStr">
        <is>
          <t xml:space="preserve">ADQUISICIÓN LICENCIAS DIGITALES PLATAFORMA EDUCACIONAL IDIOMA FRANCÉS”, UNIVERSIDAD DE TALCA”</t>
        </is>
      </c>
      <c r="C76" s="0">
        <v>9</v>
      </c>
      <c r="D76" s="4" t="inlineStr">
        <is>
          <t xml:space="preserve">Cursos y materiales de apoyo para aprender a hablar francés</t>
        </is>
      </c>
      <c r="E76" s="4" t="inlineStr">
        <is>
          <t xml:space="preserve">Instrumentos musicales, juegos, juguetes, artesanías y materiales educativos / Materiales, artículos y suministros didácticos profesionales y para el desarrollo personal / Recursos de lenguas extranjeras</t>
        </is>
      </c>
      <c r="F76" s="0">
        <v>2.0</v>
      </c>
      <c r="G76" s="0" t="inlineStr">
        <is>
          <t xml:space="preserve">Unidad</t>
        </is>
      </c>
      <c r="H76" s="4" t="inlineStr">
        <is>
          <t xml:space="preserve">La Universidad de Talca requiere adquirir licencias digitales de 3 Editoriales: Maison des Langues, Clé y Hachette, para docentes de cursos de francés de pregrado, desde el 05 de octubre de 2026 al 05 de octubre de 2027.</t>
        </is>
      </c>
    </row>
    <row r="77">
      <c r="A77" s="0" t="inlineStr">
        <is>
          <t xml:space="preserve">1469-241-L126</t>
        </is>
      </c>
      <c r="B77" s="4" t="inlineStr">
        <is>
          <t xml:space="preserve">ADQUISICIÓN LICENCIAS DIGITALES PLATAFORMA EDUCACIONAL IDIOMA FRANCÉS”, UNIVERSIDAD DE TALCA”</t>
        </is>
      </c>
      <c r="C77" s="0">
        <v>10</v>
      </c>
      <c r="D77" s="4" t="inlineStr">
        <is>
          <t xml:space="preserve">Cursos y materiales de apoyo para aprender a hablar francés</t>
        </is>
      </c>
      <c r="E77" s="4" t="inlineStr">
        <is>
          <t xml:space="preserve">Instrumentos musicales, juegos, juguetes, artesanías y materiales educativos / Materiales, artículos y suministros didácticos profesionales y para el desarrollo personal / Recursos de lenguas extranjeras</t>
        </is>
      </c>
      <c r="F77" s="0">
        <v>2.0</v>
      </c>
      <c r="G77" s="0" t="inlineStr">
        <is>
          <t xml:space="preserve">Unidad</t>
        </is>
      </c>
      <c r="H77" s="4" t="inlineStr">
        <is>
          <t xml:space="preserve">La Universidad de Talca requiere adquirir licencias digitales de 3 Editoriales: Maison des Langues, Clé y Hachette, para docentes de cursos de francés de pregrado, desde el 05 de octubre de 2026 al 05 de octubre de 2027.</t>
        </is>
      </c>
    </row>
    <row r="78">
      <c r="A78" s="0" t="inlineStr">
        <is>
          <t xml:space="preserve">1469-241-L126</t>
        </is>
      </c>
      <c r="B78" s="4" t="inlineStr">
        <is>
          <t xml:space="preserve">ADQUISICIÓN LICENCIAS DIGITALES PLATAFORMA EDUCACIONAL IDIOMA FRANCÉS”, UNIVERSIDAD DE TALCA”</t>
        </is>
      </c>
      <c r="C78" s="0">
        <v>11</v>
      </c>
      <c r="D78" s="4" t="inlineStr">
        <is>
          <t xml:space="preserve">Cursos y materiales de apoyo para aprender a hablar francés</t>
        </is>
      </c>
      <c r="E78" s="4" t="inlineStr">
        <is>
          <t xml:space="preserve">Instrumentos musicales, juegos, juguetes, artesanías y materiales educativos / Materiales, artículos y suministros didácticos profesionales y para el desarrollo personal / Recursos de lenguas extranjeras</t>
        </is>
      </c>
      <c r="F78" s="0">
        <v>2.0</v>
      </c>
      <c r="G78" s="0" t="inlineStr">
        <is>
          <t xml:space="preserve">Unidad</t>
        </is>
      </c>
      <c r="H78" s="4" t="inlineStr">
        <is>
          <t xml:space="preserve">La Universidad de Talca requiere adquirir licencias digitales de 3 Editoriales: Maison des Langues, Clé y Hachette, para docentes de cursos de francés de pregrado, desde el 05 de octubre de 2026 al 05 de octubre de 2027.</t>
        </is>
      </c>
    </row>
    <row r="79">
      <c r="A79" s="0" t="inlineStr">
        <is>
          <t xml:space="preserve">1469-241-L126</t>
        </is>
      </c>
      <c r="B79" s="4" t="inlineStr">
        <is>
          <t xml:space="preserve">ADQUISICIÓN LICENCIAS DIGITALES PLATAFORMA EDUCACIONAL IDIOMA FRANCÉS”, UNIVERSIDAD DE TALCA”</t>
        </is>
      </c>
      <c r="C79" s="0">
        <v>12</v>
      </c>
      <c r="D79" s="4" t="inlineStr">
        <is>
          <t xml:space="preserve">Cursos y materiales de apoyo para aprender a hablar francés</t>
        </is>
      </c>
      <c r="E79" s="4" t="inlineStr">
        <is>
          <t xml:space="preserve">Instrumentos musicales, juegos, juguetes, artesanías y materiales educativos / Materiales, artículos y suministros didácticos profesionales y para el desarrollo personal / Recursos de lenguas extranjeras</t>
        </is>
      </c>
      <c r="F79" s="0">
        <v>2.0</v>
      </c>
      <c r="G79" s="0" t="inlineStr">
        <is>
          <t xml:space="preserve">Unidad</t>
        </is>
      </c>
      <c r="H79" s="4" t="inlineStr">
        <is>
          <t xml:space="preserve">La Universidad de Talca requiere adquirir licencias digitales de 3 Editoriales: Maison des Langues, Clé y Hachette, para docentes de cursos de francés de pregrado, desde el 05 de octubre de 2026 al 05 de octubre de 2027.</t>
        </is>
      </c>
    </row>
    <row r="80">
      <c r="A80" s="0" t="inlineStr">
        <is>
          <t xml:space="preserve">1469-241-L126</t>
        </is>
      </c>
      <c r="B80" s="4" t="inlineStr">
        <is>
          <t xml:space="preserve">ADQUISICIÓN LICENCIAS DIGITALES PLATAFORMA EDUCACIONAL IDIOMA FRANCÉS”, UNIVERSIDAD DE TALCA”</t>
        </is>
      </c>
      <c r="C80" s="0">
        <v>13</v>
      </c>
      <c r="D80" s="4" t="inlineStr">
        <is>
          <t xml:space="preserve">Cursos y materiales de apoyo para aprender a hablar francés</t>
        </is>
      </c>
      <c r="E80" s="4" t="inlineStr">
        <is>
          <t xml:space="preserve">Instrumentos musicales, juegos, juguetes, artesanías y materiales educativos / Materiales, artículos y suministros didácticos profesionales y para el desarrollo personal / Recursos de lenguas extranjeras</t>
        </is>
      </c>
      <c r="F80" s="0">
        <v>2.0</v>
      </c>
      <c r="G80" s="0" t="inlineStr">
        <is>
          <t xml:space="preserve">Unidad</t>
        </is>
      </c>
      <c r="H80" s="4" t="inlineStr">
        <is>
          <t xml:space="preserve">La Universidad de Talca requiere adquirir licencias digitales de 3 Editoriales: Maison des Langues, Clé y Hachette, para docentes de cursos de francés de pregrado, desde el 05 de octubre de 2026 al 05 de octubre de 2027.</t>
        </is>
      </c>
    </row>
    <row r="81">
      <c r="A81" s="0" t="inlineStr">
        <is>
          <t xml:space="preserve">1469-241-L126</t>
        </is>
      </c>
      <c r="B81" s="4" t="inlineStr">
        <is>
          <t xml:space="preserve">ADQUISICIÓN LICENCIAS DIGITALES PLATAFORMA EDUCACIONAL IDIOMA FRANCÉS”, UNIVERSIDAD DE TALCA”</t>
        </is>
      </c>
      <c r="C81" s="0">
        <v>14</v>
      </c>
      <c r="D81" s="4" t="inlineStr">
        <is>
          <t xml:space="preserve">Cursos y materiales de apoyo para aprender a hablar francés</t>
        </is>
      </c>
      <c r="E81" s="4" t="inlineStr">
        <is>
          <t xml:space="preserve">Instrumentos musicales, juegos, juguetes, artesanías y materiales educativos / Materiales, artículos y suministros didácticos profesionales y para el desarrollo personal / Recursos de lenguas extranjeras</t>
        </is>
      </c>
      <c r="F81" s="0">
        <v>2.0</v>
      </c>
      <c r="G81" s="0" t="inlineStr">
        <is>
          <t xml:space="preserve">Unidad</t>
        </is>
      </c>
      <c r="H81" s="4" t="inlineStr">
        <is>
          <t xml:space="preserve">La Universidad de Talca requiere adquirir licencias digitales de 3 Editoriales: Maison des Langues, Clé y Hachette, para docentes de cursos de francés de pregrado, desde el 05 de octubre de 2026 al 05 de octubre de 2027.</t>
        </is>
      </c>
    </row>
    <row r="82">
      <c r="A82" s="0" t="inlineStr">
        <is>
          <t xml:space="preserve">599-37-LP26</t>
        </is>
      </c>
      <c r="B82" s="4" t="inlineStr">
        <is>
          <t xml:space="preserve">ADQUISICIÓN DE SOFTWARE COMPRAS Y PAGOS 36 MESES</t>
        </is>
      </c>
      <c r="C82" s="0">
        <v>1</v>
      </c>
      <c r="D82" s="4" t="inlineStr">
        <is>
          <t xml:space="preserve">Software de gestión de adquisiciones</t>
        </is>
      </c>
      <c r="E82" s="4" t="inlineStr">
        <is>
          <t xml:space="preserve">Tecnologías de la información, telecomunicaciones y radiodifusión / Software / Software de gestión</t>
        </is>
      </c>
      <c r="F82" s="0">
        <v>1.0</v>
      </c>
      <c r="G82" s="0" t="inlineStr">
        <is>
          <t xml:space="preserve">Unidad</t>
        </is>
      </c>
      <c r="H82" s="4" t="inlineStr">
        <is>
          <t xml:space="preserve">ADQUISICIÓN DE UN SOFTWARE DE COMPRAS Y PAGOS A PROVEEDORES POR 36 MESES</t>
        </is>
      </c>
    </row>
    <row r="83">
      <c r="A83" s="0" t="inlineStr">
        <is>
          <t xml:space="preserve">568658-71-LE26</t>
        </is>
      </c>
      <c r="B83" s="4" t="inlineStr">
        <is>
          <t xml:space="preserve">SOFTWARE DE GESTIÓN PARA FARMACIAS Y OPTICAS</t>
        </is>
      </c>
      <c r="C83" s="0">
        <v>1</v>
      </c>
      <c r="D83" s="4" t="inlineStr">
        <is>
          <t xml:space="preserve">Software de administración de metadatos</t>
        </is>
      </c>
      <c r="E83" s="4" t="inlineStr">
        <is>
          <t xml:space="preserve">Tecnologías de la información, telecomunicaciones y radiodifusión / Software / Software de consultas y gestión de datos</t>
        </is>
      </c>
      <c r="F83" s="0">
        <v>1.0</v>
      </c>
      <c r="G83" s="0" t="inlineStr">
        <is>
          <t xml:space="preserve">Unidad</t>
        </is>
      </c>
      <c r="H83" s="4"/>
    </row>
    <row r="84">
      <c r="A84" s="0" t="inlineStr">
        <is>
          <t xml:space="preserve">728-13-LE26</t>
        </is>
      </c>
      <c r="B84" s="4" t="inlineStr">
        <is>
          <t xml:space="preserve">Servicio de automatización de Banco de Calibracion</t>
        </is>
      </c>
      <c r="C84" s="0">
        <v>1</v>
      </c>
      <c r="D84" s="4" t="inlineStr">
        <is>
          <t xml:space="preserve">Artículo de calibración</t>
        </is>
      </c>
      <c r="E84" s="4" t="inlineStr">
        <is>
          <t xml:space="preserve">Maquinaria para fabricación y transformación industrial / Maquinaria y suministros de procesos industriales / Dispositivos de guía, posicionamiento y sujeción</t>
        </is>
      </c>
      <c r="F84" s="0">
        <v>1.0</v>
      </c>
      <c r="G84" s="0" t="inlineStr">
        <is>
          <t xml:space="preserve">Unidad</t>
        </is>
      </c>
      <c r="H84" s="4" t="inlineStr">
        <is>
          <t xml:space="preserve">Servicio de Automatización de Banco de Calibraciones (ver adjunto)</t>
        </is>
      </c>
    </row>
    <row r="85">
      <c r="A85" s="0" t="inlineStr">
        <is>
          <t xml:space="preserve">1469-251-L126</t>
        </is>
      </c>
      <c r="B85" s="4" t="inlineStr">
        <is>
          <t xml:space="preserve">“Servicio suministro de puntos de datos para la Universidad de Talca, Dirección de Tecnologías de información, nueva Oficina Servicios TI”</t>
        </is>
      </c>
      <c r="C85" s="0">
        <v>1</v>
      </c>
      <c r="D85" s="4" t="inlineStr">
        <is>
          <t xml:space="preserve">Servicios relacionados con Internet</t>
        </is>
      </c>
      <c r="E85" s="4" t="inlineStr">
        <is>
          <t xml:space="preserve">Servicios básicos y de información pública / Bibliotecas y otros centros de información pública / Comunicación social y de masas</t>
        </is>
      </c>
      <c r="F85" s="0">
        <v>1.0</v>
      </c>
      <c r="G85" s="0" t="inlineStr">
        <is>
          <t xml:space="preserve">Unidad</t>
        </is>
      </c>
      <c r="H85" s="4" t="inlineStr">
        <is>
          <t xml:space="preserve">La Universidad de Talca requiere la contratación del servicio de instalación de puntos de red Categoría 6, incluyendo la totalidad de los accesorios y componentes necesarios para habilitar la conectividad de datos.</t>
        </is>
      </c>
    </row>
    <row r="86">
      <c r="A86" s="0" t="inlineStr">
        <is>
          <t xml:space="preserve">2107-153-LP26</t>
        </is>
      </c>
      <c r="B86" s="4" t="inlineStr">
        <is>
          <t xml:space="preserve">ARRIENDO DE INFRAESTRUCTURA FÍSICA ENTERPRISE PARA PLATAFORMA TECNOLÓGICA INSTITUCIONAL</t>
        </is>
      </c>
      <c r="C86" s="0">
        <v>1</v>
      </c>
      <c r="D86" s="4" t="inlineStr">
        <is>
          <t xml:space="preserve">Componentes de dispositivo de entrada o unidad de almacenamiento</t>
        </is>
      </c>
      <c r="E86" s="4" t="inlineStr">
        <is>
          <t xml:space="preserve">Tecnologías de la información, telecomunicaciones y radiodifusión / Componentes para tecnología de la información, difusión o telecomunicaciones / Subconjuntos para dispositivos electrónicos</t>
        </is>
      </c>
      <c r="F86" s="0">
        <v>1.0</v>
      </c>
      <c r="G86" s="0" t="inlineStr">
        <is>
          <t xml:space="preserve">Unidad</t>
        </is>
      </c>
      <c r="H86" s="4" t="inlineStr">
        <is>
          <t xml:space="preserve">ARRIENDO DE INFRAESTRUCTURA FÍSICA ENTERPRISE PARA PLATAFORMA TECNOLÓGICA INSTITUCIONAL (según bases)</t>
        </is>
      </c>
    </row>
    <row r="87">
      <c r="A87" s="0" t="inlineStr">
        <is>
          <t xml:space="preserve">591-34-LE26</t>
        </is>
      </c>
      <c r="B87" s="4" t="inlineStr">
        <is>
          <t xml:space="preserve">CURSO IA EN INGENIERÍA DE SOFTWARE Y ANALÍTICA  A</t>
        </is>
      </c>
      <c r="C87" s="0">
        <v>1</v>
      </c>
      <c r="D87" s="4" t="inlineStr">
        <is>
          <t xml:space="preserve">Programas o cursos no diplomados a distancia</t>
        </is>
      </c>
      <c r="E87" s="4" t="inlineStr">
        <is>
          <t xml:space="preserve">Educación, formación, entrenamiento y capacitación / Sistemas educativos complementarios / Aprendizaje a distancia</t>
        </is>
      </c>
      <c r="F87" s="0">
        <v>1.0</v>
      </c>
      <c r="G87" s="0" t="inlineStr">
        <is>
          <t xml:space="preserve">Unidad</t>
        </is>
      </c>
      <c r="H87" s="4" t="inlineStr">
        <is>
          <t xml:space="preserve">CURSO IA EN INGENIERÍA DE SOFTWARE Y ANALÍTICA  AVANZADA</t>
        </is>
      </c>
    </row>
    <row r="88">
      <c r="A88" s="0" t="inlineStr">
        <is>
          <t xml:space="preserve">2078-47-LE26</t>
        </is>
      </c>
      <c r="B88" s="4" t="inlineStr">
        <is>
          <t xml:space="preserve">“SERVICIO DE DIFUSIÓN MULTIMEDIAL REGIONAL EN MEDIOS DE COMUNICACIÓN Y PLATAFORMAS DIGITALES” LA SEREMI DE SALUD REGIÓN DEL BIOBÍO  S.C. N° 464 465 466 467 472 474 475 476 477 478</t>
        </is>
      </c>
      <c r="C88" s="0">
        <v>1</v>
      </c>
      <c r="D88" s="4" t="inlineStr">
        <is>
          <t xml:space="preserve">Publicidad en radio</t>
        </is>
      </c>
      <c r="E88" s="4" t="inlineStr">
        <is>
          <t xml:space="preserve">Servicios editoriales, de diseño, publicidad, gráficos y artistas / Publicidad / Publicidad en medios no impresos</t>
        </is>
      </c>
      <c r="F88" s="0">
        <v>1.0</v>
      </c>
      <c r="G88" s="0" t="inlineStr">
        <is>
          <t xml:space="preserve">Unidad</t>
        </is>
      </c>
      <c r="H88" s="4" t="inlineStr">
        <is>
          <t xml:space="preserve">1 radio con cobertura regional y/o provincial Concepción, considerando la difusión de 01 frase radial, con 5 reproducciones diarias, 5 días a la semana, un mes; + difusión en web y redes sociales SC 464</t>
        </is>
      </c>
    </row>
    <row r="89">
      <c r="A89" s="0" t="inlineStr">
        <is>
          <t xml:space="preserve">2078-47-LE26</t>
        </is>
      </c>
      <c r="B89" s="4" t="inlineStr">
        <is>
          <t xml:space="preserve">“SERVICIO DE DIFUSIÓN MULTIMEDIAL REGIONAL EN MEDIOS DE COMUNICACIÓN Y PLATAFORMAS DIGITALES” LA SEREMI DE SALUD REGIÓN DEL BIOBÍO  S.C. N° 464 465 466 467 472 474 475 476 477 478</t>
        </is>
      </c>
      <c r="C89" s="0">
        <v>2</v>
      </c>
      <c r="D89" s="4" t="inlineStr">
        <is>
          <t xml:space="preserve">Publicidad en radio</t>
        </is>
      </c>
      <c r="E89" s="4" t="inlineStr">
        <is>
          <t xml:space="preserve">Servicios editoriales, de diseño, publicidad, gráficos y artistas / Publicidad / Publicidad en medios no impresos</t>
        </is>
      </c>
      <c r="F89" s="0">
        <v>1.0</v>
      </c>
      <c r="G89" s="0" t="inlineStr">
        <is>
          <t xml:space="preserve">Unidad</t>
        </is>
      </c>
      <c r="H89" s="4" t="inlineStr">
        <is>
          <t xml:space="preserve">1 radio con cobertura en la provincia de Biobío, considerando la difusión de 01 frase radial, con 6 reproducciones diarias, 5 días a la semana, un mes; + difusión en web y redes sociales SC 465</t>
        </is>
      </c>
    </row>
    <row r="90">
      <c r="A90" s="0" t="inlineStr">
        <is>
          <t xml:space="preserve">2078-47-LE26</t>
        </is>
      </c>
      <c r="B90" s="4" t="inlineStr">
        <is>
          <t xml:space="preserve">“SERVICIO DE DIFUSIÓN MULTIMEDIAL REGIONAL EN MEDIOS DE COMUNICACIÓN Y PLATAFORMAS DIGITALES” LA SEREMI DE SALUD REGIÓN DEL BIOBÍO  S.C. N° 464 465 466 467 472 474 475 476 477 478</t>
        </is>
      </c>
      <c r="C90" s="0">
        <v>3</v>
      </c>
      <c r="D90" s="4" t="inlineStr">
        <is>
          <t xml:space="preserve">Avisos en televisión</t>
        </is>
      </c>
      <c r="E90" s="4" t="inlineStr">
        <is>
          <t xml:space="preserve">Servicios editoriales, de diseño, publicidad, gráficos y artistas / Publicidad / Inserciones publicitarias en medios</t>
        </is>
      </c>
      <c r="F90" s="0">
        <v>1.0</v>
      </c>
      <c r="G90" s="0" t="inlineStr">
        <is>
          <t xml:space="preserve">Unidad</t>
        </is>
      </c>
      <c r="H90" s="4" t="inlineStr">
        <is>
          <t xml:space="preserve">1 canal de TV con cobertura regional y/o provincial Concepción, considerando la difusión de 01 spot de TV regional y/o provincial Concepción, con 1 reproducción diaria, 5 días a la semana, un mes; +difusión en web y redes sociales SC 466</t>
        </is>
      </c>
    </row>
    <row r="91">
      <c r="A91" s="0" t="inlineStr">
        <is>
          <t xml:space="preserve">2078-47-LE26</t>
        </is>
      </c>
      <c r="B91" s="4" t="inlineStr">
        <is>
          <t xml:space="preserve">“SERVICIO DE DIFUSIÓN MULTIMEDIAL REGIONAL EN MEDIOS DE COMUNICACIÓN Y PLATAFORMAS DIGITALES” LA SEREMI DE SALUD REGIÓN DEL BIOBÍO  S.C. N° 464 465 466 467 472 474 475 476 477 478</t>
        </is>
      </c>
      <c r="C91" s="0">
        <v>4</v>
      </c>
      <c r="D91" s="4" t="inlineStr">
        <is>
          <t xml:space="preserve">Campañas publicitarias</t>
        </is>
      </c>
      <c r="E91" s="4" t="inlineStr">
        <is>
          <t xml:space="preserve">Servicios editoriales, de diseño, publicidad, gráficos y artistas / Publicidad / Agencias de publicidad</t>
        </is>
      </c>
      <c r="F91" s="0">
        <v>1.0</v>
      </c>
      <c r="G91" s="0" t="inlineStr">
        <is>
          <t xml:space="preserve">Unidad</t>
        </is>
      </c>
      <c r="H91" s="4" t="inlineStr">
        <is>
          <t xml:space="preserve">1 agencia de publicidad, que permita pagar reproducción de contenidos en redes sociales institucionales, específicamente de Instagram, de la SEREMI de Salud del Biobío, al objeto de incrementar el alcance de la publicación. SC 467
Utilidad máxima de la a</t>
        </is>
      </c>
    </row>
    <row r="92">
      <c r="A92" s="0" t="inlineStr">
        <is>
          <t xml:space="preserve">2078-47-LE26</t>
        </is>
      </c>
      <c r="B92" s="4" t="inlineStr">
        <is>
          <t xml:space="preserve">“SERVICIO DE DIFUSIÓN MULTIMEDIAL REGIONAL EN MEDIOS DE COMUNICACIÓN Y PLATAFORMAS DIGITALES” LA SEREMI DE SALUD REGIÓN DEL BIOBÍO  S.C. N° 464 465 466 467 472 474 475 476 477 478</t>
        </is>
      </c>
      <c r="C92" s="0">
        <v>5</v>
      </c>
      <c r="D92" s="4" t="inlineStr">
        <is>
          <t xml:space="preserve">Publicidad en radio</t>
        </is>
      </c>
      <c r="E92" s="4" t="inlineStr">
        <is>
          <t xml:space="preserve">Servicios editoriales, de diseño, publicidad, gráficos y artistas / Publicidad / Publicidad en medios no impresos</t>
        </is>
      </c>
      <c r="F92" s="0">
        <v>1.0</v>
      </c>
      <c r="G92" s="0" t="inlineStr">
        <is>
          <t xml:space="preserve">Unidad</t>
        </is>
      </c>
      <c r="H92" s="4" t="inlineStr">
        <is>
          <t xml:space="preserve">1 radio con cobertura en la provincia de Arauco, considerando la difusión de 01 frase radial, con 6 reproducciones diarias, 5 días a la semana, un mes; + difusión en web y redes sociales 472</t>
        </is>
      </c>
    </row>
    <row r="93">
      <c r="A93" s="0" t="inlineStr">
        <is>
          <t xml:space="preserve">2078-47-LE26</t>
        </is>
      </c>
      <c r="B93" s="4" t="inlineStr">
        <is>
          <t xml:space="preserve">“SERVICIO DE DIFUSIÓN MULTIMEDIAL REGIONAL EN MEDIOS DE COMUNICACIÓN Y PLATAFORMAS DIGITALES” LA SEREMI DE SALUD REGIÓN DEL BIOBÍO  S.C. N° 464 465 466 467 472 474 475 476 477 478</t>
        </is>
      </c>
      <c r="C93" s="0">
        <v>6</v>
      </c>
      <c r="D93" s="4" t="inlineStr">
        <is>
          <t xml:space="preserve">Publicidad en Internet</t>
        </is>
      </c>
      <c r="E93" s="4" t="inlineStr">
        <is>
          <t xml:space="preserve">Servicios editoriales, de diseño, publicidad, gráficos y artistas / Publicidad / Publicidad en medios no impresos</t>
        </is>
      </c>
      <c r="F93" s="0">
        <v>1.0</v>
      </c>
      <c r="G93" s="0" t="inlineStr">
        <is>
          <t xml:space="preserve">Unidad</t>
        </is>
      </c>
      <c r="H93" s="4" t="inlineStr">
        <is>
          <t xml:space="preserve">1 medio de comunicación regional multiplataforma, considerando la difusión de banner, 01 spot en web, nota de prensa, publicación en redes sociales SC 474</t>
        </is>
      </c>
    </row>
    <row r="94">
      <c r="A94" s="0" t="inlineStr">
        <is>
          <t xml:space="preserve">2078-47-LE26</t>
        </is>
      </c>
      <c r="B94" s="4" t="inlineStr">
        <is>
          <t xml:space="preserve">“SERVICIO DE DIFUSIÓN MULTIMEDIAL REGIONAL EN MEDIOS DE COMUNICACIÓN Y PLATAFORMAS DIGITALES” LA SEREMI DE SALUD REGIÓN DEL BIOBÍO  S.C. N° 464 465 466 467 472 474 475 476 477 478</t>
        </is>
      </c>
      <c r="C94" s="0">
        <v>7</v>
      </c>
      <c r="D94" s="4" t="inlineStr">
        <is>
          <t xml:space="preserve">Publicidad en radio</t>
        </is>
      </c>
      <c r="E94" s="4" t="inlineStr">
        <is>
          <t xml:space="preserve">Servicios editoriales, de diseño, publicidad, gráficos y artistas / Publicidad / Publicidad en medios no impresos</t>
        </is>
      </c>
      <c r="F94" s="0">
        <v>1.0</v>
      </c>
      <c r="G94" s="0" t="inlineStr">
        <is>
          <t xml:space="preserve">Unidad</t>
        </is>
      </c>
      <c r="H94" s="4" t="inlineStr">
        <is>
          <t xml:space="preserve">1 radio con cobertura regional y/o provincial Concepción, considerando la difusión de 01 frase radial, con 5 reproducciones diarias, 5 días a la semana, un mes; + difusión en web y redes sociales SC 475</t>
        </is>
      </c>
    </row>
    <row r="95">
      <c r="A95" s="0" t="inlineStr">
        <is>
          <t xml:space="preserve">2078-47-LE26</t>
        </is>
      </c>
      <c r="B95" s="4" t="inlineStr">
        <is>
          <t xml:space="preserve">“SERVICIO DE DIFUSIÓN MULTIMEDIAL REGIONAL EN MEDIOS DE COMUNICACIÓN Y PLATAFORMAS DIGITALES” LA SEREMI DE SALUD REGIÓN DEL BIOBÍO  S.C. N° 464 465 466 467 472 474 475 476 477 478</t>
        </is>
      </c>
      <c r="C95" s="0">
        <v>8</v>
      </c>
      <c r="D95" s="4" t="inlineStr">
        <is>
          <t xml:space="preserve">Publicidad en radio</t>
        </is>
      </c>
      <c r="E95" s="4" t="inlineStr">
        <is>
          <t xml:space="preserve">Servicios editoriales, de diseño, publicidad, gráficos y artistas / Publicidad / Publicidad en medios no impresos</t>
        </is>
      </c>
      <c r="F95" s="0">
        <v>1.0</v>
      </c>
      <c r="G95" s="0" t="inlineStr">
        <is>
          <t xml:space="preserve">Unidad</t>
        </is>
      </c>
      <c r="H95" s="4" t="inlineStr">
        <is>
          <t xml:space="preserve">1 radio con cobertura en la provincia de Biobío, considerando la difusión de 01 frase radial, con 6 reproducciones diarias, 5 días a la semana, un mes; + difusión en web y redes sociales SC 476</t>
        </is>
      </c>
    </row>
    <row r="96">
      <c r="A96" s="0" t="inlineStr">
        <is>
          <t xml:space="preserve">2078-47-LE26</t>
        </is>
      </c>
      <c r="B96" s="4" t="inlineStr">
        <is>
          <t xml:space="preserve">“SERVICIO DE DIFUSIÓN MULTIMEDIAL REGIONAL EN MEDIOS DE COMUNICACIÓN Y PLATAFORMAS DIGITALES” LA SEREMI DE SALUD REGIÓN DEL BIOBÍO  S.C. N° 464 465 466 467 472 474 475 476 477 478</t>
        </is>
      </c>
      <c r="C96" s="0">
        <v>9</v>
      </c>
      <c r="D96" s="4" t="inlineStr">
        <is>
          <t xml:space="preserve">Publicidad en radio</t>
        </is>
      </c>
      <c r="E96" s="4" t="inlineStr">
        <is>
          <t xml:space="preserve">Servicios editoriales, de diseño, publicidad, gráficos y artistas / Publicidad / Publicidad en medios no impresos</t>
        </is>
      </c>
      <c r="F96" s="0">
        <v>1.0</v>
      </c>
      <c r="G96" s="0" t="inlineStr">
        <is>
          <t xml:space="preserve">Unidad</t>
        </is>
      </c>
      <c r="H96" s="4" t="inlineStr">
        <is>
          <t xml:space="preserve">1 radio con cobertura en la provincia de Arauco, considerando la difusión de 01 frase radial, con 6 reproducciones diarias, 5 días a la semana, un mes; + difusión en web y redes sociales SC 477</t>
        </is>
      </c>
    </row>
    <row r="97">
      <c r="A97" s="0" t="inlineStr">
        <is>
          <t xml:space="preserve">2078-47-LE26</t>
        </is>
      </c>
      <c r="B97" s="4" t="inlineStr">
        <is>
          <t xml:space="preserve">“SERVICIO DE DIFUSIÓN MULTIMEDIAL REGIONAL EN MEDIOS DE COMUNICACIÓN Y PLATAFORMAS DIGITALES” LA SEREMI DE SALUD REGIÓN DEL BIOBÍO  S.C. N° 464 465 466 467 472 474 475 476 477 478</t>
        </is>
      </c>
      <c r="C97" s="0">
        <v>10</v>
      </c>
      <c r="D97" s="4" t="inlineStr">
        <is>
          <t xml:space="preserve">Campañas publicitarias</t>
        </is>
      </c>
      <c r="E97" s="4" t="inlineStr">
        <is>
          <t xml:space="preserve">Servicios editoriales, de diseño, publicidad, gráficos y artistas / Publicidad / Agencias de publicidad</t>
        </is>
      </c>
      <c r="F97" s="0">
        <v>1.0</v>
      </c>
      <c r="G97" s="0" t="inlineStr">
        <is>
          <t xml:space="preserve">Unidad</t>
        </is>
      </c>
      <c r="H97" s="4" t="inlineStr">
        <is>
          <t xml:space="preserve">1 agencia de publicidad, que permita pagar reproducción de contenidos en redes sociales institucionales, específicamente de Instagram, de la SEREMI de Salud del Biobío, al objeto de incrementar el alcance de la publicación SC 478
Utilidad máxima de la ag</t>
        </is>
      </c>
    </row>
    <row r="98">
      <c r="A98" s="0" t="inlineStr">
        <is>
          <t xml:space="preserve">1208129-10-LP26</t>
        </is>
      </c>
      <c r="B98" s="4" t="inlineStr">
        <is>
          <t xml:space="preserve">Giftcards digitales nominativas para las RR.FF A.D</t>
        </is>
      </c>
      <c r="C98" s="0">
        <v>1</v>
      </c>
      <c r="D98" s="4" t="inlineStr">
        <is>
          <t xml:space="preserve">Planificación de compensaciones o beneficios</t>
        </is>
      </c>
      <c r="E98" s="4" t="inlineStr">
        <is>
          <t xml:space="preserve">Servicios profesionales, administrativos y consultorías de gestión empresarial / Servicios de recursos humanos / Consultorías para el desarrollo de recursos humanos</t>
        </is>
      </c>
      <c r="F98" s="0">
        <v>1.0</v>
      </c>
      <c r="G98" s="0" t="inlineStr">
        <is>
          <t xml:space="preserve">Global</t>
        </is>
      </c>
      <c r="H98" s="4" t="inlineStr">
        <is>
          <t xml:space="preserve">servicios de administración y provisión de beneficios mediante giftcards digitales nominativas, destinadas a atender necesidades de alimentación de las Residencias Familiares de AA.DD del SPE Región del Biobio.</t>
        </is>
      </c>
    </row>
    <row r="99">
      <c r="A99" s="0" t="inlineStr">
        <is>
          <t xml:space="preserve">1208129-10-LP26</t>
        </is>
      </c>
      <c r="B99" s="4" t="inlineStr">
        <is>
          <t xml:space="preserve">Giftcards digitales nominativas para las RR.FF A.D</t>
        </is>
      </c>
      <c r="C99" s="0">
        <v>2</v>
      </c>
      <c r="D99" s="4" t="inlineStr">
        <is>
          <t xml:space="preserve">Planificación de compensaciones o beneficios</t>
        </is>
      </c>
      <c r="E99" s="4" t="inlineStr">
        <is>
          <t xml:space="preserve">Servicios profesionales, administrativos y consultorías de gestión empresarial / Servicios de recursos humanos / Consultorías para el desarrollo de recursos humanos</t>
        </is>
      </c>
      <c r="F99" s="0">
        <v>1.0</v>
      </c>
      <c r="G99" s="0" t="inlineStr">
        <is>
          <t xml:space="preserve">Global</t>
        </is>
      </c>
      <c r="H99" s="4" t="inlineStr">
        <is>
          <t xml:space="preserve">servicios de administración y provisión de beneficios mediante giftcards digitales nominativas, destinadas a atender necesidades de vestuario de las Residencias Familiares de AA.DD del SPE Región del Biobio.</t>
        </is>
      </c>
    </row>
    <row r="100">
      <c r="A100" s="0" t="inlineStr">
        <is>
          <t xml:space="preserve">1208129-10-LP26</t>
        </is>
      </c>
      <c r="B100" s="4" t="inlineStr">
        <is>
          <t xml:space="preserve">Giftcards digitales nominativas para las RR.FF A.D</t>
        </is>
      </c>
      <c r="C100" s="0">
        <v>3</v>
      </c>
      <c r="D100" s="4" t="inlineStr">
        <is>
          <t xml:space="preserve">Planificación de compensaciones o beneficios</t>
        </is>
      </c>
      <c r="E100" s="4" t="inlineStr">
        <is>
          <t xml:space="preserve">Servicios profesionales, administrativos y consultorías de gestión empresarial / Servicios de recursos humanos / Consultorías para el desarrollo de recursos humanos</t>
        </is>
      </c>
      <c r="F100" s="0">
        <v>1.0</v>
      </c>
      <c r="G100" s="0" t="inlineStr">
        <is>
          <t xml:space="preserve">Global</t>
        </is>
      </c>
      <c r="H100" s="4" t="inlineStr">
        <is>
          <t xml:space="preserve">servicios de administración y provisión de beneficios mediante giftcards digitales nominativas, destinadas a atender necesidades de calzado para las Residencias Familiares de AA.DD del SPE Región del Biobio.</t>
        </is>
      </c>
    </row>
    <row r="101">
      <c r="A101" s="0" t="inlineStr">
        <is>
          <t xml:space="preserve">1562-75-LE26</t>
        </is>
      </c>
      <c r="B101" s="4" t="inlineStr">
        <is>
          <t xml:space="preserve">ADQUISICIÓN DE SOFTWARE AGISOFT METASHAPE PROFESSI</t>
        </is>
      </c>
      <c r="C101" s="0">
        <v>1</v>
      </c>
      <c r="D101" s="4" t="inlineStr">
        <is>
          <t xml:space="preserve">Software de gestión de licencias</t>
        </is>
      </c>
      <c r="E101" s="4" t="inlineStr">
        <is>
          <t xml:space="preserve">Tecnologías de la información, telecomunicaciones y radiodifusión / Software / Software de gestión</t>
        </is>
      </c>
      <c r="F101" s="0">
        <v>1.0</v>
      </c>
      <c r="G101" s="0" t="inlineStr">
        <is>
          <t xml:space="preserve">Unidad</t>
        </is>
      </c>
      <c r="H101" s="4" t="inlineStr">
        <is>
          <t xml:space="preserve">La presente licitación tiene por objetivo dotar al Subdepartamento de Analítica Territorial de SERNAGEOMIN de un paquete de tres licencias fijas del software Agisoft Metashape Professional o equivalente, que permita fortalecer las capacidades instituciona</t>
        </is>
      </c>
    </row>
    <row r="102">
      <c r="A102" s="0" t="inlineStr">
        <is>
          <t xml:space="preserve">2563-34-LR26</t>
        </is>
      </c>
      <c r="B102" s="4" t="inlineStr">
        <is>
          <t xml:space="preserve">EQUIPOS PARA REDES INFORMÁTICAS Y LICENCIAS</t>
        </is>
      </c>
      <c r="C102" s="0">
        <v>1</v>
      </c>
      <c r="D102" s="4" t="inlineStr">
        <is>
          <t xml:space="preserve">Cajas de conmutación de computadores</t>
        </is>
      </c>
      <c r="E102" s="4" t="inlineStr">
        <is>
          <t xml:space="preserve">Tecnologías de la información, telecomunicaciones y radiodifusión / Equipos informáticos y accesorios / Accesorios de computador</t>
        </is>
      </c>
      <c r="F102" s="0">
        <v>10.0</v>
      </c>
      <c r="G102" s="0" t="inlineStr">
        <is>
          <t xml:space="preserve">Unidad</t>
        </is>
      </c>
      <c r="H102" s="4" t="inlineStr">
        <is>
          <t xml:space="preserve">Switch 48G PoE 4SFP+ (equivalente al modelo JL727B) / Control de Acceso</t>
        </is>
      </c>
    </row>
    <row r="103">
      <c r="A103" s="0" t="inlineStr">
        <is>
          <t xml:space="preserve">2563-34-LR26</t>
        </is>
      </c>
      <c r="B103" s="4" t="inlineStr">
        <is>
          <t xml:space="preserve">EQUIPOS PARA REDES INFORMÁTICAS Y LICENCIAS</t>
        </is>
      </c>
      <c r="C103" s="0">
        <v>2</v>
      </c>
      <c r="D103" s="4" t="inlineStr">
        <is>
          <t xml:space="preserve">Cajas de conmutación de computadores</t>
        </is>
      </c>
      <c r="E103" s="4" t="inlineStr">
        <is>
          <t xml:space="preserve">Tecnologías de la información, telecomunicaciones y radiodifusión / Equipos informáticos y accesorios / Accesorios de computador</t>
        </is>
      </c>
      <c r="F103" s="0">
        <v>11.0</v>
      </c>
      <c r="G103" s="0" t="inlineStr">
        <is>
          <t xml:space="preserve">Unidad</t>
        </is>
      </c>
      <c r="H103" s="4" t="inlineStr">
        <is>
          <t xml:space="preserve">Switch 48G PoE 4SFP+ (equivalente al modelo JL727B) /Aeroportuarios</t>
        </is>
      </c>
    </row>
    <row r="104">
      <c r="A104" s="0" t="inlineStr">
        <is>
          <t xml:space="preserve">2563-34-LR26</t>
        </is>
      </c>
      <c r="B104" s="4" t="inlineStr">
        <is>
          <t xml:space="preserve">EQUIPOS PARA REDES INFORMÁTICAS Y LICENCIAS</t>
        </is>
      </c>
      <c r="C104" s="0">
        <v>3</v>
      </c>
      <c r="D104" s="4" t="inlineStr">
        <is>
          <t xml:space="preserve">Cajas de conmutación de computadores</t>
        </is>
      </c>
      <c r="E104" s="4" t="inlineStr">
        <is>
          <t xml:space="preserve">Tecnologías de la información, telecomunicaciones y radiodifusión / Equipos informáticos y accesorios / Accesorios de computador</t>
        </is>
      </c>
      <c r="F104" s="0">
        <v>1.0</v>
      </c>
      <c r="G104" s="0" t="inlineStr">
        <is>
          <t xml:space="preserve">Unidad</t>
        </is>
      </c>
      <c r="H104" s="4" t="inlineStr">
        <is>
          <t xml:space="preserve">Switch 24G PoE 4SFP+(equivalente al modelo JL261A) /Aeroportuario</t>
        </is>
      </c>
    </row>
    <row r="105">
      <c r="A105" s="0" t="inlineStr">
        <is>
          <t xml:space="preserve">2563-34-LR26</t>
        </is>
      </c>
      <c r="B105" s="4" t="inlineStr">
        <is>
          <t xml:space="preserve">EQUIPOS PARA REDES INFORMÁTICAS Y LICENCIAS</t>
        </is>
      </c>
      <c r="C105" s="0">
        <v>4</v>
      </c>
      <c r="D105" s="4" t="inlineStr">
        <is>
          <t xml:space="preserve">Cajas de conmutación de computadores</t>
        </is>
      </c>
      <c r="E105" s="4" t="inlineStr">
        <is>
          <t xml:space="preserve">Tecnologías de la información, telecomunicaciones y radiodifusión / Equipos informáticos y accesorios / Accesorios de computador</t>
        </is>
      </c>
      <c r="F105" s="0">
        <v>7.0</v>
      </c>
      <c r="G105" s="0" t="inlineStr">
        <is>
          <t xml:space="preserve">Unidad</t>
        </is>
      </c>
      <c r="H105" s="4" t="inlineStr">
        <is>
          <t xml:space="preserve">Switch 12G PoE 2SFP+ (equivalente al modelo R8Q72A) /Aeroportuario</t>
        </is>
      </c>
    </row>
    <row r="106">
      <c r="A106" s="0" t="inlineStr">
        <is>
          <t xml:space="preserve">2563-34-LR26</t>
        </is>
      </c>
      <c r="B106" s="4" t="inlineStr">
        <is>
          <t xml:space="preserve">EQUIPOS PARA REDES INFORMÁTICAS Y LICENCIAS</t>
        </is>
      </c>
      <c r="C106" s="0">
        <v>5</v>
      </c>
      <c r="D106" s="4" t="inlineStr">
        <is>
          <t xml:space="preserve">Cajas de conmutación de computadores</t>
        </is>
      </c>
      <c r="E106" s="4" t="inlineStr">
        <is>
          <t xml:space="preserve">Tecnologías de la información, telecomunicaciones y radiodifusión / Equipos informáticos y accesorios / Accesorios de computador</t>
        </is>
      </c>
      <c r="F106" s="0">
        <v>4.0</v>
      </c>
      <c r="G106" s="0" t="inlineStr">
        <is>
          <t xml:space="preserve">Unidad</t>
        </is>
      </c>
      <c r="H106" s="4" t="inlineStr">
        <is>
          <t xml:space="preserve">Access Point Desktop (equivalente al modelo R3V46A) /Control de acceso</t>
        </is>
      </c>
    </row>
    <row r="107">
      <c r="A107" s="0" t="inlineStr">
        <is>
          <t xml:space="preserve">2563-34-LR26</t>
        </is>
      </c>
      <c r="B107" s="4" t="inlineStr">
        <is>
          <t xml:space="preserve">EQUIPOS PARA REDES INFORMÁTICAS Y LICENCIAS</t>
        </is>
      </c>
      <c r="C107" s="0">
        <v>6</v>
      </c>
      <c r="D107" s="4" t="inlineStr">
        <is>
          <t xml:space="preserve">Cajas de conmutación de computadores</t>
        </is>
      </c>
      <c r="E107" s="4" t="inlineStr">
        <is>
          <t xml:space="preserve">Tecnologías de la información, telecomunicaciones y radiodifusión / Equipos informáticos y accesorios / Accesorios de computador</t>
        </is>
      </c>
      <c r="F107" s="0">
        <v>20.0</v>
      </c>
      <c r="G107" s="0" t="inlineStr">
        <is>
          <t xml:space="preserve">Unidad</t>
        </is>
      </c>
      <c r="H107" s="4" t="inlineStr">
        <is>
          <t xml:space="preserve">Access Point
(equivalente al modelo JZ336A) /Control de Acceso</t>
        </is>
      </c>
    </row>
    <row r="108">
      <c r="A108" s="0" t="inlineStr">
        <is>
          <t xml:space="preserve">2563-34-LR26</t>
        </is>
      </c>
      <c r="B108" s="4" t="inlineStr">
        <is>
          <t xml:space="preserve">EQUIPOS PARA REDES INFORMÁTICAS Y LICENCIAS</t>
        </is>
      </c>
      <c r="C108" s="0">
        <v>7</v>
      </c>
      <c r="D108" s="4" t="inlineStr">
        <is>
          <t xml:space="preserve">Cajas de conmutación de computadores</t>
        </is>
      </c>
      <c r="E108" s="4" t="inlineStr">
        <is>
          <t xml:space="preserve">Tecnologías de la información, telecomunicaciones y radiodifusión / Equipos informáticos y accesorios / Accesorios de computador</t>
        </is>
      </c>
      <c r="F108" s="0">
        <v>11.0</v>
      </c>
      <c r="G108" s="0" t="inlineStr">
        <is>
          <t xml:space="preserve">Unidad</t>
        </is>
      </c>
      <c r="H108" s="4" t="inlineStr">
        <is>
          <t xml:space="preserve">Access Point
(equivalente al modelo JZ336A) /Aeroportuarios</t>
        </is>
      </c>
    </row>
    <row r="109">
      <c r="A109" s="0" t="inlineStr">
        <is>
          <t xml:space="preserve">2563-34-LR26</t>
        </is>
      </c>
      <c r="B109" s="4" t="inlineStr">
        <is>
          <t xml:space="preserve">EQUIPOS PARA REDES INFORMÁTICAS Y LICENCIAS</t>
        </is>
      </c>
      <c r="C109" s="0">
        <v>8</v>
      </c>
      <c r="D109" s="4" t="inlineStr">
        <is>
          <t xml:space="preserve">Cajas de conmutación de computadores</t>
        </is>
      </c>
      <c r="E109" s="4" t="inlineStr">
        <is>
          <t xml:space="preserve">Tecnologías de la información, telecomunicaciones y radiodifusión / Equipos informáticos y accesorios / Accesorios de computador</t>
        </is>
      </c>
      <c r="F109" s="0">
        <v>6.0</v>
      </c>
      <c r="G109" s="0" t="inlineStr">
        <is>
          <t xml:space="preserve">Unidad</t>
        </is>
      </c>
      <c r="H109" s="4" t="inlineStr">
        <is>
          <t xml:space="preserve">Access Point Exterior
(equivalente al modelo R7T05A) /Control de Acceso</t>
        </is>
      </c>
    </row>
    <row r="110">
      <c r="A110" s="0" t="inlineStr">
        <is>
          <t xml:space="preserve">2563-34-LR26</t>
        </is>
      </c>
      <c r="B110" s="4" t="inlineStr">
        <is>
          <t xml:space="preserve">EQUIPOS PARA REDES INFORMÁTICAS Y LICENCIAS</t>
        </is>
      </c>
      <c r="C110" s="0">
        <v>9</v>
      </c>
      <c r="D110" s="4" t="inlineStr">
        <is>
          <t xml:space="preserve">Cajas de conmutación de computadores</t>
        </is>
      </c>
      <c r="E110" s="4" t="inlineStr">
        <is>
          <t xml:space="preserve">Tecnologías de la información, telecomunicaciones y radiodifusión / Equipos informáticos y accesorios / Accesorios de computador</t>
        </is>
      </c>
      <c r="F110" s="0">
        <v>3.0</v>
      </c>
      <c r="G110" s="0" t="inlineStr">
        <is>
          <t xml:space="preserve">Unidad</t>
        </is>
      </c>
      <c r="H110" s="4" t="inlineStr">
        <is>
          <t xml:space="preserve">Soporte anclaje para riel cielo falso plano 9/16'' Pack 10 unidades. /Aeroportuarios</t>
        </is>
      </c>
    </row>
    <row r="111">
      <c r="A111" s="0" t="inlineStr">
        <is>
          <t xml:space="preserve">2563-34-LR26</t>
        </is>
      </c>
      <c r="B111" s="4" t="inlineStr">
        <is>
          <t xml:space="preserve">EQUIPOS PARA REDES INFORMÁTICAS Y LICENCIAS</t>
        </is>
      </c>
      <c r="C111" s="0">
        <v>10</v>
      </c>
      <c r="D111" s="4" t="inlineStr">
        <is>
          <t xml:space="preserve">Cajas de conmutación de computadores</t>
        </is>
      </c>
      <c r="E111" s="4" t="inlineStr">
        <is>
          <t xml:space="preserve">Tecnologías de la información, telecomunicaciones y radiodifusión / Equipos informáticos y accesorios / Accesorios de computador</t>
        </is>
      </c>
      <c r="F111" s="0">
        <v>3.0</v>
      </c>
      <c r="G111" s="0" t="inlineStr">
        <is>
          <t xml:space="preserve">Unidad</t>
        </is>
      </c>
      <c r="H111" s="4" t="inlineStr">
        <is>
          <t xml:space="preserve">Soporte anclaje para superficie sólida Pack 10 unidades. /Aeroportuarios</t>
        </is>
      </c>
    </row>
    <row r="112">
      <c r="A112" s="0" t="inlineStr">
        <is>
          <t xml:space="preserve">2563-34-LR26</t>
        </is>
      </c>
      <c r="B112" s="4" t="inlineStr">
        <is>
          <t xml:space="preserve">EQUIPOS PARA REDES INFORMÁTICAS Y LICENCIAS</t>
        </is>
      </c>
      <c r="C112" s="0">
        <v>11</v>
      </c>
      <c r="D112" s="4" t="inlineStr">
        <is>
          <t xml:space="preserve">Cajas de conmutación de computadores</t>
        </is>
      </c>
      <c r="E112" s="4" t="inlineStr">
        <is>
          <t xml:space="preserve">Tecnologías de la información, telecomunicaciones y radiodifusión / Equipos informáticos y accesorios / Accesorios de computador</t>
        </is>
      </c>
      <c r="F112" s="0">
        <v>10.0</v>
      </c>
      <c r="G112" s="0" t="inlineStr">
        <is>
          <t xml:space="preserve">Unidad</t>
        </is>
      </c>
      <c r="H112" s="4" t="inlineStr">
        <is>
          <t xml:space="preserve">Módulo 10G SFP+ LC LR 10km
(equivalente al modelo J9151E) /Control de Acceso</t>
        </is>
      </c>
    </row>
    <row r="113">
      <c r="A113" s="0" t="inlineStr">
        <is>
          <t xml:space="preserve">2563-34-LR26</t>
        </is>
      </c>
      <c r="B113" s="4" t="inlineStr">
        <is>
          <t xml:space="preserve">EQUIPOS PARA REDES INFORMÁTICAS Y LICENCIAS</t>
        </is>
      </c>
      <c r="C113" s="0">
        <v>12</v>
      </c>
      <c r="D113" s="4" t="inlineStr">
        <is>
          <t xml:space="preserve">Cajas de conmutación de computadores</t>
        </is>
      </c>
      <c r="E113" s="4" t="inlineStr">
        <is>
          <t xml:space="preserve">Tecnologías de la información, telecomunicaciones y radiodifusión / Equipos informáticos y accesorios / Accesorios de computador</t>
        </is>
      </c>
      <c r="F113" s="0">
        <v>10.0</v>
      </c>
      <c r="G113" s="0" t="inlineStr">
        <is>
          <t xml:space="preserve">Unidad</t>
        </is>
      </c>
      <c r="H113" s="4" t="inlineStr">
        <is>
          <t xml:space="preserve">Módulo FO (SM) 1G SFP LC LX 10km
(equivalente al modelo J4859D) /Control de Acceso</t>
        </is>
      </c>
    </row>
    <row r="114">
      <c r="A114" s="0" t="inlineStr">
        <is>
          <t xml:space="preserve">2563-34-LR26</t>
        </is>
      </c>
      <c r="B114" s="4" t="inlineStr">
        <is>
          <t xml:space="preserve">EQUIPOS PARA REDES INFORMÁTICAS Y LICENCIAS</t>
        </is>
      </c>
      <c r="C114" s="0">
        <v>13</v>
      </c>
      <c r="D114" s="4" t="inlineStr">
        <is>
          <t xml:space="preserve">Cajas de conmutación de computadores</t>
        </is>
      </c>
      <c r="E114" s="4" t="inlineStr">
        <is>
          <t xml:space="preserve">Tecnologías de la información, telecomunicaciones y radiodifusión / Equipos informáticos y accesorios / Accesorios de computador</t>
        </is>
      </c>
      <c r="F114" s="0">
        <v>24.0</v>
      </c>
      <c r="G114" s="0" t="inlineStr">
        <is>
          <t xml:space="preserve">Unidad</t>
        </is>
      </c>
      <c r="H114" s="4" t="inlineStr">
        <is>
          <t xml:space="preserve">Módulo FO (SM) 1G SFP LC LX 10km (equivalente al modelo J4859D) /Aeroportuarios</t>
        </is>
      </c>
    </row>
    <row r="115">
      <c r="A115" s="0" t="inlineStr">
        <is>
          <t xml:space="preserve">2563-34-LR26</t>
        </is>
      </c>
      <c r="B115" s="4" t="inlineStr">
        <is>
          <t xml:space="preserve">EQUIPOS PARA REDES INFORMÁTICAS Y LICENCIAS</t>
        </is>
      </c>
      <c r="C115" s="0">
        <v>14</v>
      </c>
      <c r="D115" s="4" t="inlineStr">
        <is>
          <t xml:space="preserve">Cajas de conmutación de computadores</t>
        </is>
      </c>
      <c r="E115" s="4" t="inlineStr">
        <is>
          <t xml:space="preserve">Tecnologías de la información, telecomunicaciones y radiodifusión / Equipos informáticos y accesorios / Accesorios de computador</t>
        </is>
      </c>
      <c r="F115" s="0">
        <v>1.0</v>
      </c>
      <c r="G115" s="0" t="inlineStr">
        <is>
          <t xml:space="preserve">Unidad</t>
        </is>
      </c>
      <c r="H115" s="4" t="inlineStr">
        <is>
          <t xml:space="preserve">Equipo de protección de enlaces de red frente a ataques DDoS y amenazas avanzadas, actuando directamente en el borde de la red (edge), donde se conectan los enlaces de Internet principal y de respaldo. /Control de Acceso</t>
        </is>
      </c>
    </row>
    <row r="116">
      <c r="A116" s="0" t="inlineStr">
        <is>
          <t xml:space="preserve">2563-34-LR26</t>
        </is>
      </c>
      <c r="B116" s="4" t="inlineStr">
        <is>
          <t xml:space="preserve">EQUIPOS PARA REDES INFORMÁTICAS Y LICENCIAS</t>
        </is>
      </c>
      <c r="C116" s="0">
        <v>15</v>
      </c>
      <c r="D116" s="4" t="inlineStr">
        <is>
          <t xml:space="preserve">Cajas de conmutación de computadores</t>
        </is>
      </c>
      <c r="E116" s="4" t="inlineStr">
        <is>
          <t xml:space="preserve">Tecnologías de la información, telecomunicaciones y radiodifusión / Equipos informáticos y accesorios / Accesorios de computador</t>
        </is>
      </c>
      <c r="F116" s="0">
        <v>1.0</v>
      </c>
      <c r="G116" s="0" t="inlineStr">
        <is>
          <t xml:space="preserve">Unidad</t>
        </is>
      </c>
      <c r="H116" s="4" t="inlineStr">
        <is>
          <t xml:space="preserve">Licencia para el funcionamiento del equipo de protección de enlaces de red frente a ataques DDoS y amenazas avanzadas. /Control de Acceso</t>
        </is>
      </c>
    </row>
    <row r="117">
      <c r="A117" s="0" t="inlineStr">
        <is>
          <t xml:space="preserve">2760-118-LR26</t>
        </is>
      </c>
      <c r="B117" s="4" t="inlineStr">
        <is>
          <t xml:space="preserve">SERVICIOS DE TELECOMUNICACIONES Y OTROS SERVICIOS INFORMÁTICOS PARA LA MUNICIPALIDAD DE CORONEL</t>
        </is>
      </c>
      <c r="C117" s="0">
        <v>1</v>
      </c>
      <c r="D117" s="4" t="inlineStr">
        <is>
          <t xml:space="preserve">Soporte y mantenimiento de red de área local (LAN)</t>
        </is>
      </c>
      <c r="E117" s="4" t="inlineStr">
        <is>
          <t xml:space="preserve">Servicios basados en ingeniería, ciencias sociales y tecnología de la información / Servicios informáticos / Administración de sistemas</t>
        </is>
      </c>
      <c r="F117" s="0">
        <v>1.0</v>
      </c>
      <c r="G117" s="0" t="inlineStr">
        <is>
          <t xml:space="preserve">Global</t>
        </is>
      </c>
      <c r="H117" s="4" t="inlineStr">
        <is>
          <t xml:space="preserve">Servicios de Telecomunicaciones y Otros Servicios Informáticos para la Municipalidad de Coronel</t>
        </is>
      </c>
    </row>
    <row r="118">
      <c r="A118" s="0" t="inlineStr">
        <is>
          <t xml:space="preserve">548874-78-LR26</t>
        </is>
      </c>
      <c r="B118" s="4" t="inlineStr">
        <is>
          <t xml:space="preserve">SERVICIO DE LICENCIAS CLOUD SUCCESSFACTORS</t>
        </is>
      </c>
      <c r="C118" s="0">
        <v>1</v>
      </c>
      <c r="D118" s="4" t="inlineStr">
        <is>
          <t xml:space="preserve">Software de gestión de licencias</t>
        </is>
      </c>
      <c r="E118" s="4" t="inlineStr">
        <is>
          <t xml:space="preserve">Tecnologías de la información, telecomunicaciones y radiodifusión / Software / Software de gestión</t>
        </is>
      </c>
      <c r="F118" s="0">
        <v>1.0</v>
      </c>
      <c r="G118" s="0" t="inlineStr">
        <is>
          <t xml:space="preserve">Global</t>
        </is>
      </c>
      <c r="H118" s="4" t="inlineStr">
        <is>
          <t xml:space="preserve">SERVICIO DE LICENCIAS CLOUD SUCCESSFACTORS
EN MODALIDAD SAAS.</t>
        </is>
      </c>
    </row>
    <row r="119">
      <c r="A119" s="0" t="inlineStr">
        <is>
          <t xml:space="preserve">5574-13-LE26</t>
        </is>
      </c>
      <c r="B119" s="4" t="inlineStr">
        <is>
          <t xml:space="preserve">Licencias Adobe Creative Cloud y Acrobat Pro DC.</t>
        </is>
      </c>
      <c r="C119" s="0">
        <v>1</v>
      </c>
      <c r="D119" s="4" t="inlineStr">
        <is>
          <t xml:space="preserve">Software de gestión de licencias</t>
        </is>
      </c>
      <c r="E119" s="4" t="inlineStr">
        <is>
          <t xml:space="preserve">Tecnologías de la información, telecomunicaciones y radiodifusión / Software / Software de gestión</t>
        </is>
      </c>
      <c r="F119" s="0">
        <v>100.0</v>
      </c>
      <c r="G119" s="0" t="inlineStr">
        <is>
          <t xml:space="preserve">Unidad</t>
        </is>
      </c>
      <c r="H119" s="4" t="inlineStr">
        <is>
          <t xml:space="preserve">Creative Cloud para equipos All Apps.</t>
        </is>
      </c>
    </row>
    <row r="120">
      <c r="A120" s="0" t="inlineStr">
        <is>
          <t xml:space="preserve">5574-13-LE26</t>
        </is>
      </c>
      <c r="B120" s="4" t="inlineStr">
        <is>
          <t xml:space="preserve">Licencias Adobe Creative Cloud y Acrobat Pro DC.</t>
        </is>
      </c>
      <c r="C120" s="0">
        <v>2</v>
      </c>
      <c r="D120" s="4" t="inlineStr">
        <is>
          <t xml:space="preserve">Software de gestión de licencias</t>
        </is>
      </c>
      <c r="E120" s="4" t="inlineStr">
        <is>
          <t xml:space="preserve">Tecnologías de la información, telecomunicaciones y radiodifusión / Software / Software de gestión</t>
        </is>
      </c>
      <c r="F120" s="0">
        <v>80.0</v>
      </c>
      <c r="G120" s="0" t="inlineStr">
        <is>
          <t xml:space="preserve">Unidad</t>
        </is>
      </c>
      <c r="H120" s="4" t="inlineStr">
        <is>
          <t xml:space="preserve">Adobe Acrobat Pro para equipos All.</t>
        </is>
      </c>
    </row>
    <row r="121">
      <c r="A121" s="0" t="inlineStr">
        <is>
          <t xml:space="preserve">558869-62-LE26</t>
        </is>
      </c>
      <c r="B121" s="4" t="inlineStr">
        <is>
          <t xml:space="preserve">CAPACITACIÓN EN INTELIGENCIA ARTIFICIAL</t>
        </is>
      </c>
      <c r="C121" s="0">
        <v>1</v>
      </c>
      <c r="D121" s="4" t="inlineStr">
        <is>
          <t xml:space="preserve">Capacitación a empleados</t>
        </is>
      </c>
      <c r="E121" s="4" t="inlineStr">
        <is>
          <t xml:space="preserve">Educación, formación, entrenamiento y capacitación / Sistemas educativos complementarios / Educación de adultos</t>
        </is>
      </c>
      <c r="F121" s="0">
        <v>1.0</v>
      </c>
      <c r="G121" s="0" t="inlineStr">
        <is>
          <t xml:space="preserve">Unidad</t>
        </is>
      </c>
      <c r="H121" s="4"/>
    </row>
    <row r="122">
      <c r="A122" s="0" t="inlineStr">
        <is>
          <t xml:space="preserve">1305532-14-LP26</t>
        </is>
      </c>
      <c r="B122" s="4" t="inlineStr">
        <is>
          <t xml:space="preserve">VALORIZACION ACTIVO FIJO Y SOFTWARE INVENTARIO</t>
        </is>
      </c>
      <c r="C122" s="0">
        <v>1</v>
      </c>
      <c r="D122" s="4" t="inlineStr">
        <is>
          <t xml:space="preserve">Contabilidad de inventario</t>
        </is>
      </c>
      <c r="E122" s="4" t="inlineStr">
        <is>
          <t xml:space="preserve">Servicios financieros, pensiones y seguros / Contabilidad y auditorías / Servicios contables</t>
        </is>
      </c>
      <c r="F122" s="0">
        <v>1.0</v>
      </c>
      <c r="G122" s="0" t="inlineStr">
        <is>
          <t xml:space="preserve">Unidad</t>
        </is>
      </c>
      <c r="H122" s="4" t="inlineStr">
        <is>
          <t xml:space="preserve">SERVICIO DE LEVANTAMIENTO, VALORIZACIÓN DE ACTIVO FIJO Y PLATAFORMA DE GESTION DE INVENTARIO PARA EL SLEP ELQUI</t>
        </is>
      </c>
    </row>
    <row r="123">
      <c r="A123" s="0" t="inlineStr">
        <is>
          <t xml:space="preserve">1658-233-LE26</t>
        </is>
      </c>
      <c r="B123" s="4" t="inlineStr">
        <is>
          <t xml:space="preserve">P.280-2026 SUSCRIPCIÓN DE LICENCIAS DE SOFTWARE DE</t>
        </is>
      </c>
      <c r="C123" s="0">
        <v>1</v>
      </c>
      <c r="D123" s="4" t="inlineStr">
        <is>
          <t xml:space="preserve">Edición</t>
        </is>
      </c>
      <c r="E123" s="4" t="inlineStr">
        <is>
          <t xml:space="preserve">Servicios editoriales, de diseño, publicidad, gráficos y artistas / Escritura y traducciones / Servicios editoriales y de apoyo</t>
        </is>
      </c>
      <c r="F123" s="0">
        <v>1.0</v>
      </c>
      <c r="G123" s="0" t="inlineStr">
        <is>
          <t xml:space="preserve">Global</t>
        </is>
      </c>
      <c r="H123" s="4" t="inlineStr">
        <is>
          <t xml:space="preserve">“SUSCRIPCIÓN DE LICENCIAS DE SOFTWARE DE EDICIÓN MULTIMEDIA”</t>
        </is>
      </c>
    </row>
    <row r="124">
      <c r="A124" s="0" t="inlineStr">
        <is>
          <t xml:space="preserve">2403-72-LP26</t>
        </is>
      </c>
      <c r="B124" s="4" t="inlineStr">
        <is>
          <t xml:space="preserve">Servicios Cloud</t>
        </is>
      </c>
      <c r="C124" s="0">
        <v>1</v>
      </c>
      <c r="D124" s="4" t="inlineStr">
        <is>
          <t xml:space="preserve">Centro de servicios de datos</t>
        </is>
      </c>
      <c r="E124" s="4" t="inlineStr">
        <is>
          <t xml:space="preserve">Servicios basados en ingeniería, ciencias sociales y tecnología de la información / Servicios informáticos / Servicios de datos</t>
        </is>
      </c>
      <c r="F124" s="0">
        <v>1.0</v>
      </c>
      <c r="G124" s="0" t="inlineStr">
        <is>
          <t xml:space="preserve">Global</t>
        </is>
      </c>
      <c r="H124" s="4" t="inlineStr">
        <is>
          <t xml:space="preserve">Servicios cloud, según bases de licitación</t>
        </is>
      </c>
    </row>
    <row r="125">
      <c r="A125" s="0" t="inlineStr">
        <is>
          <t xml:space="preserve">1305532-16-LP26</t>
        </is>
      </c>
      <c r="B125" s="4" t="inlineStr">
        <is>
          <t xml:space="preserve">LICENCIAMIENTO SOFTWARE CONCILIACIONES BANCARIAS</t>
        </is>
      </c>
      <c r="C125" s="0">
        <v>1</v>
      </c>
      <c r="D125" s="4" t="inlineStr">
        <is>
          <t xml:space="preserve">Programas de contabilidad</t>
        </is>
      </c>
      <c r="E125" s="4" t="inlineStr">
        <is>
          <t xml:space="preserve">Tecnologías de la información, telecomunicaciones y radiodifusión / Software / Software de planificación de recursos empresariales (ERP) y contabilidad financiera</t>
        </is>
      </c>
      <c r="F125" s="0">
        <v>1.0</v>
      </c>
      <c r="G125" s="0" t="inlineStr">
        <is>
          <t xml:space="preserve">Unidad</t>
        </is>
      </c>
      <c r="H125" s="4" t="inlineStr">
        <is>
          <t xml:space="preserve">LICENCIAMIENTO SOFTWARE O SISTEMA DE CONCILIACIONES BANCARIAS PARA EL SERVICIO LOCAL DE EDUCACIÓN PÚBLICA ELQUI</t>
        </is>
      </c>
    </row>
    <row r="126">
      <c r="A126" s="0" t="inlineStr">
        <is>
          <t xml:space="preserve">5190-21-LE26</t>
        </is>
      </c>
      <c r="B126" s="4" t="inlineStr">
        <is>
          <t xml:space="preserve">JENABIEN - SOFTWARE FINANCIERO DE EMISION DTE</t>
        </is>
      </c>
      <c r="C126" s="0">
        <v>1</v>
      </c>
      <c r="D126" s="4" t="inlineStr">
        <is>
          <t xml:space="preserve">Programas de contabilidad</t>
        </is>
      </c>
      <c r="E126" s="4" t="inlineStr">
        <is>
          <t xml:space="preserve">Tecnologías de la información, telecomunicaciones y radiodifusión / Software / Software de planificación de recursos empresariales (ERP) y contabilidad financiera</t>
        </is>
      </c>
      <c r="F126" s="0">
        <v>1.0</v>
      </c>
      <c r="G126" s="0" t="inlineStr">
        <is>
          <t xml:space="preserve">Unidad no definida</t>
        </is>
      </c>
      <c r="H126" s="4" t="inlineStr">
        <is>
          <t xml:space="preserve">SERVICIO DE SOFTWARE FINANCIERO DE EMOSIÓN DE DOCUMENTOS TRIBUTARIOS ELECTRONICOS SEGUN ESPECIFICACIONES EN CUADRO DE POSTULACION ADJUNTO</t>
        </is>
      </c>
    </row>
    <row r="127">
      <c r="A127" s="0" t="inlineStr">
        <is>
          <t xml:space="preserve">1057503-146-LE26</t>
        </is>
      </c>
      <c r="B127" s="4" t="inlineStr">
        <is>
          <t xml:space="preserve">Contratación de Solución Tecnológica Bajo Modalidad SaaS para Automatizar Procesos de Gestión Estratégica Institucional para el Hospital Padre Alberto Hurtado</t>
        </is>
      </c>
      <c r="C127" s="0">
        <v>1</v>
      </c>
      <c r="D127" s="4" t="inlineStr">
        <is>
          <t xml:space="preserve">Software de administración</t>
        </is>
      </c>
      <c r="E127" s="4" t="inlineStr">
        <is>
          <t xml:space="preserve">Tecnologías de la información, telecomunicaciones y radiodifusión / Software / Software de administración de redes</t>
        </is>
      </c>
      <c r="F127" s="0">
        <v>1.0</v>
      </c>
      <c r="G127" s="0" t="inlineStr">
        <is>
          <t xml:space="preserve">Unidad</t>
        </is>
      </c>
      <c r="H127" s="4" t="inlineStr">
        <is>
          <t xml:space="preserve">Plataforma Tecnológica en Modalidad SaaS destinada a Automatizar y Fortalecer los Procesos de Gestión Estratégica Institucional, Según Formulario N° 1.</t>
        </is>
      </c>
    </row>
    <row r="128">
      <c r="A128" s="0" t="inlineStr">
        <is>
          <t xml:space="preserve">425-67-LE26</t>
        </is>
      </c>
      <c r="B128" s="4" t="inlineStr">
        <is>
          <t xml:space="preserve">Software de seguridad extendida y Ciberdefensa</t>
        </is>
      </c>
      <c r="C128" s="0">
        <v>1</v>
      </c>
      <c r="D128" s="4" t="inlineStr">
        <is>
          <t xml:space="preserve">Software de equipos de red privada virtual (VPN) o de seguridad de red</t>
        </is>
      </c>
      <c r="E128" s="4" t="inlineStr">
        <is>
          <t xml:space="preserve">Tecnologías de la información, telecomunicaciones y radiodifusión / Software / Software de seguridad y protección</t>
        </is>
      </c>
      <c r="F128" s="0">
        <v>1.0</v>
      </c>
      <c r="G128" s="0" t="inlineStr">
        <is>
          <t xml:space="preserve">Unidad</t>
        </is>
      </c>
      <c r="H128" s="4" t="inlineStr">
        <is>
          <t xml:space="preserve">Software de seguridad extendida y protección de cadena de suministros para la Ciberdefensa de Poder Judicial Ingresar valor total neto según formulario económico N°1</t>
        </is>
      </c>
    </row>
    <row r="129">
      <c r="A129" s="0" t="inlineStr">
        <is>
          <t xml:space="preserve">948354-150-LP26</t>
        </is>
      </c>
      <c r="B129" s="4" t="inlineStr">
        <is>
          <t xml:space="preserve">CONTRATACIÓN DEL SERVICIO DE SISTEMA INFORMÁTICO PARA GESTIÓN DE DATOS DE BANCO DE SANGRE DEL HOSPITAL DIPRECA</t>
        </is>
      </c>
      <c r="C129" s="0">
        <v>1</v>
      </c>
      <c r="D129" s="4" t="inlineStr">
        <is>
          <t xml:space="preserve">Software de desarrollo orientado a objetos o componentes</t>
        </is>
      </c>
      <c r="E129" s="4" t="inlineStr">
        <is>
          <t xml:space="preserve">Tecnologías de la información, telecomunicaciones y radiodifusión / Software / Programas de desarrollo</t>
        </is>
      </c>
      <c r="F129" s="0">
        <v>24.0</v>
      </c>
      <c r="G129" s="0" t="inlineStr">
        <is>
          <t xml:space="preserve">Mes</t>
        </is>
      </c>
      <c r="H129" s="4" t="inlineStr">
        <is>
          <t xml:space="preserve">SERVICIO DE SISTEMA INFORMÁTICO PARA GESTIÓN DE DATOS DE BANCO DE SANGRE (según bases técnicas)</t>
        </is>
      </c>
    </row>
    <row r="130">
      <c r="A130" s="0" t="inlineStr">
        <is>
          <t xml:space="preserve">1643-91-LP26</t>
        </is>
      </c>
      <c r="B130" s="4" t="inlineStr">
        <is>
          <t xml:space="preserve">SISTEMA INFORMÁTICO ERP</t>
        </is>
      </c>
      <c r="C130" s="0">
        <v>1</v>
      </c>
      <c r="D130" s="4" t="inlineStr">
        <is>
          <t xml:space="preserve">Software de planificación de recursos empresariales (ERP)</t>
        </is>
      </c>
      <c r="E130" s="4" t="inlineStr">
        <is>
          <t xml:space="preserve">Tecnologías de la información, telecomunicaciones y radiodifusión / Software / Software de planificación de recursos empresariales (ERP) y contabilidad financiera</t>
        </is>
      </c>
      <c r="F130" s="0">
        <v>1.0</v>
      </c>
      <c r="G130" s="0" t="inlineStr">
        <is>
          <t xml:space="preserve">Unidad</t>
        </is>
      </c>
      <c r="H130" s="4" t="inlineStr">
        <is>
          <t xml:space="preserve">CONTRATACIÓN DE SISTEMA INFORMÁTICO (ERP)</t>
        </is>
      </c>
    </row>
    <row r="131">
      <c r="A131" s="0" t="inlineStr">
        <is>
          <t xml:space="preserve">847-55-LE26</t>
        </is>
      </c>
      <c r="B131" s="4" t="inlineStr">
        <is>
          <t xml:space="preserve">PLANI-ADQ. DE ACCESORIOS INFORMÁTICOS P04-SC61.307</t>
        </is>
      </c>
      <c r="C131" s="0">
        <v>1</v>
      </c>
      <c r="D131" s="4" t="inlineStr">
        <is>
          <t xml:space="preserve">Teclados</t>
        </is>
      </c>
      <c r="E131" s="4" t="inlineStr">
        <is>
          <t xml:space="preserve">Tecnologías de la información, telecomunicaciones y radiodifusión / Equipos informáticos y accesorios / Dispositivos informáticos de entrada de datos</t>
        </is>
      </c>
      <c r="F131" s="0">
        <v>75.0</v>
      </c>
      <c r="G131" s="0" t="inlineStr">
        <is>
          <t xml:space="preserve">Unidad</t>
        </is>
      </c>
      <c r="H131" s="4" t="inlineStr">
        <is>
          <t xml:space="preserve">Teclados USB negro tipo QWERTY, en 
español 
Símil a Genius KB11</t>
        </is>
      </c>
    </row>
    <row r="132">
      <c r="A132" s="0" t="inlineStr">
        <is>
          <t xml:space="preserve">847-55-LE26</t>
        </is>
      </c>
      <c r="B132" s="4" t="inlineStr">
        <is>
          <t xml:space="preserve">PLANI-ADQ. DE ACCESORIOS INFORMÁTICOS P04-SC61.307</t>
        </is>
      </c>
      <c r="C132" s="0">
        <v>2</v>
      </c>
      <c r="D132" s="4" t="inlineStr">
        <is>
          <t xml:space="preserve">Trackballs y mouse de computador</t>
        </is>
      </c>
      <c r="E132" s="4" t="inlineStr">
        <is>
          <t xml:space="preserve">Tecnologías de la información, telecomunicaciones y radiodifusión / Equipos informáticos y accesorios / Dispositivos informáticos de entrada de datos</t>
        </is>
      </c>
      <c r="F132" s="0">
        <v>75.0</v>
      </c>
      <c r="G132" s="0" t="inlineStr">
        <is>
          <t xml:space="preserve">Unidad</t>
        </is>
      </c>
      <c r="H132" s="4" t="inlineStr">
        <is>
          <t xml:space="preserve">Mouse USB Negros, 3 botones, res. 
1000ppp, para Win10 + 
Símil a Genius DX-120</t>
        </is>
      </c>
    </row>
    <row r="133">
      <c r="A133" s="0" t="inlineStr">
        <is>
          <t xml:space="preserve">847-55-LE26</t>
        </is>
      </c>
      <c r="B133" s="4" t="inlineStr">
        <is>
          <t xml:space="preserve">PLANI-ADQ. DE ACCESORIOS INFORMÁTICOS P04-SC61.307</t>
        </is>
      </c>
      <c r="C133" s="0">
        <v>3</v>
      </c>
      <c r="D133" s="4" t="inlineStr">
        <is>
          <t xml:space="preserve">Trackballs y mouse de computador</t>
        </is>
      </c>
      <c r="E133" s="4" t="inlineStr">
        <is>
          <t xml:space="preserve">Tecnologías de la información, telecomunicaciones y radiodifusión / Equipos informáticos y accesorios / Dispositivos informáticos de entrada de datos</t>
        </is>
      </c>
      <c r="F133" s="0">
        <v>10.0</v>
      </c>
      <c r="G133" s="0" t="inlineStr">
        <is>
          <t xml:space="preserve">Unidad</t>
        </is>
      </c>
      <c r="H133" s="4" t="inlineStr">
        <is>
          <t xml:space="preserve">Mouse Ergonómico Vertical Wireless al 
menos 5 botones
Símil a Kensington K75575WW</t>
        </is>
      </c>
    </row>
    <row r="134">
      <c r="A134" s="0" t="inlineStr">
        <is>
          <t xml:space="preserve">847-55-LE26</t>
        </is>
      </c>
      <c r="B134" s="4" t="inlineStr">
        <is>
          <t xml:space="preserve">PLANI-ADQ. DE ACCESORIOS INFORMÁTICOS P04-SC61.307</t>
        </is>
      </c>
      <c r="C134" s="0">
        <v>4</v>
      </c>
      <c r="D134" s="4" t="inlineStr">
        <is>
          <t xml:space="preserve">Audífonos</t>
        </is>
      </c>
      <c r="E134" s="4" t="inlineStr">
        <is>
          <t xml:space="preserve">Muebles, accesorios, electrodomésticos y productos electrónicos / Equipos y accesorios audiovisuales / Equipos audiovisuales y de electrónica menor</t>
        </is>
      </c>
      <c r="F134" s="0">
        <v>50.0</v>
      </c>
      <c r="G134" s="0" t="inlineStr">
        <is>
          <t xml:space="preserve">Unidad</t>
        </is>
      </c>
      <c r="H134" s="4" t="inlineStr">
        <is>
          <t xml:space="preserve">Audífonos tipo gamer, con cancelación de 
ruido 
Símil a HP220S</t>
        </is>
      </c>
    </row>
    <row r="135">
      <c r="A135" s="0" t="inlineStr">
        <is>
          <t xml:space="preserve">847-55-LE26</t>
        </is>
      </c>
      <c r="B135" s="4" t="inlineStr">
        <is>
          <t xml:space="preserve">PLANI-ADQ. DE ACCESORIOS INFORMÁTICOS P04-SC61.307</t>
        </is>
      </c>
      <c r="C135" s="0">
        <v>5</v>
      </c>
      <c r="D135" s="4" t="inlineStr">
        <is>
          <t xml:space="preserve">Hilos o cables de conexión</t>
        </is>
      </c>
      <c r="E135" s="4" t="inlineStr">
        <is>
          <t xml:space="preserve">Artículos eléctricos y de iluminación / Equipamiento y artículos eléctricos / Conectores, enchufes y terminales</t>
        </is>
      </c>
      <c r="F135" s="0">
        <v>60.0</v>
      </c>
      <c r="G135" s="0" t="inlineStr">
        <is>
          <t xml:space="preserve">Unidad</t>
        </is>
      </c>
      <c r="H135" s="4" t="inlineStr">
        <is>
          <t xml:space="preserve">HUB USB 4 puertos USB-A. Entrada USB-AC 
Símil a XTC-390</t>
        </is>
      </c>
    </row>
    <row r="136">
      <c r="A136" s="0" t="inlineStr">
        <is>
          <t xml:space="preserve">847-55-LE26</t>
        </is>
      </c>
      <c r="B136" s="4" t="inlineStr">
        <is>
          <t xml:space="preserve">PLANI-ADQ. DE ACCESORIOS INFORMÁTICOS P04-SC61.307</t>
        </is>
      </c>
      <c r="C136" s="0">
        <v>6</v>
      </c>
      <c r="D136" s="4" t="inlineStr">
        <is>
          <t xml:space="preserve">Hilos o cables de conexión</t>
        </is>
      </c>
      <c r="E136" s="4" t="inlineStr">
        <is>
          <t xml:space="preserve">Artículos eléctricos y de iluminación / Equipamiento y artículos eléctricos / Conectores, enchufes y terminales</t>
        </is>
      </c>
      <c r="F136" s="0">
        <v>45.0</v>
      </c>
      <c r="G136" s="0" t="inlineStr">
        <is>
          <t xml:space="preserve">Unidad</t>
        </is>
      </c>
      <c r="H136" s="4" t="inlineStr">
        <is>
          <t xml:space="preserve">Cables HDMI a HDMI 1,4 4K de 1,5 a 2,0 
mts</t>
        </is>
      </c>
    </row>
    <row r="137">
      <c r="A137" s="0" t="inlineStr">
        <is>
          <t xml:space="preserve">847-55-LE26</t>
        </is>
      </c>
      <c r="B137" s="4" t="inlineStr">
        <is>
          <t xml:space="preserve">PLANI-ADQ. DE ACCESORIOS INFORMÁTICOS P04-SC61.307</t>
        </is>
      </c>
      <c r="C137" s="0">
        <v>7</v>
      </c>
      <c r="D137" s="4" t="inlineStr">
        <is>
          <t xml:space="preserve">Discos duros</t>
        </is>
      </c>
      <c r="E137" s="4" t="inlineStr">
        <is>
          <t xml:space="preserve">Tecnologías de la información, telecomunicaciones y radiodifusión / Componentes para tecnología de la información, difusión o telecomunicaciones / Dispositivos de soporte de almacenamiento</t>
        </is>
      </c>
      <c r="F137" s="0">
        <v>40.0</v>
      </c>
      <c r="G137" s="0" t="inlineStr">
        <is>
          <t xml:space="preserve">Unidad</t>
        </is>
      </c>
      <c r="H137" s="4" t="inlineStr">
        <is>
          <t xml:space="preserve">Discos SSD de 480/500 GB, formato 2.5”, 
Interfaz Sata III de 6 GB/s 
Símil a Kingston A400</t>
        </is>
      </c>
    </row>
    <row r="138">
      <c r="A138" s="0" t="inlineStr">
        <is>
          <t xml:space="preserve">847-55-LE26</t>
        </is>
      </c>
      <c r="B138" s="4" t="inlineStr">
        <is>
          <t xml:space="preserve">PLANI-ADQ. DE ACCESORIOS INFORMÁTICOS P04-SC61.307</t>
        </is>
      </c>
      <c r="C138" s="0">
        <v>8</v>
      </c>
      <c r="D138" s="4" t="inlineStr">
        <is>
          <t xml:space="preserve">Discos duros</t>
        </is>
      </c>
      <c r="E138" s="4" t="inlineStr">
        <is>
          <t xml:space="preserve">Tecnologías de la información, telecomunicaciones y radiodifusión / Componentes para tecnología de la información, difusión o telecomunicaciones / Dispositivos de soporte de almacenamiento</t>
        </is>
      </c>
      <c r="F138" s="0">
        <v>3.0</v>
      </c>
      <c r="G138" s="0" t="inlineStr">
        <is>
          <t xml:space="preserve">Unidad</t>
        </is>
      </c>
      <c r="H138" s="4" t="inlineStr">
        <is>
          <t xml:space="preserve">Discos SSD Externo USB-C mínimo Lectura 
1000 MB/s, Escritura 1000 MB/s 
Símil a Kingston XS1000</t>
        </is>
      </c>
    </row>
    <row r="139">
      <c r="A139" s="0" t="inlineStr">
        <is>
          <t xml:space="preserve">847-55-LE26</t>
        </is>
      </c>
      <c r="B139" s="4" t="inlineStr">
        <is>
          <t xml:space="preserve">PLANI-ADQ. DE ACCESORIOS INFORMÁTICOS P04-SC61.307</t>
        </is>
      </c>
      <c r="C139" s="0">
        <v>9</v>
      </c>
      <c r="D139" s="4" t="inlineStr">
        <is>
          <t xml:space="preserve">Hilos o cables de conexión</t>
        </is>
      </c>
      <c r="E139" s="4" t="inlineStr">
        <is>
          <t xml:space="preserve">Artículos eléctricos y de iluminación / Equipamiento y artículos eléctricos / Conectores, enchufes y terminales</t>
        </is>
      </c>
      <c r="F139" s="0">
        <v>5.0</v>
      </c>
      <c r="G139" s="0" t="inlineStr">
        <is>
          <t xml:space="preserve">Unidad</t>
        </is>
      </c>
      <c r="H139" s="4" t="inlineStr">
        <is>
          <t xml:space="preserve">Cargador USB-C 65W 20V/3,25A 
compatible con Lenovo K14 
Símil al original</t>
        </is>
      </c>
    </row>
    <row r="140">
      <c r="A140" s="0" t="inlineStr">
        <is>
          <t xml:space="preserve">1375761-51-LP26</t>
        </is>
      </c>
      <c r="B140" s="4" t="inlineStr">
        <is>
          <t xml:space="preserve">SIST. INF PLATAFORMA DE GESTION ESCOLAR SLEP V.D</t>
        </is>
      </c>
      <c r="C140" s="0">
        <v>1</v>
      </c>
      <c r="D140" s="4" t="inlineStr">
        <is>
          <t xml:space="preserve">Software del sistema de administración de bases de datos</t>
        </is>
      </c>
      <c r="E140" s="4" t="inlineStr">
        <is>
          <t xml:space="preserve">Tecnologías de la información, telecomunicaciones y radiodifusión / Software / Software de consultas y gestión de datos</t>
        </is>
      </c>
      <c r="F140" s="0">
        <v>1.0</v>
      </c>
      <c r="G140" s="0" t="inlineStr">
        <is>
          <t xml:space="preserve">Unidad</t>
        </is>
      </c>
      <c r="H140" s="4" t="inlineStr">
        <is>
          <t xml:space="preserve">Software del sistema de administración de bases de datos Especificaciones del Comprador: SERVICIO DE PLATAFORMA DE GESTION ESCOLAR PARA LOS ESTABLECIMIENTOS EDUCACIONALES DEPENDIENTES DEL SERVICIO LOCAL DE EDUCACIÓN PÚBLICA VALLE DIGUILLIN</t>
        </is>
      </c>
    </row>
    <row r="141">
      <c r="A141" s="0" t="inlineStr">
        <is>
          <t xml:space="preserve">1660-150-L126</t>
        </is>
      </c>
      <c r="B141" s="4" t="inlineStr">
        <is>
          <t xml:space="preserve">COMPRA DE SERVICIO TONS/TENS BODEGA DENTAL DE FARMACIA Y GESTIÓN DOCUMENTAL PARA EL HOSPITAL DE SALAMANCA</t>
        </is>
      </c>
      <c r="C141" s="0">
        <v>1</v>
      </c>
      <c r="D141" s="4" t="inlineStr">
        <is>
          <t xml:space="preserve">Personal técnico</t>
        </is>
      </c>
      <c r="E141" s="4" t="inlineStr">
        <is>
          <t xml:space="preserve">Servicios profesionales, administrativos y consultorías de gestión empresarial / Servicios de recursos humanos / Contratación de personal</t>
        </is>
      </c>
      <c r="F141" s="0">
        <v>1.0</v>
      </c>
      <c r="G141" s="0" t="inlineStr">
        <is>
          <t xml:space="preserve">Unidad</t>
        </is>
      </c>
      <c r="H141" s="4" t="inlineStr">
        <is>
          <t xml:space="preserve">COMPRA DE SERVICIO TONS/TENS BODEGA DENTAL DE FARMACIA Y GESTIÓN DOCUMENTAL PARA EL HOSPITAL DE SALAMANCA</t>
        </is>
      </c>
    </row>
    <row r="142">
      <c r="A142" s="0" t="inlineStr">
        <is>
          <t xml:space="preserve">2852-59-LP26</t>
        </is>
      </c>
      <c r="B142" s="4" t="inlineStr">
        <is>
          <t xml:space="preserve">ADQUISICION DE LICENCIAS DE SOFTWARE</t>
        </is>
      </c>
      <c r="C142" s="0">
        <v>1</v>
      </c>
      <c r="D142" s="4" t="inlineStr">
        <is>
          <t xml:space="preserve">Software de gestión de licencias</t>
        </is>
      </c>
      <c r="E142" s="4" t="inlineStr">
        <is>
          <t xml:space="preserve">Tecnologías de la información, telecomunicaciones y radiodifusión / Software / Software de gestión</t>
        </is>
      </c>
      <c r="F142" s="0">
        <v>1.0</v>
      </c>
      <c r="G142" s="0" t="inlineStr">
        <is>
          <t xml:space="preserve">Unidad</t>
        </is>
      </c>
      <c r="H142" s="4" t="inlineStr">
        <is>
          <t xml:space="preserve">L1:Software CAD Profesional</t>
        </is>
      </c>
    </row>
    <row r="143">
      <c r="A143" s="0" t="inlineStr">
        <is>
          <t xml:space="preserve">2852-59-LP26</t>
        </is>
      </c>
      <c r="B143" s="4" t="inlineStr">
        <is>
          <t xml:space="preserve">ADQUISICION DE LICENCIAS DE SOFTWARE</t>
        </is>
      </c>
      <c r="C143" s="0">
        <v>2</v>
      </c>
      <c r="D143" s="4" t="inlineStr">
        <is>
          <t xml:space="preserve">Software de gestión de licencias</t>
        </is>
      </c>
      <c r="E143" s="4" t="inlineStr">
        <is>
          <t xml:space="preserve">Tecnologías de la información, telecomunicaciones y radiodifusión / Software / Software de gestión</t>
        </is>
      </c>
      <c r="F143" s="0">
        <v>1.0</v>
      </c>
      <c r="G143" s="0" t="inlineStr">
        <is>
          <t xml:space="preserve">Unidad</t>
        </is>
      </c>
      <c r="H143" s="4" t="inlineStr">
        <is>
          <t xml:space="preserve">L2:Software de Producción Digital</t>
        </is>
      </c>
    </row>
    <row r="144">
      <c r="A144" s="0" t="inlineStr">
        <is>
          <t xml:space="preserve">2852-59-LP26</t>
        </is>
      </c>
      <c r="B144" s="4" t="inlineStr">
        <is>
          <t xml:space="preserve">ADQUISICION DE LICENCIAS DE SOFTWARE</t>
        </is>
      </c>
      <c r="C144" s="0">
        <v>3</v>
      </c>
      <c r="D144" s="4" t="inlineStr">
        <is>
          <t xml:space="preserve">Software de gestión de licencias</t>
        </is>
      </c>
      <c r="E144" s="4" t="inlineStr">
        <is>
          <t xml:space="preserve">Tecnologías de la información, telecomunicaciones y radiodifusión / Software / Software de gestión</t>
        </is>
      </c>
      <c r="F144" s="0">
        <v>1.0</v>
      </c>
      <c r="G144" s="0" t="inlineStr">
        <is>
          <t xml:space="preserve">Unidad</t>
        </is>
      </c>
      <c r="H144" s="4" t="inlineStr">
        <is>
          <t xml:space="preserve">L3:Software de BIM Multidisciplinario</t>
        </is>
      </c>
    </row>
    <row r="145">
      <c r="A145" s="0" t="inlineStr">
        <is>
          <t xml:space="preserve">2852-59-LP26</t>
        </is>
      </c>
      <c r="B145" s="4" t="inlineStr">
        <is>
          <t xml:space="preserve">ADQUISICION DE LICENCIAS DE SOFTWARE</t>
        </is>
      </c>
      <c r="C145" s="0">
        <v>4</v>
      </c>
      <c r="D145" s="4" t="inlineStr">
        <is>
          <t xml:space="preserve">Software de gestión de licencias</t>
        </is>
      </c>
      <c r="E145" s="4" t="inlineStr">
        <is>
          <t xml:space="preserve">Tecnologías de la información, telecomunicaciones y radiodifusión / Software / Software de gestión</t>
        </is>
      </c>
      <c r="F145" s="0">
        <v>1.0</v>
      </c>
      <c r="G145" s="0" t="inlineStr">
        <is>
          <t xml:space="preserve">Unidad</t>
        </is>
      </c>
      <c r="H145" s="4" t="inlineStr">
        <is>
          <t xml:space="preserve">L4:Software de Modelado 3D</t>
        </is>
      </c>
    </row>
    <row r="146">
      <c r="A146" s="0" t="inlineStr">
        <is>
          <t xml:space="preserve">2852-59-LP26</t>
        </is>
      </c>
      <c r="B146" s="4" t="inlineStr">
        <is>
          <t xml:space="preserve">ADQUISICION DE LICENCIAS DE SOFTWARE</t>
        </is>
      </c>
      <c r="C146" s="0">
        <v>5</v>
      </c>
      <c r="D146" s="4" t="inlineStr">
        <is>
          <t xml:space="preserve">Software de gestión de licencias</t>
        </is>
      </c>
      <c r="E146" s="4" t="inlineStr">
        <is>
          <t xml:space="preserve">Tecnologías de la información, telecomunicaciones y radiodifusión / Software / Software de gestión</t>
        </is>
      </c>
      <c r="F146" s="0">
        <v>1.0</v>
      </c>
      <c r="G146" s="0" t="inlineStr">
        <is>
          <t xml:space="preserve">Unidad</t>
        </is>
      </c>
      <c r="H146" s="4" t="inlineStr">
        <is>
          <t xml:space="preserve">L5:Software para Video Institucional</t>
        </is>
      </c>
    </row>
    <row r="147">
      <c r="A147" s="0" t="inlineStr">
        <is>
          <t xml:space="preserve">2852-59-LP26</t>
        </is>
      </c>
      <c r="B147" s="4" t="inlineStr">
        <is>
          <t xml:space="preserve">ADQUISICION DE LICENCIAS DE SOFTWARE</t>
        </is>
      </c>
      <c r="C147" s="0">
        <v>6</v>
      </c>
      <c r="D147" s="4" t="inlineStr">
        <is>
          <t xml:space="preserve">Software de gestión de licencias</t>
        </is>
      </c>
      <c r="E147" s="4" t="inlineStr">
        <is>
          <t xml:space="preserve">Tecnologías de la información, telecomunicaciones y radiodifusión / Software / Software de gestión</t>
        </is>
      </c>
      <c r="F147" s="0">
        <v>1.0</v>
      </c>
      <c r="G147" s="0" t="inlineStr">
        <is>
          <t xml:space="preserve">Unidad</t>
        </is>
      </c>
      <c r="H147" s="4" t="inlineStr">
        <is>
          <t xml:space="preserve">L6:Software de BIM Arquitectura</t>
        </is>
      </c>
    </row>
    <row r="148">
      <c r="A148" s="0" t="inlineStr">
        <is>
          <t xml:space="preserve">2852-59-LP26</t>
        </is>
      </c>
      <c r="B148" s="4" t="inlineStr">
        <is>
          <t xml:space="preserve">ADQUISICION DE LICENCIAS DE SOFTWARE</t>
        </is>
      </c>
      <c r="C148" s="0">
        <v>7</v>
      </c>
      <c r="D148" s="4" t="inlineStr">
        <is>
          <t xml:space="preserve">Software de gestión de licencias</t>
        </is>
      </c>
      <c r="E148" s="4" t="inlineStr">
        <is>
          <t xml:space="preserve">Tecnologías de la información, telecomunicaciones y radiodifusión / Software / Software de gestión</t>
        </is>
      </c>
      <c r="F148" s="0">
        <v>1.0</v>
      </c>
      <c r="G148" s="0" t="inlineStr">
        <is>
          <t xml:space="preserve">Unidad</t>
        </is>
      </c>
      <c r="H148" s="4" t="inlineStr">
        <is>
          <t xml:space="preserve">L7:Software de Gestión de Redes Sociales</t>
        </is>
      </c>
    </row>
    <row r="149">
      <c r="A149" s="0" t="inlineStr">
        <is>
          <t xml:space="preserve">2852-59-LP26</t>
        </is>
      </c>
      <c r="B149" s="4" t="inlineStr">
        <is>
          <t xml:space="preserve">ADQUISICION DE LICENCIAS DE SOFTWARE</t>
        </is>
      </c>
      <c r="C149" s="0">
        <v>8</v>
      </c>
      <c r="D149" s="4" t="inlineStr">
        <is>
          <t xml:space="preserve">Software de gestión de adquisiciones</t>
        </is>
      </c>
      <c r="E149" s="4" t="inlineStr">
        <is>
          <t xml:space="preserve">Tecnologías de la información, telecomunicaciones y radiodifusión / Software / Software de gestión</t>
        </is>
      </c>
      <c r="F149" s="0">
        <v>1.0</v>
      </c>
      <c r="G149" s="0" t="inlineStr">
        <is>
          <t xml:space="preserve">Unidad</t>
        </is>
      </c>
      <c r="H149" s="4" t="inlineStr">
        <is>
          <t xml:space="preserve">L8:Software de Inteligencia Artificial</t>
        </is>
      </c>
    </row>
    <row r="150">
      <c r="A150" s="0" t="inlineStr">
        <is>
          <t xml:space="preserve">2852-59-LP26</t>
        </is>
      </c>
      <c r="B150" s="4" t="inlineStr">
        <is>
          <t xml:space="preserve">ADQUISICION DE LICENCIAS DE SOFTWARE</t>
        </is>
      </c>
      <c r="C150" s="0">
        <v>9</v>
      </c>
      <c r="D150" s="4" t="inlineStr">
        <is>
          <t xml:space="preserve">Software de gestión de recursos humanos</t>
        </is>
      </c>
      <c r="E150" s="4" t="inlineStr">
        <is>
          <t xml:space="preserve">Tecnologías de la información, telecomunicaciones y radiodifusión / Software / Software de gestión</t>
        </is>
      </c>
      <c r="F150" s="0">
        <v>1.0</v>
      </c>
      <c r="G150" s="0" t="inlineStr">
        <is>
          <t xml:space="preserve">Unidad</t>
        </is>
      </c>
      <c r="H150" s="4" t="inlineStr">
        <is>
          <t xml:space="preserve">L9:Software Antivirus</t>
        </is>
      </c>
    </row>
    <row r="151">
      <c r="A151" s="0" t="inlineStr">
        <is>
          <t xml:space="preserve">2852-59-LP26</t>
        </is>
      </c>
      <c r="B151" s="4" t="inlineStr">
        <is>
          <t xml:space="preserve">ADQUISICION DE LICENCIAS DE SOFTWARE</t>
        </is>
      </c>
      <c r="C151" s="0">
        <v>10</v>
      </c>
      <c r="D151" s="4" t="inlineStr">
        <is>
          <t xml:space="preserve">Software de contabilidad temporal</t>
        </is>
      </c>
      <c r="E151" s="4" t="inlineStr">
        <is>
          <t xml:space="preserve">Tecnologías de la información, telecomunicaciones y radiodifusión / Software / Software de planificación de recursos empresariales (ERP) y contabilidad financiera</t>
        </is>
      </c>
      <c r="F151" s="0">
        <v>1.0</v>
      </c>
      <c r="G151" s="0" t="inlineStr">
        <is>
          <t xml:space="preserve">Unidad</t>
        </is>
      </c>
      <c r="H151" s="4" t="inlineStr">
        <is>
          <t xml:space="preserve">L10:Software de gestión de Videocámaras</t>
        </is>
      </c>
    </row>
    <row r="152">
      <c r="A152" s="0" t="inlineStr">
        <is>
          <t xml:space="preserve">2852-59-LP26</t>
        </is>
      </c>
      <c r="B152" s="4" t="inlineStr">
        <is>
          <t xml:space="preserve">ADQUISICION DE LICENCIAS DE SOFTWARE</t>
        </is>
      </c>
      <c r="C152" s="0">
        <v>11</v>
      </c>
      <c r="D152" s="4" t="inlineStr">
        <is>
          <t xml:space="preserve">Software de gestión de relaciones con el cliente (CRM)</t>
        </is>
      </c>
      <c r="E152" s="4" t="inlineStr">
        <is>
          <t xml:space="preserve">Tecnologías de la información, telecomunicaciones y radiodifusión / Software / Software de consultas y gestión de datos</t>
        </is>
      </c>
      <c r="F152" s="0">
        <v>1.0</v>
      </c>
      <c r="G152" s="0" t="inlineStr">
        <is>
          <t xml:space="preserve">Unidad</t>
        </is>
      </c>
      <c r="H152" s="4" t="inlineStr">
        <is>
          <t xml:space="preserve">L11:Software de Fotogrametría</t>
        </is>
      </c>
    </row>
    <row r="153">
      <c r="A153" s="0" t="inlineStr">
        <is>
          <t xml:space="preserve">2343-33-LE26</t>
        </is>
      </c>
      <c r="B153" s="4" t="inlineStr">
        <is>
          <t xml:space="preserve">ADQUISICION DE PLATAFORMA TECNOLOGICA UAS</t>
        </is>
      </c>
      <c r="C153" s="0">
        <v>1</v>
      </c>
      <c r="D153" s="4" t="inlineStr">
        <is>
          <t xml:space="preserve">Cámaras de seguridad</t>
        </is>
      </c>
      <c r="E153" s="4" t="inlineStr">
        <is>
          <t xml:space="preserve">Equipos y suministros de defensa, orden público, protección y seguridad / Seguridad, vigilancia y detección / Equipo de vigilancia y detección</t>
        </is>
      </c>
      <c r="F153" s="0">
        <v>1.0</v>
      </c>
      <c r="G153" s="0" t="inlineStr">
        <is>
          <t xml:space="preserve">Unidad</t>
        </is>
      </c>
      <c r="H153" s="4" t="inlineStr">
        <is>
          <t xml:space="preserve">ADQUISICION DE PLATAFORMA TECNOLOGICA UAS</t>
        </is>
      </c>
    </row>
    <row r="154">
      <c r="A154" s="0" t="inlineStr">
        <is>
          <t xml:space="preserve">1079639-23-LE26</t>
        </is>
      </c>
      <c r="B154" s="4" t="inlineStr">
        <is>
          <t xml:space="preserve">RENOVACIÓN SOFTWARE INSEYETS PRO POR 12 MESES</t>
        </is>
      </c>
      <c r="C154" s="0">
        <v>1</v>
      </c>
      <c r="D154" s="4" t="inlineStr">
        <is>
          <t xml:space="preserve">Software de sistema experto</t>
        </is>
      </c>
      <c r="E154" s="4" t="inlineStr">
        <is>
          <t xml:space="preserve">Tecnologías de la información, telecomunicaciones y radiodifusión / Software / Software de gestión</t>
        </is>
      </c>
      <c r="F154" s="0">
        <v>1.0</v>
      </c>
      <c r="G154" s="0" t="inlineStr">
        <is>
          <t xml:space="preserve">Unidad</t>
        </is>
      </c>
      <c r="H154" s="4" t="inlineStr">
        <is>
          <t xml:space="preserve">RENOVACION INSEYETS PRO POR 12 MESES PARA
LA SECCIÓN OS9 LOS LAGOS</t>
        </is>
      </c>
    </row>
    <row r="155">
      <c r="A155" s="0" t="inlineStr">
        <is>
          <t xml:space="preserve">3712-70-LE26</t>
        </is>
      </c>
      <c r="B155" s="4" t="inlineStr">
        <is>
          <t xml:space="preserve">ADQUISICION DE TOTEM DE AUTOATENCION CHILEATIENDE</t>
        </is>
      </c>
      <c r="C155" s="0">
        <v>1</v>
      </c>
      <c r="D155" s="4" t="inlineStr">
        <is>
          <t xml:space="preserve">Monitores de pantalla táctil</t>
        </is>
      </c>
      <c r="E155" s="4" t="inlineStr">
        <is>
          <t xml:space="preserve">Tecnologías de la información, telecomunicaciones y radiodifusión / Equipos informáticos y accesorios / Pantallas o monitores de computador</t>
        </is>
      </c>
      <c r="F155" s="0">
        <v>1.0</v>
      </c>
      <c r="G155" s="0" t="inlineStr">
        <is>
          <t xml:space="preserve">Unidad</t>
        </is>
      </c>
      <c r="H155" s="4" t="inlineStr">
        <is>
          <t xml:space="preserve">DE ACUERDO A LAS BASES</t>
        </is>
      </c>
    </row>
    <row r="156">
      <c r="A156" s="0" t="inlineStr">
        <is>
          <t xml:space="preserve">4511-58-LE26</t>
        </is>
      </c>
      <c r="B156" s="4" t="inlineStr">
        <is>
          <t xml:space="preserve">Contratación de software trámites en línea Dirección de Obras Municipales I. Municipalidad de Retiro</t>
        </is>
      </c>
      <c r="C156" s="0">
        <v>1</v>
      </c>
      <c r="D156" s="4" t="inlineStr">
        <is>
          <t xml:space="preserve">Software de creación de informes de bases de datos</t>
        </is>
      </c>
      <c r="E156" s="4" t="inlineStr">
        <is>
          <t xml:space="preserve">Tecnologías de la información, telecomunicaciones y radiodifusión / Software / Software de consultas y gestión de datos</t>
        </is>
      </c>
      <c r="F156" s="0">
        <v>1.0</v>
      </c>
      <c r="G156" s="0" t="inlineStr">
        <is>
          <t xml:space="preserve">Global</t>
        </is>
      </c>
      <c r="H156" s="4" t="inlineStr">
        <is>
          <t xml:space="preserve">contratación del Software Trámites en Línea DOM, Retiro</t>
        </is>
      </c>
    </row>
    <row r="157">
      <c r="A157" s="0" t="inlineStr">
        <is>
          <t xml:space="preserve">976-20-LE26</t>
        </is>
      </c>
      <c r="B157" s="4" t="inlineStr">
        <is>
          <t xml:space="preserve">Equipos computacionales e informáticos</t>
        </is>
      </c>
      <c r="C157" s="0">
        <v>1</v>
      </c>
      <c r="D157" s="4" t="inlineStr">
        <is>
          <t xml:space="preserve">Trazadoras de gráficos</t>
        </is>
      </c>
      <c r="E157" s="4" t="inlineStr">
        <is>
          <t xml:space="preserve">Tecnologías de la información, telecomunicaciones y radiodifusión / Equipos informáticos y accesorios / Impresoras</t>
        </is>
      </c>
      <c r="F157" s="0">
        <v>1.0</v>
      </c>
      <c r="G157" s="0" t="inlineStr">
        <is>
          <t xml:space="preserve">Unidad</t>
        </is>
      </c>
      <c r="H157" s="4" t="inlineStr">
        <is>
          <t xml:space="preserve">plotter de 44"</t>
        </is>
      </c>
    </row>
    <row r="158">
      <c r="A158" s="0" t="inlineStr">
        <is>
          <t xml:space="preserve">976-20-LE26</t>
        </is>
      </c>
      <c r="B158" s="4" t="inlineStr">
        <is>
          <t xml:space="preserve">Equipos computacionales e informáticos</t>
        </is>
      </c>
      <c r="C158" s="0">
        <v>2</v>
      </c>
      <c r="D158" s="4" t="inlineStr">
        <is>
          <t xml:space="preserve">Computadores de escritorio</t>
        </is>
      </c>
      <c r="E158" s="4" t="inlineStr">
        <is>
          <t xml:space="preserve">Tecnologías de la información, telecomunicaciones y radiodifusión / Equipos informáticos y accesorios / Computadores</t>
        </is>
      </c>
      <c r="F158" s="0">
        <v>15.0</v>
      </c>
      <c r="G158" s="0" t="inlineStr">
        <is>
          <t xml:space="preserve">Unidad</t>
        </is>
      </c>
      <c r="H158" s="4" t="inlineStr">
        <is>
          <t xml:space="preserve">desktop / CPU sin monitor</t>
        </is>
      </c>
    </row>
    <row r="159">
      <c r="A159" s="0" t="inlineStr">
        <is>
          <t xml:space="preserve">976-20-LE26</t>
        </is>
      </c>
      <c r="B159" s="4" t="inlineStr">
        <is>
          <t xml:space="preserve">Equipos computacionales e informáticos</t>
        </is>
      </c>
      <c r="C159" s="0">
        <v>3</v>
      </c>
      <c r="D159" s="4" t="inlineStr">
        <is>
          <t xml:space="preserve">Notebook, laptop o computador portátil excepto Tablet PC</t>
        </is>
      </c>
      <c r="E159" s="4" t="inlineStr">
        <is>
          <t xml:space="preserve">Tecnologías de la información, telecomunicaciones y radiodifusión / Equipos informáticos y accesorios / Computadores</t>
        </is>
      </c>
      <c r="F159" s="0">
        <v>41.0</v>
      </c>
      <c r="G159" s="0" t="inlineStr">
        <is>
          <t xml:space="preserve">Unidad</t>
        </is>
      </c>
      <c r="H159" s="4" t="inlineStr">
        <is>
          <t xml:space="preserve">notebook 16GB - 1TB</t>
        </is>
      </c>
    </row>
    <row r="160">
      <c r="A160" s="0" t="inlineStr">
        <is>
          <t xml:space="preserve">976-20-LE26</t>
        </is>
      </c>
      <c r="B160" s="4" t="inlineStr">
        <is>
          <t xml:space="preserve">Equipos computacionales e informáticos</t>
        </is>
      </c>
      <c r="C160" s="0">
        <v>4</v>
      </c>
      <c r="D160" s="4" t="inlineStr">
        <is>
          <t xml:space="preserve">Computadores de escritorio</t>
        </is>
      </c>
      <c r="E160" s="4" t="inlineStr">
        <is>
          <t xml:space="preserve">Tecnologías de la información, telecomunicaciones y radiodifusión / Equipos informáticos y accesorios / Computadores</t>
        </is>
      </c>
      <c r="F160" s="0">
        <v>2.0</v>
      </c>
      <c r="G160" s="0" t="inlineStr">
        <is>
          <t xml:space="preserve">Unidad</t>
        </is>
      </c>
      <c r="H160" s="4" t="inlineStr">
        <is>
          <t xml:space="preserve">workstation de escritorio</t>
        </is>
      </c>
    </row>
    <row r="161">
      <c r="A161" s="0" t="inlineStr">
        <is>
          <t xml:space="preserve">976-20-LE26</t>
        </is>
      </c>
      <c r="B161" s="4" t="inlineStr">
        <is>
          <t xml:space="preserve">Equipos computacionales e informáticos</t>
        </is>
      </c>
      <c r="C161" s="0">
        <v>5</v>
      </c>
      <c r="D161" s="4" t="inlineStr">
        <is>
          <t xml:space="preserve">Notebook, laptop o computador portátil excepto Tablet PC</t>
        </is>
      </c>
      <c r="E161" s="4" t="inlineStr">
        <is>
          <t xml:space="preserve">Tecnologías de la información, telecomunicaciones y radiodifusión / Equipos informáticos y accesorios / Computadores</t>
        </is>
      </c>
      <c r="F161" s="0">
        <v>5.0</v>
      </c>
      <c r="G161" s="0" t="inlineStr">
        <is>
          <t xml:space="preserve">Unidad</t>
        </is>
      </c>
      <c r="H161" s="4" t="inlineStr">
        <is>
          <t xml:space="preserve">notebook 32GB - 2TB</t>
        </is>
      </c>
    </row>
    <row r="162">
      <c r="A162" s="0" t="inlineStr">
        <is>
          <t xml:space="preserve">4459-23-LP26</t>
        </is>
      </c>
      <c r="B162" s="4" t="inlineStr">
        <is>
          <t xml:space="preserve">Plataforma de Sistemas Informáticos de Gestión Municipal para la Ilustre Municipalidad de Pichilemu</t>
        </is>
      </c>
      <c r="C162" s="0">
        <v>1</v>
      </c>
      <c r="D162" s="4" t="inlineStr">
        <is>
          <t xml:space="preserve">Software de mejora de sistemas operativos de redes</t>
        </is>
      </c>
      <c r="E162" s="4" t="inlineStr">
        <is>
          <t xml:space="preserve">Tecnologías de la información, telecomunicaciones y radiodifusión / Software / Software de administración de redes</t>
        </is>
      </c>
      <c r="F162" s="0">
        <v>1.0</v>
      </c>
      <c r="G162" s="0" t="inlineStr">
        <is>
          <t xml:space="preserve">Unidad</t>
        </is>
      </c>
      <c r="H162"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163">
      <c r="A163" s="0" t="inlineStr">
        <is>
          <t xml:space="preserve">948354-139-LR26</t>
        </is>
      </c>
      <c r="B163" s="4" t="inlineStr">
        <is>
          <t xml:space="preserve">CONTRATACIÓN DE SERVICIO DE SOFTWARE DE RECURSOS HUMANOS PARA EL HOSPITAL DIPRECA</t>
        </is>
      </c>
      <c r="C163" s="0">
        <v>1</v>
      </c>
      <c r="D163" s="4" t="inlineStr">
        <is>
          <t xml:space="preserve">Software de gestión de recursos humanos</t>
        </is>
      </c>
      <c r="E163" s="4" t="inlineStr">
        <is>
          <t xml:space="preserve">Tecnologías de la información, telecomunicaciones y radiodifusión / Software / Software de gestión</t>
        </is>
      </c>
      <c r="F163" s="0">
        <v>1.0</v>
      </c>
      <c r="G163" s="0" t="inlineStr">
        <is>
          <t xml:space="preserve">Unidad</t>
        </is>
      </c>
      <c r="H163" s="4" t="inlineStr">
        <is>
          <t xml:space="preserve">CONTRATACIÓN DE SERVICIO DE SOFTWARE DE RECURSOS HUMANOS</t>
        </is>
      </c>
    </row>
    <row r="164">
      <c r="A164" s="0" t="inlineStr">
        <is>
          <t xml:space="preserve">3090-11-L126</t>
        </is>
      </c>
      <c r="B164" s="4" t="inlineStr">
        <is>
          <t xml:space="preserve">RETIRO, PROVISIÓN E INSTALACIÓN DE TABLERO Y EMPALME ELECTRICO</t>
        </is>
      </c>
      <c r="C164" s="0">
        <v>1</v>
      </c>
      <c r="D164" s="4" t="inlineStr">
        <is>
          <t xml:space="preserve">Instalación o servicio de sistemas de energía eléctrica</t>
        </is>
      </c>
      <c r="E164" s="4" t="inlineStr">
        <is>
          <t xml:space="preserve">Servicios de construcción y mantenimiento / Servicios de atención, mantenimiento y reparaciones de edificios / Servicios eléctricos</t>
        </is>
      </c>
      <c r="F164" s="0">
        <v>1.0</v>
      </c>
      <c r="G164" s="0" t="inlineStr">
        <is>
          <t xml:space="preserve">Unidad no definida</t>
        </is>
      </c>
      <c r="H164" s="4" t="inlineStr">
        <is>
          <t xml:space="preserve">Servicio de retiro, provisión e instalación de tablero y empalme eléctrico de la Central Odontológica de la Segunda Zona Naval.</t>
        </is>
      </c>
    </row>
    <row r="165">
      <c r="A165" s="0" t="inlineStr">
        <is>
          <t xml:space="preserve">1494906-9-LE26</t>
        </is>
      </c>
      <c r="B165" s="4" t="inlineStr">
        <is>
          <t xml:space="preserve">SEGUNDO LLAMADO ADQUISICIÓN DE EQUIPOS ESPECIALIZADOS PARA DIGITALIZACIÓN Y ALMACENAMIENTO</t>
        </is>
      </c>
      <c r="C165" s="0">
        <v>1</v>
      </c>
      <c r="D165" s="4" t="inlineStr">
        <is>
          <t xml:space="preserve">Computadores personales</t>
        </is>
      </c>
      <c r="E165" s="4" t="inlineStr">
        <is>
          <t xml:space="preserve">Tecnologías de la información, telecomunicaciones y radiodifusión / Equipos informáticos y accesorios / Computadores</t>
        </is>
      </c>
      <c r="F165" s="0">
        <v>1.0</v>
      </c>
      <c r="G165" s="0" t="inlineStr">
        <is>
          <t xml:space="preserve">Unidad</t>
        </is>
      </c>
      <c r="H165" s="4" t="inlineStr">
        <is>
          <t xml:space="preserve">Computador, estación de trabajo (Workstation), o equivalente técnico a HP Z8 Fury G5 de alto rendimiento.</t>
        </is>
      </c>
    </row>
    <row r="166">
      <c r="A166" s="0" t="inlineStr">
        <is>
          <t xml:space="preserve">1494906-9-LE26</t>
        </is>
      </c>
      <c r="B166" s="4" t="inlineStr">
        <is>
          <t xml:space="preserve">SEGUNDO LLAMADO ADQUISICIÓN DE EQUIPOS ESPECIALIZADOS PARA DIGITALIZACIÓN Y ALMACENAMIENTO</t>
        </is>
      </c>
      <c r="C166" s="0">
        <v>2</v>
      </c>
      <c r="D166" s="4" t="inlineStr">
        <is>
          <t xml:space="preserve">Unidades de medios desmontables de gran capacidad</t>
        </is>
      </c>
      <c r="E166" s="4" t="inlineStr">
        <is>
          <t xml:space="preserve">Tecnologías de la información, telecomunicaciones y radiodifusión / Componentes para tecnología de la información, difusión o telecomunicaciones / Dispositivos de soporte de almacenamiento</t>
        </is>
      </c>
      <c r="F166" s="0">
        <v>8.0</v>
      </c>
      <c r="G166" s="0" t="inlineStr">
        <is>
          <t xml:space="preserve">Unidad</t>
        </is>
      </c>
      <c r="H166" s="4" t="inlineStr">
        <is>
          <t xml:space="preserve">Cintas de datos LTO 8 (Linear Tape-Open) Ultrium RW Hewlett Packard o superior, de uso profesional para respaldo y conservación de archivos digitales.</t>
        </is>
      </c>
    </row>
    <row r="167">
      <c r="A167" s="0" t="inlineStr">
        <is>
          <t xml:space="preserve">1494906-9-LE26</t>
        </is>
      </c>
      <c r="B167" s="4" t="inlineStr">
        <is>
          <t xml:space="preserve">SEGUNDO LLAMADO ADQUISICIÓN DE EQUIPOS ESPECIALIZADOS PARA DIGITALIZACIÓN Y ALMACENAMIENTO</t>
        </is>
      </c>
      <c r="C167" s="0">
        <v>3</v>
      </c>
      <c r="D167" s="4" t="inlineStr">
        <is>
          <t xml:space="preserve">Tarjetas aceleradoras de video o gráficos</t>
        </is>
      </c>
      <c r="E167" s="4" t="inlineStr">
        <is>
          <t xml:space="preserve">Tecnologías de la información, telecomunicaciones y radiodifusión / Componentes para tecnología de la información, difusión o telecomunicaciones / Tarjetas de sistema</t>
        </is>
      </c>
      <c r="F167" s="0">
        <v>1.0</v>
      </c>
      <c r="G167" s="0" t="inlineStr">
        <is>
          <t xml:space="preserve">Unidad</t>
        </is>
      </c>
      <c r="H167" s="4" t="inlineStr">
        <is>
          <t xml:space="preserve">Tarjeta de video (GPU), equivalente técnico a NVIDIA GeForce GT 730 o superior.</t>
        </is>
      </c>
    </row>
    <row r="168">
      <c r="A168" s="0" t="inlineStr">
        <is>
          <t xml:space="preserve">1020-38-LP26</t>
        </is>
      </c>
      <c r="B168" s="4" t="inlineStr">
        <is>
          <t xml:space="preserve">Adquisición de Plataforma Next Generation Firewall</t>
        </is>
      </c>
      <c r="C168" s="0">
        <v>1</v>
      </c>
      <c r="D168" s="4" t="inlineStr">
        <is>
          <t xml:space="preserve">Equipo de seguridad de red de firewall</t>
        </is>
      </c>
      <c r="E168" s="4" t="inlineStr">
        <is>
          <t xml:space="preserve">Tecnologías de la información, telecomunicaciones y radiodifusión / Equipos, plataformas y accesorios de redes multimedia, voz y datos / Equipos de seguridad de red</t>
        </is>
      </c>
      <c r="F168" s="0">
        <v>2.0</v>
      </c>
      <c r="G168" s="0" t="inlineStr">
        <is>
          <t xml:space="preserve">Unidad</t>
        </is>
      </c>
      <c r="H168" s="4" t="inlineStr">
        <is>
          <t xml:space="preserve">Equipos.</t>
        </is>
      </c>
    </row>
    <row r="169">
      <c r="A169" s="0" t="inlineStr">
        <is>
          <t xml:space="preserve">1020-38-LP26</t>
        </is>
      </c>
      <c r="B169" s="4" t="inlineStr">
        <is>
          <t xml:space="preserve">Adquisición de Plataforma Next Generation Firewall</t>
        </is>
      </c>
      <c r="C169" s="0">
        <v>2</v>
      </c>
      <c r="D169" s="4" t="inlineStr">
        <is>
          <t xml:space="preserve">Software de vigilancia de redes</t>
        </is>
      </c>
      <c r="E169" s="4" t="inlineStr">
        <is>
          <t xml:space="preserve">Tecnologías de la información, telecomunicaciones y radiodifusión / Software / Software de administración de redes</t>
        </is>
      </c>
      <c r="F169" s="0">
        <v>1.0</v>
      </c>
      <c r="G169" s="0" t="inlineStr">
        <is>
          <t xml:space="preserve">Unidad</t>
        </is>
      </c>
      <c r="H169" s="4" t="inlineStr">
        <is>
          <t xml:space="preserve">Licenciamiento de software para la Plataforma Next Generation Firewall (NGFW)</t>
        </is>
      </c>
    </row>
    <row r="170">
      <c r="A170" s="0" t="inlineStr">
        <is>
          <t xml:space="preserve">1153624-22-LE26</t>
        </is>
      </c>
      <c r="B170" s="4" t="inlineStr">
        <is>
          <t xml:space="preserve">Servicio enlace de datos de internet</t>
        </is>
      </c>
      <c r="C170" s="0">
        <v>1</v>
      </c>
      <c r="D170" s="4" t="inlineStr">
        <is>
          <t xml:space="preserve">Servicios de almacenamiento de datos</t>
        </is>
      </c>
      <c r="E170" s="4" t="inlineStr">
        <is>
          <t xml:space="preserve">Servicios basados en ingeniería, ciencias sociales y tecnología de la información / Servicios informáticos / Servicios de datos</t>
        </is>
      </c>
      <c r="F170" s="0">
        <v>1.0</v>
      </c>
      <c r="G170" s="0" t="inlineStr">
        <is>
          <t xml:space="preserve">Unidad</t>
        </is>
      </c>
      <c r="H170" s="4" t="inlineStr">
        <is>
          <t xml:space="preserve">Servicio enlace de datos de internet</t>
        </is>
      </c>
    </row>
    <row r="171">
      <c r="A171" s="0" t="inlineStr">
        <is>
          <t xml:space="preserve">2563-43-LP26</t>
        </is>
      </c>
      <c r="B171" s="4" t="inlineStr">
        <is>
          <t xml:space="preserve">Adquisición de cámaras IA y radares de seguridad</t>
        </is>
      </c>
      <c r="C171" s="0">
        <v>1</v>
      </c>
      <c r="D171" s="4" t="inlineStr">
        <is>
          <t xml:space="preserve">Cámaras de seguridad</t>
        </is>
      </c>
      <c r="E171" s="4" t="inlineStr">
        <is>
          <t xml:space="preserve">Equipos y suministros de defensa, orden público, protección y seguridad / Seguridad, vigilancia y detección / Equipo de vigilancia y detección</t>
        </is>
      </c>
      <c r="F171" s="0">
        <v>2.0</v>
      </c>
      <c r="G171" s="0" t="inlineStr">
        <is>
          <t xml:space="preserve">Unidad</t>
        </is>
      </c>
      <c r="H171"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72">
      <c r="A172" s="0" t="inlineStr">
        <is>
          <t xml:space="preserve">2563-43-LP26</t>
        </is>
      </c>
      <c r="B172" s="4" t="inlineStr">
        <is>
          <t xml:space="preserve">Adquisición de cámaras IA y radares de seguridad</t>
        </is>
      </c>
      <c r="C172" s="0">
        <v>2</v>
      </c>
      <c r="D172" s="4" t="inlineStr">
        <is>
          <t xml:space="preserve">Cámaras de seguridad</t>
        </is>
      </c>
      <c r="E172" s="4" t="inlineStr">
        <is>
          <t xml:space="preserve">Equipos y suministros de defensa, orden público, protección y seguridad / Seguridad, vigilancia y detección / Equipo de vigilancia y detección</t>
        </is>
      </c>
      <c r="F172" s="0">
        <v>2.0</v>
      </c>
      <c r="G172" s="0" t="inlineStr">
        <is>
          <t xml:space="preserve">Unidad</t>
        </is>
      </c>
      <c r="H172"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173">
      <c r="A173" s="0" t="inlineStr">
        <is>
          <t xml:space="preserve">2563-43-LP26</t>
        </is>
      </c>
      <c r="B173" s="4" t="inlineStr">
        <is>
          <t xml:space="preserve">Adquisición de cámaras IA y radares de seguridad</t>
        </is>
      </c>
      <c r="C173" s="0">
        <v>3</v>
      </c>
      <c r="D173" s="4" t="inlineStr">
        <is>
          <t xml:space="preserve">Cámaras de seguridad</t>
        </is>
      </c>
      <c r="E173" s="4" t="inlineStr">
        <is>
          <t xml:space="preserve">Equipos y suministros de defensa, orden público, protección y seguridad / Seguridad, vigilancia y detección / Equipo de vigilancia y detección</t>
        </is>
      </c>
      <c r="F173" s="0">
        <v>1.0</v>
      </c>
      <c r="G173" s="0" t="inlineStr">
        <is>
          <t xml:space="preserve">Unidad</t>
        </is>
      </c>
      <c r="H173" s="4" t="inlineStr">
        <is>
          <t xml:space="preserve">ítem 2: Servidor de gestión de video.</t>
        </is>
      </c>
    </row>
    <row r="174">
      <c r="A174" s="0" t="inlineStr">
        <is>
          <t xml:space="preserve">2563-43-LP26</t>
        </is>
      </c>
      <c r="B174" s="4" t="inlineStr">
        <is>
          <t xml:space="preserve">Adquisición de cámaras IA y radares de seguridad</t>
        </is>
      </c>
      <c r="C174" s="0">
        <v>4</v>
      </c>
      <c r="D174" s="4" t="inlineStr">
        <is>
          <t xml:space="preserve">Cámaras de seguridad</t>
        </is>
      </c>
      <c r="E174" s="4" t="inlineStr">
        <is>
          <t xml:space="preserve">Equipos y suministros de defensa, orden público, protección y seguridad / Seguridad, vigilancia y detección / Equipo de vigilancia y detección</t>
        </is>
      </c>
      <c r="F174" s="0">
        <v>2.0</v>
      </c>
      <c r="G174" s="0" t="inlineStr">
        <is>
          <t xml:space="preserve">Unidad</t>
        </is>
      </c>
      <c r="H174"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75">
      <c r="A175" s="0" t="inlineStr">
        <is>
          <t xml:space="preserve">2563-43-LP26</t>
        </is>
      </c>
      <c r="B175" s="4" t="inlineStr">
        <is>
          <t xml:space="preserve">Adquisición de cámaras IA y radares de seguridad</t>
        </is>
      </c>
      <c r="C175" s="0">
        <v>5</v>
      </c>
      <c r="D175" s="4" t="inlineStr">
        <is>
          <t xml:space="preserve">Cámaras de seguridad</t>
        </is>
      </c>
      <c r="E175" s="4" t="inlineStr">
        <is>
          <t xml:space="preserve">Equipos y suministros de defensa, orden público, protección y seguridad / Seguridad, vigilancia y detección / Equipo de vigilancia y detección</t>
        </is>
      </c>
      <c r="F175" s="0">
        <v>2.0</v>
      </c>
      <c r="G175" s="0" t="inlineStr">
        <is>
          <t xml:space="preserve">Unidad</t>
        </is>
      </c>
      <c r="H175"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76">
      <c r="A176" s="0" t="inlineStr">
        <is>
          <t xml:space="preserve">2563-43-LP26</t>
        </is>
      </c>
      <c r="B176" s="4" t="inlineStr">
        <is>
          <t xml:space="preserve">Adquisición de cámaras IA y radares de seguridad</t>
        </is>
      </c>
      <c r="C176" s="0">
        <v>6</v>
      </c>
      <c r="D176" s="4" t="inlineStr">
        <is>
          <t xml:space="preserve">Cámaras de seguridad</t>
        </is>
      </c>
      <c r="E176" s="4" t="inlineStr">
        <is>
          <t xml:space="preserve">Equipos y suministros de defensa, orden público, protección y seguridad / Seguridad, vigilancia y detección / Equipo de vigilancia y detección</t>
        </is>
      </c>
      <c r="F176" s="0">
        <v>6.0</v>
      </c>
      <c r="G176" s="0" t="inlineStr">
        <is>
          <t xml:space="preserve">Unidad</t>
        </is>
      </c>
      <c r="H176"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77">
      <c r="A177" s="0" t="inlineStr">
        <is>
          <t xml:space="preserve">2563-43-LP26</t>
        </is>
      </c>
      <c r="B177" s="4" t="inlineStr">
        <is>
          <t xml:space="preserve">Adquisición de cámaras IA y radares de seguridad</t>
        </is>
      </c>
      <c r="C177" s="0">
        <v>7</v>
      </c>
      <c r="D177" s="4" t="inlineStr">
        <is>
          <t xml:space="preserve">Cámaras de seguridad</t>
        </is>
      </c>
      <c r="E177" s="4" t="inlineStr">
        <is>
          <t xml:space="preserve">Equipos y suministros de defensa, orden público, protección y seguridad / Seguridad, vigilancia y detección / Equipo de vigilancia y detección</t>
        </is>
      </c>
      <c r="F177" s="0">
        <v>6.0</v>
      </c>
      <c r="G177" s="0" t="inlineStr">
        <is>
          <t xml:space="preserve">Unidad</t>
        </is>
      </c>
      <c r="H177"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78">
      <c r="A178" s="0" t="inlineStr">
        <is>
          <t xml:space="preserve">2563-43-LP26</t>
        </is>
      </c>
      <c r="B178" s="4" t="inlineStr">
        <is>
          <t xml:space="preserve">Adquisición de cámaras IA y radares de seguridad</t>
        </is>
      </c>
      <c r="C178" s="0">
        <v>8</v>
      </c>
      <c r="D178" s="4" t="inlineStr">
        <is>
          <t xml:space="preserve">Cámaras de seguridad</t>
        </is>
      </c>
      <c r="E178" s="4" t="inlineStr">
        <is>
          <t xml:space="preserve">Equipos y suministros de defensa, orden público, protección y seguridad / Seguridad, vigilancia y detección / Equipo de vigilancia y detección</t>
        </is>
      </c>
      <c r="F178" s="0">
        <v>1.0</v>
      </c>
      <c r="G178" s="0" t="inlineStr">
        <is>
          <t xml:space="preserve">Unidad</t>
        </is>
      </c>
      <c r="H178"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79">
      <c r="A179" s="0" t="inlineStr">
        <is>
          <t xml:space="preserve">2563-43-LP26</t>
        </is>
      </c>
      <c r="B179" s="4" t="inlineStr">
        <is>
          <t xml:space="preserve">Adquisición de cámaras IA y radares de seguridad</t>
        </is>
      </c>
      <c r="C179" s="0">
        <v>9</v>
      </c>
      <c r="D179" s="4" t="inlineStr">
        <is>
          <t xml:space="preserve">Cámaras de seguridad</t>
        </is>
      </c>
      <c r="E179" s="4" t="inlineStr">
        <is>
          <t xml:space="preserve">Equipos y suministros de defensa, orden público, protección y seguridad / Seguridad, vigilancia y detección / Equipo de vigilancia y detección</t>
        </is>
      </c>
      <c r="F179" s="0">
        <v>8.0</v>
      </c>
      <c r="G179" s="0" t="inlineStr">
        <is>
          <t xml:space="preserve">Unidad</t>
        </is>
      </c>
      <c r="H179"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80">
      <c r="A180" s="0" t="inlineStr">
        <is>
          <t xml:space="preserve">2563-43-LP26</t>
        </is>
      </c>
      <c r="B180" s="4" t="inlineStr">
        <is>
          <t xml:space="preserve">Adquisición de cámaras IA y radares de seguridad</t>
        </is>
      </c>
      <c r="C180" s="0">
        <v>10</v>
      </c>
      <c r="D180" s="4" t="inlineStr">
        <is>
          <t xml:space="preserve">Cámaras de seguridad</t>
        </is>
      </c>
      <c r="E180" s="4" t="inlineStr">
        <is>
          <t xml:space="preserve">Equipos y suministros de defensa, orden público, protección y seguridad / Seguridad, vigilancia y detección / Equipo de vigilancia y detección</t>
        </is>
      </c>
      <c r="F180" s="0">
        <v>1.0</v>
      </c>
      <c r="G180" s="0" t="inlineStr">
        <is>
          <t xml:space="preserve">Unidad</t>
        </is>
      </c>
      <c r="H180"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81">
      <c r="A181" s="0" t="inlineStr">
        <is>
          <t xml:space="preserve">2563-43-LP26</t>
        </is>
      </c>
      <c r="B181" s="4" t="inlineStr">
        <is>
          <t xml:space="preserve">Adquisición de cámaras IA y radares de seguridad</t>
        </is>
      </c>
      <c r="C181" s="0">
        <v>11</v>
      </c>
      <c r="D181" s="4" t="inlineStr">
        <is>
          <t xml:space="preserve">Cámaras de seguridad</t>
        </is>
      </c>
      <c r="E181" s="4" t="inlineStr">
        <is>
          <t xml:space="preserve">Equipos y suministros de defensa, orden público, protección y seguridad / Seguridad, vigilancia y detección / Equipo de vigilancia y detección</t>
        </is>
      </c>
      <c r="F181" s="0">
        <v>1.0</v>
      </c>
      <c r="G181" s="0" t="inlineStr">
        <is>
          <t xml:space="preserve">Unidad</t>
        </is>
      </c>
      <c r="H181"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182">
      <c r="A182" s="0" t="inlineStr">
        <is>
          <t xml:space="preserve">2563-43-LP26</t>
        </is>
      </c>
      <c r="B182" s="4" t="inlineStr">
        <is>
          <t xml:space="preserve">Adquisición de cámaras IA y radares de seguridad</t>
        </is>
      </c>
      <c r="C182" s="0">
        <v>12</v>
      </c>
      <c r="D182" s="4" t="inlineStr">
        <is>
          <t xml:space="preserve">Cámaras de seguridad</t>
        </is>
      </c>
      <c r="E182" s="4" t="inlineStr">
        <is>
          <t xml:space="preserve">Equipos y suministros de defensa, orden público, protección y seguridad / Seguridad, vigilancia y detección / Equipo de vigilancia y detección</t>
        </is>
      </c>
      <c r="F182" s="0">
        <v>2.0</v>
      </c>
      <c r="G182" s="0" t="inlineStr">
        <is>
          <t xml:space="preserve">Unidad</t>
        </is>
      </c>
      <c r="H182"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83">
      <c r="A183" s="0" t="inlineStr">
        <is>
          <t xml:space="preserve">2563-43-LP26</t>
        </is>
      </c>
      <c r="B183" s="4" t="inlineStr">
        <is>
          <t xml:space="preserve">Adquisición de cámaras IA y radares de seguridad</t>
        </is>
      </c>
      <c r="C183" s="0">
        <v>13</v>
      </c>
      <c r="D183" s="4" t="inlineStr">
        <is>
          <t xml:space="preserve">Cámaras de seguridad</t>
        </is>
      </c>
      <c r="E183" s="4" t="inlineStr">
        <is>
          <t xml:space="preserve">Equipos y suministros de defensa, orden público, protección y seguridad / Seguridad, vigilancia y detección / Equipo de vigilancia y detección</t>
        </is>
      </c>
      <c r="F183" s="0">
        <v>2.0</v>
      </c>
      <c r="G183" s="0" t="inlineStr">
        <is>
          <t xml:space="preserve">Unidad</t>
        </is>
      </c>
      <c r="H183"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184">
      <c r="A184" s="0" t="inlineStr">
        <is>
          <t xml:space="preserve">2563-43-LP26</t>
        </is>
      </c>
      <c r="B184" s="4" t="inlineStr">
        <is>
          <t xml:space="preserve">Adquisición de cámaras IA y radares de seguridad</t>
        </is>
      </c>
      <c r="C184" s="0">
        <v>14</v>
      </c>
      <c r="D184" s="4" t="inlineStr">
        <is>
          <t xml:space="preserve">Cámaras de seguridad</t>
        </is>
      </c>
      <c r="E184" s="4" t="inlineStr">
        <is>
          <t xml:space="preserve">Equipos y suministros de defensa, orden público, protección y seguridad / Seguridad, vigilancia y detección / Equipo de vigilancia y detección</t>
        </is>
      </c>
      <c r="F184" s="0">
        <v>2.0</v>
      </c>
      <c r="G184" s="0" t="inlineStr">
        <is>
          <t xml:space="preserve">Unidad</t>
        </is>
      </c>
      <c r="H184"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185">
      <c r="A185" s="0" t="inlineStr">
        <is>
          <t xml:space="preserve">2563-43-LP26</t>
        </is>
      </c>
      <c r="B185" s="4" t="inlineStr">
        <is>
          <t xml:space="preserve">Adquisición de cámaras IA y radares de seguridad</t>
        </is>
      </c>
      <c r="C185" s="0">
        <v>15</v>
      </c>
      <c r="D185" s="4" t="inlineStr">
        <is>
          <t xml:space="preserve">Cámaras de seguridad</t>
        </is>
      </c>
      <c r="E185" s="4" t="inlineStr">
        <is>
          <t xml:space="preserve">Equipos y suministros de defensa, orden público, protección y seguridad / Seguridad, vigilancia y detección / Equipo de vigilancia y detección</t>
        </is>
      </c>
      <c r="F185" s="0">
        <v>1.0</v>
      </c>
      <c r="G185" s="0" t="inlineStr">
        <is>
          <t xml:space="preserve">Unidad</t>
        </is>
      </c>
      <c r="H185"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186">
      <c r="A186" s="0" t="inlineStr">
        <is>
          <t xml:space="preserve">514862-125-LR26</t>
        </is>
      </c>
      <c r="B186" s="4" t="inlineStr">
        <is>
          <t xml:space="preserve">10032938 PLATAFORMA DE AGENDAMIENTO TELECONSULTAS</t>
        </is>
      </c>
      <c r="C186" s="0">
        <v>1</v>
      </c>
      <c r="D186" s="4" t="inlineStr">
        <is>
          <t xml:space="preserve">Servicios de transformación de datos</t>
        </is>
      </c>
      <c r="E186" s="4" t="inlineStr">
        <is>
          <t xml:space="preserve">Servicios basados en ingeniería, ciencias sociales y tecnología de la información / Servicios informáticos / Servicios de datos</t>
        </is>
      </c>
      <c r="F186" s="0">
        <v>1.0</v>
      </c>
      <c r="G186" s="0" t="inlineStr">
        <is>
          <t xml:space="preserve">Unidad</t>
        </is>
      </c>
      <c r="H186" s="4" t="inlineStr">
        <is>
          <t xml:space="preserve">PLATAFORMA INTEGRAL DE AGENDAMIENTO, TELECONSULTAS Y GESTIÓN DE FILAS PARA LA ATENCIÓN</t>
        </is>
      </c>
    </row>
    <row r="187">
      <c r="A187" s="0" t="inlineStr">
        <is>
          <t xml:space="preserve">869591-12-LP26</t>
        </is>
      </c>
      <c r="B187" s="4" t="inlineStr">
        <is>
          <t xml:space="preserve">CONTRATACIÓN DE PLATAFORMA DE GESTIÓN DOCUMENTAL EXPEDIENTE ELECTRÓNICO Y GESTIÓN DE PROCESOS</t>
        </is>
      </c>
      <c r="C187" s="0">
        <v>1</v>
      </c>
      <c r="D187" s="4" t="inlineStr">
        <is>
          <t xml:space="preserve">Programas de gestión de documentos</t>
        </is>
      </c>
      <c r="E187" s="4" t="inlineStr">
        <is>
          <t xml:space="preserve">Tecnologías de la información, telecomunicaciones y radiodifusión / Software / Software de gestión de contenidos</t>
        </is>
      </c>
      <c r="F187" s="0">
        <v>1.0</v>
      </c>
      <c r="G187" s="0" t="inlineStr">
        <is>
          <t xml:space="preserve">Unidad</t>
        </is>
      </c>
      <c r="H187" s="4" t="inlineStr">
        <is>
          <t xml:space="preserve">CONTRATACIÓN DE PLATAFORMA DE GESTIÓN DOCUMENTAL, EXPEDIENTE ELECTRÓNICO Y GESTIÓN DE PROCESOS PARA LA DIRECCIÓN DE COMPRAS Y CONTRATACIÓN PÚBLICA</t>
        </is>
      </c>
    </row>
    <row r="188">
      <c r="A188" s="0" t="inlineStr">
        <is>
          <t xml:space="preserve">3000-34-LE26</t>
        </is>
      </c>
      <c r="B188" s="4" t="inlineStr">
        <is>
          <t xml:space="preserve">Relojes Control de Asistencia Software de Gestión</t>
        </is>
      </c>
      <c r="C188" s="0">
        <v>1</v>
      </c>
      <c r="D188" s="4" t="inlineStr">
        <is>
          <t xml:space="preserve">Reloj de control</t>
        </is>
      </c>
      <c r="E188" s="4" t="inlineStr">
        <is>
          <t xml:space="preserve">Equipos, accesorios y suministros de oficina / Maquinarias, suministros y accesorios de oficina / Máquinas y accesorios para registro de hora y asistencia en la oficina</t>
        </is>
      </c>
      <c r="F188" s="0">
        <v>20.0</v>
      </c>
      <c r="G188" s="0" t="inlineStr">
        <is>
          <t xml:space="preserve">Unidad</t>
        </is>
      </c>
      <c r="H188" s="4" t="inlineStr">
        <is>
          <t xml:space="preserve">Reloj Control de Asistencia Municipal, según lo indicado en Bases y TTR e Licitación</t>
        </is>
      </c>
    </row>
    <row r="189">
      <c r="A189" s="0" t="inlineStr">
        <is>
          <t xml:space="preserve">3000-34-LE26</t>
        </is>
      </c>
      <c r="B189" s="4" t="inlineStr">
        <is>
          <t xml:space="preserve">Relojes Control de Asistencia Software de Gestión</t>
        </is>
      </c>
      <c r="C189" s="0">
        <v>2</v>
      </c>
      <c r="D189" s="4" t="inlineStr">
        <is>
          <t xml:space="preserve">Reloj de control</t>
        </is>
      </c>
      <c r="E189" s="4" t="inlineStr">
        <is>
          <t xml:space="preserve">Equipos, accesorios y suministros de oficina / Maquinarias, suministros y accesorios de oficina / Máquinas y accesorios para registro de hora y asistencia en la oficina</t>
        </is>
      </c>
      <c r="F189" s="0">
        <v>1.0</v>
      </c>
      <c r="G189" s="0" t="inlineStr">
        <is>
          <t xml:space="preserve">Global</t>
        </is>
      </c>
      <c r="H189" s="4" t="inlineStr">
        <is>
          <t xml:space="preserve">Software de Reloj Control de Asistencia Municipal, según lo indicado en Bases y TTR e Licitación</t>
        </is>
      </c>
    </row>
    <row r="190">
      <c r="A190" s="0" t="inlineStr">
        <is>
          <t xml:space="preserve">3000-34-LE26</t>
        </is>
      </c>
      <c r="B190" s="4" t="inlineStr">
        <is>
          <t xml:space="preserve">Relojes Control de Asistencia Software de Gestión</t>
        </is>
      </c>
      <c r="C190" s="0">
        <v>3</v>
      </c>
      <c r="D190" s="4" t="inlineStr">
        <is>
          <t xml:space="preserve">Reloj de control</t>
        </is>
      </c>
      <c r="E190" s="4" t="inlineStr">
        <is>
          <t xml:space="preserve">Equipos, accesorios y suministros de oficina / Maquinarias, suministros y accesorios de oficina / Máquinas y accesorios para registro de hora y asistencia en la oficina</t>
        </is>
      </c>
      <c r="F190" s="0">
        <v>1.0</v>
      </c>
      <c r="G190" s="0" t="inlineStr">
        <is>
          <t xml:space="preserve">Unidad</t>
        </is>
      </c>
      <c r="H190" s="4" t="inlineStr">
        <is>
          <t xml:space="preserve">Capacitación Software y Reloj Control de Asistencia Municipal, según lo indicado en Bases y TTR e Licitación</t>
        </is>
      </c>
    </row>
    <row r="191">
      <c r="A191" s="0" t="inlineStr">
        <is>
          <t xml:space="preserve">3000-34-LE26</t>
        </is>
      </c>
      <c r="B191" s="4" t="inlineStr">
        <is>
          <t xml:space="preserve">Relojes Control de Asistencia Software de Gestión</t>
        </is>
      </c>
      <c r="C191" s="0">
        <v>4</v>
      </c>
      <c r="D191" s="4" t="inlineStr">
        <is>
          <t xml:space="preserve">Reloj de control</t>
        </is>
      </c>
      <c r="E191" s="4" t="inlineStr">
        <is>
          <t xml:space="preserve">Equipos, accesorios y suministros de oficina / Maquinarias, suministros y accesorios de oficina / Máquinas y accesorios para registro de hora y asistencia en la oficina</t>
        </is>
      </c>
      <c r="F191" s="0">
        <v>6.0</v>
      </c>
      <c r="G191" s="0" t="inlineStr">
        <is>
          <t xml:space="preserve">Unidad</t>
        </is>
      </c>
      <c r="H191" s="4" t="inlineStr">
        <is>
          <t xml:space="preserve">Reloj Control de Asistencia Dpto. Salud, según lo indicado en Bases y TTR e Licitación</t>
        </is>
      </c>
    </row>
    <row r="192">
      <c r="A192" s="0" t="inlineStr">
        <is>
          <t xml:space="preserve">3000-34-LE26</t>
        </is>
      </c>
      <c r="B192" s="4" t="inlineStr">
        <is>
          <t xml:space="preserve">Relojes Control de Asistencia Software de Gestión</t>
        </is>
      </c>
      <c r="C192" s="0">
        <v>5</v>
      </c>
      <c r="D192" s="4" t="inlineStr">
        <is>
          <t xml:space="preserve">Reloj de control</t>
        </is>
      </c>
      <c r="E192" s="4" t="inlineStr">
        <is>
          <t xml:space="preserve">Equipos, accesorios y suministros de oficina / Maquinarias, suministros y accesorios de oficina / Máquinas y accesorios para registro de hora y asistencia en la oficina</t>
        </is>
      </c>
      <c r="F192" s="0">
        <v>1.0</v>
      </c>
      <c r="G192" s="0" t="inlineStr">
        <is>
          <t xml:space="preserve">Global</t>
        </is>
      </c>
      <c r="H192" s="4" t="inlineStr">
        <is>
          <t xml:space="preserve">Software de Reloj Control de Asistencia Dpto. Salud, según lo indicado en Bases y TTR e Licitación</t>
        </is>
      </c>
    </row>
    <row r="193">
      <c r="A193" s="0" t="inlineStr">
        <is>
          <t xml:space="preserve">3000-34-LE26</t>
        </is>
      </c>
      <c r="B193" s="4" t="inlineStr">
        <is>
          <t xml:space="preserve">Relojes Control de Asistencia Software de Gestión</t>
        </is>
      </c>
      <c r="C193" s="0">
        <v>6</v>
      </c>
      <c r="D193" s="4" t="inlineStr">
        <is>
          <t xml:space="preserve">Reloj de control</t>
        </is>
      </c>
      <c r="E193" s="4" t="inlineStr">
        <is>
          <t xml:space="preserve">Equipos, accesorios y suministros de oficina / Maquinarias, suministros y accesorios de oficina / Máquinas y accesorios para registro de hora y asistencia en la oficina</t>
        </is>
      </c>
      <c r="F193" s="0">
        <v>1.0</v>
      </c>
      <c r="G193" s="0" t="inlineStr">
        <is>
          <t xml:space="preserve">Unidad</t>
        </is>
      </c>
      <c r="H193" s="4" t="inlineStr">
        <is>
          <t xml:space="preserve">Capacitación Software y Reloj Control de Asistencia Dpto. Salud, según lo indicado en Bases y TTR e Licitación</t>
        </is>
      </c>
    </row>
    <row r="194">
      <c r="A194" s="0" t="inlineStr">
        <is>
          <t xml:space="preserve">1057549-8-LE26</t>
        </is>
      </c>
      <c r="B194" s="4" t="inlineStr">
        <is>
          <t xml:space="preserve">CONVENIO FOTOCOPIADO IMPRESIÓN Y DIGITALIZACIÓN</t>
        </is>
      </c>
      <c r="C194" s="0">
        <v>1</v>
      </c>
      <c r="D194" s="4" t="inlineStr">
        <is>
          <t xml:space="preserve">Impresión digital</t>
        </is>
      </c>
      <c r="E194" s="4" t="inlineStr">
        <is>
          <t xml:space="preserve">Servicios editoriales, de diseño, publicidad, gráficos y artistas / Servicios de impresión y reproducción / Impresión</t>
        </is>
      </c>
      <c r="F194" s="0">
        <v>1.0</v>
      </c>
      <c r="G194" s="0" t="inlineStr">
        <is>
          <t xml:space="preserve">Unidad</t>
        </is>
      </c>
      <c r="H194" s="4" t="inlineStr">
        <is>
          <t xml:space="preserve">Servicio de Fotocopiado, Impresión y Digitalización con entrega de Equipos</t>
        </is>
      </c>
    </row>
    <row r="195">
      <c r="A195" s="0" t="inlineStr">
        <is>
          <t xml:space="preserve">425-65-LR26</t>
        </is>
      </c>
      <c r="B195" s="4" t="inlineStr">
        <is>
          <t xml:space="preserve">Renovación de licencias y servicio de administración de software Falcon Crowdstrike EDR para el Poder Judicial</t>
        </is>
      </c>
      <c r="C195" s="0">
        <v>1</v>
      </c>
      <c r="D195" s="4" t="inlineStr">
        <is>
          <t xml:space="preserve">Software de gestión de licencias</t>
        </is>
      </c>
      <c r="E195" s="4" t="inlineStr">
        <is>
          <t xml:space="preserve">Tecnologías de la información, telecomunicaciones y radiodifusión / Software / Software de gestión</t>
        </is>
      </c>
      <c r="F195" s="0">
        <v>1.0</v>
      </c>
      <c r="G195" s="0" t="inlineStr">
        <is>
          <t xml:space="preserve">Global</t>
        </is>
      </c>
      <c r="H195" s="4" t="inlineStr">
        <is>
          <t xml:space="preserve">Ítem 4 LICENCIAS FALCON CROWDSTRIKE EDR. Valor total neto del ítem según Formulario Económico N°1 (en caso de discrepancia entre el valor del portal y el formulario primará este último).</t>
        </is>
      </c>
    </row>
    <row r="196">
      <c r="A196" s="0" t="inlineStr">
        <is>
          <t xml:space="preserve">425-65-LR26</t>
        </is>
      </c>
      <c r="B196" s="4" t="inlineStr">
        <is>
          <t xml:space="preserve">Renovación de licencias y servicio de administración de software Falcon Crowdstrike EDR para el Poder Judicial</t>
        </is>
      </c>
      <c r="C196" s="0">
        <v>2</v>
      </c>
      <c r="D196" s="4" t="inlineStr">
        <is>
          <t xml:space="preserve">Software de gestión de licencias</t>
        </is>
      </c>
      <c r="E196" s="4" t="inlineStr">
        <is>
          <t xml:space="preserve">Tecnologías de la información, telecomunicaciones y radiodifusión / Software / Software de gestión</t>
        </is>
      </c>
      <c r="F196" s="0">
        <v>1.0</v>
      </c>
      <c r="G196" s="0" t="inlineStr">
        <is>
          <t xml:space="preserve">Global</t>
        </is>
      </c>
      <c r="H196" s="4" t="inlineStr">
        <is>
          <t xml:space="preserve">Ítem 1 LICENCIAS FALCON CROWDSTRIKE EDR. Valor total neto del ítem según Formulario Económico N°1 (en caso de discrepancia entre el valor del portal y el formulario primará este último).</t>
        </is>
      </c>
    </row>
    <row r="197">
      <c r="A197" s="0" t="inlineStr">
        <is>
          <t xml:space="preserve">425-65-LR26</t>
        </is>
      </c>
      <c r="B197" s="4" t="inlineStr">
        <is>
          <t xml:space="preserve">Renovación de licencias y servicio de administración de software Falcon Crowdstrike EDR para el Poder Judicial</t>
        </is>
      </c>
      <c r="C197" s="0">
        <v>3</v>
      </c>
      <c r="D197" s="4" t="inlineStr">
        <is>
          <t xml:space="preserve">Software de gestión de licencias</t>
        </is>
      </c>
      <c r="E197" s="4" t="inlineStr">
        <is>
          <t xml:space="preserve">Tecnologías de la información, telecomunicaciones y radiodifusión / Software / Software de gestión</t>
        </is>
      </c>
      <c r="F197" s="0">
        <v>1.0</v>
      </c>
      <c r="G197" s="0" t="inlineStr">
        <is>
          <t xml:space="preserve">Global</t>
        </is>
      </c>
      <c r="H197" s="4" t="inlineStr">
        <is>
          <t xml:space="preserve">Ítem 2 LICENCIAS FALCON CROWDSTRIKE EDR. Valor total neto del ítem según Formulario Económico N°1 (en caso de discrepancia entre el valor del portal y el formulario primará este último).</t>
        </is>
      </c>
    </row>
    <row r="198">
      <c r="A198" s="0" t="inlineStr">
        <is>
          <t xml:space="preserve">425-65-LR26</t>
        </is>
      </c>
      <c r="B198" s="4" t="inlineStr">
        <is>
          <t xml:space="preserve">Renovación de licencias y servicio de administración de software Falcon Crowdstrike EDR para el Poder Judicial</t>
        </is>
      </c>
      <c r="C198" s="0">
        <v>4</v>
      </c>
      <c r="D198" s="4" t="inlineStr">
        <is>
          <t xml:space="preserve">Software de gestión de licencias</t>
        </is>
      </c>
      <c r="E198" s="4" t="inlineStr">
        <is>
          <t xml:space="preserve">Tecnologías de la información, telecomunicaciones y radiodifusión / Software / Software de gestión</t>
        </is>
      </c>
      <c r="F198" s="0">
        <v>1.0</v>
      </c>
      <c r="G198" s="0" t="inlineStr">
        <is>
          <t xml:space="preserve">Global</t>
        </is>
      </c>
      <c r="H198" s="4" t="inlineStr">
        <is>
          <t xml:space="preserve">Ítem 3 LICENCIAS FALCON CROWDSTRIKE EDR. Valor total neto del ítem según Formulario Económico N°1 (en caso de discrepancia entre el valor del portal y el formulario primará este último).</t>
        </is>
      </c>
    </row>
    <row r="199">
      <c r="A199" s="0" t="inlineStr">
        <is>
          <t xml:space="preserve">425-65-LR26</t>
        </is>
      </c>
      <c r="B199" s="4" t="inlineStr">
        <is>
          <t xml:space="preserve">Renovación de licencias y servicio de administración de software Falcon Crowdstrike EDR para el Poder Judicial</t>
        </is>
      </c>
      <c r="C199" s="0">
        <v>5</v>
      </c>
      <c r="D199" s="4" t="inlineStr">
        <is>
          <t xml:space="preserve">Software de gestión de licencias</t>
        </is>
      </c>
      <c r="E199" s="4" t="inlineStr">
        <is>
          <t xml:space="preserve">Tecnologías de la información, telecomunicaciones y radiodifusión / Software / Software de gestión</t>
        </is>
      </c>
      <c r="F199" s="0">
        <v>1.0</v>
      </c>
      <c r="G199" s="0" t="inlineStr">
        <is>
          <t xml:space="preserve">Global</t>
        </is>
      </c>
      <c r="H199" s="4" t="inlineStr">
        <is>
          <t xml:space="preserve">Ítem 5 Servicios de Administración
Falcon Crowdstrike. Valor total neto del ítem según Formulario Económico N°1 (en caso de discrepancia entre el valor del portal y el formulario primará este último).</t>
        </is>
      </c>
    </row>
    <row r="200">
      <c r="A200" s="0" t="inlineStr">
        <is>
          <t xml:space="preserve">1375758-7-LE26</t>
        </is>
      </c>
      <c r="B200" s="4" t="inlineStr">
        <is>
          <t xml:space="preserve">PLATAFORMA INTEGRAL PARA LA PLANIFICACIÓN CONTROL DE DOTACIÓN ESCOLAR Y GESTIÓN DE SOLICITUDES DE CONTRATACIÓN</t>
        </is>
      </c>
      <c r="C200" s="0">
        <v>1</v>
      </c>
      <c r="D200" s="4" t="inlineStr">
        <is>
          <t xml:space="preserve">Desarrollo de Aplicaciones de Recursos Empresariales (ERP)</t>
        </is>
      </c>
      <c r="E200" s="4" t="inlineStr">
        <is>
          <t xml:space="preserve">Servicios basados en ingeniería, ciencias sociales y tecnología de la información / Servicios informáticos / Ingeniería en computación e informática</t>
        </is>
      </c>
      <c r="F200" s="0">
        <v>24.0</v>
      </c>
      <c r="G200" s="0" t="inlineStr">
        <is>
          <t xml:space="preserve">Mes</t>
        </is>
      </c>
      <c r="H200" s="4" t="inlineStr">
        <is>
          <t xml:space="preserve">CONTRATACIÓN DE “PLATAFORMA INTEGRAL PARA LA PLANIFICACIÓN, CONTROL DE DOTACIÓN ESCOLAR Y GESTIÓN DE SOLICITUDES DE CONTRATACIÓN DEL SLEP SANTIAGO CENTRO”</t>
        </is>
      </c>
    </row>
    <row r="201">
      <c r="A201" s="0" t="inlineStr">
        <is>
          <t xml:space="preserve">2548-94-CO26</t>
        </is>
      </c>
      <c r="B201" s="4" t="inlineStr">
        <is>
          <t xml:space="preserve">PROVISIÓN DE AUDÍFONOS RETROAURICULARES DIGITALES</t>
        </is>
      </c>
      <c r="C201" s="0">
        <v>1</v>
      </c>
      <c r="D201" s="4" t="inlineStr">
        <is>
          <t xml:space="preserve">Audífonos para personas con discapacidad física</t>
        </is>
      </c>
      <c r="E201" s="4" t="inlineStr">
        <is>
          <t xml:space="preserve">Equipamiento y suministros médicos / Ayuda para personas con discapacidad / Artículos de ayuda para la comunicación de discapacitados</t>
        </is>
      </c>
      <c r="F201" s="0">
        <v>1.0</v>
      </c>
      <c r="G201" s="0" t="inlineStr">
        <is>
          <t xml:space="preserve">Unidad</t>
        </is>
      </c>
      <c r="H201" s="4" t="inlineStr">
        <is>
          <t xml:space="preserve">AUDÍFONOS RETROAURICULARES DIGITALES</t>
        </is>
      </c>
    </row>
    <row r="202">
      <c r="A202" s="0" t="inlineStr">
        <is>
          <t xml:space="preserve">1375757-32-LP26</t>
        </is>
      </c>
      <c r="B202" s="4" t="inlineStr">
        <is>
          <t xml:space="preserve">LICENCIAS DE SOFTWARE PARA SLEP DE PUELCHE</t>
        </is>
      </c>
      <c r="C202" s="0">
        <v>1</v>
      </c>
      <c r="D202" s="4" t="inlineStr">
        <is>
          <t xml:space="preserve">Software de gestión de licencias</t>
        </is>
      </c>
      <c r="E202" s="4" t="inlineStr">
        <is>
          <t xml:space="preserve">Tecnologías de la información, telecomunicaciones y radiodifusión / Software / Software de gestión</t>
        </is>
      </c>
      <c r="F202" s="0">
        <v>1.0</v>
      </c>
      <c r="G202" s="0" t="inlineStr">
        <is>
          <t xml:space="preserve">Global</t>
        </is>
      </c>
      <c r="H202" s="4" t="inlineStr">
        <is>
          <t xml:space="preserve">Autodesk AutoCAD LT</t>
        </is>
      </c>
    </row>
    <row r="203">
      <c r="A203" s="0" t="inlineStr">
        <is>
          <t xml:space="preserve">1375757-32-LP26</t>
        </is>
      </c>
      <c r="B203" s="4" t="inlineStr">
        <is>
          <t xml:space="preserve">LICENCIAS DE SOFTWARE PARA SLEP DE PUELCHE</t>
        </is>
      </c>
      <c r="C203" s="0">
        <v>2</v>
      </c>
      <c r="D203" s="4" t="inlineStr">
        <is>
          <t xml:space="preserve">Software de gestión de licencias</t>
        </is>
      </c>
      <c r="E203" s="4" t="inlineStr">
        <is>
          <t xml:space="preserve">Tecnologías de la información, telecomunicaciones y radiodifusión / Software / Software de gestión</t>
        </is>
      </c>
      <c r="F203" s="0">
        <v>1.0</v>
      </c>
      <c r="G203" s="0" t="inlineStr">
        <is>
          <t xml:space="preserve">Global</t>
        </is>
      </c>
      <c r="H203" s="4" t="inlineStr">
        <is>
          <t xml:space="preserve">AutoCAD - including specialized toolsets (versión completa)</t>
        </is>
      </c>
    </row>
    <row r="204">
      <c r="A204" s="0" t="inlineStr">
        <is>
          <t xml:space="preserve">1375757-32-LP26</t>
        </is>
      </c>
      <c r="B204" s="4" t="inlineStr">
        <is>
          <t xml:space="preserve">LICENCIAS DE SOFTWARE PARA SLEP DE PUELCHE</t>
        </is>
      </c>
      <c r="C204" s="0">
        <v>3</v>
      </c>
      <c r="D204" s="4" t="inlineStr">
        <is>
          <t xml:space="preserve">Software de gestión de licencias</t>
        </is>
      </c>
      <c r="E204" s="4" t="inlineStr">
        <is>
          <t xml:space="preserve">Tecnologías de la información, telecomunicaciones y radiodifusión / Software / Software de gestión</t>
        </is>
      </c>
      <c r="F204" s="0">
        <v>1.0</v>
      </c>
      <c r="G204" s="0" t="inlineStr">
        <is>
          <t xml:space="preserve">Global</t>
        </is>
      </c>
      <c r="H204" s="4" t="inlineStr">
        <is>
          <t xml:space="preserve">Autodesk Revit o similar o superior</t>
        </is>
      </c>
    </row>
    <row r="205">
      <c r="A205" s="0" t="inlineStr">
        <is>
          <t xml:space="preserve">1375757-32-LP26</t>
        </is>
      </c>
      <c r="B205" s="4" t="inlineStr">
        <is>
          <t xml:space="preserve">LICENCIAS DE SOFTWARE PARA SLEP DE PUELCHE</t>
        </is>
      </c>
      <c r="C205" s="0">
        <v>4</v>
      </c>
      <c r="D205" s="4" t="inlineStr">
        <is>
          <t xml:space="preserve">Software de gestión de licencias</t>
        </is>
      </c>
      <c r="E205" s="4" t="inlineStr">
        <is>
          <t xml:space="preserve">Tecnologías de la información, telecomunicaciones y radiodifusión / Software / Software de gestión</t>
        </is>
      </c>
      <c r="F205" s="0">
        <v>1.0</v>
      </c>
      <c r="G205" s="0" t="inlineStr">
        <is>
          <t xml:space="preserve">Global</t>
        </is>
      </c>
      <c r="H205" s="4" t="inlineStr">
        <is>
          <t xml:space="preserve">SketchUp Pro o similar o superior</t>
        </is>
      </c>
    </row>
    <row r="206">
      <c r="A206" s="0" t="inlineStr">
        <is>
          <t xml:space="preserve">1375757-32-LP26</t>
        </is>
      </c>
      <c r="B206" s="4" t="inlineStr">
        <is>
          <t xml:space="preserve">LICENCIAS DE SOFTWARE PARA SLEP DE PUELCHE</t>
        </is>
      </c>
      <c r="C206" s="0">
        <v>5</v>
      </c>
      <c r="D206" s="4" t="inlineStr">
        <is>
          <t xml:space="preserve">Software de gestión de licencias</t>
        </is>
      </c>
      <c r="E206" s="4" t="inlineStr">
        <is>
          <t xml:space="preserve">Tecnologías de la información, telecomunicaciones y radiodifusión / Software / Software de gestión</t>
        </is>
      </c>
      <c r="F206" s="0">
        <v>1.0</v>
      </c>
      <c r="G206" s="0" t="inlineStr">
        <is>
          <t xml:space="preserve">Global</t>
        </is>
      </c>
      <c r="H206" s="4" t="inlineStr">
        <is>
          <t xml:space="preserve">AnyDesk (mínimo 2 conexiones simultáneas)</t>
        </is>
      </c>
    </row>
    <row r="207">
      <c r="A207" s="0" t="inlineStr">
        <is>
          <t xml:space="preserve">1375757-32-LP26</t>
        </is>
      </c>
      <c r="B207" s="4" t="inlineStr">
        <is>
          <t xml:space="preserve">LICENCIAS DE SOFTWARE PARA SLEP DE PUELCHE</t>
        </is>
      </c>
      <c r="C207" s="0">
        <v>6</v>
      </c>
      <c r="D207" s="4" t="inlineStr">
        <is>
          <t xml:space="preserve">Software de gestión de licencias</t>
        </is>
      </c>
      <c r="E207" s="4" t="inlineStr">
        <is>
          <t xml:space="preserve">Tecnologías de la información, telecomunicaciones y radiodifusión / Software / Software de gestión</t>
        </is>
      </c>
      <c r="F207" s="0">
        <v>1.0</v>
      </c>
      <c r="G207" s="0" t="inlineStr">
        <is>
          <t xml:space="preserve">Global</t>
        </is>
      </c>
      <c r="H207" s="4" t="inlineStr">
        <is>
          <t xml:space="preserve">Adobe Creative Cloud Pro</t>
        </is>
      </c>
    </row>
    <row r="208">
      <c r="A208" s="0" t="inlineStr">
        <is>
          <t xml:space="preserve">1375757-32-LP26</t>
        </is>
      </c>
      <c r="B208" s="4" t="inlineStr">
        <is>
          <t xml:space="preserve">LICENCIAS DE SOFTWARE PARA SLEP DE PUELCHE</t>
        </is>
      </c>
      <c r="C208" s="0">
        <v>7</v>
      </c>
      <c r="D208" s="4" t="inlineStr">
        <is>
          <t xml:space="preserve">Software de gestión de licencias</t>
        </is>
      </c>
      <c r="E208" s="4" t="inlineStr">
        <is>
          <t xml:space="preserve">Tecnologías de la información, telecomunicaciones y radiodifusión / Software / Software de gestión</t>
        </is>
      </c>
      <c r="F208" s="0">
        <v>1.0</v>
      </c>
      <c r="G208" s="0" t="inlineStr">
        <is>
          <t xml:space="preserve">Global</t>
        </is>
      </c>
      <c r="H208" s="4" t="inlineStr">
        <is>
          <t xml:space="preserve">Planner and Project Plan 3 for faculty</t>
        </is>
      </c>
    </row>
    <row r="209">
      <c r="A209" s="0" t="inlineStr">
        <is>
          <t xml:space="preserve">1375757-32-LP26</t>
        </is>
      </c>
      <c r="B209" s="4" t="inlineStr">
        <is>
          <t xml:space="preserve">LICENCIAS DE SOFTWARE PARA SLEP DE PUELCHE</t>
        </is>
      </c>
      <c r="C209" s="0">
        <v>8</v>
      </c>
      <c r="D209" s="4" t="inlineStr">
        <is>
          <t xml:space="preserve">Software de gestión de licencias</t>
        </is>
      </c>
      <c r="E209" s="4" t="inlineStr">
        <is>
          <t xml:space="preserve">Tecnologías de la información, telecomunicaciones y radiodifusión / Software / Software de gestión</t>
        </is>
      </c>
      <c r="F209" s="0">
        <v>1.0</v>
      </c>
      <c r="G209" s="0" t="inlineStr">
        <is>
          <t xml:space="preserve">Global</t>
        </is>
      </c>
      <c r="H209" s="4" t="inlineStr">
        <is>
          <t xml:space="preserve">Freshworks (Mesa de Ayuda TI)</t>
        </is>
      </c>
    </row>
    <row r="210">
      <c r="A210" s="0" t="inlineStr">
        <is>
          <t xml:space="preserve">1375757-32-LP26</t>
        </is>
      </c>
      <c r="B210" s="4" t="inlineStr">
        <is>
          <t xml:space="preserve">LICENCIAS DE SOFTWARE PARA SLEP DE PUELCHE</t>
        </is>
      </c>
      <c r="C210" s="0">
        <v>9</v>
      </c>
      <c r="D210" s="4" t="inlineStr">
        <is>
          <t xml:space="preserve">Software de gestión de licencias</t>
        </is>
      </c>
      <c r="E210" s="4" t="inlineStr">
        <is>
          <t xml:space="preserve">Tecnologías de la información, telecomunicaciones y radiodifusión / Software / Software de gestión</t>
        </is>
      </c>
      <c r="F210" s="0">
        <v>1.0</v>
      </c>
      <c r="G210" s="0" t="inlineStr">
        <is>
          <t xml:space="preserve">Global</t>
        </is>
      </c>
      <c r="H210" s="4" t="inlineStr">
        <is>
          <t xml:space="preserve">Vectorworks o similar o superior</t>
        </is>
      </c>
    </row>
    <row r="211">
      <c r="A211" s="0" t="inlineStr">
        <is>
          <t xml:space="preserve">1375757-32-LP26</t>
        </is>
      </c>
      <c r="B211" s="4" t="inlineStr">
        <is>
          <t xml:space="preserve">LICENCIAS DE SOFTWARE PARA SLEP DE PUELCHE</t>
        </is>
      </c>
      <c r="C211" s="0">
        <v>10</v>
      </c>
      <c r="D211" s="4" t="inlineStr">
        <is>
          <t xml:space="preserve">Software de gestión de licencias</t>
        </is>
      </c>
      <c r="E211" s="4" t="inlineStr">
        <is>
          <t xml:space="preserve">Tecnologías de la información, telecomunicaciones y radiodifusión / Software / Software de gestión</t>
        </is>
      </c>
      <c r="F211" s="0">
        <v>1.0</v>
      </c>
      <c r="G211" s="0" t="inlineStr">
        <is>
          <t xml:space="preserve">Global</t>
        </is>
      </c>
      <c r="H211" s="4" t="inlineStr">
        <is>
          <t xml:space="preserve">Claude Max 20x o similar o superior</t>
        </is>
      </c>
    </row>
    <row r="212">
      <c r="A212" s="0" t="inlineStr">
        <is>
          <t xml:space="preserve">1375757-32-LP26</t>
        </is>
      </c>
      <c r="B212" s="4" t="inlineStr">
        <is>
          <t xml:space="preserve">LICENCIAS DE SOFTWARE PARA SLEP DE PUELCHE</t>
        </is>
      </c>
      <c r="C212" s="0">
        <v>11</v>
      </c>
      <c r="D212" s="4" t="inlineStr">
        <is>
          <t xml:space="preserve">Software de gestión de licencias</t>
        </is>
      </c>
      <c r="E212" s="4" t="inlineStr">
        <is>
          <t xml:space="preserve">Tecnologías de la información, telecomunicaciones y radiodifusión / Software / Software de gestión</t>
        </is>
      </c>
      <c r="F212" s="0">
        <v>1.0</v>
      </c>
      <c r="G212" s="0" t="inlineStr">
        <is>
          <t xml:space="preserve">Global</t>
        </is>
      </c>
      <c r="H212" s="4" t="inlineStr">
        <is>
          <t xml:space="preserve">ChatGPT Business</t>
        </is>
      </c>
    </row>
    <row r="213">
      <c r="A213" s="0" t="inlineStr">
        <is>
          <t xml:space="preserve">1375757-32-LP26</t>
        </is>
      </c>
      <c r="B213" s="4" t="inlineStr">
        <is>
          <t xml:space="preserve">LICENCIAS DE SOFTWARE PARA SLEP DE PUELCHE</t>
        </is>
      </c>
      <c r="C213" s="0">
        <v>12</v>
      </c>
      <c r="D213" s="4" t="inlineStr">
        <is>
          <t xml:space="preserve">Software de gestión de licencias</t>
        </is>
      </c>
      <c r="E213" s="4" t="inlineStr">
        <is>
          <t xml:space="preserve">Tecnologías de la información, telecomunicaciones y radiodifusión / Software / Software de gestión</t>
        </is>
      </c>
      <c r="F213" s="0">
        <v>1.0</v>
      </c>
      <c r="G213" s="0" t="inlineStr">
        <is>
          <t xml:space="preserve">Global</t>
        </is>
      </c>
      <c r="H213" s="4" t="inlineStr">
        <is>
          <t xml:space="preserve">ClickUp Business</t>
        </is>
      </c>
    </row>
    <row r="214">
      <c r="A214" s="0" t="inlineStr">
        <is>
          <t xml:space="preserve">1375757-32-LP26</t>
        </is>
      </c>
      <c r="B214" s="4" t="inlineStr">
        <is>
          <t xml:space="preserve">LICENCIAS DE SOFTWARE PARA SLEP DE PUELCHE</t>
        </is>
      </c>
      <c r="C214" s="0">
        <v>13</v>
      </c>
      <c r="D214" s="4" t="inlineStr">
        <is>
          <t xml:space="preserve">Software de gestión de licencias</t>
        </is>
      </c>
      <c r="E214" s="4" t="inlineStr">
        <is>
          <t xml:space="preserve">Tecnologías de la información, telecomunicaciones y radiodifusión / Software / Software de gestión</t>
        </is>
      </c>
      <c r="F214" s="0">
        <v>1.0</v>
      </c>
      <c r="G214" s="0" t="inlineStr">
        <is>
          <t xml:space="preserve">Global</t>
        </is>
      </c>
      <c r="H214" s="4" t="inlineStr">
        <is>
          <t xml:space="preserve">Microsoft Office LTSC Professional Plus 2024 o similar o superior (perpetua)</t>
        </is>
      </c>
    </row>
    <row r="215">
      <c r="A215" s="0" t="inlineStr">
        <is>
          <t xml:space="preserve">1389183-71-LE26</t>
        </is>
      </c>
      <c r="B215" s="4" t="inlineStr">
        <is>
          <t xml:space="preserve">PROGRAMAS INFORMATICOS PARA LICEOS TP</t>
        </is>
      </c>
      <c r="C215" s="0">
        <v>1</v>
      </c>
      <c r="D215" s="4" t="inlineStr">
        <is>
          <t xml:space="preserve">Programas de contabilidad</t>
        </is>
      </c>
      <c r="E215" s="4" t="inlineStr">
        <is>
          <t xml:space="preserve">Tecnologías de la información, telecomunicaciones y radiodifusión / Software / Software de planificación de recursos empresariales (ERP) y contabilidad financiera</t>
        </is>
      </c>
      <c r="F215" s="0">
        <v>1.0</v>
      </c>
      <c r="G215" s="0" t="inlineStr">
        <is>
          <t xml:space="preserve">Unidad</t>
        </is>
      </c>
      <c r="H215" s="4" t="inlineStr">
        <is>
          <t xml:space="preserve">PROGRAMAS INFORMATICOS PARA LICEO COMERCIAL ANDRES BELLO</t>
        </is>
      </c>
    </row>
    <row r="216">
      <c r="A216" s="0" t="inlineStr">
        <is>
          <t xml:space="preserve">1389183-71-LE26</t>
        </is>
      </c>
      <c r="B216" s="4" t="inlineStr">
        <is>
          <t xml:space="preserve">PROGRAMAS INFORMATICOS PARA LICEOS TP</t>
        </is>
      </c>
      <c r="C216" s="0">
        <v>2</v>
      </c>
      <c r="D216" s="4" t="inlineStr">
        <is>
          <t xml:space="preserve">Software de gestión de recursos humanos</t>
        </is>
      </c>
      <c r="E216" s="4" t="inlineStr">
        <is>
          <t xml:space="preserve">Tecnologías de la información, telecomunicaciones y radiodifusión / Software / Software de gestión</t>
        </is>
      </c>
      <c r="F216" s="0">
        <v>1.0</v>
      </c>
      <c r="G216" s="0" t="inlineStr">
        <is>
          <t xml:space="preserve">Unidad</t>
        </is>
      </c>
      <c r="H216" s="4" t="inlineStr">
        <is>
          <t xml:space="preserve">PROGRAMAS INFORMATICOS PARA LICEO EDUARDO FREI</t>
        </is>
      </c>
    </row>
    <row r="217">
      <c r="A217" s="0" t="inlineStr">
        <is>
          <t xml:space="preserve">4455-53-LE26</t>
        </is>
      </c>
      <c r="B217" s="4" t="inlineStr">
        <is>
          <t xml:space="preserve">SERVICIO ARRIENDO DE SOFWARE DE ASISTENCIA CLOUD</t>
        </is>
      </c>
      <c r="C217" s="0">
        <v>1</v>
      </c>
      <c r="D217" s="4" t="inlineStr">
        <is>
          <t xml:space="preserve">Reloj de control</t>
        </is>
      </c>
      <c r="E217" s="4" t="inlineStr">
        <is>
          <t xml:space="preserve">Equipos, accesorios y suministros de oficina / Maquinarias, suministros y accesorios de oficina / Máquinas y accesorios para registro de hora y asistencia en la oficina</t>
        </is>
      </c>
      <c r="F217" s="0">
        <v>1.0</v>
      </c>
      <c r="G217" s="0" t="inlineStr">
        <is>
          <t xml:space="preserve">Unidad</t>
        </is>
      </c>
      <c r="H217" s="4" t="inlineStr">
        <is>
          <t xml:space="preserve">Servicio Arriendo de SOFTWARE de Asistencia Cloud para Establecimientos Educacionales, Jardines, Salas Cunas de la Comuna y Departamento de Educación Municipal, por 14 meses</t>
        </is>
      </c>
    </row>
    <row r="218">
      <c r="A218" s="0" t="inlineStr">
        <is>
          <t xml:space="preserve">1230869-7-LE26</t>
        </is>
      </c>
      <c r="B218" s="4" t="inlineStr">
        <is>
          <t xml:space="preserve">SERVICIO DE SOFTWARE DE CONTABILIDAD GUBERNAMENTAL</t>
        </is>
      </c>
      <c r="C218" s="0">
        <v>1</v>
      </c>
      <c r="D218" s="4" t="inlineStr">
        <is>
          <t xml:space="preserve">Programas de contabilidad</t>
        </is>
      </c>
      <c r="E218" s="4" t="inlineStr">
        <is>
          <t xml:space="preserve">Tecnologías de la información, telecomunicaciones y radiodifusión / Software / Software de planificación de recursos empresariales (ERP) y contabilidad financiera</t>
        </is>
      </c>
      <c r="F218" s="0">
        <v>1.0</v>
      </c>
      <c r="G218" s="0" t="inlineStr">
        <is>
          <t xml:space="preserve">Unidad</t>
        </is>
      </c>
      <c r="H218" s="4" t="inlineStr">
        <is>
          <t xml:space="preserve">SERVICIO DE SOFTWARE DE CONTABILIDAD GUBERNAMENTAL PARA LA CORPORACIÓN CULTURAL DE LA FLORIDA</t>
        </is>
      </c>
    </row>
    <row r="219">
      <c r="A219" s="0" t="inlineStr">
        <is>
          <t xml:space="preserve">1191449-19-LP26</t>
        </is>
      </c>
      <c r="B219" s="4" t="inlineStr">
        <is>
          <t xml:space="preserve">SERVICIOS  DE ADMINIS DE INFRAES CLOUD Y MANTEN AN</t>
        </is>
      </c>
      <c r="C219" s="0">
        <v>1</v>
      </c>
      <c r="D219" s="4" t="inlineStr">
        <is>
          <t xml:space="preserve">Profesionales</t>
        </is>
      </c>
      <c r="E219" s="4" t="inlineStr">
        <is>
          <t xml:space="preserve">Servicios profesionales, administrativos y consultorías de gestión empresarial / Servicios de recursos humanos / Contratación de personal</t>
        </is>
      </c>
      <c r="F219" s="0">
        <v>1.0</v>
      </c>
      <c r="G219" s="0" t="inlineStr">
        <is>
          <t xml:space="preserve">Unidad</t>
        </is>
      </c>
      <c r="H219" s="4" t="inlineStr">
        <is>
          <t xml:space="preserve">Servicio profesional de administración de infraestructura Cloud</t>
        </is>
      </c>
    </row>
    <row r="220">
      <c r="A220" s="0" t="inlineStr">
        <is>
          <t xml:space="preserve">1191449-19-LP26</t>
        </is>
      </c>
      <c r="B220" s="4" t="inlineStr">
        <is>
          <t xml:space="preserve">SERVICIOS  DE ADMINIS DE INFRAES CLOUD Y MANTEN AN</t>
        </is>
      </c>
      <c r="C220" s="0">
        <v>2</v>
      </c>
      <c r="D220" s="4" t="inlineStr">
        <is>
          <t xml:space="preserve">Profesionales</t>
        </is>
      </c>
      <c r="E220" s="4" t="inlineStr">
        <is>
          <t xml:space="preserve">Servicios profesionales, administrativos y consultorías de gestión empresarial / Servicios de recursos humanos / Contratación de personal</t>
        </is>
      </c>
      <c r="F220" s="0">
        <v>1.0</v>
      </c>
      <c r="G220" s="0" t="inlineStr">
        <is>
          <t xml:space="preserve">Unidad</t>
        </is>
      </c>
      <c r="H220" s="4" t="inlineStr">
        <is>
          <t xml:space="preserve">Servicio profesional de mantención de sistemas</t>
        </is>
      </c>
    </row>
    <row r="221">
      <c r="A221" s="0" t="inlineStr">
        <is>
          <t xml:space="preserve">1409-15-LE26</t>
        </is>
      </c>
      <c r="B221" s="4" t="inlineStr">
        <is>
          <t xml:space="preserve">Servicio arriendo red de datos e internet</t>
        </is>
      </c>
      <c r="C221" s="0">
        <v>1</v>
      </c>
      <c r="D221" s="4" t="inlineStr">
        <is>
          <t xml:space="preserve">Proveedores de servicio de Internet (ISP)</t>
        </is>
      </c>
      <c r="E221" s="4" t="inlineStr">
        <is>
          <t xml:space="preserve">Servicios basados en ingeniería, ciencias sociales y tecnología de la información / Servicios informáticos / Servicios para internet</t>
        </is>
      </c>
      <c r="F221" s="0">
        <v>36.0</v>
      </c>
      <c r="G221" s="0" t="inlineStr">
        <is>
          <t xml:space="preserve">Mes</t>
        </is>
      </c>
      <c r="H221" s="4" t="inlineStr">
        <is>
          <t xml:space="preserve">Servicio de arriendo red de datos e internet para el aeropuerto el Tepual de Puerto Montt.</t>
        </is>
      </c>
    </row>
    <row r="222">
      <c r="A222" s="0" t="inlineStr">
        <is>
          <t xml:space="preserve">630-29-LE26</t>
        </is>
      </c>
      <c r="B222" s="4" t="inlineStr">
        <is>
          <t xml:space="preserve">SERVICIO DE GESTIÓN DOCUMENTAL EN MODALIDAD SAAS</t>
        </is>
      </c>
      <c r="C222" s="0">
        <v>1</v>
      </c>
      <c r="D222" s="4" t="inlineStr">
        <is>
          <t xml:space="preserve">Programas de gestión de documentos</t>
        </is>
      </c>
      <c r="E222" s="4" t="inlineStr">
        <is>
          <t xml:space="preserve">Tecnologías de la información, telecomunicaciones y radiodifusión / Software / Software de gestión de contenidos</t>
        </is>
      </c>
      <c r="F222" s="0">
        <v>1.0</v>
      </c>
      <c r="G222" s="0" t="inlineStr">
        <is>
          <t xml:space="preserve">Unidad</t>
        </is>
      </c>
      <c r="H222" s="4" t="inlineStr">
        <is>
          <t xml:space="preserve">CONTRATACIÓN DEL SERVICIO DE GESTIÓN DOCUMENTAL EN MODALIDAD SAAS (SOFTWARE AS A SERVICE) PARA LA SUBSECRETARÍA DEL TRABAJO</t>
        </is>
      </c>
    </row>
    <row r="223">
      <c r="A223" s="0" t="inlineStr">
        <is>
          <t xml:space="preserve">4160-15-LP26</t>
        </is>
      </c>
      <c r="B223" s="4" t="inlineStr">
        <is>
          <t xml:space="preserve">SERV MANTENIMIENTO TRANSMISION DE DATOS CAMARAS</t>
        </is>
      </c>
      <c r="C223" s="0">
        <v>1</v>
      </c>
      <c r="D223" s="4" t="inlineStr">
        <is>
          <t xml:space="preserve">Cámaras de seguridad</t>
        </is>
      </c>
      <c r="E223" s="4" t="inlineStr">
        <is>
          <t xml:space="preserve">Equipos y suministros de defensa, orden público, protección y seguridad / Seguridad, vigilancia y detección / Equipo de vigilancia y detección</t>
        </is>
      </c>
      <c r="F223" s="0">
        <v>48.0</v>
      </c>
      <c r="G223" s="0" t="inlineStr">
        <is>
          <t xml:space="preserve">Mes</t>
        </is>
      </c>
      <c r="H223" s="4" t="inlineStr">
        <is>
          <t xml:space="preserve">contratación del “SERVICIO DE MANTENIMIENTO, TRANSMISION DE DATOS CAMARAS DE TELEVIGILANCIA HUALPÉN”, para lo cual se deberá considerar un plazo de prestación del servicio de 48 meses corridos.</t>
        </is>
      </c>
    </row>
    <row r="224">
      <c r="A224" s="0" t="inlineStr">
        <is>
          <t xml:space="preserve">2122-34-LE26</t>
        </is>
      </c>
      <c r="B224" s="4" t="inlineStr">
        <is>
          <t xml:space="preserve">SOLUCIONES DE INTELIGENCIA ARTIFICIAL</t>
        </is>
      </c>
      <c r="C224" s="0">
        <v>1</v>
      </c>
      <c r="D224" s="4" t="inlineStr">
        <is>
          <t xml:space="preserve">Desarrolladores de software</t>
        </is>
      </c>
      <c r="E224" s="4" t="inlineStr">
        <is>
          <t xml:space="preserve">Servicios profesionales, administrativos y consultorías de gestión empresarial / Servicios de recursos humanos / Contratación de personal</t>
        </is>
      </c>
      <c r="F224" s="0">
        <v>1.0</v>
      </c>
      <c r="G224" s="0" t="inlineStr">
        <is>
          <t xml:space="preserve">Unidad</t>
        </is>
      </c>
      <c r="H224"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t>
        </is>
      </c>
    </row>
    <row r="225">
      <c r="A225" s="0" t="inlineStr">
        <is>
          <t xml:space="preserve">2981-293-LE26</t>
        </is>
      </c>
      <c r="B225" s="4" t="inlineStr">
        <is>
          <t xml:space="preserve">ADQUISICIÓN DE 100 GPS TRACKER CON PLATAFORMA INTEGRADA GEOESPACIAL Y DE TRAZABILIDAD Y SU RESPECTIVO EQUIPAMIENTO EJECUCIÓN DEL PLAN CALLE SIN VIOLENCIA</t>
        </is>
      </c>
      <c r="C225" s="0">
        <v>1</v>
      </c>
      <c r="D225" s="4" t="inlineStr">
        <is>
          <t xml:space="preserve">Receptores GPS</t>
        </is>
      </c>
      <c r="E225" s="4" t="inlineStr">
        <is>
          <t xml:space="preserve">Muebles, accesorios, electrodomésticos y productos electrónicos / Equipos y accesorios audiovisuales / Equipos audiovisuales y de electrónica menor</t>
        </is>
      </c>
      <c r="F225" s="0">
        <v>100.0</v>
      </c>
      <c r="G225" s="0" t="inlineStr">
        <is>
          <t xml:space="preserve">Unidad</t>
        </is>
      </c>
      <c r="H225"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226">
      <c r="A226" s="0" t="inlineStr">
        <is>
          <t xml:space="preserve">1107281-6-LE26</t>
        </is>
      </c>
      <c r="B226" s="4" t="inlineStr">
        <is>
          <t xml:space="preserve">COMPRA SOFTWARE COMPATIBLE CON EQUIPO HPLC AGILENT</t>
        </is>
      </c>
      <c r="C226" s="0">
        <v>1</v>
      </c>
      <c r="D226" s="4" t="inlineStr">
        <is>
          <t xml:space="preserve">Software de desarrollo de interfaz gráfica de usuario</t>
        </is>
      </c>
      <c r="E226" s="4" t="inlineStr">
        <is>
          <t xml:space="preserve">Tecnologías de la información, telecomunicaciones y radiodifusión / Software / Programas de desarrollo</t>
        </is>
      </c>
      <c r="F226" s="0">
        <v>1.0</v>
      </c>
      <c r="G226" s="0" t="inlineStr">
        <is>
          <t xml:space="preserve">Unidad</t>
        </is>
      </c>
      <c r="H226" s="4" t="inlineStr">
        <is>
          <t xml:space="preserve">requiere de la adquisición de un (1) software de control cromatográfico para su equipo HPLC Agilent existente, incluyendo un computador apto para su operación, instalación y capacitación con el fin de realizar análisis de metabolitos secundarios, proteína</t>
        </is>
      </c>
    </row>
    <row r="227">
      <c r="A227" s="0" t="inlineStr">
        <is>
          <t xml:space="preserve">1005498-23-LE26</t>
        </is>
      </c>
      <c r="B227" s="4" t="inlineStr">
        <is>
          <t xml:space="preserve">Servicio de enlace de datos punto a punto alameda-</t>
        </is>
      </c>
      <c r="C227" s="0">
        <v>1</v>
      </c>
      <c r="D227" s="4" t="inlineStr">
        <is>
          <t xml:space="preserve">Circuitos de telecomunicaciones digitales punto a punto</t>
        </is>
      </c>
      <c r="E227" s="4" t="inlineStr">
        <is>
          <t xml:space="preserve">Servicios básicos y de información pública / Telecomunicaciones / Servicios de telecomunicaciones por circuitos de líneas selectivas y líneas dedicadas arrendadas</t>
        </is>
      </c>
      <c r="F227" s="0">
        <v>1.0</v>
      </c>
      <c r="G227" s="0" t="inlineStr">
        <is>
          <t xml:space="preserve">Unidad</t>
        </is>
      </c>
      <c r="H227" s="4" t="inlineStr">
        <is>
          <t xml:space="preserve">servicio de enlace de datos punto a punto alameda-moneda por un periodo de 24 meses, en pesos chilenos (sin impuesto)</t>
        </is>
      </c>
    </row>
    <row r="228">
      <c r="A228" s="0" t="inlineStr">
        <is>
          <t xml:space="preserve">4469-213-L126</t>
        </is>
      </c>
      <c r="B228" s="4" t="inlineStr">
        <is>
          <t xml:space="preserve">S.C. N° 40675(U.F.), LICENCIA WI FI MERAKI MR ENTERPRISE POR 12 MESES. INFORMÁTICA UPLA. AIUE 2655.</t>
        </is>
      </c>
      <c r="C228" s="0">
        <v>1</v>
      </c>
      <c r="D228" s="4" t="inlineStr">
        <is>
          <t xml:space="preserve">Software de sistema experto</t>
        </is>
      </c>
      <c r="E228" s="4" t="inlineStr">
        <is>
          <t xml:space="preserve">Tecnologías de la información, telecomunicaciones y radiodifusión / Software / Software de gestión</t>
        </is>
      </c>
      <c r="F228" s="0">
        <v>49.0</v>
      </c>
      <c r="G228" s="0" t="inlineStr">
        <is>
          <t xml:space="preserve">Unidad</t>
        </is>
      </c>
      <c r="H228" s="4" t="inlineStr">
        <is>
          <t xml:space="preserve">LICENCIAS MERAKI MR ENTERPRISE POR 12 MESES. SEGÚN ANEXO ADJUNTO.</t>
        </is>
      </c>
    </row>
    <row r="229">
      <c r="A229" s="0" t="inlineStr">
        <is>
          <t xml:space="preserve">5482-94-LP26</t>
        </is>
      </c>
      <c r="B229" s="4" t="inlineStr">
        <is>
          <t xml:space="preserve">SERVICIO DE ARRIENDO MANTENCIÓN Y SOPORTE DE PLATAFORMA DOM</t>
        </is>
      </c>
      <c r="C229" s="0">
        <v>1</v>
      </c>
      <c r="D229" s="4" t="inlineStr">
        <is>
          <t xml:space="preserve">Software de desarrollo de plataforma Web</t>
        </is>
      </c>
      <c r="E229" s="4" t="inlineStr">
        <is>
          <t xml:space="preserve">Tecnologías de la información, telecomunicaciones y radiodifusión / Software / Programas de desarrollo</t>
        </is>
      </c>
      <c r="F229" s="0">
        <v>1.0</v>
      </c>
      <c r="G229" s="0" t="inlineStr">
        <is>
          <t xml:space="preserve">Unidad</t>
        </is>
      </c>
      <c r="H229"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230">
      <c r="A230" s="0" t="inlineStr">
        <is>
          <t xml:space="preserve">1080094-17-L126</t>
        </is>
      </c>
      <c r="B230" s="4" t="inlineStr">
        <is>
          <t xml:space="preserve">RADIO PORTÁTIL DIGITAL VHF PARA SAMU</t>
        </is>
      </c>
      <c r="C230" s="0">
        <v>1</v>
      </c>
      <c r="D230" s="4" t="inlineStr">
        <is>
          <t xml:space="preserve">Receptores o transmisores de radiofrecuencia</t>
        </is>
      </c>
      <c r="E230" s="4" t="inlineStr">
        <is>
          <t xml:space="preserve">Muebles, accesorios, electrodomésticos y productos electrónicos / Equipos y accesorios audiovisuales / Equipos audiovisuales y de electrónica menor</t>
        </is>
      </c>
      <c r="F230" s="0">
        <v>20.0</v>
      </c>
      <c r="G230" s="0" t="inlineStr">
        <is>
          <t xml:space="preserve">Unidad</t>
        </is>
      </c>
      <c r="H230" s="4" t="inlineStr">
        <is>
          <t xml:space="preserve">RADIO PORTÁTIL DIGITAL VHF</t>
        </is>
      </c>
    </row>
    <row r="231">
      <c r="A231" s="0" t="inlineStr">
        <is>
          <t xml:space="preserve">1602-20-LE26</t>
        </is>
      </c>
      <c r="B231" s="4" t="inlineStr">
        <is>
          <t xml:space="preserve">ADQUISICIÓN DE LICENCIAS PARA EQUIPOS DE COMUNICACIONES DE LA RED DE DATOS DE LA DGAC 122 dgv</t>
        </is>
      </c>
      <c r="C231" s="0">
        <v>1</v>
      </c>
      <c r="D231" s="4" t="inlineStr">
        <is>
          <t xml:space="preserve">Software de gestión de licencias</t>
        </is>
      </c>
      <c r="E231" s="4" t="inlineStr">
        <is>
          <t xml:space="preserve">Tecnologías de la información, telecomunicaciones y radiodifusión / Software / Software de gestión</t>
        </is>
      </c>
      <c r="F231" s="0">
        <v>70.0</v>
      </c>
      <c r="G231" s="0" t="inlineStr">
        <is>
          <t xml:space="preserve">Unidad</t>
        </is>
      </c>
      <c r="H231" s="4" t="inlineStr">
        <is>
          <t xml:space="preserve">Licenciamiento por Punto de Acceso (AP) - (Referencia JW471AAE)
Licencia para habilitar y mantener la administración de los puntos de acceso inalámbricos mediante la plataforma de control y gestión actualmente implementada en DGAC, permitiendo su configu</t>
        </is>
      </c>
    </row>
    <row r="232">
      <c r="A232" s="0" t="inlineStr">
        <is>
          <t xml:space="preserve">1602-20-LE26</t>
        </is>
      </c>
      <c r="B232" s="4" t="inlineStr">
        <is>
          <t xml:space="preserve">ADQUISICIÓN DE LICENCIAS PARA EQUIPOS DE COMUNICACIONES DE LA RED DE DATOS DE LA DGAC 122 dgv</t>
        </is>
      </c>
      <c r="C232" s="0">
        <v>2</v>
      </c>
      <c r="D232" s="4" t="inlineStr">
        <is>
          <t xml:space="preserve">Software de gestión de licencias</t>
        </is>
      </c>
      <c r="E232" s="4" t="inlineStr">
        <is>
          <t xml:space="preserve">Tecnologías de la información, telecomunicaciones y radiodifusión / Software / Software de gestión</t>
        </is>
      </c>
      <c r="F232" s="0">
        <v>70.0</v>
      </c>
      <c r="G232" s="0" t="inlineStr">
        <is>
          <t xml:space="preserve">Unidad</t>
        </is>
      </c>
      <c r="H232" s="4" t="inlineStr">
        <is>
          <t xml:space="preserve">Licenciamiento por Punto de Acceso (AP) para soporte del fabricante. (Referencia H2XW3E) 
Licencia por Punto de Acceso para soporte y mantenimiento por un período de 12 meses, asociado a la plataforma de administración inalámbrica, que permita disponer d</t>
        </is>
      </c>
    </row>
    <row r="233">
      <c r="A233" s="0" t="inlineStr">
        <is>
          <t xml:space="preserve">1602-20-LE26</t>
        </is>
      </c>
      <c r="B233" s="4" t="inlineStr">
        <is>
          <t xml:space="preserve">ADQUISICIÓN DE LICENCIAS PARA EQUIPOS DE COMUNICACIONES DE LA RED DE DATOS DE LA DGAC 122 dgv</t>
        </is>
      </c>
      <c r="C233" s="0">
        <v>3</v>
      </c>
      <c r="D233" s="4" t="inlineStr">
        <is>
          <t xml:space="preserve">Software de gestión de licencias</t>
        </is>
      </c>
      <c r="E233" s="4" t="inlineStr">
        <is>
          <t xml:space="preserve">Tecnologías de la información, telecomunicaciones y radiodifusión / Software / Software de gestión</t>
        </is>
      </c>
      <c r="F233" s="0">
        <v>2.0</v>
      </c>
      <c r="G233" s="0" t="inlineStr">
        <is>
          <t xml:space="preserve">Unidad</t>
        </is>
      </c>
      <c r="H233" s="4" t="inlineStr">
        <is>
          <t xml:space="preserve">Licencia Aruba Campus Gateway (Referencia JZ196AAE)
Licencia correspondiente a las funcionalidades requeridas para la operación y gestión de los servicios asociados a Campus Gateway, de acuerdo con la arquitectura de red institucional actualmente impleme</t>
        </is>
      </c>
    </row>
    <row r="234">
      <c r="A234" s="0" t="inlineStr">
        <is>
          <t xml:space="preserve">1153624-24-L126</t>
        </is>
      </c>
      <c r="B234" s="4" t="inlineStr">
        <is>
          <t xml:space="preserve">Servicio de Ordenamiento de Cableado de Datos y Eléctrico en Datacenter y Rack de Comunicaciones</t>
        </is>
      </c>
      <c r="C234" s="0">
        <v>1</v>
      </c>
      <c r="D234" s="4" t="inlineStr">
        <is>
          <t xml:space="preserve">Conjuntos de cableado</t>
        </is>
      </c>
      <c r="E234" s="4" t="inlineStr">
        <is>
          <t xml:space="preserve">Tecnologías de la información, telecomunicaciones y radiodifusión / Componentes para tecnología de la información, difusión o telecomunicaciones / Subconjuntos para dispositivos electrónicos</t>
        </is>
      </c>
      <c r="F234" s="0">
        <v>1.0</v>
      </c>
      <c r="G234" s="0" t="inlineStr">
        <is>
          <t xml:space="preserve">Unidad</t>
        </is>
      </c>
      <c r="H234" s="4" t="inlineStr">
        <is>
          <t xml:space="preserve">Servicio para ordenar cables en Datacenter y en rack en el edificio ubicado en San Martín 88.</t>
        </is>
      </c>
    </row>
    <row r="235">
      <c r="A235" s="0" t="inlineStr">
        <is>
          <t xml:space="preserve">608897-61-LP26</t>
        </is>
      </c>
      <c r="B235" s="4" t="inlineStr">
        <is>
          <t xml:space="preserve">SOPORTE PLATAFORMAS DE INFORMACIÓN AMBIENTAL BIANUAL</t>
        </is>
      </c>
      <c r="C235" s="0">
        <v>1</v>
      </c>
      <c r="D235" s="4" t="inlineStr">
        <is>
          <t xml:space="preserve">Servicios de asesoría de tecnología medioambiental</t>
        </is>
      </c>
      <c r="E235" s="4" t="inlineStr">
        <is>
          <t xml:space="preserve">Servicios medioambientales / Gestión medioambiental / Servicios de asesoría medioambiental</t>
        </is>
      </c>
      <c r="F235" s="0">
        <v>1.0</v>
      </c>
      <c r="G235" s="0" t="inlineStr">
        <is>
          <t xml:space="preserve">Unidad</t>
        </is>
      </c>
      <c r="H235" s="4" t="inlineStr">
        <is>
          <t xml:space="preserve">realizar servicios de mantención, actualización, soporte y diseño de los sistemas asociados a la construcción de la información ambiental administrados por el Departamento de Información Ambiental del Ministerio del Medio Ambiente</t>
        </is>
      </c>
    </row>
    <row r="236">
      <c r="A236" s="0" t="inlineStr">
        <is>
          <t xml:space="preserve">1422051-29-LE26</t>
        </is>
      </c>
      <c r="B236" s="4" t="inlineStr">
        <is>
          <t xml:space="preserve">Contratación Servicio Plataforma de Gestión RRHH</t>
        </is>
      </c>
      <c r="C236" s="0">
        <v>1</v>
      </c>
      <c r="D236" s="4" t="inlineStr">
        <is>
          <t xml:space="preserve">Software de gestión de recursos humanos</t>
        </is>
      </c>
      <c r="E236" s="4" t="inlineStr">
        <is>
          <t xml:space="preserve">Tecnologías de la información, telecomunicaciones y radiodifusión / Software / Software de gestión</t>
        </is>
      </c>
      <c r="F236" s="0">
        <v>1.0</v>
      </c>
      <c r="G236" s="0" t="inlineStr">
        <is>
          <t xml:space="preserve">Unidad</t>
        </is>
      </c>
      <c r="H236" s="4" t="inlineStr">
        <is>
          <t xml:space="preserve">Servicio de plataforma de gestión de persona.</t>
        </is>
      </c>
    </row>
    <row r="237">
      <c r="A237" s="0" t="inlineStr">
        <is>
          <t xml:space="preserve">4086-48-LP26</t>
        </is>
      </c>
      <c r="B237" s="4" t="inlineStr">
        <is>
          <t xml:space="preserve">SERVICIO DE SISTEMA DE INFORMACIÓN DE LA GESTIÓN</t>
        </is>
      </c>
      <c r="C237" s="0">
        <v>1</v>
      </c>
      <c r="D237" s="4" t="inlineStr">
        <is>
          <t xml:space="preserve">Programas de gestión de configuración</t>
        </is>
      </c>
      <c r="E237" s="4" t="inlineStr">
        <is>
          <t xml:space="preserve">Tecnologías de la información, telecomunicaciones y radiodifusión / Software / Programas de desarrollo</t>
        </is>
      </c>
      <c r="F237" s="0">
        <v>1.0</v>
      </c>
      <c r="G237" s="0" t="inlineStr">
        <is>
          <t xml:space="preserve">Unidad</t>
        </is>
      </c>
      <c r="H237" s="4" t="inlineStr">
        <is>
          <t xml:space="preserve">SERVICIO DE MANTENCIÓN, ARRIENDO Y PROVISIÓN DE SISTEMA DE INFORMACIÓN DE LA GESTIÓN MUNICIPAL Y SOPORTE COMPUTACIONAL SEGÚN BASES, , ESPECIFICACIONES TÉCNICAS, ANEXOS E ITEM ADJUNTOS.</t>
        </is>
      </c>
    </row>
    <row r="238">
      <c r="A238" s="0" t="inlineStr">
        <is>
          <t xml:space="preserve">1469-267-L126</t>
        </is>
      </c>
      <c r="B238" s="4" t="inlineStr">
        <is>
          <t xml:space="preserve">Servicio de Mantenimiento UPS del Centro de Datos en Campus Talca de la Universidad de Talca</t>
        </is>
      </c>
      <c r="C238" s="0">
        <v>1</v>
      </c>
      <c r="D238" s="4" t="inlineStr">
        <is>
          <t xml:space="preserve">Instalación o servicio de sistemas de energía eléctrica</t>
        </is>
      </c>
      <c r="E238" s="4" t="inlineStr">
        <is>
          <t xml:space="preserve">Servicios de construcción y mantenimiento / Servicios de atención, mantenimiento y reparaciones de edificios / Servicios eléctricos</t>
        </is>
      </c>
      <c r="F238" s="0">
        <v>1.0</v>
      </c>
      <c r="G238" s="0" t="inlineStr">
        <is>
          <t xml:space="preserve">Unidad</t>
        </is>
      </c>
      <c r="H238" s="4" t="inlineStr">
        <is>
          <t xml:space="preserve">Servicio de Mantenimiento UPS del Centro de Datos en Campus Talca de la Universidad de Talca</t>
        </is>
      </c>
    </row>
    <row r="239">
      <c r="A239" s="0" t="inlineStr">
        <is>
          <t xml:space="preserve">1606-34-LE26</t>
        </is>
      </c>
      <c r="B239" s="4" t="inlineStr">
        <is>
          <t xml:space="preserve">Consultoría para la digitalización de rutas de taxis colectivos. Proyecto Apoyo a la estrategia Chilena de transporte sostenible - CLETS Financiado por la GEF e implementado por CAF</t>
        </is>
      </c>
      <c r="C239" s="0">
        <v>1</v>
      </c>
      <c r="D239" s="4" t="inlineStr">
        <is>
          <t xml:space="preserve">Asesorías en planificación estratégica</t>
        </is>
      </c>
      <c r="E239" s="4" t="inlineStr">
        <is>
          <t xml:space="preserve">Servicios profesionales, administrativos y consultorías de gestión empresarial / Consultorías o asesorías en gestión empresarial / Servicios de consultoría en gestión de empresas</t>
        </is>
      </c>
      <c r="F239" s="0">
        <v>1.0</v>
      </c>
      <c r="G239" s="0" t="inlineStr">
        <is>
          <t xml:space="preserve">Unidad</t>
        </is>
      </c>
      <c r="H239" s="4" t="inlineStr">
        <is>
          <t xml:space="preserve">Servicio de consultoría para la digitalización de rutas de taxis colectivos para el Proyecto CLETS, financiado por la GEF e Implementado por CAF, según bases administrativas adjuntas.</t>
        </is>
      </c>
    </row>
    <row r="240">
      <c r="A240" s="0" t="inlineStr">
        <is>
          <t xml:space="preserve">617807-79-B226</t>
        </is>
      </c>
      <c r="B240" s="4" t="inlineStr">
        <is>
          <t xml:space="preserve">SERVICIO DE MANTENCIÓN PREVENTIVA Y REPARATIVA DE EQUIPOS DE RAYOS X DIGITAL ARCO C PARA EL HOSPITAL SAN JUAN DE DIOS DE LOS ANDES</t>
        </is>
      </c>
      <c r="C240" s="0">
        <v>1</v>
      </c>
      <c r="D240" s="4" t="inlineStr">
        <is>
          <t xml:space="preserve">Servicio de mantenimiento de equipo de fabricación</t>
        </is>
      </c>
      <c r="E240" s="4" t="inlineStr">
        <is>
          <t xml:space="preserve">Servicios de producción y fabricación industrial / Servicios de apoyo o soporte a la fabricación / Servicios de mantenimiento y reparación de equipo de fabricación</t>
        </is>
      </c>
      <c r="F240" s="0">
        <v>1.0</v>
      </c>
      <c r="G240" s="0" t="inlineStr">
        <is>
          <t xml:space="preserve">Unidad</t>
        </is>
      </c>
      <c r="H240" s="4" t="inlineStr">
        <is>
          <t xml:space="preserve">SERVICIO DE MANTENCION PREVENTIVA Y REPARATIVO  DE EQUIPOS DE RAYOS X DIGITAL ARCO C (SEGUN TERMINOS DE REFERENCIA)</t>
        </is>
      </c>
    </row>
    <row r="241">
      <c r="A241" s="0" t="inlineStr">
        <is>
          <t xml:space="preserve">1461054-45-LP26</t>
        </is>
      </c>
      <c r="B241" s="4" t="inlineStr">
        <is>
          <t xml:space="preserve">PLATAFORMA DE GESTIÓN EDUCACIONAL PARA 77 E.E</t>
        </is>
      </c>
      <c r="C241" s="0">
        <v>1</v>
      </c>
      <c r="D241" s="4" t="inlineStr">
        <is>
          <t xml:space="preserve">Software del sistema de administración de bases de datos</t>
        </is>
      </c>
      <c r="E241" s="4" t="inlineStr">
        <is>
          <t xml:space="preserve">Tecnologías de la información, telecomunicaciones y radiodifusión / Software / Software de consultas y gestión de datos</t>
        </is>
      </c>
      <c r="F241" s="0">
        <v>1.0</v>
      </c>
      <c r="G241" s="0" t="inlineStr">
        <is>
          <t xml:space="preserve">Unidad</t>
        </is>
      </c>
      <c r="H241" s="4" t="inlineStr">
        <is>
          <t xml:space="preserve">PLATAFORMA DE GESTIÓN EDUCACIONAL PARA 77 ESTABLECIMIENTOS EDUCACIONALES DEPENDIENTES DEL SERVICIO LOCAL DE EDUCACIÓN PÚBLICA ELQUI</t>
        </is>
      </c>
    </row>
    <row r="242">
      <c r="A242" s="0" t="inlineStr">
        <is>
          <t xml:space="preserve">3348-9-LE26</t>
        </is>
      </c>
      <c r="B242" s="4" t="inlineStr">
        <is>
          <t xml:space="preserve">Servicio de Arriendo de Tótem Gestor de Filas</t>
        </is>
      </c>
      <c r="C242" s="0">
        <v>1</v>
      </c>
      <c r="D242" s="4" t="inlineStr">
        <is>
          <t xml:space="preserve">Monitores de pantalla táctil</t>
        </is>
      </c>
      <c r="E242" s="4" t="inlineStr">
        <is>
          <t xml:space="preserve">Tecnologías de la información, telecomunicaciones y radiodifusión / Equipos informáticos y accesorios / Pantallas o monitores de computador</t>
        </is>
      </c>
      <c r="F242" s="0">
        <v>1.0</v>
      </c>
      <c r="G242" s="0" t="inlineStr">
        <is>
          <t xml:space="preserve">Unidad</t>
        </is>
      </c>
      <c r="H242" s="4" t="inlineStr">
        <is>
          <t xml:space="preserve">Primera instancia
1)Un (1) tótem gestor de filas, con pantalla táctil e impresora térmica que emita voucher de número de atención que contenga 4 botones (Reserva de Horas Médicas, Emisión de Boletas, Programas Preventivos y SOME)
2)Ocho (8) estaci</t>
        </is>
      </c>
    </row>
    <row r="243">
      <c r="A243" s="0" t="inlineStr">
        <is>
          <t xml:space="preserve">948354-140-LR26</t>
        </is>
      </c>
      <c r="B243" s="4" t="inlineStr">
        <is>
          <t xml:space="preserve">CONTRATACIÓN DE UNA SOLUCIÓN INTEGRAL RIS-PACS INCLUYENDO LA PROVISIÓN DE SERVICIOS SOFTWARE HARDWARE E INFRAESTRUCTURA TECNOLÓGICA PARA EL SERVICIO DE IMAGENOLOGÍA DEL HOSPITAL DIPRECA</t>
        </is>
      </c>
      <c r="C243" s="0">
        <v>1</v>
      </c>
      <c r="D243" s="4" t="inlineStr">
        <is>
          <t xml:space="preserve">Sistemas informatizados de archivado de imágenes (PACS) médicos</t>
        </is>
      </c>
      <c r="E243" s="4" t="inlineStr">
        <is>
          <t xml:space="preserve">Equipamiento y suministros médicos / Productos para imágenes y de medicina nuclear / Artículos para archivar información e imágenes radiológicas</t>
        </is>
      </c>
      <c r="F243" s="0">
        <v>60.0</v>
      </c>
      <c r="G243" s="0" t="inlineStr">
        <is>
          <t xml:space="preserve">Mes</t>
        </is>
      </c>
      <c r="H243" s="4" t="inlineStr">
        <is>
          <t xml:space="preserve">SERVICIO DE RIS-PACS PARA EL SERVICIO DE IMAGENOLOGÍA DEL HOSPITAL DIPRECA (De acuerdo a las Bases Técnicas).</t>
        </is>
      </c>
    </row>
    <row r="244">
      <c r="A244" s="0" t="inlineStr">
        <is>
          <t xml:space="preserve">5148-13-LP26</t>
        </is>
      </c>
      <c r="B244" s="4" t="inlineStr">
        <is>
          <t xml:space="preserve">ADQUISICIÓN SERVIDORES PARA PLATAFORMA IA DEL MP</t>
        </is>
      </c>
      <c r="C244" s="0">
        <v>1</v>
      </c>
      <c r="D244" s="4" t="inlineStr">
        <is>
          <t xml:space="preserve">Servidores</t>
        </is>
      </c>
      <c r="E244" s="4" t="inlineStr">
        <is>
          <t xml:space="preserve">Tecnologías de la información, telecomunicaciones y radiodifusión / Equipos informáticos y accesorios / Computadores</t>
        </is>
      </c>
      <c r="F244" s="0">
        <v>1.0</v>
      </c>
      <c r="G244" s="0" t="inlineStr">
        <is>
          <t xml:space="preserve">Unidad</t>
        </is>
      </c>
      <c r="H244" s="4" t="inlineStr">
        <is>
          <t xml:space="preserve">SERVIDOR PARA LA PLATAFORMA DE INTELIGENCIA ARTIFICIAL (IA) Y MACHINE LEARNING (ML), CON SOPORTE POR 36 MESES, PARA AMBIENTE PRODUCTIVO</t>
        </is>
      </c>
    </row>
    <row r="245">
      <c r="A245" s="0" t="inlineStr">
        <is>
          <t xml:space="preserve">5148-13-LP26</t>
        </is>
      </c>
      <c r="B245" s="4" t="inlineStr">
        <is>
          <t xml:space="preserve">ADQUISICIÓN SERVIDORES PARA PLATAFORMA IA DEL MP</t>
        </is>
      </c>
      <c r="C245" s="0">
        <v>2</v>
      </c>
      <c r="D245" s="4" t="inlineStr">
        <is>
          <t xml:space="preserve">Servidores</t>
        </is>
      </c>
      <c r="E245" s="4" t="inlineStr">
        <is>
          <t xml:space="preserve">Tecnologías de la información, telecomunicaciones y radiodifusión / Equipos informáticos y accesorios / Computadores</t>
        </is>
      </c>
      <c r="F245" s="0">
        <v>1.0</v>
      </c>
      <c r="G245" s="0" t="inlineStr">
        <is>
          <t xml:space="preserve">Unidad</t>
        </is>
      </c>
      <c r="H245" s="4" t="inlineStr">
        <is>
          <t xml:space="preserve">SERVIDOR PARA LA PLATAFORMA DE INTELIGENCIA ARTIFICIAL (IA) Y MACHINE LEARNING (ML), CON SOPORTE POR 36 MESES, PARA AMBIENTE DESARROLLO</t>
        </is>
      </c>
    </row>
    <row r="246">
      <c r="A246" s="0" t="inlineStr">
        <is>
          <t xml:space="preserve">598-26-LE26</t>
        </is>
      </c>
      <c r="B246" s="4" t="inlineStr">
        <is>
          <t xml:space="preserve">Licencia Automatización de Procesos IFM por 36 mes</t>
        </is>
      </c>
      <c r="C246" s="0">
        <v>1</v>
      </c>
      <c r="D246" s="4" t="inlineStr">
        <is>
          <t xml:space="preserve">Software de gestión de licencias</t>
        </is>
      </c>
      <c r="E246" s="4" t="inlineStr">
        <is>
          <t xml:space="preserve">Tecnologías de la información, telecomunicaciones y radiodifusión / Software / Software de gestión</t>
        </is>
      </c>
      <c r="F246" s="0">
        <v>1.0</v>
      </c>
      <c r="G246" s="0" t="inlineStr">
        <is>
          <t xml:space="preserve">Unidad</t>
        </is>
      </c>
      <c r="H246" s="4" t="inlineStr">
        <is>
          <t xml:space="preserve">Licencia IFM POR 36 MESES, SEGÚN BASES DE LICITACIÓN.</t>
        </is>
      </c>
    </row>
    <row r="247">
      <c r="A247" s="0" t="inlineStr">
        <is>
          <t xml:space="preserve">976-15-O126</t>
        </is>
      </c>
      <c r="B247" s="4" t="inlineStr">
        <is>
          <t xml:space="preserve">Ampliación Plataformas Comercial y General Ad. El Loa</t>
        </is>
      </c>
      <c r="C247" s="0">
        <v>1</v>
      </c>
      <c r="D247" s="4" t="inlineStr">
        <is>
          <t xml:space="preserve">Licitación Pública de Obra</t>
        </is>
      </c>
      <c r="E247" s="4" t="inlineStr">
        <is>
          <t xml:space="preserve">Consultoria / Consultoria / Planificación y Factibilidad</t>
        </is>
      </c>
      <c r="F247" s="0">
        <v>1.0</v>
      </c>
      <c r="G247" s="0" t="inlineStr">
        <is>
          <t xml:space="preserve">Unidad</t>
        </is>
      </c>
      <c r="H247" s="4" t="inlineStr">
        <is>
          <t xml:space="preserve">Licitación Pública de Obra</t>
        </is>
      </c>
    </row>
    <row r="248">
      <c r="A248" s="0" t="inlineStr">
        <is>
          <t xml:space="preserve">2667-71-LR26</t>
        </is>
      </c>
      <c r="B248" s="4" t="inlineStr">
        <is>
          <t xml:space="preserve">ARRIENDO SOPORTE Y MANTENCIÓN DE CENTRAL TELEFONICA IP TELEFONOS IP Y PLATAFORMA DE CONTACT CENTER</t>
        </is>
      </c>
      <c r="C248" s="0">
        <v>1</v>
      </c>
      <c r="D248" s="4" t="inlineStr">
        <is>
          <t xml:space="preserve">Sistemas de alarma</t>
        </is>
      </c>
      <c r="E248" s="4" t="inlineStr">
        <is>
          <t xml:space="preserve">Equipos y suministros de defensa, orden público, protección y seguridad / Seguridad, vigilancia y detección / Equipo de vigilancia y detección</t>
        </is>
      </c>
      <c r="F248" s="0">
        <v>1.0</v>
      </c>
      <c r="G248" s="0" t="inlineStr">
        <is>
          <t xml:space="preserve">Global</t>
        </is>
      </c>
      <c r="H248" s="4" t="inlineStr">
        <is>
          <t xml:space="preserve">ARRIENDO, INSTALACIÓN, SOPORTE Y MANTENCIÓN DE CENTRAL TELEFÓNICA, EQUIPOS TELEFÓNICOS Y PLATAFORMA DE ATENCIÓN TELEFÓNICA</t>
        </is>
      </c>
    </row>
    <row r="249">
      <c r="A249" s="0" t="inlineStr">
        <is>
          <t xml:space="preserve">608-197-LR26</t>
        </is>
      </c>
      <c r="B249" s="4" t="inlineStr">
        <is>
          <t xml:space="preserve">SERVICIO DE OPERACIÓN MANTENIMIENTO Y ACTUALIZACIÓN DE PLATAFORMAS TECNOLÓGICAS DE LA SALA DE CONTROL CENTRALIZADO DEL HOSPITAL DR. GUSTAVO FRICKE</t>
        </is>
      </c>
      <c r="C249" s="0">
        <v>1</v>
      </c>
      <c r="D249" s="4" t="inlineStr">
        <is>
          <t xml:space="preserve">Integración de sistemas</t>
        </is>
      </c>
      <c r="E249" s="4" t="inlineStr">
        <is>
          <t xml:space="preserve">Servicios basados en ingeniería, ciencias sociales y tecnología de la información / Servicios informáticos / Ingeniería en computación e informática</t>
        </is>
      </c>
      <c r="F249" s="0">
        <v>1.0</v>
      </c>
      <c r="G249" s="0" t="inlineStr">
        <is>
          <t xml:space="preserve">Unidad</t>
        </is>
      </c>
      <c r="H249" s="4" t="inlineStr">
        <is>
          <t xml:space="preserve">SERVICIO
DE OPERACIÓN, MANTENIMIENTO Y ACTUALIZACIÓN
DE PLATAFORMAS TECNOLÓGICAS DE LA SALA DE
CONTROL CENTRALIZADO DEL HOSPITAL DR.
GUSTAVO FRICKE (favor desglosar valores en anexo económico N°6)</t>
        </is>
      </c>
    </row>
    <row r="250">
      <c r="A250" s="0" t="inlineStr">
        <is>
          <t xml:space="preserve">577290-4-LP26</t>
        </is>
      </c>
      <c r="B250" s="4" t="inlineStr">
        <is>
          <t xml:space="preserve">RENOVACIÓN Y ADQUISICIÓN DE LICENCIAS DE SOFTWARE</t>
        </is>
      </c>
      <c r="C250" s="0">
        <v>1</v>
      </c>
      <c r="D250" s="4" t="inlineStr">
        <is>
          <t xml:space="preserve">Software de gestión de licencias</t>
        </is>
      </c>
      <c r="E250" s="4" t="inlineStr">
        <is>
          <t xml:space="preserve">Tecnologías de la información, telecomunicaciones y radiodifusión / Software / Software de gestión</t>
        </is>
      </c>
      <c r="F250" s="0">
        <v>4.0</v>
      </c>
      <c r="G250" s="0" t="inlineStr">
        <is>
          <t xml:space="preserve">Unidad</t>
        </is>
      </c>
      <c r="H250" s="4" t="inlineStr">
        <is>
          <t xml:space="preserve">DEVEXPRESS UNIVERSAL (o equivalente). Suscripción. 12 meses</t>
        </is>
      </c>
    </row>
    <row r="251">
      <c r="A251" s="0" t="inlineStr">
        <is>
          <t xml:space="preserve">577290-4-LP26</t>
        </is>
      </c>
      <c r="B251" s="4" t="inlineStr">
        <is>
          <t xml:space="preserve">RENOVACIÓN Y ADQUISICIÓN DE LICENCIAS DE SOFTWARE</t>
        </is>
      </c>
      <c r="C251" s="0">
        <v>2</v>
      </c>
      <c r="D251" s="4" t="inlineStr">
        <is>
          <t xml:space="preserve">Software de gestión de licencias</t>
        </is>
      </c>
      <c r="E251" s="4" t="inlineStr">
        <is>
          <t xml:space="preserve">Tecnologías de la información, telecomunicaciones y radiodifusión / Software / Software de gestión</t>
        </is>
      </c>
      <c r="F251" s="0">
        <v>1.0</v>
      </c>
      <c r="G251" s="0" t="inlineStr">
        <is>
          <t xml:space="preserve">Unidad</t>
        </is>
      </c>
      <c r="H251" s="4" t="inlineStr">
        <is>
          <t xml:space="preserve">PowerDesigner Enterprise Architect (o equivalente). Perpetua</t>
        </is>
      </c>
    </row>
    <row r="252">
      <c r="A252" s="0" t="inlineStr">
        <is>
          <t xml:space="preserve">577290-4-LP26</t>
        </is>
      </c>
      <c r="B252" s="4" t="inlineStr">
        <is>
          <t xml:space="preserve">RENOVACIÓN Y ADQUISICIÓN DE LICENCIAS DE SOFTWARE</t>
        </is>
      </c>
      <c r="C252" s="0">
        <v>3</v>
      </c>
      <c r="D252" s="4" t="inlineStr">
        <is>
          <t xml:space="preserve">Software de gestión de licencias</t>
        </is>
      </c>
      <c r="E252" s="4" t="inlineStr">
        <is>
          <t xml:space="preserve">Tecnologías de la información, telecomunicaciones y radiodifusión / Software / Software de gestión</t>
        </is>
      </c>
      <c r="F252" s="0">
        <v>4.0</v>
      </c>
      <c r="G252" s="0" t="inlineStr">
        <is>
          <t xml:space="preserve">Unidad</t>
        </is>
      </c>
      <c r="H252" s="4" t="inlineStr">
        <is>
          <t xml:space="preserve">TOAD FOR ORACLE DBA Edition (o equivalente). Suscripción. 12 meses</t>
        </is>
      </c>
    </row>
    <row r="253">
      <c r="A253" s="0" t="inlineStr">
        <is>
          <t xml:space="preserve">577290-4-LP26</t>
        </is>
      </c>
      <c r="B253" s="4" t="inlineStr">
        <is>
          <t xml:space="preserve">RENOVACIÓN Y ADQUISICIÓN DE LICENCIAS DE SOFTWARE</t>
        </is>
      </c>
      <c r="C253" s="0">
        <v>4</v>
      </c>
      <c r="D253" s="4" t="inlineStr">
        <is>
          <t xml:space="preserve">Software de gestión de licencias</t>
        </is>
      </c>
      <c r="E253" s="4" t="inlineStr">
        <is>
          <t xml:space="preserve">Tecnologías de la información, telecomunicaciones y radiodifusión / Software / Software de gestión</t>
        </is>
      </c>
      <c r="F253" s="0">
        <v>1.0</v>
      </c>
      <c r="G253" s="0" t="inlineStr">
        <is>
          <t xml:space="preserve">Unidad</t>
        </is>
      </c>
      <c r="H253" s="4" t="inlineStr">
        <is>
          <t xml:space="preserve">TOAD DATA STUDIO (o equivalente). Suscripción. 12 meses.</t>
        </is>
      </c>
    </row>
    <row r="254">
      <c r="A254" s="0" t="inlineStr">
        <is>
          <t xml:space="preserve">577290-4-LP26</t>
        </is>
      </c>
      <c r="B254" s="4" t="inlineStr">
        <is>
          <t xml:space="preserve">RENOVACIÓN Y ADQUISICIÓN DE LICENCIAS DE SOFTWARE</t>
        </is>
      </c>
      <c r="C254" s="0">
        <v>5</v>
      </c>
      <c r="D254" s="4" t="inlineStr">
        <is>
          <t xml:space="preserve">Software de gestión de licencias</t>
        </is>
      </c>
      <c r="E254" s="4" t="inlineStr">
        <is>
          <t xml:space="preserve">Tecnologías de la información, telecomunicaciones y radiodifusión / Software / Software de gestión</t>
        </is>
      </c>
      <c r="F254" s="0">
        <v>60.0</v>
      </c>
      <c r="G254" s="0" t="inlineStr">
        <is>
          <t xml:space="preserve">Unidad</t>
        </is>
      </c>
      <c r="H254" s="4" t="inlineStr">
        <is>
          <t xml:space="preserve">ADOBE ACROBAT PRO DC (o equivalente). Suscripción. 12 meses</t>
        </is>
      </c>
    </row>
    <row r="255">
      <c r="A255" s="0" t="inlineStr">
        <is>
          <t xml:space="preserve">577290-4-LP26</t>
        </is>
      </c>
      <c r="B255" s="4" t="inlineStr">
        <is>
          <t xml:space="preserve">RENOVACIÓN Y ADQUISICIÓN DE LICENCIAS DE SOFTWARE</t>
        </is>
      </c>
      <c r="C255" s="0">
        <v>6</v>
      </c>
      <c r="D255" s="4" t="inlineStr">
        <is>
          <t xml:space="preserve">Software de gestión de licencias</t>
        </is>
      </c>
      <c r="E255" s="4" t="inlineStr">
        <is>
          <t xml:space="preserve">Tecnologías de la información, telecomunicaciones y radiodifusión / Software / Software de gestión</t>
        </is>
      </c>
      <c r="F255" s="0">
        <v>8.0</v>
      </c>
      <c r="G255" s="0" t="inlineStr">
        <is>
          <t xml:space="preserve">Unidad</t>
        </is>
      </c>
      <c r="H255" s="4" t="inlineStr">
        <is>
          <t xml:space="preserve">ADOBE CREATIVE CLOUD (o equivalente). Suscripción. 12 meses</t>
        </is>
      </c>
    </row>
    <row r="256">
      <c r="A256" s="0" t="inlineStr">
        <is>
          <t xml:space="preserve">3047-60-LE26</t>
        </is>
      </c>
      <c r="B256" s="4" t="inlineStr">
        <is>
          <t xml:space="preserve">EQUIPAMIENTO INFORMÁTICO PARA IMPLEMENTAR SERVIDOR EN EL CENTRO DE INNOVACIÓN TECNOLÓGICA DE LA ARMADA</t>
        </is>
      </c>
      <c r="C256" s="0">
        <v>1</v>
      </c>
      <c r="D256" s="4" t="inlineStr">
        <is>
          <t xml:space="preserve">Servidores</t>
        </is>
      </c>
      <c r="E256" s="4" t="inlineStr">
        <is>
          <t xml:space="preserve">Tecnologías de la información, telecomunicaciones y radiodifusión / Equipos informáticos y accesorios / Computadores</t>
        </is>
      </c>
      <c r="F256" s="0">
        <v>1.0</v>
      </c>
      <c r="G256" s="0" t="inlineStr">
        <is>
          <t xml:space="preserve">Unidad</t>
        </is>
      </c>
      <c r="H256" s="4" t="inlineStr">
        <is>
          <t xml:space="preserve">EQUIPAMIENTO INFORMATICO PARA IMPLEMENTAR UN SERVIDOR IA ON PREMISE DE ACUERDO A ESPECIFICACIONES ADMINISTRATIVAS,TÉCNICAS Y ANEXOS ADJUNTOS.</t>
        </is>
      </c>
    </row>
    <row r="257">
      <c r="A257" s="0" t="inlineStr">
        <is>
          <t xml:space="preserve">5482-101-LR26</t>
        </is>
      </c>
      <c r="B257" s="4" t="inlineStr">
        <is>
          <t xml:space="preserve">Plataforma IA para video y seguridad urbana</t>
        </is>
      </c>
      <c r="C257" s="0">
        <v>1</v>
      </c>
      <c r="D257" s="4" t="inlineStr">
        <is>
          <t xml:space="preserve">Software de desarrollo de plataforma Web</t>
        </is>
      </c>
      <c r="E257" s="4" t="inlineStr">
        <is>
          <t xml:space="preserve">Tecnologías de la información, telecomunicaciones y radiodifusión / Software / Programas de desarrollo</t>
        </is>
      </c>
      <c r="F257" s="0">
        <v>1.0</v>
      </c>
      <c r="G257" s="0" t="inlineStr">
        <is>
          <t xml:space="preserve">Global</t>
        </is>
      </c>
      <c r="H257" s="4" t="inlineStr">
        <is>
          <t xml:space="preserve">Setup o configuración inicial del servicio e instalación</t>
        </is>
      </c>
    </row>
    <row r="258">
      <c r="A258" s="0" t="inlineStr">
        <is>
          <t xml:space="preserve">5482-101-LR26</t>
        </is>
      </c>
      <c r="B258" s="4" t="inlineStr">
        <is>
          <t xml:space="preserve">Plataforma IA para video y seguridad urbana</t>
        </is>
      </c>
      <c r="C258" s="0">
        <v>2</v>
      </c>
      <c r="D258" s="4" t="inlineStr">
        <is>
          <t xml:space="preserve">Software de desarrollo de plataforma Web</t>
        </is>
      </c>
      <c r="E258" s="4" t="inlineStr">
        <is>
          <t xml:space="preserve">Tecnologías de la información, telecomunicaciones y radiodifusión / Software / Programas de desarrollo</t>
        </is>
      </c>
      <c r="F258" s="0">
        <v>26.0</v>
      </c>
      <c r="G258" s="0" t="inlineStr">
        <is>
          <t xml:space="preserve">Mes</t>
        </is>
      </c>
      <c r="H258" s="4" t="inlineStr">
        <is>
          <t xml:space="preserve">Servicio mensual (Operación)</t>
        </is>
      </c>
    </row>
    <row r="259">
      <c r="A259" s="0" t="inlineStr">
        <is>
          <t xml:space="preserve">2342-36-LR26</t>
        </is>
      </c>
      <c r="B259" s="4" t="inlineStr">
        <is>
          <t xml:space="preserve">CONCESIÓN DE ESTACIONAMIENTOS EN CALLES DE LA ZONA CENTRO DE LA COMUNA DE SAN BERNARDO APLICANDO SISTEMA DE CONTROL DE TIEMPO DE USO CAPTADORES DE DATOS</t>
        </is>
      </c>
      <c r="C259" s="0">
        <v>1</v>
      </c>
      <c r="D259" s="4" t="inlineStr">
        <is>
          <t xml:space="preserve">Estacionamientos</t>
        </is>
      </c>
      <c r="E259" s="4" t="inlineStr">
        <is>
          <t xml:space="preserve">Servicios de transporte, almacenaje y correo / Servicios de mantención o reparaciones de transportes / Combustible para vehículos de transporte, estacionamiento y otros servicios de apoyo</t>
        </is>
      </c>
      <c r="F259" s="0">
        <v>1.0</v>
      </c>
      <c r="G259" s="0" t="inlineStr">
        <is>
          <t xml:space="preserve">Unidad</t>
        </is>
      </c>
      <c r="H259" s="4" t="inlineStr">
        <is>
          <t xml:space="preserve">De acuerdo a lo indicado en Especificaciones Técnicas</t>
        </is>
      </c>
    </row>
    <row r="260">
      <c r="A260" s="0" t="inlineStr">
        <is>
          <t xml:space="preserve">1622-22-LP26</t>
        </is>
      </c>
      <c r="B260" s="4" t="inlineStr">
        <is>
          <t xml:space="preserve">ARRIENDO SISTEMA DE INFORMACIÓN DE LABORATORIO HSV</t>
        </is>
      </c>
      <c r="C260" s="0">
        <v>1</v>
      </c>
      <c r="D260" s="4" t="inlineStr">
        <is>
          <t xml:space="preserve">Software del sistema de administración de bases de datos</t>
        </is>
      </c>
      <c r="E260" s="4" t="inlineStr">
        <is>
          <t xml:space="preserve">Tecnologías de la información, telecomunicaciones y radiodifusión / Software / Software de consultas y gestión de datos</t>
        </is>
      </c>
      <c r="F260" s="0">
        <v>1.0</v>
      </c>
      <c r="G260" s="0" t="inlineStr">
        <is>
          <t xml:space="preserve">Unidad</t>
        </is>
      </c>
      <c r="H260" s="4" t="inlineStr">
        <is>
          <t xml:space="preserve">ARRIENDO DE SISTEMA DE INFORMACIÓN DE LABORATORIO CLÍNICO (LIS) POR 36 MESES</t>
        </is>
      </c>
    </row>
    <row r="261">
      <c r="A261" s="0" t="inlineStr">
        <is>
          <t xml:space="preserve">2403-73-LR26</t>
        </is>
      </c>
      <c r="B261" s="4" t="inlineStr">
        <is>
          <t xml:space="preserve">Servicios de conectividad telecomunicaciones operación de infraestructura y gestión de ciberseguridad.</t>
        </is>
      </c>
      <c r="C261" s="0">
        <v>1</v>
      </c>
      <c r="D261" s="4" t="inlineStr">
        <is>
          <t xml:space="preserve">Instalación de sistemas de seguridad</t>
        </is>
      </c>
      <c r="E261" s="4" t="inlineStr">
        <is>
          <t xml:space="preserve">Servicios de construcción y mantenimiento / Servicios de atención, mantenimiento y reparaciones de edificios / Servicios eléctricos</t>
        </is>
      </c>
      <c r="F261" s="0">
        <v>1.0</v>
      </c>
      <c r="G261" s="0" t="inlineStr">
        <is>
          <t xml:space="preserve">Global</t>
        </is>
      </c>
      <c r="H261"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62">
      <c r="A262" s="0" t="inlineStr">
        <is>
          <t xml:space="preserve">634-92-LE26</t>
        </is>
      </c>
      <c r="B262" s="4" t="inlineStr">
        <is>
          <t xml:space="preserve">SISTEMA RADIOGRÁFICO ODONTOLÓGICO DIGITAL</t>
        </is>
      </c>
      <c r="C262" s="0">
        <v>1</v>
      </c>
      <c r="D262" s="4" t="inlineStr">
        <is>
          <t xml:space="preserve">Unidades de Rayos X dentales</t>
        </is>
      </c>
      <c r="E262" s="4" t="inlineStr">
        <is>
          <t xml:space="preserve">Equipamiento y suministros médicos / Equipos y suministros odontológicos / Equipo y suministros para imágenes dentales</t>
        </is>
      </c>
      <c r="F262" s="0">
        <v>1.0</v>
      </c>
      <c r="G262" s="0" t="inlineStr">
        <is>
          <t xml:space="preserve">Unidad</t>
        </is>
      </c>
      <c r="H262" s="4" t="inlineStr">
        <is>
          <t xml:space="preserve">Adquisición sistema radiográfico odontológico digital tipo Ortopantomógrafo con tecnología CBCT para el Servicio Dental del Hospital Penitenciario</t>
        </is>
      </c>
    </row>
    <row r="263">
      <c r="A263" s="0" t="inlineStr">
        <is>
          <t xml:space="preserve">3755-6-LP26</t>
        </is>
      </c>
      <c r="B263" s="4" t="inlineStr">
        <is>
          <t xml:space="preserve">Serv datos de tránsito y tráfico de dispositivos</t>
        </is>
      </c>
      <c r="C263" s="0">
        <v>1</v>
      </c>
      <c r="D263" s="4" t="inlineStr">
        <is>
          <t xml:space="preserve">Software de extracción de datos</t>
        </is>
      </c>
      <c r="E263" s="4" t="inlineStr">
        <is>
          <t xml:space="preserve">Tecnologías de la información, telecomunicaciones y radiodifusión / Software / Software de consultas y gestión de datos</t>
        </is>
      </c>
      <c r="F263" s="0">
        <v>1.0</v>
      </c>
      <c r="G263" s="0" t="inlineStr">
        <is>
          <t xml:space="preserve">Global</t>
        </is>
      </c>
      <c r="H263" s="4" t="inlineStr">
        <is>
          <t xml:space="preserve">SERVICIO DE DATOS DE TRÁNSITO Y TRÁFICO PROVISTOS DESDE LA NAVEGACIÓN DE DISPOSITIVOS QUE CUENTEN CON GPS</t>
        </is>
      </c>
    </row>
    <row r="264">
      <c r="A264" s="0" t="inlineStr">
        <is>
          <t xml:space="preserve">799595-5-LP26</t>
        </is>
      </c>
      <c r="B264" s="4" t="inlineStr">
        <is>
          <t xml:space="preserve">Servicio de Cloud Computing MINDEP</t>
        </is>
      </c>
      <c r="C264" s="0">
        <v>1</v>
      </c>
      <c r="D264" s="4" t="inlineStr">
        <is>
          <t xml:space="preserve">Centro de servicios de datos</t>
        </is>
      </c>
      <c r="E264" s="4" t="inlineStr">
        <is>
          <t xml:space="preserve">Servicios basados en ingeniería, ciencias sociales y tecnología de la información / Servicios informáticos / Servicios de datos</t>
        </is>
      </c>
      <c r="F264" s="0">
        <v>1.0</v>
      </c>
      <c r="G264" s="0" t="inlineStr">
        <is>
          <t xml:space="preserve">Unidad</t>
        </is>
      </c>
      <c r="H264" s="4" t="inlineStr">
        <is>
          <t xml:space="preserve">SERVICIO DE CLOUD COMPUTING Y SERVICIOS ASOCIADOS, PARA LA SUBSECRETARÍA DEL DEPORTE</t>
        </is>
      </c>
    </row>
    <row r="265">
      <c r="A265" s="0" t="inlineStr">
        <is>
          <t xml:space="preserve">434-110-LP26</t>
        </is>
      </c>
      <c r="B265" s="4" t="inlineStr">
        <is>
          <t xml:space="preserve">SISTEMA DE GESTIÓN DOCUMENTAL SEGÚN LEY N°21.180</t>
        </is>
      </c>
      <c r="C265" s="0">
        <v>1</v>
      </c>
      <c r="D265" s="4" t="inlineStr">
        <is>
          <t xml:space="preserve">Servicios de investigación o medición</t>
        </is>
      </c>
      <c r="E265" s="4" t="inlineStr">
        <is>
          <t xml:space="preserve">Artículos para estructuras, obras y construcciones / Construcciones permanentes / Construcciones para educación e investigación</t>
        </is>
      </c>
      <c r="F265" s="0">
        <v>1.0</v>
      </c>
      <c r="G265" s="0" t="inlineStr">
        <is>
          <t xml:space="preserve">Unidad</t>
        </is>
      </c>
      <c r="H265" s="4" t="inlineStr">
        <is>
          <t xml:space="preserve">SERVICIO INTEGRADO DE BRANDING ESTRATEGICO, SOCIAL LISTENING Y ESTRATEGIA CREATIVA APLICADA, SEGUN BASES TECNICAS ADJUNTAS</t>
        </is>
      </c>
    </row>
    <row r="266">
      <c r="A266" s="0" t="inlineStr">
        <is>
          <t xml:space="preserve">434-110-LP26</t>
        </is>
      </c>
      <c r="B266" s="4" t="inlineStr">
        <is>
          <t xml:space="preserve">SISTEMA DE GESTIÓN DOCUMENTAL SEGÚN LEY N°21.180</t>
        </is>
      </c>
      <c r="C266" s="0">
        <v>2</v>
      </c>
      <c r="D266" s="4" t="inlineStr">
        <is>
          <t xml:space="preserve">Servicios de investigación o medición</t>
        </is>
      </c>
      <c r="E266" s="4" t="inlineStr">
        <is>
          <t xml:space="preserve">Artículos para estructuras, obras y construcciones / Construcciones permanentes / Construcciones para educación e investigación</t>
        </is>
      </c>
      <c r="F266" s="0">
        <v>1.0</v>
      </c>
      <c r="G266" s="0" t="inlineStr">
        <is>
          <t xml:space="preserve">Unidad</t>
        </is>
      </c>
      <c r="H266" s="4" t="inlineStr">
        <is>
          <t xml:space="preserve">SISTEMA DE GESTIÓN DOCUMENTAL Y ACOMPAÑAMIENTO EN LA IMPLEMENTACIÓN DE LA LEY N°21.180 DE TRANSFORMACIÓN DIGITAL DEL ESTADO SEGÚN BASES TÉCNICAS ADJUNTAS (IGNORAR SERVICIO ANTERIOR).</t>
        </is>
      </c>
    </row>
    <row r="267">
      <c r="A267" s="0" t="inlineStr">
        <is>
          <t xml:space="preserve">2308-90-LE26</t>
        </is>
      </c>
      <c r="B267" s="4" t="inlineStr">
        <is>
          <t xml:space="preserve">REPARACIÓN MODERNIZACIÓN PUESTA EN MARCHA Y CERTIFICACIÓN DEL ASCENSOR DEL EDIFICIO CONSISTORIAL OSORNO</t>
        </is>
      </c>
      <c r="C267" s="0">
        <v>1</v>
      </c>
      <c r="D267" s="4" t="inlineStr">
        <is>
          <t xml:space="preserve">Servicios de mantenimiento de ascensores</t>
        </is>
      </c>
      <c r="E267" s="4" t="inlineStr">
        <is>
          <t xml:space="preserve">Servicios de construcción y mantenimiento / Servicios de atención, mantenimiento y reparaciones de edificios / Servicios de apoyo para la construcción</t>
        </is>
      </c>
      <c r="F267" s="0">
        <v>1.0</v>
      </c>
      <c r="G267" s="0" t="inlineStr">
        <is>
          <t xml:space="preserve">Unidad</t>
        </is>
      </c>
      <c r="H267" s="4" t="inlineStr">
        <is>
          <t xml:space="preserve">Reparación, Modernización, Puesta en Marcha y Certificación del Ascensor del Edificio Consistorial, Osorno.</t>
        </is>
      </c>
    </row>
    <row r="268">
      <c r="A268" s="0" t="inlineStr">
        <is>
          <t xml:space="preserve">5360-5-LP26</t>
        </is>
      </c>
      <c r="B268" s="4" t="inlineStr">
        <is>
          <t xml:space="preserve">SERVICIOS DE ELECTRICIDAD Y DATOS UTA - ARICA</t>
        </is>
      </c>
      <c r="C268" s="0">
        <v>1</v>
      </c>
      <c r="D268" s="4" t="inlineStr">
        <is>
          <t xml:space="preserve">Instalación o servicio de sistemas de energía eléctrica</t>
        </is>
      </c>
      <c r="E268" s="4" t="inlineStr">
        <is>
          <t xml:space="preserve">Servicios de construcción y mantenimiento / Servicios de atención, mantenimiento y reparaciones de edificios / Servicios eléctricos</t>
        </is>
      </c>
      <c r="F268" s="0">
        <v>1.0</v>
      </c>
      <c r="G268" s="0" t="inlineStr">
        <is>
          <t xml:space="preserve">Unidad</t>
        </is>
      </c>
      <c r="H268" s="4" t="inlineStr">
        <is>
          <t xml:space="preserve">Servicios de electricidad y datos, para dependencias de la Universidad de Tarapacá en Arica, según anexo N°6.</t>
        </is>
      </c>
    </row>
    <row r="269">
      <c r="A269" s="0" t="inlineStr">
        <is>
          <t xml:space="preserve">622-66-LE26</t>
        </is>
      </c>
      <c r="B269" s="4" t="inlineStr">
        <is>
          <t xml:space="preserve">ADQUISICIÓN DE LICENCIAS PARA SOFTWARE DLP</t>
        </is>
      </c>
      <c r="C269" s="0">
        <v>1</v>
      </c>
      <c r="D269" s="4" t="inlineStr">
        <is>
          <t xml:space="preserve">Software de gestión de licencias</t>
        </is>
      </c>
      <c r="E269" s="4" t="inlineStr">
        <is>
          <t xml:space="preserve">Tecnologías de la información, telecomunicaciones y radiodifusión / Software / Software de gestión</t>
        </is>
      </c>
      <c r="F269" s="0">
        <v>1.0</v>
      </c>
      <c r="G269" s="0" t="inlineStr">
        <is>
          <t xml:space="preserve">Unidad</t>
        </is>
      </c>
      <c r="H269" s="4" t="inlineStr">
        <is>
          <t xml:space="preserve">Suscripción de Licenciamiento Endpoint DLP (Trellix DLP Endpoint Complete o equivalente), incluyendo implementación (revisar anexo 1 de las bases)</t>
        </is>
      </c>
    </row>
    <row r="270">
      <c r="A270" s="0" t="inlineStr">
        <is>
          <t xml:space="preserve">2981-287-LP26</t>
        </is>
      </c>
      <c r="B270" s="4" t="inlineStr">
        <is>
          <t xml:space="preserve">CIBERSEGURIDAD- CONSULTORIA</t>
        </is>
      </c>
      <c r="C270" s="0">
        <v>1</v>
      </c>
      <c r="D270" s="4" t="inlineStr">
        <is>
          <t xml:space="preserve">Asesorías en gestión estratégica</t>
        </is>
      </c>
      <c r="E270" s="4" t="inlineStr">
        <is>
          <t xml:space="preserve">Servicios profesionales, administrativos y consultorías de gestión empresarial / Consultorías o asesorías en gestión empresarial / Servicios de consultoría en gestión de empresas</t>
        </is>
      </c>
      <c r="F270" s="0">
        <v>1.0</v>
      </c>
      <c r="G270" s="0" t="inlineStr">
        <is>
          <t xml:space="preserve">Unidad</t>
        </is>
      </c>
      <c r="H270" s="4" t="inlineStr">
        <is>
          <t xml:space="preserve">CONTRATACION  DEL SERVICIO DE CONSULTORIA PARA LA IMPLEMENTACION DE UN SISTEMA DE SEGURIDAD DE LA INFORMACION PARA LA PDI.</t>
        </is>
      </c>
    </row>
    <row r="271">
      <c r="A271" s="0" t="inlineStr">
        <is>
          <t xml:space="preserve">1057049-376-LP26</t>
        </is>
      </c>
      <c r="B271" s="4" t="inlineStr">
        <is>
          <t xml:space="preserve">PROV E INSTALACIÓN DE PLATAFORMAS DE SEGURIDAD PARA SHAFTS DEL HOSPITAL CLÍNICO SAN BORJA ARRIARÁN</t>
        </is>
      </c>
      <c r="C271" s="0">
        <v>1</v>
      </c>
      <c r="D271" s="4" t="inlineStr">
        <is>
          <t xml:space="preserve">Plataforma elevadora</t>
        </is>
      </c>
      <c r="E271" s="4" t="inlineStr">
        <is>
          <t xml:space="preserve">Maquinaria para construcción y edificación / Maquinaria pesada de construcción / Elevadores</t>
        </is>
      </c>
      <c r="F271" s="0">
        <v>1.0</v>
      </c>
      <c r="G271" s="0" t="inlineStr">
        <is>
          <t xml:space="preserve">Global</t>
        </is>
      </c>
      <c r="H271" s="4" t="inlineStr">
        <is>
          <t xml:space="preserve">Servicio de Provisión e Instalación de Plataformas de Seguridad para Shafts del Hospital Clínico San Borja Arriarán</t>
        </is>
      </c>
    </row>
    <row r="272">
      <c r="A272" s="0" t="inlineStr">
        <is>
          <t xml:space="preserve">1005498-24-LP26</t>
        </is>
      </c>
      <c r="B272" s="4" t="inlineStr">
        <is>
          <t xml:space="preserve">SUSCRIPCIÓN DE LICENCIAS EN MODALIDAD CLOUD</t>
        </is>
      </c>
      <c r="C272" s="0">
        <v>1</v>
      </c>
      <c r="D272" s="4" t="inlineStr">
        <is>
          <t xml:space="preserve">Up grade de software</t>
        </is>
      </c>
      <c r="E272" s="4" t="inlineStr">
        <is>
          <t xml:space="preserve">Servicios basados en ingeniería, ciencias sociales y tecnología de la información / Servicios informáticos / Mantenimiento y soporte de software</t>
        </is>
      </c>
      <c r="F272" s="0">
        <v>1.0</v>
      </c>
      <c r="G272" s="0" t="inlineStr">
        <is>
          <t xml:space="preserve">Global</t>
        </is>
      </c>
      <c r="H272" s="4" t="inlineStr">
        <is>
          <t xml:space="preserve">SUSCRIPCIÓN DE LICENCIAS EN MODALIDAD CLOUD COMPUTING SaaS CON SOPORTE LOCAL Y MANTENCIÓN</t>
        </is>
      </c>
    </row>
    <row r="273">
      <c r="A273" s="0" t="inlineStr">
        <is>
          <t xml:space="preserve">5512-18-LE26</t>
        </is>
      </c>
      <c r="B273" s="4" t="inlineStr">
        <is>
          <t xml:space="preserve">ADQUISICIÓN DE MINICOMPUTADORES PARA IA PROYECTO UTA 22991</t>
        </is>
      </c>
      <c r="C273" s="0">
        <v>1</v>
      </c>
      <c r="D273" s="4" t="inlineStr">
        <is>
          <t xml:space="preserve">Computadores de escritorio</t>
        </is>
      </c>
      <c r="E273" s="4" t="inlineStr">
        <is>
          <t xml:space="preserve">Tecnologías de la información, telecomunicaciones y radiodifusión / Equipos informáticos y accesorios / Computadores</t>
        </is>
      </c>
      <c r="F273" s="0">
        <v>3.0</v>
      </c>
      <c r="G273" s="0" t="inlineStr">
        <is>
          <t xml:space="preserve">Unidad</t>
        </is>
      </c>
      <c r="H273" s="4" t="inlineStr">
        <is>
          <t xml:space="preserve">Adquisición de minicomputadores/nodos de cómputo para IA con cables de interconexión directa QSFP, destinados a la conformación de un clúster en topología en anillo (ring topology) para transmisión de datos de alta velocidad punto a punto entre nodos.</t>
        </is>
      </c>
    </row>
    <row r="274">
      <c r="A274" s="0" t="inlineStr">
        <is>
          <t xml:space="preserve">1067778-4-LP26</t>
        </is>
      </c>
      <c r="B274" s="4" t="inlineStr">
        <is>
          <t xml:space="preserve">ARRIENDO CON OPCION DE COMPRA  DE SERVIDOR PARA IA</t>
        </is>
      </c>
      <c r="C274" s="0">
        <v>1</v>
      </c>
      <c r="D274" s="4" t="inlineStr">
        <is>
          <t xml:space="preserve">Servidores</t>
        </is>
      </c>
      <c r="E274" s="4" t="inlineStr">
        <is>
          <t xml:space="preserve">Tecnologías de la información, telecomunicaciones y radiodifusión / Equipos informáticos y accesorios / Computadores</t>
        </is>
      </c>
      <c r="F274" s="0">
        <v>60.0</v>
      </c>
      <c r="G274" s="0" t="inlineStr">
        <is>
          <t xml:space="preserve">Mes</t>
        </is>
      </c>
      <c r="H274" s="4" t="inlineStr">
        <is>
          <t xml:space="preserve">ARRIENDO CON OPCION DE COMPRA DE SERVIDOR PARA IA. VER BASES PARA MAYOR DETALLE</t>
        </is>
      </c>
    </row>
    <row r="275">
      <c r="A275" s="0" t="inlineStr">
        <is>
          <t xml:space="preserve">976-18-O126</t>
        </is>
      </c>
      <c r="B275" s="4" t="inlineStr">
        <is>
          <t xml:space="preserve">ATIF Ampliación Plataformas Comercial y General Ad. El Loa</t>
        </is>
      </c>
      <c r="C275" s="0">
        <v>1</v>
      </c>
      <c r="D275" s="4" t="inlineStr">
        <is>
          <t xml:space="preserve">Licitación Pública de Consultoria</t>
        </is>
      </c>
      <c r="E275" s="4" t="inlineStr">
        <is>
          <t xml:space="preserve">Consultoria / Consultoria / Planificación y Factibilidad</t>
        </is>
      </c>
      <c r="F275" s="0">
        <v>1.0</v>
      </c>
      <c r="G275" s="0" t="inlineStr">
        <is>
          <t xml:space="preserve">Unidad</t>
        </is>
      </c>
      <c r="H275" s="4" t="inlineStr">
        <is>
          <t xml:space="preserve">Licitación Pública de Consultoria</t>
        </is>
      </c>
    </row>
    <row r="276">
      <c r="A276" s="0" t="inlineStr">
        <is>
          <t xml:space="preserve">2490-91-LP26</t>
        </is>
      </c>
      <c r="B276" s="4" t="inlineStr">
        <is>
          <t xml:space="preserve">ARRIENDO SOPORTE Y MANTENCIÓN DE GABINETES PSICOSENSOMÉTRICOS Y EQUIPOS COMPUTACIONALES CON SOFTWARE SPI INTEGRADO 2027-2031</t>
        </is>
      </c>
      <c r="C276" s="0">
        <v>1</v>
      </c>
      <c r="D276" s="4" t="inlineStr">
        <is>
          <t xml:space="preserve">Señales de tránsito</t>
        </is>
      </c>
      <c r="E276" s="4" t="inlineStr">
        <is>
          <t xml:space="preserve">Equipos y suministros de defensa, orden público, protección y seguridad / Seguridad y control público / Control de tráfico</t>
        </is>
      </c>
      <c r="F276" s="0">
        <v>1.0</v>
      </c>
      <c r="G276" s="0" t="inlineStr">
        <is>
          <t xml:space="preserve">Global</t>
        </is>
      </c>
      <c r="H276" s="4" t="inlineStr">
        <is>
          <t xml:space="preserve">“ARRIENDO, SOPORTE Y MANTENCIÓN DE GABINETES PSICOSENSOMÉTRICOS Y EQUIPOS COMPUTACIONALES CON SOFTWARE SPI INTEGRADO 2027-2031”</t>
        </is>
      </c>
    </row>
    <row r="277">
      <c r="A277" s="0" t="inlineStr">
        <is>
          <t xml:space="preserve">2982-48-LE26</t>
        </is>
      </c>
      <c r="B277" s="4" t="inlineStr">
        <is>
          <t xml:space="preserve">SERVICIO DE RENOVACIÓN Y ADQUISICIÓN DE LICENCIAS SOFTWARE DETEP - JENAED</t>
        </is>
      </c>
      <c r="C277" s="0">
        <v>1</v>
      </c>
      <c r="D277" s="4" t="inlineStr">
        <is>
          <t xml:space="preserve">Software de gestión de licencias</t>
        </is>
      </c>
      <c r="E277" s="4" t="inlineStr">
        <is>
          <t xml:space="preserve">Tecnologías de la información, telecomunicaciones y radiodifusión / Software / Software de gestión</t>
        </is>
      </c>
      <c r="F277" s="0">
        <v>1.0</v>
      </c>
      <c r="G277" s="0" t="inlineStr">
        <is>
          <t xml:space="preserve">Kit</t>
        </is>
      </c>
      <c r="H277" s="4" t="inlineStr">
        <is>
          <t xml:space="preserve">SEGÚN LISTADO DETALLADO EN BASES DE LICITACIÓN</t>
        </is>
      </c>
    </row>
    <row r="278">
      <c r="A278" s="0" t="inlineStr">
        <is>
          <t xml:space="preserve">5441-12-LP26</t>
        </is>
      </c>
      <c r="B278" s="4" t="inlineStr">
        <is>
          <t xml:space="preserve">Generador 500 kVA y Tablero de Transf. Autom. 800A</t>
        </is>
      </c>
      <c r="C278" s="0">
        <v>1</v>
      </c>
      <c r="D278" s="4" t="inlineStr">
        <is>
          <t xml:space="preserve">Generadores diesel</t>
        </is>
      </c>
      <c r="E278" s="4" t="inlineStr">
        <is>
          <t xml:space="preserve">Maquinaria para generación y distribución de energía / Transmisión de energía eléctrica, mecánica y cinética / Grupos electrógenos</t>
        </is>
      </c>
      <c r="F278" s="0">
        <v>1.0</v>
      </c>
      <c r="G278" s="0" t="inlineStr">
        <is>
          <t xml:space="preserve">Unidad</t>
        </is>
      </c>
      <c r="H278" s="4" t="inlineStr">
        <is>
          <t xml:space="preserve">GENERADOR DE 500 kVA, SEGÚN BASES ADMINISTRATIVAS Y TÉCNICAS.</t>
        </is>
      </c>
    </row>
    <row r="279">
      <c r="A279" s="0" t="inlineStr">
        <is>
          <t xml:space="preserve">5441-12-LP26</t>
        </is>
      </c>
      <c r="B279" s="4" t="inlineStr">
        <is>
          <t xml:space="preserve">Generador 500 kVA y Tablero de Transf. Autom. 800A</t>
        </is>
      </c>
      <c r="C279" s="0">
        <v>2</v>
      </c>
      <c r="D279" s="4" t="inlineStr">
        <is>
          <t xml:space="preserve">Paneles de control eléctrico para generadores</t>
        </is>
      </c>
      <c r="E279" s="4" t="inlineStr">
        <is>
          <t xml:space="preserve">Maquinaria para generación y distribución de energía / Generación de energía / Equipo para control de producción de energía</t>
        </is>
      </c>
      <c r="F279" s="0">
        <v>1.0</v>
      </c>
      <c r="G279" s="0" t="inlineStr">
        <is>
          <t xml:space="preserve">Unidad</t>
        </is>
      </c>
      <c r="H279" s="4" t="inlineStr">
        <is>
          <t xml:space="preserve">TABLERO DE TRANSFERENCIA AUTOMÁTICA, SEGÚN BASES ADMINISTRATIVAS Y TÉCNICAS.</t>
        </is>
      </c>
    </row>
    <row r="280">
      <c r="A280" s="0" t="inlineStr">
        <is>
          <t xml:space="preserve">587-47-LE26</t>
        </is>
      </c>
      <c r="B280" s="4" t="inlineStr">
        <is>
          <t xml:space="preserve">RENOVACIÓN DE LICENCIAS DE SOFTWARE</t>
        </is>
      </c>
      <c r="C280" s="0">
        <v>1</v>
      </c>
      <c r="D280" s="4" t="inlineStr">
        <is>
          <t xml:space="preserve">Software de gestión de licencias</t>
        </is>
      </c>
      <c r="E280" s="4" t="inlineStr">
        <is>
          <t xml:space="preserve">Tecnologías de la información, telecomunicaciones y radiodifusión / Software / Software de gestión</t>
        </is>
      </c>
      <c r="F280" s="0">
        <v>12.0</v>
      </c>
      <c r="G280" s="0" t="inlineStr">
        <is>
          <t xml:space="preserve">Unidad</t>
        </is>
      </c>
      <c r="H280"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281">
      <c r="A281" s="0" t="inlineStr">
        <is>
          <t xml:space="preserve">2735-149-LR26</t>
        </is>
      </c>
      <c r="B281" s="4" t="inlineStr">
        <is>
          <t xml:space="preserve">Servicio de Software de Gestión y Registro Clinico</t>
        </is>
      </c>
      <c r="C281" s="0">
        <v>1</v>
      </c>
      <c r="D281" s="4" t="inlineStr">
        <is>
          <t xml:space="preserve">Software médico</t>
        </is>
      </c>
      <c r="E281" s="4" t="inlineStr">
        <is>
          <t xml:space="preserve">Tecnologías de la información, telecomunicaciones y radiodifusión / Software / Software específico para la industria</t>
        </is>
      </c>
      <c r="F281" s="0">
        <v>1.0</v>
      </c>
      <c r="G281" s="0" t="inlineStr">
        <is>
          <t xml:space="preserve">Unidad</t>
        </is>
      </c>
      <c r="H281"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282">
      <c r="A282" s="0" t="inlineStr">
        <is>
          <t xml:space="preserve">621-909-LR26</t>
        </is>
      </c>
      <c r="B282" s="4" t="inlineStr">
        <is>
          <t xml:space="preserve">TERMOGRAFO DIGITAL MONITOREO TEMPERATURA 1000023277</t>
        </is>
      </c>
      <c r="C282" s="0">
        <v>1</v>
      </c>
      <c r="D282" s="4" t="inlineStr">
        <is>
          <t xml:space="preserve">Termómetros de tele indicación</t>
        </is>
      </c>
      <c r="E282" s="4" t="inlineStr">
        <is>
          <t xml:space="preserve">Equipamiento para laboratorios / Instrumentos de medida y experimentación / Instrumentos para medir temperatura y calor</t>
        </is>
      </c>
      <c r="F282" s="0">
        <v>3000.0</v>
      </c>
      <c r="G282" s="0" t="inlineStr">
        <is>
          <t xml:space="preserve">Unidad</t>
        </is>
      </c>
      <c r="H282" s="4" t="inlineStr">
        <is>
          <t xml:space="preserve">TERMOGRAFO DIGITAL MONITOREO TEMPERATURA; 100005575</t>
        </is>
      </c>
    </row>
    <row r="283">
      <c r="A283" s="0" t="inlineStr">
        <is>
          <t xml:space="preserve">2426-52-LR26</t>
        </is>
      </c>
      <c r="B283" s="4" t="inlineStr">
        <is>
          <t xml:space="preserve">DATACENTER ENLACES DE DATOS TELEFONIA E INTERNET</t>
        </is>
      </c>
      <c r="C283" s="0">
        <v>1</v>
      </c>
      <c r="D283" s="4" t="inlineStr">
        <is>
          <t xml:space="preserve">Centro de servicios de datos</t>
        </is>
      </c>
      <c r="E283" s="4" t="inlineStr">
        <is>
          <t xml:space="preserve">Servicios basados en ingeniería, ciencias sociales y tecnología de la información / Servicios informáticos / Servicios de datos</t>
        </is>
      </c>
      <c r="F283" s="0">
        <v>1.0</v>
      </c>
      <c r="G283" s="0" t="inlineStr">
        <is>
          <t xml:space="preserve">Unidad</t>
        </is>
      </c>
      <c r="H283" s="4"/>
    </row>
    <row r="284">
      <c r="A284" s="0" t="inlineStr">
        <is>
          <t xml:space="preserve">4127-51-LR26</t>
        </is>
      </c>
      <c r="B284" s="4" t="inlineStr">
        <is>
          <t xml:space="preserve">[DIGEDEP]Cursos M-Learning Plataforma SIAD 26-27</t>
        </is>
      </c>
      <c r="C284" s="0">
        <v>1</v>
      </c>
      <c r="D284" s="4" t="inlineStr">
        <is>
          <t xml:space="preserve">Capacitación a empleados</t>
        </is>
      </c>
      <c r="E284" s="4" t="inlineStr">
        <is>
          <t xml:space="preserve">Educación, formación, entrenamiento y capacitación / Sistemas educativos complementarios / Educación de adultos</t>
        </is>
      </c>
      <c r="F284" s="0">
        <v>1.0</v>
      </c>
      <c r="G284" s="0" t="inlineStr">
        <is>
          <t xml:space="preserve">Unidad</t>
        </is>
      </c>
      <c r="H284" s="4"/>
    </row>
    <row r="285">
      <c r="A285" s="0" t="inlineStr">
        <is>
          <t xml:space="preserve">1020-54-LP26</t>
        </is>
      </c>
      <c r="B285" s="4" t="inlineStr">
        <is>
          <t xml:space="preserve">Administración y Mantención de Bases de Datos MOP</t>
        </is>
      </c>
      <c r="C285" s="0">
        <v>1</v>
      </c>
      <c r="D285" s="4" t="inlineStr">
        <is>
          <t xml:space="preserve">Administradores de bases de datos</t>
        </is>
      </c>
      <c r="E285" s="4" t="inlineStr">
        <is>
          <t xml:space="preserve">Servicios profesionales, administrativos y consultorías de gestión empresarial / Servicios de recursos humanos / Contratación de personal</t>
        </is>
      </c>
      <c r="F285" s="0">
        <v>24.0</v>
      </c>
      <c r="G285" s="0" t="inlineStr">
        <is>
          <t xml:space="preserve">Mes</t>
        </is>
      </c>
      <c r="H285" s="4" t="inlineStr">
        <is>
          <t xml:space="preserve">SERVICIO DE ADMINISTRACIÓN  Y  MANTENCION DE BASES DE DATOS  ORACLE, MS SQL SERVER, POSTGRESQL y MySQL (24 meses)</t>
        </is>
      </c>
    </row>
    <row r="286">
      <c r="A286" s="0" t="inlineStr">
        <is>
          <t xml:space="preserve">605-17-LP26</t>
        </is>
      </c>
      <c r="B286" s="4" t="inlineStr">
        <is>
          <t xml:space="preserve">TELEFONÍA FIJA Y RED PRIVADA DE DATOS</t>
        </is>
      </c>
      <c r="C286" s="0">
        <v>1</v>
      </c>
      <c r="D286" s="4" t="inlineStr">
        <is>
          <t xml:space="preserve">Servicio telefónico local</t>
        </is>
      </c>
      <c r="E286" s="4" t="inlineStr">
        <is>
          <t xml:space="preserve">Servicios básicos y de información pública / Telecomunicaciones / Telefonía local y de larga distancia</t>
        </is>
      </c>
      <c r="F286" s="0">
        <v>1.0</v>
      </c>
      <c r="G286" s="0" t="inlineStr">
        <is>
          <t xml:space="preserve">Unidad</t>
        </is>
      </c>
      <c r="H286"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87">
      <c r="A287" s="0" t="inlineStr">
        <is>
          <t xml:space="preserve">605-17-LP26</t>
        </is>
      </c>
      <c r="B287" s="4" t="inlineStr">
        <is>
          <t xml:space="preserve">TELEFONÍA FIJA Y RED PRIVADA DE DATOS</t>
        </is>
      </c>
      <c r="C287" s="0">
        <v>2</v>
      </c>
      <c r="D287" s="4" t="inlineStr">
        <is>
          <t xml:space="preserve">Servicio de comunicación IP</t>
        </is>
      </c>
      <c r="E287" s="4" t="inlineStr">
        <is>
          <t xml:space="preserve">Servicios básicos y de información pública / Telecomunicaciones / Telefonía local y de larga distancia</t>
        </is>
      </c>
      <c r="F287" s="0">
        <v>1.0</v>
      </c>
      <c r="G287" s="0" t="inlineStr">
        <is>
          <t xml:space="preserve">Unidad</t>
        </is>
      </c>
      <c r="H287"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88">
      <c r="A288" s="0" t="inlineStr">
        <is>
          <t xml:space="preserve">2421-52-LR26</t>
        </is>
      </c>
      <c r="B288" s="4" t="inlineStr">
        <is>
          <t xml:space="preserve">SUMINISTRO SERVICIO DE TELECOMUNICACIONES DATOS Y VOZ</t>
        </is>
      </c>
      <c r="C288" s="0">
        <v>1</v>
      </c>
      <c r="D288" s="4" t="inlineStr">
        <is>
          <t xml:space="preserve">Servicio telefónico local</t>
        </is>
      </c>
      <c r="E288" s="4" t="inlineStr">
        <is>
          <t xml:space="preserve">Servicios básicos y de información pública / Telecomunicaciones / Telefonía local y de larga distancia</t>
        </is>
      </c>
      <c r="F288" s="0">
        <v>1.0</v>
      </c>
      <c r="G288" s="0" t="inlineStr">
        <is>
          <t xml:space="preserve">Unidad</t>
        </is>
      </c>
      <c r="H288" s="4" t="inlineStr">
        <is>
          <t xml:space="preserve">Valor total neto mensual (sin impuesto) por los servicios de red de datos, Internet en red de datos, sistema de comunicación de voz y otros, según especificaciones técnicas adjuntas (Anexo Nº8). VER FORMATO ANEXO Nº4.</t>
        </is>
      </c>
    </row>
    <row r="289">
      <c r="A289" s="0" t="inlineStr">
        <is>
          <t xml:space="preserve">2421-52-LR26</t>
        </is>
      </c>
      <c r="B289" s="4" t="inlineStr">
        <is>
          <t xml:space="preserve">SUMINISTRO SERVICIO DE TELECOMUNICACIONES DATOS Y VOZ</t>
        </is>
      </c>
      <c r="C289" s="0">
        <v>2</v>
      </c>
      <c r="D289" s="4" t="inlineStr">
        <is>
          <t xml:space="preserve">Servicio telefónico local</t>
        </is>
      </c>
      <c r="E289" s="4" t="inlineStr">
        <is>
          <t xml:space="preserve">Servicios básicos y de información pública / Telecomunicaciones / Telefonía local y de larga distancia</t>
        </is>
      </c>
      <c r="F289" s="0">
        <v>1.0</v>
      </c>
      <c r="G289" s="0" t="inlineStr">
        <is>
          <t xml:space="preserve">Unidad</t>
        </is>
      </c>
      <c r="H289" s="4" t="inlineStr">
        <is>
          <t xml:space="preserve">Valor Total Neto Cobro Inicial correspondiente a la habilitación y puesta en marcha de los Servicios, cobro aplicado por única vez.</t>
        </is>
      </c>
    </row>
    <row r="290">
      <c r="A290" s="0" t="inlineStr">
        <is>
          <t xml:space="preserve">1260-17-LP26</t>
        </is>
      </c>
      <c r="B290" s="4" t="inlineStr">
        <is>
          <t xml:space="preserve">NARRATIVAS DIGITALES Y PRODUCCION CONTENIDOS</t>
        </is>
      </c>
      <c r="C290" s="0">
        <v>1</v>
      </c>
      <c r="D290" s="4" t="inlineStr">
        <is>
          <t xml:space="preserve">Agencias de marketing de ventas, incluidas las impresiones</t>
        </is>
      </c>
      <c r="E290" s="4" t="inlineStr">
        <is>
          <t xml:space="preserve">Servicios profesionales, administrativos y consultorías de gestión empresarial / Servicios para la comercialización y distribución / Ventas y marketing</t>
        </is>
      </c>
      <c r="F290" s="0">
        <v>1.0</v>
      </c>
      <c r="G290" s="0" t="inlineStr">
        <is>
          <t xml:space="preserve">Unidad</t>
        </is>
      </c>
      <c r="H290" s="4" t="inlineStr">
        <is>
          <t xml:space="preserve">SERVICIO DE ANÁLISIS DE NARRATIVAS DIGITALES Y PRODUCCIÓN DE CONTENIDOS CREATIVOS. Ver archivos adjuntos RES_EXENTA_N°1419(11-08-2026)_Aprueba Bases.pdf y RESOLUCION_EXENTA_N°1745(06-10-2026)_Modifica REX 1419.pdf</t>
        </is>
      </c>
    </row>
    <row r="291">
      <c r="A291" s="0" t="inlineStr">
        <is>
          <t xml:space="preserve">1057898-85-LR26</t>
        </is>
      </c>
      <c r="B291" s="4" t="inlineStr">
        <is>
          <t xml:space="preserve">ADQUISICIÓN DE SOFTWARES HIS-ESB-BI Y ERP PARA EL NUEVO HOSPITAL REGIONAL DE ÑUBLE</t>
        </is>
      </c>
      <c r="C291" s="0">
        <v>1</v>
      </c>
      <c r="D291" s="4" t="inlineStr">
        <is>
          <t xml:space="preserve">Software de administración</t>
        </is>
      </c>
      <c r="E291" s="4" t="inlineStr">
        <is>
          <t xml:space="preserve">Tecnologías de la información, telecomunicaciones y radiodifusión / Software / Software de administración de redes</t>
        </is>
      </c>
      <c r="F291" s="0">
        <v>1.0</v>
      </c>
      <c r="G291" s="0" t="inlineStr">
        <is>
          <t xml:space="preserve">Global</t>
        </is>
      </c>
      <c r="H291" s="4" t="inlineStr">
        <is>
          <t xml:space="preserve">FAMILIA N°1: SISTEMAS 1 PAQUETIZADO SOFTWARE PRINCIPAL(SOFTWARE COMO SERVICIO)</t>
        </is>
      </c>
    </row>
    <row r="292">
      <c r="A292" s="0" t="inlineStr">
        <is>
          <t xml:space="preserve">1057898-85-LR26</t>
        </is>
      </c>
      <c r="B292" s="4" t="inlineStr">
        <is>
          <t xml:space="preserve">ADQUISICIÓN DE SOFTWARES HIS-ESB-BI Y ERP PARA EL NUEVO HOSPITAL REGIONAL DE ÑUBLE</t>
        </is>
      </c>
      <c r="C292" s="0">
        <v>2</v>
      </c>
      <c r="D292" s="4" t="inlineStr">
        <is>
          <t xml:space="preserve">Software de administración</t>
        </is>
      </c>
      <c r="E292" s="4" t="inlineStr">
        <is>
          <t xml:space="preserve">Tecnologías de la información, telecomunicaciones y radiodifusión / Software / Software de administración de redes</t>
        </is>
      </c>
      <c r="F292" s="0">
        <v>1.0</v>
      </c>
      <c r="G292" s="0" t="inlineStr">
        <is>
          <t xml:space="preserve">Global</t>
        </is>
      </c>
      <c r="H292" s="4" t="inlineStr">
        <is>
          <t xml:space="preserve">FAMILIA N°2: SISTEMAS 2 SISTEMA ERP (SOFTWARE COMO SERVICIO)</t>
        </is>
      </c>
    </row>
    <row r="293">
      <c r="A293" s="0" t="inlineStr">
        <is>
          <t xml:space="preserve">1969-34-LS19</t>
        </is>
      </c>
      <c r="B293" s="4" t="inlineStr">
        <is>
          <t xml:space="preserve">AUTOMATIZACIÓN PORTÓN ACCESO A LINEA DE FUEGO</t>
        </is>
      </c>
      <c r="C293" s="0">
        <v>1</v>
      </c>
      <c r="D293" s="4" t="inlineStr">
        <is>
          <t xml:space="preserve">Puertas de metal</t>
        </is>
      </c>
      <c r="E293" s="4" t="inlineStr">
        <is>
          <t xml:space="preserve">Artículos para estructuras, obras y construcciones / Puertas, ventanas y vidrios / Puertas</t>
        </is>
      </c>
      <c r="F293" s="0">
        <v>1.0</v>
      </c>
      <c r="G293" s="0" t="inlineStr">
        <is>
          <t xml:space="preserve">Unidad</t>
        </is>
      </c>
      <c r="H293" s="4" t="inlineStr">
        <is>
          <t xml:space="preserve">AUTOMATIZACIÓN DE PORTÓN ACCESO A LINEA DE FUEGO C.P. CONCEPCIÓN</t>
        </is>
      </c>
    </row>
  </sheetData>
  <autoFilter ref="A1:H293"/>
</worksheet>
</file>