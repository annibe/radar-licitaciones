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1457281-19-L126</t>
        </is>
      </c>
      <c r="B2" s="4" t="inlineStr">
        <is>
          <t xml:space="preserve">SERVICIO DE SOFTWARE Y SOPORTE PARA SISTEMA DE CONTEO DE PÚBLICO M100</t>
        </is>
      </c>
      <c r="C2" s="0" t="inlineStr">
        <is>
          <t xml:space="preserve">Publicada</t>
        </is>
      </c>
      <c r="D2" s="0" t="inlineStr">
        <is>
          <t xml:space="preserve">CORP CULTURAL MATUCANA CIEN</t>
        </is>
      </c>
      <c r="E2" s="0" t="inlineStr">
        <is>
          <t xml:space="preserve">CORP CULTURAL MATUCANA CIEN</t>
        </is>
      </c>
      <c r="F2" s="0" t="inlineStr">
        <is>
          <t xml:space="preserve">Región Metropolitana de Santiago</t>
        </is>
      </c>
      <c r="G2" s="0" t="inlineStr">
        <is>
          <t xml:space="preserve">Estación Central</t>
        </is>
      </c>
      <c r="H2" s="2">
        <v>46296.650694</v>
      </c>
      <c r="I2" s="2">
        <v>46310.708333</v>
      </c>
      <c r="J2" s="0">
        <v>3</v>
      </c>
      <c r="K2" s="3">
        <v>1600000.0</v>
      </c>
      <c r="L2" s="0" t="inlineStr">
        <is>
          <t xml:space="preserve">CLP</t>
        </is>
      </c>
      <c r="M2" s="0" t="inlineStr">
        <is>
          <t xml:space="preserve">L1</t>
        </is>
      </c>
      <c r="N2" s="4" t="inlineStr">
        <is>
          <t xml:space="preserve">Servicios basados en ingeniería, ciencias sociales y tecnología de la información / Servicios informáticos / Administración de sistemas</t>
        </is>
      </c>
      <c r="O2" s="4" t="inlineStr">
        <is>
          <t xml:space="preserve">12 Mes · Soporte técnico y servicios de mesa de ayuda</t>
        </is>
      </c>
      <c r="P2" s="2"/>
      <c r="Q2" s="2"/>
      <c r="R2" s="0"/>
      <c r="S2" s="0" t="inlineStr">
        <is>
          <t xml:space="preserve">No</t>
        </is>
      </c>
      <c r="T2" s="4"/>
      <c r="U2" s="0"/>
      <c r="V2"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2" s="5" t="str">
        <f>HYPERLINK("https://www.mercadopublico.cl/Procurement/Modules/Attachment/ViewAttachment.aspx?enc=7UlTUTOwPixdu8tE%2fj0B9Yy3I6XqygHgxiOXyL%2f8JKcPtrC8RwixV5e%2bC2Z3iEhYtppjQ9LXJJS%2fxz%2f4B9pGjOJSj4IhcLBzQ6%2fqQH3q2V5FxbEAnSjSKWO5pUsvn%2fpEuGSOg6UoG1Q9pDyFf8bjLxRJVTOoUCz9nTc2%2fPgEniy1T84djdkojefs0RedGDDRWDICd%2f%2fy9u9iGRFqVrxkK1S2WHqWolByXs%2f7vV6Fh%2f%2boQcHuQu8hzycIuv6dI0r7Ux%2f2yo3U3K4ue7oismsb23XWMIiJ0UWUY2Ne%2fmwVmHIZ%2bhhZJoh84YGMcH%2bNnExu","descargar bases")</f>
      </c>
    </row>
  </sheetData>
  <autoFilter ref="A1:W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1057503-146-LE26</t>
        </is>
      </c>
      <c r="B2" s="4" t="inlineStr">
        <is>
          <t xml:space="preserve">Contratación de Solución Tecnológica Bajo Modalidad SaaS para Automatizar Procesos de Gestión Estratégica Institucional para el Hospital Padre Alberto Hurtado</t>
        </is>
      </c>
      <c r="C2" s="0" t="inlineStr">
        <is>
          <t xml:space="preserve">Publicada</t>
        </is>
      </c>
      <c r="D2" s="0" t="inlineStr">
        <is>
          <t xml:space="preserve">HOSPITAL PADRE ALBERTO HURTADO</t>
        </is>
      </c>
      <c r="E2" s="0" t="inlineStr">
        <is>
          <t xml:space="preserve">Bienes y Servicios</t>
        </is>
      </c>
      <c r="F2" s="0" t="inlineStr">
        <is>
          <t xml:space="preserve">Región Metropolitana de Santiago</t>
        </is>
      </c>
      <c r="G2" s="0" t="inlineStr">
        <is>
          <t xml:space="preserve">San Ramón</t>
        </is>
      </c>
      <c r="H2" s="2">
        <v>46295.709595</v>
      </c>
      <c r="I2" s="2">
        <v>46310.666667</v>
      </c>
      <c r="J2" s="0">
        <v>3</v>
      </c>
      <c r="K2" s="3">
        <v>1600.0</v>
      </c>
      <c r="L2" s="0" t="inlineStr">
        <is>
          <t xml:space="preserve">CLF</t>
        </is>
      </c>
      <c r="M2" s="0" t="inlineStr">
        <is>
          <t xml:space="preserve">LE</t>
        </is>
      </c>
      <c r="N2" s="4" t="inlineStr">
        <is>
          <t xml:space="preserve">Tecnologías de la información, telecomunicaciones y radiodifusión / Software / Software de administración de redes</t>
        </is>
      </c>
      <c r="O2" s="4" t="inlineStr">
        <is>
          <t xml:space="preserve">1 Unidad · Software de administración</t>
        </is>
      </c>
      <c r="P2" s="2"/>
      <c r="Q2" s="2"/>
      <c r="R2" s="0" t="inlineStr">
        <is>
          <t xml:space="preserve">24 meses</t>
        </is>
      </c>
      <c r="S2" s="0" t="inlineStr">
        <is>
          <t xml:space="preserve">No</t>
        </is>
      </c>
      <c r="T2" s="4"/>
      <c r="U2" s="0" t="inlineStr">
        <is>
          <t xml:space="preserve">Erika Valdés Rubio</t>
        </is>
      </c>
      <c r="V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2" s="5" t="str">
        <f>HYPERLINK("https://www.mercadopublico.cl/Procurement/Modules/Attachment/ViewAttachment.aspx?enc=ezKWKY0t3dzbEpUAqHA0aJ1zkeGQE4uVMg6lN4KDdb0VT4vzLLd%2fzUFWULJIXqIIepJ0Ve6kRbfuAPrPGEKFjQRcKMxYlGyOTdVTNBQ2YY%2f%2bKXMiUpv3kCXTD7XKc5P7szVDPncsIjE8AblokQs0A2qqVxHMk7Oh41pdbtgum5jpcUFfqslwHtmM5OL7S5rXq%2fZBMRqQYgy5bS6Gc53oWmFCHr6bFwZ8aBxYbVY3sOcHy5Bdp0Vqzu4BLGdTzeiPgPJg1XpFJdSBYevFzh2oKP68SfpGC3YMlj25S9G6pyIkQzOdYq4BZFu%2fAMSieGYW","descargar bases")</f>
      </c>
    </row>
    <row r="3">
      <c r="A3" s="0" t="inlineStr">
        <is>
          <t xml:space="preserve">425-67-LE26</t>
        </is>
      </c>
      <c r="B3" s="4" t="inlineStr">
        <is>
          <t xml:space="preserve">Software de seguridad extendida y Ciberdefensa</t>
        </is>
      </c>
      <c r="C3" s="0" t="inlineStr">
        <is>
          <t xml:space="preserve">Publicada</t>
        </is>
      </c>
      <c r="D3" s="0" t="inlineStr">
        <is>
          <t xml:space="preserve">CORP ADMINISTRATIVA DEL PODER JUDICIAL</t>
        </is>
      </c>
      <c r="E3" s="0" t="inlineStr">
        <is>
          <t xml:space="preserve">Servicios</t>
        </is>
      </c>
      <c r="F3" s="0" t="inlineStr">
        <is>
          <t xml:space="preserve">Región Metropolitana de Santiago</t>
        </is>
      </c>
      <c r="G3" s="0" t="inlineStr">
        <is>
          <t xml:space="preserve">Santiago Centro</t>
        </is>
      </c>
      <c r="H3" s="2">
        <v>46289.704861</v>
      </c>
      <c r="I3" s="2">
        <v>46310.666667</v>
      </c>
      <c r="J3" s="0">
        <v>3</v>
      </c>
      <c r="K3" s="3"/>
      <c r="L3" s="0" t="inlineStr">
        <is>
          <t xml:space="preserve">USD</t>
        </is>
      </c>
      <c r="M3" s="0" t="inlineStr">
        <is>
          <t xml:space="preserve">LE</t>
        </is>
      </c>
      <c r="N3" s="4" t="inlineStr">
        <is>
          <t xml:space="preserve">Tecnologías de la información, telecomunicaciones y radiodifusión / Software / Software de seguridad y protección</t>
        </is>
      </c>
      <c r="O3" s="4" t="inlineStr">
        <is>
          <t xml:space="preserve">1 Unidad · Software de equipos de red privada virtual (VPN) o de seguridad de red</t>
        </is>
      </c>
      <c r="P3" s="2"/>
      <c r="Q3" s="2"/>
      <c r="R3" s="0" t="inlineStr">
        <is>
          <t xml:space="preserve">12 meses</t>
        </is>
      </c>
      <c r="S3" s="0" t="inlineStr">
        <is>
          <t xml:space="preserve">No</t>
        </is>
      </c>
      <c r="T3" s="4"/>
      <c r="U3" s="0" t="inlineStr">
        <is>
          <t xml:space="preserve">Jorge Quezada</t>
        </is>
      </c>
      <c r="V3"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3"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4">
      <c r="A4" s="0" t="inlineStr">
        <is>
          <t xml:space="preserve">948354-150-LP26</t>
        </is>
      </c>
      <c r="B4" s="4" t="inlineStr">
        <is>
          <t xml:space="preserve">CONTRATACIÓN DEL SERVICIO DE SISTEMA INFORMÁTICO PARA GESTIÓN DE DATOS DE BANCO DE SANGRE DEL HOSPITAL DIPRECA</t>
        </is>
      </c>
      <c r="C4" s="0" t="inlineStr">
        <is>
          <t xml:space="preserve">Publicada</t>
        </is>
      </c>
      <c r="D4" s="0" t="inlineStr">
        <is>
          <t xml:space="preserve">FONDO HOSPITAL DE LA DIRECCION DE PREVISION DE CARABINEROS DE CHILE</t>
        </is>
      </c>
      <c r="E4" s="0" t="inlineStr">
        <is>
          <t xml:space="preserve">Unidad de Compra de Bienes y Servicios</t>
        </is>
      </c>
      <c r="F4" s="0" t="inlineStr">
        <is>
          <t xml:space="preserve">Región Metropolitana de Santiago</t>
        </is>
      </c>
      <c r="G4" s="0" t="inlineStr">
        <is>
          <t xml:space="preserve">Las Condes</t>
        </is>
      </c>
      <c r="H4" s="2">
        <v>46300.512141</v>
      </c>
      <c r="I4" s="2">
        <v>46310.666667</v>
      </c>
      <c r="J4" s="0">
        <v>3</v>
      </c>
      <c r="K4" s="3">
        <v>175000000.0</v>
      </c>
      <c r="L4" s="0" t="inlineStr">
        <is>
          <t xml:space="preserve">CLP</t>
        </is>
      </c>
      <c r="M4" s="0" t="inlineStr">
        <is>
          <t xml:space="preserve">LP</t>
        </is>
      </c>
      <c r="N4" s="4" t="inlineStr">
        <is>
          <t xml:space="preserve">Tecnologías de la información, telecomunicaciones y radiodifusión / Software / Programas de desarrollo</t>
        </is>
      </c>
      <c r="O4" s="4" t="inlineStr">
        <is>
          <t xml:space="preserve">24 Mes · Software de desarrollo orientado a objetos o componentes</t>
        </is>
      </c>
      <c r="P4" s="2"/>
      <c r="Q4" s="2"/>
      <c r="R4" s="0" t="inlineStr">
        <is>
          <t xml:space="preserve">24 meses</t>
        </is>
      </c>
      <c r="S4" s="0" t="inlineStr">
        <is>
          <t xml:space="preserve">No</t>
        </is>
      </c>
      <c r="T4" s="4"/>
      <c r="U4" s="0" t="inlineStr">
        <is>
          <t xml:space="preserve">Patricio Salinas</t>
        </is>
      </c>
      <c r="V4"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4" s="5" t="str">
        <f>HYPERLINK("https://www.mercadopublico.cl/Procurement/Modules/Attachment/ViewAttachment.aspx?enc=4uB%2bNO8dn%2fms5LdcxDfuPyeREC0wtFfvWH%2b2JF0OUTS%2bFAQgu%2behD%2fuZLog1VFMcm4484m7jrUMTVJkUUERi%2f%2b%2f091e%2bPLAJL77s188NlDcU1ER39M15lpgTePCYrlkw%2btupBLpxdVU2RiVHcivTH9ek6XFsmWikp4DKtEX6Zd0iqW61NoMGbndXpIMMpvAWUdgtXwmP1TJYuJcsq%2fkSkhoW98P5LC7L%2byV7lVfnNI4vv38DNh6h1p76mxAe5m4Ik0uVIKD18izu6VFh53qt1zGt9h%2bTeqKXu2YeItRcHgXLPtzd5iTt%2fM8OIvyQJEA%2f","descargar bases")</f>
      </c>
    </row>
    <row r="5">
      <c r="A5" s="0" t="inlineStr">
        <is>
          <t xml:space="preserve">1457281-19-L126</t>
        </is>
      </c>
      <c r="B5" s="4" t="inlineStr">
        <is>
          <t xml:space="preserve">SERVICIO DE SOFTWARE Y SOPORTE PARA SISTEMA DE CONTEO DE PÚBLICO M100</t>
        </is>
      </c>
      <c r="C5" s="0" t="inlineStr">
        <is>
          <t xml:space="preserve">Publicada</t>
        </is>
      </c>
      <c r="D5" s="0" t="inlineStr">
        <is>
          <t xml:space="preserve">CORP CULTURAL MATUCANA CIEN</t>
        </is>
      </c>
      <c r="E5" s="0" t="inlineStr">
        <is>
          <t xml:space="preserve">CORP CULTURAL MATUCANA CIEN</t>
        </is>
      </c>
      <c r="F5" s="0" t="inlineStr">
        <is>
          <t xml:space="preserve">Región Metropolitana de Santiago</t>
        </is>
      </c>
      <c r="G5" s="0" t="inlineStr">
        <is>
          <t xml:space="preserve">Estación Central</t>
        </is>
      </c>
      <c r="H5" s="2">
        <v>46296.650694</v>
      </c>
      <c r="I5" s="2">
        <v>46310.708333</v>
      </c>
      <c r="J5" s="0">
        <v>3</v>
      </c>
      <c r="K5" s="3">
        <v>1600000.0</v>
      </c>
      <c r="L5" s="0" t="inlineStr">
        <is>
          <t xml:space="preserve">CLP</t>
        </is>
      </c>
      <c r="M5" s="0" t="inlineStr">
        <is>
          <t xml:space="preserve">L1</t>
        </is>
      </c>
      <c r="N5" s="4" t="inlineStr">
        <is>
          <t xml:space="preserve">Servicios basados en ingeniería, ciencias sociales y tecnología de la información / Servicios informáticos / Administración de sistemas</t>
        </is>
      </c>
      <c r="O5" s="4" t="inlineStr">
        <is>
          <t xml:space="preserve">12 Mes · Soporte técnico y servicios de mesa de ayuda</t>
        </is>
      </c>
      <c r="P5" s="2"/>
      <c r="Q5" s="2"/>
      <c r="R5" s="0"/>
      <c r="S5" s="0" t="inlineStr">
        <is>
          <t xml:space="preserve">No</t>
        </is>
      </c>
      <c r="T5" s="4"/>
      <c r="U5" s="0"/>
      <c r="V5"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5" s="5" t="str">
        <f>HYPERLINK("https://www.mercadopublico.cl/Procurement/Modules/Attachment/ViewAttachment.aspx?enc=7UlTUTOwPixdu8tE%2fj0B9Yy3I6XqygHgxiOXyL%2f8JKcPtrC8RwixV5e%2bC2Z3iEhYtppjQ9LXJJS%2fxz%2f4B9pGjOJSj4IhcLBzQ6%2fqQH3q2V5FxbEAnSjSKWO5pUsvn%2fpEuGSOg6UoG1Q9pDyFf8bjLxRJVTOoUCz9nTc2%2fPgEniy1T84djdkojefs0RedGDDRWDICd%2f%2fy9u9iGRFqVrxkK1S2WHqWolByXs%2f7vV6Fh%2f%2boQcHuQu8hzycIuv6dI0r7Ux%2f2yo3U3K4ue7oismsb23XWMIiJ0UWUY2Ne%2fmwVmHIZ%2bhhZJoh84YGMcH%2bNnExu","descargar bases")</f>
      </c>
    </row>
    <row r="6">
      <c r="A6" s="0" t="inlineStr">
        <is>
          <t xml:space="preserve">847-55-LE26</t>
        </is>
      </c>
      <c r="B6" s="4" t="inlineStr">
        <is>
          <t xml:space="preserve">PLANI-ADQ. DE ACCESORIOS INFORMÁTICOS P04-SC61.307</t>
        </is>
      </c>
      <c r="C6" s="0" t="inlineStr">
        <is>
          <t xml:space="preserve">Publicada</t>
        </is>
      </c>
      <c r="D6" s="0" t="inlineStr">
        <is>
          <t xml:space="preserve">JUNTA NACIONAL DE JARDINES         INFANTILES</t>
        </is>
      </c>
      <c r="E6" s="0" t="inlineStr">
        <is>
          <t xml:space="preserve">Junji - V Región</t>
        </is>
      </c>
      <c r="F6" s="0" t="inlineStr">
        <is>
          <t xml:space="preserve">Región de Valparaíso </t>
        </is>
      </c>
      <c r="G6" s="0" t="inlineStr">
        <is>
          <t xml:space="preserve">Viña del Mar</t>
        </is>
      </c>
      <c r="H6" s="2">
        <v>46300.693623</v>
      </c>
      <c r="I6" s="2">
        <v>46310.75</v>
      </c>
      <c r="J6" s="0">
        <v>3</v>
      </c>
      <c r="K6" s="3"/>
      <c r="L6" s="0" t="inlineStr">
        <is>
          <t xml:space="preserve">CLP</t>
        </is>
      </c>
      <c r="M6" s="0" t="inlineStr">
        <is>
          <t xml:space="preserve">LE</t>
        </is>
      </c>
      <c r="N6"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6" s="4" t="inlineStr">
        <is>
          <t xml:space="preserve">75 Unidad · Teclados · 75 Unidad · Trackballs y mouse de computador · 10 Unidad · Trackballs y mouse de computador · y 6 más</t>
        </is>
      </c>
      <c r="P6" s="2"/>
      <c r="Q6" s="2"/>
      <c r="R6" s="0"/>
      <c r="S6" s="0" t="inlineStr">
        <is>
          <t xml:space="preserve">No</t>
        </is>
      </c>
      <c r="T6" s="4"/>
      <c r="U6" s="0" t="inlineStr">
        <is>
          <t xml:space="preserve">Marcelo Pineda</t>
        </is>
      </c>
      <c r="V6"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6"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7">
      <c r="A7" s="0" t="inlineStr">
        <is>
          <t xml:space="preserve">1375761-51-LP26</t>
        </is>
      </c>
      <c r="B7" s="4" t="inlineStr">
        <is>
          <t xml:space="preserve">SIST. INF PLATAFORMA DE GESTION ESCOLAR SLEP V.D</t>
        </is>
      </c>
      <c r="C7" s="0" t="inlineStr">
        <is>
          <t xml:space="preserve">Publicada</t>
        </is>
      </c>
      <c r="D7" s="0" t="inlineStr">
        <is>
          <t xml:space="preserve">SERVICIO LOCAL DE EDUCACIÓN PÚBLICA VALLE DIGUILLÍN</t>
        </is>
      </c>
      <c r="E7" s="0" t="inlineStr">
        <is>
          <t xml:space="preserve">COMPRAS Y LICITACIONES</t>
        </is>
      </c>
      <c r="F7" s="0" t="inlineStr">
        <is>
          <t xml:space="preserve">Región del Ñuble</t>
        </is>
      </c>
      <c r="G7" s="0"/>
      <c r="H7" s="2">
        <v>46300.620231</v>
      </c>
      <c r="I7" s="2">
        <v>46310.751389</v>
      </c>
      <c r="J7" s="0">
        <v>3</v>
      </c>
      <c r="K7" s="3"/>
      <c r="L7" s="0" t="inlineStr">
        <is>
          <t xml:space="preserve">CLP</t>
        </is>
      </c>
      <c r="M7" s="0" t="inlineStr">
        <is>
          <t xml:space="preserve">LP</t>
        </is>
      </c>
      <c r="N7" s="4" t="inlineStr">
        <is>
          <t xml:space="preserve">Tecnologías de la información, telecomunicaciones y radiodifusión / Software / Software de consultas y gestión de datos</t>
        </is>
      </c>
      <c r="O7" s="4" t="inlineStr">
        <is>
          <t xml:space="preserve">1 Unidad · Software del sistema de administración de bases de datos</t>
        </is>
      </c>
      <c r="P7" s="2"/>
      <c r="Q7" s="2"/>
      <c r="R7" s="0" t="inlineStr">
        <is>
          <t xml:space="preserve">24 meses</t>
        </is>
      </c>
      <c r="S7" s="0" t="inlineStr">
        <is>
          <t xml:space="preserve">No</t>
        </is>
      </c>
      <c r="T7" s="4"/>
      <c r="U7" s="0" t="inlineStr">
        <is>
          <t xml:space="preserve">Subdirector de Apoyo Técnico Pedagógico</t>
        </is>
      </c>
      <c r="V7"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7" s="5" t="str">
        <f>HYPERLINK("https://www.mercadopublico.cl/Procurement/Modules/Attachment/ViewAttachment.aspx?enc=6LgIzQX6Hdak6MXz1OleaEuAqvDL9z4xxGvybzEgZfJLKjNKsr5QTskE81kjYeq9nZdC5Gsi6tnsAsCnevNLvqhkTDxJFVARR6rsU1mt2QvPsu8KjmPaYR13LyXoboEvUmv7WQO7fm3qXi%2fyXWQ%2fAfjjMknN933XVuaff%2f%2fmOlaMpZHDzHLZEJKNLj1pB1jkaVA8xAKJhi59QvFMlrFlSrgg9WiVayKd4WnVuHG7AwhvEEcHMxjEDgS9b6slLZ4qz6zXn8JyK%2fyJBkcCKERqk5ijQ7zBi8pv4nX0N4W3Ed2O7qGnrT3jeU%2b%2f5DGBog76","descargar bases")</f>
      </c>
    </row>
    <row r="8">
      <c r="A8" s="0" t="inlineStr">
        <is>
          <t xml:space="preserve">1660-150-L126</t>
        </is>
      </c>
      <c r="B8" s="4" t="inlineStr">
        <is>
          <t xml:space="preserve">COMPRA DE SERVICIO TONS/TENS BODEGA DENTAL DE FARMACIA Y GESTIÓN DOCUMENTAL PARA EL HOSPITAL DE SALAMANCA</t>
        </is>
      </c>
      <c r="C8" s="0" t="inlineStr">
        <is>
          <t xml:space="preserve">Publicada</t>
        </is>
      </c>
      <c r="D8" s="0" t="inlineStr">
        <is>
          <t xml:space="preserve">SERVICIO SALUD COQUIMBO HOSP DE SALAMANC</t>
        </is>
      </c>
      <c r="E8" s="0" t="inlineStr">
        <is>
          <t xml:space="preserve">SERVICIO SALUD COQUIMBO HOSP DE SALAMANC</t>
        </is>
      </c>
      <c r="F8" s="0" t="inlineStr">
        <is>
          <t xml:space="preserve">Región de Coquimbo </t>
        </is>
      </c>
      <c r="G8" s="0" t="inlineStr">
        <is>
          <t xml:space="preserve">Salamanca</t>
        </is>
      </c>
      <c r="H8" s="2">
        <v>46300.692477</v>
      </c>
      <c r="I8" s="2">
        <v>46310.791667</v>
      </c>
      <c r="J8" s="0">
        <v>3</v>
      </c>
      <c r="K8" s="3">
        <v>1324000.0</v>
      </c>
      <c r="L8" s="0" t="inlineStr">
        <is>
          <t xml:space="preserve">CLP</t>
        </is>
      </c>
      <c r="M8" s="0" t="inlineStr">
        <is>
          <t xml:space="preserve">L1</t>
        </is>
      </c>
      <c r="N8" s="4" t="inlineStr">
        <is>
          <t xml:space="preserve">Servicios profesionales, administrativos y consultorías de gestión empresarial / Servicios de recursos humanos / Contratación de personal</t>
        </is>
      </c>
      <c r="O8" s="4" t="inlineStr">
        <is>
          <t xml:space="preserve">1 Unidad · Personal técnico</t>
        </is>
      </c>
      <c r="P8" s="2"/>
      <c r="Q8" s="2"/>
      <c r="R8" s="0"/>
      <c r="S8" s="0" t="inlineStr">
        <is>
          <t xml:space="preserve">No</t>
        </is>
      </c>
      <c r="T8" s="4"/>
      <c r="U8" s="0"/>
      <c r="V8" s="4" t="inlineStr">
        <is>
          <t xml:space="preserve">COMPRA DE SERVICIO TONS/TENS BODEGA DENTAL DE FARMACIA Y GESTIÓN DOCUMENTAL PARA EL HOSPITAL DE SALAMANCA</t>
        </is>
      </c>
      <c r="W8"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9">
      <c r="A9" s="0" t="inlineStr">
        <is>
          <t xml:space="preserve">2852-59-LP26</t>
        </is>
      </c>
      <c r="B9" s="4" t="inlineStr">
        <is>
          <t xml:space="preserve">ADQUISICION DE LICENCIAS DE SOFTWARE</t>
        </is>
      </c>
      <c r="C9" s="0" t="inlineStr">
        <is>
          <t xml:space="preserve">Publicada</t>
        </is>
      </c>
      <c r="D9" s="0" t="inlineStr">
        <is>
          <t xml:space="preserve">I MUNICIPALIDAD DE PUERTO VARAS</t>
        </is>
      </c>
      <c r="E9" s="0" t="inlineStr">
        <is>
          <t xml:space="preserve">Adquisiciones Municipalidad</t>
        </is>
      </c>
      <c r="F9" s="0" t="inlineStr">
        <is>
          <t xml:space="preserve">Región de los Lagos </t>
        </is>
      </c>
      <c r="G9" s="0" t="inlineStr">
        <is>
          <t xml:space="preserve">Puerto Varas</t>
        </is>
      </c>
      <c r="H9" s="2">
        <v>46290.736111</v>
      </c>
      <c r="I9" s="2">
        <v>46310.829167</v>
      </c>
      <c r="J9" s="0">
        <v>3</v>
      </c>
      <c r="K9" s="3"/>
      <c r="L9" s="0" t="inlineStr">
        <is>
          <t xml:space="preserve">CLP</t>
        </is>
      </c>
      <c r="M9" s="0" t="inlineStr">
        <is>
          <t xml:space="preserve">LP</t>
        </is>
      </c>
      <c r="N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9" s="4" t="inlineStr">
        <is>
          <t xml:space="preserve">1 Unidad · Software de gestión de licencias · 1 Unidad · Software de gestión de licencias · 1 Unidad · Software de gestión de licencias · y 8 más</t>
        </is>
      </c>
      <c r="P9" s="2"/>
      <c r="Q9" s="2"/>
      <c r="R9" s="0"/>
      <c r="S9" s="0" t="inlineStr">
        <is>
          <t xml:space="preserve">No</t>
        </is>
      </c>
      <c r="T9" s="4"/>
      <c r="U9" s="0" t="inlineStr">
        <is>
          <t xml:space="preserve">Segundo Garcés Leuquen</t>
        </is>
      </c>
      <c r="V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9" s="5" t="str">
        <f>HYPERLINK("https://www.mercadopublico.cl/Procurement/Modules/Attachment/ViewAttachment.aspx?enc=yKjCJu%2fa5mFjk70p%2b11SCQLIubmaQD91I9iX32GkOAFCRyFqZR7tb9tfnWqjwXiy8eRtuZiDu4QdQxDeUXdptcXzaeNAHDEG95X4Dwkwe4N0DJvDSR5fZqVwI1sYLeu7jnvl%2fiL0dML9%2bvSR7GAmiva29RFbwLwKH%2br8nb%2f7R3Ir9pJrrukgDix18byAQed8z9oER3MotNi1g%2f9JR43K1ujW82UV5qsPCsEnizXMIR0hF2wfIS22CHkTeaMau1jm2oLHPvLIAP49GyRFcTcE%2bDHxkFzpSAGNx0q5Jx914VPSmCRtSW4zdgN4dycFh2NN","descargar bases")</f>
      </c>
    </row>
    <row r="10">
      <c r="A10" s="0" t="inlineStr">
        <is>
          <t xml:space="preserve">2343-33-LE26</t>
        </is>
      </c>
      <c r="B10" s="4" t="inlineStr">
        <is>
          <t xml:space="preserve">ADQUISICION DE PLATAFORMA TECNOLOGICA UAS</t>
        </is>
      </c>
      <c r="C10" s="0" t="inlineStr">
        <is>
          <t xml:space="preserve">Publicada</t>
        </is>
      </c>
      <c r="D10" s="0" t="inlineStr">
        <is>
          <t xml:space="preserve">I MUNICIPALIDAD DE SANTIAGO</t>
        </is>
      </c>
      <c r="E10" s="0" t="inlineStr">
        <is>
          <t xml:space="preserve">DEPARTAMENTO DE COMPRAS</t>
        </is>
      </c>
      <c r="F10" s="0" t="inlineStr">
        <is>
          <t xml:space="preserve">Región Metropolitana de Santiago</t>
        </is>
      </c>
      <c r="G10" s="0" t="inlineStr">
        <is>
          <t xml:space="preserve">Santiago</t>
        </is>
      </c>
      <c r="H10" s="2">
        <v>46300.401123</v>
      </c>
      <c r="I10" s="2">
        <v>46311.583333</v>
      </c>
      <c r="J10" s="0">
        <v>4</v>
      </c>
      <c r="K10" s="3"/>
      <c r="L10" s="0" t="inlineStr">
        <is>
          <t xml:space="preserve">CLP</t>
        </is>
      </c>
      <c r="M10" s="0" t="inlineStr">
        <is>
          <t xml:space="preserve">LE</t>
        </is>
      </c>
      <c r="N10" s="4" t="inlineStr">
        <is>
          <t xml:space="preserve">Equipos y suministros de defensa, orden público, protección y seguridad / Seguridad, vigilancia y detección / Equipo de vigilancia y detección</t>
        </is>
      </c>
      <c r="O10" s="4" t="inlineStr">
        <is>
          <t xml:space="preserve">1 Unidad · Cámaras de seguridad</t>
        </is>
      </c>
      <c r="P10" s="2"/>
      <c r="Q10" s="2"/>
      <c r="R10" s="0" t="inlineStr">
        <is>
          <t xml:space="preserve">12 meses</t>
        </is>
      </c>
      <c r="S10" s="0" t="inlineStr">
        <is>
          <t xml:space="preserve">No</t>
        </is>
      </c>
      <c r="T10" s="4"/>
      <c r="U10" s="0" t="inlineStr">
        <is>
          <t xml:space="preserve">ALVARO ADASME</t>
        </is>
      </c>
      <c r="V10"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10" s="5" t="str">
        <f>HYPERLINK("https://www.mercadopublico.cl/Procurement/Modules/Attachment/ViewAttachment.aspx?enc=TCKpvksGTOm2akOZZeDQJEzPF%2fAsEYv7vHKHFaQMNvKjIi%2fuYcvN5Ftb3JWw3vSCHIsRS9LrAtSfFPL00c3LTRnaPN08w4R1AJp75ZsDmH75Cdjfrj1HcJTd2G69wEzfxESnUC5dAAJY%2b2rWqOxusxeo70DeOvCzKVqjJ64QQpwziltetWFOw%2f16PEVQbqUtBhySQ2mibApRhx6UWAmfsqQDvRsbF5J8okCBB40rQD%2fgtagN0nz6oB1yAe7uBLW08eMSN0V61u%2btPA6O3Ivm06Aki7rsVecjJ3xmdHZBrsKAYMKyNv2A1ELy26xWH2he","descargar bases")</f>
      </c>
    </row>
    <row r="11">
      <c r="A11" s="0" t="inlineStr">
        <is>
          <t xml:space="preserve">1079639-23-LE26</t>
        </is>
      </c>
      <c r="B11" s="4" t="inlineStr">
        <is>
          <t xml:space="preserve">RENOVACIÓN SOFTWARE INSEYETS PRO POR 12 MESES</t>
        </is>
      </c>
      <c r="C11" s="0" t="inlineStr">
        <is>
          <t xml:space="preserve">Publicada</t>
        </is>
      </c>
      <c r="D11" s="0" t="inlineStr">
        <is>
          <t xml:space="preserve">DIRECCION DE LOGISTICA DE CARABINEROS</t>
        </is>
      </c>
      <c r="E11" s="0" t="inlineStr">
        <is>
          <t xml:space="preserve">SECCIÓN COMPRAS ZONA DE CARABINEROS LOS LAGOS</t>
        </is>
      </c>
      <c r="F11" s="0" t="inlineStr">
        <is>
          <t xml:space="preserve">Región de los Lagos </t>
        </is>
      </c>
      <c r="G11" s="0" t="inlineStr">
        <is>
          <t xml:space="preserve">Puerto Montt</t>
        </is>
      </c>
      <c r="H11" s="2">
        <v>46302.755139</v>
      </c>
      <c r="I11" s="2">
        <v>46311.625</v>
      </c>
      <c r="J11" s="0">
        <v>4</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sistema experto</t>
        </is>
      </c>
      <c r="P11" s="2"/>
      <c r="Q11" s="2"/>
      <c r="R11" s="0"/>
      <c r="S11" s="0" t="inlineStr">
        <is>
          <t xml:space="preserve">No</t>
        </is>
      </c>
      <c r="T11" s="4"/>
      <c r="U11" s="0" t="inlineStr">
        <is>
          <t xml:space="preserve">GERMÁN CANDIA CONCHA</t>
        </is>
      </c>
      <c r="V11" s="4" t="inlineStr">
        <is>
          <t xml:space="preserve">RENOVACIÓN SOFTWARE INSEYETS PRO POR 12 MESES PARA LA SECCIÓN OS9 LOS LAGOS</t>
        </is>
      </c>
      <c r="W11"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12">
      <c r="A12" s="0" t="inlineStr">
        <is>
          <t xml:space="preserve">3712-70-LE26</t>
        </is>
      </c>
      <c r="B12" s="4" t="inlineStr">
        <is>
          <t xml:space="preserve">ADQUISICION DE TOTEM DE AUTOATENCION CHILEATIENDE</t>
        </is>
      </c>
      <c r="C12" s="0" t="inlineStr">
        <is>
          <t xml:space="preserve">Publicada</t>
        </is>
      </c>
      <c r="D12" s="0" t="inlineStr">
        <is>
          <t xml:space="preserve">I MUNICIPALIDAD DE LOS VILOS</t>
        </is>
      </c>
      <c r="E12" s="0" t="inlineStr">
        <is>
          <t xml:space="preserve">Finanzas</t>
        </is>
      </c>
      <c r="F12" s="0" t="inlineStr">
        <is>
          <t xml:space="preserve">Región de Coquimbo </t>
        </is>
      </c>
      <c r="G12" s="0" t="inlineStr">
        <is>
          <t xml:space="preserve">Los Vilos</t>
        </is>
      </c>
      <c r="H12" s="2">
        <v>46301.746134</v>
      </c>
      <c r="I12" s="2">
        <v>46311.625</v>
      </c>
      <c r="J12" s="0">
        <v>4</v>
      </c>
      <c r="K12" s="3"/>
      <c r="L12" s="0" t="inlineStr">
        <is>
          <t xml:space="preserve">CLP</t>
        </is>
      </c>
      <c r="M12" s="0" t="inlineStr">
        <is>
          <t xml:space="preserve">LE</t>
        </is>
      </c>
      <c r="N12" s="4" t="inlineStr">
        <is>
          <t xml:space="preserve">Tecnologías de la información, telecomunicaciones y radiodifusión / Equipos informáticos y accesorios / Pantallas o monitores de computador</t>
        </is>
      </c>
      <c r="O12" s="4" t="inlineStr">
        <is>
          <t xml:space="preserve">1 Unidad · Monitores de pantalla táctil</t>
        </is>
      </c>
      <c r="P12" s="2"/>
      <c r="Q12" s="2"/>
      <c r="R12" s="0"/>
      <c r="S12" s="0" t="inlineStr">
        <is>
          <t xml:space="preserve">No</t>
        </is>
      </c>
      <c r="T12" s="4"/>
      <c r="U12" s="0" t="inlineStr">
        <is>
          <t xml:space="preserve">ANDREA TAPIA GODOY</t>
        </is>
      </c>
      <c r="V12"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12"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13">
      <c r="A13" s="0" t="inlineStr">
        <is>
          <t xml:space="preserve">4459-23-LP26</t>
        </is>
      </c>
      <c r="B13" s="4" t="inlineStr">
        <is>
          <t xml:space="preserve">Plataforma de Sistemas Informáticos de Gestión Municipal para la Ilustre Municipalidad de Pichilemu</t>
        </is>
      </c>
      <c r="C13" s="0" t="inlineStr">
        <is>
          <t xml:space="preserve">Publicada</t>
        </is>
      </c>
      <c r="D13" s="0" t="inlineStr">
        <is>
          <t xml:space="preserve">ILUSTRE MUNICIPALIDAD DE PICHILEMU</t>
        </is>
      </c>
      <c r="E13" s="0" t="inlineStr">
        <is>
          <t xml:space="preserve">Departamento de Proyectos</t>
        </is>
      </c>
      <c r="F13" s="0" t="inlineStr">
        <is>
          <t xml:space="preserve">Región del Libertador General Bernardo O´Higgins</t>
        </is>
      </c>
      <c r="G13" s="0" t="inlineStr">
        <is>
          <t xml:space="preserve">Pichilemu</t>
        </is>
      </c>
      <c r="H13" s="2">
        <v>46290.508056</v>
      </c>
      <c r="I13" s="2">
        <v>46311.625</v>
      </c>
      <c r="J13" s="0">
        <v>4</v>
      </c>
      <c r="K13" s="3">
        <v>265216200.0</v>
      </c>
      <c r="L13" s="0" t="inlineStr">
        <is>
          <t xml:space="preserve">CLP</t>
        </is>
      </c>
      <c r="M13" s="0" t="inlineStr">
        <is>
          <t xml:space="preserve">LP</t>
        </is>
      </c>
      <c r="N13" s="4" t="inlineStr">
        <is>
          <t xml:space="preserve">Tecnologías de la información, telecomunicaciones y radiodifusión / Software / Software de administración de redes</t>
        </is>
      </c>
      <c r="O13" s="4" t="inlineStr">
        <is>
          <t xml:space="preserve">1 Unidad · Software de mejora de sistemas operativos de redes</t>
        </is>
      </c>
      <c r="P13" s="2"/>
      <c r="Q13" s="2"/>
      <c r="R13" s="0"/>
      <c r="S13" s="0" t="inlineStr">
        <is>
          <t xml:space="preserve">No</t>
        </is>
      </c>
      <c r="T13" s="4"/>
      <c r="U13" s="0" t="inlineStr">
        <is>
          <t xml:space="preserve">Isabel Riquelme Gonzalez</t>
        </is>
      </c>
      <c r="V13"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3" s="5" t="str">
        <f>HYPERLINK("https://www.mercadopublico.cl/Procurement/Modules/Attachment/ViewAttachment.aspx?enc=siUOUf1c%2fAVEcOO5VV8joBDTs7h44PBDQBdlWtDQlZgWtn7ZO01Jhi9tFdW0gNHg3COPufq1sNmwNmYa7ay8spkhOO3OOuMjiwiW2dRyWgXFI57ucekD9aVcS%2bccOrQaB8ACoiP8fCFopw804AFd66f7Xnci%2fxRl6WzeyOg57UmZf54PWpZ243thrtWoYIFZwsQUC8du4v7lI0nZxt0tDSBPqVl4eE98d6WJJfnRM%2f0BqlHCZ85vIqE%2biuQ7nfg0fmbHPCIZA2n6dqS5qdZrlJtCnstxZxH4ctGxB8hP22bs%2fRerzOCYq3Hx2RG2FVCj","descargar bases")</f>
      </c>
    </row>
    <row r="14">
      <c r="A14" s="0" t="inlineStr">
        <is>
          <t xml:space="preserve">976-20-LE26</t>
        </is>
      </c>
      <c r="B14" s="4" t="inlineStr">
        <is>
          <t xml:space="preserve">Equipos computacionales e informáticos</t>
        </is>
      </c>
      <c r="C14" s="0" t="inlineStr">
        <is>
          <t xml:space="preserve">Publicada</t>
        </is>
      </c>
      <c r="D14" s="0" t="inlineStr">
        <is>
          <t xml:space="preserve">MINISTERIO DE OBRAS PUBLICAS DIREC CION GRAL DE OO PP DCYF</t>
        </is>
      </c>
      <c r="E14" s="0" t="inlineStr">
        <is>
          <t xml:space="preserve">Dirección de Aeropuertos - MOPTT</t>
        </is>
      </c>
      <c r="F14" s="0" t="inlineStr">
        <is>
          <t xml:space="preserve">Región Metropolitana de Santiago</t>
        </is>
      </c>
      <c r="G14" s="0" t="inlineStr">
        <is>
          <t xml:space="preserve">Santiago Centro</t>
        </is>
      </c>
      <c r="H14" s="2">
        <v>46302.640197</v>
      </c>
      <c r="I14" s="2">
        <v>46311.625</v>
      </c>
      <c r="J14" s="0">
        <v>4</v>
      </c>
      <c r="K14" s="3">
        <v>70000000.0</v>
      </c>
      <c r="L14" s="0" t="inlineStr">
        <is>
          <t xml:space="preserve">CLP</t>
        </is>
      </c>
      <c r="M14" s="0" t="inlineStr">
        <is>
          <t xml:space="preserve">LE</t>
        </is>
      </c>
      <c r="N14"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14" s="4" t="inlineStr">
        <is>
          <t xml:space="preserve">1 Unidad · Trazadoras de gráficos · 15 Unidad · Computadores de escritorio · 41 Unidad · Notebook, laptop o computador portátil excepto Tablet PC · y 2 más</t>
        </is>
      </c>
      <c r="P14" s="2"/>
      <c r="Q14" s="2"/>
      <c r="R14" s="0"/>
      <c r="S14" s="0" t="inlineStr">
        <is>
          <t xml:space="preserve">No</t>
        </is>
      </c>
      <c r="T14" s="4" t="inlineStr">
        <is>
          <t xml:space="preserve">Numeral 10.5 de las BA_Subcontratación. El adjudicatario no podrá subcontratar los servicios derivados de la ejecución de los servicios que se suscriba.</t>
        </is>
      </c>
      <c r="U14" s="0" t="inlineStr">
        <is>
          <t xml:space="preserve">Ana Belén Vera Donoso</t>
        </is>
      </c>
      <c r="V14"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14"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15">
      <c r="A15" s="0" t="inlineStr">
        <is>
          <t xml:space="preserve">4511-58-LE26</t>
        </is>
      </c>
      <c r="B15" s="4" t="inlineStr">
        <is>
          <t xml:space="preserve">Contratación de software trámites en línea Dirección de Obras Municipales I. Municipalidad de Retiro</t>
        </is>
      </c>
      <c r="C15" s="0" t="inlineStr">
        <is>
          <t xml:space="preserve">Publicada</t>
        </is>
      </c>
      <c r="D15" s="0" t="inlineStr">
        <is>
          <t xml:space="preserve">ILUSTRE MUNICIPALIDAD DE RETIRO</t>
        </is>
      </c>
      <c r="E15" s="0" t="inlineStr">
        <is>
          <t xml:space="preserve">Secpla</t>
        </is>
      </c>
      <c r="F15" s="0" t="inlineStr">
        <is>
          <t xml:space="preserve">Región del Maule </t>
        </is>
      </c>
      <c r="G15" s="0" t="inlineStr">
        <is>
          <t xml:space="preserve">Retiro</t>
        </is>
      </c>
      <c r="H15" s="2">
        <v>46300.657037</v>
      </c>
      <c r="I15" s="2">
        <v>46311.625</v>
      </c>
      <c r="J15" s="0">
        <v>4</v>
      </c>
      <c r="K15" s="3"/>
      <c r="L15" s="0" t="inlineStr">
        <is>
          <t xml:space="preserve">CLP</t>
        </is>
      </c>
      <c r="M15" s="0" t="inlineStr">
        <is>
          <t xml:space="preserve">LE</t>
        </is>
      </c>
      <c r="N15" s="4" t="inlineStr">
        <is>
          <t xml:space="preserve">Tecnologías de la información, telecomunicaciones y radiodifusión / Software / Software de consultas y gestión de datos</t>
        </is>
      </c>
      <c r="O15" s="4" t="inlineStr">
        <is>
          <t xml:space="preserve">1 Global · Software de creación de informes de bases de datos</t>
        </is>
      </c>
      <c r="P15" s="2"/>
      <c r="Q15" s="2"/>
      <c r="R15" s="0" t="inlineStr">
        <is>
          <t xml:space="preserve">24 meses</t>
        </is>
      </c>
      <c r="S15" s="0" t="inlineStr">
        <is>
          <t xml:space="preserve">No</t>
        </is>
      </c>
      <c r="T15" s="4" t="inlineStr">
        <is>
          <t xml:space="preserve">CONFORME NUMERAl 21.8</t>
        </is>
      </c>
      <c r="U15" s="0" t="inlineStr">
        <is>
          <t xml:space="preserve">ADELQUI MILLAR</t>
        </is>
      </c>
      <c r="V15"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15" s="5" t="str">
        <f>HYPERLINK("https://www.mercadopublico.cl/Procurement/Modules/Attachment/ViewAttachment.aspx?enc=lGgpFQePFa9BD7sXj8Nw5RrhLO%2b%2b6P%2bVkfM07PQp6GseXgeOtY5bBEvUku%2fKvIkT4Dq3B27G%2ffmfazlze8NCiyuvY5BD%2bFt0w4HtnvslJrGRjXSPEqxhnGpsvdaZtzeBWgC4%2bWFUjPTLHKYePGMubWyWSMkpKRlUU17bRMmSH1S9ZmOJP6vm1J7IT9HepEpOPaUewlGi%2bnjUg5u4mK8f%2bhz8m1LO%2flYHyxlbVXclPr5nkaz1%2bZ9IIoIGE7FOrFOhRkrnYMqupHlTXp%2fWb1UIuB7m12u8qtRku7o7sOPqYflVD431MR1PBJex3hi83dYr","descargar bases")</f>
      </c>
    </row>
    <row r="16">
      <c r="A16" s="0" t="inlineStr">
        <is>
          <t xml:space="preserve">948354-139-LR26</t>
        </is>
      </c>
      <c r="B16" s="4" t="inlineStr">
        <is>
          <t xml:space="preserve">CONTRATACIÓN DE SERVICIO DE SOFTWARE DE RECURSOS HUMANOS PARA EL HOSPITAL DIPRECA</t>
        </is>
      </c>
      <c r="C16" s="0" t="inlineStr">
        <is>
          <t xml:space="preserve">Publicada</t>
        </is>
      </c>
      <c r="D16" s="0" t="inlineStr">
        <is>
          <t xml:space="preserve">FONDO HOSPITAL DE LA DIRECCION DE PREVISION DE CARABINEROS DE CHILE</t>
        </is>
      </c>
      <c r="E16" s="0" t="inlineStr">
        <is>
          <t xml:space="preserve">Unidad de Compra de Bienes y Servicios</t>
        </is>
      </c>
      <c r="F16" s="0" t="inlineStr">
        <is>
          <t xml:space="preserve">Región Metropolitana de Santiago</t>
        </is>
      </c>
      <c r="G16" s="0" t="inlineStr">
        <is>
          <t xml:space="preserve">Las Condes</t>
        </is>
      </c>
      <c r="H16" s="2">
        <v>46281.643044</v>
      </c>
      <c r="I16" s="2">
        <v>46311.666667</v>
      </c>
      <c r="J16" s="0">
        <v>4</v>
      </c>
      <c r="K16" s="3">
        <v>450000000.0</v>
      </c>
      <c r="L16" s="0" t="inlineStr">
        <is>
          <t xml:space="preserve">CLP</t>
        </is>
      </c>
      <c r="M16" s="0" t="inlineStr">
        <is>
          <t xml:space="preserve">LR</t>
        </is>
      </c>
      <c r="N16" s="4" t="inlineStr">
        <is>
          <t xml:space="preserve">Tecnologías de la información, telecomunicaciones y radiodifusión / Software / Software de gestión</t>
        </is>
      </c>
      <c r="O16" s="4" t="inlineStr">
        <is>
          <t xml:space="preserve">1 Unidad · Software de gestión de recursos humanos</t>
        </is>
      </c>
      <c r="P16" s="2"/>
      <c r="Q16" s="2"/>
      <c r="R16" s="0" t="inlineStr">
        <is>
          <t xml:space="preserve">36 meses</t>
        </is>
      </c>
      <c r="S16" s="0" t="inlineStr">
        <is>
          <t xml:space="preserve">No</t>
        </is>
      </c>
      <c r="T16" s="4"/>
      <c r="U16" s="0" t="inlineStr">
        <is>
          <t xml:space="preserve">Patricio Salinas</t>
        </is>
      </c>
      <c r="V1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6"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17">
      <c r="A17" s="0" t="inlineStr">
        <is>
          <t xml:space="preserve">3090-11-L126</t>
        </is>
      </c>
      <c r="B17" s="4" t="inlineStr">
        <is>
          <t xml:space="preserve">RETIRO, PROVISIÓN E INSTALACIÓN DE TABLERO Y EMPALME ELECTRICO</t>
        </is>
      </c>
      <c r="C17" s="0" t="inlineStr">
        <is>
          <t xml:space="preserve">Publicada</t>
        </is>
      </c>
      <c r="D17" s="0" t="inlineStr">
        <is>
          <t xml:space="preserve">DIRECCION DE ABASTECIMIENTO DE LA ARMADA</t>
        </is>
      </c>
      <c r="E17" s="0" t="inlineStr">
        <is>
          <t xml:space="preserve">CENTRAL ODONTOLOGICA IIA. ZONA NAVAL</t>
        </is>
      </c>
      <c r="F17" s="0" t="inlineStr">
        <is>
          <t xml:space="preserve">Región del Biobío </t>
        </is>
      </c>
      <c r="G17" s="0" t="inlineStr">
        <is>
          <t xml:space="preserve">Talcahuano</t>
        </is>
      </c>
      <c r="H17" s="2">
        <v>46300.462396</v>
      </c>
      <c r="I17" s="2">
        <v>46311.677083</v>
      </c>
      <c r="J17" s="0">
        <v>4</v>
      </c>
      <c r="K17" s="3">
        <v>6000000.0</v>
      </c>
      <c r="L17" s="0" t="inlineStr">
        <is>
          <t xml:space="preserve">CLP</t>
        </is>
      </c>
      <c r="M17" s="0" t="inlineStr">
        <is>
          <t xml:space="preserve">L1</t>
        </is>
      </c>
      <c r="N17" s="4" t="inlineStr">
        <is>
          <t xml:space="preserve">Servicios de construcción y mantenimiento / Servicios de atención, mantenimiento y reparaciones de edificios / Servicios eléctricos</t>
        </is>
      </c>
      <c r="O17" s="4" t="inlineStr">
        <is>
          <t xml:space="preserve">1 Unidad no definida · Instalación o servicio de sistemas de energía eléctrica</t>
        </is>
      </c>
      <c r="P17" s="2"/>
      <c r="Q17" s="2"/>
      <c r="R17" s="0"/>
      <c r="S17" s="0" t="inlineStr">
        <is>
          <t xml:space="preserve">No</t>
        </is>
      </c>
      <c r="T17" s="4"/>
      <c r="U17" s="0"/>
      <c r="V17" s="4" t="inlineStr">
        <is>
          <t xml:space="preserve">Se eleva la necesidad de contratar el servicio de retiro, provisión e instalación de tablero y empalme eléctrico de la Central Odontológica de la Segunda Zona Naval.</t>
        </is>
      </c>
      <c r="W17" s="5" t="str">
        <f>HYPERLINK("https://www.mercadopublico.cl/Procurement/Modules/Attachment/ViewAttachment.aspx?enc=xsU038WNgJlNSxbUg%2b0Z%2fklBtUteeegHi0nkZqqD1R6KiJT%2f3agsJzdcYXHC3PfcrmqPxDDYHzxLLtkSpy%2f%2bwBfyiVoNnuWF7t9Tyb4aVtC2aOr1u80kx2%2fltoWJ9ZlrnzF6P8bMdE%2bz%2bKVxe%2fgSBO%2fyHrx5rr1TAWERv6at2V2Ucu5s5qqL2jX%2bk4U2VWk%2fp3MrDwF%2bk32g21QSVCuIlqBp9iutr%2byFWXxFC5IgKn05PJU95pRxDiULHenE7E%2fHz7sgf3uQY2kT7XzYzFTbOz0T9q2Ctm315jRIMc6E0RlIL%2bfqqLW3zrgu9KMmA89s","descargar bases")</f>
      </c>
    </row>
    <row r="18">
      <c r="A18" s="0" t="inlineStr">
        <is>
          <t xml:space="preserve">1494906-9-LE26</t>
        </is>
      </c>
      <c r="B18" s="4" t="inlineStr">
        <is>
          <t xml:space="preserve">SEGUNDO LLAMADO ADQUISICIÓN DE EQUIPOS ESPECIALIZADOS PARA DIGITALIZACIÓN Y ALMACENAMIENTO</t>
        </is>
      </c>
      <c r="C18" s="0" t="inlineStr">
        <is>
          <t xml:space="preserve">Publicada</t>
        </is>
      </c>
      <c r="D18" s="0" t="inlineStr">
        <is>
          <t xml:space="preserve">SERVICIO NACIONAL DEL PATRIMONIO CULTURAL</t>
        </is>
      </c>
      <c r="E18" s="0" t="inlineStr">
        <is>
          <t xml:space="preserve">CINETECA NACIONAL DE CHILE</t>
        </is>
      </c>
      <c r="F18" s="0" t="inlineStr">
        <is>
          <t xml:space="preserve">Región Metropolitana de Santiago</t>
        </is>
      </c>
      <c r="G18" s="0" t="inlineStr">
        <is>
          <t xml:space="preserve">Ñuñoa</t>
        </is>
      </c>
      <c r="H18" s="2">
        <v>46301.670312</v>
      </c>
      <c r="I18" s="2">
        <v>46311.708333</v>
      </c>
      <c r="J18" s="0">
        <v>4</v>
      </c>
      <c r="K18" s="3"/>
      <c r="L18" s="0" t="inlineStr">
        <is>
          <t xml:space="preserve">CLP</t>
        </is>
      </c>
      <c r="M18" s="0" t="inlineStr">
        <is>
          <t xml:space="preserve">LE</t>
        </is>
      </c>
      <c r="N18"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18" s="4" t="inlineStr">
        <is>
          <t xml:space="preserve">1 Unidad · Computadores personales · 8 Unidad · Unidades de medios desmontables de gran capacidad · 1 Unidad · Tarjetas aceleradoras de video o gráficos</t>
        </is>
      </c>
      <c r="P18" s="2"/>
      <c r="Q18" s="2"/>
      <c r="R18" s="0"/>
      <c r="S18" s="0" t="inlineStr">
        <is>
          <t xml:space="preserve">No</t>
        </is>
      </c>
      <c r="T18" s="4"/>
      <c r="U18" s="0" t="inlineStr">
        <is>
          <t xml:space="preserve">Consuelo Castillo</t>
        </is>
      </c>
      <c r="V18"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18"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19">
      <c r="A19" s="0" t="inlineStr">
        <is>
          <t xml:space="preserve">1153624-22-LE26</t>
        </is>
      </c>
      <c r="B19" s="4" t="inlineStr">
        <is>
          <t xml:space="preserve">Servicio enlace de datos de internet</t>
        </is>
      </c>
      <c r="C19" s="0" t="inlineStr">
        <is>
          <t xml:space="preserve">Publicada</t>
        </is>
      </c>
      <c r="D19" s="0" t="inlineStr">
        <is>
          <t xml:space="preserve">SUBSECRETARIA DE RELACIONES ECONOMICAS INTERNACIONALES</t>
        </is>
      </c>
      <c r="E19" s="0" t="inlineStr">
        <is>
          <t xml:space="preserve">Departamento Adquisiciones MN</t>
        </is>
      </c>
      <c r="F19" s="0" t="inlineStr">
        <is>
          <t xml:space="preserve">Región Metropolitana de Santiago</t>
        </is>
      </c>
      <c r="G19" s="0" t="inlineStr">
        <is>
          <t xml:space="preserve">Santiago</t>
        </is>
      </c>
      <c r="H19" s="2">
        <v>46295.481829</v>
      </c>
      <c r="I19" s="2">
        <v>46314.625</v>
      </c>
      <c r="J19" s="0">
        <v>7</v>
      </c>
      <c r="K19" s="3"/>
      <c r="L19" s="0" t="inlineStr">
        <is>
          <t xml:space="preserve">CLP</t>
        </is>
      </c>
      <c r="M19" s="0" t="inlineStr">
        <is>
          <t xml:space="preserve">LE</t>
        </is>
      </c>
      <c r="N19" s="4" t="inlineStr">
        <is>
          <t xml:space="preserve">Servicios basados en ingeniería, ciencias sociales y tecnología de la información / Servicios informáticos / Servicios de datos</t>
        </is>
      </c>
      <c r="O19" s="4" t="inlineStr">
        <is>
          <t xml:space="preserve">1 Unidad · Servicios de almacenamiento de datos</t>
        </is>
      </c>
      <c r="P19" s="2"/>
      <c r="Q19" s="2"/>
      <c r="R19" s="0" t="inlineStr">
        <is>
          <t xml:space="preserve">24 meses</t>
        </is>
      </c>
      <c r="S19" s="0" t="inlineStr">
        <is>
          <t xml:space="preserve">No</t>
        </is>
      </c>
      <c r="T19" s="4" t="inlineStr">
        <is>
          <t xml:space="preserve">No permite subcontratación.
El adjudicatario no podrá subcontratar, salvo autorización escrita de la Subsecretaría de Relaciones Económicas Internacionales</t>
        </is>
      </c>
      <c r="U19" s="0" t="inlineStr">
        <is>
          <t xml:space="preserve">Berland Méndez, René</t>
        </is>
      </c>
      <c r="V19" s="4" t="inlineStr">
        <is>
          <t xml:space="preserve">La Subsecretaría de Relaciones Económicas Internacionales invita a participar en el proceso de contratación de Servicios de enlace de datos de internet de la Subsecretaría de Relaciones Económicas Internacionales.</t>
        </is>
      </c>
      <c r="W19"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20">
      <c r="A20" s="0" t="inlineStr">
        <is>
          <t xml:space="preserve">3000-34-LE26</t>
        </is>
      </c>
      <c r="B20" s="4" t="inlineStr">
        <is>
          <t xml:space="preserve">Relojes Control de Asistencia Software de Gestión</t>
        </is>
      </c>
      <c r="C20" s="0" t="inlineStr">
        <is>
          <t xml:space="preserve">Publicada</t>
        </is>
      </c>
      <c r="D20" s="0" t="inlineStr">
        <is>
          <t xml:space="preserve">I MUNICIPALIDAD DE MONTEPATRIA</t>
        </is>
      </c>
      <c r="E20" s="0" t="inlineStr">
        <is>
          <t xml:space="preserve">Dirección  Adm. y  Finanzas</t>
        </is>
      </c>
      <c r="F20" s="0" t="inlineStr">
        <is>
          <t xml:space="preserve">Región de Coquimbo </t>
        </is>
      </c>
      <c r="G20" s="0" t="inlineStr">
        <is>
          <t xml:space="preserve">Monte Patria</t>
        </is>
      </c>
      <c r="H20" s="2">
        <v>46304.464792</v>
      </c>
      <c r="I20" s="2">
        <v>46314.625</v>
      </c>
      <c r="J20" s="0">
        <v>7</v>
      </c>
      <c r="K20" s="3">
        <v>65824330.0</v>
      </c>
      <c r="L20" s="0" t="inlineStr">
        <is>
          <t xml:space="preserve">CLP</t>
        </is>
      </c>
      <c r="M20" s="0" t="inlineStr">
        <is>
          <t xml:space="preserve">LE</t>
        </is>
      </c>
      <c r="N20" s="4" t="inlineStr">
        <is>
          <t xml:space="preserve">Equipos, accesorios y suministros de oficina / Maquinarias, suministros y accesorios de oficina / Máquinas y accesorios para registro de hora y asistencia en la oficina</t>
        </is>
      </c>
      <c r="O20" s="4" t="inlineStr">
        <is>
          <t xml:space="preserve">20 Unidad · Reloj de control · 1 Global · Reloj de control · 1 Unidad · Reloj de control · y 3 más</t>
        </is>
      </c>
      <c r="P20" s="2"/>
      <c r="Q20" s="2"/>
      <c r="R20" s="0" t="inlineStr">
        <is>
          <t xml:space="preserve">36 meses</t>
        </is>
      </c>
      <c r="S20" s="0" t="inlineStr">
        <is>
          <t xml:space="preserve">No</t>
        </is>
      </c>
      <c r="T20" s="4"/>
      <c r="U20" s="0" t="inlineStr">
        <is>
          <t xml:space="preserve">Juan Fuentevilla Jofre</t>
        </is>
      </c>
      <c r="V20"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20"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21">
      <c r="A21" s="0" t="inlineStr">
        <is>
          <t xml:space="preserve">514862-125-LR26</t>
        </is>
      </c>
      <c r="B21" s="4" t="inlineStr">
        <is>
          <t xml:space="preserve">10032938 PLATAFORMA DE AGENDAMIENTO TELECONSULTAS</t>
        </is>
      </c>
      <c r="C21" s="0" t="inlineStr">
        <is>
          <t xml:space="preserve">Publicada</t>
        </is>
      </c>
      <c r="D21" s="0" t="inlineStr">
        <is>
          <t xml:space="preserve">CORPORACION MUNICIPAL DE PENALOLEN PARA EL DESARROLO SOCIAL CORMUP</t>
        </is>
      </c>
      <c r="E21" s="0" t="inlineStr">
        <is>
          <t xml:space="preserve">CORPORACION MUNICIPAL DE PENALOLEN PARA EL DESARRO</t>
        </is>
      </c>
      <c r="F21" s="0" t="inlineStr">
        <is>
          <t xml:space="preserve">Región Metropolitana de Santiago</t>
        </is>
      </c>
      <c r="G21" s="0" t="inlineStr">
        <is>
          <t xml:space="preserve">Peñalolén</t>
        </is>
      </c>
      <c r="H21" s="2">
        <v>46281.559005</v>
      </c>
      <c r="I21" s="2">
        <v>46314.625</v>
      </c>
      <c r="J21" s="0">
        <v>7</v>
      </c>
      <c r="K21" s="3">
        <v>408000000.0</v>
      </c>
      <c r="L21" s="0" t="inlineStr">
        <is>
          <t xml:space="preserve">CLP</t>
        </is>
      </c>
      <c r="M21" s="0" t="inlineStr">
        <is>
          <t xml:space="preserve">LR</t>
        </is>
      </c>
      <c r="N21" s="4" t="inlineStr">
        <is>
          <t xml:space="preserve">Servicios basados en ingeniería, ciencias sociales y tecnología de la información / Servicios informáticos / Servicios de datos</t>
        </is>
      </c>
      <c r="O21" s="4" t="inlineStr">
        <is>
          <t xml:space="preserve">1 Unidad · Servicios de transformación de datos</t>
        </is>
      </c>
      <c r="P21" s="2"/>
      <c r="Q21" s="2"/>
      <c r="R21" s="0"/>
      <c r="S21" s="0" t="inlineStr">
        <is>
          <t xml:space="preserve">No</t>
        </is>
      </c>
      <c r="T21" s="4" t="inlineStr">
        <is>
          <t xml:space="preserve">SEGUN BASES ADJUNTAS</t>
        </is>
      </c>
      <c r="U21" s="0" t="inlineStr">
        <is>
          <t xml:space="preserve">DANILA SEGUEL</t>
        </is>
      </c>
      <c r="V21" s="4" t="inlineStr">
        <is>
          <t xml:space="preserve">SEGUN BASES ADJUNTAS</t>
        </is>
      </c>
      <c r="W21"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22">
      <c r="A22" s="0" t="inlineStr">
        <is>
          <t xml:space="preserve">869591-12-LP26</t>
        </is>
      </c>
      <c r="B22" s="4" t="inlineStr">
        <is>
          <t xml:space="preserve">CONTRATACIÓN DE PLATAFORMA DE GESTIÓN DOCUMENTAL EXPEDIENTE ELECTRÓNICO Y GESTIÓN DE PROCESOS</t>
        </is>
      </c>
      <c r="C22" s="0" t="inlineStr">
        <is>
          <t xml:space="preserve">Publicada</t>
        </is>
      </c>
      <c r="D22" s="0" t="inlineStr">
        <is>
          <t xml:space="preserve">DIRECCION DE COMPRAS Y CONTRATACION PUBLICA</t>
        </is>
      </c>
      <c r="E22" s="0" t="inlineStr">
        <is>
          <t xml:space="preserve">Calidad del Gasto en las Compras Públicas</t>
        </is>
      </c>
      <c r="F22" s="0" t="inlineStr">
        <is>
          <t xml:space="preserve">Región Metropolitana de Santiago</t>
        </is>
      </c>
      <c r="G22" s="0" t="inlineStr">
        <is>
          <t xml:space="preserve">Santiago Centro</t>
        </is>
      </c>
      <c r="H22" s="2">
        <v>46280.607639</v>
      </c>
      <c r="I22" s="2">
        <v>46314.625</v>
      </c>
      <c r="J22" s="0">
        <v>7</v>
      </c>
      <c r="K22" s="3"/>
      <c r="L22" s="0" t="inlineStr">
        <is>
          <t xml:space="preserve">CLP</t>
        </is>
      </c>
      <c r="M22" s="0" t="inlineStr">
        <is>
          <t xml:space="preserve">LP</t>
        </is>
      </c>
      <c r="N22" s="4" t="inlineStr">
        <is>
          <t xml:space="preserve">Tecnologías de la información, telecomunicaciones y radiodifusión / Software / Software de gestión de contenidos</t>
        </is>
      </c>
      <c r="O22" s="4" t="inlineStr">
        <is>
          <t xml:space="preserve">1 Unidad · Programas de gestión de documentos</t>
        </is>
      </c>
      <c r="P22" s="2"/>
      <c r="Q22" s="2"/>
      <c r="R22" s="0" t="inlineStr">
        <is>
          <t xml:space="preserve">44 meses</t>
        </is>
      </c>
      <c r="S22" s="0" t="inlineStr">
        <is>
          <t xml:space="preserve">No</t>
        </is>
      </c>
      <c r="T22" s="4" t="inlineStr">
        <is>
          <t xml:space="preserve">ver clausula 10 de las bases especiales</t>
        </is>
      </c>
      <c r="U22" s="0" t="inlineStr">
        <is>
          <t xml:space="preserve">Marcela Cabrera</t>
        </is>
      </c>
      <c r="V22" s="4" t="inlineStr">
        <is>
          <t xml:space="preserve">CONTRATACIÓN DE PLATAFORMA DE GESTIÓN DOCUMENTAL, EXPEDIENTE ELECTRÓNICO Y GESTIÓN DE PROCESOS PARA LA DIRECCIÓN DE COMPRAS Y CONTRATACIÓN PÚBLICA</t>
        </is>
      </c>
      <c r="W22"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23">
      <c r="A23" s="0" t="inlineStr">
        <is>
          <t xml:space="preserve">2563-43-LP26</t>
        </is>
      </c>
      <c r="B23" s="4" t="inlineStr">
        <is>
          <t xml:space="preserve">Adquisición de cámaras IA y radares de seguridad</t>
        </is>
      </c>
      <c r="C23" s="0" t="inlineStr">
        <is>
          <t xml:space="preserve">Publicada</t>
        </is>
      </c>
      <c r="D23" s="0" t="inlineStr">
        <is>
          <t xml:space="preserve">DIRECCION GENERAL DE AERONAUTICA CIVIL</t>
        </is>
      </c>
      <c r="E23" s="0" t="inlineStr">
        <is>
          <t xml:space="preserve">UNIDAD DE COMPRA CONTRATOS NACIONALES</t>
        </is>
      </c>
      <c r="F23" s="0" t="inlineStr">
        <is>
          <t xml:space="preserve">Región Metropolitana de Santiago</t>
        </is>
      </c>
      <c r="G23" s="0" t="inlineStr">
        <is>
          <t xml:space="preserve">Providencia</t>
        </is>
      </c>
      <c r="H23" s="2">
        <v>46293.5386</v>
      </c>
      <c r="I23" s="2">
        <v>46314.625</v>
      </c>
      <c r="J23" s="0">
        <v>7</v>
      </c>
      <c r="K23" s="3">
        <v>192000000.0</v>
      </c>
      <c r="L23" s="0" t="inlineStr">
        <is>
          <t xml:space="preserve">CLP</t>
        </is>
      </c>
      <c r="M23" s="0" t="inlineStr">
        <is>
          <t xml:space="preserve">LP</t>
        </is>
      </c>
      <c r="N23" s="4" t="inlineStr">
        <is>
          <t xml:space="preserve">Equipos y suministros de defensa, orden público, protección y seguridad / Seguridad, vigilancia y detección / Equipo de vigilancia y detección</t>
        </is>
      </c>
      <c r="O23" s="4" t="inlineStr">
        <is>
          <t xml:space="preserve">2 Unidad · Cámaras de seguridad · 2 Unidad · Cámaras de seguridad · 1 Unidad · Cámaras de seguridad · y 13 más</t>
        </is>
      </c>
      <c r="P23" s="2"/>
      <c r="Q23" s="2"/>
      <c r="R23" s="0"/>
      <c r="S23" s="0" t="inlineStr">
        <is>
          <t xml:space="preserve">No</t>
        </is>
      </c>
      <c r="T23" s="4"/>
      <c r="U23" s="0" t="inlineStr">
        <is>
          <t xml:space="preserve">Javier Pacheco</t>
        </is>
      </c>
      <c r="V2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23" s="5" t="str">
        <f>HYPERLINK("https://www.mercadopublico.cl/Procurement/Modules/Attachment/ViewAttachment.aspx?enc=gF0mC8%2fy9LWvbiy27MHSFGR13BMQ4C0H%2fEtNJoL9ZGQYPTm1CNXKNNGmtOis3BIM7xu0JelPboXQFPCe65MzI%2ftafATDVxZmzoVlxMS1oef3sKyH%2bRbqmWcPwJYfOpQVHJghgcM4oGilLr6naoxmh5lYwy%2bLhBr7Fu6gbT%2bZs08nUXjYFQHhioGhMKF2w6owiThm08vBbVGgfUg40GNlfFtT8XrFMWIbdrMi5%2fAVp%2bzGq%2bjAc7gsYbR8GF0QWtMcN95Be56uyfKoAuqyR%2fHFTirXCFahwQ3xTGuYLazP6f%2buuy40G1nJUd6%2bGLYA8tdH","descargar bases")</f>
      </c>
    </row>
    <row r="24">
      <c r="A24" s="0" t="inlineStr">
        <is>
          <t xml:space="preserve">1057549-8-LE26</t>
        </is>
      </c>
      <c r="B24" s="4" t="inlineStr">
        <is>
          <t xml:space="preserve">CONVENIO FOTOCOPIADO IMPRESIÓN Y DIGITALIZACIÓN</t>
        </is>
      </c>
      <c r="C24" s="0" t="inlineStr">
        <is>
          <t xml:space="preserve">Publicada</t>
        </is>
      </c>
      <c r="D24" s="0" t="inlineStr">
        <is>
          <t xml:space="preserve">SERVICIO DE SALUD VALDIVIA HOSPITAL LANC</t>
        </is>
      </c>
      <c r="E24" s="0" t="inlineStr">
        <is>
          <t xml:space="preserve">Bienes y Servicios</t>
        </is>
      </c>
      <c r="F24" s="0" t="inlineStr">
        <is>
          <t xml:space="preserve">Región de Los Ríos</t>
        </is>
      </c>
      <c r="G24" s="0" t="inlineStr">
        <is>
          <t xml:space="preserve">Lanco</t>
        </is>
      </c>
      <c r="H24" s="2">
        <v>46303.59897</v>
      </c>
      <c r="I24" s="2">
        <v>46314.625694</v>
      </c>
      <c r="J24" s="0">
        <v>7</v>
      </c>
      <c r="K24" s="3"/>
      <c r="L24" s="0" t="inlineStr">
        <is>
          <t xml:space="preserve">CLP</t>
        </is>
      </c>
      <c r="M24" s="0" t="inlineStr">
        <is>
          <t xml:space="preserve">LE</t>
        </is>
      </c>
      <c r="N24" s="4" t="inlineStr">
        <is>
          <t xml:space="preserve">Servicios editoriales, de diseño, publicidad, gráficos y artistas / Servicios de impresión y reproducción / Impresión</t>
        </is>
      </c>
      <c r="O24" s="4" t="inlineStr">
        <is>
          <t xml:space="preserve">1 Unidad · Impresión digital</t>
        </is>
      </c>
      <c r="P24" s="2"/>
      <c r="Q24" s="2"/>
      <c r="R24" s="0" t="inlineStr">
        <is>
          <t xml:space="preserve">24 meses</t>
        </is>
      </c>
      <c r="S24" s="0" t="inlineStr">
        <is>
          <t xml:space="preserve">No</t>
        </is>
      </c>
      <c r="T24" s="4"/>
      <c r="U24" s="0" t="inlineStr">
        <is>
          <t xml:space="preserve">Andrea Folch Bernales</t>
        </is>
      </c>
      <c r="V24"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24"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25">
      <c r="A25" s="0" t="inlineStr">
        <is>
          <t xml:space="preserve">1218393-49-LE26</t>
        </is>
      </c>
      <c r="B25" s="4" t="inlineStr">
        <is>
          <t xml:space="preserve">Convenio suministro de servicios de fotocopiado impresión y digitalización con arriendo de equipos para CESFAM Externo Valdivia</t>
        </is>
      </c>
      <c r="C25" s="0" t="inlineStr">
        <is>
          <t xml:space="preserve">Publicada</t>
        </is>
      </c>
      <c r="D25" s="0" t="inlineStr">
        <is>
          <t xml:space="preserve">CONSULTORIO EXTERNO VALDIVIA</t>
        </is>
      </c>
      <c r="E25" s="0" t="inlineStr">
        <is>
          <t xml:space="preserve">BIENES Y SERVICIOS</t>
        </is>
      </c>
      <c r="F25" s="0" t="inlineStr">
        <is>
          <t xml:space="preserve">Región de Los Ríos</t>
        </is>
      </c>
      <c r="G25" s="0"/>
      <c r="H25" s="2">
        <v>46304.676343</v>
      </c>
      <c r="I25" s="2">
        <v>46314.625694</v>
      </c>
      <c r="J25" s="0">
        <v>7</v>
      </c>
      <c r="K25" s="3">
        <v>21000000.0</v>
      </c>
      <c r="L25" s="0" t="inlineStr">
        <is>
          <t xml:space="preserve">CLP</t>
        </is>
      </c>
      <c r="M25" s="0" t="inlineStr">
        <is>
          <t xml:space="preserve">LE</t>
        </is>
      </c>
      <c r="N25" s="4" t="inlineStr">
        <is>
          <t xml:space="preserve">Servicios editoriales, de diseño, publicidad, gráficos y artistas / Servicios de impresión y reproducción / Fotocopiado</t>
        </is>
      </c>
      <c r="O25" s="4" t="inlineStr">
        <is>
          <t xml:space="preserve">1 Unidad · Servicios de copias en blanco y negro</t>
        </is>
      </c>
      <c r="P25" s="2"/>
      <c r="Q25" s="2"/>
      <c r="R25" s="0" t="inlineStr">
        <is>
          <t xml:space="preserve">12 meses</t>
        </is>
      </c>
      <c r="S25" s="0" t="inlineStr">
        <is>
          <t xml:space="preserve">No</t>
        </is>
      </c>
      <c r="T25" s="4"/>
      <c r="U25" s="0" t="inlineStr">
        <is>
          <t xml:space="preserve">Ximena Alarcón</t>
        </is>
      </c>
      <c r="V25"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25"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26">
      <c r="A26" s="0" t="inlineStr">
        <is>
          <t xml:space="preserve">4589-20-LE26</t>
        </is>
      </c>
      <c r="B26" s="4" t="inlineStr">
        <is>
          <t xml:space="preserve">CONTRATACION PARA SOPORTE DE MANTENCION Y CAPACITACION DE PLATAFORMA SIFIM PARA ILUSTRE MUNICIPALIDAD DE TORRES DEL PAINE GESTION AREA MUNICIPAL Y SALUD</t>
        </is>
      </c>
      <c r="C26" s="0" t="inlineStr">
        <is>
          <t xml:space="preserve">Publicada</t>
        </is>
      </c>
      <c r="D26" s="0" t="inlineStr">
        <is>
          <t xml:space="preserve">ILUSTRE MUNICIPALIDAD DE TORRES DEL PAIN</t>
        </is>
      </c>
      <c r="E26" s="0" t="inlineStr">
        <is>
          <t xml:space="preserve">adquisiciones</t>
        </is>
      </c>
      <c r="F26" s="0" t="inlineStr">
        <is>
          <t xml:space="preserve">Región de Magallanes y de la Antártica</t>
        </is>
      </c>
      <c r="G26" s="0" t="inlineStr">
        <is>
          <t xml:space="preserve">Torres del Payne</t>
        </is>
      </c>
      <c r="H26" s="2">
        <v>46304.64022</v>
      </c>
      <c r="I26" s="2">
        <v>46314.625694</v>
      </c>
      <c r="J26" s="0">
        <v>7</v>
      </c>
      <c r="K26" s="3"/>
      <c r="L26" s="0" t="inlineStr">
        <is>
          <t xml:space="preserve">CLP</t>
        </is>
      </c>
      <c r="M26" s="0" t="inlineStr">
        <is>
          <t xml:space="preserve">LE</t>
        </is>
      </c>
      <c r="N26" s="4" t="inlineStr">
        <is>
          <t xml:space="preserve">Tecnologías de la información, telecomunicaciones y radiodifusión / Software / Software de planificación de recursos empresariales (ERP) y contabilidad financiera</t>
        </is>
      </c>
      <c r="O26" s="4" t="inlineStr">
        <is>
          <t xml:space="preserve">1 Unidad · Programas de análisis financiero</t>
        </is>
      </c>
      <c r="P26" s="2"/>
      <c r="Q26" s="2"/>
      <c r="R26" s="0" t="inlineStr">
        <is>
          <t xml:space="preserve">12 meses</t>
        </is>
      </c>
      <c r="S26" s="0" t="inlineStr">
        <is>
          <t xml:space="preserve">No</t>
        </is>
      </c>
      <c r="T26" s="4" t="inlineStr">
        <is>
          <t xml:space="preserve">NO APLICA</t>
        </is>
      </c>
      <c r="U26" s="0" t="inlineStr">
        <is>
          <t xml:space="preserve">RODRIGO SOTO OROZ</t>
        </is>
      </c>
      <c r="V26" s="4" t="inlineStr">
        <is>
          <t xml:space="preserve">CONTRATACION PARA SOPORTE DE MANTENCION Y CAPACITACION DE PLATAFORMA SIFIM PARA ILUSTRE MUNICIPALIDAD DE TORRES DEL PAINE, GESTION AREA MUNICIPAL Y SALUD</t>
        </is>
      </c>
      <c r="W26"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27">
      <c r="A27" s="0" t="inlineStr">
        <is>
          <t xml:space="preserve">425-65-LR26</t>
        </is>
      </c>
      <c r="B27" s="4" t="inlineStr">
        <is>
          <t xml:space="preserve">Renovación de licencias y servicio de administración de software Falcon Crowdstrike EDR para el Poder Judicial</t>
        </is>
      </c>
      <c r="C27" s="0" t="inlineStr">
        <is>
          <t xml:space="preserve">Publicada</t>
        </is>
      </c>
      <c r="D27" s="0" t="inlineStr">
        <is>
          <t xml:space="preserve">CORP ADMINISTRATIVA DEL PODER JUDICIAL</t>
        </is>
      </c>
      <c r="E27" s="0" t="inlineStr">
        <is>
          <t xml:space="preserve">Servicios</t>
        </is>
      </c>
      <c r="F27" s="0" t="inlineStr">
        <is>
          <t xml:space="preserve">Región Metropolitana de Santiago</t>
        </is>
      </c>
      <c r="G27" s="0" t="inlineStr">
        <is>
          <t xml:space="preserve">Santiago Centro</t>
        </is>
      </c>
      <c r="H27" s="2">
        <v>46282.496528</v>
      </c>
      <c r="I27" s="2">
        <v>46314.666667</v>
      </c>
      <c r="J27" s="0">
        <v>7</v>
      </c>
      <c r="K27" s="3"/>
      <c r="L27" s="0" t="inlineStr">
        <is>
          <t xml:space="preserve">USD</t>
        </is>
      </c>
      <c r="M27" s="0" t="inlineStr">
        <is>
          <t xml:space="preserve">LR</t>
        </is>
      </c>
      <c r="N27" s="4" t="inlineStr">
        <is>
          <t xml:space="preserve">Tecnologías de la información, telecomunicaciones y radiodifusión / Software / Software de gestión</t>
        </is>
      </c>
      <c r="O27" s="4" t="inlineStr">
        <is>
          <t xml:space="preserve">1 Global · Software de gestión de licencias · 1 Global · Software de gestión de licencias · 1 Global · Software de gestión de licencias · y 2 más</t>
        </is>
      </c>
      <c r="P27" s="2"/>
      <c r="Q27" s="2"/>
      <c r="R27" s="0" t="inlineStr">
        <is>
          <t xml:space="preserve">12 meses</t>
        </is>
      </c>
      <c r="S27" s="0" t="inlineStr">
        <is>
          <t xml:space="preserve">No</t>
        </is>
      </c>
      <c r="T27" s="4" t="inlineStr">
        <is>
          <t xml:space="preserve">De acuerdo al numeral 15 de las bases administrativas especiales</t>
        </is>
      </c>
      <c r="U27" s="0" t="inlineStr">
        <is>
          <t xml:space="preserve">Jorge Quezada</t>
        </is>
      </c>
      <c r="V27" s="4" t="inlineStr">
        <is>
          <t xml:space="preserve">Renovación de licencias y servicio de administración de software Falcon Crowdstrike EDR para el Poder Judicial</t>
        </is>
      </c>
      <c r="W27"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28">
      <c r="A28" s="0" t="inlineStr">
        <is>
          <t xml:space="preserve">1375758-7-LE26</t>
        </is>
      </c>
      <c r="B28" s="4" t="inlineStr">
        <is>
          <t xml:space="preserve">PLATAFORMA INTEGRAL PARA LA PLANIFICACIÓN CONTROL DE DOTACIÓN ESCOLAR Y GESTIÓN DE SOLICITUDES DE CONTRATACIÓN</t>
        </is>
      </c>
      <c r="C28" s="0" t="inlineStr">
        <is>
          <t xml:space="preserve">Publicada</t>
        </is>
      </c>
      <c r="D28" s="0" t="inlineStr">
        <is>
          <t xml:space="preserve">SERVICIO LOCAL DE EDUCACIÓN PÚBLICA SANTIAGO CENTRO</t>
        </is>
      </c>
      <c r="E28" s="0" t="inlineStr">
        <is>
          <t xml:space="preserve">NIVEL CENTRAL SLEP SANTIAGO CENTRO P01</t>
        </is>
      </c>
      <c r="F28" s="0" t="inlineStr">
        <is>
          <t xml:space="preserve">Región Metropolitana de Santiago</t>
        </is>
      </c>
      <c r="G28" s="0" t="inlineStr">
        <is>
          <t xml:space="preserve">Santiago</t>
        </is>
      </c>
      <c r="H28" s="2">
        <v>46301.667801</v>
      </c>
      <c r="I28" s="2">
        <v>46314.6875</v>
      </c>
      <c r="J28" s="0">
        <v>7</v>
      </c>
      <c r="K28" s="3"/>
      <c r="L28" s="0" t="inlineStr">
        <is>
          <t xml:space="preserve">CLP</t>
        </is>
      </c>
      <c r="M28" s="0" t="inlineStr">
        <is>
          <t xml:space="preserve">LE</t>
        </is>
      </c>
      <c r="N28" s="4" t="inlineStr">
        <is>
          <t xml:space="preserve">Servicios basados en ingeniería, ciencias sociales y tecnología de la información / Servicios informáticos / Ingeniería en computación e informática</t>
        </is>
      </c>
      <c r="O28" s="4" t="inlineStr">
        <is>
          <t xml:space="preserve">24 Mes · Desarrollo de Aplicaciones de Recursos Empresariales (ERP)</t>
        </is>
      </c>
      <c r="P28" s="2"/>
      <c r="Q28" s="2"/>
      <c r="R28" s="0" t="inlineStr">
        <is>
          <t xml:space="preserve">24 meses</t>
        </is>
      </c>
      <c r="S28" s="0" t="inlineStr">
        <is>
          <t xml:space="preserve">No</t>
        </is>
      </c>
      <c r="T28" s="4"/>
      <c r="U28" s="0" t="inlineStr">
        <is>
          <t xml:space="preserve">Christian Rivillo</t>
        </is>
      </c>
      <c r="V28" s="4" t="inlineStr">
        <is>
          <t xml:space="preserve">SE REQUEIRE CONTRATAR PLATAFORMA INTEGRAL PARA LA PLANIFICACIÓN, CONTROL DE DOTACIÓN ESCOLAR Y GESTIÓN DE SOLICITUDES DE CONTRATACIÓN, SEGÚN BASES ADJUNTAS, APROBADAS POR RES. EXENTA N°</t>
        </is>
      </c>
      <c r="W28"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29">
      <c r="A29" s="0" t="inlineStr">
        <is>
          <t xml:space="preserve">2548-94-CO26</t>
        </is>
      </c>
      <c r="B29" s="4" t="inlineStr">
        <is>
          <t xml:space="preserve">PROVISIÓN DE AUDÍFONOS RETROAURICULARES DIGITALES</t>
        </is>
      </c>
      <c r="C29" s="0" t="inlineStr">
        <is>
          <t xml:space="preserve">Publicada</t>
        </is>
      </c>
      <c r="D29" s="0" t="inlineStr">
        <is>
          <t xml:space="preserve">I MUNICIPALIDAD DE PADRE LAS CASAS</t>
        </is>
      </c>
      <c r="E29" s="0" t="inlineStr">
        <is>
          <t xml:space="preserve">MUNICIPALIDAD DE PADRE LAS CASAS  SALUD</t>
        </is>
      </c>
      <c r="F29" s="0" t="inlineStr">
        <is>
          <t xml:space="preserve">Región de la Araucanía </t>
        </is>
      </c>
      <c r="G29" s="0" t="inlineStr">
        <is>
          <t xml:space="preserve">Padre Las Casas</t>
        </is>
      </c>
      <c r="H29" s="2">
        <v>46302.691782</v>
      </c>
      <c r="I29" s="2">
        <v>46314.6875</v>
      </c>
      <c r="J29" s="0">
        <v>7</v>
      </c>
      <c r="K29" s="3">
        <v>29790000.0</v>
      </c>
      <c r="L29" s="0" t="inlineStr">
        <is>
          <t xml:space="preserve">CLP</t>
        </is>
      </c>
      <c r="M29" s="0" t="inlineStr">
        <is>
          <t xml:space="preserve">CO</t>
        </is>
      </c>
      <c r="N29" s="4" t="inlineStr">
        <is>
          <t xml:space="preserve">Equipamiento y suministros médicos / Ayuda para personas con discapacidad / Artículos de ayuda para la comunicación de discapacitados</t>
        </is>
      </c>
      <c r="O29" s="4" t="inlineStr">
        <is>
          <t xml:space="preserve">1 Unidad · Audífonos para personas con discapacidad física</t>
        </is>
      </c>
      <c r="P29" s="2"/>
      <c r="Q29" s="2"/>
      <c r="R29" s="0"/>
      <c r="S29" s="0" t="inlineStr">
        <is>
          <t xml:space="preserve">No</t>
        </is>
      </c>
      <c r="T29" s="4" t="inlineStr">
        <is>
          <t xml:space="preserve">DE ACUERDO A BASES</t>
        </is>
      </c>
      <c r="U29" s="0" t="inlineStr">
        <is>
          <t xml:space="preserve">ESTEFANI LEIVA CASTRO</t>
        </is>
      </c>
      <c r="V29"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29"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30">
      <c r="A30" s="0" t="inlineStr">
        <is>
          <t xml:space="preserve">1375757-32-LP26</t>
        </is>
      </c>
      <c r="B30" s="4" t="inlineStr">
        <is>
          <t xml:space="preserve">LICENCIAS DE SOFTWARE PARA SLEP DE PUELCHE</t>
        </is>
      </c>
      <c r="C30" s="0" t="inlineStr">
        <is>
          <t xml:space="preserve">Publicada</t>
        </is>
      </c>
      <c r="D30" s="0" t="inlineStr">
        <is>
          <t xml:space="preserve">SERVICIO LOCAL DE EDUCACIÓN PÚBLICA PUELCHE</t>
        </is>
      </c>
      <c r="E30" s="0" t="inlineStr">
        <is>
          <t xml:space="preserve">COMPRAS Y LICITACIONES</t>
        </is>
      </c>
      <c r="F30" s="0" t="inlineStr">
        <is>
          <t xml:space="preserve">Región del Biobío </t>
        </is>
      </c>
      <c r="G30" s="0" t="inlineStr">
        <is>
          <t xml:space="preserve">Santiago</t>
        </is>
      </c>
      <c r="H30" s="2">
        <v>46301.723102</v>
      </c>
      <c r="I30" s="2">
        <v>46314.708333</v>
      </c>
      <c r="J30" s="0">
        <v>7</v>
      </c>
      <c r="K30" s="3">
        <v>101220000.0</v>
      </c>
      <c r="L30" s="0" t="inlineStr">
        <is>
          <t xml:space="preserve">CLP</t>
        </is>
      </c>
      <c r="M30" s="0" t="inlineStr">
        <is>
          <t xml:space="preserve">LP</t>
        </is>
      </c>
      <c r="N30" s="4" t="inlineStr">
        <is>
          <t xml:space="preserve">Tecnologías de la información, telecomunicaciones y radiodifusión / Software / Software de gestión</t>
        </is>
      </c>
      <c r="O30" s="4" t="inlineStr">
        <is>
          <t xml:space="preserve">1 Global · Software de gestión de licencias · 1 Global · Software de gestión de licencias · 1 Global · Software de gestión de licencias · y 10 más</t>
        </is>
      </c>
      <c r="P30" s="2"/>
      <c r="Q30" s="2"/>
      <c r="R30" s="0"/>
      <c r="S30" s="0" t="inlineStr">
        <is>
          <t xml:space="preserve">No</t>
        </is>
      </c>
      <c r="T30" s="4"/>
      <c r="U30" s="0" t="inlineStr">
        <is>
          <t xml:space="preserve">DIEGO ALONSO CORTÉS RODRÍGUEZ</t>
        </is>
      </c>
      <c r="V30" s="4" t="inlineStr">
        <is>
          <t xml:space="preserve">Según bases adjuntas.</t>
        </is>
      </c>
      <c r="W30"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31">
      <c r="A31" s="0" t="inlineStr">
        <is>
          <t xml:space="preserve">1389183-71-LE26</t>
        </is>
      </c>
      <c r="B31" s="4" t="inlineStr">
        <is>
          <t xml:space="preserve">PROGRAMAS INFORMATICOS PARA LICEOS TP</t>
        </is>
      </c>
      <c r="C31" s="0" t="inlineStr">
        <is>
          <t xml:space="preserve">Publicada</t>
        </is>
      </c>
      <c r="D31" s="0" t="inlineStr">
        <is>
          <t xml:space="preserve">SERVICIO LOCAL DE EDUCACIÓN PÚBLICA DE ANDALIÉN COSTA</t>
        </is>
      </c>
      <c r="E31" s="0" t="inlineStr">
        <is>
          <t xml:space="preserve">SERVICIO EDUCATIVO ANDALIEN COSTA</t>
        </is>
      </c>
      <c r="F31" s="0" t="inlineStr">
        <is>
          <t xml:space="preserve">Región del Biobío </t>
        </is>
      </c>
      <c r="G31" s="0" t="inlineStr">
        <is>
          <t xml:space="preserve">Coronel</t>
        </is>
      </c>
      <c r="H31" s="2">
        <v>46300.652407</v>
      </c>
      <c r="I31" s="2">
        <v>46314.708333</v>
      </c>
      <c r="J31" s="0">
        <v>7</v>
      </c>
      <c r="K31" s="3">
        <v>9000000.0</v>
      </c>
      <c r="L31" s="0" t="inlineStr">
        <is>
          <t xml:space="preserve">CLP</t>
        </is>
      </c>
      <c r="M31" s="0" t="inlineStr">
        <is>
          <t xml:space="preserve">LE</t>
        </is>
      </c>
      <c r="N31"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31" s="4" t="inlineStr">
        <is>
          <t xml:space="preserve">1 Unidad · Programas de contabilidad · 1 Unidad · Software de gestión de recursos humanos</t>
        </is>
      </c>
      <c r="P31" s="2"/>
      <c r="Q31" s="2"/>
      <c r="R31" s="0"/>
      <c r="S31" s="0" t="inlineStr">
        <is>
          <t xml:space="preserve">No</t>
        </is>
      </c>
      <c r="T31" s="4"/>
      <c r="U31" s="0" t="inlineStr">
        <is>
          <t xml:space="preserve">Ingrid Cortes</t>
        </is>
      </c>
      <c r="V31"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31" s="5" t="str">
        <f>HYPERLINK("https://www.mercadopublico.cl/Procurement/Modules/Attachment/ViewAttachment.aspx?enc=tYKQLk8cdQroSpbrqo2ZHbbSHc63vskgwCQ0QIrZnIoeqDVuc1CN%2bT%2fY3FLIGGjASlnpOLwoe52HVDGH%2fq8i0vnt59%2fbjwKVsp8IOeCknQb%2fQqDNyC7mllwFu53PRBtdDuD%2bH8y3l50b9mBcXM75m%2fEFG2yqFWMhOhbof8Hu%2b%2fyDb4DfCVlrjSvq3rOgqiNfD6HaKhg1EVYAuxL1FRgMxKWVysOCh5014JqTCf6AZ9ro3mgyLMqPgMhN3h47ZW3jz1wAPVugiV%2f8xPkZ7J4eXyAovnu7yxgNRhCOgXcGyOuqQtym6wAchW41T%2fiXe6UL","descargar bases")</f>
      </c>
    </row>
    <row r="32">
      <c r="A32" s="0" t="inlineStr">
        <is>
          <t xml:space="preserve">4455-53-LE26</t>
        </is>
      </c>
      <c r="B32" s="4" t="inlineStr">
        <is>
          <t xml:space="preserve">SERVICIO ARRIENDO DE SOFWARE DE ASISTENCIA CLOUD</t>
        </is>
      </c>
      <c r="C32" s="0" t="inlineStr">
        <is>
          <t xml:space="preserve">Publicada</t>
        </is>
      </c>
      <c r="D32" s="0" t="inlineStr">
        <is>
          <t xml:space="preserve">I MUNICIPALIDAD DE ARAUCO</t>
        </is>
      </c>
      <c r="E32" s="0" t="inlineStr">
        <is>
          <t xml:space="preserve">Ilustre Municipalidad de Arauco - Educación</t>
        </is>
      </c>
      <c r="F32" s="0" t="inlineStr">
        <is>
          <t xml:space="preserve">Región del Biobío </t>
        </is>
      </c>
      <c r="G32" s="0"/>
      <c r="H32" s="2">
        <v>46303.608819</v>
      </c>
      <c r="I32" s="2">
        <v>46314.73125</v>
      </c>
      <c r="J32" s="0">
        <v>7</v>
      </c>
      <c r="K32" s="3"/>
      <c r="L32" s="0" t="inlineStr">
        <is>
          <t xml:space="preserve">CLP</t>
        </is>
      </c>
      <c r="M32" s="0" t="inlineStr">
        <is>
          <t xml:space="preserve">LE</t>
        </is>
      </c>
      <c r="N32" s="4" t="inlineStr">
        <is>
          <t xml:space="preserve">Equipos, accesorios y suministros de oficina / Maquinarias, suministros y accesorios de oficina / Máquinas y accesorios para registro de hora y asistencia en la oficina</t>
        </is>
      </c>
      <c r="O32" s="4" t="inlineStr">
        <is>
          <t xml:space="preserve">1 Unidad · Reloj de control</t>
        </is>
      </c>
      <c r="P32" s="2"/>
      <c r="Q32" s="2"/>
      <c r="R32" s="0" t="inlineStr">
        <is>
          <t xml:space="preserve">14 meses</t>
        </is>
      </c>
      <c r="S32" s="0" t="inlineStr">
        <is>
          <t xml:space="preserve">No</t>
        </is>
      </c>
      <c r="T32" s="4"/>
      <c r="U32" s="0" t="inlineStr">
        <is>
          <t xml:space="preserve">Henry Salazar Pastrana</t>
        </is>
      </c>
      <c r="V32" s="4" t="inlineStr">
        <is>
          <t xml:space="preserve">Servicio Arriendo de SOFTWARE de Asistencia Cloud para Establecimientos Educacionales, Jardines, Salas Cunas de la Comuna y Departamento de Educación Municipal, por 14 meses</t>
        </is>
      </c>
      <c r="W32"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33">
      <c r="A33" s="0" t="inlineStr">
        <is>
          <t xml:space="preserve">1230869-7-LE26</t>
        </is>
      </c>
      <c r="B33" s="4" t="inlineStr">
        <is>
          <t xml:space="preserve">SERVICIO DE SOFTWARE DE CONTABILIDAD GUBERNAMENTAL</t>
        </is>
      </c>
      <c r="C33" s="0" t="inlineStr">
        <is>
          <t xml:space="preserve">Publicada</t>
        </is>
      </c>
      <c r="D33" s="0" t="inlineStr">
        <is>
          <t xml:space="preserve">Corporación Cultural de La Florida</t>
        </is>
      </c>
      <c r="E33" s="0" t="inlineStr">
        <is>
          <t xml:space="preserve">Corporación Cultural de La Florida</t>
        </is>
      </c>
      <c r="F33" s="0" t="inlineStr">
        <is>
          <t xml:space="preserve">Región Metropolitana de Santiago</t>
        </is>
      </c>
      <c r="G33" s="0" t="inlineStr">
        <is>
          <t xml:space="preserve">La Florida</t>
        </is>
      </c>
      <c r="H33" s="2">
        <v>46302.551852</v>
      </c>
      <c r="I33" s="2">
        <v>46314.83125</v>
      </c>
      <c r="J33" s="0">
        <v>7</v>
      </c>
      <c r="K33" s="3">
        <v>52800000.0</v>
      </c>
      <c r="L33" s="0" t="inlineStr">
        <is>
          <t xml:space="preserve">CLP</t>
        </is>
      </c>
      <c r="M33" s="0" t="inlineStr">
        <is>
          <t xml:space="preserve">LE</t>
        </is>
      </c>
      <c r="N33" s="4" t="inlineStr">
        <is>
          <t xml:space="preserve">Tecnologías de la información, telecomunicaciones y radiodifusión / Software / Software de planificación de recursos empresariales (ERP) y contabilidad financiera</t>
        </is>
      </c>
      <c r="O33" s="4" t="inlineStr">
        <is>
          <t xml:space="preserve">1 Unidad · Programas de contabilidad</t>
        </is>
      </c>
      <c r="P33" s="2"/>
      <c r="Q33" s="2"/>
      <c r="R33" s="0" t="inlineStr">
        <is>
          <t xml:space="preserve">24 meses</t>
        </is>
      </c>
      <c r="S33" s="0" t="inlineStr">
        <is>
          <t xml:space="preserve">No</t>
        </is>
      </c>
      <c r="T33" s="4" t="inlineStr">
        <is>
          <t xml:space="preserve">No se autoriza la subcontratación.</t>
        </is>
      </c>
      <c r="U33" s="0" t="inlineStr">
        <is>
          <t xml:space="preserve">Carolina Lagos</t>
        </is>
      </c>
      <c r="V33"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33"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34">
      <c r="A34" s="0" t="inlineStr">
        <is>
          <t xml:space="preserve">1191449-19-LP26</t>
        </is>
      </c>
      <c r="B34" s="4" t="inlineStr">
        <is>
          <t xml:space="preserve">SERVICIOS  DE ADMINIS DE INFRAES CLOUD Y MANTEN AN</t>
        </is>
      </c>
      <c r="C34" s="0" t="inlineStr">
        <is>
          <t xml:space="preserve">Publicada</t>
        </is>
      </c>
      <c r="D34" s="0" t="inlineStr">
        <is>
          <t xml:space="preserve">SERVICIO NACIONAL DEL PATRIMONIO CULTURAL</t>
        </is>
      </c>
      <c r="E34" s="0" t="inlineStr">
        <is>
          <t xml:space="preserve">SUBDIRECCIÓN ARCHIVO NACIONAL DOS</t>
        </is>
      </c>
      <c r="F34" s="0" t="inlineStr">
        <is>
          <t xml:space="preserve">Región Metropolitana de Santiago</t>
        </is>
      </c>
      <c r="G34" s="0" t="inlineStr">
        <is>
          <t xml:space="preserve">Santiago</t>
        </is>
      </c>
      <c r="H34" s="2">
        <v>46294.62088</v>
      </c>
      <c r="I34" s="2">
        <v>46314.833333</v>
      </c>
      <c r="J34" s="0">
        <v>7</v>
      </c>
      <c r="K34" s="3">
        <v>114470000.0</v>
      </c>
      <c r="L34" s="0" t="inlineStr">
        <is>
          <t xml:space="preserve">CLP</t>
        </is>
      </c>
      <c r="M34" s="0" t="inlineStr">
        <is>
          <t xml:space="preserve">LP</t>
        </is>
      </c>
      <c r="N34" s="4" t="inlineStr">
        <is>
          <t xml:space="preserve">Servicios profesionales, administrativos y consultorías de gestión empresarial / Servicios de recursos humanos / Contratación de personal</t>
        </is>
      </c>
      <c r="O34" s="4" t="inlineStr">
        <is>
          <t xml:space="preserve">1 Unidad · Profesionales · 1 Unidad · Profesionales</t>
        </is>
      </c>
      <c r="P34" s="2"/>
      <c r="Q34" s="2"/>
      <c r="R34" s="0" t="inlineStr">
        <is>
          <t xml:space="preserve">12 meses</t>
        </is>
      </c>
      <c r="S34" s="0" t="inlineStr">
        <is>
          <t xml:space="preserve">No</t>
        </is>
      </c>
      <c r="T34"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34" s="0" t="inlineStr">
        <is>
          <t xml:space="preserve">CONSTANZA ACUÑA CERDA</t>
        </is>
      </c>
      <c r="V34" s="4" t="inlineStr">
        <is>
          <t xml:space="preserve">“SERVICIOS PROFESIONALES DE ADMINISTRACIÓN DE INFRAESTRUCTURA CLOUD Y MANTENCIÓN DE SISTEMAS PARA EL ARCHIVO NACIONAL”.</t>
        </is>
      </c>
      <c r="W34"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35">
      <c r="A35" s="0" t="inlineStr">
        <is>
          <t xml:space="preserve">591-34-LE26</t>
        </is>
      </c>
      <c r="B35" s="4" t="inlineStr">
        <is>
          <t xml:space="preserve">CURSO IA EN INGENIERÍA DE SOFTWARE Y ANALÍTICA  A</t>
        </is>
      </c>
      <c r="C35" s="0" t="inlineStr">
        <is>
          <t xml:space="preserve">Publicada</t>
        </is>
      </c>
      <c r="D35" s="0" t="inlineStr">
        <is>
          <t xml:space="preserve">FONDO NACIONAL DE SALUD</t>
        </is>
      </c>
      <c r="E35" s="0" t="inlineStr">
        <is>
          <t xml:space="preserve">FONASA, Nivel Central</t>
        </is>
      </c>
      <c r="F35" s="0" t="inlineStr">
        <is>
          <t xml:space="preserve">Región Metropolitana de Santiago</t>
        </is>
      </c>
      <c r="G35" s="0"/>
      <c r="H35" s="2">
        <v>46300.676389</v>
      </c>
      <c r="I35" s="2">
        <v>46314.833333</v>
      </c>
      <c r="J35" s="0">
        <v>7</v>
      </c>
      <c r="K35" s="3">
        <v>3000000.0</v>
      </c>
      <c r="L35" s="0" t="inlineStr">
        <is>
          <t xml:space="preserve">CLP</t>
        </is>
      </c>
      <c r="M35" s="0" t="inlineStr">
        <is>
          <t xml:space="preserve">LE</t>
        </is>
      </c>
      <c r="N35" s="4" t="inlineStr">
        <is>
          <t xml:space="preserve">Educación, formación, entrenamiento y capacitación / Sistemas educativos complementarios / Aprendizaje a distancia</t>
        </is>
      </c>
      <c r="O35" s="4" t="inlineStr">
        <is>
          <t xml:space="preserve">1 Unidad · Programas o cursos no diplomados a distancia</t>
        </is>
      </c>
      <c r="P35" s="2"/>
      <c r="Q35" s="2"/>
      <c r="R35" s="0"/>
      <c r="S35" s="0" t="inlineStr">
        <is>
          <t xml:space="preserve">No</t>
        </is>
      </c>
      <c r="T35" s="4" t="inlineStr">
        <is>
          <t xml:space="preserve">Las señaladas en la Resolución.</t>
        </is>
      </c>
      <c r="U35" s="0" t="inlineStr">
        <is>
          <t xml:space="preserve">ISMENIA TUDELA ROJO</t>
        </is>
      </c>
      <c r="V35"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35" s="5" t="str">
        <f>HYPERLINK("https://www.mercadopublico.cl/Procurement/Modules/Attachment/ViewAttachment.aspx?enc=d6y0jSF5DjYY36Te3ZnIsLlIJkhSpnR9J1YZsSY6AdTz0D%2fGtwWR%2fGPobpCH8VEqDi2fAeNCzkqlG0nNAqry5xIivkdcjpaBIfxG96yqNmpKf6isXy1f3vVRRpAtMXEhX2guWAK%2bjoFkNDzahLS1FDI%2fwhMrgan7cVCYKOZuDGdLatfbFA2N0%2beWO0GZx4jiyI1sh1uHltk3m6ER8YGOuOnLQ4j5n9AraFII9hgSRXDs7v8hm6%2fToFvIxymlGfA1P%2fnO5q114B8M0LhlgGIxOilbnivXz8CKxgIH64dwCM5szVh40EEKvqXXwN7IyCeK","descargar bases")</f>
      </c>
    </row>
    <row r="36">
      <c r="A36" s="0" t="inlineStr">
        <is>
          <t xml:space="preserve">1409-15-LE26</t>
        </is>
      </c>
      <c r="B36" s="4" t="inlineStr">
        <is>
          <t xml:space="preserve">Servicio arriendo red de datos e internet</t>
        </is>
      </c>
      <c r="C36" s="0" t="inlineStr">
        <is>
          <t xml:space="preserve">Publicada</t>
        </is>
      </c>
      <c r="D36" s="0" t="inlineStr">
        <is>
          <t xml:space="preserve">DIRECCION GENERAL DE AERONAUTICA CIVIL</t>
        </is>
      </c>
      <c r="E36" s="0" t="inlineStr">
        <is>
          <t xml:space="preserve">UNIDAD DE COMPRA PUERTO MONTT</t>
        </is>
      </c>
      <c r="F36" s="0" t="inlineStr">
        <is>
          <t xml:space="preserve">Región de los Lagos </t>
        </is>
      </c>
      <c r="G36" s="0" t="inlineStr">
        <is>
          <t xml:space="preserve">Puerto Montt</t>
        </is>
      </c>
      <c r="H36" s="2">
        <v>46294.686956</v>
      </c>
      <c r="I36" s="2">
        <v>46315.416667</v>
      </c>
      <c r="J36" s="0">
        <v>8</v>
      </c>
      <c r="K36" s="3"/>
      <c r="L36" s="0" t="inlineStr">
        <is>
          <t xml:space="preserve">CLP</t>
        </is>
      </c>
      <c r="M36" s="0" t="inlineStr">
        <is>
          <t xml:space="preserve">LE</t>
        </is>
      </c>
      <c r="N36" s="4" t="inlineStr">
        <is>
          <t xml:space="preserve">Servicios basados en ingeniería, ciencias sociales y tecnología de la información / Servicios informáticos / Servicios para internet</t>
        </is>
      </c>
      <c r="O36" s="4" t="inlineStr">
        <is>
          <t xml:space="preserve">36 Mes · Proveedores de servicio de Internet (ISP)</t>
        </is>
      </c>
      <c r="P36" s="2"/>
      <c r="Q36" s="2"/>
      <c r="R36" s="0" t="inlineStr">
        <is>
          <t xml:space="preserve">36 meses</t>
        </is>
      </c>
      <c r="S36" s="0" t="inlineStr">
        <is>
          <t xml:space="preserve">No</t>
        </is>
      </c>
      <c r="T36" s="4"/>
      <c r="U36" s="0" t="inlineStr">
        <is>
          <t xml:space="preserve">Rocio Marin Chambla</t>
        </is>
      </c>
      <c r="V36" s="4" t="inlineStr">
        <is>
          <t xml:space="preserve">se requiere contratar el servicio de arriendo red de datos e internet para el aeropuerto el Tepual de Puerto Montt, por un periodo de 36 meses.</t>
        </is>
      </c>
      <c r="W36"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37">
      <c r="A37" s="0" t="inlineStr">
        <is>
          <t xml:space="preserve">630-29-LE26</t>
        </is>
      </c>
      <c r="B37" s="4" t="inlineStr">
        <is>
          <t xml:space="preserve">SERVICIO DE GESTIÓN DOCUMENTAL EN MODALIDAD SAAS</t>
        </is>
      </c>
      <c r="C37" s="0" t="inlineStr">
        <is>
          <t xml:space="preserve">Publicada</t>
        </is>
      </c>
      <c r="D37" s="0" t="inlineStr">
        <is>
          <t xml:space="preserve">SUBSECRETARIA DEL TRABAJO</t>
        </is>
      </c>
      <c r="E37" s="0" t="inlineStr">
        <is>
          <t xml:space="preserve">Subsecretaria del Trabajo</t>
        </is>
      </c>
      <c r="F37" s="0" t="inlineStr">
        <is>
          <t xml:space="preserve">Región Metropolitana de Santiago</t>
        </is>
      </c>
      <c r="G37" s="0" t="inlineStr">
        <is>
          <t xml:space="preserve">Santiago</t>
        </is>
      </c>
      <c r="H37" s="2">
        <v>46300.575498</v>
      </c>
      <c r="I37" s="2">
        <v>46315.416667</v>
      </c>
      <c r="J37" s="0">
        <v>8</v>
      </c>
      <c r="K37" s="3">
        <v>40000000.0</v>
      </c>
      <c r="L37" s="0" t="inlineStr">
        <is>
          <t xml:space="preserve">CLP</t>
        </is>
      </c>
      <c r="M37" s="0" t="inlineStr">
        <is>
          <t xml:space="preserve">LE</t>
        </is>
      </c>
      <c r="N37" s="4" t="inlineStr">
        <is>
          <t xml:space="preserve">Tecnologías de la información, telecomunicaciones y radiodifusión / Software / Software de gestión de contenidos</t>
        </is>
      </c>
      <c r="O37" s="4" t="inlineStr">
        <is>
          <t xml:space="preserve">1 Unidad · Programas de gestión de documentos</t>
        </is>
      </c>
      <c r="P37" s="2"/>
      <c r="Q37" s="2"/>
      <c r="R37" s="0" t="inlineStr">
        <is>
          <t xml:space="preserve">12 meses</t>
        </is>
      </c>
      <c r="S37" s="0" t="inlineStr">
        <is>
          <t xml:space="preserve">No</t>
        </is>
      </c>
      <c r="T37"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37" s="0" t="inlineStr">
        <is>
          <t xml:space="preserve">JOSÉ VICENTE ELGUETA</t>
        </is>
      </c>
      <c r="V37"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37"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38">
      <c r="A38" s="0" t="inlineStr">
        <is>
          <t xml:space="preserve">29-81-LP26</t>
        </is>
      </c>
      <c r="B38" s="4" t="inlineStr">
        <is>
          <t xml:space="preserve">AGF - PLATAFORMA INGLES</t>
        </is>
      </c>
      <c r="C38" s="0" t="inlineStr">
        <is>
          <t xml:space="preserve">Publicada</t>
        </is>
      </c>
      <c r="D38" s="0" t="inlineStr">
        <is>
          <t xml:space="preserve">FUERZA AEREA DE CHILE COMANDO LOGISTICO</t>
        </is>
      </c>
      <c r="E38" s="0" t="inlineStr">
        <is>
          <t xml:space="preserve">Comando Logístico</t>
        </is>
      </c>
      <c r="F38" s="0" t="inlineStr">
        <is>
          <t xml:space="preserve">Región Metropolitana de Santiago</t>
        </is>
      </c>
      <c r="G38" s="0" t="inlineStr">
        <is>
          <t xml:space="preserve">El Bosque</t>
        </is>
      </c>
      <c r="H38" s="2">
        <v>46276.548611</v>
      </c>
      <c r="I38" s="2">
        <v>46315.5</v>
      </c>
      <c r="J38" s="0">
        <v>8</v>
      </c>
      <c r="K38" s="3"/>
      <c r="L38" s="0" t="inlineStr">
        <is>
          <t xml:space="preserve">USD</t>
        </is>
      </c>
      <c r="M38" s="0" t="inlineStr">
        <is>
          <t xml:space="preserve">LP</t>
        </is>
      </c>
      <c r="N38" s="4" t="inlineStr">
        <is>
          <t xml:space="preserve">Educación, formación, entrenamiento y capacitación / Sistemas educativos complementarios / Escuelas de idiomas</t>
        </is>
      </c>
      <c r="O38" s="4" t="inlineStr">
        <is>
          <t xml:space="preserve">1 Global · Enseñanza conversacional de idiomas extranjeros</t>
        </is>
      </c>
      <c r="P38" s="2"/>
      <c r="Q38" s="2"/>
      <c r="R38" s="0"/>
      <c r="S38" s="0" t="inlineStr">
        <is>
          <t xml:space="preserve">No</t>
        </is>
      </c>
      <c r="T38" s="4"/>
      <c r="U38" s="0" t="inlineStr">
        <is>
          <t xml:space="preserve">PAULO ARELLANO WOLFF</t>
        </is>
      </c>
      <c r="V38" s="4" t="inlineStr">
        <is>
          <t xml:space="preserve">CONTRATACIÓN DE SERVICIO DE PLATAFORMA INTEGRAL DE CAPACITACIÓN EN IDIOMA INGLÉS MODALIDAD E-LEARNING CON TUTORIA</t>
        </is>
      </c>
      <c r="W38"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39">
      <c r="A39" s="0" t="inlineStr">
        <is>
          <t xml:space="preserve">4160-15-LP26</t>
        </is>
      </c>
      <c r="B39" s="4" t="inlineStr">
        <is>
          <t xml:space="preserve">SERV MANTENIMIENTO TRANSMISION DE DATOS CAMARAS</t>
        </is>
      </c>
      <c r="C39" s="0" t="inlineStr">
        <is>
          <t xml:space="preserve">Publicada</t>
        </is>
      </c>
      <c r="D39" s="0" t="inlineStr">
        <is>
          <t xml:space="preserve">MUNICIPALIDAD DE HUALPEN</t>
        </is>
      </c>
      <c r="E39" s="0" t="inlineStr">
        <is>
          <t xml:space="preserve">Secplan</t>
        </is>
      </c>
      <c r="F39" s="0" t="inlineStr">
        <is>
          <t xml:space="preserve">Región del Biobío </t>
        </is>
      </c>
      <c r="G39" s="0" t="inlineStr">
        <is>
          <t xml:space="preserve">Hualpén</t>
        </is>
      </c>
      <c r="H39" s="2">
        <v>46293.499931</v>
      </c>
      <c r="I39" s="2">
        <v>46315.583333</v>
      </c>
      <c r="J39" s="0">
        <v>8</v>
      </c>
      <c r="K39" s="3"/>
      <c r="L39" s="0" t="inlineStr">
        <is>
          <t xml:space="preserve">CLF</t>
        </is>
      </c>
      <c r="M39" s="0" t="inlineStr">
        <is>
          <t xml:space="preserve">LP</t>
        </is>
      </c>
      <c r="N39" s="4" t="inlineStr">
        <is>
          <t xml:space="preserve">Equipos y suministros de defensa, orden público, protección y seguridad / Seguridad, vigilancia y detección / Equipo de vigilancia y detección</t>
        </is>
      </c>
      <c r="O39" s="4" t="inlineStr">
        <is>
          <t xml:space="preserve">48 Mes · Cámaras de seguridad</t>
        </is>
      </c>
      <c r="P39" s="2"/>
      <c r="Q39" s="2"/>
      <c r="R39" s="0" t="inlineStr">
        <is>
          <t xml:space="preserve">48 meses</t>
        </is>
      </c>
      <c r="S39" s="0" t="inlineStr">
        <is>
          <t xml:space="preserve">No</t>
        </is>
      </c>
      <c r="T39" s="4"/>
      <c r="U39" s="0" t="inlineStr">
        <is>
          <t xml:space="preserve">RENE IBAÑEZ RETAMAL</t>
        </is>
      </c>
      <c r="V39" s="4" t="inlineStr">
        <is>
          <t xml:space="preserve">contratación del “SERVICIO DE MANTENIMIENTO, TRANSMISION DE DATOS CAMARAS DE TELEVIGILANCIA HUALPÉN”, para lo cual se deberá considerar un plazo de prestación del servicio de 48 meses corridos.</t>
        </is>
      </c>
      <c r="W39"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40">
      <c r="A40" s="0" t="inlineStr">
        <is>
          <t xml:space="preserve">1469-268-L126</t>
        </is>
      </c>
      <c r="B40" s="4" t="inlineStr">
        <is>
          <t xml:space="preserve">Servicios de Difusión Publicitaria en Plataforma Digital Informativa Nacional</t>
        </is>
      </c>
      <c r="C40" s="0" t="inlineStr">
        <is>
          <t xml:space="preserve">Publicada</t>
        </is>
      </c>
      <c r="D40" s="0" t="inlineStr">
        <is>
          <t xml:space="preserve">UNIVERSIDAD DE TALCA</t>
        </is>
      </c>
      <c r="E40" s="0" t="inlineStr">
        <is>
          <t xml:space="preserve">Universidad de Talca</t>
        </is>
      </c>
      <c r="F40" s="0" t="inlineStr">
        <is>
          <t xml:space="preserve">Región del Maule </t>
        </is>
      </c>
      <c r="G40" s="0" t="inlineStr">
        <is>
          <t xml:space="preserve">Talca</t>
        </is>
      </c>
      <c r="H40" s="2">
        <v>46304.770683</v>
      </c>
      <c r="I40" s="2">
        <v>46315.625</v>
      </c>
      <c r="J40" s="0">
        <v>8</v>
      </c>
      <c r="K40" s="3">
        <v>3570000.0</v>
      </c>
      <c r="L40" s="0" t="inlineStr">
        <is>
          <t xml:space="preserve">CLP</t>
        </is>
      </c>
      <c r="M40" s="0" t="inlineStr">
        <is>
          <t xml:space="preserve">L1</t>
        </is>
      </c>
      <c r="N40" s="4" t="inlineStr">
        <is>
          <t xml:space="preserve">Servicios editoriales, de diseño, publicidad, gráficos y artistas / Publicidad / Publicidad en medios no impresos</t>
        </is>
      </c>
      <c r="O40" s="4" t="inlineStr">
        <is>
          <t xml:space="preserve">1 Unidad · Publicidad en Internet</t>
        </is>
      </c>
      <c r="P40" s="2"/>
      <c r="Q40" s="2"/>
      <c r="R40" s="0"/>
      <c r="S40" s="0" t="inlineStr">
        <is>
          <t xml:space="preserve">No</t>
        </is>
      </c>
      <c r="T40" s="4"/>
      <c r="U40" s="0"/>
      <c r="V40" s="4" t="inlineStr">
        <is>
          <t xml:space="preserve">Difundir información de marca de la Universidad de Talca.</t>
        </is>
      </c>
      <c r="W40"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41">
      <c r="A41" s="0" t="inlineStr">
        <is>
          <t xml:space="preserve">2122-34-LE26</t>
        </is>
      </c>
      <c r="B41" s="4" t="inlineStr">
        <is>
          <t xml:space="preserve">SOLUCIONES DE INTELIGENCIA ARTIFICIAL</t>
        </is>
      </c>
      <c r="C41" s="0" t="inlineStr">
        <is>
          <t xml:space="preserve">Publicada</t>
        </is>
      </c>
      <c r="D41" s="0" t="inlineStr">
        <is>
          <t xml:space="preserve">SUBSECRETARIA DE SALUD PUBLICA</t>
        </is>
      </c>
      <c r="E41" s="0" t="inlineStr">
        <is>
          <t xml:space="preserve">Seremi de Salud II Región</t>
        </is>
      </c>
      <c r="F41" s="0" t="inlineStr">
        <is>
          <t xml:space="preserve">Región de Antofagasta </t>
        </is>
      </c>
      <c r="G41" s="0" t="inlineStr">
        <is>
          <t xml:space="preserve">Antofagasta</t>
        </is>
      </c>
      <c r="H41" s="2">
        <v>46302.7125</v>
      </c>
      <c r="I41" s="2">
        <v>46315.625</v>
      </c>
      <c r="J41" s="0">
        <v>8</v>
      </c>
      <c r="K41" s="3"/>
      <c r="L41" s="0" t="inlineStr">
        <is>
          <t xml:space="preserve">CLP</t>
        </is>
      </c>
      <c r="M41" s="0" t="inlineStr">
        <is>
          <t xml:space="preserve">LE</t>
        </is>
      </c>
      <c r="N41" s="4" t="inlineStr">
        <is>
          <t xml:space="preserve">Servicios profesionales, administrativos y consultorías de gestión empresarial / Servicios de recursos humanos / Contratación de personal</t>
        </is>
      </c>
      <c r="O41" s="4" t="inlineStr">
        <is>
          <t xml:space="preserve">1 Unidad · Desarrolladores de software</t>
        </is>
      </c>
      <c r="P41" s="2"/>
      <c r="Q41" s="2"/>
      <c r="R41" s="0" t="inlineStr">
        <is>
          <t xml:space="preserve">100 días</t>
        </is>
      </c>
      <c r="S41" s="0" t="inlineStr">
        <is>
          <t xml:space="preserve">No</t>
        </is>
      </c>
      <c r="T41" s="4"/>
      <c r="U41" s="0" t="inlineStr">
        <is>
          <t xml:space="preserve">Crishna Erices</t>
        </is>
      </c>
      <c r="V41"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41"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42">
      <c r="A42" s="0" t="inlineStr">
        <is>
          <t xml:space="preserve">2981-293-LE26</t>
        </is>
      </c>
      <c r="B42" s="4" t="inlineStr">
        <is>
          <t xml:space="preserve">ADQUISICIÓN DE 100 GPS TRACKER CON PLATAFORMA INTEGRADA GEOESPACIAL Y DE TRAZABILIDAD Y SU RESPECTIVO EQUIPAMIENTO EJECUCIÓN DEL PLAN CALLE SIN VIOLENCIA</t>
        </is>
      </c>
      <c r="C42" s="0" t="inlineStr">
        <is>
          <t xml:space="preserve">Publicada</t>
        </is>
      </c>
      <c r="D42" s="0" t="inlineStr">
        <is>
          <t xml:space="preserve">POLICIA DE INVESTIGACIONES DE CHILE</t>
        </is>
      </c>
      <c r="E42" s="0" t="inlineStr">
        <is>
          <t xml:space="preserve">DEPARTAMENTO ADMINISTRATIVO</t>
        </is>
      </c>
      <c r="F42" s="0" t="inlineStr">
        <is>
          <t xml:space="preserve">Región Metropolitana de Santiago</t>
        </is>
      </c>
      <c r="G42" s="0" t="inlineStr">
        <is>
          <t xml:space="preserve">Santiago Centro</t>
        </is>
      </c>
      <c r="H42" s="2">
        <v>46304.491053</v>
      </c>
      <c r="I42" s="2">
        <v>46315.625</v>
      </c>
      <c r="J42" s="0">
        <v>8</v>
      </c>
      <c r="K42" s="3"/>
      <c r="L42" s="0" t="inlineStr">
        <is>
          <t xml:space="preserve">CLP</t>
        </is>
      </c>
      <c r="M42" s="0" t="inlineStr">
        <is>
          <t xml:space="preserve">LE</t>
        </is>
      </c>
      <c r="N42" s="4" t="inlineStr">
        <is>
          <t xml:space="preserve">Muebles, accesorios, electrodomésticos y productos electrónicos / Equipos y accesorios audiovisuales / Equipos audiovisuales y de electrónica menor</t>
        </is>
      </c>
      <c r="O42" s="4" t="inlineStr">
        <is>
          <t xml:space="preserve">100 Unidad · Receptores GPS</t>
        </is>
      </c>
      <c r="P42" s="2"/>
      <c r="Q42" s="2"/>
      <c r="R42" s="0"/>
      <c r="S42" s="0" t="inlineStr">
        <is>
          <t xml:space="preserve">No</t>
        </is>
      </c>
      <c r="T42" s="4" t="inlineStr">
        <is>
          <t xml:space="preserve">SEGÚN ART. 51 DE RESOLEX N°851 DE 08.OCT.026, DEPADM</t>
        </is>
      </c>
      <c r="U42" s="0" t="inlineStr">
        <is>
          <t xml:space="preserve">DAYANA MORI GONZALEZ</t>
        </is>
      </c>
      <c r="V42" s="4" t="inlineStr">
        <is>
          <t xml:space="preserve">ADQUISICIÓN DE 100 GPS TRACKER CON PLATAFORMA INTEGRADA GEOESPACIAL Y DE TRAZABILIDAD Y SU RESPECTIVO EQUIPAMIENTO EJECUCIÓN DEL PLAN CALLE SIN VIOLENCIA</t>
        </is>
      </c>
      <c r="W42"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43">
      <c r="A43" s="0" t="inlineStr">
        <is>
          <t xml:space="preserve">1107281-6-LE26</t>
        </is>
      </c>
      <c r="B43" s="4" t="inlineStr">
        <is>
          <t xml:space="preserve">COMPRA SOFTWARE COMPATIBLE CON EQUIPO HPLC AGILENT</t>
        </is>
      </c>
      <c r="C43" s="0" t="inlineStr">
        <is>
          <t xml:space="preserve">Publicada</t>
        </is>
      </c>
      <c r="D43" s="0" t="inlineStr">
        <is>
          <t xml:space="preserve">INIA</t>
        </is>
      </c>
      <c r="E43" s="0" t="inlineStr">
        <is>
          <t xml:space="preserve">CARILLANCA</t>
        </is>
      </c>
      <c r="F43" s="0" t="inlineStr">
        <is>
          <t xml:space="preserve">Región de la Araucanía </t>
        </is>
      </c>
      <c r="G43" s="0" t="inlineStr">
        <is>
          <t xml:space="preserve">Vilcún</t>
        </is>
      </c>
      <c r="H43" s="2">
        <v>46304.465972</v>
      </c>
      <c r="I43" s="2">
        <v>46315.629861</v>
      </c>
      <c r="J43" s="0">
        <v>8</v>
      </c>
      <c r="K43" s="3">
        <v>10400000.0</v>
      </c>
      <c r="L43" s="0" t="inlineStr">
        <is>
          <t xml:space="preserve">CLP</t>
        </is>
      </c>
      <c r="M43" s="0" t="inlineStr">
        <is>
          <t xml:space="preserve">LE</t>
        </is>
      </c>
      <c r="N43" s="4" t="inlineStr">
        <is>
          <t xml:space="preserve">Tecnologías de la información, telecomunicaciones y radiodifusión / Software / Programas de desarrollo</t>
        </is>
      </c>
      <c r="O43" s="4" t="inlineStr">
        <is>
          <t xml:space="preserve">1 Unidad · Software de desarrollo de interfaz gráfica de usuario</t>
        </is>
      </c>
      <c r="P43" s="2"/>
      <c r="Q43" s="2"/>
      <c r="R43" s="0"/>
      <c r="S43" s="0" t="inlineStr">
        <is>
          <t xml:space="preserve">No</t>
        </is>
      </c>
      <c r="T43" s="4"/>
      <c r="U43" s="0" t="inlineStr">
        <is>
          <t xml:space="preserve">ALDO MARCELO ARRIAGADA RÍOS</t>
        </is>
      </c>
      <c r="V43"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43"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44">
      <c r="A44" s="0" t="inlineStr">
        <is>
          <t xml:space="preserve">4469-213-L126</t>
        </is>
      </c>
      <c r="B44" s="4" t="inlineStr">
        <is>
          <t xml:space="preserve">S.C. N° 40675(U.F.), LICENCIA WI FI MERAKI MR ENTERPRISE POR 12 MESES. INFORMÁTICA UPLA. AIUE 2655.</t>
        </is>
      </c>
      <c r="C44" s="0" t="inlineStr">
        <is>
          <t xml:space="preserve">Publicada</t>
        </is>
      </c>
      <c r="D44" s="0" t="inlineStr">
        <is>
          <t xml:space="preserve">UNIVERSIDAD DE PLAYA ANCHA DE CIENCIAS DE LA EDUCACION</t>
        </is>
      </c>
      <c r="E44" s="0" t="inlineStr">
        <is>
          <t xml:space="preserve">ADQUISICIONES</t>
        </is>
      </c>
      <c r="F44" s="0" t="inlineStr">
        <is>
          <t xml:space="preserve">Región Metropolitana de Santiago</t>
        </is>
      </c>
      <c r="G44" s="0" t="inlineStr">
        <is>
          <t xml:space="preserve">Santiago</t>
        </is>
      </c>
      <c r="H44" s="2">
        <v>46303.69044</v>
      </c>
      <c r="I44" s="2">
        <v>46315.666667</v>
      </c>
      <c r="J44" s="0">
        <v>8</v>
      </c>
      <c r="K44" s="3">
        <v>4353541.0</v>
      </c>
      <c r="L44" s="0" t="inlineStr">
        <is>
          <t xml:space="preserve">CLP</t>
        </is>
      </c>
      <c r="M44" s="0" t="inlineStr">
        <is>
          <t xml:space="preserve">L1</t>
        </is>
      </c>
      <c r="N44" s="4" t="inlineStr">
        <is>
          <t xml:space="preserve">Tecnologías de la información, telecomunicaciones y radiodifusión / Software / Software de gestión</t>
        </is>
      </c>
      <c r="O44" s="4" t="inlineStr">
        <is>
          <t xml:space="preserve">49 Unidad · Software de sistema experto</t>
        </is>
      </c>
      <c r="P44" s="2"/>
      <c r="Q44" s="2"/>
      <c r="R44" s="0"/>
      <c r="S44" s="0" t="inlineStr">
        <is>
          <t xml:space="preserve">No</t>
        </is>
      </c>
      <c r="T44" s="4"/>
      <c r="U44" s="0"/>
      <c r="V44" s="4" t="inlineStr">
        <is>
          <t xml:space="preserve">S.C. N° 40675(U.F.), LICENCIA WI FI MERAKI MR ENTERPRISE POR 12 MESES. INFORMÁTICA UPLA. AIUE 2655.</t>
        </is>
      </c>
      <c r="W44"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45">
      <c r="A45" s="0" t="inlineStr">
        <is>
          <t xml:space="preserve">1005498-23-LE26</t>
        </is>
      </c>
      <c r="B45" s="4" t="inlineStr">
        <is>
          <t xml:space="preserve">Servicio de enlace de datos punto a punto alameda-</t>
        </is>
      </c>
      <c r="C45" s="0" t="inlineStr">
        <is>
          <t xml:space="preserve">Publicada</t>
        </is>
      </c>
      <c r="D45" s="0" t="inlineStr">
        <is>
          <t xml:space="preserve">COMISION PARA EL MERCADO FINANCIERO</t>
        </is>
      </c>
      <c r="E45" s="0" t="inlineStr">
        <is>
          <t xml:space="preserve">COMISION PARA EL MERCADO FINANCIERO</t>
        </is>
      </c>
      <c r="F45" s="0" t="inlineStr">
        <is>
          <t xml:space="preserve">Región Metropolitana de Santiago</t>
        </is>
      </c>
      <c r="G45" s="0" t="inlineStr">
        <is>
          <t xml:space="preserve">Santiago Centro</t>
        </is>
      </c>
      <c r="H45" s="2">
        <v>46300.470093</v>
      </c>
      <c r="I45" s="2">
        <v>46315.666667</v>
      </c>
      <c r="J45" s="0">
        <v>8</v>
      </c>
      <c r="K45" s="3">
        <v>16100000.0</v>
      </c>
      <c r="L45" s="0" t="inlineStr">
        <is>
          <t xml:space="preserve">CLP</t>
        </is>
      </c>
      <c r="M45" s="0" t="inlineStr">
        <is>
          <t xml:space="preserve">LE</t>
        </is>
      </c>
      <c r="N45" s="4" t="inlineStr">
        <is>
          <t xml:space="preserve">Servicios básicos y de información pública / Telecomunicaciones / Servicios de telecomunicaciones por circuitos de líneas selectivas y líneas dedicadas arrendadas</t>
        </is>
      </c>
      <c r="O45" s="4" t="inlineStr">
        <is>
          <t xml:space="preserve">1 Unidad · Circuitos de telecomunicaciones digitales punto a punto</t>
        </is>
      </c>
      <c r="P45" s="2"/>
      <c r="Q45" s="2"/>
      <c r="R45" s="0" t="inlineStr">
        <is>
          <t xml:space="preserve">24 meses</t>
        </is>
      </c>
      <c r="S45" s="0" t="inlineStr">
        <is>
          <t xml:space="preserve">No</t>
        </is>
      </c>
      <c r="T45" s="4" t="inlineStr">
        <is>
          <t xml:space="preserve">No se permite.</t>
        </is>
      </c>
      <c r="U45" s="0" t="inlineStr">
        <is>
          <t xml:space="preserve">Jefatura del Departamento de Ingeniería de Sistema</t>
        </is>
      </c>
      <c r="V45"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45"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46">
      <c r="A46" s="0" t="inlineStr">
        <is>
          <t xml:space="preserve">1643-91-LP26</t>
        </is>
      </c>
      <c r="B46" s="4" t="inlineStr">
        <is>
          <t xml:space="preserve">SISTEMA INFORMÁTICO ERP</t>
        </is>
      </c>
      <c r="C46" s="0" t="inlineStr">
        <is>
          <t xml:space="preserve">Publicada</t>
        </is>
      </c>
      <c r="D46" s="0" t="inlineStr">
        <is>
          <t xml:space="preserve">SERVICIO NACIONAL DE SALUD HOSPITAL DE T</t>
        </is>
      </c>
      <c r="E46" s="0" t="inlineStr">
        <is>
          <t xml:space="preserve">Hospital de Talagante</t>
        </is>
      </c>
      <c r="F46" s="0" t="inlineStr">
        <is>
          <t xml:space="preserve">Región Metropolitana de Santiago</t>
        </is>
      </c>
      <c r="G46" s="0" t="inlineStr">
        <is>
          <t xml:space="preserve">Talagante</t>
        </is>
      </c>
      <c r="H46" s="2">
        <v>46290.538194</v>
      </c>
      <c r="I46" s="2">
        <v>46315.708333</v>
      </c>
      <c r="J46" s="0">
        <v>8</v>
      </c>
      <c r="K46" s="3">
        <v>320000000.0</v>
      </c>
      <c r="L46" s="0" t="inlineStr">
        <is>
          <t xml:space="preserve">CLP</t>
        </is>
      </c>
      <c r="M46" s="0" t="inlineStr">
        <is>
          <t xml:space="preserve">LP</t>
        </is>
      </c>
      <c r="N46" s="4" t="inlineStr">
        <is>
          <t xml:space="preserve">Tecnologías de la información, telecomunicaciones y radiodifusión / Software / Software de planificación de recursos empresariales (ERP) y contabilidad financiera</t>
        </is>
      </c>
      <c r="O46" s="4" t="inlineStr">
        <is>
          <t xml:space="preserve">1 Unidad · Software de planificación de recursos empresariales (ERP)</t>
        </is>
      </c>
      <c r="P46" s="2"/>
      <c r="Q46" s="2"/>
      <c r="R46" s="0" t="inlineStr">
        <is>
          <t xml:space="preserve">24 meses</t>
        </is>
      </c>
      <c r="S46" s="0" t="inlineStr">
        <is>
          <t xml:space="preserve">No</t>
        </is>
      </c>
      <c r="T46" s="4"/>
      <c r="U46" s="0" t="inlineStr">
        <is>
          <t xml:space="preserve">Paulina Montenegro Aguilera</t>
        </is>
      </c>
      <c r="V46" s="4" t="inlineStr">
        <is>
          <t xml:space="preserve">EL HOSPITAL DE TALAGANTE REQUIERE LA CONTRATACIÓN DEL SERVICIO DE IMPLEMENTACIÓN, MIGRACIÓN, PUESTA EN MARCHA Y EJECUCIÓN DE UN SISTEMA INFORMÁTICO DE GESTIÓN ERP POR 24 MESES.</t>
        </is>
      </c>
      <c r="W46"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47">
      <c r="A47" s="0" t="inlineStr">
        <is>
          <t xml:space="preserve">5482-94-LP26</t>
        </is>
      </c>
      <c r="B47" s="4" t="inlineStr">
        <is>
          <t xml:space="preserve">SERVICIO DE ARRIENDO MANTENCIÓN Y SOPORTE DE PLATAFORMA DOM</t>
        </is>
      </c>
      <c r="C47" s="0" t="inlineStr">
        <is>
          <t xml:space="preserve">Publicada</t>
        </is>
      </c>
      <c r="D47" s="0" t="inlineStr">
        <is>
          <t xml:space="preserve">I MUNICIPALIDAD DE NUNOA</t>
        </is>
      </c>
      <c r="E47" s="0" t="inlineStr">
        <is>
          <t xml:space="preserve">SECPLANUNOA</t>
        </is>
      </c>
      <c r="F47" s="0" t="inlineStr">
        <is>
          <t xml:space="preserve">Región Metropolitana de Santiago</t>
        </is>
      </c>
      <c r="G47" s="0" t="inlineStr">
        <is>
          <t xml:space="preserve">Ñuñoa</t>
        </is>
      </c>
      <c r="H47" s="2">
        <v>46300.418843</v>
      </c>
      <c r="I47" s="2">
        <v>46315.775</v>
      </c>
      <c r="J47" s="0">
        <v>8</v>
      </c>
      <c r="K47" s="3"/>
      <c r="L47" s="0" t="inlineStr">
        <is>
          <t xml:space="preserve">CLP</t>
        </is>
      </c>
      <c r="M47" s="0" t="inlineStr">
        <is>
          <t xml:space="preserve">LP</t>
        </is>
      </c>
      <c r="N47" s="4" t="inlineStr">
        <is>
          <t xml:space="preserve">Tecnologías de la información, telecomunicaciones y radiodifusión / Software / Programas de desarrollo</t>
        </is>
      </c>
      <c r="O47" s="4" t="inlineStr">
        <is>
          <t xml:space="preserve">1 Unidad · Software de desarrollo de plataforma Web</t>
        </is>
      </c>
      <c r="P47" s="2"/>
      <c r="Q47" s="2"/>
      <c r="R47" s="0" t="inlineStr">
        <is>
          <t xml:space="preserve">36 meses</t>
        </is>
      </c>
      <c r="S47" s="0" t="inlineStr">
        <is>
          <t xml:space="preserve">No</t>
        </is>
      </c>
      <c r="T47" s="4"/>
      <c r="U47" s="0" t="inlineStr">
        <is>
          <t xml:space="preserve">Katherine Ayala</t>
        </is>
      </c>
      <c r="V47"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47"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48">
      <c r="A48" s="0" t="inlineStr">
        <is>
          <t xml:space="preserve">1080094-17-L126</t>
        </is>
      </c>
      <c r="B48" s="4" t="inlineStr">
        <is>
          <t xml:space="preserve">RADIO PORTÁTIL DIGITAL VHF PARA SAMU</t>
        </is>
      </c>
      <c r="C48" s="0" t="inlineStr">
        <is>
          <t xml:space="preserve">Publicada</t>
        </is>
      </c>
      <c r="D48" s="0" t="inlineStr">
        <is>
          <t xml:space="preserve">SERVICIO DE SALUD MAGALLANES</t>
        </is>
      </c>
      <c r="E48" s="0" t="inlineStr">
        <is>
          <t xml:space="preserve">Bienes y servicios - SAMU</t>
        </is>
      </c>
      <c r="F48" s="0" t="inlineStr">
        <is>
          <t xml:space="preserve">Región de Magallanes y de la Antártica</t>
        </is>
      </c>
      <c r="G48" s="0" t="inlineStr">
        <is>
          <t xml:space="preserve">Punta Arenas</t>
        </is>
      </c>
      <c r="H48" s="2">
        <v>46300.674248</v>
      </c>
      <c r="I48" s="2">
        <v>46315.833333</v>
      </c>
      <c r="J48" s="0">
        <v>8</v>
      </c>
      <c r="K48" s="3">
        <v>2707075.0</v>
      </c>
      <c r="L48" s="0" t="inlineStr">
        <is>
          <t xml:space="preserve">CLP</t>
        </is>
      </c>
      <c r="M48" s="0" t="inlineStr">
        <is>
          <t xml:space="preserve">L1</t>
        </is>
      </c>
      <c r="N48" s="4" t="inlineStr">
        <is>
          <t xml:space="preserve">Muebles, accesorios, electrodomésticos y productos electrónicos / Equipos y accesorios audiovisuales / Equipos audiovisuales y de electrónica menor</t>
        </is>
      </c>
      <c r="O48" s="4" t="inlineStr">
        <is>
          <t xml:space="preserve">20 Unidad · Receptores o transmisores de radiofrecuencia</t>
        </is>
      </c>
      <c r="P48" s="2"/>
      <c r="Q48" s="2"/>
      <c r="R48" s="0"/>
      <c r="S48" s="0" t="inlineStr">
        <is>
          <t xml:space="preserve">No</t>
        </is>
      </c>
      <c r="T48" s="4"/>
      <c r="U48" s="0"/>
      <c r="V48"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48"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49">
      <c r="A49" s="0" t="inlineStr">
        <is>
          <t xml:space="preserve">1602-20-LE26</t>
        </is>
      </c>
      <c r="B49" s="4" t="inlineStr">
        <is>
          <t xml:space="preserve">ADQUISICIÓN DE LICENCIAS PARA EQUIPOS DE COMUNICACIONES DE LA RED DE DATOS DE LA DGAC 122 dgv</t>
        </is>
      </c>
      <c r="C49" s="0" t="inlineStr">
        <is>
          <t xml:space="preserve">Publicada</t>
        </is>
      </c>
      <c r="D49" s="0" t="inlineStr">
        <is>
          <t xml:space="preserve">DIRECCION GENERAL DE AERONAUTICA CIVIL</t>
        </is>
      </c>
      <c r="E49" s="0" t="inlineStr">
        <is>
          <t xml:space="preserve">UNIDAD DE COMPRA SERVICIOS GENERALES</t>
        </is>
      </c>
      <c r="F49" s="0" t="inlineStr">
        <is>
          <t xml:space="preserve">Región Metropolitana de Santiago</t>
        </is>
      </c>
      <c r="G49" s="0" t="inlineStr">
        <is>
          <t xml:space="preserve">Providencia</t>
        </is>
      </c>
      <c r="H49" s="2">
        <v>46302.409664</v>
      </c>
      <c r="I49" s="2">
        <v>46316.583333</v>
      </c>
      <c r="J49" s="0">
        <v>9</v>
      </c>
      <c r="K49" s="3">
        <v>50755889.0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70 Unidad · Software de gestión de licencias · 70 Unidad · Software de gestión de licencias · 2 Unidad · Software de gestión de licencias</t>
        </is>
      </c>
      <c r="P49" s="2"/>
      <c r="Q49" s="2"/>
      <c r="R49" s="0"/>
      <c r="S49" s="0" t="inlineStr">
        <is>
          <t xml:space="preserve">No</t>
        </is>
      </c>
      <c r="T49" s="4" t="inlineStr">
        <is>
          <t xml:space="preserve">No permite subcontratación
DIRIGIRSE PUNTO: XX DE LA RESOLUCIÓN QUE SE ADJUNTA</t>
        </is>
      </c>
      <c r="U49" s="0" t="inlineStr">
        <is>
          <t xml:space="preserve">Jaime Leighton</t>
        </is>
      </c>
      <c r="V49"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49"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50">
      <c r="A50" s="0" t="inlineStr">
        <is>
          <t xml:space="preserve">1153624-24-L126</t>
        </is>
      </c>
      <c r="B50" s="4" t="inlineStr">
        <is>
          <t xml:space="preserve">Servicio de Ordenamiento de Cableado de Datos y Eléctrico en Datacenter y Rack de Comunicaciones</t>
        </is>
      </c>
      <c r="C50" s="0" t="inlineStr">
        <is>
          <t xml:space="preserve">Publicada</t>
        </is>
      </c>
      <c r="D50" s="0" t="inlineStr">
        <is>
          <t xml:space="preserve">SUBSECRETARIA DE RELACIONES ECONOMICAS INTERNACIONALES</t>
        </is>
      </c>
      <c r="E50" s="0" t="inlineStr">
        <is>
          <t xml:space="preserve">Departamento Adquisiciones MN</t>
        </is>
      </c>
      <c r="F50" s="0" t="inlineStr">
        <is>
          <t xml:space="preserve">Región Metropolitana de Santiago</t>
        </is>
      </c>
      <c r="G50" s="0" t="inlineStr">
        <is>
          <t xml:space="preserve">Santiago</t>
        </is>
      </c>
      <c r="H50" s="2">
        <v>46303.678692</v>
      </c>
      <c r="I50" s="2">
        <v>46316.625</v>
      </c>
      <c r="J50" s="0">
        <v>9</v>
      </c>
      <c r="K50" s="3">
        <v>900000.0</v>
      </c>
      <c r="L50" s="0" t="inlineStr">
        <is>
          <t xml:space="preserve">CLP</t>
        </is>
      </c>
      <c r="M50" s="0" t="inlineStr">
        <is>
          <t xml:space="preserve">L1</t>
        </is>
      </c>
      <c r="N50" s="4" t="inlineStr">
        <is>
          <t xml:space="preserve">Tecnologías de la información, telecomunicaciones y radiodifusión / Componentes para tecnología de la información, difusión o telecomunicaciones / Subconjuntos para dispositivos electrónicos</t>
        </is>
      </c>
      <c r="O50" s="4" t="inlineStr">
        <is>
          <t xml:space="preserve">1 Unidad · Conjuntos de cableado</t>
        </is>
      </c>
      <c r="P50" s="2"/>
      <c r="Q50" s="2"/>
      <c r="R50" s="0"/>
      <c r="S50" s="0" t="inlineStr">
        <is>
          <t xml:space="preserve">No</t>
        </is>
      </c>
      <c r="T50" s="4"/>
      <c r="U50" s="0"/>
      <c r="V50"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50"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51">
      <c r="A51" s="0" t="inlineStr">
        <is>
          <t xml:space="preserve">608897-61-LP26</t>
        </is>
      </c>
      <c r="B51" s="4" t="inlineStr">
        <is>
          <t xml:space="preserve">SOPORTE PLATAFORMAS DE INFORMACIÓN AMBIENTAL BIANUAL</t>
        </is>
      </c>
      <c r="C51" s="0" t="inlineStr">
        <is>
          <t xml:space="preserve">Publicada</t>
        </is>
      </c>
      <c r="D51" s="0" t="inlineStr">
        <is>
          <t xml:space="preserve">SUBSECRETARIA DEL MEDIO AMBIENTE</t>
        </is>
      </c>
      <c r="E51" s="0" t="inlineStr">
        <is>
          <t xml:space="preserve">Subsecretaría del Medio Ambiente</t>
        </is>
      </c>
      <c r="F51" s="0" t="inlineStr">
        <is>
          <t xml:space="preserve">Región Metropolitana de Santiago</t>
        </is>
      </c>
      <c r="G51" s="0" t="inlineStr">
        <is>
          <t xml:space="preserve">Santiago</t>
        </is>
      </c>
      <c r="H51" s="2">
        <v>46296.78</v>
      </c>
      <c r="I51" s="2">
        <v>46316.645833</v>
      </c>
      <c r="J51" s="0">
        <v>9</v>
      </c>
      <c r="K51" s="3">
        <v>100000000.0</v>
      </c>
      <c r="L51" s="0" t="inlineStr">
        <is>
          <t xml:space="preserve">CLP</t>
        </is>
      </c>
      <c r="M51" s="0" t="inlineStr">
        <is>
          <t xml:space="preserve">LP</t>
        </is>
      </c>
      <c r="N51" s="4" t="inlineStr">
        <is>
          <t xml:space="preserve">Servicios medioambientales / Gestión medioambiental / Servicios de asesoría medioambiental</t>
        </is>
      </c>
      <c r="O51" s="4" t="inlineStr">
        <is>
          <t xml:space="preserve">1 Unidad · Servicios de asesoría de tecnología medioambiental</t>
        </is>
      </c>
      <c r="P51" s="2"/>
      <c r="Q51" s="2"/>
      <c r="R51" s="0" t="inlineStr">
        <is>
          <t xml:space="preserve">14 meses</t>
        </is>
      </c>
      <c r="S51" s="0" t="inlineStr">
        <is>
          <t xml:space="preserve">No</t>
        </is>
      </c>
      <c r="T51" s="4" t="inlineStr">
        <is>
          <t xml:space="preserve">De acuerdo a lo indicado en punto 27 de bases de licitación</t>
        </is>
      </c>
      <c r="U51" s="0" t="inlineStr">
        <is>
          <t xml:space="preserve">FERNANDO DIAZ</t>
        </is>
      </c>
      <c r="V51"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51"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52">
      <c r="A52" s="0" t="inlineStr">
        <is>
          <t xml:space="preserve">1422051-29-LE26</t>
        </is>
      </c>
      <c r="B52" s="4" t="inlineStr">
        <is>
          <t xml:space="preserve">Contratación Servicio Plataforma de Gestión RRHH</t>
        </is>
      </c>
      <c r="C52" s="0" t="inlineStr">
        <is>
          <t xml:space="preserve">Publicada</t>
        </is>
      </c>
      <c r="D52" s="0" t="inlineStr">
        <is>
          <t xml:space="preserve">JUNTA DE ALCALDES PROVIDENCIA LAS CONDES LA REINA</t>
        </is>
      </c>
      <c r="E52" s="0" t="inlineStr">
        <is>
          <t xml:space="preserve">JUNTA DE ALCALDES PROVIDENCIA LAS CONDES LA REINA</t>
        </is>
      </c>
      <c r="F52" s="0" t="inlineStr">
        <is>
          <t xml:space="preserve">Región Metropolitana de Santiago</t>
        </is>
      </c>
      <c r="G52" s="0"/>
      <c r="H52" s="2">
        <v>46301.50103</v>
      </c>
      <c r="I52" s="2">
        <v>46316.729167</v>
      </c>
      <c r="J52" s="0">
        <v>9</v>
      </c>
      <c r="K52" s="3">
        <v>28000000.0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recursos humanos</t>
        </is>
      </c>
      <c r="P52" s="2"/>
      <c r="Q52" s="2"/>
      <c r="R52" s="0" t="inlineStr">
        <is>
          <t xml:space="preserve">24 meses</t>
        </is>
      </c>
      <c r="S52" s="0" t="inlineStr">
        <is>
          <t xml:space="preserve">No</t>
        </is>
      </c>
      <c r="T52" s="4"/>
      <c r="U52" s="0" t="inlineStr">
        <is>
          <t xml:space="preserve">Hector Fuentealba Riquelme</t>
        </is>
      </c>
      <c r="V52" s="4" t="inlineStr">
        <is>
          <t xml:space="preserve">Implementar una plataforma integral de gestión de personas para la Junta de Alcaldes, orientada a dar solución a los requerimientos derivados de las funciones comunes y diarias de la institución.</t>
        </is>
      </c>
      <c r="W52"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53">
      <c r="A53" s="0" t="inlineStr">
        <is>
          <t xml:space="preserve">4086-48-LP26</t>
        </is>
      </c>
      <c r="B53" s="4" t="inlineStr">
        <is>
          <t xml:space="preserve">SERVICIO DE SISTEMA DE INFORMACIÓN DE LA GESTIÓN</t>
        </is>
      </c>
      <c r="C53" s="0" t="inlineStr">
        <is>
          <t xml:space="preserve">Publicada</t>
        </is>
      </c>
      <c r="D53" s="0" t="inlineStr">
        <is>
          <t xml:space="preserve">I MUNICIPALIDAD DE MAULLIN</t>
        </is>
      </c>
      <c r="E53" s="0" t="inlineStr">
        <is>
          <t xml:space="preserve">Administracion y Finanzas</t>
        </is>
      </c>
      <c r="F53" s="0" t="inlineStr">
        <is>
          <t xml:space="preserve">Región de los Lagos </t>
        </is>
      </c>
      <c r="G53" s="0" t="inlineStr">
        <is>
          <t xml:space="preserve">Maullín</t>
        </is>
      </c>
      <c r="H53" s="2">
        <v>46295.670671</v>
      </c>
      <c r="I53" s="2">
        <v>46317.416667</v>
      </c>
      <c r="J53" s="0">
        <v>10</v>
      </c>
      <c r="K53" s="3">
        <v>202800000.0</v>
      </c>
      <c r="L53" s="0" t="inlineStr">
        <is>
          <t xml:space="preserve">CLP</t>
        </is>
      </c>
      <c r="M53" s="0" t="inlineStr">
        <is>
          <t xml:space="preserve">LP</t>
        </is>
      </c>
      <c r="N53" s="4" t="inlineStr">
        <is>
          <t xml:space="preserve">Tecnologías de la información, telecomunicaciones y radiodifusión / Software / Programas de desarrollo</t>
        </is>
      </c>
      <c r="O53" s="4" t="inlineStr">
        <is>
          <t xml:space="preserve">1 Unidad · Programas de gestión de configuración</t>
        </is>
      </c>
      <c r="P53" s="2"/>
      <c r="Q53" s="2"/>
      <c r="R53" s="0" t="inlineStr">
        <is>
          <t xml:space="preserve">60 meses</t>
        </is>
      </c>
      <c r="S53" s="0" t="inlineStr">
        <is>
          <t xml:space="preserve">No</t>
        </is>
      </c>
      <c r="T53" s="4"/>
      <c r="U53" s="0" t="inlineStr">
        <is>
          <t xml:space="preserve">XIMENA OJEDA</t>
        </is>
      </c>
      <c r="V53" s="4" t="inlineStr">
        <is>
          <t xml:space="preserve">SERVICIO DE MANTENCIÓN, ARRIENDO Y PROVISIÓN DE SISTEMA DE INFORMACIÓN DE LA GESTIÓN MUNICIPAL Y SOPORTE COMPUTACIONAL SEGÚN BASES, ESPECIFICACIONES TÉCNICAS, ANEXOS E ITEM ADJUNTOS.</t>
        </is>
      </c>
      <c r="W53"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54">
      <c r="A54" s="0" t="inlineStr">
        <is>
          <t xml:space="preserve">1469-267-L126</t>
        </is>
      </c>
      <c r="B54" s="4" t="inlineStr">
        <is>
          <t xml:space="preserve">Servicio de Mantenimiento UPS del Centro de Datos en Campus Talca de la Universidad de Talca</t>
        </is>
      </c>
      <c r="C54" s="0" t="inlineStr">
        <is>
          <t xml:space="preserve">Publicada</t>
        </is>
      </c>
      <c r="D54" s="0" t="inlineStr">
        <is>
          <t xml:space="preserve">UNIVERSIDAD DE TALCA</t>
        </is>
      </c>
      <c r="E54" s="0" t="inlineStr">
        <is>
          <t xml:space="preserve">Universidad de Talca</t>
        </is>
      </c>
      <c r="F54" s="0" t="inlineStr">
        <is>
          <t xml:space="preserve">Región del Maule </t>
        </is>
      </c>
      <c r="G54" s="0" t="inlineStr">
        <is>
          <t xml:space="preserve">Talca</t>
        </is>
      </c>
      <c r="H54" s="2">
        <v>46303.7375</v>
      </c>
      <c r="I54" s="2">
        <v>46317.5</v>
      </c>
      <c r="J54" s="0">
        <v>10</v>
      </c>
      <c r="K54" s="3">
        <v>6975100.0</v>
      </c>
      <c r="L54" s="0" t="inlineStr">
        <is>
          <t xml:space="preserve">CLP</t>
        </is>
      </c>
      <c r="M54" s="0" t="inlineStr">
        <is>
          <t xml:space="preserve">L1</t>
        </is>
      </c>
      <c r="N54" s="4" t="inlineStr">
        <is>
          <t xml:space="preserve">Servicios de construcción y mantenimiento / Servicios de atención, mantenimiento y reparaciones de edificios / Servicios eléctricos</t>
        </is>
      </c>
      <c r="O54" s="4" t="inlineStr">
        <is>
          <t xml:space="preserve">1 Unidad · Instalación o servicio de sistemas de energía eléctrica</t>
        </is>
      </c>
      <c r="P54" s="2"/>
      <c r="Q54" s="2"/>
      <c r="R54" s="0"/>
      <c r="S54" s="0" t="inlineStr">
        <is>
          <t xml:space="preserve">No</t>
        </is>
      </c>
      <c r="T54" s="4"/>
      <c r="U54" s="0"/>
      <c r="V54" s="4" t="inlineStr">
        <is>
          <t xml:space="preserve">La Universidad de Talca requiere la realización del servicio de mantenimiento preventivo para la UPS marca Liebert, modelo APM 150K, ubicada en el Centro de Datos, del Campus Talca (Lircay) de la Universidad de Talca.</t>
        </is>
      </c>
      <c r="W54"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55">
      <c r="A55" s="0" t="inlineStr">
        <is>
          <t xml:space="preserve">1606-34-LE26</t>
        </is>
      </c>
      <c r="B55" s="4" t="inlineStr">
        <is>
          <t xml:space="preserve">Consultoría para la digitalización de rutas de taxis colectivos. Proyecto Apoyo a la estrategia Chilena de transporte sostenible - CLETS Financiado por la GEF e implementado por CAF</t>
        </is>
      </c>
      <c r="C55" s="0" t="inlineStr">
        <is>
          <t xml:space="preserve">Publicada</t>
        </is>
      </c>
      <c r="D55" s="0" t="inlineStr">
        <is>
          <t xml:space="preserve">AGENCIA CHILENA DE COOPERACION INTERNACIONAL PARA EL DESARROLLO</t>
        </is>
      </c>
      <c r="E55" s="0" t="inlineStr">
        <is>
          <t xml:space="preserve">AGCID</t>
        </is>
      </c>
      <c r="F55" s="0" t="inlineStr">
        <is>
          <t xml:space="preserve">Región Metropolitana de Santiago</t>
        </is>
      </c>
      <c r="G55" s="0" t="inlineStr">
        <is>
          <t xml:space="preserve">Santiago</t>
        </is>
      </c>
      <c r="H55" s="2">
        <v>46303.531296</v>
      </c>
      <c r="I55" s="2">
        <v>46317.625</v>
      </c>
      <c r="J55" s="0">
        <v>10</v>
      </c>
      <c r="K55" s="3">
        <v>20000.0</v>
      </c>
      <c r="L55" s="0" t="inlineStr">
        <is>
          <t xml:space="preserve">USD</t>
        </is>
      </c>
      <c r="M55" s="0" t="inlineStr">
        <is>
          <t xml:space="preserve">LE</t>
        </is>
      </c>
      <c r="N55" s="4" t="inlineStr">
        <is>
          <t xml:space="preserve">Servicios profesionales, administrativos y consultorías de gestión empresarial / Consultorías o asesorías en gestión empresarial / Servicios de consultoría en gestión de empresas</t>
        </is>
      </c>
      <c r="O55" s="4" t="inlineStr">
        <is>
          <t xml:space="preserve">1 Unidad · Asesorías en planificación estratégica</t>
        </is>
      </c>
      <c r="P55" s="2"/>
      <c r="Q55" s="2"/>
      <c r="R55" s="0" t="inlineStr">
        <is>
          <t xml:space="preserve">7 meses</t>
        </is>
      </c>
      <c r="S55" s="0" t="inlineStr">
        <is>
          <t xml:space="preserve">No</t>
        </is>
      </c>
      <c r="T55" s="4" t="inlineStr">
        <is>
          <t xml:space="preserve">Según numeral 11.8 de Cesión y subcontratación de la Resolución Exenta de AGCID 305, de fecha 07 de octubre del 2026</t>
        </is>
      </c>
      <c r="U55" s="0" t="inlineStr">
        <is>
          <t xml:space="preserve">Paula Krautz Vargas</t>
        </is>
      </c>
      <c r="V55"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55"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56">
      <c r="A56" s="0" t="inlineStr">
        <is>
          <t xml:space="preserve">617807-79-B226</t>
        </is>
      </c>
      <c r="B56" s="4" t="inlineStr">
        <is>
          <t xml:space="preserve">SERVICIO DE MANTENCIÓN PREVENTIVA Y REPARATIVA DE EQUIPOS DE RAYOS X DIGITAL ARCO C PARA EL HOSPITAL SAN JUAN DE DIOS DE LOS ANDES</t>
        </is>
      </c>
      <c r="C56" s="0" t="inlineStr">
        <is>
          <t xml:space="preserve">Publicada</t>
        </is>
      </c>
      <c r="D56" s="0" t="inlineStr">
        <is>
          <t xml:space="preserve">SERV NAC SALUD HOSPITAL DE LOS ANDES</t>
        </is>
      </c>
      <c r="E56" s="0" t="inlineStr">
        <is>
          <t xml:space="preserve">Hospital San Juan de Dios de Los Andes</t>
        </is>
      </c>
      <c r="F56" s="0" t="inlineStr">
        <is>
          <t xml:space="preserve">Región de Valparaíso </t>
        </is>
      </c>
      <c r="G56" s="0" t="inlineStr">
        <is>
          <t xml:space="preserve">Los Andes</t>
        </is>
      </c>
      <c r="H56" s="2">
        <v>46297.633194</v>
      </c>
      <c r="I56" s="2">
        <v>46317.625</v>
      </c>
      <c r="J56" s="0">
        <v>10</v>
      </c>
      <c r="K56" s="3"/>
      <c r="L56" s="0" t="inlineStr">
        <is>
          <t xml:space="preserve">CLP</t>
        </is>
      </c>
      <c r="M56" s="0" t="inlineStr">
        <is>
          <t xml:space="preserve">B2</t>
        </is>
      </c>
      <c r="N56" s="4" t="inlineStr">
        <is>
          <t xml:space="preserve">Servicios de producción y fabricación industrial / Servicios de apoyo o soporte a la fabricación / Servicios de mantenimiento y reparación de equipo de fabricación</t>
        </is>
      </c>
      <c r="O56" s="4" t="inlineStr">
        <is>
          <t xml:space="preserve">1 Unidad · Servicio de mantenimiento de equipo de fabricación</t>
        </is>
      </c>
      <c r="P56" s="2"/>
      <c r="Q56" s="2"/>
      <c r="R56" s="0" t="inlineStr">
        <is>
          <t xml:space="preserve">36 meses</t>
        </is>
      </c>
      <c r="S56" s="0" t="inlineStr">
        <is>
          <t xml:space="preserve">No</t>
        </is>
      </c>
      <c r="T56" s="4"/>
      <c r="U56" s="0" t="inlineStr">
        <is>
          <t xml:space="preserve">MARCIA MANDIOLA GOMEZ</t>
        </is>
      </c>
      <c r="V56"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56"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57">
      <c r="A57" s="0" t="inlineStr">
        <is>
          <t xml:space="preserve">1461054-45-LP26</t>
        </is>
      </c>
      <c r="B57" s="4" t="inlineStr">
        <is>
          <t xml:space="preserve">PLATAFORMA DE GESTIÓN EDUCACIONAL PARA 77 E.E</t>
        </is>
      </c>
      <c r="C57" s="0" t="inlineStr">
        <is>
          <t xml:space="preserve">Publicada</t>
        </is>
      </c>
      <c r="D57" s="0" t="inlineStr">
        <is>
          <t xml:space="preserve">SERVICIO LOCAL DE EDUCACIÓN PÚBLICA DEL ELQUI</t>
        </is>
      </c>
      <c r="E57" s="0" t="inlineStr">
        <is>
          <t xml:space="preserve">P02 Establecimientos Educacionales</t>
        </is>
      </c>
      <c r="F57" s="0" t="inlineStr">
        <is>
          <t xml:space="preserve">Región de Coquimbo </t>
        </is>
      </c>
      <c r="G57" s="0" t="inlineStr">
        <is>
          <t xml:space="preserve">La Serena</t>
        </is>
      </c>
      <c r="H57" s="2">
        <v>46288.638889</v>
      </c>
      <c r="I57" s="2">
        <v>46317.645833</v>
      </c>
      <c r="J57" s="0">
        <v>10</v>
      </c>
      <c r="K57" s="3">
        <v>290234736.0</v>
      </c>
      <c r="L57" s="0" t="inlineStr">
        <is>
          <t xml:space="preserve">CLP</t>
        </is>
      </c>
      <c r="M57" s="0" t="inlineStr">
        <is>
          <t xml:space="preserve">LP</t>
        </is>
      </c>
      <c r="N57" s="4" t="inlineStr">
        <is>
          <t xml:space="preserve">Tecnologías de la información, telecomunicaciones y radiodifusión / Software / Software de consultas y gestión de datos</t>
        </is>
      </c>
      <c r="O57" s="4" t="inlineStr">
        <is>
          <t xml:space="preserve">1 Unidad · Software del sistema de administración de bases de datos</t>
        </is>
      </c>
      <c r="P57" s="2"/>
      <c r="Q57" s="2"/>
      <c r="R57" s="0" t="inlineStr">
        <is>
          <t xml:space="preserve">36 meses</t>
        </is>
      </c>
      <c r="S57" s="0" t="inlineStr">
        <is>
          <t xml:space="preserve">No</t>
        </is>
      </c>
      <c r="T5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57" s="0" t="inlineStr">
        <is>
          <t xml:space="preserve">Francisca Pérez García</t>
        </is>
      </c>
      <c r="V57"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57"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58">
      <c r="A58" s="0" t="inlineStr">
        <is>
          <t xml:space="preserve">3348-9-LE26</t>
        </is>
      </c>
      <c r="B58" s="4" t="inlineStr">
        <is>
          <t xml:space="preserve">Servicio de Arriendo de Tótem Gestor de Filas</t>
        </is>
      </c>
      <c r="C58" s="0" t="inlineStr">
        <is>
          <t xml:space="preserve">Publicada</t>
        </is>
      </c>
      <c r="D58" s="0" t="inlineStr">
        <is>
          <t xml:space="preserve">DIVISION LOGISTICA DEL EJERCITO</t>
        </is>
      </c>
      <c r="E58" s="0" t="inlineStr">
        <is>
          <t xml:space="preserve">Centro Clínico Militar "Arica"</t>
        </is>
      </c>
      <c r="F58" s="0" t="inlineStr">
        <is>
          <t xml:space="preserve">Región de Arica y Parinacota</t>
        </is>
      </c>
      <c r="G58" s="0" t="inlineStr">
        <is>
          <t xml:space="preserve">Arica</t>
        </is>
      </c>
      <c r="H58" s="2">
        <v>46302.699063</v>
      </c>
      <c r="I58" s="2">
        <v>46317.666667</v>
      </c>
      <c r="J58" s="0">
        <v>10</v>
      </c>
      <c r="K58" s="3">
        <v>7200000.0</v>
      </c>
      <c r="L58" s="0" t="inlineStr">
        <is>
          <t xml:space="preserve">CLP</t>
        </is>
      </c>
      <c r="M58" s="0" t="inlineStr">
        <is>
          <t xml:space="preserve">LE</t>
        </is>
      </c>
      <c r="N58" s="4" t="inlineStr">
        <is>
          <t xml:space="preserve">Tecnologías de la información, telecomunicaciones y radiodifusión / Equipos informáticos y accesorios / Pantallas o monitores de computador</t>
        </is>
      </c>
      <c r="O58" s="4" t="inlineStr">
        <is>
          <t xml:space="preserve">1 Unidad · Monitores de pantalla táctil</t>
        </is>
      </c>
      <c r="P58" s="2"/>
      <c r="Q58" s="2"/>
      <c r="R58" s="0" t="inlineStr">
        <is>
          <t xml:space="preserve">24 meses</t>
        </is>
      </c>
      <c r="S58" s="0" t="inlineStr">
        <is>
          <t xml:space="preserve">No</t>
        </is>
      </c>
      <c r="T58"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58" s="0" t="inlineStr">
        <is>
          <t xml:space="preserve">Victor Gomez Vuch</t>
        </is>
      </c>
      <c r="V58" s="4" t="inlineStr">
        <is>
          <t xml:space="preserve">Contratar el “Servicio de arriendo de tótem gestor de filas” a 24 meses de duración, para la gestión de filas de atención del hall del servicio de medicina de esta Instalación de Salud.</t>
        </is>
      </c>
      <c r="W58"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59">
      <c r="A59" s="0" t="inlineStr">
        <is>
          <t xml:space="preserve">948354-140-LR26</t>
        </is>
      </c>
      <c r="B59" s="4" t="inlineStr">
        <is>
          <t xml:space="preserve">CONTRATACIÓN DE UNA SOLUCIÓN INTEGRAL RIS-PACS INCLUYENDO LA PROVISIÓN DE SERVICIOS SOFTWARE HARDWARE E INFRAESTRUCTURA TECNOLÓGICA PARA EL SERVICIO DE IMAGENOLOGÍA DEL HOSPITAL DIPRECA</t>
        </is>
      </c>
      <c r="C59" s="0" t="inlineStr">
        <is>
          <t xml:space="preserve">Publicada</t>
        </is>
      </c>
      <c r="D59" s="0" t="inlineStr">
        <is>
          <t xml:space="preserve">FONDO HOSPITAL DE LA DIRECCION DE PREVISION DE CARABINEROS DE CHILE</t>
        </is>
      </c>
      <c r="E59" s="0" t="inlineStr">
        <is>
          <t xml:space="preserve">Unidad de Compra de Bienes y Servicios</t>
        </is>
      </c>
      <c r="F59" s="0" t="inlineStr">
        <is>
          <t xml:space="preserve">Región Metropolitana de Santiago</t>
        </is>
      </c>
      <c r="G59" s="0" t="inlineStr">
        <is>
          <t xml:space="preserve">Las Condes</t>
        </is>
      </c>
      <c r="H59" s="2">
        <v>46287.400255</v>
      </c>
      <c r="I59" s="2">
        <v>46317.666667</v>
      </c>
      <c r="J59" s="0">
        <v>10</v>
      </c>
      <c r="K59" s="3">
        <v>3310000000.0</v>
      </c>
      <c r="L59" s="0" t="inlineStr">
        <is>
          <t xml:space="preserve">CLP</t>
        </is>
      </c>
      <c r="M59" s="0" t="inlineStr">
        <is>
          <t xml:space="preserve">LR</t>
        </is>
      </c>
      <c r="N59" s="4" t="inlineStr">
        <is>
          <t xml:space="preserve">Equipamiento y suministros médicos / Productos para imágenes y de medicina nuclear / Artículos para archivar información e imágenes radiológicas</t>
        </is>
      </c>
      <c r="O59" s="4" t="inlineStr">
        <is>
          <t xml:space="preserve">60 Mes · Sistemas informatizados de archivado de imágenes (PACS) médicos</t>
        </is>
      </c>
      <c r="P59" s="2"/>
      <c r="Q59" s="2"/>
      <c r="R59" s="0" t="inlineStr">
        <is>
          <t xml:space="preserve">60 meses</t>
        </is>
      </c>
      <c r="S59" s="0" t="inlineStr">
        <is>
          <t xml:space="preserve">No</t>
        </is>
      </c>
      <c r="T59" s="4"/>
      <c r="U59" s="0" t="inlineStr">
        <is>
          <t xml:space="preserve">Dra. Constanza Damm Araneda</t>
        </is>
      </c>
      <c r="V59"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59"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60">
      <c r="A60" s="0" t="inlineStr">
        <is>
          <t xml:space="preserve">5148-13-LP26</t>
        </is>
      </c>
      <c r="B60" s="4" t="inlineStr">
        <is>
          <t xml:space="preserve">ADQUISICIÓN SERVIDORES PARA PLATAFORMA IA DEL MP</t>
        </is>
      </c>
      <c r="C60" s="0" t="inlineStr">
        <is>
          <t xml:space="preserve">Publicada</t>
        </is>
      </c>
      <c r="D60" s="0" t="inlineStr">
        <is>
          <t xml:space="preserve">MINISTERIO PUBLICO</t>
        </is>
      </c>
      <c r="E60" s="0" t="inlineStr">
        <is>
          <t xml:space="preserve">Fiscalía Nacional</t>
        </is>
      </c>
      <c r="F60" s="0" t="inlineStr">
        <is>
          <t xml:space="preserve">Región Metropolitana de Santiago</t>
        </is>
      </c>
      <c r="G60" s="0" t="inlineStr">
        <is>
          <t xml:space="preserve">Santiago Centro</t>
        </is>
      </c>
      <c r="H60" s="2">
        <v>46301.729387</v>
      </c>
      <c r="I60" s="2">
        <v>46317.708333</v>
      </c>
      <c r="J60" s="0">
        <v>10</v>
      </c>
      <c r="K60" s="3"/>
      <c r="L60" s="0" t="inlineStr">
        <is>
          <t xml:space="preserve">USD</t>
        </is>
      </c>
      <c r="M60" s="0" t="inlineStr">
        <is>
          <t xml:space="preserve">LP</t>
        </is>
      </c>
      <c r="N60" s="4" t="inlineStr">
        <is>
          <t xml:space="preserve">Tecnologías de la información, telecomunicaciones y radiodifusión / Equipos informáticos y accesorios / Computadores</t>
        </is>
      </c>
      <c r="O60" s="4" t="inlineStr">
        <is>
          <t xml:space="preserve">1 Unidad · Servidores · 1 Unidad · Servidores</t>
        </is>
      </c>
      <c r="P60" s="2"/>
      <c r="Q60" s="2"/>
      <c r="R60" s="0"/>
      <c r="S60" s="0" t="inlineStr">
        <is>
          <t xml:space="preserve">No</t>
        </is>
      </c>
      <c r="T60"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60" s="0" t="inlineStr">
        <is>
          <t xml:space="preserve">RICHARD ROJAS CASTEX</t>
        </is>
      </c>
      <c r="V60"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60"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61">
      <c r="A61" s="0" t="inlineStr">
        <is>
          <t xml:space="preserve">598-26-LE26</t>
        </is>
      </c>
      <c r="B61" s="4" t="inlineStr">
        <is>
          <t xml:space="preserve">Licencia Automatización de Procesos IFM por 36 mes</t>
        </is>
      </c>
      <c r="C61" s="0" t="inlineStr">
        <is>
          <t xml:space="preserve">Publicada</t>
        </is>
      </c>
      <c r="D61" s="0" t="inlineStr">
        <is>
          <t xml:space="preserve">DIRECCION PREVISION DE CARABINEROS DE CHILE</t>
        </is>
      </c>
      <c r="E61" s="0" t="inlineStr">
        <is>
          <t xml:space="preserve">Unidad de Abastecimiento DIPRECA</t>
        </is>
      </c>
      <c r="F61" s="0" t="inlineStr">
        <is>
          <t xml:space="preserve">Región Metropolitana de Santiago</t>
        </is>
      </c>
      <c r="G61" s="0" t="inlineStr">
        <is>
          <t xml:space="preserve">Santiago</t>
        </is>
      </c>
      <c r="H61" s="2">
        <v>46304.477535</v>
      </c>
      <c r="I61" s="2">
        <v>46318.395833</v>
      </c>
      <c r="J61" s="0">
        <v>11</v>
      </c>
      <c r="K61" s="3">
        <v>24000000.0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t>
        </is>
      </c>
      <c r="P61" s="2"/>
      <c r="Q61" s="2"/>
      <c r="R61" s="0"/>
      <c r="S61" s="0" t="inlineStr">
        <is>
          <t xml:space="preserve">No</t>
        </is>
      </c>
      <c r="T61" s="4"/>
      <c r="U61" s="0" t="inlineStr">
        <is>
          <t xml:space="preserve">Alex Saavedra</t>
        </is>
      </c>
      <c r="V61"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61"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62">
      <c r="A62" s="0" t="inlineStr">
        <is>
          <t xml:space="preserve">2667-71-LR26</t>
        </is>
      </c>
      <c r="B62" s="4" t="inlineStr">
        <is>
          <t xml:space="preserve">ARRIENDO SOPORTE Y MANTENCIÓN DE CENTRAL TELEFONICA IP TELEFONOS IP Y PLATAFORMA DE CONTACT CENTER</t>
        </is>
      </c>
      <c r="C62" s="0" t="inlineStr">
        <is>
          <t xml:space="preserve">Publicada</t>
        </is>
      </c>
      <c r="D62" s="0" t="inlineStr">
        <is>
          <t xml:space="preserve">I MUNICIPALIDAD DE VITACURA</t>
        </is>
      </c>
      <c r="E62" s="0" t="inlineStr">
        <is>
          <t xml:space="preserve">SECPLA</t>
        </is>
      </c>
      <c r="F62" s="0" t="inlineStr">
        <is>
          <t xml:space="preserve">Región Metropolitana de Santiago</t>
        </is>
      </c>
      <c r="G62" s="0" t="inlineStr">
        <is>
          <t xml:space="preserve">Vitacura</t>
        </is>
      </c>
      <c r="H62" s="2">
        <v>46282.54353</v>
      </c>
      <c r="I62" s="2">
        <v>46318.625</v>
      </c>
      <c r="J62" s="0">
        <v>11</v>
      </c>
      <c r="K62" s="3"/>
      <c r="L62" s="0" t="inlineStr">
        <is>
          <t xml:space="preserve">CLF</t>
        </is>
      </c>
      <c r="M62" s="0" t="inlineStr">
        <is>
          <t xml:space="preserve">LR</t>
        </is>
      </c>
      <c r="N62" s="4" t="inlineStr">
        <is>
          <t xml:space="preserve">Equipos y suministros de defensa, orden público, protección y seguridad / Seguridad, vigilancia y detección / Equipo de vigilancia y detección</t>
        </is>
      </c>
      <c r="O62" s="4" t="inlineStr">
        <is>
          <t xml:space="preserve">1 Global · Sistemas de alarma</t>
        </is>
      </c>
      <c r="P62" s="2"/>
      <c r="Q62" s="2"/>
      <c r="R62" s="0" t="inlineStr">
        <is>
          <t xml:space="preserve">48 meses</t>
        </is>
      </c>
      <c r="S62" s="0" t="inlineStr">
        <is>
          <t xml:space="preserve">No</t>
        </is>
      </c>
      <c r="T62" s="4"/>
      <c r="U62" s="0" t="inlineStr">
        <is>
          <t xml:space="preserve">Gonzalo Fuentes Osses</t>
        </is>
      </c>
      <c r="V62"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62"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63">
      <c r="A63" s="0" t="inlineStr">
        <is>
          <t xml:space="preserve">608-197-LR26</t>
        </is>
      </c>
      <c r="B63" s="4" t="inlineStr">
        <is>
          <t xml:space="preserve">SERVICIO DE OPERACIÓN MANTENIMIENTO Y ACTUALIZACIÓN DE PLATAFORMAS TECNOLÓGICAS DE LA SALA DE CONTROL CENTRALIZADO DEL HOSPITAL DR. GUSTAVO FRICKE</t>
        </is>
      </c>
      <c r="C63" s="0" t="inlineStr">
        <is>
          <t xml:space="preserve">Publicada</t>
        </is>
      </c>
      <c r="D63" s="0" t="inlineStr">
        <is>
          <t xml:space="preserve">HOSPITAL DR GUSTAVO FRICKE DE VINA DEL MAR</t>
        </is>
      </c>
      <c r="E63" s="0" t="inlineStr">
        <is>
          <t xml:space="preserve">Hospital Dr. Gustavo Fricke</t>
        </is>
      </c>
      <c r="F63" s="0" t="inlineStr">
        <is>
          <t xml:space="preserve">Región de Valparaíso </t>
        </is>
      </c>
      <c r="G63" s="0"/>
      <c r="H63" s="2">
        <v>46279.504861</v>
      </c>
      <c r="I63" s="2">
        <v>46318.686806</v>
      </c>
      <c r="J63" s="0">
        <v>11</v>
      </c>
      <c r="K63" s="3">
        <v>675433201.0</v>
      </c>
      <c r="L63" s="0" t="inlineStr">
        <is>
          <t xml:space="preserve">CLP</t>
        </is>
      </c>
      <c r="M63" s="0" t="inlineStr">
        <is>
          <t xml:space="preserve">LR</t>
        </is>
      </c>
      <c r="N63" s="4" t="inlineStr">
        <is>
          <t xml:space="preserve">Servicios basados en ingeniería, ciencias sociales y tecnología de la información / Servicios informáticos / Ingeniería en computación e informática</t>
        </is>
      </c>
      <c r="O63" s="4" t="inlineStr">
        <is>
          <t xml:space="preserve">1 Unidad · Integración de sistemas</t>
        </is>
      </c>
      <c r="P63" s="2"/>
      <c r="Q63" s="2"/>
      <c r="R63" s="0" t="inlineStr">
        <is>
          <t xml:space="preserve">17 meses</t>
        </is>
      </c>
      <c r="S63" s="0" t="inlineStr">
        <is>
          <t xml:space="preserve">No</t>
        </is>
      </c>
      <c r="T63" s="4"/>
      <c r="U63" s="0" t="inlineStr">
        <is>
          <t xml:space="preserve">SE DEFINIRÁ AL MOMENTO DE ADJUDICAR PROCESO</t>
        </is>
      </c>
      <c r="V63" s="4" t="inlineStr">
        <is>
          <t xml:space="preserve">Que la unidad de control centralizado integra plataformas tecnológicas y de comunicación complejas que
permiten el monitoreo constante y reacción inmediata ante incidentes y respuesta en tiempo real frente a
emergencias.</t>
        </is>
      </c>
      <c r="W63"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64">
      <c r="A64" s="0" t="inlineStr">
        <is>
          <t xml:space="preserve">1020-38-LP26</t>
        </is>
      </c>
      <c r="B64" s="4" t="inlineStr">
        <is>
          <t xml:space="preserve">Adquisición de Plataforma Next Generation Firewall</t>
        </is>
      </c>
      <c r="C64" s="0" t="inlineStr">
        <is>
          <t xml:space="preserve">Publicada</t>
        </is>
      </c>
      <c r="D64" s="0" t="inlineStr">
        <is>
          <t xml:space="preserve">MINISTERIO DE OBRAS PUBLICAS DIREC CION GRAL DE OO PP DCYF</t>
        </is>
      </c>
      <c r="E64" s="0" t="inlineStr">
        <is>
          <t xml:space="preserve">MOP Subsecretaría </t>
        </is>
      </c>
      <c r="F64" s="0" t="inlineStr">
        <is>
          <t xml:space="preserve">Región Metropolitana de Santiago</t>
        </is>
      </c>
      <c r="G64" s="0"/>
      <c r="H64" s="2">
        <v>46252.442361</v>
      </c>
      <c r="I64" s="2">
        <v>46321.625</v>
      </c>
      <c r="J64" s="0">
        <v>14</v>
      </c>
      <c r="K64" s="3">
        <v>240000000.0</v>
      </c>
      <c r="L64" s="0" t="inlineStr">
        <is>
          <t xml:space="preserve">CLP</t>
        </is>
      </c>
      <c r="M64" s="0" t="inlineStr">
        <is>
          <t xml:space="preserve">LP</t>
        </is>
      </c>
      <c r="N6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4" s="4" t="inlineStr">
        <is>
          <t xml:space="preserve">2 Unidad · Equipo de seguridad de red de firewall · 1 Unidad · Software de vigilancia de redes</t>
        </is>
      </c>
      <c r="P64" s="2"/>
      <c r="Q64" s="2"/>
      <c r="R64" s="0" t="inlineStr">
        <is>
          <t xml:space="preserve">16 meses</t>
        </is>
      </c>
      <c r="S64" s="0" t="inlineStr">
        <is>
          <t xml:space="preserve">No</t>
        </is>
      </c>
      <c r="T64" s="4" t="inlineStr">
        <is>
          <t xml:space="preserve">Conforme al punto 10.5 de las Bases Administrativas, el oferente adjudicado no podrá subcontratar los servicios derivados de la ejecución del Contrato</t>
        </is>
      </c>
      <c r="U64" s="0" t="inlineStr">
        <is>
          <t xml:space="preserve">Francisco Borques</t>
        </is>
      </c>
      <c r="V6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4"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65">
      <c r="A65" s="0" t="inlineStr">
        <is>
          <t xml:space="preserve">3047-60-LE26</t>
        </is>
      </c>
      <c r="B65" s="4" t="inlineStr">
        <is>
          <t xml:space="preserve">EQUIPAMIENTO INFORMÁTICO PARA IMPLEMENTAR SERVIDOR EN EL CENTRO DE INNOVACIÓN TECNOLÓGICA DE LA ARMADA</t>
        </is>
      </c>
      <c r="C65" s="0" t="inlineStr">
        <is>
          <t xml:space="preserve">Publicada</t>
        </is>
      </c>
      <c r="D65" s="0" t="inlineStr">
        <is>
          <t xml:space="preserve">DIRECCION DE ABASTECIMIENTO DE LA ARMADA</t>
        </is>
      </c>
      <c r="E65" s="0" t="inlineStr">
        <is>
          <t xml:space="preserve">ACADEMIA POLITECNICA NAVAL</t>
        </is>
      </c>
      <c r="F65" s="0" t="inlineStr">
        <is>
          <t xml:space="preserve">Región de Valparaíso </t>
        </is>
      </c>
      <c r="G65" s="0"/>
      <c r="H65" s="2">
        <v>46303.664468</v>
      </c>
      <c r="I65" s="2">
        <v>46321.625</v>
      </c>
      <c r="J65" s="0">
        <v>14</v>
      </c>
      <c r="K65" s="3">
        <v>60000000.0</v>
      </c>
      <c r="L65" s="0" t="inlineStr">
        <is>
          <t xml:space="preserve">CLP</t>
        </is>
      </c>
      <c r="M65" s="0" t="inlineStr">
        <is>
          <t xml:space="preserve">LE</t>
        </is>
      </c>
      <c r="N65" s="4" t="inlineStr">
        <is>
          <t xml:space="preserve">Tecnologías de la información, telecomunicaciones y radiodifusión / Equipos informáticos y accesorios / Computadores</t>
        </is>
      </c>
      <c r="O65" s="4" t="inlineStr">
        <is>
          <t xml:space="preserve">1 Unidad · Servidores</t>
        </is>
      </c>
      <c r="P65" s="2"/>
      <c r="Q65" s="2"/>
      <c r="R65" s="0"/>
      <c r="S65" s="0" t="inlineStr">
        <is>
          <t xml:space="preserve">No</t>
        </is>
      </c>
      <c r="T65" s="4"/>
      <c r="U65" s="0" t="inlineStr">
        <is>
          <t xml:space="preserve">FRANCISCO LAYMUNS HEILMAIER</t>
        </is>
      </c>
      <c r="V65" s="4" t="inlineStr">
        <is>
          <t xml:space="preserve">EQUIPAMIENTO INFORMÁTICO PARA IMPLEMENTAR SERVIDOR EN EL CENTRO DE INNOVACIÓN TECNOLÓGICA DE LA ARMADA</t>
        </is>
      </c>
      <c r="W65"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66">
      <c r="A66" s="0" t="inlineStr">
        <is>
          <t xml:space="preserve">3671-80-LE26</t>
        </is>
      </c>
      <c r="B66" s="4" t="inlineStr">
        <is>
          <t xml:space="preserve">“HABILITACIÓN DE NUEVAS DEPENDENCIAS DE SEGURIDAD MUNICIPAL E INFORMÁTICA DE LA MUNICIPALIDAD DE CHILLÁN VIEJO”</t>
        </is>
      </c>
      <c r="C66" s="0" t="inlineStr">
        <is>
          <t xml:space="preserve">Publicada</t>
        </is>
      </c>
      <c r="D66" s="0" t="inlineStr">
        <is>
          <t xml:space="preserve">ILUSTRE MUNICIPALIDAD DE CHILLAN VIEJO</t>
        </is>
      </c>
      <c r="E66" s="0" t="inlineStr">
        <is>
          <t xml:space="preserve">Secplan</t>
        </is>
      </c>
      <c r="F66" s="0" t="inlineStr">
        <is>
          <t xml:space="preserve">Región del Ñuble</t>
        </is>
      </c>
      <c r="G66" s="0" t="inlineStr">
        <is>
          <t xml:space="preserve">Chillán Viejo</t>
        </is>
      </c>
      <c r="H66" s="2">
        <v>46304.695428</v>
      </c>
      <c r="I66" s="2">
        <v>46321.625</v>
      </c>
      <c r="J66" s="0">
        <v>14</v>
      </c>
      <c r="K66" s="3"/>
      <c r="L66" s="0" t="inlineStr">
        <is>
          <t xml:space="preserve">CLP</t>
        </is>
      </c>
      <c r="M66" s="0" t="inlineStr">
        <is>
          <t xml:space="preserve">LE</t>
        </is>
      </c>
      <c r="N66" s="4" t="inlineStr">
        <is>
          <t xml:space="preserve">Servicios de construcción y mantenimiento / Construcción de edificios en general / Construcción de obras civiles y infraestructuras</t>
        </is>
      </c>
      <c r="O66" s="4" t="inlineStr">
        <is>
          <t xml:space="preserve">1 Unidad · Construcción de obras civiles</t>
        </is>
      </c>
      <c r="P66" s="2"/>
      <c r="Q66" s="2"/>
      <c r="R66" s="0"/>
      <c r="S66" s="0" t="inlineStr">
        <is>
          <t xml:space="preserve">No</t>
        </is>
      </c>
      <c r="T66" s="4"/>
      <c r="U66" s="0" t="inlineStr">
        <is>
          <t xml:space="preserve">MARIA PAZ VASQUEZ RAMIREZ</t>
        </is>
      </c>
      <c r="V66"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6"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67">
      <c r="A67" s="0" t="inlineStr">
        <is>
          <t xml:space="preserve">577290-4-LP26</t>
        </is>
      </c>
      <c r="B67" s="4" t="inlineStr">
        <is>
          <t xml:space="preserve">RENOVACIÓN Y ADQUISICIÓN DE LICENCIAS DE SOFTWARE</t>
        </is>
      </c>
      <c r="C67" s="0" t="inlineStr">
        <is>
          <t xml:space="preserve">Publicada</t>
        </is>
      </c>
      <c r="D67" s="0" t="inlineStr">
        <is>
          <t xml:space="preserve">SUBSECRETARIA DE TRANSPORTES</t>
        </is>
      </c>
      <c r="E67" s="0" t="inlineStr">
        <is>
          <t xml:space="preserve">Subsidio Nacional Transporte Publico</t>
        </is>
      </c>
      <c r="F67" s="0" t="inlineStr">
        <is>
          <t xml:space="preserve">Región Metropolitana de Santiago</t>
        </is>
      </c>
      <c r="G67" s="0" t="inlineStr">
        <is>
          <t xml:space="preserve">Santiago Centro</t>
        </is>
      </c>
      <c r="H67" s="2">
        <v>46301.443924</v>
      </c>
      <c r="I67" s="2">
        <v>46321.625</v>
      </c>
      <c r="J67" s="0">
        <v>14</v>
      </c>
      <c r="K67" s="3">
        <v>74076010.0</v>
      </c>
      <c r="L67" s="0" t="inlineStr">
        <is>
          <t xml:space="preserve">CLP</t>
        </is>
      </c>
      <c r="M67" s="0" t="inlineStr">
        <is>
          <t xml:space="preserve">LP</t>
        </is>
      </c>
      <c r="N67" s="4" t="inlineStr">
        <is>
          <t xml:space="preserve">Tecnologías de la información, telecomunicaciones y radiodifusión / Software / Software de gestión</t>
        </is>
      </c>
      <c r="O67" s="4" t="inlineStr">
        <is>
          <t xml:space="preserve">4 Unidad · Software de gestión de licencias · 1 Unidad · Software de gestión de licencias · 4 Unidad · Software de gestión de licencias · y 3 más</t>
        </is>
      </c>
      <c r="P67" s="2"/>
      <c r="Q67" s="2"/>
      <c r="R67" s="0"/>
      <c r="S67" s="0" t="inlineStr">
        <is>
          <t xml:space="preserve">No</t>
        </is>
      </c>
      <c r="T67" s="4" t="inlineStr">
        <is>
          <t xml:space="preserve">VER NUMERAL 2.34 SUBCONTRATACIÓN</t>
        </is>
      </c>
      <c r="U67" s="0" t="inlineStr">
        <is>
          <t xml:space="preserve">Mauricio Segovia Briceño</t>
        </is>
      </c>
      <c r="V67"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67"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68">
      <c r="A68" s="0" t="inlineStr">
        <is>
          <t xml:space="preserve">2342-36-LR26</t>
        </is>
      </c>
      <c r="B68" s="4" t="inlineStr">
        <is>
          <t xml:space="preserve">CONCESIÓN DE ESTACIONAMIENTOS EN CALLES DE LA ZONA CENTRO DE LA COMUNA DE SAN BERNARDO APLICANDO SISTEMA DE CONTROL DE TIEMPO DE USO CAPTADORES DE DATOS</t>
        </is>
      </c>
      <c r="C68" s="0" t="inlineStr">
        <is>
          <t xml:space="preserve">Publicada</t>
        </is>
      </c>
      <c r="D68" s="0" t="inlineStr">
        <is>
          <t xml:space="preserve">I MUNICIPALIDAD DE SAN BERNARDO</t>
        </is>
      </c>
      <c r="E68" s="0" t="inlineStr">
        <is>
          <t xml:space="preserve">SECRETARIA COMUNAL DE PLANIFICACION</t>
        </is>
      </c>
      <c r="F68" s="0" t="inlineStr">
        <is>
          <t xml:space="preserve">Región Metropolitana de Santiago</t>
        </is>
      </c>
      <c r="G68" s="0" t="inlineStr">
        <is>
          <t xml:space="preserve">San Bernardo</t>
        </is>
      </c>
      <c r="H68" s="2">
        <v>46289.68978</v>
      </c>
      <c r="I68" s="2">
        <v>46321.625694</v>
      </c>
      <c r="J68" s="0">
        <v>14</v>
      </c>
      <c r="K68" s="3"/>
      <c r="L68" s="0" t="inlineStr">
        <is>
          <t xml:space="preserve">UTM</t>
        </is>
      </c>
      <c r="M68" s="0" t="inlineStr">
        <is>
          <t xml:space="preserve">LR</t>
        </is>
      </c>
      <c r="N68" s="4" t="inlineStr">
        <is>
          <t xml:space="preserve">Servicios de transporte, almacenaje y correo / Servicios de mantención o reparaciones de transportes / Combustible para vehículos de transporte, estacionamiento y otros servicios de apoyo</t>
        </is>
      </c>
      <c r="O68" s="4" t="inlineStr">
        <is>
          <t xml:space="preserve">1 Unidad · Estacionamientos</t>
        </is>
      </c>
      <c r="P68" s="2"/>
      <c r="Q68" s="2"/>
      <c r="R68" s="0" t="inlineStr">
        <is>
          <t xml:space="preserve">36 meses</t>
        </is>
      </c>
      <c r="S68" s="0" t="inlineStr">
        <is>
          <t xml:space="preserve">No</t>
        </is>
      </c>
      <c r="T68" s="4"/>
      <c r="U68" s="0" t="inlineStr">
        <is>
          <t xml:space="preserve">JUAN CARLOS CABRERA CAMPOS</t>
        </is>
      </c>
      <c r="V68" s="4" t="inlineStr">
        <is>
          <t xml:space="preserve">CONCESIÓN DE ESTACIONAMIENTOS EN CALLES DE LA ZONA CENTRO DE LA COMUNA DE SAN BERNARDO, APLICANDO SISTEMA DE CONTROL DE TIEMPO DE USO CAPTADORES DE DATOS</t>
        </is>
      </c>
      <c r="W68"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69">
      <c r="A69" s="0" t="inlineStr">
        <is>
          <t xml:space="preserve">5482-101-LR26</t>
        </is>
      </c>
      <c r="B69" s="4" t="inlineStr">
        <is>
          <t xml:space="preserve">Plataforma IA para video y seguridad urbana</t>
        </is>
      </c>
      <c r="C69" s="0" t="inlineStr">
        <is>
          <t xml:space="preserve">Publicada</t>
        </is>
      </c>
      <c r="D69" s="0" t="inlineStr">
        <is>
          <t xml:space="preserve">I MUNICIPALIDAD DE NUNOA</t>
        </is>
      </c>
      <c r="E69" s="0" t="inlineStr">
        <is>
          <t xml:space="preserve">SECPLANUNOA</t>
        </is>
      </c>
      <c r="F69" s="0" t="inlineStr">
        <is>
          <t xml:space="preserve">Región Metropolitana de Santiago</t>
        </is>
      </c>
      <c r="G69" s="0" t="inlineStr">
        <is>
          <t xml:space="preserve">Ñuñoa</t>
        </is>
      </c>
      <c r="H69" s="2">
        <v>46275.729861</v>
      </c>
      <c r="I69" s="2">
        <v>46321.625694</v>
      </c>
      <c r="J69" s="0">
        <v>14</v>
      </c>
      <c r="K69" s="3"/>
      <c r="L69" s="0" t="inlineStr">
        <is>
          <t xml:space="preserve">CLF</t>
        </is>
      </c>
      <c r="M69" s="0" t="inlineStr">
        <is>
          <t xml:space="preserve">LR</t>
        </is>
      </c>
      <c r="N69" s="4" t="inlineStr">
        <is>
          <t xml:space="preserve">Tecnologías de la información, telecomunicaciones y radiodifusión / Software / Programas de desarrollo</t>
        </is>
      </c>
      <c r="O69" s="4" t="inlineStr">
        <is>
          <t xml:space="preserve">1 Global · Software de desarrollo de plataforma Web · 26 Mes · Software de desarrollo de plataforma Web</t>
        </is>
      </c>
      <c r="P69" s="2"/>
      <c r="Q69" s="2"/>
      <c r="R69" s="0" t="inlineStr">
        <is>
          <t xml:space="preserve">26 meses</t>
        </is>
      </c>
      <c r="S69" s="0" t="inlineStr">
        <is>
          <t xml:space="preserve">No</t>
        </is>
      </c>
      <c r="T69" s="4"/>
      <c r="U69" s="0" t="inlineStr">
        <is>
          <t xml:space="preserve">Katherinne Ayala</t>
        </is>
      </c>
      <c r="V69"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69"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70">
      <c r="A70" s="0" t="inlineStr">
        <is>
          <t xml:space="preserve">1622-22-LP26</t>
        </is>
      </c>
      <c r="B70" s="4" t="inlineStr">
        <is>
          <t xml:space="preserve">ARRIENDO SISTEMA DE INFORMACIÓN DE LABORATORIO HSV</t>
        </is>
      </c>
      <c r="C70" s="0" t="inlineStr">
        <is>
          <t xml:space="preserve">Publicada</t>
        </is>
      </c>
      <c r="D70" s="0" t="inlineStr">
        <is>
          <t xml:space="preserve">SERVICIO DE SALUD HOSPITAL DE SAN VICENTE DE TAGUA TAGUA</t>
        </is>
      </c>
      <c r="E70" s="0" t="inlineStr">
        <is>
          <t xml:space="preserve">Hospital de San Vicente de Tagua Tagua</t>
        </is>
      </c>
      <c r="F70" s="0" t="inlineStr">
        <is>
          <t xml:space="preserve">Región del Libertador General Bernardo O´Higgins</t>
        </is>
      </c>
      <c r="G70" s="0" t="inlineStr">
        <is>
          <t xml:space="preserve">San Vicente de Tagua Tagua</t>
        </is>
      </c>
      <c r="H70" s="2">
        <v>46301.633356</v>
      </c>
      <c r="I70" s="2">
        <v>46321.645833</v>
      </c>
      <c r="J70" s="0">
        <v>14</v>
      </c>
      <c r="K70" s="3"/>
      <c r="L70" s="0" t="inlineStr">
        <is>
          <t xml:space="preserve">CLP</t>
        </is>
      </c>
      <c r="M70" s="0" t="inlineStr">
        <is>
          <t xml:space="preserve">LP</t>
        </is>
      </c>
      <c r="N70" s="4" t="inlineStr">
        <is>
          <t xml:space="preserve">Tecnologías de la información, telecomunicaciones y radiodifusión / Software / Software de consultas y gestión de datos</t>
        </is>
      </c>
      <c r="O70" s="4" t="inlineStr">
        <is>
          <t xml:space="preserve">1 Unidad · Software del sistema de administración de bases de datos</t>
        </is>
      </c>
      <c r="P70" s="2"/>
      <c r="Q70" s="2"/>
      <c r="R70" s="0" t="inlineStr">
        <is>
          <t xml:space="preserve">36 meses</t>
        </is>
      </c>
      <c r="S70" s="0" t="inlineStr">
        <is>
          <t xml:space="preserve">No</t>
        </is>
      </c>
      <c r="T70" s="4"/>
      <c r="U70" s="0" t="inlineStr">
        <is>
          <t xml:space="preserve">ANIBAL DONOSO MARTIN</t>
        </is>
      </c>
      <c r="V70"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70"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71">
      <c r="A71" s="0" t="inlineStr">
        <is>
          <t xml:space="preserve">2403-73-LR26</t>
        </is>
      </c>
      <c r="B71" s="4" t="inlineStr">
        <is>
          <t xml:space="preserve">Servicios de conectividad telecomunicaciones operación de infraestructura y gestión de ciberseguridad.</t>
        </is>
      </c>
      <c r="C71" s="0" t="inlineStr">
        <is>
          <t xml:space="preserve">Publicada</t>
        </is>
      </c>
      <c r="D71" s="0" t="inlineStr">
        <is>
          <t xml:space="preserve">I MUNICIPALIDAD DE PENALOLEN</t>
        </is>
      </c>
      <c r="E71" s="0" t="inlineStr">
        <is>
          <t xml:space="preserve">I.MUNICIPALIDAD DE PEÑALOLEN</t>
        </is>
      </c>
      <c r="F71" s="0" t="inlineStr">
        <is>
          <t xml:space="preserve">Región Metropolitana de Santiago</t>
        </is>
      </c>
      <c r="G71" s="0" t="inlineStr">
        <is>
          <t xml:space="preserve">Peñalolén</t>
        </is>
      </c>
      <c r="H71" s="2">
        <v>46288.605347</v>
      </c>
      <c r="I71" s="2">
        <v>46321.645833</v>
      </c>
      <c r="J71" s="0">
        <v>14</v>
      </c>
      <c r="K71" s="3">
        <v>1910656000.0</v>
      </c>
      <c r="L71" s="0" t="inlineStr">
        <is>
          <t xml:space="preserve">CLP</t>
        </is>
      </c>
      <c r="M71" s="0" t="inlineStr">
        <is>
          <t xml:space="preserve">LR</t>
        </is>
      </c>
      <c r="N71" s="4" t="inlineStr">
        <is>
          <t xml:space="preserve">Servicios de construcción y mantenimiento / Servicios de atención, mantenimiento y reparaciones de edificios / Servicios eléctricos</t>
        </is>
      </c>
      <c r="O71" s="4" t="inlineStr">
        <is>
          <t xml:space="preserve">1 Global · Instalación de sistemas de seguridad</t>
        </is>
      </c>
      <c r="P71" s="2"/>
      <c r="Q71" s="2"/>
      <c r="R71" s="0" t="inlineStr">
        <is>
          <t xml:space="preserve">51 meses</t>
        </is>
      </c>
      <c r="S71" s="0" t="inlineStr">
        <is>
          <t xml:space="preserve">No</t>
        </is>
      </c>
      <c r="T71" s="4" t="inlineStr">
        <is>
          <t xml:space="preserve">Previa autorización de la inspección técnica, y siempre que no supere el 30% del precio total de la contratación.</t>
        </is>
      </c>
      <c r="U71" s="0" t="inlineStr">
        <is>
          <t xml:space="preserve">Matías Allende Contreras</t>
        </is>
      </c>
      <c r="V71"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71"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72">
      <c r="A72" s="0" t="inlineStr">
        <is>
          <t xml:space="preserve">634-92-LE26</t>
        </is>
      </c>
      <c r="B72" s="4" t="inlineStr">
        <is>
          <t xml:space="preserve">SISTEMA RADIOGRÁFICO ODONTOLÓGICO DIGITAL</t>
        </is>
      </c>
      <c r="C72" s="0" t="inlineStr">
        <is>
          <t xml:space="preserve">Publicada</t>
        </is>
      </c>
      <c r="D72" s="0" t="inlineStr">
        <is>
          <t xml:space="preserve">DIRECCION GENERAL DE GENDARMERIA DE CHIL</t>
        </is>
      </c>
      <c r="E72" s="0" t="inlineStr">
        <is>
          <t xml:space="preserve">Dirección Nacional</t>
        </is>
      </c>
      <c r="F72" s="0" t="inlineStr">
        <is>
          <t xml:space="preserve">Región Metropolitana de Santiago</t>
        </is>
      </c>
      <c r="G72" s="0" t="inlineStr">
        <is>
          <t xml:space="preserve">Santiago</t>
        </is>
      </c>
      <c r="H72" s="2">
        <v>46297.655498</v>
      </c>
      <c r="I72" s="2">
        <v>46321.645833</v>
      </c>
      <c r="J72" s="0">
        <v>14</v>
      </c>
      <c r="K72" s="3">
        <v>35009800.0</v>
      </c>
      <c r="L72" s="0" t="inlineStr">
        <is>
          <t xml:space="preserve">CLP</t>
        </is>
      </c>
      <c r="M72" s="0" t="inlineStr">
        <is>
          <t xml:space="preserve">LE</t>
        </is>
      </c>
      <c r="N72" s="4" t="inlineStr">
        <is>
          <t xml:space="preserve">Equipamiento y suministros médicos / Equipos y suministros odontológicos / Equipo y suministros para imágenes dentales</t>
        </is>
      </c>
      <c r="O72" s="4" t="inlineStr">
        <is>
          <t xml:space="preserve">1 Unidad · Unidades de Rayos X dentales</t>
        </is>
      </c>
      <c r="P72" s="2"/>
      <c r="Q72" s="2"/>
      <c r="R72" s="0"/>
      <c r="S72" s="0" t="inlineStr">
        <is>
          <t xml:space="preserve">No</t>
        </is>
      </c>
      <c r="T72" s="4"/>
      <c r="U72" s="0" t="inlineStr">
        <is>
          <t xml:space="preserve">José Silva Díaz</t>
        </is>
      </c>
      <c r="V72"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72"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73">
      <c r="A73" s="0" t="inlineStr">
        <is>
          <t xml:space="preserve">3755-6-LP26</t>
        </is>
      </c>
      <c r="B73" s="4" t="inlineStr">
        <is>
          <t xml:space="preserve">Serv datos de tránsito y tráfico de dispositivos</t>
        </is>
      </c>
      <c r="C73" s="0" t="inlineStr">
        <is>
          <t xml:space="preserve">Publicada</t>
        </is>
      </c>
      <c r="D73" s="0" t="inlineStr">
        <is>
          <t xml:space="preserve">SUBSECRETARIA DE TRANSPORTES</t>
        </is>
      </c>
      <c r="E73" s="0" t="inlineStr">
        <is>
          <t xml:space="preserve">Fiscalización y Control</t>
        </is>
      </c>
      <c r="F73" s="0" t="inlineStr">
        <is>
          <t xml:space="preserve">Región Metropolitana de Santiago</t>
        </is>
      </c>
      <c r="G73" s="0" t="inlineStr">
        <is>
          <t xml:space="preserve">Santiago</t>
        </is>
      </c>
      <c r="H73" s="2">
        <v>46301.501343</v>
      </c>
      <c r="I73" s="2">
        <v>46321.666667</v>
      </c>
      <c r="J73" s="0">
        <v>14</v>
      </c>
      <c r="K73" s="3"/>
      <c r="L73" s="0" t="inlineStr">
        <is>
          <t xml:space="preserve">CLP</t>
        </is>
      </c>
      <c r="M73" s="0" t="inlineStr">
        <is>
          <t xml:space="preserve">LP</t>
        </is>
      </c>
      <c r="N73" s="4" t="inlineStr">
        <is>
          <t xml:space="preserve">Tecnologías de la información, telecomunicaciones y radiodifusión / Software / Software de consultas y gestión de datos</t>
        </is>
      </c>
      <c r="O73" s="4" t="inlineStr">
        <is>
          <t xml:space="preserve">1 Global · Software de extracción de datos</t>
        </is>
      </c>
      <c r="P73" s="2"/>
      <c r="Q73" s="2"/>
      <c r="R73" s="0" t="inlineStr">
        <is>
          <t xml:space="preserve">12 meses</t>
        </is>
      </c>
      <c r="S73" s="0" t="inlineStr">
        <is>
          <t xml:space="preserve">No</t>
        </is>
      </c>
      <c r="T73" s="4"/>
      <c r="U73" s="0" t="inlineStr">
        <is>
          <t xml:space="preserve">CARLOS TORO ARAYA</t>
        </is>
      </c>
      <c r="V73"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73"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74">
      <c r="A74" s="0" t="inlineStr">
        <is>
          <t xml:space="preserve">799595-5-LP26</t>
        </is>
      </c>
      <c r="B74" s="4" t="inlineStr">
        <is>
          <t xml:space="preserve">Servicio de Cloud Computing MINDEP</t>
        </is>
      </c>
      <c r="C74" s="0" t="inlineStr">
        <is>
          <t xml:space="preserve">Publicada</t>
        </is>
      </c>
      <c r="D74" s="0" t="inlineStr">
        <is>
          <t xml:space="preserve">SUBSECRETARIA DEL DEPORTE</t>
        </is>
      </c>
      <c r="E74" s="0" t="inlineStr">
        <is>
          <t xml:space="preserve">Subsecretaría del Deporte</t>
        </is>
      </c>
      <c r="F74" s="0" t="inlineStr">
        <is>
          <t xml:space="preserve">Región Metropolitana de Santiago</t>
        </is>
      </c>
      <c r="G74" s="0" t="inlineStr">
        <is>
          <t xml:space="preserve">Providencia</t>
        </is>
      </c>
      <c r="H74" s="2">
        <v>46301.788206</v>
      </c>
      <c r="I74" s="2">
        <v>46321.708333</v>
      </c>
      <c r="J74" s="0">
        <v>14</v>
      </c>
      <c r="K74" s="3">
        <v>106618.0</v>
      </c>
      <c r="L74" s="0" t="inlineStr">
        <is>
          <t xml:space="preserve">USD</t>
        </is>
      </c>
      <c r="M74" s="0" t="inlineStr">
        <is>
          <t xml:space="preserve">LP</t>
        </is>
      </c>
      <c r="N74" s="4" t="inlineStr">
        <is>
          <t xml:space="preserve">Servicios basados en ingeniería, ciencias sociales y tecnología de la información / Servicios informáticos / Servicios de datos</t>
        </is>
      </c>
      <c r="O74" s="4" t="inlineStr">
        <is>
          <t xml:space="preserve">1 Unidad · Centro de servicios de datos</t>
        </is>
      </c>
      <c r="P74" s="2"/>
      <c r="Q74" s="2"/>
      <c r="R74" s="0" t="inlineStr">
        <is>
          <t xml:space="preserve">36 meses</t>
        </is>
      </c>
      <c r="S74" s="0" t="inlineStr">
        <is>
          <t xml:space="preserve">No</t>
        </is>
      </c>
      <c r="T74" s="4"/>
      <c r="U74" s="0" t="inlineStr">
        <is>
          <t xml:space="preserve">Ignacio Sáez</t>
        </is>
      </c>
      <c r="V74" s="4" t="inlineStr">
        <is>
          <t xml:space="preserve">Servicio de Cloud Computing y Servicios Asociados para la Subsecretaría del Deporte</t>
        </is>
      </c>
      <c r="W74"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75">
      <c r="A75" s="0" t="inlineStr">
        <is>
          <t xml:space="preserve">434-110-LP26</t>
        </is>
      </c>
      <c r="B75" s="4" t="inlineStr">
        <is>
          <t xml:space="preserve">SISTEMA DE GESTIÓN DOCUMENTAL SEGÚN LEY N°21.180</t>
        </is>
      </c>
      <c r="C75" s="0" t="inlineStr">
        <is>
          <t xml:space="preserve">Publicada</t>
        </is>
      </c>
      <c r="D75" s="0" t="inlineStr">
        <is>
          <t xml:space="preserve">I MUNICIPALIDAD DE CAUQUENES</t>
        </is>
      </c>
      <c r="E75" s="0" t="inlineStr">
        <is>
          <t xml:space="preserve">Adquisiciones</t>
        </is>
      </c>
      <c r="F75" s="0" t="inlineStr">
        <is>
          <t xml:space="preserve">Región del Maule </t>
        </is>
      </c>
      <c r="G75" s="0" t="inlineStr">
        <is>
          <t xml:space="preserve">Cauquenes</t>
        </is>
      </c>
      <c r="H75" s="2">
        <v>46302.681944</v>
      </c>
      <c r="I75" s="2">
        <v>46322.375</v>
      </c>
      <c r="J75" s="0">
        <v>15</v>
      </c>
      <c r="K75" s="3">
        <v>75000000.0</v>
      </c>
      <c r="L75" s="0" t="inlineStr">
        <is>
          <t xml:space="preserve">CLP</t>
        </is>
      </c>
      <c r="M75" s="0" t="inlineStr">
        <is>
          <t xml:space="preserve">LP</t>
        </is>
      </c>
      <c r="N75" s="4" t="inlineStr">
        <is>
          <t xml:space="preserve">Artículos para estructuras, obras y construcciones / Construcciones permanentes / Construcciones para educación e investigación</t>
        </is>
      </c>
      <c r="O75" s="4" t="inlineStr">
        <is>
          <t xml:space="preserve">1 Unidad · Servicios de investigación o medición · 1 Unidad · Servicios de investigación o medición</t>
        </is>
      </c>
      <c r="P75" s="2"/>
      <c r="Q75" s="2"/>
      <c r="R75" s="0" t="inlineStr">
        <is>
          <t xml:space="preserve">36 meses</t>
        </is>
      </c>
      <c r="S75" s="0" t="inlineStr">
        <is>
          <t xml:space="preserve">No</t>
        </is>
      </c>
      <c r="T75" s="4"/>
      <c r="U75" s="0" t="inlineStr">
        <is>
          <t xml:space="preserve">CHRISTIAN AGUILERA LETELIER</t>
        </is>
      </c>
      <c r="V75" s="4" t="inlineStr">
        <is>
          <t xml:space="preserve">TENER UN SISTEMA PARA ACOMPAÑAMIENTO EN LA IMPLEMENTACIÓN DE LA LEY DE TRANSFORMACIÓN DIGITAL DEL ESTADO.</t>
        </is>
      </c>
      <c r="W75"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76">
      <c r="A76" s="0" t="inlineStr">
        <is>
          <t xml:space="preserve">2308-90-LE26</t>
        </is>
      </c>
      <c r="B76" s="4" t="inlineStr">
        <is>
          <t xml:space="preserve">REPARACIÓN MODERNIZACIÓN PUESTA EN MARCHA Y CERTIFICACIÓN DEL ASCENSOR DEL EDIFICIO CONSISTORIAL OSORNO</t>
        </is>
      </c>
      <c r="C76" s="0" t="inlineStr">
        <is>
          <t xml:space="preserve">Publicada</t>
        </is>
      </c>
      <c r="D76" s="0" t="inlineStr">
        <is>
          <t xml:space="preserve">I MUNICIPALIDAD DE OSORNO</t>
        </is>
      </c>
      <c r="E76" s="0" t="inlineStr">
        <is>
          <t xml:space="preserve">SECRETARIA DE PLANIFICACION</t>
        </is>
      </c>
      <c r="F76" s="0" t="inlineStr">
        <is>
          <t xml:space="preserve">Región de los Lagos </t>
        </is>
      </c>
      <c r="G76" s="0" t="inlineStr">
        <is>
          <t xml:space="preserve">Osorno</t>
        </is>
      </c>
      <c r="H76" s="2">
        <v>46303.685648</v>
      </c>
      <c r="I76" s="2">
        <v>46322.416667</v>
      </c>
      <c r="J76" s="0">
        <v>15</v>
      </c>
      <c r="K76" s="3"/>
      <c r="L76" s="0" t="inlineStr">
        <is>
          <t xml:space="preserve">CLP</t>
        </is>
      </c>
      <c r="M76" s="0" t="inlineStr">
        <is>
          <t xml:space="preserve">LE</t>
        </is>
      </c>
      <c r="N76" s="4" t="inlineStr">
        <is>
          <t xml:space="preserve">Servicios de construcción y mantenimiento / Servicios de atención, mantenimiento y reparaciones de edificios / Servicios de apoyo para la construcción</t>
        </is>
      </c>
      <c r="O76" s="4" t="inlineStr">
        <is>
          <t xml:space="preserve">1 Unidad · Servicios de mantenimiento de ascensores</t>
        </is>
      </c>
      <c r="P76" s="2"/>
      <c r="Q76" s="2"/>
      <c r="R76" s="0"/>
      <c r="S76" s="0" t="inlineStr">
        <is>
          <t xml:space="preserve">No</t>
        </is>
      </c>
      <c r="T76" s="4"/>
      <c r="U76" s="0" t="inlineStr">
        <is>
          <t xml:space="preserve">I.MUNICIPALIDAD DE OSORNO</t>
        </is>
      </c>
      <c r="V76"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76"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77">
      <c r="A77" s="0" t="inlineStr">
        <is>
          <t xml:space="preserve">622-64-L126</t>
        </is>
      </c>
      <c r="B77" s="4" t="inlineStr">
        <is>
          <t xml:space="preserve">CONTRATACIÓN DEL CURSO INTELIGENCIA ARTIFICIAL APLICADA A LA GESTIÓN GREMIAL Y LA FUNCIÓN PÚBLICA</t>
        </is>
      </c>
      <c r="C77" s="0" t="inlineStr">
        <is>
          <t xml:space="preserve">Publicada</t>
        </is>
      </c>
      <c r="D77" s="0" t="inlineStr">
        <is>
          <t xml:space="preserve">TESORERIA GENERAL DE LA REPUBLICA</t>
        </is>
      </c>
      <c r="E77" s="0" t="inlineStr">
        <is>
          <t xml:space="preserve">Tesorería General de la República</t>
        </is>
      </c>
      <c r="F77" s="0" t="inlineStr">
        <is>
          <t xml:space="preserve">Región Metropolitana de Santiago</t>
        </is>
      </c>
      <c r="G77" s="0" t="inlineStr">
        <is>
          <t xml:space="preserve">Ñuñoa</t>
        </is>
      </c>
      <c r="H77" s="2">
        <v>46304.640752</v>
      </c>
      <c r="I77" s="2">
        <v>46322.625</v>
      </c>
      <c r="J77" s="0">
        <v>15</v>
      </c>
      <c r="K77" s="3">
        <v>5000000.0</v>
      </c>
      <c r="L77" s="0" t="inlineStr">
        <is>
          <t xml:space="preserve">CLP</t>
        </is>
      </c>
      <c r="M77" s="0" t="inlineStr">
        <is>
          <t xml:space="preserve">L1</t>
        </is>
      </c>
      <c r="N77" s="4" t="inlineStr">
        <is>
          <t xml:space="preserve">Educación, formación, entrenamiento y capacitación / Sistemas educativos complementarios / Educación de adultos</t>
        </is>
      </c>
      <c r="O77" s="4" t="inlineStr">
        <is>
          <t xml:space="preserve">1 Unidad · Capacitación a empleados</t>
        </is>
      </c>
      <c r="P77" s="2"/>
      <c r="Q77" s="2"/>
      <c r="R77" s="0"/>
      <c r="S77" s="0" t="inlineStr">
        <is>
          <t xml:space="preserve">No</t>
        </is>
      </c>
      <c r="T77" s="4"/>
      <c r="U77" s="0"/>
      <c r="V77"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77"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78">
      <c r="A78" s="0" t="inlineStr">
        <is>
          <t xml:space="preserve">5360-5-LP26</t>
        </is>
      </c>
      <c r="B78" s="4" t="inlineStr">
        <is>
          <t xml:space="preserve">SERVICIOS DE ELECTRICIDAD Y DATOS UTA - ARICA</t>
        </is>
      </c>
      <c r="C78" s="0" t="inlineStr">
        <is>
          <t xml:space="preserve">Publicada</t>
        </is>
      </c>
      <c r="D78" s="0" t="inlineStr">
        <is>
          <t xml:space="preserve">UNIVERSIDAD DE TARAPACA</t>
        </is>
      </c>
      <c r="E78" s="0" t="inlineStr">
        <is>
          <t xml:space="preserve">DIRECCIÓN DE SERVICIOS Y  LOGÍSTICA</t>
        </is>
      </c>
      <c r="F78" s="0" t="inlineStr">
        <is>
          <t xml:space="preserve">Región de Arica y Parinacota</t>
        </is>
      </c>
      <c r="G78" s="0" t="inlineStr">
        <is>
          <t xml:space="preserve">Arica</t>
        </is>
      </c>
      <c r="H78" s="2">
        <v>46302.721933</v>
      </c>
      <c r="I78" s="2">
        <v>46322.666667</v>
      </c>
      <c r="J78" s="0">
        <v>15</v>
      </c>
      <c r="K78" s="3"/>
      <c r="L78" s="0" t="inlineStr">
        <is>
          <t xml:space="preserve">CLP</t>
        </is>
      </c>
      <c r="M78" s="0" t="inlineStr">
        <is>
          <t xml:space="preserve">LP</t>
        </is>
      </c>
      <c r="N78" s="4" t="inlineStr">
        <is>
          <t xml:space="preserve">Servicios de construcción y mantenimiento / Servicios de atención, mantenimiento y reparaciones de edificios / Servicios eléctricos</t>
        </is>
      </c>
      <c r="O78" s="4" t="inlineStr">
        <is>
          <t xml:space="preserve">1 Unidad · Instalación o servicio de sistemas de energía eléctrica</t>
        </is>
      </c>
      <c r="P78" s="2"/>
      <c r="Q78" s="2"/>
      <c r="R78" s="0" t="inlineStr">
        <is>
          <t xml:space="preserve">24 meses</t>
        </is>
      </c>
      <c r="S78" s="0" t="inlineStr">
        <is>
          <t xml:space="preserve">No</t>
        </is>
      </c>
      <c r="T78" s="4" t="inlineStr">
        <is>
          <t xml:space="preserve">No permite subcontratación. De acuerdo al Capítulo VIII Contrato de suministro
y servicio, párrafo 4 Cesión y subcontratación, Artículo 128 reglamento.
Subcontratación del reglamento de Ley Nº 19.886 sobre compras Públicas.</t>
        </is>
      </c>
      <c r="U78" s="0" t="inlineStr">
        <is>
          <t xml:space="preserve">Armando Villalobos</t>
        </is>
      </c>
      <c r="V78"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78"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79">
      <c r="A79" s="0" t="inlineStr">
        <is>
          <t xml:space="preserve">2981-287-LP26</t>
        </is>
      </c>
      <c r="B79" s="4" t="inlineStr">
        <is>
          <t xml:space="preserve">CIBERSEGURIDAD- CONSULTORIA</t>
        </is>
      </c>
      <c r="C79" s="0" t="inlineStr">
        <is>
          <t xml:space="preserve">Publicada</t>
        </is>
      </c>
      <c r="D79" s="0" t="inlineStr">
        <is>
          <t xml:space="preserve">POLICIA DE INVESTIGACIONES DE CHILE</t>
        </is>
      </c>
      <c r="E79" s="0" t="inlineStr">
        <is>
          <t xml:space="preserve">DEPARTAMENTO ADMINISTRATIVO</t>
        </is>
      </c>
      <c r="F79" s="0" t="inlineStr">
        <is>
          <t xml:space="preserve">Región Metropolitana de Santiago</t>
        </is>
      </c>
      <c r="G79" s="0" t="inlineStr">
        <is>
          <t xml:space="preserve">Santiago Centro</t>
        </is>
      </c>
      <c r="H79" s="2">
        <v>46303.658333</v>
      </c>
      <c r="I79" s="2">
        <v>46323.625</v>
      </c>
      <c r="J79" s="0">
        <v>16</v>
      </c>
      <c r="K79" s="3">
        <v>80000000.0</v>
      </c>
      <c r="L79" s="0" t="inlineStr">
        <is>
          <t xml:space="preserve">CLP</t>
        </is>
      </c>
      <c r="M79" s="0" t="inlineStr">
        <is>
          <t xml:space="preserve">LP</t>
        </is>
      </c>
      <c r="N79" s="4" t="inlineStr">
        <is>
          <t xml:space="preserve">Servicios profesionales, administrativos y consultorías de gestión empresarial / Consultorías o asesorías en gestión empresarial / Servicios de consultoría en gestión de empresas</t>
        </is>
      </c>
      <c r="O79" s="4" t="inlineStr">
        <is>
          <t xml:space="preserve">1 Unidad · Asesorías en gestión estratégica</t>
        </is>
      </c>
      <c r="P79" s="2"/>
      <c r="Q79" s="2"/>
      <c r="R79" s="0" t="inlineStr">
        <is>
          <t xml:space="preserve">12 meses</t>
        </is>
      </c>
      <c r="S79" s="0" t="inlineStr">
        <is>
          <t xml:space="preserve">No</t>
        </is>
      </c>
      <c r="T79" s="4" t="inlineStr">
        <is>
          <t xml:space="preserve">No permite subcontratacion, Art 53 de las bases</t>
        </is>
      </c>
      <c r="U79" s="0" t="inlineStr">
        <is>
          <t xml:space="preserve">CRISTOPHER SILVA GUZMAN</t>
        </is>
      </c>
      <c r="V79" s="4" t="inlineStr">
        <is>
          <t xml:space="preserve">SE REQUIERE CONTRATAR LOS SERVICIOS DE CONSULTORIA SEGUN BASES ADMINISTRATIVAS, TECNICAS Y ANEXOS ADJUNTOS.</t>
        </is>
      </c>
      <c r="W79"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80">
      <c r="A80" s="0" t="inlineStr">
        <is>
          <t xml:space="preserve">622-66-LE26</t>
        </is>
      </c>
      <c r="B80" s="4" t="inlineStr">
        <is>
          <t xml:space="preserve">ADQUISICIÓN DE LICENCIAS PARA SOFTWARE DLP</t>
        </is>
      </c>
      <c r="C80" s="0" t="inlineStr">
        <is>
          <t xml:space="preserve">Publicada</t>
        </is>
      </c>
      <c r="D80" s="0" t="inlineStr">
        <is>
          <t xml:space="preserve">TESORERIA GENERAL DE LA REPUBLICA</t>
        </is>
      </c>
      <c r="E80" s="0" t="inlineStr">
        <is>
          <t xml:space="preserve">Tesorería General de la República</t>
        </is>
      </c>
      <c r="F80" s="0" t="inlineStr">
        <is>
          <t xml:space="preserve">Región Metropolitana de Santiago</t>
        </is>
      </c>
      <c r="G80" s="0" t="inlineStr">
        <is>
          <t xml:space="preserve">Santiago</t>
        </is>
      </c>
      <c r="H80" s="2">
        <v>46303.43956</v>
      </c>
      <c r="I80" s="2">
        <v>46323.625</v>
      </c>
      <c r="J80" s="0">
        <v>16</v>
      </c>
      <c r="K80" s="3">
        <v>69700000.0</v>
      </c>
      <c r="L80" s="0" t="inlineStr">
        <is>
          <t xml:space="preserve">CLP</t>
        </is>
      </c>
      <c r="M80" s="0" t="inlineStr">
        <is>
          <t xml:space="preserve">LE</t>
        </is>
      </c>
      <c r="N80" s="4" t="inlineStr">
        <is>
          <t xml:space="preserve">Tecnologías de la información, telecomunicaciones y radiodifusión / Software / Software de gestión</t>
        </is>
      </c>
      <c r="O80" s="4" t="inlineStr">
        <is>
          <t xml:space="preserve">1 Unidad · Software de gestión de licencias</t>
        </is>
      </c>
      <c r="P80" s="2"/>
      <c r="Q80" s="2"/>
      <c r="R80" s="0" t="inlineStr">
        <is>
          <t xml:space="preserve">24 meses</t>
        </is>
      </c>
      <c r="S80" s="0" t="inlineStr">
        <is>
          <t xml:space="preserve">No</t>
        </is>
      </c>
      <c r="T80"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80" s="0" t="inlineStr">
        <is>
          <t xml:space="preserve">Será indicado en el contrato a suscribir.</t>
        </is>
      </c>
      <c r="V80"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80"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81">
      <c r="A81" s="0" t="inlineStr">
        <is>
          <t xml:space="preserve">1057049-376-LP26</t>
        </is>
      </c>
      <c r="B81" s="4" t="inlineStr">
        <is>
          <t xml:space="preserve">PROV E INSTALACIÓN DE PLATAFORMAS DE SEGURIDAD PARA SHAFTS DEL HOSPITAL CLÍNICO SAN BORJA ARRIARÁN</t>
        </is>
      </c>
      <c r="C81" s="0" t="inlineStr">
        <is>
          <t xml:space="preserve">Publicada</t>
        </is>
      </c>
      <c r="D81" s="0" t="inlineStr">
        <is>
          <t xml:space="preserve">SERV SALUD METROPOLITANO CENTRAL HOSPITAL CLINICO SAN BORJA ARRIARAN</t>
        </is>
      </c>
      <c r="E81" s="0" t="inlineStr">
        <is>
          <t xml:space="preserve">Bienes y Servicios</t>
        </is>
      </c>
      <c r="F81" s="0" t="inlineStr">
        <is>
          <t xml:space="preserve">Región Metropolitana de Santiago</t>
        </is>
      </c>
      <c r="G81" s="0" t="inlineStr">
        <is>
          <t xml:space="preserve">Santiago</t>
        </is>
      </c>
      <c r="H81" s="2">
        <v>46303.592002</v>
      </c>
      <c r="I81" s="2">
        <v>46323.645833</v>
      </c>
      <c r="J81" s="0">
        <v>16</v>
      </c>
      <c r="K81" s="3"/>
      <c r="L81" s="0" t="inlineStr">
        <is>
          <t xml:space="preserve">CLP</t>
        </is>
      </c>
      <c r="M81" s="0" t="inlineStr">
        <is>
          <t xml:space="preserve">LP</t>
        </is>
      </c>
      <c r="N81" s="4" t="inlineStr">
        <is>
          <t xml:space="preserve">Maquinaria para construcción y edificación / Maquinaria pesada de construcción / Elevadores</t>
        </is>
      </c>
      <c r="O81" s="4" t="inlineStr">
        <is>
          <t xml:space="preserve">1 Global · Plataforma elevadora</t>
        </is>
      </c>
      <c r="P81" s="2"/>
      <c r="Q81" s="2"/>
      <c r="R81" s="0"/>
      <c r="S81" s="0" t="inlineStr">
        <is>
          <t xml:space="preserve">No</t>
        </is>
      </c>
      <c r="T81" s="4"/>
      <c r="U81" s="0" t="inlineStr">
        <is>
          <t xml:space="preserve">Andres Muñoz</t>
        </is>
      </c>
      <c r="V81"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81"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82">
      <c r="A82" s="0" t="inlineStr">
        <is>
          <t xml:space="preserve">1005498-24-LP26</t>
        </is>
      </c>
      <c r="B82" s="4" t="inlineStr">
        <is>
          <t xml:space="preserve">SUSCRIPCIÓN DE LICENCIAS EN MODALIDAD CLOUD</t>
        </is>
      </c>
      <c r="C82" s="0" t="inlineStr">
        <is>
          <t xml:space="preserve">Publicada</t>
        </is>
      </c>
      <c r="D82" s="0" t="inlineStr">
        <is>
          <t xml:space="preserve">COMISION PARA EL MERCADO FINANCIERO</t>
        </is>
      </c>
      <c r="E82" s="0" t="inlineStr">
        <is>
          <t xml:space="preserve">COMISION PARA EL MERCADO FINANCIERO</t>
        </is>
      </c>
      <c r="F82" s="0" t="inlineStr">
        <is>
          <t xml:space="preserve">Región Metropolitana de Santiago</t>
        </is>
      </c>
      <c r="G82" s="0" t="inlineStr">
        <is>
          <t xml:space="preserve">Santiago Centro</t>
        </is>
      </c>
      <c r="H82" s="2">
        <v>46303.688009</v>
      </c>
      <c r="I82" s="2">
        <v>46323.666667</v>
      </c>
      <c r="J82" s="0">
        <v>16</v>
      </c>
      <c r="K82" s="3">
        <v>196000.0</v>
      </c>
      <c r="L82" s="0" t="inlineStr">
        <is>
          <t xml:space="preserve">USD</t>
        </is>
      </c>
      <c r="M82" s="0" t="inlineStr">
        <is>
          <t xml:space="preserve">LP</t>
        </is>
      </c>
      <c r="N82" s="4" t="inlineStr">
        <is>
          <t xml:space="preserve">Servicios basados en ingeniería, ciencias sociales y tecnología de la información / Servicios informáticos / Mantenimiento y soporte de software</t>
        </is>
      </c>
      <c r="O82" s="4" t="inlineStr">
        <is>
          <t xml:space="preserve">1 Global · Up grade de software</t>
        </is>
      </c>
      <c r="P82" s="2"/>
      <c r="Q82" s="2"/>
      <c r="R82" s="0" t="inlineStr">
        <is>
          <t xml:space="preserve">36 meses</t>
        </is>
      </c>
      <c r="S82" s="0" t="inlineStr">
        <is>
          <t xml:space="preserve">No</t>
        </is>
      </c>
      <c r="T82" s="4" t="inlineStr">
        <is>
          <t xml:space="preserve">No se permite según Art.13.2.2 de Bases de licitación</t>
        </is>
      </c>
      <c r="U82" s="0" t="inlineStr">
        <is>
          <t xml:space="preserve">CHRISTIAN METCALFE</t>
        </is>
      </c>
      <c r="V82"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82"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83">
      <c r="A83" s="0" t="inlineStr">
        <is>
          <t xml:space="preserve">5512-18-LE26</t>
        </is>
      </c>
      <c r="B83" s="4" t="inlineStr">
        <is>
          <t xml:space="preserve">ADQUISICIÓN DE MINICOMPUTADORES PARA IA PROYECTO UTA 22991</t>
        </is>
      </c>
      <c r="C83" s="0" t="inlineStr">
        <is>
          <t xml:space="preserve">Publicada</t>
        </is>
      </c>
      <c r="D83" s="0" t="inlineStr">
        <is>
          <t xml:space="preserve">UNIVERSIDAD DE TARAPACA</t>
        </is>
      </c>
      <c r="E83" s="0" t="inlineStr">
        <is>
          <t xml:space="preserve">Convenio de Desempeño</t>
        </is>
      </c>
      <c r="F83" s="0" t="inlineStr">
        <is>
          <t xml:space="preserve">Región de Arica y Parinacota</t>
        </is>
      </c>
      <c r="G83" s="0" t="inlineStr">
        <is>
          <t xml:space="preserve">Iquique</t>
        </is>
      </c>
      <c r="H83" s="2">
        <v>46304.456655</v>
      </c>
      <c r="I83" s="2">
        <v>46323.666667</v>
      </c>
      <c r="J83" s="0">
        <v>16</v>
      </c>
      <c r="K83" s="3">
        <v>30000000.0</v>
      </c>
      <c r="L83" s="0" t="inlineStr">
        <is>
          <t xml:space="preserve">CLP</t>
        </is>
      </c>
      <c r="M83" s="0" t="inlineStr">
        <is>
          <t xml:space="preserve">LE</t>
        </is>
      </c>
      <c r="N83" s="4" t="inlineStr">
        <is>
          <t xml:space="preserve">Tecnologías de la información, telecomunicaciones y radiodifusión / Equipos informáticos y accesorios / Computadores</t>
        </is>
      </c>
      <c r="O83" s="4" t="inlineStr">
        <is>
          <t xml:space="preserve">3 Unidad · Computadores de escritorio</t>
        </is>
      </c>
      <c r="P83" s="2"/>
      <c r="Q83" s="2"/>
      <c r="R83" s="0"/>
      <c r="S83" s="0" t="inlineStr">
        <is>
          <t xml:space="preserve">No</t>
        </is>
      </c>
      <c r="T83" s="4" t="inlineStr">
        <is>
          <t xml:space="preserve">No permite subcontratación De acuerdo al Capítulo IX Contrato de suministro y servicio, párrafo 4 Cesión y subcontratación, Artículo 128. Subcontratación del reglamento de Ley Nº 19.886 sobre compras Públicas.</t>
        </is>
      </c>
      <c r="U83" s="0" t="inlineStr">
        <is>
          <t xml:space="preserve">Jefe de Proyecto, UTA 22991</t>
        </is>
      </c>
      <c r="V83"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83"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84">
      <c r="A84" s="0" t="inlineStr">
        <is>
          <t xml:space="preserve">1067778-4-LP26</t>
        </is>
      </c>
      <c r="B84" s="4" t="inlineStr">
        <is>
          <t xml:space="preserve">ARRIENDO CON OPCION DE COMPRA  DE SERVIDOR PARA IA</t>
        </is>
      </c>
      <c r="C84" s="0" t="inlineStr">
        <is>
          <t xml:space="preserve">Publicada</t>
        </is>
      </c>
      <c r="D84" s="0" t="inlineStr">
        <is>
          <t xml:space="preserve">FISCALIA NACIONAL ECONOMICA</t>
        </is>
      </c>
      <c r="E84" s="0" t="inlineStr">
        <is>
          <t xml:space="preserve">Tecnologías de Información</t>
        </is>
      </c>
      <c r="F84" s="0" t="inlineStr">
        <is>
          <t xml:space="preserve">Región Metropolitana de Santiago</t>
        </is>
      </c>
      <c r="G84" s="0" t="inlineStr">
        <is>
          <t xml:space="preserve">Santiago Centro</t>
        </is>
      </c>
      <c r="H84" s="2">
        <v>46302.538113</v>
      </c>
      <c r="I84" s="2">
        <v>46324.625</v>
      </c>
      <c r="J84" s="0">
        <v>17</v>
      </c>
      <c r="K84" s="3">
        <v>75203.0</v>
      </c>
      <c r="L84" s="0" t="inlineStr">
        <is>
          <t xml:space="preserve">USD</t>
        </is>
      </c>
      <c r="M84" s="0" t="inlineStr">
        <is>
          <t xml:space="preserve">LP</t>
        </is>
      </c>
      <c r="N84" s="4" t="inlineStr">
        <is>
          <t xml:space="preserve">Tecnologías de la información, telecomunicaciones y radiodifusión / Equipos informáticos y accesorios / Computadores</t>
        </is>
      </c>
      <c r="O84" s="4" t="inlineStr">
        <is>
          <t xml:space="preserve">60 Mes · Servidores</t>
        </is>
      </c>
      <c r="P84" s="2"/>
      <c r="Q84" s="2"/>
      <c r="R84" s="0" t="inlineStr">
        <is>
          <t xml:space="preserve">60 meses</t>
        </is>
      </c>
      <c r="S84" s="0" t="inlineStr">
        <is>
          <t xml:space="preserve">No</t>
        </is>
      </c>
      <c r="T84"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84" s="0" t="inlineStr">
        <is>
          <t xml:space="preserve">Cristian Mella Cisterna</t>
        </is>
      </c>
      <c r="V84" s="4" t="inlineStr">
        <is>
          <t xml:space="preserve">Contar con una infraestructura tecnológica robusta, segura y escalable que permita alojar y soportar los desarrollos tecnológicos actuales y futuros de la Fiscalía Nacional Económica.</t>
        </is>
      </c>
      <c r="W84"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85">
      <c r="A85" s="0" t="inlineStr">
        <is>
          <t xml:space="preserve">2656-77-LP26</t>
        </is>
      </c>
      <c r="B85" s="4" t="inlineStr">
        <is>
          <t xml:space="preserve">ARRIENDO SISTEMAS MUNICIPALES Y CLOUD COMPUTING</t>
        </is>
      </c>
      <c r="C85" s="0" t="inlineStr">
        <is>
          <t xml:space="preserve">Publicada</t>
        </is>
      </c>
      <c r="D85" s="0" t="inlineStr">
        <is>
          <t xml:space="preserve">I MUNICIPALIDAD DE TOME</t>
        </is>
      </c>
      <c r="E85" s="0" t="inlineStr">
        <is>
          <t xml:space="preserve">Dirección de Administración y Finanzas</t>
        </is>
      </c>
      <c r="F85" s="0" t="inlineStr">
        <is>
          <t xml:space="preserve">Región del Biobío </t>
        </is>
      </c>
      <c r="G85" s="0" t="inlineStr">
        <is>
          <t xml:space="preserve">Tomé</t>
        </is>
      </c>
      <c r="H85" s="2">
        <v>46304.85662</v>
      </c>
      <c r="I85" s="2">
        <v>46324.625694</v>
      </c>
      <c r="J85" s="0">
        <v>17</v>
      </c>
      <c r="K85" s="3">
        <v>3907.0</v>
      </c>
      <c r="L85" s="0" t="inlineStr">
        <is>
          <t xml:space="preserve">CLF</t>
        </is>
      </c>
      <c r="M85" s="0" t="inlineStr">
        <is>
          <t xml:space="preserve">LP</t>
        </is>
      </c>
      <c r="N85" s="4" t="inlineStr">
        <is>
          <t xml:space="preserve">Tecnologías de la información, telecomunicaciones y radiodifusión / Software / Software de entorno operativo</t>
        </is>
      </c>
      <c r="O85" s="4" t="inlineStr">
        <is>
          <t xml:space="preserve">1 Pack · Software de sistema de archivos</t>
        </is>
      </c>
      <c r="P85" s="2"/>
      <c r="Q85" s="2"/>
      <c r="R85" s="0"/>
      <c r="S85" s="0" t="inlineStr">
        <is>
          <t xml:space="preserve">No</t>
        </is>
      </c>
      <c r="T85" s="4"/>
      <c r="U85" s="0" t="inlineStr">
        <is>
          <t xml:space="preserve">patricio parra</t>
        </is>
      </c>
      <c r="V85"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85"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86">
      <c r="A86" s="0" t="inlineStr">
        <is>
          <t xml:space="preserve">976-18-O126</t>
        </is>
      </c>
      <c r="B86" s="4" t="inlineStr">
        <is>
          <t xml:space="preserve">ATIF Ampliación Plataformas Comercial y General Ad. El Loa</t>
        </is>
      </c>
      <c r="C86" s="0" t="inlineStr">
        <is>
          <t xml:space="preserve">Publicada</t>
        </is>
      </c>
      <c r="D86" s="0" t="inlineStr">
        <is>
          <t xml:space="preserve">MINISTERIO DE OBRAS PUBLICAS DIREC CION GRAL DE OO PP DCYF</t>
        </is>
      </c>
      <c r="E86" s="0" t="inlineStr">
        <is>
          <t xml:space="preserve">Dirección de Aeropuertos - MOPTT</t>
        </is>
      </c>
      <c r="F86" s="0" t="inlineStr">
        <is>
          <t xml:space="preserve">Región de Antofagasta </t>
        </is>
      </c>
      <c r="G86" s="0" t="inlineStr">
        <is>
          <t xml:space="preserve">Santiago</t>
        </is>
      </c>
      <c r="H86" s="2">
        <v>46290.38125</v>
      </c>
      <c r="I86" s="2">
        <v>46325.375</v>
      </c>
      <c r="J86" s="0">
        <v>18</v>
      </c>
      <c r="K86" s="3"/>
      <c r="L86" s="0" t="inlineStr">
        <is>
          <t xml:space="preserve">CLP</t>
        </is>
      </c>
      <c r="M86" s="0" t="inlineStr">
        <is>
          <t xml:space="preserve">O1</t>
        </is>
      </c>
      <c r="N86" s="4" t="inlineStr">
        <is>
          <t xml:space="preserve">Consultoria / Consultoria / Planificación y Factibilidad</t>
        </is>
      </c>
      <c r="O86" s="4" t="inlineStr">
        <is>
          <t xml:space="preserve">1 Unidad · Licitación Pública de Consultoria</t>
        </is>
      </c>
      <c r="P86" s="2"/>
      <c r="Q86" s="2"/>
      <c r="R86" s="0"/>
      <c r="S86" s="0" t="inlineStr">
        <is>
          <t xml:space="preserve">No</t>
        </is>
      </c>
      <c r="T86" s="4"/>
      <c r="U86" s="0"/>
      <c r="V86" s="4" t="inlineStr">
        <is>
          <t xml:space="preserve">ESTA DIRECCIÓN NECESITA CONTRATAR ASESORÍA TECNICA DE INSPECCIÓN FISCAL PARA EL CONTRATO DE OBRA AMPLICACION PLATAFORMAS COMERCIAL Y GENERAL AERÓDROMO EL LOA</t>
        </is>
      </c>
      <c r="W86"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87">
      <c r="A87" s="0" t="inlineStr">
        <is>
          <t xml:space="preserve">976-15-O126</t>
        </is>
      </c>
      <c r="B87" s="4" t="inlineStr">
        <is>
          <t xml:space="preserve">Ampliación Plataformas Comercial y General Ad. El Loa</t>
        </is>
      </c>
      <c r="C87" s="0" t="inlineStr">
        <is>
          <t xml:space="preserve">Publicada</t>
        </is>
      </c>
      <c r="D87" s="0" t="inlineStr">
        <is>
          <t xml:space="preserve">MINISTERIO DE OBRAS PUBLICAS DIREC CION GRAL DE OO PP DCYF</t>
        </is>
      </c>
      <c r="E87" s="0" t="inlineStr">
        <is>
          <t xml:space="preserve">Dirección de Aeropuertos - MOPTT</t>
        </is>
      </c>
      <c r="F87" s="0" t="inlineStr">
        <is>
          <t xml:space="preserve">Región de Antofagasta </t>
        </is>
      </c>
      <c r="G87" s="0" t="inlineStr">
        <is>
          <t xml:space="preserve">Santiago</t>
        </is>
      </c>
      <c r="H87" s="2">
        <v>46265.341667</v>
      </c>
      <c r="I87" s="2">
        <v>46325.458333</v>
      </c>
      <c r="J87" s="0">
        <v>18</v>
      </c>
      <c r="K87" s="3"/>
      <c r="L87" s="0" t="inlineStr">
        <is>
          <t xml:space="preserve">CLP</t>
        </is>
      </c>
      <c r="M87" s="0" t="inlineStr">
        <is>
          <t xml:space="preserve">O1</t>
        </is>
      </c>
      <c r="N87" s="4" t="inlineStr">
        <is>
          <t xml:space="preserve">Consultoria / Consultoria / Planificación y Factibilidad</t>
        </is>
      </c>
      <c r="O87" s="4" t="inlineStr">
        <is>
          <t xml:space="preserve">1 Unidad · Licitación Pública de Obra</t>
        </is>
      </c>
      <c r="P87" s="2"/>
      <c r="Q87" s="2"/>
      <c r="R87" s="0"/>
      <c r="S87" s="0" t="inlineStr">
        <is>
          <t xml:space="preserve">No</t>
        </is>
      </c>
      <c r="T87" s="4"/>
      <c r="U87" s="0"/>
      <c r="V87" s="4" t="inlineStr">
        <is>
          <t xml:space="preserve">Esta Dirección necesita llamar a licitación para contratar la obra Ampliación Plataformas Comercial y General Aeródromo El Loa.</t>
        </is>
      </c>
      <c r="W87"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88">
      <c r="A88" s="0" t="inlineStr">
        <is>
          <t xml:space="preserve">2490-91-LP26</t>
        </is>
      </c>
      <c r="B88" s="4" t="inlineStr">
        <is>
          <t xml:space="preserve">ARRIENDO SOPORTE Y MANTENCIÓN DE GABINETES PSICOSENSOMÉTRICOS Y EQUIPOS COMPUTACIONALES CON SOFTWARE SPI INTEGRADO 2027-2031</t>
        </is>
      </c>
      <c r="C88" s="0" t="inlineStr">
        <is>
          <t xml:space="preserve">Publicada</t>
        </is>
      </c>
      <c r="D88" s="0" t="inlineStr">
        <is>
          <t xml:space="preserve">I MUNICIPALIDAD DE PROVIDENCIA</t>
        </is>
      </c>
      <c r="E88" s="0" t="inlineStr">
        <is>
          <t xml:space="preserve">Dirección de Secpla</t>
        </is>
      </c>
      <c r="F88" s="0" t="inlineStr">
        <is>
          <t xml:space="preserve">Región Metropolitana de Santiago</t>
        </is>
      </c>
      <c r="G88" s="0" t="inlineStr">
        <is>
          <t xml:space="preserve">Providencia</t>
        </is>
      </c>
      <c r="H88" s="2">
        <v>46296.700741</v>
      </c>
      <c r="I88" s="2">
        <v>46325.541667</v>
      </c>
      <c r="J88" s="0">
        <v>18</v>
      </c>
      <c r="K88" s="3">
        <v>190000000.0</v>
      </c>
      <c r="L88" s="0" t="inlineStr">
        <is>
          <t xml:space="preserve">CLP</t>
        </is>
      </c>
      <c r="M88" s="0" t="inlineStr">
        <is>
          <t xml:space="preserve">LP</t>
        </is>
      </c>
      <c r="N88" s="4" t="inlineStr">
        <is>
          <t xml:space="preserve">Equipos y suministros de defensa, orden público, protección y seguridad / Seguridad y control público / Control de tráfico</t>
        </is>
      </c>
      <c r="O88" s="4" t="inlineStr">
        <is>
          <t xml:space="preserve">1 Global · Señales de tránsito</t>
        </is>
      </c>
      <c r="P88" s="2"/>
      <c r="Q88" s="2"/>
      <c r="R88" s="0" t="inlineStr">
        <is>
          <t xml:space="preserve">48 meses</t>
        </is>
      </c>
      <c r="S88" s="0" t="inlineStr">
        <is>
          <t xml:space="preserve">No</t>
        </is>
      </c>
      <c r="T88" s="4"/>
      <c r="U88" s="0" t="inlineStr">
        <is>
          <t xml:space="preserve">Luis Barrientos Echavarría</t>
        </is>
      </c>
      <c r="V88"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88"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89">
      <c r="A89" s="0" t="inlineStr">
        <is>
          <t xml:space="preserve">2982-48-LE26</t>
        </is>
      </c>
      <c r="B89" s="4" t="inlineStr">
        <is>
          <t xml:space="preserve">SERVICIO DE RENOVACIÓN Y ADQUISICIÓN DE LICENCIAS SOFTWARE DETEP - JENAED</t>
        </is>
      </c>
      <c r="C89" s="0" t="inlineStr">
        <is>
          <t xml:space="preserve">Publicada</t>
        </is>
      </c>
      <c r="D89" s="0" t="inlineStr">
        <is>
          <t xml:space="preserve">POLICIA DE INVESTIGACIONES DE CHILE</t>
        </is>
      </c>
      <c r="E89" s="0" t="inlineStr">
        <is>
          <t xml:space="preserve">JEFATURA NACIONAL DE EDUCACIÓN Y DOCTRINA (JENAED)</t>
        </is>
      </c>
      <c r="F89" s="0" t="inlineStr">
        <is>
          <t xml:space="preserve">Región Metropolitana de Santiago</t>
        </is>
      </c>
      <c r="G89" s="0" t="inlineStr">
        <is>
          <t xml:space="preserve">Estación Central</t>
        </is>
      </c>
      <c r="H89" s="2">
        <v>46303.729861</v>
      </c>
      <c r="I89" s="2">
        <v>46325.625</v>
      </c>
      <c r="J89" s="0">
        <v>18</v>
      </c>
      <c r="K89" s="3">
        <v>18063000.0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1 Kit · Software de gestión de licencias</t>
        </is>
      </c>
      <c r="P89" s="2"/>
      <c r="Q89" s="2"/>
      <c r="R89" s="0"/>
      <c r="S89" s="0" t="inlineStr">
        <is>
          <t xml:space="preserve">No</t>
        </is>
      </c>
      <c r="T89" s="4" t="inlineStr">
        <is>
          <t xml:space="preserve">Subcontratación permitida solo en servicios accesorios y despacho.</t>
        </is>
      </c>
      <c r="U89" s="0" t="inlineStr">
        <is>
          <t xml:space="preserve">LUIS ROJAS CASTRO</t>
        </is>
      </c>
      <c r="V89"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89"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90">
      <c r="A90" s="0" t="inlineStr">
        <is>
          <t xml:space="preserve">5441-12-LP26</t>
        </is>
      </c>
      <c r="B90" s="4" t="inlineStr">
        <is>
          <t xml:space="preserve">Generador 500 kVA y Tablero de Transf. Autom. 800A</t>
        </is>
      </c>
      <c r="C90" s="0" t="inlineStr">
        <is>
          <t xml:space="preserve">Publicada</t>
        </is>
      </c>
      <c r="D90" s="0" t="inlineStr">
        <is>
          <t xml:space="preserve">UNIVERSIDAD DE CHILE</t>
        </is>
      </c>
      <c r="E90" s="0" t="inlineStr">
        <is>
          <t xml:space="preserve">UCHILE Facultad Cs.Veterinarias</t>
        </is>
      </c>
      <c r="F90" s="0" t="inlineStr">
        <is>
          <t xml:space="preserve">Región Metropolitana de Santiago</t>
        </is>
      </c>
      <c r="G90" s="0" t="inlineStr">
        <is>
          <t xml:space="preserve">La Pintana</t>
        </is>
      </c>
      <c r="H90" s="2">
        <v>46302.464919</v>
      </c>
      <c r="I90" s="2">
        <v>46328.625694</v>
      </c>
      <c r="J90" s="0">
        <v>21</v>
      </c>
      <c r="K90" s="3"/>
      <c r="L90" s="0" t="inlineStr">
        <is>
          <t xml:space="preserve">CLP</t>
        </is>
      </c>
      <c r="M90" s="0" t="inlineStr">
        <is>
          <t xml:space="preserve">LP</t>
        </is>
      </c>
      <c r="N90"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90" s="4" t="inlineStr">
        <is>
          <t xml:space="preserve">1 Unidad · Generadores diesel · 1 Unidad · Paneles de control eléctrico para generadores</t>
        </is>
      </c>
      <c r="P90" s="2"/>
      <c r="Q90" s="2"/>
      <c r="R90" s="0"/>
      <c r="S90" s="0" t="inlineStr">
        <is>
          <t xml:space="preserve">No</t>
        </is>
      </c>
      <c r="T90" s="4"/>
      <c r="U90" s="0" t="inlineStr">
        <is>
          <t xml:space="preserve">Carlos Miranda</t>
        </is>
      </c>
      <c r="V90"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90"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91">
      <c r="A91" s="0" t="inlineStr">
        <is>
          <t xml:space="preserve">587-47-LE26</t>
        </is>
      </c>
      <c r="B91" s="4" t="inlineStr">
        <is>
          <t xml:space="preserve">RENOVACIÓN DE LICENCIAS DE SOFTWARE</t>
        </is>
      </c>
      <c r="C91" s="0" t="inlineStr">
        <is>
          <t xml:space="preserve">Publicada</t>
        </is>
      </c>
      <c r="D91" s="0" t="inlineStr">
        <is>
          <t xml:space="preserve">SUBSECRETARIA DEL MINISTERIO DE LA VIVIENDA Y URBANISMO</t>
        </is>
      </c>
      <c r="E91" s="0" t="inlineStr">
        <is>
          <t xml:space="preserve">Ministerio de Vivienda y Urbanismo(766)</t>
        </is>
      </c>
      <c r="F91" s="0" t="inlineStr">
        <is>
          <t xml:space="preserve">Región Metropolitana de Santiago</t>
        </is>
      </c>
      <c r="G91" s="0"/>
      <c r="H91" s="2">
        <v>46302.47669</v>
      </c>
      <c r="I91" s="2">
        <v>46328.631944</v>
      </c>
      <c r="J91" s="0">
        <v>21</v>
      </c>
      <c r="K91" s="3">
        <v>52000.0</v>
      </c>
      <c r="L91" s="0" t="inlineStr">
        <is>
          <t xml:space="preserve">USD</t>
        </is>
      </c>
      <c r="M91" s="0" t="inlineStr">
        <is>
          <t xml:space="preserve">LE</t>
        </is>
      </c>
      <c r="N91" s="4" t="inlineStr">
        <is>
          <t xml:space="preserve">Tecnologías de la información, telecomunicaciones y radiodifusión / Software / Software de gestión</t>
        </is>
      </c>
      <c r="O91" s="4" t="inlineStr">
        <is>
          <t xml:space="preserve">12 Unidad · Software de gestión de licencias</t>
        </is>
      </c>
      <c r="P91" s="2"/>
      <c r="Q91" s="2"/>
      <c r="R91" s="0" t="inlineStr">
        <is>
          <t xml:space="preserve">12 meses</t>
        </is>
      </c>
      <c r="S91" s="0" t="inlineStr">
        <is>
          <t xml:space="preserve">No</t>
        </is>
      </c>
      <c r="T91" s="4" t="inlineStr">
        <is>
          <t xml:space="preserve">NO PERMITE SUBCONTRATACIÓN VER PUNTO 1.13.5.7. “SUBCONTRATACIÓN” DE LAS BASES ADMINISTRATIVAS.</t>
        </is>
      </c>
      <c r="U91" s="0" t="inlineStr">
        <is>
          <t xml:space="preserve">Adrian Muñoz Brevis</t>
        </is>
      </c>
      <c r="V91"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91"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92">
      <c r="A92" s="0" t="inlineStr">
        <is>
          <t xml:space="preserve">2735-149-LR26</t>
        </is>
      </c>
      <c r="B92" s="4" t="inlineStr">
        <is>
          <t xml:space="preserve">Servicio de Software de Gestión y Registro Clinico</t>
        </is>
      </c>
      <c r="C92" s="0" t="inlineStr">
        <is>
          <t xml:space="preserve">Publicada</t>
        </is>
      </c>
      <c r="D92" s="0" t="inlineStr">
        <is>
          <t xml:space="preserve">I MUNICIPALIDAD LO BARNECHEA</t>
        </is>
      </c>
      <c r="E92" s="0" t="inlineStr">
        <is>
          <t xml:space="preserve">Municipalidad de lo Barnechea - Adquisiciones - Consistorial</t>
        </is>
      </c>
      <c r="F92" s="0" t="inlineStr">
        <is>
          <t xml:space="preserve">Región Metropolitana de Santiago</t>
        </is>
      </c>
      <c r="G92" s="0" t="inlineStr">
        <is>
          <t xml:space="preserve">Lo Barnechea</t>
        </is>
      </c>
      <c r="H92" s="2">
        <v>46296.503356</v>
      </c>
      <c r="I92" s="2">
        <v>46328.645833</v>
      </c>
      <c r="J92" s="0">
        <v>21</v>
      </c>
      <c r="K92" s="3"/>
      <c r="L92" s="0" t="inlineStr">
        <is>
          <t xml:space="preserve">CLF</t>
        </is>
      </c>
      <c r="M92" s="0" t="inlineStr">
        <is>
          <t xml:space="preserve">LR</t>
        </is>
      </c>
      <c r="N92" s="4" t="inlineStr">
        <is>
          <t xml:space="preserve">Tecnologías de la información, telecomunicaciones y radiodifusión / Software / Software específico para la industria</t>
        </is>
      </c>
      <c r="O92" s="4" t="inlineStr">
        <is>
          <t xml:space="preserve">1 Unidad · Software médico</t>
        </is>
      </c>
      <c r="P92" s="2"/>
      <c r="Q92" s="2"/>
      <c r="R92" s="0" t="inlineStr">
        <is>
          <t xml:space="preserve">63 meses</t>
        </is>
      </c>
      <c r="S92" s="0" t="inlineStr">
        <is>
          <t xml:space="preserve">No</t>
        </is>
      </c>
      <c r="T92" s="4" t="inlineStr">
        <is>
          <t xml:space="preserve">Conforme a lo establecido en el numeral 16.6 de las bases administrativas</t>
        </is>
      </c>
      <c r="U92" s="0" t="inlineStr">
        <is>
          <t xml:space="preserve">Angelica Parra</t>
        </is>
      </c>
      <c r="V9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92"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93">
      <c r="A93" s="0" t="inlineStr">
        <is>
          <t xml:space="preserve">519302-9-LE26</t>
        </is>
      </c>
      <c r="B93" s="4" t="inlineStr">
        <is>
          <t xml:space="preserve">DISEÑO IMPLEMENTACIÓN MEDICION MARKETING DIGITAL</t>
        </is>
      </c>
      <c r="C93" s="0" t="inlineStr">
        <is>
          <t xml:space="preserve">Publicada</t>
        </is>
      </c>
      <c r="D93" s="0" t="inlineStr">
        <is>
          <t xml:space="preserve">INSTITUTO NACIONAL DE PROPIEDAD INDUSTRIAL</t>
        </is>
      </c>
      <c r="E93" s="0" t="inlineStr">
        <is>
          <t xml:space="preserve">Servicios Generales</t>
        </is>
      </c>
      <c r="F93" s="0" t="inlineStr">
        <is>
          <t xml:space="preserve">Región Metropolitana de Santiago</t>
        </is>
      </c>
      <c r="G93" s="0" t="inlineStr">
        <is>
          <t xml:space="preserve">Santiago</t>
        </is>
      </c>
      <c r="H93" s="2">
        <v>46304.665139</v>
      </c>
      <c r="I93" s="2">
        <v>46328.666667</v>
      </c>
      <c r="J93" s="0">
        <v>21</v>
      </c>
      <c r="K93" s="3"/>
      <c r="L93" s="0" t="inlineStr">
        <is>
          <t xml:space="preserve">CLP</t>
        </is>
      </c>
      <c r="M93" s="0" t="inlineStr">
        <is>
          <t xml:space="preserve">LE</t>
        </is>
      </c>
      <c r="N93" s="4" t="inlineStr">
        <is>
          <t xml:space="preserve">Servicios profesionales, administrativos y consultorías de gestión empresarial / Servicios para la comercialización y distribución / Ventas y marketing</t>
        </is>
      </c>
      <c r="O93" s="4" t="inlineStr">
        <is>
          <t xml:space="preserve">1 Unidad · Campañas publicitarias o de marketing</t>
        </is>
      </c>
      <c r="P93" s="2"/>
      <c r="Q93" s="2"/>
      <c r="R93" s="0" t="inlineStr">
        <is>
          <t xml:space="preserve">3 meses</t>
        </is>
      </c>
      <c r="S93" s="0" t="inlineStr">
        <is>
          <t xml:space="preserve">No</t>
        </is>
      </c>
      <c r="T93" s="4"/>
      <c r="U93" s="0" t="inlineStr">
        <is>
          <t xml:space="preserve">Francisco Carrasco Ramírez</t>
        </is>
      </c>
      <c r="V93"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3"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94">
      <c r="A94" s="0" t="inlineStr">
        <is>
          <t xml:space="preserve">621-909-LR26</t>
        </is>
      </c>
      <c r="B94" s="4" t="inlineStr">
        <is>
          <t xml:space="preserve">TERMOGRAFO DIGITAL MONITOREO TEMPERATURA 1000023277</t>
        </is>
      </c>
      <c r="C94" s="0" t="inlineStr">
        <is>
          <t xml:space="preserve">Publicada</t>
        </is>
      </c>
      <c r="D94" s="0" t="inlineStr">
        <is>
          <t xml:space="preserve">CENTRAL DE ABASTECIMIENTO DEL SISTEMA NACIONAL DE SERVICIO DE SALUD</t>
        </is>
      </c>
      <c r="E94" s="0" t="inlineStr">
        <is>
          <t xml:space="preserve">Compras del Giro 621</t>
        </is>
      </c>
      <c r="F94" s="0" t="inlineStr">
        <is>
          <t xml:space="preserve">Región Metropolitana de Santiago</t>
        </is>
      </c>
      <c r="G94" s="0" t="inlineStr">
        <is>
          <t xml:space="preserve">Santiago Centro</t>
        </is>
      </c>
      <c r="H94" s="2">
        <v>46297.536181</v>
      </c>
      <c r="I94" s="2">
        <v>46328.666667</v>
      </c>
      <c r="J94" s="0">
        <v>21</v>
      </c>
      <c r="K94" s="3">
        <v>533715000.0</v>
      </c>
      <c r="L94" s="0" t="inlineStr">
        <is>
          <t xml:space="preserve">CLP</t>
        </is>
      </c>
      <c r="M94" s="0" t="inlineStr">
        <is>
          <t xml:space="preserve">LR</t>
        </is>
      </c>
      <c r="N94" s="4" t="inlineStr">
        <is>
          <t xml:space="preserve">Equipamiento para laboratorios / Instrumentos de medida y experimentación / Instrumentos para medir temperatura y calor</t>
        </is>
      </c>
      <c r="O94" s="4" t="inlineStr">
        <is>
          <t xml:space="preserve">3000 Unidad · Termómetros de tele indicación</t>
        </is>
      </c>
      <c r="P94" s="2"/>
      <c r="Q94" s="2"/>
      <c r="R94" s="0" t="inlineStr">
        <is>
          <t xml:space="preserve">14 meses</t>
        </is>
      </c>
      <c r="S94" s="0" t="inlineStr">
        <is>
          <t xml:space="preserve">No</t>
        </is>
      </c>
      <c r="T94" s="4"/>
      <c r="U94" s="0" t="inlineStr">
        <is>
          <t xml:space="preserve">Gisela Teresa Castro Gomez</t>
        </is>
      </c>
      <c r="V94"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4"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95">
      <c r="A95" s="0" t="inlineStr">
        <is>
          <t xml:space="preserve">2426-52-LR26</t>
        </is>
      </c>
      <c r="B95" s="4" t="inlineStr">
        <is>
          <t xml:space="preserve">DATACENTER ENLACES DE DATOS TELEFONIA E INTERNET</t>
        </is>
      </c>
      <c r="C95" s="0" t="inlineStr">
        <is>
          <t xml:space="preserve">Publicada</t>
        </is>
      </c>
      <c r="D95" s="0" t="inlineStr">
        <is>
          <t xml:space="preserve">I MUNICIPALIDAD DE VALPARAISO</t>
        </is>
      </c>
      <c r="E95" s="0" t="inlineStr">
        <is>
          <t xml:space="preserve">ADQUISICIONES MAYORES</t>
        </is>
      </c>
      <c r="F95" s="0" t="inlineStr">
        <is>
          <t xml:space="preserve">Región de Valparaíso </t>
        </is>
      </c>
      <c r="G95" s="0" t="inlineStr">
        <is>
          <t xml:space="preserve">Valparaíso</t>
        </is>
      </c>
      <c r="H95" s="2">
        <v>46297.658079</v>
      </c>
      <c r="I95" s="2">
        <v>46328.708333</v>
      </c>
      <c r="J95" s="0">
        <v>21</v>
      </c>
      <c r="K95" s="3">
        <v>40719.0</v>
      </c>
      <c r="L95" s="0" t="inlineStr">
        <is>
          <t xml:space="preserve">CLF</t>
        </is>
      </c>
      <c r="M95" s="0" t="inlineStr">
        <is>
          <t xml:space="preserve">LR</t>
        </is>
      </c>
      <c r="N95" s="4" t="inlineStr">
        <is>
          <t xml:space="preserve">Servicios basados en ingeniería, ciencias sociales y tecnología de la información / Servicios informáticos / Servicios de datos</t>
        </is>
      </c>
      <c r="O95" s="4" t="inlineStr">
        <is>
          <t xml:space="preserve">1 Unidad · Centro de servicios de datos</t>
        </is>
      </c>
      <c r="P95" s="2"/>
      <c r="Q95" s="2"/>
      <c r="R95" s="0" t="inlineStr">
        <is>
          <t xml:space="preserve">48 meses</t>
        </is>
      </c>
      <c r="S95" s="0" t="inlineStr">
        <is>
          <t xml:space="preserve">No</t>
        </is>
      </c>
      <c r="T95" s="4"/>
      <c r="U95" s="0" t="inlineStr">
        <is>
          <t xml:space="preserve">Juan Carlos Tempine</t>
        </is>
      </c>
      <c r="V95" s="4" t="inlineStr">
        <is>
          <t xml:space="preserve">SERVICIOS DE DATA CENTER, ENLACES DE DATOS, TELEFONÍA E INTERNET PARA LA MUNICIPALIDAD DE VALPARAÍSO</t>
        </is>
      </c>
      <c r="W95"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96">
      <c r="A96" s="0" t="inlineStr">
        <is>
          <t xml:space="preserve">4127-51-LR26</t>
        </is>
      </c>
      <c r="B96" s="4" t="inlineStr">
        <is>
          <t xml:space="preserve">[DIGEDEP]Cursos M-Learning Plataforma SIAD 26-27</t>
        </is>
      </c>
      <c r="C96" s="0" t="inlineStr">
        <is>
          <t xml:space="preserve">Publicada</t>
        </is>
      </c>
      <c r="D96" s="0" t="inlineStr">
        <is>
          <t xml:space="preserve">SUBSECRETARIA DE SALUD PUBLICA</t>
        </is>
      </c>
      <c r="E96" s="0" t="inlineStr">
        <is>
          <t xml:space="preserve">Subsecretaria de Redes Asistenciales</t>
        </is>
      </c>
      <c r="F96" s="0" t="inlineStr">
        <is>
          <t xml:space="preserve">Región Metropolitana de Santiago</t>
        </is>
      </c>
      <c r="G96" s="0" t="inlineStr">
        <is>
          <t xml:space="preserve">Santiago</t>
        </is>
      </c>
      <c r="H96" s="2">
        <v>46300.445336</v>
      </c>
      <c r="I96" s="2">
        <v>46330.625</v>
      </c>
      <c r="J96" s="0">
        <v>23</v>
      </c>
      <c r="K96" s="3"/>
      <c r="L96" s="0" t="inlineStr">
        <is>
          <t xml:space="preserve">CLP</t>
        </is>
      </c>
      <c r="M96" s="0" t="inlineStr">
        <is>
          <t xml:space="preserve">LR</t>
        </is>
      </c>
      <c r="N96" s="4" t="inlineStr">
        <is>
          <t xml:space="preserve">Educación, formación, entrenamiento y capacitación / Sistemas educativos complementarios / Educación de adultos</t>
        </is>
      </c>
      <c r="O96" s="4" t="inlineStr">
        <is>
          <t xml:space="preserve">1 Unidad · Capacitación a empleados</t>
        </is>
      </c>
      <c r="P96" s="2"/>
      <c r="Q96" s="2"/>
      <c r="R96" s="0" t="inlineStr">
        <is>
          <t xml:space="preserve">12 meses</t>
        </is>
      </c>
      <c r="S96" s="0" t="inlineStr">
        <is>
          <t xml:space="preserve">No</t>
        </is>
      </c>
      <c r="T96" s="4"/>
      <c r="U96" s="0" t="inlineStr">
        <is>
          <t xml:space="preserve">Ana Osorio Yeuto</t>
        </is>
      </c>
      <c r="V96" s="4" t="inlineStr">
        <is>
          <t xml:space="preserve">Los servicios que considera este programa Sistema de Aprendizaje a Distancia SIAD son Despliegue de Cursos M- Learning, Desarrollo de Cursos Moodle, Actualizaciones Cursos Moodle Bacoffice para platafoma SIAD 2026 - 2027.</t>
        </is>
      </c>
      <c r="W96"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97">
      <c r="A97" s="0" t="inlineStr">
        <is>
          <t xml:space="preserve">1020-54-LP26</t>
        </is>
      </c>
      <c r="B97" s="4" t="inlineStr">
        <is>
          <t xml:space="preserve">Administración y Mantención de Bases de Datos MOP</t>
        </is>
      </c>
      <c r="C97" s="0" t="inlineStr">
        <is>
          <t xml:space="preserve">Publicada</t>
        </is>
      </c>
      <c r="D97" s="0" t="inlineStr">
        <is>
          <t xml:space="preserve">MINISTERIO DE OBRAS PUBLICAS DIREC CION GRAL DE OO PP DCYF</t>
        </is>
      </c>
      <c r="E97" s="0" t="inlineStr">
        <is>
          <t xml:space="preserve">MOP Subsecretaría </t>
        </is>
      </c>
      <c r="F97" s="0" t="inlineStr">
        <is>
          <t xml:space="preserve">Región Metropolitana de Santiago</t>
        </is>
      </c>
      <c r="G97" s="0"/>
      <c r="H97" s="2">
        <v>46303.478727</v>
      </c>
      <c r="I97" s="2">
        <v>46332.625</v>
      </c>
      <c r="J97" s="0">
        <v>25</v>
      </c>
      <c r="K97" s="3">
        <v>174000000.0</v>
      </c>
      <c r="L97" s="0" t="inlineStr">
        <is>
          <t xml:space="preserve">CLP</t>
        </is>
      </c>
      <c r="M97" s="0" t="inlineStr">
        <is>
          <t xml:space="preserve">LP</t>
        </is>
      </c>
      <c r="N97" s="4" t="inlineStr">
        <is>
          <t xml:space="preserve">Servicios profesionales, administrativos y consultorías de gestión empresarial / Servicios de recursos humanos / Contratación de personal</t>
        </is>
      </c>
      <c r="O97" s="4" t="inlineStr">
        <is>
          <t xml:space="preserve">24 Mes · Administradores de bases de datos</t>
        </is>
      </c>
      <c r="P97" s="2"/>
      <c r="Q97" s="2"/>
      <c r="R97" s="0" t="inlineStr">
        <is>
          <t xml:space="preserve">25 meses</t>
        </is>
      </c>
      <c r="S97" s="0" t="inlineStr">
        <is>
          <t xml:space="preserve">No</t>
        </is>
      </c>
      <c r="T97" s="4" t="inlineStr">
        <is>
          <t xml:space="preserve">Según 10.5 de las BA El oferente adjudicado no podrá subcontratar los servicios derivados de la ejecución del Contrato</t>
        </is>
      </c>
      <c r="U97" s="0" t="inlineStr">
        <is>
          <t xml:space="preserve">Francisco Borquez</t>
        </is>
      </c>
      <c r="V97"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97"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98">
      <c r="A98" s="0" t="inlineStr">
        <is>
          <t xml:space="preserve">605-17-LP26</t>
        </is>
      </c>
      <c r="B98" s="4" t="inlineStr">
        <is>
          <t xml:space="preserve">TELEFONÍA FIJA Y RED PRIVADA DE DATOS</t>
        </is>
      </c>
      <c r="C98" s="0" t="inlineStr">
        <is>
          <t xml:space="preserve">Publicada</t>
        </is>
      </c>
      <c r="D98" s="0" t="inlineStr">
        <is>
          <t xml:space="preserve">Consejo de Defensa del Estado</t>
        </is>
      </c>
      <c r="E98" s="0" t="inlineStr">
        <is>
          <t xml:space="preserve">Consejo de Defensa del Estado</t>
        </is>
      </c>
      <c r="F98" s="0" t="inlineStr">
        <is>
          <t xml:space="preserve">Región Metropolitana de Santiago</t>
        </is>
      </c>
      <c r="G98" s="0" t="inlineStr">
        <is>
          <t xml:space="preserve">Santiago</t>
        </is>
      </c>
      <c r="H98" s="2">
        <v>46267.454861</v>
      </c>
      <c r="I98" s="2">
        <v>46332.625</v>
      </c>
      <c r="J98" s="0">
        <v>25</v>
      </c>
      <c r="K98" s="3">
        <v>8500.0</v>
      </c>
      <c r="L98" s="0" t="inlineStr">
        <is>
          <t xml:space="preserve">CLF</t>
        </is>
      </c>
      <c r="M98" s="0" t="inlineStr">
        <is>
          <t xml:space="preserve">LP</t>
        </is>
      </c>
      <c r="N98" s="4" t="inlineStr">
        <is>
          <t xml:space="preserve">Servicios básicos y de información pública / Telecomunicaciones / Telefonía local y de larga distancia</t>
        </is>
      </c>
      <c r="O98" s="4" t="inlineStr">
        <is>
          <t xml:space="preserve">1 Unidad · Servicio telefónico local · 1 Unidad · Servicio de comunicación IP</t>
        </is>
      </c>
      <c r="P98" s="2"/>
      <c r="Q98" s="2"/>
      <c r="R98" s="0" t="inlineStr">
        <is>
          <t xml:space="preserve">24 meses</t>
        </is>
      </c>
      <c r="S98" s="0" t="inlineStr">
        <is>
          <t xml:space="preserve">No</t>
        </is>
      </c>
      <c r="T9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8" s="0" t="inlineStr">
        <is>
          <t xml:space="preserve">IVANHOE AGUIRRE RIVERA</t>
        </is>
      </c>
      <c r="V9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8"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99">
      <c r="A99" s="0" t="inlineStr">
        <is>
          <t xml:space="preserve">2421-52-LR26</t>
        </is>
      </c>
      <c r="B99" s="4" t="inlineStr">
        <is>
          <t xml:space="preserve">SUMINISTRO SERVICIO DE TELECOMUNICACIONES DATOS Y VOZ</t>
        </is>
      </c>
      <c r="C99" s="0" t="inlineStr">
        <is>
          <t xml:space="preserve">Publicada</t>
        </is>
      </c>
      <c r="D99" s="0" t="inlineStr">
        <is>
          <t xml:space="preserve">I MUNICIPALIDAD DE CONCEPCION</t>
        </is>
      </c>
      <c r="E99" s="0" t="inlineStr">
        <is>
          <t xml:space="preserve">DIRECCION DE SALUD MUNICIPAL DE CONCEPCION</t>
        </is>
      </c>
      <c r="F99" s="0" t="inlineStr">
        <is>
          <t xml:space="preserve">Región del Biobío </t>
        </is>
      </c>
      <c r="G99" s="0" t="inlineStr">
        <is>
          <t xml:space="preserve">Concepción</t>
        </is>
      </c>
      <c r="H99" s="2">
        <v>46303.407569</v>
      </c>
      <c r="I99" s="2">
        <v>46335.625</v>
      </c>
      <c r="J99" s="0">
        <v>28</v>
      </c>
      <c r="K99" s="3"/>
      <c r="L99" s="0" t="inlineStr">
        <is>
          <t xml:space="preserve">CLP</t>
        </is>
      </c>
      <c r="M99" s="0" t="inlineStr">
        <is>
          <t xml:space="preserve">LR</t>
        </is>
      </c>
      <c r="N99" s="4" t="inlineStr">
        <is>
          <t xml:space="preserve">Servicios básicos y de información pública / Telecomunicaciones / Telefonía local y de larga distancia</t>
        </is>
      </c>
      <c r="O99" s="4" t="inlineStr">
        <is>
          <t xml:space="preserve">1 Unidad · Servicio telefónico local · 1 Unidad · Servicio telefónico local</t>
        </is>
      </c>
      <c r="P99" s="2"/>
      <c r="Q99" s="2"/>
      <c r="R99" s="0" t="inlineStr">
        <is>
          <t xml:space="preserve">60 meses</t>
        </is>
      </c>
      <c r="S99" s="0" t="inlineStr">
        <is>
          <t xml:space="preserve">No</t>
        </is>
      </c>
      <c r="T99" s="4"/>
      <c r="U99" s="0" t="inlineStr">
        <is>
          <t xml:space="preserve">MARCELO SEPULVEDA</t>
        </is>
      </c>
      <c r="V99" s="4" t="inlineStr">
        <is>
          <t xml:space="preserve">LA DIRECCION DE SALUD DE CONCEPCION SOLICITA LA ADQUISICION DE SUMINISTRO DE SERVICIO DE TELECOMUNICACIONES DE DATOS Y VOZ POR UN PLAZO DE 60 MESES.</t>
        </is>
      </c>
      <c r="W99"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00">
      <c r="A100" s="0" t="inlineStr">
        <is>
          <t xml:space="preserve">1057390-21-LR26</t>
        </is>
      </c>
      <c r="B100" s="4" t="inlineStr">
        <is>
          <t xml:space="preserve">PLATAFORMA CLOUD COMPUTING Y SERVICIOS ASOCIADOS ESISSAN</t>
        </is>
      </c>
      <c r="C100" s="0" t="inlineStr">
        <is>
          <t xml:space="preserve">Publicada</t>
        </is>
      </c>
      <c r="D100" s="0" t="inlineStr">
        <is>
          <t xml:space="preserve">SERVICIO DE SALUD ARAUCANIA NORTE</t>
        </is>
      </c>
      <c r="E100" s="0" t="inlineStr">
        <is>
          <t xml:space="preserve">Bienes y Servicios</t>
        </is>
      </c>
      <c r="F100" s="0" t="inlineStr">
        <is>
          <t xml:space="preserve">Región de la Araucanía </t>
        </is>
      </c>
      <c r="G100" s="0" t="inlineStr">
        <is>
          <t xml:space="preserve">Angol</t>
        </is>
      </c>
      <c r="H100" s="2">
        <v>46304.689398</v>
      </c>
      <c r="I100" s="2">
        <v>46335.645833</v>
      </c>
      <c r="J100" s="0">
        <v>28</v>
      </c>
      <c r="K100" s="3">
        <v>487000000.0</v>
      </c>
      <c r="L100" s="0" t="inlineStr">
        <is>
          <t xml:space="preserve">CLP</t>
        </is>
      </c>
      <c r="M100" s="0" t="inlineStr">
        <is>
          <t xml:space="preserve">LR</t>
        </is>
      </c>
      <c r="N100" s="4" t="inlineStr">
        <is>
          <t xml:space="preserve">Tecnologías de la información, telecomunicaciones y radiodifusión / Software / Software para trabajo en redes</t>
        </is>
      </c>
      <c r="O100" s="4" t="inlineStr">
        <is>
          <t xml:space="preserve">1 Unidad · Software de interconectividad de plataformas</t>
        </is>
      </c>
      <c r="P100" s="2"/>
      <c r="Q100" s="2"/>
      <c r="R100" s="0" t="inlineStr">
        <is>
          <t xml:space="preserve">36 meses</t>
        </is>
      </c>
      <c r="S100" s="0" t="inlineStr">
        <is>
          <t xml:space="preserve">No</t>
        </is>
      </c>
      <c r="T100" s="4"/>
      <c r="U100" s="0" t="inlineStr">
        <is>
          <t xml:space="preserve">Jorge Mora Bustamante</t>
        </is>
      </c>
      <c r="V10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00"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01">
      <c r="A101" s="0" t="inlineStr">
        <is>
          <t xml:space="preserve">1260-17-LP26</t>
        </is>
      </c>
      <c r="B101" s="4" t="inlineStr">
        <is>
          <t xml:space="preserve">NARRATIVAS DIGITALES Y PRODUCCION CONTENIDOS</t>
        </is>
      </c>
      <c r="C101" s="0" t="inlineStr">
        <is>
          <t xml:space="preserve">Publicada</t>
        </is>
      </c>
      <c r="D101" s="0" t="inlineStr">
        <is>
          <t xml:space="preserve">GOBIERNO REGIONAL REGION METROPOLITANA</t>
        </is>
      </c>
      <c r="E101" s="0" t="inlineStr">
        <is>
          <t xml:space="preserve">ADQUISICIONES - PROGRAMA 01</t>
        </is>
      </c>
      <c r="F101" s="0" t="inlineStr">
        <is>
          <t xml:space="preserve">Región Metropolitana de Santiago</t>
        </is>
      </c>
      <c r="G101" s="0"/>
      <c r="H101" s="2">
        <v>46303.472778</v>
      </c>
      <c r="I101" s="2">
        <v>46335.645833</v>
      </c>
      <c r="J101" s="0">
        <v>28</v>
      </c>
      <c r="K101" s="3">
        <v>160650000.0</v>
      </c>
      <c r="L101" s="0" t="inlineStr">
        <is>
          <t xml:space="preserve">CLP</t>
        </is>
      </c>
      <c r="M101" s="0" t="inlineStr">
        <is>
          <t xml:space="preserve">LP</t>
        </is>
      </c>
      <c r="N101" s="4" t="inlineStr">
        <is>
          <t xml:space="preserve">Servicios profesionales, administrativos y consultorías de gestión empresarial / Servicios para la comercialización y distribución / Ventas y marketing</t>
        </is>
      </c>
      <c r="O101" s="4" t="inlineStr">
        <is>
          <t xml:space="preserve">1 Unidad · Agencias de marketing de ventas, incluidas las impresiones</t>
        </is>
      </c>
      <c r="P101" s="2"/>
      <c r="Q101" s="2"/>
      <c r="R101" s="0" t="inlineStr">
        <is>
          <t xml:space="preserve">365 días</t>
        </is>
      </c>
      <c r="S101" s="0" t="inlineStr">
        <is>
          <t xml:space="preserve">No</t>
        </is>
      </c>
      <c r="T101" s="4"/>
      <c r="U101" s="0" t="inlineStr">
        <is>
          <t xml:space="preserve">Joaquín Orellana Calderón</t>
        </is>
      </c>
      <c r="V101"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01"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02">
      <c r="A102" s="0" t="inlineStr">
        <is>
          <t xml:space="preserve">425-73-LP26</t>
        </is>
      </c>
      <c r="B102" s="4" t="inlineStr">
        <is>
          <t xml:space="preserve">Renovación de licencias de software CISCO</t>
        </is>
      </c>
      <c r="C102" s="0" t="inlineStr">
        <is>
          <t xml:space="preserve">Publicada</t>
        </is>
      </c>
      <c r="D102" s="0" t="inlineStr">
        <is>
          <t xml:space="preserve">CORP ADMINISTRATIVA DEL PODER JUDICIAL</t>
        </is>
      </c>
      <c r="E102" s="0" t="inlineStr">
        <is>
          <t xml:space="preserve">Servicios</t>
        </is>
      </c>
      <c r="F102" s="0" t="inlineStr">
        <is>
          <t xml:space="preserve">Región Metropolitana de Santiago</t>
        </is>
      </c>
      <c r="G102" s="0" t="inlineStr">
        <is>
          <t xml:space="preserve">Santiago Centro</t>
        </is>
      </c>
      <c r="H102" s="2">
        <v>46304.698588</v>
      </c>
      <c r="I102" s="2">
        <v>46335.666667</v>
      </c>
      <c r="J102" s="0">
        <v>28</v>
      </c>
      <c r="K102" s="3"/>
      <c r="L102" s="0" t="inlineStr">
        <is>
          <t xml:space="preserve">USD</t>
        </is>
      </c>
      <c r="M102" s="0" t="inlineStr">
        <is>
          <t xml:space="preserve">LP</t>
        </is>
      </c>
      <c r="N102" s="4" t="inlineStr">
        <is>
          <t xml:space="preserve">Tecnologías de la información, telecomunicaciones y radiodifusión / Software / Software de gestión</t>
        </is>
      </c>
      <c r="O102" s="4" t="inlineStr">
        <is>
          <t xml:space="preserve">5000 Unidad · Software de gestión de licencias · 20000 Unidad · Software de gestión de licencias · 11000 Unidad · Software de gestión de licencias · y 7 más</t>
        </is>
      </c>
      <c r="P102" s="2"/>
      <c r="Q102" s="2"/>
      <c r="R102" s="0" t="inlineStr">
        <is>
          <t xml:space="preserve">12 meses</t>
        </is>
      </c>
      <c r="S102" s="0" t="inlineStr">
        <is>
          <t xml:space="preserve">No</t>
        </is>
      </c>
      <c r="T102" s="4" t="inlineStr">
        <is>
          <t xml:space="preserve">Remítase a lo indicado en el numeral 15 de las bases administrativas especiales</t>
        </is>
      </c>
      <c r="U102" s="0" t="inlineStr">
        <is>
          <t xml:space="preserve">César Herrera Mejías</t>
        </is>
      </c>
      <c r="V102" s="4" t="inlineStr">
        <is>
          <t xml:space="preserve">UR (1804), Renovación de licencias de software CISCO</t>
        </is>
      </c>
      <c r="W102"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03">
      <c r="A103" s="0" t="inlineStr">
        <is>
          <t xml:space="preserve">1057898-85-LR26</t>
        </is>
      </c>
      <c r="B103" s="4" t="inlineStr">
        <is>
          <t xml:space="preserve">ADQUISICIÓN DE SOFTWARES HIS-ESB-BI Y ERP PARA EL NUEVO HOSPITAL REGIONAL DE ÑUBLE</t>
        </is>
      </c>
      <c r="C103" s="0" t="inlineStr">
        <is>
          <t xml:space="preserve">Publicada</t>
        </is>
      </c>
      <c r="D103" s="0" t="inlineStr">
        <is>
          <t xml:space="preserve">SERVICIO DE SALUD NUBLE</t>
        </is>
      </c>
      <c r="E103" s="0" t="inlineStr">
        <is>
          <t xml:space="preserve">Activos Fijos</t>
        </is>
      </c>
      <c r="F103" s="0" t="inlineStr">
        <is>
          <t xml:space="preserve">Región del Ñuble</t>
        </is>
      </c>
      <c r="G103" s="0" t="inlineStr">
        <is>
          <t xml:space="preserve">Chillán</t>
        </is>
      </c>
      <c r="H103" s="2">
        <v>46304.500741</v>
      </c>
      <c r="I103" s="2">
        <v>46349.708333</v>
      </c>
      <c r="J103" s="0">
        <v>42</v>
      </c>
      <c r="K103" s="3">
        <v>19373825000.0</v>
      </c>
      <c r="L103" s="0" t="inlineStr">
        <is>
          <t xml:space="preserve">CLP</t>
        </is>
      </c>
      <c r="M103" s="0" t="inlineStr">
        <is>
          <t xml:space="preserve">LR</t>
        </is>
      </c>
      <c r="N103" s="4" t="inlineStr">
        <is>
          <t xml:space="preserve">Tecnologías de la información, telecomunicaciones y radiodifusión / Software / Software de administración de redes</t>
        </is>
      </c>
      <c r="O103" s="4" t="inlineStr">
        <is>
          <t xml:space="preserve">1 Global · Software de administración · 1 Global · Software de administración</t>
        </is>
      </c>
      <c r="P103" s="2"/>
      <c r="Q103" s="2"/>
      <c r="R103" s="0" t="inlineStr">
        <is>
          <t xml:space="preserve">96 meses</t>
        </is>
      </c>
      <c r="S103" s="0" t="inlineStr">
        <is>
          <t xml:space="preserve">No</t>
        </is>
      </c>
      <c r="T103" s="4"/>
      <c r="U103" s="0" t="inlineStr">
        <is>
          <t xml:space="preserve">RODOLFO JIMENEZ</t>
        </is>
      </c>
      <c r="V103" s="4" t="inlineStr">
        <is>
          <t xml:space="preserve">El Servicio de Salud Ñuble requiere efectuar la ADQUISICIÓN DE SOFTWARES HIS-ESB-BI Y ERP PARA EL NUEVO HOSPITAL REGIONAL DE ÑUBLE, de acuerdo a las Bases Administrativas adjuntas y sus respectivos Anexos.</t>
        </is>
      </c>
      <c r="W103"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04">
      <c r="A104" s="0" t="inlineStr">
        <is>
          <t xml:space="preserve">1969-34-LS19</t>
        </is>
      </c>
      <c r="B104" s="4" t="inlineStr">
        <is>
          <t xml:space="preserve">AUTOMATIZACIÓN PORTÓN ACCESO A LINEA DE FUEGO</t>
        </is>
      </c>
      <c r="C104" s="0" t="inlineStr">
        <is>
          <t xml:space="preserve">Publicada</t>
        </is>
      </c>
      <c r="D104" s="0" t="inlineStr">
        <is>
          <t xml:space="preserve">DIRECCION GENERAL DE GENDARMERIA DE CHIL</t>
        </is>
      </c>
      <c r="E104" s="0" t="inlineStr">
        <is>
          <t xml:space="preserve">Región del Bio Bío</t>
        </is>
      </c>
      <c r="F104" s="0" t="inlineStr">
        <is>
          <t xml:space="preserve">Región del Biobío </t>
        </is>
      </c>
      <c r="G104" s="0" t="inlineStr">
        <is>
          <t xml:space="preserve">Concepción</t>
        </is>
      </c>
      <c r="H104" s="2">
        <v>43588.74809</v>
      </c>
      <c r="I104" s="2"/>
      <c r="J104" s="0"/>
      <c r="K104" s="3"/>
      <c r="L104" s="0" t="inlineStr">
        <is>
          <t xml:space="preserve">CLP</t>
        </is>
      </c>
      <c r="M104" s="0" t="inlineStr">
        <is>
          <t xml:space="preserve">LS</t>
        </is>
      </c>
      <c r="N104" s="4" t="inlineStr">
        <is>
          <t xml:space="preserve">Artículos para estructuras, obras y construcciones / Puertas, ventanas y vidrios / Puertas</t>
        </is>
      </c>
      <c r="O104" s="4" t="inlineStr">
        <is>
          <t xml:space="preserve">1 Unidad · Puertas de metal</t>
        </is>
      </c>
      <c r="P104" s="2"/>
      <c r="Q104" s="2"/>
      <c r="R104" s="0"/>
      <c r="S104" s="0" t="inlineStr">
        <is>
          <t xml:space="preserve">No</t>
        </is>
      </c>
      <c r="T104" s="4"/>
      <c r="U104" s="0" t="inlineStr">
        <is>
          <t xml:space="preserve">Héctor Polma Lillo</t>
        </is>
      </c>
      <c r="V104" s="4" t="inlineStr">
        <is>
          <t xml:space="preserve">AUTOMATIZACIÓN DE PORTÓN ACCESO A LINEA DE FUEGO C.P. CONCEPCIÓN</t>
        </is>
      </c>
      <c r="W104"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0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1057503-146-LE26</t>
        </is>
      </c>
      <c r="B2" s="4" t="inlineStr">
        <is>
          <t xml:space="preserve">Contratación de Solución Tecnológica Bajo Modalidad SaaS para Automatizar Procesos de Gestión Estratégica Institucional para el Hospital Padre Alberto Hurtado</t>
        </is>
      </c>
      <c r="C2" s="0">
        <v>1</v>
      </c>
      <c r="D2" s="4" t="inlineStr">
        <is>
          <t xml:space="preserve">Software de administración</t>
        </is>
      </c>
      <c r="E2" s="4" t="inlineStr">
        <is>
          <t xml:space="preserve">Tecnologías de la información, telecomunicaciones y radiodifusión / Software / Software de administración de redes</t>
        </is>
      </c>
      <c r="F2" s="0">
        <v>1.0</v>
      </c>
      <c r="G2" s="0" t="inlineStr">
        <is>
          <t xml:space="preserve">Unidad</t>
        </is>
      </c>
      <c r="H2" s="4" t="inlineStr">
        <is>
          <t xml:space="preserve">Plataforma Tecnológica en Modalidad SaaS destinada a Automatizar y Fortalecer los Procesos de Gestión Estratégica Institucional, Según Formulario N° 1.</t>
        </is>
      </c>
    </row>
    <row r="3">
      <c r="A3" s="0" t="inlineStr">
        <is>
          <t xml:space="preserve">425-67-LE26</t>
        </is>
      </c>
      <c r="B3" s="4" t="inlineStr">
        <is>
          <t xml:space="preserve">Software de seguridad extendida y Ciberdefensa</t>
        </is>
      </c>
      <c r="C3" s="0">
        <v>1</v>
      </c>
      <c r="D3" s="4" t="inlineStr">
        <is>
          <t xml:space="preserve">Software de equipos de red privada virtual (VPN) o de seguridad de red</t>
        </is>
      </c>
      <c r="E3" s="4" t="inlineStr">
        <is>
          <t xml:space="preserve">Tecnologías de la información, telecomunicaciones y radiodifusión / Software / Software de seguridad y protección</t>
        </is>
      </c>
      <c r="F3" s="0">
        <v>1.0</v>
      </c>
      <c r="G3" s="0" t="inlineStr">
        <is>
          <t xml:space="preserve">Unidad</t>
        </is>
      </c>
      <c r="H3" s="4" t="inlineStr">
        <is>
          <t xml:space="preserve">Software de seguridad extendida y protección de cadena de suministros para la Ciberdefensa de Poder Judicial Ingresar valor total neto según formulario económico N°1</t>
        </is>
      </c>
    </row>
    <row r="4">
      <c r="A4" s="0" t="inlineStr">
        <is>
          <t xml:space="preserve">948354-150-LP26</t>
        </is>
      </c>
      <c r="B4" s="4" t="inlineStr">
        <is>
          <t xml:space="preserve">CONTRATACIÓN DEL SERVICIO DE SISTEMA INFORMÁTICO PARA GESTIÓN DE DATOS DE BANCO DE SANGRE DEL HOSPITAL DIPRECA</t>
        </is>
      </c>
      <c r="C4" s="0">
        <v>1</v>
      </c>
      <c r="D4" s="4" t="inlineStr">
        <is>
          <t xml:space="preserve">Software de desarrollo orientado a objetos o componentes</t>
        </is>
      </c>
      <c r="E4" s="4" t="inlineStr">
        <is>
          <t xml:space="preserve">Tecnologías de la información, telecomunicaciones y radiodifusión / Software / Programas de desarrollo</t>
        </is>
      </c>
      <c r="F4" s="0">
        <v>24.0</v>
      </c>
      <c r="G4" s="0" t="inlineStr">
        <is>
          <t xml:space="preserve">Mes</t>
        </is>
      </c>
      <c r="H4" s="4" t="inlineStr">
        <is>
          <t xml:space="preserve">SERVICIO DE SISTEMA INFORMÁTICO PARA GESTIÓN DE DATOS DE BANCO DE SANGRE (según bases técnicas)</t>
        </is>
      </c>
    </row>
    <row r="5">
      <c r="A5" s="0" t="inlineStr">
        <is>
          <t xml:space="preserve">1457281-19-L126</t>
        </is>
      </c>
      <c r="B5" s="4" t="inlineStr">
        <is>
          <t xml:space="preserve">SERVICIO DE SOFTWARE Y SOPORTE PARA SISTEMA DE CONTEO DE PÚBLICO M100</t>
        </is>
      </c>
      <c r="C5" s="0">
        <v>1</v>
      </c>
      <c r="D5" s="4" t="inlineStr">
        <is>
          <t xml:space="preserve">Soporte técnico y servicios de mesa de ayuda</t>
        </is>
      </c>
      <c r="E5" s="4" t="inlineStr">
        <is>
          <t xml:space="preserve">Servicios basados en ingeniería, ciencias sociales y tecnología de la información / Servicios informáticos / Administración de sistemas</t>
        </is>
      </c>
      <c r="F5" s="0">
        <v>12.0</v>
      </c>
      <c r="G5" s="0" t="inlineStr">
        <is>
          <t xml:space="preserve">Mes</t>
        </is>
      </c>
      <c r="H5" s="4" t="inlineStr">
        <is>
          <t xml:space="preserve">Servicio de software y soporte técnico mensual para plataforma de conteo de público del Centro Cultural M100, sobre 3 puntos de conteo instalados. Incluye dashboard, reportes exportables y certificación de precisión.</t>
        </is>
      </c>
    </row>
    <row r="6">
      <c r="A6" s="0" t="inlineStr">
        <is>
          <t xml:space="preserve">847-55-LE26</t>
        </is>
      </c>
      <c r="B6" s="4" t="inlineStr">
        <is>
          <t xml:space="preserve">PLANI-ADQ. DE ACCESORIOS INFORMÁTICOS P04-SC61.307</t>
        </is>
      </c>
      <c r="C6" s="0">
        <v>1</v>
      </c>
      <c r="D6" s="4" t="inlineStr">
        <is>
          <t xml:space="preserve">Teclados</t>
        </is>
      </c>
      <c r="E6" s="4" t="inlineStr">
        <is>
          <t xml:space="preserve">Tecnologías de la información, telecomunicaciones y radiodifusión / Equipos informáticos y accesorios / Dispositivos informáticos de entrada de datos</t>
        </is>
      </c>
      <c r="F6" s="0">
        <v>75.0</v>
      </c>
      <c r="G6" s="0" t="inlineStr">
        <is>
          <t xml:space="preserve">Unidad</t>
        </is>
      </c>
      <c r="H6" s="4" t="inlineStr">
        <is>
          <t xml:space="preserve">Teclados USB negro tipo QWERTY, en 
español 
Símil a Genius KB11</t>
        </is>
      </c>
    </row>
    <row r="7">
      <c r="A7" s="0" t="inlineStr">
        <is>
          <t xml:space="preserve">847-55-LE26</t>
        </is>
      </c>
      <c r="B7" s="4" t="inlineStr">
        <is>
          <t xml:space="preserve">PLANI-ADQ. DE ACCESORIOS INFORMÁTICOS P04-SC61.307</t>
        </is>
      </c>
      <c r="C7" s="0">
        <v>2</v>
      </c>
      <c r="D7" s="4" t="inlineStr">
        <is>
          <t xml:space="preserve">Trackballs y mouse de computador</t>
        </is>
      </c>
      <c r="E7" s="4" t="inlineStr">
        <is>
          <t xml:space="preserve">Tecnologías de la información, telecomunicaciones y radiodifusión / Equipos informáticos y accesorios / Dispositivos informáticos de entrada de datos</t>
        </is>
      </c>
      <c r="F7" s="0">
        <v>75.0</v>
      </c>
      <c r="G7" s="0" t="inlineStr">
        <is>
          <t xml:space="preserve">Unidad</t>
        </is>
      </c>
      <c r="H7" s="4" t="inlineStr">
        <is>
          <t xml:space="preserve">Mouse USB Negros, 3 botones, res. 
1000ppp, para Win10 + 
Símil a Genius DX-120</t>
        </is>
      </c>
    </row>
    <row r="8">
      <c r="A8" s="0" t="inlineStr">
        <is>
          <t xml:space="preserve">847-55-LE26</t>
        </is>
      </c>
      <c r="B8" s="4" t="inlineStr">
        <is>
          <t xml:space="preserve">PLANI-ADQ. DE ACCESORIOS INFORMÁTICOS P04-SC61.307</t>
        </is>
      </c>
      <c r="C8" s="0">
        <v>3</v>
      </c>
      <c r="D8" s="4" t="inlineStr">
        <is>
          <t xml:space="preserve">Trackballs y mouse de computador</t>
        </is>
      </c>
      <c r="E8" s="4" t="inlineStr">
        <is>
          <t xml:space="preserve">Tecnologías de la información, telecomunicaciones y radiodifusión / Equipos informáticos y accesorios / Dispositivos informáticos de entrada de datos</t>
        </is>
      </c>
      <c r="F8" s="0">
        <v>10.0</v>
      </c>
      <c r="G8" s="0" t="inlineStr">
        <is>
          <t xml:space="preserve">Unidad</t>
        </is>
      </c>
      <c r="H8" s="4" t="inlineStr">
        <is>
          <t xml:space="preserve">Mouse Ergonómico Vertical Wireless al 
menos 5 botones
Símil a Kensington K75575WW</t>
        </is>
      </c>
    </row>
    <row r="9">
      <c r="A9" s="0" t="inlineStr">
        <is>
          <t xml:space="preserve">847-55-LE26</t>
        </is>
      </c>
      <c r="B9" s="4" t="inlineStr">
        <is>
          <t xml:space="preserve">PLANI-ADQ. DE ACCESORIOS INFORMÁTICOS P04-SC61.307</t>
        </is>
      </c>
      <c r="C9" s="0">
        <v>4</v>
      </c>
      <c r="D9" s="4" t="inlineStr">
        <is>
          <t xml:space="preserve">Audífonos</t>
        </is>
      </c>
      <c r="E9" s="4" t="inlineStr">
        <is>
          <t xml:space="preserve">Muebles, accesorios, electrodomésticos y productos electrónicos / Equipos y accesorios audiovisuales / Equipos audiovisuales y de electrónica menor</t>
        </is>
      </c>
      <c r="F9" s="0">
        <v>50.0</v>
      </c>
      <c r="G9" s="0" t="inlineStr">
        <is>
          <t xml:space="preserve">Unidad</t>
        </is>
      </c>
      <c r="H9" s="4" t="inlineStr">
        <is>
          <t xml:space="preserve">Audífonos tipo gamer, con cancelación de 
ruido 
Símil a HP220S</t>
        </is>
      </c>
    </row>
    <row r="10">
      <c r="A10" s="0" t="inlineStr">
        <is>
          <t xml:space="preserve">847-55-LE26</t>
        </is>
      </c>
      <c r="B10" s="4" t="inlineStr">
        <is>
          <t xml:space="preserve">PLANI-ADQ. DE ACCESORIOS INFORMÁTICOS P04-SC61.307</t>
        </is>
      </c>
      <c r="C10" s="0">
        <v>5</v>
      </c>
      <c r="D10" s="4" t="inlineStr">
        <is>
          <t xml:space="preserve">Hilos o cables de conexión</t>
        </is>
      </c>
      <c r="E10" s="4" t="inlineStr">
        <is>
          <t xml:space="preserve">Artículos eléctricos y de iluminación / Equipamiento y artículos eléctricos / Conectores, enchufes y terminales</t>
        </is>
      </c>
      <c r="F10" s="0">
        <v>60.0</v>
      </c>
      <c r="G10" s="0" t="inlineStr">
        <is>
          <t xml:space="preserve">Unidad</t>
        </is>
      </c>
      <c r="H10" s="4" t="inlineStr">
        <is>
          <t xml:space="preserve">HUB USB 4 puertos USB-A. Entrada USB-AC 
Símil a XTC-390</t>
        </is>
      </c>
    </row>
    <row r="11">
      <c r="A11" s="0" t="inlineStr">
        <is>
          <t xml:space="preserve">847-55-LE26</t>
        </is>
      </c>
      <c r="B11" s="4" t="inlineStr">
        <is>
          <t xml:space="preserve">PLANI-ADQ. DE ACCESORIOS INFORMÁTICOS P04-SC61.307</t>
        </is>
      </c>
      <c r="C11" s="0">
        <v>6</v>
      </c>
      <c r="D11" s="4" t="inlineStr">
        <is>
          <t xml:space="preserve">Hilos o cables de conexión</t>
        </is>
      </c>
      <c r="E11" s="4" t="inlineStr">
        <is>
          <t xml:space="preserve">Artículos eléctricos y de iluminación / Equipamiento y artículos eléctricos / Conectores, enchufes y terminales</t>
        </is>
      </c>
      <c r="F11" s="0">
        <v>45.0</v>
      </c>
      <c r="G11" s="0" t="inlineStr">
        <is>
          <t xml:space="preserve">Unidad</t>
        </is>
      </c>
      <c r="H11" s="4" t="inlineStr">
        <is>
          <t xml:space="preserve">Cables HDMI a HDMI 1,4 4K de 1,5 a 2,0 
mts</t>
        </is>
      </c>
    </row>
    <row r="12">
      <c r="A12" s="0" t="inlineStr">
        <is>
          <t xml:space="preserve">847-55-LE26</t>
        </is>
      </c>
      <c r="B12" s="4" t="inlineStr">
        <is>
          <t xml:space="preserve">PLANI-ADQ. DE ACCESORIOS INFORMÁTICOS P04-SC61.307</t>
        </is>
      </c>
      <c r="C12" s="0">
        <v>7</v>
      </c>
      <c r="D12" s="4" t="inlineStr">
        <is>
          <t xml:space="preserve">Discos duros</t>
        </is>
      </c>
      <c r="E12" s="4" t="inlineStr">
        <is>
          <t xml:space="preserve">Tecnologías de la información, telecomunicaciones y radiodifusión / Componentes para tecnología de la información, difusión o telecomunicaciones / Dispositivos de soporte de almacenamiento</t>
        </is>
      </c>
      <c r="F12" s="0">
        <v>40.0</v>
      </c>
      <c r="G12" s="0" t="inlineStr">
        <is>
          <t xml:space="preserve">Unidad</t>
        </is>
      </c>
      <c r="H12" s="4" t="inlineStr">
        <is>
          <t xml:space="preserve">Discos SSD de 480/500 GB, formato 2.5”, 
Interfaz Sata III de 6 GB/s 
Símil a Kingston A400</t>
        </is>
      </c>
    </row>
    <row r="13">
      <c r="A13" s="0" t="inlineStr">
        <is>
          <t xml:space="preserve">847-55-LE26</t>
        </is>
      </c>
      <c r="B13" s="4" t="inlineStr">
        <is>
          <t xml:space="preserve">PLANI-ADQ. DE ACCESORIOS INFORMÁTICOS P04-SC61.307</t>
        </is>
      </c>
      <c r="C13" s="0">
        <v>8</v>
      </c>
      <c r="D13" s="4" t="inlineStr">
        <is>
          <t xml:space="preserve">Discos duros</t>
        </is>
      </c>
      <c r="E13" s="4" t="inlineStr">
        <is>
          <t xml:space="preserve">Tecnologías de la información, telecomunicaciones y radiodifusión / Componentes para tecnología de la información, difusión o telecomunicaciones / Dispositivos de soporte de almacenamiento</t>
        </is>
      </c>
      <c r="F13" s="0">
        <v>3.0</v>
      </c>
      <c r="G13" s="0" t="inlineStr">
        <is>
          <t xml:space="preserve">Unidad</t>
        </is>
      </c>
      <c r="H13" s="4" t="inlineStr">
        <is>
          <t xml:space="preserve">Discos SSD Externo USB-C mínimo Lectura 
1000 MB/s, Escritura 1000 MB/s 
Símil a Kingston XS1000</t>
        </is>
      </c>
    </row>
    <row r="14">
      <c r="A14" s="0" t="inlineStr">
        <is>
          <t xml:space="preserve">847-55-LE26</t>
        </is>
      </c>
      <c r="B14" s="4" t="inlineStr">
        <is>
          <t xml:space="preserve">PLANI-ADQ. DE ACCESORIOS INFORMÁTICOS P04-SC61.307</t>
        </is>
      </c>
      <c r="C14" s="0">
        <v>9</v>
      </c>
      <c r="D14" s="4" t="inlineStr">
        <is>
          <t xml:space="preserve">Hilos o cables de conexión</t>
        </is>
      </c>
      <c r="E14" s="4" t="inlineStr">
        <is>
          <t xml:space="preserve">Artículos eléctricos y de iluminación / Equipamiento y artículos eléctricos / Conectores, enchufes y terminales</t>
        </is>
      </c>
      <c r="F14" s="0">
        <v>5.0</v>
      </c>
      <c r="G14" s="0" t="inlineStr">
        <is>
          <t xml:space="preserve">Unidad</t>
        </is>
      </c>
      <c r="H14" s="4" t="inlineStr">
        <is>
          <t xml:space="preserve">Cargador USB-C 65W 20V/3,25A 
compatible con Lenovo K14 
Símil al original</t>
        </is>
      </c>
    </row>
    <row r="15">
      <c r="A15" s="0" t="inlineStr">
        <is>
          <t xml:space="preserve">1375761-51-LP26</t>
        </is>
      </c>
      <c r="B15" s="4" t="inlineStr">
        <is>
          <t xml:space="preserve">SIST. INF PLATAFORMA DE GESTION ESCOLAR SLEP V.D</t>
        </is>
      </c>
      <c r="C15" s="0">
        <v>1</v>
      </c>
      <c r="D15" s="4" t="inlineStr">
        <is>
          <t xml:space="preserve">Software del sistema de administración de bases de datos</t>
        </is>
      </c>
      <c r="E15" s="4" t="inlineStr">
        <is>
          <t xml:space="preserve">Tecnologías de la información, telecomunicaciones y radiodifusión / Software / Software de consultas y gestión de datos</t>
        </is>
      </c>
      <c r="F15" s="0">
        <v>1.0</v>
      </c>
      <c r="G15" s="0" t="inlineStr">
        <is>
          <t xml:space="preserve">Unidad</t>
        </is>
      </c>
      <c r="H15"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6">
      <c r="A16" s="0" t="inlineStr">
        <is>
          <t xml:space="preserve">1660-150-L126</t>
        </is>
      </c>
      <c r="B16" s="4" t="inlineStr">
        <is>
          <t xml:space="preserve">COMPRA DE SERVICIO TONS/TENS BODEGA DENTAL DE FARMACIA Y GESTIÓN DOCUMENTAL PARA EL HOSPITAL DE SALAMANCA</t>
        </is>
      </c>
      <c r="C16" s="0">
        <v>1</v>
      </c>
      <c r="D16" s="4" t="inlineStr">
        <is>
          <t xml:space="preserve">Personal técnico</t>
        </is>
      </c>
      <c r="E16" s="4" t="inlineStr">
        <is>
          <t xml:space="preserve">Servicios profesionales, administrativos y consultorías de gestión empresarial / Servicios de recursos humanos / Contratación de personal</t>
        </is>
      </c>
      <c r="F16" s="0">
        <v>1.0</v>
      </c>
      <c r="G16" s="0" t="inlineStr">
        <is>
          <t xml:space="preserve">Unidad</t>
        </is>
      </c>
      <c r="H16" s="4" t="inlineStr">
        <is>
          <t xml:space="preserve">COMPRA DE SERVICIO TONS/TENS BODEGA DENTAL DE FARMACIA Y GESTIÓN DOCUMENTAL PARA EL HOSPITAL DE SALAMANCA</t>
        </is>
      </c>
    </row>
    <row r="17">
      <c r="A17" s="0" t="inlineStr">
        <is>
          <t xml:space="preserve">2852-59-LP26</t>
        </is>
      </c>
      <c r="B17" s="4" t="inlineStr">
        <is>
          <t xml:space="preserve">ADQUISICION DE LICENCIAS DE SOFTWARE</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L1:Software CAD Profesional</t>
        </is>
      </c>
    </row>
    <row r="18">
      <c r="A18" s="0" t="inlineStr">
        <is>
          <t xml:space="preserve">2852-59-LP26</t>
        </is>
      </c>
      <c r="B18" s="4" t="inlineStr">
        <is>
          <t xml:space="preserve">ADQUISICION DE LICENCIAS DE SOFTWARE</t>
        </is>
      </c>
      <c r="C18" s="0">
        <v>2</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L2:Software de Producción Digital</t>
        </is>
      </c>
    </row>
    <row r="19">
      <c r="A19" s="0" t="inlineStr">
        <is>
          <t xml:space="preserve">2852-59-LP26</t>
        </is>
      </c>
      <c r="B19" s="4" t="inlineStr">
        <is>
          <t xml:space="preserve">ADQUISICION DE LICENCIAS DE SOFTWARE</t>
        </is>
      </c>
      <c r="C19" s="0">
        <v>3</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Unidad</t>
        </is>
      </c>
      <c r="H19" s="4" t="inlineStr">
        <is>
          <t xml:space="preserve">L3:Software de BIM Multidisciplinario</t>
        </is>
      </c>
    </row>
    <row r="20">
      <c r="A20" s="0" t="inlineStr">
        <is>
          <t xml:space="preserve">2852-59-LP26</t>
        </is>
      </c>
      <c r="B20" s="4" t="inlineStr">
        <is>
          <t xml:space="preserve">ADQUISICION DE LICENCIAS DE SOFTWARE</t>
        </is>
      </c>
      <c r="C20" s="0">
        <v>4</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L4:Software de Modelado 3D</t>
        </is>
      </c>
    </row>
    <row r="21">
      <c r="A21" s="0" t="inlineStr">
        <is>
          <t xml:space="preserve">2852-59-LP26</t>
        </is>
      </c>
      <c r="B21" s="4" t="inlineStr">
        <is>
          <t xml:space="preserve">ADQUISICION DE LICENCIAS DE SOFTWARE</t>
        </is>
      </c>
      <c r="C21" s="0">
        <v>5</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Unidad</t>
        </is>
      </c>
      <c r="H21" s="4" t="inlineStr">
        <is>
          <t xml:space="preserve">L5:Software para Video Institucional</t>
        </is>
      </c>
    </row>
    <row r="22">
      <c r="A22" s="0" t="inlineStr">
        <is>
          <t xml:space="preserve">2852-59-LP26</t>
        </is>
      </c>
      <c r="B22" s="4" t="inlineStr">
        <is>
          <t xml:space="preserve">ADQUISICION DE LICENCIAS DE SOFTWARE</t>
        </is>
      </c>
      <c r="C22" s="0">
        <v>6</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L6:Software de BIM Arquitectura</t>
        </is>
      </c>
    </row>
    <row r="23">
      <c r="A23" s="0" t="inlineStr">
        <is>
          <t xml:space="preserve">2852-59-LP26</t>
        </is>
      </c>
      <c r="B23" s="4" t="inlineStr">
        <is>
          <t xml:space="preserve">ADQUISICION DE LICENCIAS DE SOFTWARE</t>
        </is>
      </c>
      <c r="C23" s="0">
        <v>7</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L7:Software de Gestión de Redes Sociales</t>
        </is>
      </c>
    </row>
    <row r="24">
      <c r="A24" s="0" t="inlineStr">
        <is>
          <t xml:space="preserve">2852-59-LP26</t>
        </is>
      </c>
      <c r="B24" s="4" t="inlineStr">
        <is>
          <t xml:space="preserve">ADQUISICION DE LICENCIAS DE SOFTWARE</t>
        </is>
      </c>
      <c r="C24" s="0">
        <v>8</v>
      </c>
      <c r="D24" s="4" t="inlineStr">
        <is>
          <t xml:space="preserve">Software de gestión de adquisiciones</t>
        </is>
      </c>
      <c r="E24" s="4" t="inlineStr">
        <is>
          <t xml:space="preserve">Tecnologías de la información, telecomunicaciones y radiodifusión / Software / Software de gestión</t>
        </is>
      </c>
      <c r="F24" s="0">
        <v>1.0</v>
      </c>
      <c r="G24" s="0" t="inlineStr">
        <is>
          <t xml:space="preserve">Unidad</t>
        </is>
      </c>
      <c r="H24" s="4" t="inlineStr">
        <is>
          <t xml:space="preserve">L8:Software de Inteligencia Artificial</t>
        </is>
      </c>
    </row>
    <row r="25">
      <c r="A25" s="0" t="inlineStr">
        <is>
          <t xml:space="preserve">2852-59-LP26</t>
        </is>
      </c>
      <c r="B25" s="4" t="inlineStr">
        <is>
          <t xml:space="preserve">ADQUISICION DE LICENCIAS DE SOFTWARE</t>
        </is>
      </c>
      <c r="C25" s="0">
        <v>9</v>
      </c>
      <c r="D25" s="4" t="inlineStr">
        <is>
          <t xml:space="preserve">Software de gestión de recursos humanos</t>
        </is>
      </c>
      <c r="E25" s="4" t="inlineStr">
        <is>
          <t xml:space="preserve">Tecnologías de la información, telecomunicaciones y radiodifusión / Software / Software de gestión</t>
        </is>
      </c>
      <c r="F25" s="0">
        <v>1.0</v>
      </c>
      <c r="G25" s="0" t="inlineStr">
        <is>
          <t xml:space="preserve">Unidad</t>
        </is>
      </c>
      <c r="H25" s="4" t="inlineStr">
        <is>
          <t xml:space="preserve">L9:Software Antivirus</t>
        </is>
      </c>
    </row>
    <row r="26">
      <c r="A26" s="0" t="inlineStr">
        <is>
          <t xml:space="preserve">2852-59-LP26</t>
        </is>
      </c>
      <c r="B26" s="4" t="inlineStr">
        <is>
          <t xml:space="preserve">ADQUISICION DE LICENCIAS DE SOFTWARE</t>
        </is>
      </c>
      <c r="C26" s="0">
        <v>10</v>
      </c>
      <c r="D26" s="4" t="inlineStr">
        <is>
          <t xml:space="preserve">Software de contabilidad temporal</t>
        </is>
      </c>
      <c r="E26" s="4" t="inlineStr">
        <is>
          <t xml:space="preserve">Tecnologías de la información, telecomunicaciones y radiodifusión / Software / Software de planificación de recursos empresariales (ERP) y contabilidad financiera</t>
        </is>
      </c>
      <c r="F26" s="0">
        <v>1.0</v>
      </c>
      <c r="G26" s="0" t="inlineStr">
        <is>
          <t xml:space="preserve">Unidad</t>
        </is>
      </c>
      <c r="H26" s="4" t="inlineStr">
        <is>
          <t xml:space="preserve">L10:Software de gestión de Videocámaras</t>
        </is>
      </c>
    </row>
    <row r="27">
      <c r="A27" s="0" t="inlineStr">
        <is>
          <t xml:space="preserve">2852-59-LP26</t>
        </is>
      </c>
      <c r="B27" s="4" t="inlineStr">
        <is>
          <t xml:space="preserve">ADQUISICION DE LICENCIAS DE SOFTWARE</t>
        </is>
      </c>
      <c r="C27" s="0">
        <v>11</v>
      </c>
      <c r="D27" s="4" t="inlineStr">
        <is>
          <t xml:space="preserve">Software de gestión de relaciones con el cliente (CRM)</t>
        </is>
      </c>
      <c r="E27" s="4" t="inlineStr">
        <is>
          <t xml:space="preserve">Tecnologías de la información, telecomunicaciones y radiodifusión / Software / Software de consultas y gestión de datos</t>
        </is>
      </c>
      <c r="F27" s="0">
        <v>1.0</v>
      </c>
      <c r="G27" s="0" t="inlineStr">
        <is>
          <t xml:space="preserve">Unidad</t>
        </is>
      </c>
      <c r="H27" s="4" t="inlineStr">
        <is>
          <t xml:space="preserve">L11:Software de Fotogrametría</t>
        </is>
      </c>
    </row>
    <row r="28">
      <c r="A28" s="0" t="inlineStr">
        <is>
          <t xml:space="preserve">2343-33-LE26</t>
        </is>
      </c>
      <c r="B28" s="4" t="inlineStr">
        <is>
          <t xml:space="preserve">ADQUISICION DE PLATAFORMA TECNOLOGICA UAS</t>
        </is>
      </c>
      <c r="C28" s="0">
        <v>1</v>
      </c>
      <c r="D28" s="4" t="inlineStr">
        <is>
          <t xml:space="preserve">Cámaras de seguridad</t>
        </is>
      </c>
      <c r="E28" s="4" t="inlineStr">
        <is>
          <t xml:space="preserve">Equipos y suministros de defensa, orden público, protección y seguridad / Seguridad, vigilancia y detección / Equipo de vigilancia y detección</t>
        </is>
      </c>
      <c r="F28" s="0">
        <v>1.0</v>
      </c>
      <c r="G28" s="0" t="inlineStr">
        <is>
          <t xml:space="preserve">Unidad</t>
        </is>
      </c>
      <c r="H28" s="4" t="inlineStr">
        <is>
          <t xml:space="preserve">ADQUISICION DE PLATAFORMA TECNOLOGICA UAS</t>
        </is>
      </c>
    </row>
    <row r="29">
      <c r="A29" s="0" t="inlineStr">
        <is>
          <t xml:space="preserve">1079639-23-LE26</t>
        </is>
      </c>
      <c r="B29" s="4" t="inlineStr">
        <is>
          <t xml:space="preserve">RENOVACIÓN SOFTWARE INSEYETS PRO POR 12 MESES</t>
        </is>
      </c>
      <c r="C29" s="0">
        <v>1</v>
      </c>
      <c r="D29" s="4" t="inlineStr">
        <is>
          <t xml:space="preserve">Software de sistema experto</t>
        </is>
      </c>
      <c r="E29" s="4" t="inlineStr">
        <is>
          <t xml:space="preserve">Tecnologías de la información, telecomunicaciones y radiodifusión / Software / Software de gestión</t>
        </is>
      </c>
      <c r="F29" s="0">
        <v>1.0</v>
      </c>
      <c r="G29" s="0" t="inlineStr">
        <is>
          <t xml:space="preserve">Unidad</t>
        </is>
      </c>
      <c r="H29" s="4" t="inlineStr">
        <is>
          <t xml:space="preserve">RENOVACION INSEYETS PRO POR 12 MESES PARA
LA SECCIÓN OS9 LOS LAGOS</t>
        </is>
      </c>
    </row>
    <row r="30">
      <c r="A30" s="0" t="inlineStr">
        <is>
          <t xml:space="preserve">3712-70-LE26</t>
        </is>
      </c>
      <c r="B30" s="4" t="inlineStr">
        <is>
          <t xml:space="preserve">ADQUISICION DE TOTEM DE AUTOATENCION CHILEATIENDE</t>
        </is>
      </c>
      <c r="C30" s="0">
        <v>1</v>
      </c>
      <c r="D30" s="4" t="inlineStr">
        <is>
          <t xml:space="preserve">Monitores de pantalla táctil</t>
        </is>
      </c>
      <c r="E30" s="4" t="inlineStr">
        <is>
          <t xml:space="preserve">Tecnologías de la información, telecomunicaciones y radiodifusión / Equipos informáticos y accesorios / Pantallas o monitores de computador</t>
        </is>
      </c>
      <c r="F30" s="0">
        <v>1.0</v>
      </c>
      <c r="G30" s="0" t="inlineStr">
        <is>
          <t xml:space="preserve">Unidad</t>
        </is>
      </c>
      <c r="H30" s="4" t="inlineStr">
        <is>
          <t xml:space="preserve">DE ACUERDO A LAS BASES</t>
        </is>
      </c>
    </row>
    <row r="31">
      <c r="A31" s="0" t="inlineStr">
        <is>
          <t xml:space="preserve">4459-23-LP26</t>
        </is>
      </c>
      <c r="B31" s="4" t="inlineStr">
        <is>
          <t xml:space="preserve">Plataforma de Sistemas Informáticos de Gestión Municipal para la Ilustre Municipalidad de Pichilemu</t>
        </is>
      </c>
      <c r="C31" s="0">
        <v>1</v>
      </c>
      <c r="D31" s="4" t="inlineStr">
        <is>
          <t xml:space="preserve">Software de mejora de sistemas operativos de redes</t>
        </is>
      </c>
      <c r="E31" s="4" t="inlineStr">
        <is>
          <t xml:space="preserve">Tecnologías de la información, telecomunicaciones y radiodifusión / Software / Software de administración de redes</t>
        </is>
      </c>
      <c r="F31" s="0">
        <v>1.0</v>
      </c>
      <c r="G31" s="0" t="inlineStr">
        <is>
          <t xml:space="preserve">Unidad</t>
        </is>
      </c>
      <c r="H31"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32">
      <c r="A32" s="0" t="inlineStr">
        <is>
          <t xml:space="preserve">976-20-LE26</t>
        </is>
      </c>
      <c r="B32" s="4" t="inlineStr">
        <is>
          <t xml:space="preserve">Equipos computacionales e informáticos</t>
        </is>
      </c>
      <c r="C32" s="0">
        <v>1</v>
      </c>
      <c r="D32" s="4" t="inlineStr">
        <is>
          <t xml:space="preserve">Trazadoras de gráficos</t>
        </is>
      </c>
      <c r="E32" s="4" t="inlineStr">
        <is>
          <t xml:space="preserve">Tecnologías de la información, telecomunicaciones y radiodifusión / Equipos informáticos y accesorios / Impresoras</t>
        </is>
      </c>
      <c r="F32" s="0">
        <v>1.0</v>
      </c>
      <c r="G32" s="0" t="inlineStr">
        <is>
          <t xml:space="preserve">Unidad</t>
        </is>
      </c>
      <c r="H32" s="4" t="inlineStr">
        <is>
          <t xml:space="preserve">plotter de 44"</t>
        </is>
      </c>
    </row>
    <row r="33">
      <c r="A33" s="0" t="inlineStr">
        <is>
          <t xml:space="preserve">976-20-LE26</t>
        </is>
      </c>
      <c r="B33" s="4" t="inlineStr">
        <is>
          <t xml:space="preserve">Equipos computacionales e informáticos</t>
        </is>
      </c>
      <c r="C33" s="0">
        <v>2</v>
      </c>
      <c r="D33" s="4" t="inlineStr">
        <is>
          <t xml:space="preserve">Computadores de escritorio</t>
        </is>
      </c>
      <c r="E33" s="4" t="inlineStr">
        <is>
          <t xml:space="preserve">Tecnologías de la información, telecomunicaciones y radiodifusión / Equipos informáticos y accesorios / Computadores</t>
        </is>
      </c>
      <c r="F33" s="0">
        <v>15.0</v>
      </c>
      <c r="G33" s="0" t="inlineStr">
        <is>
          <t xml:space="preserve">Unidad</t>
        </is>
      </c>
      <c r="H33" s="4" t="inlineStr">
        <is>
          <t xml:space="preserve">desktop / CPU sin monitor</t>
        </is>
      </c>
    </row>
    <row r="34">
      <c r="A34" s="0" t="inlineStr">
        <is>
          <t xml:space="preserve">976-20-LE26</t>
        </is>
      </c>
      <c r="B34" s="4" t="inlineStr">
        <is>
          <t xml:space="preserve">Equipos computacionales e informáticos</t>
        </is>
      </c>
      <c r="C34" s="0">
        <v>3</v>
      </c>
      <c r="D34" s="4" t="inlineStr">
        <is>
          <t xml:space="preserve">Notebook, laptop o computador portátil excepto Tablet PC</t>
        </is>
      </c>
      <c r="E34" s="4" t="inlineStr">
        <is>
          <t xml:space="preserve">Tecnologías de la información, telecomunicaciones y radiodifusión / Equipos informáticos y accesorios / Computadores</t>
        </is>
      </c>
      <c r="F34" s="0">
        <v>41.0</v>
      </c>
      <c r="G34" s="0" t="inlineStr">
        <is>
          <t xml:space="preserve">Unidad</t>
        </is>
      </c>
      <c r="H34" s="4" t="inlineStr">
        <is>
          <t xml:space="preserve">notebook 16GB - 1TB</t>
        </is>
      </c>
    </row>
    <row r="35">
      <c r="A35" s="0" t="inlineStr">
        <is>
          <t xml:space="preserve">976-20-LE26</t>
        </is>
      </c>
      <c r="B35" s="4" t="inlineStr">
        <is>
          <t xml:space="preserve">Equipos computacionales e informáticos</t>
        </is>
      </c>
      <c r="C35" s="0">
        <v>4</v>
      </c>
      <c r="D35" s="4" t="inlineStr">
        <is>
          <t xml:space="preserve">Computadores de escritorio</t>
        </is>
      </c>
      <c r="E35" s="4" t="inlineStr">
        <is>
          <t xml:space="preserve">Tecnologías de la información, telecomunicaciones y radiodifusión / Equipos informáticos y accesorios / Computadores</t>
        </is>
      </c>
      <c r="F35" s="0">
        <v>2.0</v>
      </c>
      <c r="G35" s="0" t="inlineStr">
        <is>
          <t xml:space="preserve">Unidad</t>
        </is>
      </c>
      <c r="H35" s="4" t="inlineStr">
        <is>
          <t xml:space="preserve">workstation de escritorio</t>
        </is>
      </c>
    </row>
    <row r="36">
      <c r="A36" s="0" t="inlineStr">
        <is>
          <t xml:space="preserve">976-20-LE26</t>
        </is>
      </c>
      <c r="B36" s="4" t="inlineStr">
        <is>
          <t xml:space="preserve">Equipos computacionales e informáticos</t>
        </is>
      </c>
      <c r="C36" s="0">
        <v>5</v>
      </c>
      <c r="D36" s="4" t="inlineStr">
        <is>
          <t xml:space="preserve">Notebook, laptop o computador portátil excepto Tablet PC</t>
        </is>
      </c>
      <c r="E36" s="4" t="inlineStr">
        <is>
          <t xml:space="preserve">Tecnologías de la información, telecomunicaciones y radiodifusión / Equipos informáticos y accesorios / Computadores</t>
        </is>
      </c>
      <c r="F36" s="0">
        <v>5.0</v>
      </c>
      <c r="G36" s="0" t="inlineStr">
        <is>
          <t xml:space="preserve">Unidad</t>
        </is>
      </c>
      <c r="H36" s="4" t="inlineStr">
        <is>
          <t xml:space="preserve">notebook 32GB - 2TB</t>
        </is>
      </c>
    </row>
    <row r="37">
      <c r="A37" s="0" t="inlineStr">
        <is>
          <t xml:space="preserve">4511-58-LE26</t>
        </is>
      </c>
      <c r="B37" s="4" t="inlineStr">
        <is>
          <t xml:space="preserve">Contratación de software trámites en línea Dirección de Obras Municipales I. Municipalidad de Retiro</t>
        </is>
      </c>
      <c r="C37" s="0">
        <v>1</v>
      </c>
      <c r="D37" s="4" t="inlineStr">
        <is>
          <t xml:space="preserve">Software de creación de informes de bases de datos</t>
        </is>
      </c>
      <c r="E37" s="4" t="inlineStr">
        <is>
          <t xml:space="preserve">Tecnologías de la información, telecomunicaciones y radiodifusión / Software / Software de consultas y gestión de datos</t>
        </is>
      </c>
      <c r="F37" s="0">
        <v>1.0</v>
      </c>
      <c r="G37" s="0" t="inlineStr">
        <is>
          <t xml:space="preserve">Global</t>
        </is>
      </c>
      <c r="H37" s="4" t="inlineStr">
        <is>
          <t xml:space="preserve">contratación del Software Trámites en Línea DOM, Retiro</t>
        </is>
      </c>
    </row>
    <row r="38">
      <c r="A38" s="0" t="inlineStr">
        <is>
          <t xml:space="preserve">948354-139-LR26</t>
        </is>
      </c>
      <c r="B38" s="4" t="inlineStr">
        <is>
          <t xml:space="preserve">CONTRATACIÓN DE SERVICIO DE SOFTWARE DE RECURSOS HUMANOS PARA EL HOSPITAL DIPRECA</t>
        </is>
      </c>
      <c r="C38" s="0">
        <v>1</v>
      </c>
      <c r="D38" s="4" t="inlineStr">
        <is>
          <t xml:space="preserve">Software de gestión de recursos humanos</t>
        </is>
      </c>
      <c r="E38" s="4" t="inlineStr">
        <is>
          <t xml:space="preserve">Tecnologías de la información, telecomunicaciones y radiodifusión / Software / Software de gestión</t>
        </is>
      </c>
      <c r="F38" s="0">
        <v>1.0</v>
      </c>
      <c r="G38" s="0" t="inlineStr">
        <is>
          <t xml:space="preserve">Unidad</t>
        </is>
      </c>
      <c r="H38" s="4" t="inlineStr">
        <is>
          <t xml:space="preserve">CONTRATACIÓN DE SERVICIO DE SOFTWARE DE RECURSOS HUMANOS</t>
        </is>
      </c>
    </row>
    <row r="39">
      <c r="A39" s="0" t="inlineStr">
        <is>
          <t xml:space="preserve">3090-11-L126</t>
        </is>
      </c>
      <c r="B39" s="4" t="inlineStr">
        <is>
          <t xml:space="preserve">RETIRO, PROVISIÓN E INSTALACIÓN DE TABLERO Y EMPALME ELECTRICO</t>
        </is>
      </c>
      <c r="C39" s="0">
        <v>1</v>
      </c>
      <c r="D39" s="4" t="inlineStr">
        <is>
          <t xml:space="preserve">Instalación o servicio de sistemas de energía eléctrica</t>
        </is>
      </c>
      <c r="E39" s="4" t="inlineStr">
        <is>
          <t xml:space="preserve">Servicios de construcción y mantenimiento / Servicios de atención, mantenimiento y reparaciones de edificios / Servicios eléctricos</t>
        </is>
      </c>
      <c r="F39" s="0">
        <v>1.0</v>
      </c>
      <c r="G39" s="0" t="inlineStr">
        <is>
          <t xml:space="preserve">Unidad no definida</t>
        </is>
      </c>
      <c r="H39" s="4" t="inlineStr">
        <is>
          <t xml:space="preserve">Servicio de retiro, provisión e instalación de tablero y empalme eléctrico de la Central Odontológica de la Segunda Zona Naval.</t>
        </is>
      </c>
    </row>
    <row r="40">
      <c r="A40" s="0" t="inlineStr">
        <is>
          <t xml:space="preserve">1494906-9-LE26</t>
        </is>
      </c>
      <c r="B40" s="4" t="inlineStr">
        <is>
          <t xml:space="preserve">SEGUNDO LLAMADO ADQUISICIÓN DE EQUIPOS ESPECIALIZADOS PARA DIGITALIZACIÓN Y ALMACENAMIENTO</t>
        </is>
      </c>
      <c r="C40" s="0">
        <v>1</v>
      </c>
      <c r="D40" s="4" t="inlineStr">
        <is>
          <t xml:space="preserve">Computadores personales</t>
        </is>
      </c>
      <c r="E40" s="4" t="inlineStr">
        <is>
          <t xml:space="preserve">Tecnologías de la información, telecomunicaciones y radiodifusión / Equipos informáticos y accesorios / Computadores</t>
        </is>
      </c>
      <c r="F40" s="0">
        <v>1.0</v>
      </c>
      <c r="G40" s="0" t="inlineStr">
        <is>
          <t xml:space="preserve">Unidad</t>
        </is>
      </c>
      <c r="H40" s="4" t="inlineStr">
        <is>
          <t xml:space="preserve">Computador, estación de trabajo (Workstation), o equivalente técnico a HP Z8 Fury G5 de alto rendimiento.</t>
        </is>
      </c>
    </row>
    <row r="41">
      <c r="A41" s="0" t="inlineStr">
        <is>
          <t xml:space="preserve">1494906-9-LE26</t>
        </is>
      </c>
      <c r="B41" s="4" t="inlineStr">
        <is>
          <t xml:space="preserve">SEGUNDO LLAMADO ADQUISICIÓN DE EQUIPOS ESPECIALIZADOS PARA DIGITALIZACIÓN Y ALMACENAMIENTO</t>
        </is>
      </c>
      <c r="C41" s="0">
        <v>2</v>
      </c>
      <c r="D41" s="4" t="inlineStr">
        <is>
          <t xml:space="preserve">Unidades de medios desmontables de gran capacidad</t>
        </is>
      </c>
      <c r="E41" s="4" t="inlineStr">
        <is>
          <t xml:space="preserve">Tecnologías de la información, telecomunicaciones y radiodifusión / Componentes para tecnología de la información, difusión o telecomunicaciones / Dispositivos de soporte de almacenamiento</t>
        </is>
      </c>
      <c r="F41" s="0">
        <v>8.0</v>
      </c>
      <c r="G41" s="0" t="inlineStr">
        <is>
          <t xml:space="preserve">Unidad</t>
        </is>
      </c>
      <c r="H41" s="4" t="inlineStr">
        <is>
          <t xml:space="preserve">Cintas de datos LTO 8 (Linear Tape-Open) Ultrium RW Hewlett Packard o superior, de uso profesional para respaldo y conservación de archivos digitales.</t>
        </is>
      </c>
    </row>
    <row r="42">
      <c r="A42" s="0" t="inlineStr">
        <is>
          <t xml:space="preserve">1494906-9-LE26</t>
        </is>
      </c>
      <c r="B42" s="4" t="inlineStr">
        <is>
          <t xml:space="preserve">SEGUNDO LLAMADO ADQUISICIÓN DE EQUIPOS ESPECIALIZADOS PARA DIGITALIZACIÓN Y ALMACENAMIENTO</t>
        </is>
      </c>
      <c r="C42" s="0">
        <v>3</v>
      </c>
      <c r="D42" s="4" t="inlineStr">
        <is>
          <t xml:space="preserve">Tarjetas aceleradoras de video o gráficos</t>
        </is>
      </c>
      <c r="E42" s="4" t="inlineStr">
        <is>
          <t xml:space="preserve">Tecnologías de la información, telecomunicaciones y radiodifusión / Componentes para tecnología de la información, difusión o telecomunicaciones / Tarjetas de sistema</t>
        </is>
      </c>
      <c r="F42" s="0">
        <v>1.0</v>
      </c>
      <c r="G42" s="0" t="inlineStr">
        <is>
          <t xml:space="preserve">Unidad</t>
        </is>
      </c>
      <c r="H42" s="4" t="inlineStr">
        <is>
          <t xml:space="preserve">Tarjeta de video (GPU), equivalente técnico a NVIDIA GeForce GT 730 o superior.</t>
        </is>
      </c>
    </row>
    <row r="43">
      <c r="A43" s="0" t="inlineStr">
        <is>
          <t xml:space="preserve">1153624-22-LE26</t>
        </is>
      </c>
      <c r="B43" s="4" t="inlineStr">
        <is>
          <t xml:space="preserve">Servicio enlace de datos de internet</t>
        </is>
      </c>
      <c r="C43" s="0">
        <v>1</v>
      </c>
      <c r="D43" s="4" t="inlineStr">
        <is>
          <t xml:space="preserve">Servicios de almacenamiento de datos</t>
        </is>
      </c>
      <c r="E43" s="4" t="inlineStr">
        <is>
          <t xml:space="preserve">Servicios basados en ingeniería, ciencias sociales y tecnología de la información / Servicios informáticos / Servicios de datos</t>
        </is>
      </c>
      <c r="F43" s="0">
        <v>1.0</v>
      </c>
      <c r="G43" s="0" t="inlineStr">
        <is>
          <t xml:space="preserve">Unidad</t>
        </is>
      </c>
      <c r="H43" s="4" t="inlineStr">
        <is>
          <t xml:space="preserve">Servicio enlace de datos de internet</t>
        </is>
      </c>
    </row>
    <row r="44">
      <c r="A44" s="0" t="inlineStr">
        <is>
          <t xml:space="preserve">3000-34-LE26</t>
        </is>
      </c>
      <c r="B44" s="4" t="inlineStr">
        <is>
          <t xml:space="preserve">Relojes Control de Asistencia Software de Gestión</t>
        </is>
      </c>
      <c r="C44" s="0">
        <v>1</v>
      </c>
      <c r="D44" s="4" t="inlineStr">
        <is>
          <t xml:space="preserve">Reloj de control</t>
        </is>
      </c>
      <c r="E44" s="4" t="inlineStr">
        <is>
          <t xml:space="preserve">Equipos, accesorios y suministros de oficina / Maquinarias, suministros y accesorios de oficina / Máquinas y accesorios para registro de hora y asistencia en la oficina</t>
        </is>
      </c>
      <c r="F44" s="0">
        <v>20.0</v>
      </c>
      <c r="G44" s="0" t="inlineStr">
        <is>
          <t xml:space="preserve">Unidad</t>
        </is>
      </c>
      <c r="H44" s="4" t="inlineStr">
        <is>
          <t xml:space="preserve">Reloj Control de Asistencia Municipal, según lo indicado en Bases y TTR e Licitación</t>
        </is>
      </c>
    </row>
    <row r="45">
      <c r="A45" s="0" t="inlineStr">
        <is>
          <t xml:space="preserve">3000-34-LE26</t>
        </is>
      </c>
      <c r="B45" s="4" t="inlineStr">
        <is>
          <t xml:space="preserve">Relojes Control de Asistencia Software de Gestión</t>
        </is>
      </c>
      <c r="C45" s="0">
        <v>2</v>
      </c>
      <c r="D45" s="4" t="inlineStr">
        <is>
          <t xml:space="preserve">Reloj de control</t>
        </is>
      </c>
      <c r="E45" s="4" t="inlineStr">
        <is>
          <t xml:space="preserve">Equipos, accesorios y suministros de oficina / Maquinarias, suministros y accesorios de oficina / Máquinas y accesorios para registro de hora y asistencia en la oficina</t>
        </is>
      </c>
      <c r="F45" s="0">
        <v>1.0</v>
      </c>
      <c r="G45" s="0" t="inlineStr">
        <is>
          <t xml:space="preserve">Global</t>
        </is>
      </c>
      <c r="H45" s="4" t="inlineStr">
        <is>
          <t xml:space="preserve">Software de Reloj Control de Asistencia Municipal, según lo indicado en Bases y TTR e Licitación</t>
        </is>
      </c>
    </row>
    <row r="46">
      <c r="A46" s="0" t="inlineStr">
        <is>
          <t xml:space="preserve">3000-34-LE26</t>
        </is>
      </c>
      <c r="B46" s="4" t="inlineStr">
        <is>
          <t xml:space="preserve">Relojes Control de Asistencia Software de Gestión</t>
        </is>
      </c>
      <c r="C46" s="0">
        <v>3</v>
      </c>
      <c r="D46" s="4" t="inlineStr">
        <is>
          <t xml:space="preserve">Reloj de control</t>
        </is>
      </c>
      <c r="E46" s="4" t="inlineStr">
        <is>
          <t xml:space="preserve">Equipos, accesorios y suministros de oficina / Maquinarias, suministros y accesorios de oficina / Máquinas y accesorios para registro de hora y asistencia en la oficina</t>
        </is>
      </c>
      <c r="F46" s="0">
        <v>1.0</v>
      </c>
      <c r="G46" s="0" t="inlineStr">
        <is>
          <t xml:space="preserve">Unidad</t>
        </is>
      </c>
      <c r="H46" s="4" t="inlineStr">
        <is>
          <t xml:space="preserve">Capacitación Software y Reloj Control de Asistencia Municipal, según lo indicado en Bases y TTR e Licitación</t>
        </is>
      </c>
    </row>
    <row r="47">
      <c r="A47" s="0" t="inlineStr">
        <is>
          <t xml:space="preserve">3000-34-LE26</t>
        </is>
      </c>
      <c r="B47" s="4" t="inlineStr">
        <is>
          <t xml:space="preserve">Relojes Control de Asistencia Software de Gestión</t>
        </is>
      </c>
      <c r="C47" s="0">
        <v>4</v>
      </c>
      <c r="D47" s="4" t="inlineStr">
        <is>
          <t xml:space="preserve">Reloj de control</t>
        </is>
      </c>
      <c r="E47" s="4" t="inlineStr">
        <is>
          <t xml:space="preserve">Equipos, accesorios y suministros de oficina / Maquinarias, suministros y accesorios de oficina / Máquinas y accesorios para registro de hora y asistencia en la oficina</t>
        </is>
      </c>
      <c r="F47" s="0">
        <v>6.0</v>
      </c>
      <c r="G47" s="0" t="inlineStr">
        <is>
          <t xml:space="preserve">Unidad</t>
        </is>
      </c>
      <c r="H47" s="4" t="inlineStr">
        <is>
          <t xml:space="preserve">Reloj Control de Asistencia Dpto. Salud, según lo indicado en Bases y TTR e Licitación</t>
        </is>
      </c>
    </row>
    <row r="48">
      <c r="A48" s="0" t="inlineStr">
        <is>
          <t xml:space="preserve">3000-34-LE26</t>
        </is>
      </c>
      <c r="B48" s="4" t="inlineStr">
        <is>
          <t xml:space="preserve">Relojes Control de Asistencia Software de Gestión</t>
        </is>
      </c>
      <c r="C48" s="0">
        <v>5</v>
      </c>
      <c r="D48" s="4" t="inlineStr">
        <is>
          <t xml:space="preserve">Reloj de control</t>
        </is>
      </c>
      <c r="E48" s="4" t="inlineStr">
        <is>
          <t xml:space="preserve">Equipos, accesorios y suministros de oficina / Maquinarias, suministros y accesorios de oficina / Máquinas y accesorios para registro de hora y asistencia en la oficina</t>
        </is>
      </c>
      <c r="F48" s="0">
        <v>1.0</v>
      </c>
      <c r="G48" s="0" t="inlineStr">
        <is>
          <t xml:space="preserve">Global</t>
        </is>
      </c>
      <c r="H48" s="4" t="inlineStr">
        <is>
          <t xml:space="preserve">Software de Reloj Control de Asistencia Dpto. Salud, según lo indicado en Bases y TTR e Licitación</t>
        </is>
      </c>
    </row>
    <row r="49">
      <c r="A49" s="0" t="inlineStr">
        <is>
          <t xml:space="preserve">3000-34-LE26</t>
        </is>
      </c>
      <c r="B49" s="4" t="inlineStr">
        <is>
          <t xml:space="preserve">Relojes Control de Asistencia Software de Gestión</t>
        </is>
      </c>
      <c r="C49" s="0">
        <v>6</v>
      </c>
      <c r="D49" s="4" t="inlineStr">
        <is>
          <t xml:space="preserve">Reloj de control</t>
        </is>
      </c>
      <c r="E49" s="4" t="inlineStr">
        <is>
          <t xml:space="preserve">Equipos, accesorios y suministros de oficina / Maquinarias, suministros y accesorios de oficina / Máquinas y accesorios para registro de hora y asistencia en la oficina</t>
        </is>
      </c>
      <c r="F49" s="0">
        <v>1.0</v>
      </c>
      <c r="G49" s="0" t="inlineStr">
        <is>
          <t xml:space="preserve">Unidad</t>
        </is>
      </c>
      <c r="H49" s="4" t="inlineStr">
        <is>
          <t xml:space="preserve">Capacitación Software y Reloj Control de Asistencia Dpto. Salud, según lo indicado en Bases y TTR e Licitación</t>
        </is>
      </c>
    </row>
    <row r="50">
      <c r="A50" s="0" t="inlineStr">
        <is>
          <t xml:space="preserve">514862-125-LR26</t>
        </is>
      </c>
      <c r="B50" s="4" t="inlineStr">
        <is>
          <t xml:space="preserve">10032938 PLATAFORMA DE AGENDAMIENTO TELECONSULTAS</t>
        </is>
      </c>
      <c r="C50" s="0">
        <v>1</v>
      </c>
      <c r="D50" s="4" t="inlineStr">
        <is>
          <t xml:space="preserve">Servicios de transformación de datos</t>
        </is>
      </c>
      <c r="E50" s="4" t="inlineStr">
        <is>
          <t xml:space="preserve">Servicios basados en ingeniería, ciencias sociales y tecnología de la información / Servicios informáticos / Servicios de datos</t>
        </is>
      </c>
      <c r="F50" s="0">
        <v>1.0</v>
      </c>
      <c r="G50" s="0" t="inlineStr">
        <is>
          <t xml:space="preserve">Unidad</t>
        </is>
      </c>
      <c r="H50" s="4" t="inlineStr">
        <is>
          <t xml:space="preserve">PLATAFORMA INTEGRAL DE AGENDAMIENTO, TELECONSULTAS Y GESTIÓN DE FILAS PARA LA ATENCIÓN</t>
        </is>
      </c>
    </row>
    <row r="51">
      <c r="A51" s="0" t="inlineStr">
        <is>
          <t xml:space="preserve">869591-12-LP26</t>
        </is>
      </c>
      <c r="B51" s="4" t="inlineStr">
        <is>
          <t xml:space="preserve">CONTRATACIÓN DE PLATAFORMA DE GESTIÓN DOCUMENTAL EXPEDIENTE ELECTRÓNICO Y GESTIÓN DE PROCESOS</t>
        </is>
      </c>
      <c r="C51" s="0">
        <v>1</v>
      </c>
      <c r="D51" s="4" t="inlineStr">
        <is>
          <t xml:space="preserve">Programas de gestión de documentos</t>
        </is>
      </c>
      <c r="E51" s="4" t="inlineStr">
        <is>
          <t xml:space="preserve">Tecnologías de la información, telecomunicaciones y radiodifusión / Software / Software de gestión de contenidos</t>
        </is>
      </c>
      <c r="F51" s="0">
        <v>1.0</v>
      </c>
      <c r="G51" s="0" t="inlineStr">
        <is>
          <t xml:space="preserve">Unidad</t>
        </is>
      </c>
      <c r="H51" s="4" t="inlineStr">
        <is>
          <t xml:space="preserve">CONTRATACIÓN DE PLATAFORMA DE GESTIÓN DOCUMENTAL, EXPEDIENTE ELECTRÓNICO Y GESTIÓN DE PROCESOS PARA LA DIRECCIÓN DE COMPRAS Y CONTRATACIÓN PÚBLICA</t>
        </is>
      </c>
    </row>
    <row r="52">
      <c r="A52" s="0" t="inlineStr">
        <is>
          <t xml:space="preserve">2563-43-LP26</t>
        </is>
      </c>
      <c r="B52" s="4" t="inlineStr">
        <is>
          <t xml:space="preserve">Adquisición de cámaras IA y radares de seguridad</t>
        </is>
      </c>
      <c r="C52" s="0">
        <v>1</v>
      </c>
      <c r="D52" s="4" t="inlineStr">
        <is>
          <t xml:space="preserve">Cámaras de seguridad</t>
        </is>
      </c>
      <c r="E52" s="4" t="inlineStr">
        <is>
          <t xml:space="preserve">Equipos y suministros de defensa, orden público, protección y seguridad / Seguridad, vigilancia y detección / Equipo de vigilancia y detección</t>
        </is>
      </c>
      <c r="F52" s="0">
        <v>2.0</v>
      </c>
      <c r="G52" s="0" t="inlineStr">
        <is>
          <t xml:space="preserve">Unidad</t>
        </is>
      </c>
      <c r="H52"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53">
      <c r="A53" s="0" t="inlineStr">
        <is>
          <t xml:space="preserve">2563-43-LP26</t>
        </is>
      </c>
      <c r="B53" s="4" t="inlineStr">
        <is>
          <t xml:space="preserve">Adquisición de cámaras IA y radares de seguridad</t>
        </is>
      </c>
      <c r="C53" s="0">
        <v>2</v>
      </c>
      <c r="D53" s="4" t="inlineStr">
        <is>
          <t xml:space="preserve">Cámaras de seguridad</t>
        </is>
      </c>
      <c r="E53" s="4" t="inlineStr">
        <is>
          <t xml:space="preserve">Equipos y suministros de defensa, orden público, protección y seguridad / Seguridad, vigilancia y detección / Equipo de vigilancia y detección</t>
        </is>
      </c>
      <c r="F53" s="0">
        <v>2.0</v>
      </c>
      <c r="G53" s="0" t="inlineStr">
        <is>
          <t xml:space="preserve">Unidad</t>
        </is>
      </c>
      <c r="H53"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54">
      <c r="A54" s="0" t="inlineStr">
        <is>
          <t xml:space="preserve">2563-43-LP26</t>
        </is>
      </c>
      <c r="B54" s="4" t="inlineStr">
        <is>
          <t xml:space="preserve">Adquisición de cámaras IA y radares de seguridad</t>
        </is>
      </c>
      <c r="C54" s="0">
        <v>3</v>
      </c>
      <c r="D54" s="4" t="inlineStr">
        <is>
          <t xml:space="preserve">Cámaras de seguridad</t>
        </is>
      </c>
      <c r="E54" s="4" t="inlineStr">
        <is>
          <t xml:space="preserve">Equipos y suministros de defensa, orden público, protección y seguridad / Seguridad, vigilancia y detección / Equipo de vigilancia y detección</t>
        </is>
      </c>
      <c r="F54" s="0">
        <v>1.0</v>
      </c>
      <c r="G54" s="0" t="inlineStr">
        <is>
          <t xml:space="preserve">Unidad</t>
        </is>
      </c>
      <c r="H54" s="4" t="inlineStr">
        <is>
          <t xml:space="preserve">ítem 2: Servidor de gestión de video.</t>
        </is>
      </c>
    </row>
    <row r="55">
      <c r="A55" s="0" t="inlineStr">
        <is>
          <t xml:space="preserve">2563-43-LP26</t>
        </is>
      </c>
      <c r="B55" s="4" t="inlineStr">
        <is>
          <t xml:space="preserve">Adquisición de cámaras IA y radares de seguridad</t>
        </is>
      </c>
      <c r="C55" s="0">
        <v>4</v>
      </c>
      <c r="D55" s="4" t="inlineStr">
        <is>
          <t xml:space="preserve">Cámaras de seguridad</t>
        </is>
      </c>
      <c r="E55" s="4" t="inlineStr">
        <is>
          <t xml:space="preserve">Equipos y suministros de defensa, orden público, protección y seguridad / Seguridad, vigilancia y detección / Equipo de vigilancia y detección</t>
        </is>
      </c>
      <c r="F55" s="0">
        <v>2.0</v>
      </c>
      <c r="G55" s="0" t="inlineStr">
        <is>
          <t xml:space="preserve">Unidad</t>
        </is>
      </c>
      <c r="H55"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56">
      <c r="A56" s="0" t="inlineStr">
        <is>
          <t xml:space="preserve">2563-43-LP26</t>
        </is>
      </c>
      <c r="B56" s="4" t="inlineStr">
        <is>
          <t xml:space="preserve">Adquisición de cámaras IA y radares de seguridad</t>
        </is>
      </c>
      <c r="C56" s="0">
        <v>5</v>
      </c>
      <c r="D56" s="4" t="inlineStr">
        <is>
          <t xml:space="preserve">Cámaras de seguridad</t>
        </is>
      </c>
      <c r="E56" s="4" t="inlineStr">
        <is>
          <t xml:space="preserve">Equipos y suministros de defensa, orden público, protección y seguridad / Seguridad, vigilancia y detección / Equipo de vigilancia y detección</t>
        </is>
      </c>
      <c r="F56" s="0">
        <v>2.0</v>
      </c>
      <c r="G56" s="0" t="inlineStr">
        <is>
          <t xml:space="preserve">Unidad</t>
        </is>
      </c>
      <c r="H56"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57">
      <c r="A57" s="0" t="inlineStr">
        <is>
          <t xml:space="preserve">2563-43-LP26</t>
        </is>
      </c>
      <c r="B57" s="4" t="inlineStr">
        <is>
          <t xml:space="preserve">Adquisición de cámaras IA y radares de seguridad</t>
        </is>
      </c>
      <c r="C57" s="0">
        <v>6</v>
      </c>
      <c r="D57" s="4" t="inlineStr">
        <is>
          <t xml:space="preserve">Cámaras de seguridad</t>
        </is>
      </c>
      <c r="E57" s="4" t="inlineStr">
        <is>
          <t xml:space="preserve">Equipos y suministros de defensa, orden público, protección y seguridad / Seguridad, vigilancia y detección / Equipo de vigilancia y detección</t>
        </is>
      </c>
      <c r="F57" s="0">
        <v>6.0</v>
      </c>
      <c r="G57" s="0" t="inlineStr">
        <is>
          <t xml:space="preserve">Unidad</t>
        </is>
      </c>
      <c r="H57"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58">
      <c r="A58" s="0" t="inlineStr">
        <is>
          <t xml:space="preserve">2563-43-LP26</t>
        </is>
      </c>
      <c r="B58" s="4" t="inlineStr">
        <is>
          <t xml:space="preserve">Adquisición de cámaras IA y radares de seguridad</t>
        </is>
      </c>
      <c r="C58" s="0">
        <v>7</v>
      </c>
      <c r="D58" s="4" t="inlineStr">
        <is>
          <t xml:space="preserve">Cámaras de seguridad</t>
        </is>
      </c>
      <c r="E58" s="4" t="inlineStr">
        <is>
          <t xml:space="preserve">Equipos y suministros de defensa, orden público, protección y seguridad / Seguridad, vigilancia y detección / Equipo de vigilancia y detección</t>
        </is>
      </c>
      <c r="F58" s="0">
        <v>6.0</v>
      </c>
      <c r="G58" s="0" t="inlineStr">
        <is>
          <t xml:space="preserve">Unidad</t>
        </is>
      </c>
      <c r="H58"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59">
      <c r="A59" s="0" t="inlineStr">
        <is>
          <t xml:space="preserve">2563-43-LP26</t>
        </is>
      </c>
      <c r="B59" s="4" t="inlineStr">
        <is>
          <t xml:space="preserve">Adquisición de cámaras IA y radares de seguridad</t>
        </is>
      </c>
      <c r="C59" s="0">
        <v>8</v>
      </c>
      <c r="D59" s="4" t="inlineStr">
        <is>
          <t xml:space="preserve">Cámaras de seguridad</t>
        </is>
      </c>
      <c r="E59" s="4" t="inlineStr">
        <is>
          <t xml:space="preserve">Equipos y suministros de defensa, orden público, protección y seguridad / Seguridad, vigilancia y detección / Equipo de vigilancia y detección</t>
        </is>
      </c>
      <c r="F59" s="0">
        <v>1.0</v>
      </c>
      <c r="G59" s="0" t="inlineStr">
        <is>
          <t xml:space="preserve">Unidad</t>
        </is>
      </c>
      <c r="H59"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60">
      <c r="A60" s="0" t="inlineStr">
        <is>
          <t xml:space="preserve">2563-43-LP26</t>
        </is>
      </c>
      <c r="B60" s="4" t="inlineStr">
        <is>
          <t xml:space="preserve">Adquisición de cámaras IA y radares de seguridad</t>
        </is>
      </c>
      <c r="C60" s="0">
        <v>9</v>
      </c>
      <c r="D60" s="4" t="inlineStr">
        <is>
          <t xml:space="preserve">Cámaras de seguridad</t>
        </is>
      </c>
      <c r="E60" s="4" t="inlineStr">
        <is>
          <t xml:space="preserve">Equipos y suministros de defensa, orden público, protección y seguridad / Seguridad, vigilancia y detección / Equipo de vigilancia y detección</t>
        </is>
      </c>
      <c r="F60" s="0">
        <v>8.0</v>
      </c>
      <c r="G60" s="0" t="inlineStr">
        <is>
          <t xml:space="preserve">Unidad</t>
        </is>
      </c>
      <c r="H60"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61">
      <c r="A61" s="0" t="inlineStr">
        <is>
          <t xml:space="preserve">2563-43-LP26</t>
        </is>
      </c>
      <c r="B61" s="4" t="inlineStr">
        <is>
          <t xml:space="preserve">Adquisición de cámaras IA y radares de seguridad</t>
        </is>
      </c>
      <c r="C61" s="0">
        <v>10</v>
      </c>
      <c r="D61" s="4" t="inlineStr">
        <is>
          <t xml:space="preserve">Cámaras de seguridad</t>
        </is>
      </c>
      <c r="E61" s="4" t="inlineStr">
        <is>
          <t xml:space="preserve">Equipos y suministros de defensa, orden público, protección y seguridad / Seguridad, vigilancia y detección / Equipo de vigilancia y detección</t>
        </is>
      </c>
      <c r="F61" s="0">
        <v>1.0</v>
      </c>
      <c r="G61" s="0" t="inlineStr">
        <is>
          <t xml:space="preserve">Unidad</t>
        </is>
      </c>
      <c r="H61"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62">
      <c r="A62" s="0" t="inlineStr">
        <is>
          <t xml:space="preserve">2563-43-LP26</t>
        </is>
      </c>
      <c r="B62" s="4" t="inlineStr">
        <is>
          <t xml:space="preserve">Adquisición de cámaras IA y radares de seguridad</t>
        </is>
      </c>
      <c r="C62" s="0">
        <v>11</v>
      </c>
      <c r="D62" s="4" t="inlineStr">
        <is>
          <t xml:space="preserve">Cámaras de seguridad</t>
        </is>
      </c>
      <c r="E62" s="4" t="inlineStr">
        <is>
          <t xml:space="preserve">Equipos y suministros de defensa, orden público, protección y seguridad / Seguridad, vigilancia y detección / Equipo de vigilancia y detección</t>
        </is>
      </c>
      <c r="F62" s="0">
        <v>1.0</v>
      </c>
      <c r="G62" s="0" t="inlineStr">
        <is>
          <t xml:space="preserve">Unidad</t>
        </is>
      </c>
      <c r="H62"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63">
      <c r="A63" s="0" t="inlineStr">
        <is>
          <t xml:space="preserve">2563-43-LP26</t>
        </is>
      </c>
      <c r="B63" s="4" t="inlineStr">
        <is>
          <t xml:space="preserve">Adquisición de cámaras IA y radares de seguridad</t>
        </is>
      </c>
      <c r="C63" s="0">
        <v>12</v>
      </c>
      <c r="D63" s="4" t="inlineStr">
        <is>
          <t xml:space="preserve">Cámaras de seguridad</t>
        </is>
      </c>
      <c r="E63" s="4" t="inlineStr">
        <is>
          <t xml:space="preserve">Equipos y suministros de defensa, orden público, protección y seguridad / Seguridad, vigilancia y detección / Equipo de vigilancia y detección</t>
        </is>
      </c>
      <c r="F63" s="0">
        <v>2.0</v>
      </c>
      <c r="G63" s="0" t="inlineStr">
        <is>
          <t xml:space="preserve">Unidad</t>
        </is>
      </c>
      <c r="H63"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64">
      <c r="A64" s="0" t="inlineStr">
        <is>
          <t xml:space="preserve">2563-43-LP26</t>
        </is>
      </c>
      <c r="B64" s="4" t="inlineStr">
        <is>
          <t xml:space="preserve">Adquisición de cámaras IA y radares de seguridad</t>
        </is>
      </c>
      <c r="C64" s="0">
        <v>13</v>
      </c>
      <c r="D64" s="4" t="inlineStr">
        <is>
          <t xml:space="preserve">Cámaras de seguridad</t>
        </is>
      </c>
      <c r="E64" s="4" t="inlineStr">
        <is>
          <t xml:space="preserve">Equipos y suministros de defensa, orden público, protección y seguridad / Seguridad, vigilancia y detección / Equipo de vigilancia y detección</t>
        </is>
      </c>
      <c r="F64" s="0">
        <v>2.0</v>
      </c>
      <c r="G64" s="0" t="inlineStr">
        <is>
          <t xml:space="preserve">Unidad</t>
        </is>
      </c>
      <c r="H64"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65">
      <c r="A65" s="0" t="inlineStr">
        <is>
          <t xml:space="preserve">2563-43-LP26</t>
        </is>
      </c>
      <c r="B65" s="4" t="inlineStr">
        <is>
          <t xml:space="preserve">Adquisición de cámaras IA y radares de seguridad</t>
        </is>
      </c>
      <c r="C65" s="0">
        <v>14</v>
      </c>
      <c r="D65" s="4" t="inlineStr">
        <is>
          <t xml:space="preserve">Cámaras de seguridad</t>
        </is>
      </c>
      <c r="E65" s="4" t="inlineStr">
        <is>
          <t xml:space="preserve">Equipos y suministros de defensa, orden público, protección y seguridad / Seguridad, vigilancia y detección / Equipo de vigilancia y detección</t>
        </is>
      </c>
      <c r="F65" s="0">
        <v>2.0</v>
      </c>
      <c r="G65" s="0" t="inlineStr">
        <is>
          <t xml:space="preserve">Unidad</t>
        </is>
      </c>
      <c r="H65"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66">
      <c r="A66" s="0" t="inlineStr">
        <is>
          <t xml:space="preserve">2563-43-LP26</t>
        </is>
      </c>
      <c r="B66" s="4" t="inlineStr">
        <is>
          <t xml:space="preserve">Adquisición de cámaras IA y radares de seguridad</t>
        </is>
      </c>
      <c r="C66" s="0">
        <v>15</v>
      </c>
      <c r="D66" s="4" t="inlineStr">
        <is>
          <t xml:space="preserve">Cámaras de seguridad</t>
        </is>
      </c>
      <c r="E66" s="4" t="inlineStr">
        <is>
          <t xml:space="preserve">Equipos y suministros de defensa, orden público, protección y seguridad / Seguridad, vigilancia y detección / Equipo de vigilancia y detección</t>
        </is>
      </c>
      <c r="F66" s="0">
        <v>1.0</v>
      </c>
      <c r="G66" s="0" t="inlineStr">
        <is>
          <t xml:space="preserve">Unidad</t>
        </is>
      </c>
      <c r="H66"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67">
      <c r="A67" s="0" t="inlineStr">
        <is>
          <t xml:space="preserve">1057549-8-LE26</t>
        </is>
      </c>
      <c r="B67" s="4" t="inlineStr">
        <is>
          <t xml:space="preserve">CONVENIO FOTOCOPIADO IMPRESIÓN Y DIGITALIZACIÓN</t>
        </is>
      </c>
      <c r="C67" s="0">
        <v>1</v>
      </c>
      <c r="D67" s="4" t="inlineStr">
        <is>
          <t xml:space="preserve">Impresión digital</t>
        </is>
      </c>
      <c r="E67" s="4" t="inlineStr">
        <is>
          <t xml:space="preserve">Servicios editoriales, de diseño, publicidad, gráficos y artistas / Servicios de impresión y reproducción / Impresión</t>
        </is>
      </c>
      <c r="F67" s="0">
        <v>1.0</v>
      </c>
      <c r="G67" s="0" t="inlineStr">
        <is>
          <t xml:space="preserve">Unidad</t>
        </is>
      </c>
      <c r="H67" s="4" t="inlineStr">
        <is>
          <t xml:space="preserve">Servicio de Fotocopiado, Impresión y Digitalización con entrega de Equipos</t>
        </is>
      </c>
    </row>
    <row r="68">
      <c r="A68" s="0" t="inlineStr">
        <is>
          <t xml:space="preserve">1218393-49-LE26</t>
        </is>
      </c>
      <c r="B68" s="4" t="inlineStr">
        <is>
          <t xml:space="preserve">Convenio suministro de servicios de fotocopiado impresión y digitalización con arriendo de equipos para CESFAM Externo Valdivia</t>
        </is>
      </c>
      <c r="C68" s="0">
        <v>1</v>
      </c>
      <c r="D68" s="4" t="inlineStr">
        <is>
          <t xml:space="preserve">Servicios de copias en blanco y negro</t>
        </is>
      </c>
      <c r="E68" s="4" t="inlineStr">
        <is>
          <t xml:space="preserve">Servicios editoriales, de diseño, publicidad, gráficos y artistas / Servicios de impresión y reproducción / Fotocopiado</t>
        </is>
      </c>
      <c r="F68" s="0">
        <v>1.0</v>
      </c>
      <c r="G68" s="0" t="inlineStr">
        <is>
          <t xml:space="preserve">Unidad</t>
        </is>
      </c>
      <c r="H68" s="4" t="inlineStr">
        <is>
          <t xml:space="preserve">Servicio de fotocopiado, impresión y digitalización con arriendo de equipos para el establecimiento y sus dependencia por 12 meses según requerimiento en Resolución exenta n°894 del 08.10.2026
Indicar valor mensual.</t>
        </is>
      </c>
    </row>
    <row r="69">
      <c r="A69" s="0" t="inlineStr">
        <is>
          <t xml:space="preserve">4589-20-LE26</t>
        </is>
      </c>
      <c r="B69" s="4" t="inlineStr">
        <is>
          <t xml:space="preserve">CONTRATACION PARA SOPORTE DE MANTENCION Y CAPACITACION DE PLATAFORMA SIFIM PARA ILUSTRE MUNICIPALIDAD DE TORRES DEL PAINE GESTION AREA MUNICIPAL Y SALUD</t>
        </is>
      </c>
      <c r="C69" s="0">
        <v>1</v>
      </c>
      <c r="D69" s="4" t="inlineStr">
        <is>
          <t xml:space="preserve">Programas de análisis financiero</t>
        </is>
      </c>
      <c r="E69" s="4" t="inlineStr">
        <is>
          <t xml:space="preserve">Tecnologías de la información, telecomunicaciones y radiodifusión / Software / Software de planificación de recursos empresariales (ERP) y contabilidad financiera</t>
        </is>
      </c>
      <c r="F69" s="0">
        <v>1.0</v>
      </c>
      <c r="G69" s="0" t="inlineStr">
        <is>
          <t xml:space="preserve">Unidad</t>
        </is>
      </c>
      <c r="H69"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70">
      <c r="A70" s="0" t="inlineStr">
        <is>
          <t xml:space="preserve">425-65-LR26</t>
        </is>
      </c>
      <c r="B70" s="4" t="inlineStr">
        <is>
          <t xml:space="preserve">Renovación de licencias y servicio de administración de software Falcon Crowdstrike EDR para el Poder Judicial</t>
        </is>
      </c>
      <c r="C70" s="0">
        <v>1</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Global</t>
        </is>
      </c>
      <c r="H70" s="4" t="inlineStr">
        <is>
          <t xml:space="preserve">Ítem 4 LICENCIAS FALCON CROWDSTRIKE EDR. Valor total neto del ítem según Formulario Económico N°1 (en caso de discrepancia entre el valor del portal y el formulario primará este último).</t>
        </is>
      </c>
    </row>
    <row r="71">
      <c r="A71" s="0" t="inlineStr">
        <is>
          <t xml:space="preserve">425-65-LR26</t>
        </is>
      </c>
      <c r="B71" s="4" t="inlineStr">
        <is>
          <t xml:space="preserve">Renovación de licencias y servicio de administración de software Falcon Crowdstrike EDR para el Poder Judicial</t>
        </is>
      </c>
      <c r="C71" s="0">
        <v>2</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Global</t>
        </is>
      </c>
      <c r="H71" s="4" t="inlineStr">
        <is>
          <t xml:space="preserve">Ítem 1 LICENCIAS FALCON CROWDSTRIKE EDR. Valor total neto del ítem según Formulario Económico N°1 (en caso de discrepancia entre el valor del portal y el formulario primará este último).</t>
        </is>
      </c>
    </row>
    <row r="72">
      <c r="A72" s="0" t="inlineStr">
        <is>
          <t xml:space="preserve">425-65-LR26</t>
        </is>
      </c>
      <c r="B72" s="4" t="inlineStr">
        <is>
          <t xml:space="preserve">Renovación de licencias y servicio de administración de software Falcon Crowdstrike EDR para el Poder Judicial</t>
        </is>
      </c>
      <c r="C72" s="0">
        <v>3</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Global</t>
        </is>
      </c>
      <c r="H72" s="4" t="inlineStr">
        <is>
          <t xml:space="preserve">Ítem 2 LICENCIAS FALCON CROWDSTRIKE EDR. Valor total neto del ítem según Formulario Económico N°1 (en caso de discrepancia entre el valor del portal y el formulario primará este último).</t>
        </is>
      </c>
    </row>
    <row r="73">
      <c r="A73" s="0" t="inlineStr">
        <is>
          <t xml:space="preserve">425-65-LR26</t>
        </is>
      </c>
      <c r="B73" s="4" t="inlineStr">
        <is>
          <t xml:space="preserve">Renovación de licencias y servicio de administración de software Falcon Crowdstrike EDR para el Poder Judicial</t>
        </is>
      </c>
      <c r="C73" s="0">
        <v>4</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Global</t>
        </is>
      </c>
      <c r="H73" s="4" t="inlineStr">
        <is>
          <t xml:space="preserve">Ítem 3 LICENCIAS FALCON CROWDSTRIKE EDR. Valor total neto del ítem según Formulario Económico N°1 (en caso de discrepancia entre el valor del portal y el formulario primará este último).</t>
        </is>
      </c>
    </row>
    <row r="74">
      <c r="A74" s="0" t="inlineStr">
        <is>
          <t xml:space="preserve">425-65-LR26</t>
        </is>
      </c>
      <c r="B74" s="4" t="inlineStr">
        <is>
          <t xml:space="preserve">Renovación de licencias y servicio de administración de software Falcon Crowdstrike EDR para el Poder Judicial</t>
        </is>
      </c>
      <c r="C74" s="0">
        <v>5</v>
      </c>
      <c r="D74" s="4" t="inlineStr">
        <is>
          <t xml:space="preserve">Software de gestión de licencias</t>
        </is>
      </c>
      <c r="E74" s="4" t="inlineStr">
        <is>
          <t xml:space="preserve">Tecnologías de la información, telecomunicaciones y radiodifusión / Software / Software de gestión</t>
        </is>
      </c>
      <c r="F74" s="0">
        <v>1.0</v>
      </c>
      <c r="G74" s="0" t="inlineStr">
        <is>
          <t xml:space="preserve">Global</t>
        </is>
      </c>
      <c r="H74" s="4" t="inlineStr">
        <is>
          <t xml:space="preserve">Ítem 5 Servicios de Administración
Falcon Crowdstrike. Valor total neto del ítem según Formulario Económico N°1 (en caso de discrepancia entre el valor del portal y el formulario primará este último).</t>
        </is>
      </c>
    </row>
    <row r="75">
      <c r="A75" s="0" t="inlineStr">
        <is>
          <t xml:space="preserve">1375758-7-LE26</t>
        </is>
      </c>
      <c r="B75" s="4" t="inlineStr">
        <is>
          <t xml:space="preserve">PLATAFORMA INTEGRAL PARA LA PLANIFICACIÓN CONTROL DE DOTACIÓN ESCOLAR Y GESTIÓN DE SOLICITUDES DE CONTRATACIÓN</t>
        </is>
      </c>
      <c r="C75" s="0">
        <v>1</v>
      </c>
      <c r="D75" s="4" t="inlineStr">
        <is>
          <t xml:space="preserve">Desarrollo de Aplicaciones de Recursos Empresariales (ERP)</t>
        </is>
      </c>
      <c r="E75" s="4" t="inlineStr">
        <is>
          <t xml:space="preserve">Servicios basados en ingeniería, ciencias sociales y tecnología de la información / Servicios informáticos / Ingeniería en computación e informática</t>
        </is>
      </c>
      <c r="F75" s="0">
        <v>24.0</v>
      </c>
      <c r="G75" s="0" t="inlineStr">
        <is>
          <t xml:space="preserve">Mes</t>
        </is>
      </c>
      <c r="H75" s="4" t="inlineStr">
        <is>
          <t xml:space="preserve">CONTRATACIÓN DE “PLATAFORMA INTEGRAL PARA LA PLANIFICACIÓN, CONTROL DE DOTACIÓN ESCOLAR Y GESTIÓN DE SOLICITUDES DE CONTRATACIÓN DEL SLEP SANTIAGO CENTRO”</t>
        </is>
      </c>
    </row>
    <row r="76">
      <c r="A76" s="0" t="inlineStr">
        <is>
          <t xml:space="preserve">2548-94-CO26</t>
        </is>
      </c>
      <c r="B76" s="4" t="inlineStr">
        <is>
          <t xml:space="preserve">PROVISIÓN DE AUDÍFONOS RETROAURICULARES DIGITALES</t>
        </is>
      </c>
      <c r="C76" s="0">
        <v>1</v>
      </c>
      <c r="D76" s="4" t="inlineStr">
        <is>
          <t xml:space="preserve">Audífonos para personas con discapacidad física</t>
        </is>
      </c>
      <c r="E76" s="4" t="inlineStr">
        <is>
          <t xml:space="preserve">Equipamiento y suministros médicos / Ayuda para personas con discapacidad / Artículos de ayuda para la comunicación de discapacitados</t>
        </is>
      </c>
      <c r="F76" s="0">
        <v>1.0</v>
      </c>
      <c r="G76" s="0" t="inlineStr">
        <is>
          <t xml:space="preserve">Unidad</t>
        </is>
      </c>
      <c r="H76" s="4" t="inlineStr">
        <is>
          <t xml:space="preserve">AUDÍFONOS RETROAURICULARES DIGITALES</t>
        </is>
      </c>
    </row>
    <row r="77">
      <c r="A77" s="0" t="inlineStr">
        <is>
          <t xml:space="preserve">1375757-32-LP26</t>
        </is>
      </c>
      <c r="B77" s="4" t="inlineStr">
        <is>
          <t xml:space="preserve">LICENCIAS DE SOFTWARE PARA SLEP DE PUELCHE</t>
        </is>
      </c>
      <c r="C77" s="0">
        <v>1</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Global</t>
        </is>
      </c>
      <c r="H77" s="4" t="inlineStr">
        <is>
          <t xml:space="preserve">Autodesk AutoCAD LT</t>
        </is>
      </c>
    </row>
    <row r="78">
      <c r="A78" s="0" t="inlineStr">
        <is>
          <t xml:space="preserve">1375757-32-LP26</t>
        </is>
      </c>
      <c r="B78" s="4" t="inlineStr">
        <is>
          <t xml:space="preserve">LICENCIAS DE SOFTWARE PARA SLEP DE PUELCHE</t>
        </is>
      </c>
      <c r="C78" s="0">
        <v>2</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Global</t>
        </is>
      </c>
      <c r="H78" s="4" t="inlineStr">
        <is>
          <t xml:space="preserve">AutoCAD - including specialized toolsets (versión completa)</t>
        </is>
      </c>
    </row>
    <row r="79">
      <c r="A79" s="0" t="inlineStr">
        <is>
          <t xml:space="preserve">1375757-32-LP26</t>
        </is>
      </c>
      <c r="B79" s="4" t="inlineStr">
        <is>
          <t xml:space="preserve">LICENCIAS DE SOFTWARE PARA SLEP DE PUELCHE</t>
        </is>
      </c>
      <c r="C79" s="0">
        <v>3</v>
      </c>
      <c r="D79" s="4" t="inlineStr">
        <is>
          <t xml:space="preserve">Software de gestión de licencias</t>
        </is>
      </c>
      <c r="E79" s="4" t="inlineStr">
        <is>
          <t xml:space="preserve">Tecnologías de la información, telecomunicaciones y radiodifusión / Software / Software de gestión</t>
        </is>
      </c>
      <c r="F79" s="0">
        <v>1.0</v>
      </c>
      <c r="G79" s="0" t="inlineStr">
        <is>
          <t xml:space="preserve">Global</t>
        </is>
      </c>
      <c r="H79" s="4" t="inlineStr">
        <is>
          <t xml:space="preserve">Autodesk Revit o similar o superior</t>
        </is>
      </c>
    </row>
    <row r="80">
      <c r="A80" s="0" t="inlineStr">
        <is>
          <t xml:space="preserve">1375757-32-LP26</t>
        </is>
      </c>
      <c r="B80" s="4" t="inlineStr">
        <is>
          <t xml:space="preserve">LICENCIAS DE SOFTWARE PARA SLEP DE PUELCHE</t>
        </is>
      </c>
      <c r="C80" s="0">
        <v>4</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Global</t>
        </is>
      </c>
      <c r="H80" s="4" t="inlineStr">
        <is>
          <t xml:space="preserve">SketchUp Pro o similar o superior</t>
        </is>
      </c>
    </row>
    <row r="81">
      <c r="A81" s="0" t="inlineStr">
        <is>
          <t xml:space="preserve">1375757-32-LP26</t>
        </is>
      </c>
      <c r="B81" s="4" t="inlineStr">
        <is>
          <t xml:space="preserve">LICENCIAS DE SOFTWARE PARA SLEP DE PUELCHE</t>
        </is>
      </c>
      <c r="C81" s="0">
        <v>5</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Global</t>
        </is>
      </c>
      <c r="H81" s="4" t="inlineStr">
        <is>
          <t xml:space="preserve">AnyDesk (mínimo 2 conexiones simultáneas)</t>
        </is>
      </c>
    </row>
    <row r="82">
      <c r="A82" s="0" t="inlineStr">
        <is>
          <t xml:space="preserve">1375757-32-LP26</t>
        </is>
      </c>
      <c r="B82" s="4" t="inlineStr">
        <is>
          <t xml:space="preserve">LICENCIAS DE SOFTWARE PARA SLEP DE PUELCHE</t>
        </is>
      </c>
      <c r="C82" s="0">
        <v>6</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Global</t>
        </is>
      </c>
      <c r="H82" s="4" t="inlineStr">
        <is>
          <t xml:space="preserve">Adobe Creative Cloud Pro</t>
        </is>
      </c>
    </row>
    <row r="83">
      <c r="A83" s="0" t="inlineStr">
        <is>
          <t xml:space="preserve">1375757-32-LP26</t>
        </is>
      </c>
      <c r="B83" s="4" t="inlineStr">
        <is>
          <t xml:space="preserve">LICENCIAS DE SOFTWARE PARA SLEP DE PUELCHE</t>
        </is>
      </c>
      <c r="C83" s="0">
        <v>7</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Global</t>
        </is>
      </c>
      <c r="H83" s="4" t="inlineStr">
        <is>
          <t xml:space="preserve">Planner and Project Plan 3 for faculty</t>
        </is>
      </c>
    </row>
    <row r="84">
      <c r="A84" s="0" t="inlineStr">
        <is>
          <t xml:space="preserve">1375757-32-LP26</t>
        </is>
      </c>
      <c r="B84" s="4" t="inlineStr">
        <is>
          <t xml:space="preserve">LICENCIAS DE SOFTWARE PARA SLEP DE PUELCHE</t>
        </is>
      </c>
      <c r="C84" s="0">
        <v>8</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Global</t>
        </is>
      </c>
      <c r="H84" s="4" t="inlineStr">
        <is>
          <t xml:space="preserve">Freshworks (Mesa de Ayuda TI)</t>
        </is>
      </c>
    </row>
    <row r="85">
      <c r="A85" s="0" t="inlineStr">
        <is>
          <t xml:space="preserve">1375757-32-LP26</t>
        </is>
      </c>
      <c r="B85" s="4" t="inlineStr">
        <is>
          <t xml:space="preserve">LICENCIAS DE SOFTWARE PARA SLEP DE PUELCHE</t>
        </is>
      </c>
      <c r="C85" s="0">
        <v>9</v>
      </c>
      <c r="D85" s="4" t="inlineStr">
        <is>
          <t xml:space="preserve">Software de gestión de licencias</t>
        </is>
      </c>
      <c r="E85" s="4" t="inlineStr">
        <is>
          <t xml:space="preserve">Tecnologías de la información, telecomunicaciones y radiodifusión / Software / Software de gestión</t>
        </is>
      </c>
      <c r="F85" s="0">
        <v>1.0</v>
      </c>
      <c r="G85" s="0" t="inlineStr">
        <is>
          <t xml:space="preserve">Global</t>
        </is>
      </c>
      <c r="H85" s="4" t="inlineStr">
        <is>
          <t xml:space="preserve">Vectorworks o similar o superior</t>
        </is>
      </c>
    </row>
    <row r="86">
      <c r="A86" s="0" t="inlineStr">
        <is>
          <t xml:space="preserve">1375757-32-LP26</t>
        </is>
      </c>
      <c r="B86" s="4" t="inlineStr">
        <is>
          <t xml:space="preserve">LICENCIAS DE SOFTWARE PARA SLEP DE PUELCHE</t>
        </is>
      </c>
      <c r="C86" s="0">
        <v>10</v>
      </c>
      <c r="D86" s="4" t="inlineStr">
        <is>
          <t xml:space="preserve">Software de gestión de licencias</t>
        </is>
      </c>
      <c r="E86" s="4" t="inlineStr">
        <is>
          <t xml:space="preserve">Tecnologías de la información, telecomunicaciones y radiodifusión / Software / Software de gestión</t>
        </is>
      </c>
      <c r="F86" s="0">
        <v>1.0</v>
      </c>
      <c r="G86" s="0" t="inlineStr">
        <is>
          <t xml:space="preserve">Global</t>
        </is>
      </c>
      <c r="H86" s="4" t="inlineStr">
        <is>
          <t xml:space="preserve">Claude Max 20x o similar o superior</t>
        </is>
      </c>
    </row>
    <row r="87">
      <c r="A87" s="0" t="inlineStr">
        <is>
          <t xml:space="preserve">1375757-32-LP26</t>
        </is>
      </c>
      <c r="B87" s="4" t="inlineStr">
        <is>
          <t xml:space="preserve">LICENCIAS DE SOFTWARE PARA SLEP DE PUELCHE</t>
        </is>
      </c>
      <c r="C87" s="0">
        <v>11</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Global</t>
        </is>
      </c>
      <c r="H87" s="4" t="inlineStr">
        <is>
          <t xml:space="preserve">ChatGPT Business</t>
        </is>
      </c>
    </row>
    <row r="88">
      <c r="A88" s="0" t="inlineStr">
        <is>
          <t xml:space="preserve">1375757-32-LP26</t>
        </is>
      </c>
      <c r="B88" s="4" t="inlineStr">
        <is>
          <t xml:space="preserve">LICENCIAS DE SOFTWARE PARA SLEP DE PUELCHE</t>
        </is>
      </c>
      <c r="C88" s="0">
        <v>12</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Global</t>
        </is>
      </c>
      <c r="H88" s="4" t="inlineStr">
        <is>
          <t xml:space="preserve">ClickUp Business</t>
        </is>
      </c>
    </row>
    <row r="89">
      <c r="A89" s="0" t="inlineStr">
        <is>
          <t xml:space="preserve">1375757-32-LP26</t>
        </is>
      </c>
      <c r="B89" s="4" t="inlineStr">
        <is>
          <t xml:space="preserve">LICENCIAS DE SOFTWARE PARA SLEP DE PUELCHE</t>
        </is>
      </c>
      <c r="C89" s="0">
        <v>13</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Global</t>
        </is>
      </c>
      <c r="H89" s="4" t="inlineStr">
        <is>
          <t xml:space="preserve">Microsoft Office LTSC Professional Plus 2024 o similar o superior (perpetua)</t>
        </is>
      </c>
    </row>
    <row r="90">
      <c r="A90" s="0" t="inlineStr">
        <is>
          <t xml:space="preserve">1389183-71-LE26</t>
        </is>
      </c>
      <c r="B90" s="4" t="inlineStr">
        <is>
          <t xml:space="preserve">PROGRAMAS INFORMATICOS PARA LICEOS TP</t>
        </is>
      </c>
      <c r="C90" s="0">
        <v>1</v>
      </c>
      <c r="D90" s="4" t="inlineStr">
        <is>
          <t xml:space="preserve">Programas de contabilidad</t>
        </is>
      </c>
      <c r="E90" s="4" t="inlineStr">
        <is>
          <t xml:space="preserve">Tecnologías de la información, telecomunicaciones y radiodifusión / Software / Software de planificación de recursos empresariales (ERP) y contabilidad financiera</t>
        </is>
      </c>
      <c r="F90" s="0">
        <v>1.0</v>
      </c>
      <c r="G90" s="0" t="inlineStr">
        <is>
          <t xml:space="preserve">Unidad</t>
        </is>
      </c>
      <c r="H90" s="4" t="inlineStr">
        <is>
          <t xml:space="preserve">PROGRAMAS INFORMATICOS PARA LICEO COMERCIAL ANDRES BELLO</t>
        </is>
      </c>
    </row>
    <row r="91">
      <c r="A91" s="0" t="inlineStr">
        <is>
          <t xml:space="preserve">1389183-71-LE26</t>
        </is>
      </c>
      <c r="B91" s="4" t="inlineStr">
        <is>
          <t xml:space="preserve">PROGRAMAS INFORMATICOS PARA LICEOS TP</t>
        </is>
      </c>
      <c r="C91" s="0">
        <v>2</v>
      </c>
      <c r="D91" s="4" t="inlineStr">
        <is>
          <t xml:space="preserve">Software de gestión de recursos humanos</t>
        </is>
      </c>
      <c r="E91" s="4" t="inlineStr">
        <is>
          <t xml:space="preserve">Tecnologías de la información, telecomunicaciones y radiodifusión / Software / Software de gestión</t>
        </is>
      </c>
      <c r="F91" s="0">
        <v>1.0</v>
      </c>
      <c r="G91" s="0" t="inlineStr">
        <is>
          <t xml:space="preserve">Unidad</t>
        </is>
      </c>
      <c r="H91" s="4" t="inlineStr">
        <is>
          <t xml:space="preserve">PROGRAMAS INFORMATICOS PARA LICEO EDUARDO FREI</t>
        </is>
      </c>
    </row>
    <row r="92">
      <c r="A92" s="0" t="inlineStr">
        <is>
          <t xml:space="preserve">4455-53-LE26</t>
        </is>
      </c>
      <c r="B92" s="4" t="inlineStr">
        <is>
          <t xml:space="preserve">SERVICIO ARRIENDO DE SOFWARE DE ASISTENCIA CLOUD</t>
        </is>
      </c>
      <c r="C92" s="0">
        <v>1</v>
      </c>
      <c r="D92" s="4" t="inlineStr">
        <is>
          <t xml:space="preserve">Reloj de control</t>
        </is>
      </c>
      <c r="E92" s="4" t="inlineStr">
        <is>
          <t xml:space="preserve">Equipos, accesorios y suministros de oficina / Maquinarias, suministros y accesorios de oficina / Máquinas y accesorios para registro de hora y asistencia en la oficina</t>
        </is>
      </c>
      <c r="F92" s="0">
        <v>1.0</v>
      </c>
      <c r="G92" s="0" t="inlineStr">
        <is>
          <t xml:space="preserve">Unidad</t>
        </is>
      </c>
      <c r="H92" s="4" t="inlineStr">
        <is>
          <t xml:space="preserve">Servicio Arriendo de SOFTWARE de Asistencia Cloud para Establecimientos Educacionales, Jardines, Salas Cunas de la Comuna y Departamento de Educación Municipal, por 14 meses</t>
        </is>
      </c>
    </row>
    <row r="93">
      <c r="A93" s="0" t="inlineStr">
        <is>
          <t xml:space="preserve">1230869-7-LE26</t>
        </is>
      </c>
      <c r="B93" s="4" t="inlineStr">
        <is>
          <t xml:space="preserve">SERVICIO DE SOFTWARE DE CONTABILIDAD GUBERNAMENTAL</t>
        </is>
      </c>
      <c r="C93" s="0">
        <v>1</v>
      </c>
      <c r="D93" s="4" t="inlineStr">
        <is>
          <t xml:space="preserve">Programas de contabilidad</t>
        </is>
      </c>
      <c r="E93" s="4" t="inlineStr">
        <is>
          <t xml:space="preserve">Tecnologías de la información, telecomunicaciones y radiodifusión / Software / Software de planificación de recursos empresariales (ERP) y contabilidad financiera</t>
        </is>
      </c>
      <c r="F93" s="0">
        <v>1.0</v>
      </c>
      <c r="G93" s="0" t="inlineStr">
        <is>
          <t xml:space="preserve">Unidad</t>
        </is>
      </c>
      <c r="H93" s="4" t="inlineStr">
        <is>
          <t xml:space="preserve">SERVICIO DE SOFTWARE DE CONTABILIDAD GUBERNAMENTAL PARA LA CORPORACIÓN CULTURAL DE LA FLORIDA</t>
        </is>
      </c>
    </row>
    <row r="94">
      <c r="A94" s="0" t="inlineStr">
        <is>
          <t xml:space="preserve">1191449-19-LP26</t>
        </is>
      </c>
      <c r="B94" s="4" t="inlineStr">
        <is>
          <t xml:space="preserve">SERVICIOS  DE ADMINIS DE INFRAES CLOUD Y MANTEN AN</t>
        </is>
      </c>
      <c r="C94" s="0">
        <v>1</v>
      </c>
      <c r="D94" s="4" t="inlineStr">
        <is>
          <t xml:space="preserve">Profesionales</t>
        </is>
      </c>
      <c r="E94" s="4" t="inlineStr">
        <is>
          <t xml:space="preserve">Servicios profesionales, administrativos y consultorías de gestión empresarial / Servicios de recursos humanos / Contratación de personal</t>
        </is>
      </c>
      <c r="F94" s="0">
        <v>1.0</v>
      </c>
      <c r="G94" s="0" t="inlineStr">
        <is>
          <t xml:space="preserve">Unidad</t>
        </is>
      </c>
      <c r="H94" s="4" t="inlineStr">
        <is>
          <t xml:space="preserve">Servicio profesional de administración de infraestructura Cloud</t>
        </is>
      </c>
    </row>
    <row r="95">
      <c r="A95" s="0" t="inlineStr">
        <is>
          <t xml:space="preserve">1191449-19-LP26</t>
        </is>
      </c>
      <c r="B95" s="4" t="inlineStr">
        <is>
          <t xml:space="preserve">SERVICIOS  DE ADMINIS DE INFRAES CLOUD Y MANTEN AN</t>
        </is>
      </c>
      <c r="C95" s="0">
        <v>2</v>
      </c>
      <c r="D95" s="4" t="inlineStr">
        <is>
          <t xml:space="preserve">Profesionales</t>
        </is>
      </c>
      <c r="E95" s="4" t="inlineStr">
        <is>
          <t xml:space="preserve">Servicios profesionales, administrativos y consultorías de gestión empresarial / Servicios de recursos humanos / Contratación de personal</t>
        </is>
      </c>
      <c r="F95" s="0">
        <v>1.0</v>
      </c>
      <c r="G95" s="0" t="inlineStr">
        <is>
          <t xml:space="preserve">Unidad</t>
        </is>
      </c>
      <c r="H95" s="4" t="inlineStr">
        <is>
          <t xml:space="preserve">Servicio profesional de mantención de sistemas</t>
        </is>
      </c>
    </row>
    <row r="96">
      <c r="A96" s="0" t="inlineStr">
        <is>
          <t xml:space="preserve">591-34-LE26</t>
        </is>
      </c>
      <c r="B96" s="4" t="inlineStr">
        <is>
          <t xml:space="preserve">CURSO IA EN INGENIERÍA DE SOFTWARE Y ANALÍTICA  A</t>
        </is>
      </c>
      <c r="C96" s="0">
        <v>1</v>
      </c>
      <c r="D96" s="4" t="inlineStr">
        <is>
          <t xml:space="preserve">Programas o cursos no diplomados a distancia</t>
        </is>
      </c>
      <c r="E96" s="4" t="inlineStr">
        <is>
          <t xml:space="preserve">Educación, formación, entrenamiento y capacitación / Sistemas educativos complementarios / Aprendizaje a distancia</t>
        </is>
      </c>
      <c r="F96" s="0">
        <v>1.0</v>
      </c>
      <c r="G96" s="0" t="inlineStr">
        <is>
          <t xml:space="preserve">Unidad</t>
        </is>
      </c>
      <c r="H96" s="4" t="inlineStr">
        <is>
          <t xml:space="preserve">CURSO IA EN INGENIERÍA DE SOFTWARE Y ANALÍTICA  AVANZADA</t>
        </is>
      </c>
    </row>
    <row r="97">
      <c r="A97" s="0" t="inlineStr">
        <is>
          <t xml:space="preserve">1409-15-LE26</t>
        </is>
      </c>
      <c r="B97" s="4" t="inlineStr">
        <is>
          <t xml:space="preserve">Servicio arriendo red de datos e internet</t>
        </is>
      </c>
      <c r="C97" s="0">
        <v>1</v>
      </c>
      <c r="D97" s="4" t="inlineStr">
        <is>
          <t xml:space="preserve">Proveedores de servicio de Internet (ISP)</t>
        </is>
      </c>
      <c r="E97" s="4" t="inlineStr">
        <is>
          <t xml:space="preserve">Servicios basados en ingeniería, ciencias sociales y tecnología de la información / Servicios informáticos / Servicios para internet</t>
        </is>
      </c>
      <c r="F97" s="0">
        <v>36.0</v>
      </c>
      <c r="G97" s="0" t="inlineStr">
        <is>
          <t xml:space="preserve">Mes</t>
        </is>
      </c>
      <c r="H97" s="4" t="inlineStr">
        <is>
          <t xml:space="preserve">Servicio de arriendo red de datos e internet para el aeropuerto el Tepual de Puerto Montt.</t>
        </is>
      </c>
    </row>
    <row r="98">
      <c r="A98" s="0" t="inlineStr">
        <is>
          <t xml:space="preserve">630-29-LE26</t>
        </is>
      </c>
      <c r="B98" s="4" t="inlineStr">
        <is>
          <t xml:space="preserve">SERVICIO DE GESTIÓN DOCUMENTAL EN MODALIDAD SAAS</t>
        </is>
      </c>
      <c r="C98" s="0">
        <v>1</v>
      </c>
      <c r="D98" s="4" t="inlineStr">
        <is>
          <t xml:space="preserve">Programas de gestión de documentos</t>
        </is>
      </c>
      <c r="E98" s="4" t="inlineStr">
        <is>
          <t xml:space="preserve">Tecnologías de la información, telecomunicaciones y radiodifusión / Software / Software de gestión de contenidos</t>
        </is>
      </c>
      <c r="F98" s="0">
        <v>1.0</v>
      </c>
      <c r="G98" s="0" t="inlineStr">
        <is>
          <t xml:space="preserve">Unidad</t>
        </is>
      </c>
      <c r="H98" s="4" t="inlineStr">
        <is>
          <t xml:space="preserve">CONTRATACIÓN DEL SERVICIO DE GESTIÓN DOCUMENTAL EN MODALIDAD SAAS (SOFTWARE AS A SERVICE) PARA LA SUBSECRETARÍA DEL TRABAJO</t>
        </is>
      </c>
    </row>
    <row r="99">
      <c r="A99" s="0" t="inlineStr">
        <is>
          <t xml:space="preserve">29-81-LP26</t>
        </is>
      </c>
      <c r="B99" s="4" t="inlineStr">
        <is>
          <t xml:space="preserve">AGF - PLATAFORMA INGLES</t>
        </is>
      </c>
      <c r="C99" s="0">
        <v>1</v>
      </c>
      <c r="D99" s="4" t="inlineStr">
        <is>
          <t xml:space="preserve">Enseñanza conversacional de idiomas extranjeros</t>
        </is>
      </c>
      <c r="E99" s="4" t="inlineStr">
        <is>
          <t xml:space="preserve">Educación, formación, entrenamiento y capacitación / Sistemas educativos complementarios / Escuelas de idiomas</t>
        </is>
      </c>
      <c r="F99" s="0">
        <v>1.0</v>
      </c>
      <c r="G99" s="0" t="inlineStr">
        <is>
          <t xml:space="preserve">Global</t>
        </is>
      </c>
      <c r="H99" s="4" t="inlineStr">
        <is>
          <t xml:space="preserve">CONTRATACIÓN DE SERVICIO DE PLATAFORMA INTEGRAL DE CAPACITACIÓN EN IDIOMA INGLÉS (MODALIDAD E-LEARNING CON TUTORIA)</t>
        </is>
      </c>
    </row>
    <row r="100">
      <c r="A100" s="0" t="inlineStr">
        <is>
          <t xml:space="preserve">4160-15-LP26</t>
        </is>
      </c>
      <c r="B100" s="4" t="inlineStr">
        <is>
          <t xml:space="preserve">SERV MANTENIMIENTO TRANSMISION DE DATOS CAMARAS</t>
        </is>
      </c>
      <c r="C100" s="0">
        <v>1</v>
      </c>
      <c r="D100" s="4" t="inlineStr">
        <is>
          <t xml:space="preserve">Cámaras de seguridad</t>
        </is>
      </c>
      <c r="E100" s="4" t="inlineStr">
        <is>
          <t xml:space="preserve">Equipos y suministros de defensa, orden público, protección y seguridad / Seguridad, vigilancia y detección / Equipo de vigilancia y detección</t>
        </is>
      </c>
      <c r="F100" s="0">
        <v>48.0</v>
      </c>
      <c r="G100" s="0" t="inlineStr">
        <is>
          <t xml:space="preserve">Mes</t>
        </is>
      </c>
      <c r="H100" s="4" t="inlineStr">
        <is>
          <t xml:space="preserve">contratación del “SERVICIO DE MANTENIMIENTO, TRANSMISION DE DATOS CAMARAS DE TELEVIGILANCIA HUALPÉN”, para lo cual se deberá considerar un plazo de prestación del servicio de 48 meses corridos.</t>
        </is>
      </c>
    </row>
    <row r="101">
      <c r="A101" s="0" t="inlineStr">
        <is>
          <t xml:space="preserve">1469-268-L126</t>
        </is>
      </c>
      <c r="B101" s="4" t="inlineStr">
        <is>
          <t xml:space="preserve">Servicios de Difusión Publicitaria en Plataforma Digital Informativa Nacional</t>
        </is>
      </c>
      <c r="C101" s="0">
        <v>1</v>
      </c>
      <c r="D101" s="4" t="inlineStr">
        <is>
          <t xml:space="preserve">Publicidad en Internet</t>
        </is>
      </c>
      <c r="E101" s="4" t="inlineStr">
        <is>
          <t xml:space="preserve">Servicios editoriales, de diseño, publicidad, gráficos y artistas / Publicidad / Publicidad en medios no impresos</t>
        </is>
      </c>
      <c r="F101" s="0">
        <v>1.0</v>
      </c>
      <c r="G101" s="0" t="inlineStr">
        <is>
          <t xml:space="preserve">Unidad</t>
        </is>
      </c>
      <c r="H101"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102">
      <c r="A102" s="0" t="inlineStr">
        <is>
          <t xml:space="preserve">2122-34-LE26</t>
        </is>
      </c>
      <c r="B102" s="4" t="inlineStr">
        <is>
          <t xml:space="preserve">SOLUCIONES DE INTELIGENCIA ARTIFICIAL</t>
        </is>
      </c>
      <c r="C102" s="0">
        <v>1</v>
      </c>
      <c r="D102" s="4" t="inlineStr">
        <is>
          <t xml:space="preserve">Desarrolladores de software</t>
        </is>
      </c>
      <c r="E102" s="4" t="inlineStr">
        <is>
          <t xml:space="preserve">Servicios profesionales, administrativos y consultorías de gestión empresarial / Servicios de recursos humanos / Contratación de personal</t>
        </is>
      </c>
      <c r="F102" s="0">
        <v>1.0</v>
      </c>
      <c r="G102" s="0" t="inlineStr">
        <is>
          <t xml:space="preserve">Unidad</t>
        </is>
      </c>
      <c r="H102"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103">
      <c r="A103" s="0" t="inlineStr">
        <is>
          <t xml:space="preserve">2981-293-LE26</t>
        </is>
      </c>
      <c r="B103" s="4" t="inlineStr">
        <is>
          <t xml:space="preserve">ADQUISICIÓN DE 100 GPS TRACKER CON PLATAFORMA INTEGRADA GEOESPACIAL Y DE TRAZABILIDAD Y SU RESPECTIVO EQUIPAMIENTO EJECUCIÓN DEL PLAN CALLE SIN VIOLENCIA</t>
        </is>
      </c>
      <c r="C103" s="0">
        <v>1</v>
      </c>
      <c r="D103" s="4" t="inlineStr">
        <is>
          <t xml:space="preserve">Receptores GPS</t>
        </is>
      </c>
      <c r="E103" s="4" t="inlineStr">
        <is>
          <t xml:space="preserve">Muebles, accesorios, electrodomésticos y productos electrónicos / Equipos y accesorios audiovisuales / Equipos audiovisuales y de electrónica menor</t>
        </is>
      </c>
      <c r="F103" s="0">
        <v>100.0</v>
      </c>
      <c r="G103" s="0" t="inlineStr">
        <is>
          <t xml:space="preserve">Unidad</t>
        </is>
      </c>
      <c r="H103"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04">
      <c r="A104" s="0" t="inlineStr">
        <is>
          <t xml:space="preserve">1107281-6-LE26</t>
        </is>
      </c>
      <c r="B104" s="4" t="inlineStr">
        <is>
          <t xml:space="preserve">COMPRA SOFTWARE COMPATIBLE CON EQUIPO HPLC AGILENT</t>
        </is>
      </c>
      <c r="C104" s="0">
        <v>1</v>
      </c>
      <c r="D104" s="4" t="inlineStr">
        <is>
          <t xml:space="preserve">Software de desarrollo de interfaz gráfica de usuario</t>
        </is>
      </c>
      <c r="E104" s="4" t="inlineStr">
        <is>
          <t xml:space="preserve">Tecnologías de la información, telecomunicaciones y radiodifusión / Software / Programas de desarrollo</t>
        </is>
      </c>
      <c r="F104" s="0">
        <v>1.0</v>
      </c>
      <c r="G104" s="0" t="inlineStr">
        <is>
          <t xml:space="preserve">Unidad</t>
        </is>
      </c>
      <c r="H104"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105">
      <c r="A105" s="0" t="inlineStr">
        <is>
          <t xml:space="preserve">4469-213-L126</t>
        </is>
      </c>
      <c r="B105" s="4" t="inlineStr">
        <is>
          <t xml:space="preserve">S.C. N° 40675(U.F.), LICENCIA WI FI MERAKI MR ENTERPRISE POR 12 MESES. INFORMÁTICA UPLA. AIUE 2655.</t>
        </is>
      </c>
      <c r="C105" s="0">
        <v>1</v>
      </c>
      <c r="D105" s="4" t="inlineStr">
        <is>
          <t xml:space="preserve">Software de sistema experto</t>
        </is>
      </c>
      <c r="E105" s="4" t="inlineStr">
        <is>
          <t xml:space="preserve">Tecnologías de la información, telecomunicaciones y radiodifusión / Software / Software de gestión</t>
        </is>
      </c>
      <c r="F105" s="0">
        <v>49.0</v>
      </c>
      <c r="G105" s="0" t="inlineStr">
        <is>
          <t xml:space="preserve">Unidad</t>
        </is>
      </c>
      <c r="H105" s="4" t="inlineStr">
        <is>
          <t xml:space="preserve">LICENCIAS MERAKI MR ENTERPRISE POR 12 MESES. SEGÚN ANEXO ADJUNTO.</t>
        </is>
      </c>
    </row>
    <row r="106">
      <c r="A106" s="0" t="inlineStr">
        <is>
          <t xml:space="preserve">1005498-23-LE26</t>
        </is>
      </c>
      <c r="B106" s="4" t="inlineStr">
        <is>
          <t xml:space="preserve">Servicio de enlace de datos punto a punto alameda-</t>
        </is>
      </c>
      <c r="C106" s="0">
        <v>1</v>
      </c>
      <c r="D106" s="4" t="inlineStr">
        <is>
          <t xml:space="preserve">Circuitos de telecomunicaciones digitales punto a punto</t>
        </is>
      </c>
      <c r="E106" s="4" t="inlineStr">
        <is>
          <t xml:space="preserve">Servicios básicos y de información pública / Telecomunicaciones / Servicios de telecomunicaciones por circuitos de líneas selectivas y líneas dedicadas arrendadas</t>
        </is>
      </c>
      <c r="F106" s="0">
        <v>1.0</v>
      </c>
      <c r="G106" s="0" t="inlineStr">
        <is>
          <t xml:space="preserve">Unidad</t>
        </is>
      </c>
      <c r="H106" s="4" t="inlineStr">
        <is>
          <t xml:space="preserve">servicio de enlace de datos punto a punto alameda-moneda por un periodo de 24 meses, en pesos chilenos (sin impuesto)</t>
        </is>
      </c>
    </row>
    <row r="107">
      <c r="A107" s="0" t="inlineStr">
        <is>
          <t xml:space="preserve">1643-91-LP26</t>
        </is>
      </c>
      <c r="B107" s="4" t="inlineStr">
        <is>
          <t xml:space="preserve">SISTEMA INFORMÁTICO ERP</t>
        </is>
      </c>
      <c r="C107" s="0">
        <v>1</v>
      </c>
      <c r="D107" s="4" t="inlineStr">
        <is>
          <t xml:space="preserve">Software de planificación de recursos empresariales (ERP)</t>
        </is>
      </c>
      <c r="E107" s="4" t="inlineStr">
        <is>
          <t xml:space="preserve">Tecnologías de la información, telecomunicaciones y radiodifusión / Software / Software de planificación de recursos empresariales (ERP) y contabilidad financiera</t>
        </is>
      </c>
      <c r="F107" s="0">
        <v>1.0</v>
      </c>
      <c r="G107" s="0" t="inlineStr">
        <is>
          <t xml:space="preserve">Unidad</t>
        </is>
      </c>
      <c r="H107" s="4" t="inlineStr">
        <is>
          <t xml:space="preserve">CONTRATACIÓN DE SISTEMA INFORMÁTICO (ERP)</t>
        </is>
      </c>
    </row>
    <row r="108">
      <c r="A108" s="0" t="inlineStr">
        <is>
          <t xml:space="preserve">5482-94-LP26</t>
        </is>
      </c>
      <c r="B108" s="4" t="inlineStr">
        <is>
          <t xml:space="preserve">SERVICIO DE ARRIENDO MANTENCIÓN Y SOPORTE DE PLATAFORMA DOM</t>
        </is>
      </c>
      <c r="C108" s="0">
        <v>1</v>
      </c>
      <c r="D108" s="4" t="inlineStr">
        <is>
          <t xml:space="preserve">Software de desarrollo de plataforma Web</t>
        </is>
      </c>
      <c r="E108" s="4" t="inlineStr">
        <is>
          <t xml:space="preserve">Tecnologías de la información, telecomunicaciones y radiodifusión / Software / Programas de desarrollo</t>
        </is>
      </c>
      <c r="F108" s="0">
        <v>1.0</v>
      </c>
      <c r="G108" s="0" t="inlineStr">
        <is>
          <t xml:space="preserve">Unidad</t>
        </is>
      </c>
      <c r="H108"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109">
      <c r="A109" s="0" t="inlineStr">
        <is>
          <t xml:space="preserve">1080094-17-L126</t>
        </is>
      </c>
      <c r="B109" s="4" t="inlineStr">
        <is>
          <t xml:space="preserve">RADIO PORTÁTIL DIGITAL VHF PARA SAMU</t>
        </is>
      </c>
      <c r="C109" s="0">
        <v>1</v>
      </c>
      <c r="D109" s="4" t="inlineStr">
        <is>
          <t xml:space="preserve">Receptores o transmisores de radiofrecuencia</t>
        </is>
      </c>
      <c r="E109" s="4" t="inlineStr">
        <is>
          <t xml:space="preserve">Muebles, accesorios, electrodomésticos y productos electrónicos / Equipos y accesorios audiovisuales / Equipos audiovisuales y de electrónica menor</t>
        </is>
      </c>
      <c r="F109" s="0">
        <v>20.0</v>
      </c>
      <c r="G109" s="0" t="inlineStr">
        <is>
          <t xml:space="preserve">Unidad</t>
        </is>
      </c>
      <c r="H109" s="4" t="inlineStr">
        <is>
          <t xml:space="preserve">RADIO PORTÁTIL DIGITAL VHF</t>
        </is>
      </c>
    </row>
    <row r="110">
      <c r="A110" s="0" t="inlineStr">
        <is>
          <t xml:space="preserve">1602-20-LE26</t>
        </is>
      </c>
      <c r="B110" s="4" t="inlineStr">
        <is>
          <t xml:space="preserve">ADQUISICIÓN DE LICENCIAS PARA EQUIPOS DE COMUNICACIONES DE LA RED DE DATOS DE LA DGAC 122 dgv</t>
        </is>
      </c>
      <c r="C110" s="0">
        <v>1</v>
      </c>
      <c r="D110" s="4" t="inlineStr">
        <is>
          <t xml:space="preserve">Software de gestión de licencias</t>
        </is>
      </c>
      <c r="E110" s="4" t="inlineStr">
        <is>
          <t xml:space="preserve">Tecnologías de la información, telecomunicaciones y radiodifusión / Software / Software de gestión</t>
        </is>
      </c>
      <c r="F110" s="0">
        <v>70.0</v>
      </c>
      <c r="G110" s="0" t="inlineStr">
        <is>
          <t xml:space="preserve">Unidad</t>
        </is>
      </c>
      <c r="H110"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111">
      <c r="A111" s="0" t="inlineStr">
        <is>
          <t xml:space="preserve">1602-20-LE26</t>
        </is>
      </c>
      <c r="B111" s="4" t="inlineStr">
        <is>
          <t xml:space="preserve">ADQUISICIÓN DE LICENCIAS PARA EQUIPOS DE COMUNICACIONES DE LA RED DE DATOS DE LA DGAC 122 dgv</t>
        </is>
      </c>
      <c r="C111" s="0">
        <v>2</v>
      </c>
      <c r="D111" s="4" t="inlineStr">
        <is>
          <t xml:space="preserve">Software de gestión de licencias</t>
        </is>
      </c>
      <c r="E111" s="4" t="inlineStr">
        <is>
          <t xml:space="preserve">Tecnologías de la información, telecomunicaciones y radiodifusión / Software / Software de gestión</t>
        </is>
      </c>
      <c r="F111" s="0">
        <v>70.0</v>
      </c>
      <c r="G111" s="0" t="inlineStr">
        <is>
          <t xml:space="preserve">Unidad</t>
        </is>
      </c>
      <c r="H111"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112">
      <c r="A112" s="0" t="inlineStr">
        <is>
          <t xml:space="preserve">1602-20-LE26</t>
        </is>
      </c>
      <c r="B112" s="4" t="inlineStr">
        <is>
          <t xml:space="preserve">ADQUISICIÓN DE LICENCIAS PARA EQUIPOS DE COMUNICACIONES DE LA RED DE DATOS DE LA DGAC 122 dgv</t>
        </is>
      </c>
      <c r="C112" s="0">
        <v>3</v>
      </c>
      <c r="D112" s="4" t="inlineStr">
        <is>
          <t xml:space="preserve">Software de gestión de licencias</t>
        </is>
      </c>
      <c r="E112" s="4" t="inlineStr">
        <is>
          <t xml:space="preserve">Tecnologías de la información, telecomunicaciones y radiodifusión / Software / Software de gestión</t>
        </is>
      </c>
      <c r="F112" s="0">
        <v>2.0</v>
      </c>
      <c r="G112" s="0" t="inlineStr">
        <is>
          <t xml:space="preserve">Unidad</t>
        </is>
      </c>
      <c r="H112"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113">
      <c r="A113" s="0" t="inlineStr">
        <is>
          <t xml:space="preserve">1153624-24-L126</t>
        </is>
      </c>
      <c r="B113" s="4" t="inlineStr">
        <is>
          <t xml:space="preserve">Servicio de Ordenamiento de Cableado de Datos y Eléctrico en Datacenter y Rack de Comunicaciones</t>
        </is>
      </c>
      <c r="C113" s="0">
        <v>1</v>
      </c>
      <c r="D113" s="4" t="inlineStr">
        <is>
          <t xml:space="preserve">Conjuntos de cableado</t>
        </is>
      </c>
      <c r="E113" s="4" t="inlineStr">
        <is>
          <t xml:space="preserve">Tecnologías de la información, telecomunicaciones y radiodifusión / Componentes para tecnología de la información, difusión o telecomunicaciones / Subconjuntos para dispositivos electrónicos</t>
        </is>
      </c>
      <c r="F113" s="0">
        <v>1.0</v>
      </c>
      <c r="G113" s="0" t="inlineStr">
        <is>
          <t xml:space="preserve">Unidad</t>
        </is>
      </c>
      <c r="H113" s="4" t="inlineStr">
        <is>
          <t xml:space="preserve">Servicio para ordenar cables en Datacenter y en rack en el edificio ubicado en San Martín 88.</t>
        </is>
      </c>
    </row>
    <row r="114">
      <c r="A114" s="0" t="inlineStr">
        <is>
          <t xml:space="preserve">608897-61-LP26</t>
        </is>
      </c>
      <c r="B114" s="4" t="inlineStr">
        <is>
          <t xml:space="preserve">SOPORTE PLATAFORMAS DE INFORMACIÓN AMBIENTAL BIANUAL</t>
        </is>
      </c>
      <c r="C114" s="0">
        <v>1</v>
      </c>
      <c r="D114" s="4" t="inlineStr">
        <is>
          <t xml:space="preserve">Servicios de asesoría de tecnología medioambiental</t>
        </is>
      </c>
      <c r="E114" s="4" t="inlineStr">
        <is>
          <t xml:space="preserve">Servicios medioambientales / Gestión medioambiental / Servicios de asesoría medioambiental</t>
        </is>
      </c>
      <c r="F114" s="0">
        <v>1.0</v>
      </c>
      <c r="G114" s="0" t="inlineStr">
        <is>
          <t xml:space="preserve">Unidad</t>
        </is>
      </c>
      <c r="H114"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115">
      <c r="A115" s="0" t="inlineStr">
        <is>
          <t xml:space="preserve">1422051-29-LE26</t>
        </is>
      </c>
      <c r="B115" s="4" t="inlineStr">
        <is>
          <t xml:space="preserve">Contratación Servicio Plataforma de Gestión RRHH</t>
        </is>
      </c>
      <c r="C115" s="0">
        <v>1</v>
      </c>
      <c r="D115" s="4" t="inlineStr">
        <is>
          <t xml:space="preserve">Software de gestión de recursos humanos</t>
        </is>
      </c>
      <c r="E115" s="4" t="inlineStr">
        <is>
          <t xml:space="preserve">Tecnologías de la información, telecomunicaciones y radiodifusión / Software / Software de gestión</t>
        </is>
      </c>
      <c r="F115" s="0">
        <v>1.0</v>
      </c>
      <c r="G115" s="0" t="inlineStr">
        <is>
          <t xml:space="preserve">Unidad</t>
        </is>
      </c>
      <c r="H115" s="4" t="inlineStr">
        <is>
          <t xml:space="preserve">Servicio de plataforma de gestión de persona.</t>
        </is>
      </c>
    </row>
    <row r="116">
      <c r="A116" s="0" t="inlineStr">
        <is>
          <t xml:space="preserve">4086-48-LP26</t>
        </is>
      </c>
      <c r="B116" s="4" t="inlineStr">
        <is>
          <t xml:space="preserve">SERVICIO DE SISTEMA DE INFORMACIÓN DE LA GESTIÓN</t>
        </is>
      </c>
      <c r="C116" s="0">
        <v>1</v>
      </c>
      <c r="D116" s="4" t="inlineStr">
        <is>
          <t xml:space="preserve">Programas de gestión de configuración</t>
        </is>
      </c>
      <c r="E116" s="4" t="inlineStr">
        <is>
          <t xml:space="preserve">Tecnologías de la información, telecomunicaciones y radiodifusión / Software / Programas de desarrollo</t>
        </is>
      </c>
      <c r="F116" s="0">
        <v>1.0</v>
      </c>
      <c r="G116" s="0" t="inlineStr">
        <is>
          <t xml:space="preserve">Unidad</t>
        </is>
      </c>
      <c r="H116" s="4" t="inlineStr">
        <is>
          <t xml:space="preserve">SERVICIO DE MANTENCIÓN, ARRIENDO Y PROVISIÓN DE SISTEMA DE INFORMACIÓN DE LA GESTIÓN MUNICIPAL Y SOPORTE COMPUTACIONAL SEGÚN BASES, , ESPECIFICACIONES TÉCNICAS, ANEXOS E ITEM ADJUNTOS.</t>
        </is>
      </c>
    </row>
    <row r="117">
      <c r="A117" s="0" t="inlineStr">
        <is>
          <t xml:space="preserve">1469-267-L126</t>
        </is>
      </c>
      <c r="B117" s="4" t="inlineStr">
        <is>
          <t xml:space="preserve">Servicio de Mantenimiento UPS del Centro de Datos en Campus Talca de la Universidad de Talca</t>
        </is>
      </c>
      <c r="C117" s="0">
        <v>1</v>
      </c>
      <c r="D117" s="4" t="inlineStr">
        <is>
          <t xml:space="preserve">Instalación o servicio de sistemas de energía eléctrica</t>
        </is>
      </c>
      <c r="E117" s="4" t="inlineStr">
        <is>
          <t xml:space="preserve">Servicios de construcción y mantenimiento / Servicios de atención, mantenimiento y reparaciones de edificios / Servicios eléctricos</t>
        </is>
      </c>
      <c r="F117" s="0">
        <v>1.0</v>
      </c>
      <c r="G117" s="0" t="inlineStr">
        <is>
          <t xml:space="preserve">Unidad</t>
        </is>
      </c>
      <c r="H117" s="4" t="inlineStr">
        <is>
          <t xml:space="preserve">Servicio de Mantenimiento UPS del Centro de Datos en Campus Talca de la Universidad de Talca</t>
        </is>
      </c>
    </row>
    <row r="118">
      <c r="A118" s="0" t="inlineStr">
        <is>
          <t xml:space="preserve">1606-34-LE26</t>
        </is>
      </c>
      <c r="B118" s="4" t="inlineStr">
        <is>
          <t xml:space="preserve">Consultoría para la digitalización de rutas de taxis colectivos. Proyecto Apoyo a la estrategia Chilena de transporte sostenible - CLETS Financiado por la GEF e implementado por CAF</t>
        </is>
      </c>
      <c r="C118" s="0">
        <v>1</v>
      </c>
      <c r="D118" s="4" t="inlineStr">
        <is>
          <t xml:space="preserve">Asesorías en planificación estratégica</t>
        </is>
      </c>
      <c r="E118" s="4" t="inlineStr">
        <is>
          <t xml:space="preserve">Servicios profesionales, administrativos y consultorías de gestión empresarial / Consultorías o asesorías en gestión empresarial / Servicios de consultoría en gestión de empresas</t>
        </is>
      </c>
      <c r="F118" s="0">
        <v>1.0</v>
      </c>
      <c r="G118" s="0" t="inlineStr">
        <is>
          <t xml:space="preserve">Unidad</t>
        </is>
      </c>
      <c r="H118" s="4" t="inlineStr">
        <is>
          <t xml:space="preserve">Servicio de consultoría para la digitalización de rutas de taxis colectivos para el Proyecto CLETS, financiado por la GEF e Implementado por CAF, según bases administrativas adjuntas.</t>
        </is>
      </c>
    </row>
    <row r="119">
      <c r="A119" s="0" t="inlineStr">
        <is>
          <t xml:space="preserve">617807-79-B226</t>
        </is>
      </c>
      <c r="B119" s="4" t="inlineStr">
        <is>
          <t xml:space="preserve">SERVICIO DE MANTENCIÓN PREVENTIVA Y REPARATIVA DE EQUIPOS DE RAYOS X DIGITAL ARCO C PARA EL HOSPITAL SAN JUAN DE DIOS DE LOS ANDES</t>
        </is>
      </c>
      <c r="C119" s="0">
        <v>1</v>
      </c>
      <c r="D119" s="4" t="inlineStr">
        <is>
          <t xml:space="preserve">Servicio de mantenimiento de equipo de fabricación</t>
        </is>
      </c>
      <c r="E119" s="4" t="inlineStr">
        <is>
          <t xml:space="preserve">Servicios de producción y fabricación industrial / Servicios de apoyo o soporte a la fabricación / Servicios de mantenimiento y reparación de equipo de fabricación</t>
        </is>
      </c>
      <c r="F119" s="0">
        <v>1.0</v>
      </c>
      <c r="G119" s="0" t="inlineStr">
        <is>
          <t xml:space="preserve">Unidad</t>
        </is>
      </c>
      <c r="H119" s="4" t="inlineStr">
        <is>
          <t xml:space="preserve">SERVICIO DE MANTENCION PREVENTIVA Y REPARATIVO  DE EQUIPOS DE RAYOS X DIGITAL ARCO C (SEGUN TERMINOS DE REFERENCIA)</t>
        </is>
      </c>
    </row>
    <row r="120">
      <c r="A120" s="0" t="inlineStr">
        <is>
          <t xml:space="preserve">1461054-45-LP26</t>
        </is>
      </c>
      <c r="B120" s="4" t="inlineStr">
        <is>
          <t xml:space="preserve">PLATAFORMA DE GESTIÓN EDUCACIONAL PARA 77 E.E</t>
        </is>
      </c>
      <c r="C120" s="0">
        <v>1</v>
      </c>
      <c r="D120" s="4" t="inlineStr">
        <is>
          <t xml:space="preserve">Software del sistema de administración de bases de datos</t>
        </is>
      </c>
      <c r="E120" s="4" t="inlineStr">
        <is>
          <t xml:space="preserve">Tecnologías de la información, telecomunicaciones y radiodifusión / Software / Software de consultas y gestión de datos</t>
        </is>
      </c>
      <c r="F120" s="0">
        <v>1.0</v>
      </c>
      <c r="G120" s="0" t="inlineStr">
        <is>
          <t xml:space="preserve">Unidad</t>
        </is>
      </c>
      <c r="H120" s="4" t="inlineStr">
        <is>
          <t xml:space="preserve">PLATAFORMA DE GESTIÓN EDUCACIONAL PARA 77 ESTABLECIMIENTOS EDUCACIONALES DEPENDIENTES DEL SERVICIO LOCAL DE EDUCACIÓN PÚBLICA ELQUI</t>
        </is>
      </c>
    </row>
    <row r="121">
      <c r="A121" s="0" t="inlineStr">
        <is>
          <t xml:space="preserve">3348-9-LE26</t>
        </is>
      </c>
      <c r="B121" s="4" t="inlineStr">
        <is>
          <t xml:space="preserve">Servicio de Arriendo de Tótem Gestor de Filas</t>
        </is>
      </c>
      <c r="C121" s="0">
        <v>1</v>
      </c>
      <c r="D121" s="4" t="inlineStr">
        <is>
          <t xml:space="preserve">Monitores de pantalla táctil</t>
        </is>
      </c>
      <c r="E121" s="4" t="inlineStr">
        <is>
          <t xml:space="preserve">Tecnologías de la información, telecomunicaciones y radiodifusión / Equipos informáticos y accesorios / Pantallas o monitores de computador</t>
        </is>
      </c>
      <c r="F121" s="0">
        <v>1.0</v>
      </c>
      <c r="G121" s="0" t="inlineStr">
        <is>
          <t xml:space="preserve">Unidad</t>
        </is>
      </c>
      <c r="H121"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22">
      <c r="A122" s="0" t="inlineStr">
        <is>
          <t xml:space="preserve">948354-140-LR26</t>
        </is>
      </c>
      <c r="B122" s="4" t="inlineStr">
        <is>
          <t xml:space="preserve">CONTRATACIÓN DE UNA SOLUCIÓN INTEGRAL RIS-PACS INCLUYENDO LA PROVISIÓN DE SERVICIOS SOFTWARE HARDWARE E INFRAESTRUCTURA TECNOLÓGICA PARA EL SERVICIO DE IMAGENOLOGÍA DEL HOSPITAL DIPRECA</t>
        </is>
      </c>
      <c r="C122" s="0">
        <v>1</v>
      </c>
      <c r="D122" s="4" t="inlineStr">
        <is>
          <t xml:space="preserve">Sistemas informatizados de archivado de imágenes (PACS) médicos</t>
        </is>
      </c>
      <c r="E122" s="4" t="inlineStr">
        <is>
          <t xml:space="preserve">Equipamiento y suministros médicos / Productos para imágenes y de medicina nuclear / Artículos para archivar información e imágenes radiológicas</t>
        </is>
      </c>
      <c r="F122" s="0">
        <v>60.0</v>
      </c>
      <c r="G122" s="0" t="inlineStr">
        <is>
          <t xml:space="preserve">Mes</t>
        </is>
      </c>
      <c r="H122" s="4" t="inlineStr">
        <is>
          <t xml:space="preserve">SERVICIO DE RIS-PACS PARA EL SERVICIO DE IMAGENOLOGÍA DEL HOSPITAL DIPRECA (De acuerdo a las Bases Técnicas).</t>
        </is>
      </c>
    </row>
    <row r="123">
      <c r="A123" s="0" t="inlineStr">
        <is>
          <t xml:space="preserve">5148-13-LP26</t>
        </is>
      </c>
      <c r="B123" s="4" t="inlineStr">
        <is>
          <t xml:space="preserve">ADQUISICIÓN SERVIDORES PARA PLATAFORMA IA DEL MP</t>
        </is>
      </c>
      <c r="C123" s="0">
        <v>1</v>
      </c>
      <c r="D123" s="4" t="inlineStr">
        <is>
          <t xml:space="preserve">Servidores</t>
        </is>
      </c>
      <c r="E123" s="4" t="inlineStr">
        <is>
          <t xml:space="preserve">Tecnologías de la información, telecomunicaciones y radiodifusión / Equipos informáticos y accesorios / Computadores</t>
        </is>
      </c>
      <c r="F123" s="0">
        <v>1.0</v>
      </c>
      <c r="G123" s="0" t="inlineStr">
        <is>
          <t xml:space="preserve">Unidad</t>
        </is>
      </c>
      <c r="H123" s="4" t="inlineStr">
        <is>
          <t xml:space="preserve">SERVIDOR PARA LA PLATAFORMA DE INTELIGENCIA ARTIFICIAL (IA) Y MACHINE LEARNING (ML), CON SOPORTE POR 36 MESES, PARA AMBIENTE PRODUCTIVO</t>
        </is>
      </c>
    </row>
    <row r="124">
      <c r="A124" s="0" t="inlineStr">
        <is>
          <t xml:space="preserve">5148-13-LP26</t>
        </is>
      </c>
      <c r="B124" s="4" t="inlineStr">
        <is>
          <t xml:space="preserve">ADQUISICIÓN SERVIDORES PARA PLATAFORMA IA DEL MP</t>
        </is>
      </c>
      <c r="C124" s="0">
        <v>2</v>
      </c>
      <c r="D124" s="4" t="inlineStr">
        <is>
          <t xml:space="preserve">Servidores</t>
        </is>
      </c>
      <c r="E124" s="4" t="inlineStr">
        <is>
          <t xml:space="preserve">Tecnologías de la información, telecomunicaciones y radiodifusión / Equipos informáticos y accesorios / Computadores</t>
        </is>
      </c>
      <c r="F124" s="0">
        <v>1.0</v>
      </c>
      <c r="G124" s="0" t="inlineStr">
        <is>
          <t xml:space="preserve">Unidad</t>
        </is>
      </c>
      <c r="H124" s="4" t="inlineStr">
        <is>
          <t xml:space="preserve">SERVIDOR PARA LA PLATAFORMA DE INTELIGENCIA ARTIFICIAL (IA) Y MACHINE LEARNING (ML), CON SOPORTE POR 36 MESES, PARA AMBIENTE DESARROLLO</t>
        </is>
      </c>
    </row>
    <row r="125">
      <c r="A125" s="0" t="inlineStr">
        <is>
          <t xml:space="preserve">598-26-LE26</t>
        </is>
      </c>
      <c r="B125" s="4" t="inlineStr">
        <is>
          <t xml:space="preserve">Licencia Automatización de Procesos IFM por 36 mes</t>
        </is>
      </c>
      <c r="C125" s="0">
        <v>1</v>
      </c>
      <c r="D125" s="4" t="inlineStr">
        <is>
          <t xml:space="preserve">Software de gestión de licencias</t>
        </is>
      </c>
      <c r="E125" s="4" t="inlineStr">
        <is>
          <t xml:space="preserve">Tecnologías de la información, telecomunicaciones y radiodifusión / Software / Software de gestión</t>
        </is>
      </c>
      <c r="F125" s="0">
        <v>1.0</v>
      </c>
      <c r="G125" s="0" t="inlineStr">
        <is>
          <t xml:space="preserve">Unidad</t>
        </is>
      </c>
      <c r="H125" s="4" t="inlineStr">
        <is>
          <t xml:space="preserve">Licencia IFM POR 36 MESES, SEGÚN BASES DE LICITACIÓN.</t>
        </is>
      </c>
    </row>
    <row r="126">
      <c r="A126" s="0" t="inlineStr">
        <is>
          <t xml:space="preserve">2667-71-LR26</t>
        </is>
      </c>
      <c r="B126" s="4" t="inlineStr">
        <is>
          <t xml:space="preserve">ARRIENDO SOPORTE Y MANTENCIÓN DE CENTRAL TELEFONICA IP TELEFONOS IP Y PLATAFORMA DE CONTACT CENTER</t>
        </is>
      </c>
      <c r="C126" s="0">
        <v>1</v>
      </c>
      <c r="D126" s="4" t="inlineStr">
        <is>
          <t xml:space="preserve">Sistemas de alarma</t>
        </is>
      </c>
      <c r="E126" s="4" t="inlineStr">
        <is>
          <t xml:space="preserve">Equipos y suministros de defensa, orden público, protección y seguridad / Seguridad, vigilancia y detección / Equipo de vigilancia y detección</t>
        </is>
      </c>
      <c r="F126" s="0">
        <v>1.0</v>
      </c>
      <c r="G126" s="0" t="inlineStr">
        <is>
          <t xml:space="preserve">Global</t>
        </is>
      </c>
      <c r="H126" s="4" t="inlineStr">
        <is>
          <t xml:space="preserve">ARRIENDO, INSTALACIÓN, SOPORTE Y MANTENCIÓN DE CENTRAL TELEFÓNICA, EQUIPOS TELEFÓNICOS Y PLATAFORMA DE ATENCIÓN TELEFÓNICA</t>
        </is>
      </c>
    </row>
    <row r="127">
      <c r="A127" s="0" t="inlineStr">
        <is>
          <t xml:space="preserve">608-197-LR26</t>
        </is>
      </c>
      <c r="B127" s="4" t="inlineStr">
        <is>
          <t xml:space="preserve">SERVICIO DE OPERACIÓN MANTENIMIENTO Y ACTUALIZACIÓN DE PLATAFORMAS TECNOLÓGICAS DE LA SALA DE CONTROL CENTRALIZADO DEL HOSPITAL DR. GUSTAVO FRICKE</t>
        </is>
      </c>
      <c r="C127" s="0">
        <v>1</v>
      </c>
      <c r="D127" s="4" t="inlineStr">
        <is>
          <t xml:space="preserve">Integración de sistemas</t>
        </is>
      </c>
      <c r="E127" s="4" t="inlineStr">
        <is>
          <t xml:space="preserve">Servicios basados en ingeniería, ciencias sociales y tecnología de la información / Servicios informáticos / Ingeniería en computación e informática</t>
        </is>
      </c>
      <c r="F127" s="0">
        <v>1.0</v>
      </c>
      <c r="G127" s="0" t="inlineStr">
        <is>
          <t xml:space="preserve">Unidad</t>
        </is>
      </c>
      <c r="H127" s="4" t="inlineStr">
        <is>
          <t xml:space="preserve">SERVICIO
DE OPERACIÓN, MANTENIMIENTO Y ACTUALIZACIÓN
DE PLATAFORMAS TECNOLÓGICAS DE LA SALA DE
CONTROL CENTRALIZADO DEL HOSPITAL DR.
GUSTAVO FRICKE (favor desglosar valores en anexo económico N°6)</t>
        </is>
      </c>
    </row>
    <row r="128">
      <c r="A128" s="0" t="inlineStr">
        <is>
          <t xml:space="preserve">1020-38-LP26</t>
        </is>
      </c>
      <c r="B128" s="4" t="inlineStr">
        <is>
          <t xml:space="preserve">Adquisición de Plataforma Next Generation Firewall</t>
        </is>
      </c>
      <c r="C128" s="0">
        <v>1</v>
      </c>
      <c r="D128" s="4" t="inlineStr">
        <is>
          <t xml:space="preserve">Equipo de seguridad de red de firewall</t>
        </is>
      </c>
      <c r="E128" s="4" t="inlineStr">
        <is>
          <t xml:space="preserve">Tecnologías de la información, telecomunicaciones y radiodifusión / Equipos, plataformas y accesorios de redes multimedia, voz y datos / Equipos de seguridad de red</t>
        </is>
      </c>
      <c r="F128" s="0">
        <v>2.0</v>
      </c>
      <c r="G128" s="0" t="inlineStr">
        <is>
          <t xml:space="preserve">Unidad</t>
        </is>
      </c>
      <c r="H128" s="4" t="inlineStr">
        <is>
          <t xml:space="preserve">Equipos.</t>
        </is>
      </c>
    </row>
    <row r="129">
      <c r="A129" s="0" t="inlineStr">
        <is>
          <t xml:space="preserve">1020-38-LP26</t>
        </is>
      </c>
      <c r="B129" s="4" t="inlineStr">
        <is>
          <t xml:space="preserve">Adquisición de Plataforma Next Generation Firewall</t>
        </is>
      </c>
      <c r="C129" s="0">
        <v>2</v>
      </c>
      <c r="D129" s="4" t="inlineStr">
        <is>
          <t xml:space="preserve">Software de vigilancia de redes</t>
        </is>
      </c>
      <c r="E129" s="4" t="inlineStr">
        <is>
          <t xml:space="preserve">Tecnologías de la información, telecomunicaciones y radiodifusión / Software / Software de administración de redes</t>
        </is>
      </c>
      <c r="F129" s="0">
        <v>1.0</v>
      </c>
      <c r="G129" s="0" t="inlineStr">
        <is>
          <t xml:space="preserve">Unidad</t>
        </is>
      </c>
      <c r="H129" s="4" t="inlineStr">
        <is>
          <t xml:space="preserve">Licenciamiento de software para la Plataforma Next Generation Firewall (NGFW)</t>
        </is>
      </c>
    </row>
    <row r="130">
      <c r="A130" s="0" t="inlineStr">
        <is>
          <t xml:space="preserve">3047-60-LE26</t>
        </is>
      </c>
      <c r="B130" s="4" t="inlineStr">
        <is>
          <t xml:space="preserve">EQUIPAMIENTO INFORMÁTICO PARA IMPLEMENTAR SERVIDOR EN EL CENTRO DE INNOVACIÓN TECNOLÓGICA DE LA ARMADA</t>
        </is>
      </c>
      <c r="C130" s="0">
        <v>1</v>
      </c>
      <c r="D130" s="4" t="inlineStr">
        <is>
          <t xml:space="preserve">Servidores</t>
        </is>
      </c>
      <c r="E130" s="4" t="inlineStr">
        <is>
          <t xml:space="preserve">Tecnologías de la información, telecomunicaciones y radiodifusión / Equipos informáticos y accesorios / Computadores</t>
        </is>
      </c>
      <c r="F130" s="0">
        <v>1.0</v>
      </c>
      <c r="G130" s="0" t="inlineStr">
        <is>
          <t xml:space="preserve">Unidad</t>
        </is>
      </c>
      <c r="H130" s="4" t="inlineStr">
        <is>
          <t xml:space="preserve">EQUIPAMIENTO INFORMATICO PARA IMPLEMENTAR UN SERVIDOR IA ON PREMISE DE ACUERDO A ESPECIFICACIONES ADMINISTRATIVAS,TÉCNICAS Y ANEXOS ADJUNTOS.</t>
        </is>
      </c>
    </row>
    <row r="131">
      <c r="A131" s="0" t="inlineStr">
        <is>
          <t xml:space="preserve">3671-80-LE26</t>
        </is>
      </c>
      <c r="B131" s="4" t="inlineStr">
        <is>
          <t xml:space="preserve">“HABILITACIÓN DE NUEVAS DEPENDENCIAS DE SEGURIDAD MUNICIPAL E INFORMÁTICA DE LA MUNICIPALIDAD DE CHILLÁN VIEJO”</t>
        </is>
      </c>
      <c r="C131" s="0">
        <v>1</v>
      </c>
      <c r="D131" s="4" t="inlineStr">
        <is>
          <t xml:space="preserve">Construcción de obras civiles</t>
        </is>
      </c>
      <c r="E131" s="4" t="inlineStr">
        <is>
          <t xml:space="preserve">Servicios de construcción y mantenimiento / Construcción de edificios en general / Construcción de obras civiles y infraestructuras</t>
        </is>
      </c>
      <c r="F131" s="0">
        <v>1.0</v>
      </c>
      <c r="G131" s="0" t="inlineStr">
        <is>
          <t xml:space="preserve">Unidad</t>
        </is>
      </c>
      <c r="H131" s="4" t="inlineStr">
        <is>
          <t xml:space="preserve">HABILITACION DE NUEVAS DEPENDENCIAS DE SEGURIDAD MUNICIPAL E INFORMATICA DE LA MUNICIPALIDAD DE CHILLAN VIEJO</t>
        </is>
      </c>
    </row>
    <row r="132">
      <c r="A132" s="0" t="inlineStr">
        <is>
          <t xml:space="preserve">577290-4-LP26</t>
        </is>
      </c>
      <c r="B132" s="4" t="inlineStr">
        <is>
          <t xml:space="preserve">RENOVACIÓN Y ADQUISICIÓN DE LICENCIAS DE SOFTWARE</t>
        </is>
      </c>
      <c r="C132" s="0">
        <v>1</v>
      </c>
      <c r="D132" s="4" t="inlineStr">
        <is>
          <t xml:space="preserve">Software de gestión de licencias</t>
        </is>
      </c>
      <c r="E132" s="4" t="inlineStr">
        <is>
          <t xml:space="preserve">Tecnologías de la información, telecomunicaciones y radiodifusión / Software / Software de gestión</t>
        </is>
      </c>
      <c r="F132" s="0">
        <v>4.0</v>
      </c>
      <c r="G132" s="0" t="inlineStr">
        <is>
          <t xml:space="preserve">Unidad</t>
        </is>
      </c>
      <c r="H132" s="4" t="inlineStr">
        <is>
          <t xml:space="preserve">DEVEXPRESS UNIVERSAL (o equivalente). Suscripción. 12 meses</t>
        </is>
      </c>
    </row>
    <row r="133">
      <c r="A133" s="0" t="inlineStr">
        <is>
          <t xml:space="preserve">577290-4-LP26</t>
        </is>
      </c>
      <c r="B133" s="4" t="inlineStr">
        <is>
          <t xml:space="preserve">RENOVACIÓN Y ADQUISICIÓN DE LICENCIAS DE SOFTWARE</t>
        </is>
      </c>
      <c r="C133" s="0">
        <v>2</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Unidad</t>
        </is>
      </c>
      <c r="H133" s="4" t="inlineStr">
        <is>
          <t xml:space="preserve">PowerDesigner Enterprise Architect (o equivalente). Perpetua</t>
        </is>
      </c>
    </row>
    <row r="134">
      <c r="A134" s="0" t="inlineStr">
        <is>
          <t xml:space="preserve">577290-4-LP26</t>
        </is>
      </c>
      <c r="B134" s="4" t="inlineStr">
        <is>
          <t xml:space="preserve">RENOVACIÓN Y ADQUISICIÓN DE LICENCIAS DE SOFTWARE</t>
        </is>
      </c>
      <c r="C134" s="0">
        <v>3</v>
      </c>
      <c r="D134" s="4" t="inlineStr">
        <is>
          <t xml:space="preserve">Software de gestión de licencias</t>
        </is>
      </c>
      <c r="E134" s="4" t="inlineStr">
        <is>
          <t xml:space="preserve">Tecnologías de la información, telecomunicaciones y radiodifusión / Software / Software de gestión</t>
        </is>
      </c>
      <c r="F134" s="0">
        <v>4.0</v>
      </c>
      <c r="G134" s="0" t="inlineStr">
        <is>
          <t xml:space="preserve">Unidad</t>
        </is>
      </c>
      <c r="H134" s="4" t="inlineStr">
        <is>
          <t xml:space="preserve">TOAD FOR ORACLE DBA Edition (o equivalente). Suscripción. 12 meses</t>
        </is>
      </c>
    </row>
    <row r="135">
      <c r="A135" s="0" t="inlineStr">
        <is>
          <t xml:space="preserve">577290-4-LP26</t>
        </is>
      </c>
      <c r="B135" s="4" t="inlineStr">
        <is>
          <t xml:space="preserve">RENOVACIÓN Y ADQUISICIÓN DE LICENCIAS DE SOFTWARE</t>
        </is>
      </c>
      <c r="C135" s="0">
        <v>4</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TOAD DATA STUDIO (o equivalente). Suscripción. 12 meses.</t>
        </is>
      </c>
    </row>
    <row r="136">
      <c r="A136" s="0" t="inlineStr">
        <is>
          <t xml:space="preserve">577290-4-LP26</t>
        </is>
      </c>
      <c r="B136" s="4" t="inlineStr">
        <is>
          <t xml:space="preserve">RENOVACIÓN Y ADQUISICIÓN DE LICENCIAS DE SOFTWARE</t>
        </is>
      </c>
      <c r="C136" s="0">
        <v>5</v>
      </c>
      <c r="D136" s="4" t="inlineStr">
        <is>
          <t xml:space="preserve">Software de gestión de licencias</t>
        </is>
      </c>
      <c r="E136" s="4" t="inlineStr">
        <is>
          <t xml:space="preserve">Tecnologías de la información, telecomunicaciones y radiodifusión / Software / Software de gestión</t>
        </is>
      </c>
      <c r="F136" s="0">
        <v>60.0</v>
      </c>
      <c r="G136" s="0" t="inlineStr">
        <is>
          <t xml:space="preserve">Unidad</t>
        </is>
      </c>
      <c r="H136" s="4" t="inlineStr">
        <is>
          <t xml:space="preserve">ADOBE ACROBAT PRO DC (o equivalente). Suscripción. 12 meses</t>
        </is>
      </c>
    </row>
    <row r="137">
      <c r="A137" s="0" t="inlineStr">
        <is>
          <t xml:space="preserve">577290-4-LP26</t>
        </is>
      </c>
      <c r="B137" s="4" t="inlineStr">
        <is>
          <t xml:space="preserve">RENOVACIÓN Y ADQUISICIÓN DE LICENCIAS DE SOFTWARE</t>
        </is>
      </c>
      <c r="C137" s="0">
        <v>6</v>
      </c>
      <c r="D137" s="4" t="inlineStr">
        <is>
          <t xml:space="preserve">Software de gestión de licencias</t>
        </is>
      </c>
      <c r="E137" s="4" t="inlineStr">
        <is>
          <t xml:space="preserve">Tecnologías de la información, telecomunicaciones y radiodifusión / Software / Software de gestión</t>
        </is>
      </c>
      <c r="F137" s="0">
        <v>8.0</v>
      </c>
      <c r="G137" s="0" t="inlineStr">
        <is>
          <t xml:space="preserve">Unidad</t>
        </is>
      </c>
      <c r="H137" s="4" t="inlineStr">
        <is>
          <t xml:space="preserve">ADOBE CREATIVE CLOUD (o equivalente). Suscripción. 12 meses</t>
        </is>
      </c>
    </row>
    <row r="138">
      <c r="A138" s="0" t="inlineStr">
        <is>
          <t xml:space="preserve">2342-36-LR26</t>
        </is>
      </c>
      <c r="B138" s="4" t="inlineStr">
        <is>
          <t xml:space="preserve">CONCESIÓN DE ESTACIONAMIENTOS EN CALLES DE LA ZONA CENTRO DE LA COMUNA DE SAN BERNARDO APLICANDO SISTEMA DE CONTROL DE TIEMPO DE USO CAPTADORES DE DATOS</t>
        </is>
      </c>
      <c r="C138" s="0">
        <v>1</v>
      </c>
      <c r="D138" s="4" t="inlineStr">
        <is>
          <t xml:space="preserve">Estacionamientos</t>
        </is>
      </c>
      <c r="E138" s="4" t="inlineStr">
        <is>
          <t xml:space="preserve">Servicios de transporte, almacenaje y correo / Servicios de mantención o reparaciones de transportes / Combustible para vehículos de transporte, estacionamiento y otros servicios de apoyo</t>
        </is>
      </c>
      <c r="F138" s="0">
        <v>1.0</v>
      </c>
      <c r="G138" s="0" t="inlineStr">
        <is>
          <t xml:space="preserve">Unidad</t>
        </is>
      </c>
      <c r="H138" s="4" t="inlineStr">
        <is>
          <t xml:space="preserve">De acuerdo a lo indicado en Especificaciones Técnicas</t>
        </is>
      </c>
    </row>
    <row r="139">
      <c r="A139" s="0" t="inlineStr">
        <is>
          <t xml:space="preserve">5482-101-LR26</t>
        </is>
      </c>
      <c r="B139" s="4" t="inlineStr">
        <is>
          <t xml:space="preserve">Plataforma IA para video y seguridad urbana</t>
        </is>
      </c>
      <c r="C139" s="0">
        <v>1</v>
      </c>
      <c r="D139" s="4" t="inlineStr">
        <is>
          <t xml:space="preserve">Software de desarrollo de plataforma Web</t>
        </is>
      </c>
      <c r="E139" s="4" t="inlineStr">
        <is>
          <t xml:space="preserve">Tecnologías de la información, telecomunicaciones y radiodifusión / Software / Programas de desarrollo</t>
        </is>
      </c>
      <c r="F139" s="0">
        <v>1.0</v>
      </c>
      <c r="G139" s="0" t="inlineStr">
        <is>
          <t xml:space="preserve">Global</t>
        </is>
      </c>
      <c r="H139" s="4" t="inlineStr">
        <is>
          <t xml:space="preserve">Setup o configuración inicial del servicio e instalación</t>
        </is>
      </c>
    </row>
    <row r="140">
      <c r="A140" s="0" t="inlineStr">
        <is>
          <t xml:space="preserve">5482-101-LR26</t>
        </is>
      </c>
      <c r="B140" s="4" t="inlineStr">
        <is>
          <t xml:space="preserve">Plataforma IA para video y seguridad urbana</t>
        </is>
      </c>
      <c r="C140" s="0">
        <v>2</v>
      </c>
      <c r="D140" s="4" t="inlineStr">
        <is>
          <t xml:space="preserve">Software de desarrollo de plataforma Web</t>
        </is>
      </c>
      <c r="E140" s="4" t="inlineStr">
        <is>
          <t xml:space="preserve">Tecnologías de la información, telecomunicaciones y radiodifusión / Software / Programas de desarrollo</t>
        </is>
      </c>
      <c r="F140" s="0">
        <v>26.0</v>
      </c>
      <c r="G140" s="0" t="inlineStr">
        <is>
          <t xml:space="preserve">Mes</t>
        </is>
      </c>
      <c r="H140" s="4" t="inlineStr">
        <is>
          <t xml:space="preserve">Servicio mensual (Operación)</t>
        </is>
      </c>
    </row>
    <row r="141">
      <c r="A141" s="0" t="inlineStr">
        <is>
          <t xml:space="preserve">1622-22-LP26</t>
        </is>
      </c>
      <c r="B141" s="4" t="inlineStr">
        <is>
          <t xml:space="preserve">ARRIENDO SISTEMA DE INFORMACIÓN DE LABORATORIO HSV</t>
        </is>
      </c>
      <c r="C141" s="0">
        <v>1</v>
      </c>
      <c r="D141" s="4" t="inlineStr">
        <is>
          <t xml:space="preserve">Software del sistema de administración de bases de datos</t>
        </is>
      </c>
      <c r="E141" s="4" t="inlineStr">
        <is>
          <t xml:space="preserve">Tecnologías de la información, telecomunicaciones y radiodifusión / Software / Software de consultas y gestión de datos</t>
        </is>
      </c>
      <c r="F141" s="0">
        <v>1.0</v>
      </c>
      <c r="G141" s="0" t="inlineStr">
        <is>
          <t xml:space="preserve">Unidad</t>
        </is>
      </c>
      <c r="H141" s="4" t="inlineStr">
        <is>
          <t xml:space="preserve">ARRIENDO DE SISTEMA DE INFORMACIÓN DE LABORATORIO CLÍNICO (LIS) POR 36 MESES</t>
        </is>
      </c>
    </row>
    <row r="142">
      <c r="A142" s="0" t="inlineStr">
        <is>
          <t xml:space="preserve">2403-73-LR26</t>
        </is>
      </c>
      <c r="B142" s="4" t="inlineStr">
        <is>
          <t xml:space="preserve">Servicios de conectividad telecomunicaciones operación de infraestructura y gestión de ciberseguridad.</t>
        </is>
      </c>
      <c r="C142" s="0">
        <v>1</v>
      </c>
      <c r="D142" s="4" t="inlineStr">
        <is>
          <t xml:space="preserve">Instalación de sistemas de seguridad</t>
        </is>
      </c>
      <c r="E142" s="4" t="inlineStr">
        <is>
          <t xml:space="preserve">Servicios de construcción y mantenimiento / Servicios de atención, mantenimiento y reparaciones de edificios / Servicios eléctricos</t>
        </is>
      </c>
      <c r="F142" s="0">
        <v>1.0</v>
      </c>
      <c r="G142" s="0" t="inlineStr">
        <is>
          <t xml:space="preserve">Global</t>
        </is>
      </c>
      <c r="H142"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43">
      <c r="A143" s="0" t="inlineStr">
        <is>
          <t xml:space="preserve">634-92-LE26</t>
        </is>
      </c>
      <c r="B143" s="4" t="inlineStr">
        <is>
          <t xml:space="preserve">SISTEMA RADIOGRÁFICO ODONTOLÓGICO DIGITAL</t>
        </is>
      </c>
      <c r="C143" s="0">
        <v>1</v>
      </c>
      <c r="D143" s="4" t="inlineStr">
        <is>
          <t xml:space="preserve">Unidades de Rayos X dentales</t>
        </is>
      </c>
      <c r="E143" s="4" t="inlineStr">
        <is>
          <t xml:space="preserve">Equipamiento y suministros médicos / Equipos y suministros odontológicos / Equipo y suministros para imágenes dentales</t>
        </is>
      </c>
      <c r="F143" s="0">
        <v>1.0</v>
      </c>
      <c r="G143" s="0" t="inlineStr">
        <is>
          <t xml:space="preserve">Unidad</t>
        </is>
      </c>
      <c r="H143" s="4" t="inlineStr">
        <is>
          <t xml:space="preserve">Adquisición sistema radiográfico odontológico digital tipo Ortopantomógrafo con tecnología CBCT para el Servicio Dental del Hospital Penitenciario</t>
        </is>
      </c>
    </row>
    <row r="144">
      <c r="A144" s="0" t="inlineStr">
        <is>
          <t xml:space="preserve">3755-6-LP26</t>
        </is>
      </c>
      <c r="B144" s="4" t="inlineStr">
        <is>
          <t xml:space="preserve">Serv datos de tránsito y tráfico de dispositivos</t>
        </is>
      </c>
      <c r="C144" s="0">
        <v>1</v>
      </c>
      <c r="D144" s="4" t="inlineStr">
        <is>
          <t xml:space="preserve">Software de extracción de datos</t>
        </is>
      </c>
      <c r="E144" s="4" t="inlineStr">
        <is>
          <t xml:space="preserve">Tecnologías de la información, telecomunicaciones y radiodifusión / Software / Software de consultas y gestión de datos</t>
        </is>
      </c>
      <c r="F144" s="0">
        <v>1.0</v>
      </c>
      <c r="G144" s="0" t="inlineStr">
        <is>
          <t xml:space="preserve">Global</t>
        </is>
      </c>
      <c r="H144" s="4" t="inlineStr">
        <is>
          <t xml:space="preserve">SERVICIO DE DATOS DE TRÁNSITO Y TRÁFICO PROVISTOS DESDE LA NAVEGACIÓN DE DISPOSITIVOS QUE CUENTEN CON GPS</t>
        </is>
      </c>
    </row>
    <row r="145">
      <c r="A145" s="0" t="inlineStr">
        <is>
          <t xml:space="preserve">799595-5-LP26</t>
        </is>
      </c>
      <c r="B145" s="4" t="inlineStr">
        <is>
          <t xml:space="preserve">Servicio de Cloud Computing MINDEP</t>
        </is>
      </c>
      <c r="C145" s="0">
        <v>1</v>
      </c>
      <c r="D145" s="4" t="inlineStr">
        <is>
          <t xml:space="preserve">Centro de servicios de datos</t>
        </is>
      </c>
      <c r="E145" s="4" t="inlineStr">
        <is>
          <t xml:space="preserve">Servicios basados en ingeniería, ciencias sociales y tecnología de la información / Servicios informáticos / Servicios de datos</t>
        </is>
      </c>
      <c r="F145" s="0">
        <v>1.0</v>
      </c>
      <c r="G145" s="0" t="inlineStr">
        <is>
          <t xml:space="preserve">Unidad</t>
        </is>
      </c>
      <c r="H145" s="4" t="inlineStr">
        <is>
          <t xml:space="preserve">SERVICIO DE CLOUD COMPUTING Y SERVICIOS ASOCIADOS, PARA LA SUBSECRETARÍA DEL DEPORTE</t>
        </is>
      </c>
    </row>
    <row r="146">
      <c r="A146" s="0" t="inlineStr">
        <is>
          <t xml:space="preserve">434-110-LP26</t>
        </is>
      </c>
      <c r="B146" s="4" t="inlineStr">
        <is>
          <t xml:space="preserve">SISTEMA DE GESTIÓN DOCUMENTAL SEGÚN LEY N°21.180</t>
        </is>
      </c>
      <c r="C146" s="0">
        <v>1</v>
      </c>
      <c r="D146" s="4" t="inlineStr">
        <is>
          <t xml:space="preserve">Servicios de investigación o medición</t>
        </is>
      </c>
      <c r="E146" s="4" t="inlineStr">
        <is>
          <t xml:space="preserve">Artículos para estructuras, obras y construcciones / Construcciones permanentes / Construcciones para educación e investigación</t>
        </is>
      </c>
      <c r="F146" s="0">
        <v>1.0</v>
      </c>
      <c r="G146" s="0" t="inlineStr">
        <is>
          <t xml:space="preserve">Unidad</t>
        </is>
      </c>
      <c r="H146" s="4" t="inlineStr">
        <is>
          <t xml:space="preserve">SERVICIO INTEGRADO DE BRANDING ESTRATEGICO, SOCIAL LISTENING Y ESTRATEGIA CREATIVA APLICADA, SEGUN BASES TECNICAS ADJUNTAS</t>
        </is>
      </c>
    </row>
    <row r="147">
      <c r="A147" s="0" t="inlineStr">
        <is>
          <t xml:space="preserve">434-110-LP26</t>
        </is>
      </c>
      <c r="B147" s="4" t="inlineStr">
        <is>
          <t xml:space="preserve">SISTEMA DE GESTIÓN DOCUMENTAL SEGÚN LEY N°21.180</t>
        </is>
      </c>
      <c r="C147" s="0">
        <v>2</v>
      </c>
      <c r="D147" s="4" t="inlineStr">
        <is>
          <t xml:space="preserve">Servicios de investigación o medición</t>
        </is>
      </c>
      <c r="E147" s="4" t="inlineStr">
        <is>
          <t xml:space="preserve">Artículos para estructuras, obras y construcciones / Construcciones permanentes / Construcciones para educación e investigación</t>
        </is>
      </c>
      <c r="F147" s="0">
        <v>1.0</v>
      </c>
      <c r="G147" s="0" t="inlineStr">
        <is>
          <t xml:space="preserve">Unidad</t>
        </is>
      </c>
      <c r="H147" s="4" t="inlineStr">
        <is>
          <t xml:space="preserve">SISTEMA DE GESTIÓN DOCUMENTAL Y ACOMPAÑAMIENTO EN LA IMPLEMENTACIÓN DE LA LEY N°21.180 DE TRANSFORMACIÓN DIGITAL DEL ESTADO SEGÚN BASES TÉCNICAS ADJUNTAS (IGNORAR SERVICIO ANTERIOR).</t>
        </is>
      </c>
    </row>
    <row r="148">
      <c r="A148" s="0" t="inlineStr">
        <is>
          <t xml:space="preserve">2308-90-LE26</t>
        </is>
      </c>
      <c r="B148" s="4" t="inlineStr">
        <is>
          <t xml:space="preserve">REPARACIÓN MODERNIZACIÓN PUESTA EN MARCHA Y CERTIFICACIÓN DEL ASCENSOR DEL EDIFICIO CONSISTORIAL OSORNO</t>
        </is>
      </c>
      <c r="C148" s="0">
        <v>1</v>
      </c>
      <c r="D148" s="4" t="inlineStr">
        <is>
          <t xml:space="preserve">Servicios de mantenimiento de ascensores</t>
        </is>
      </c>
      <c r="E148" s="4" t="inlineStr">
        <is>
          <t xml:space="preserve">Servicios de construcción y mantenimiento / Servicios de atención, mantenimiento y reparaciones de edificios / Servicios de apoyo para la construcción</t>
        </is>
      </c>
      <c r="F148" s="0">
        <v>1.0</v>
      </c>
      <c r="G148" s="0" t="inlineStr">
        <is>
          <t xml:space="preserve">Unidad</t>
        </is>
      </c>
      <c r="H148" s="4" t="inlineStr">
        <is>
          <t xml:space="preserve">Reparación, Modernización, Puesta en Marcha y Certificación del Ascensor del Edificio Consistorial, Osorno.</t>
        </is>
      </c>
    </row>
    <row r="149">
      <c r="A149" s="0" t="inlineStr">
        <is>
          <t xml:space="preserve">622-64-L126</t>
        </is>
      </c>
      <c r="B149" s="4" t="inlineStr">
        <is>
          <t xml:space="preserve">CONTRATACIÓN DEL CURSO INTELIGENCIA ARTIFICIAL APLICADA A LA GESTIÓN GREMIAL Y LA FUNCIÓN PÚBLICA</t>
        </is>
      </c>
      <c r="C149" s="0">
        <v>1</v>
      </c>
      <c r="D149" s="4" t="inlineStr">
        <is>
          <t xml:space="preserve">Capacitación a empleados</t>
        </is>
      </c>
      <c r="E149" s="4" t="inlineStr">
        <is>
          <t xml:space="preserve">Educación, formación, entrenamiento y capacitación / Sistemas educativos complementarios / Educación de adultos</t>
        </is>
      </c>
      <c r="F149" s="0">
        <v>1.0</v>
      </c>
      <c r="G149" s="0" t="inlineStr">
        <is>
          <t xml:space="preserve">Unidad</t>
        </is>
      </c>
      <c r="H149" s="4" t="inlineStr">
        <is>
          <t xml:space="preserve">CURSO INTELIGENCIA ARTIFICIAL APLICADA A LA GESTIÓN GREMIAL Y LA FUNCIÓN PÚBLICA</t>
        </is>
      </c>
    </row>
    <row r="150">
      <c r="A150" s="0" t="inlineStr">
        <is>
          <t xml:space="preserve">5360-5-LP26</t>
        </is>
      </c>
      <c r="B150" s="4" t="inlineStr">
        <is>
          <t xml:space="preserve">SERVICIOS DE ELECTRICIDAD Y DATOS UTA - ARICA</t>
        </is>
      </c>
      <c r="C150" s="0">
        <v>1</v>
      </c>
      <c r="D150" s="4" t="inlineStr">
        <is>
          <t xml:space="preserve">Instalación o servicio de sistemas de energía eléctrica</t>
        </is>
      </c>
      <c r="E150" s="4" t="inlineStr">
        <is>
          <t xml:space="preserve">Servicios de construcción y mantenimiento / Servicios de atención, mantenimiento y reparaciones de edificios / Servicios eléctricos</t>
        </is>
      </c>
      <c r="F150" s="0">
        <v>1.0</v>
      </c>
      <c r="G150" s="0" t="inlineStr">
        <is>
          <t xml:space="preserve">Unidad</t>
        </is>
      </c>
      <c r="H150" s="4" t="inlineStr">
        <is>
          <t xml:space="preserve">Servicios de electricidad y datos, para dependencias de la Universidad de Tarapacá en Arica, según anexo N°6.</t>
        </is>
      </c>
    </row>
    <row r="151">
      <c r="A151" s="0" t="inlineStr">
        <is>
          <t xml:space="preserve">2981-287-LP26</t>
        </is>
      </c>
      <c r="B151" s="4" t="inlineStr">
        <is>
          <t xml:space="preserve">CIBERSEGURIDAD- CONSULTORIA</t>
        </is>
      </c>
      <c r="C151" s="0">
        <v>1</v>
      </c>
      <c r="D151" s="4" t="inlineStr">
        <is>
          <t xml:space="preserve">Asesorías en gestión estratégica</t>
        </is>
      </c>
      <c r="E151" s="4" t="inlineStr">
        <is>
          <t xml:space="preserve">Servicios profesionales, administrativos y consultorías de gestión empresarial / Consultorías o asesorías en gestión empresarial / Servicios de consultoría en gestión de empresas</t>
        </is>
      </c>
      <c r="F151" s="0">
        <v>1.0</v>
      </c>
      <c r="G151" s="0" t="inlineStr">
        <is>
          <t xml:space="preserve">Unidad</t>
        </is>
      </c>
      <c r="H151" s="4" t="inlineStr">
        <is>
          <t xml:space="preserve">CONTRATACION  DEL SERVICIO DE CONSULTORIA PARA LA IMPLEMENTACION DE UN SISTEMA DE SEGURIDAD DE LA INFORMACION PARA LA PDI.</t>
        </is>
      </c>
    </row>
    <row r="152">
      <c r="A152" s="0" t="inlineStr">
        <is>
          <t xml:space="preserve">622-66-LE26</t>
        </is>
      </c>
      <c r="B152" s="4" t="inlineStr">
        <is>
          <t xml:space="preserve">ADQUISICIÓN DE LICENCIAS PARA SOFTWARE DLP</t>
        </is>
      </c>
      <c r="C152" s="0">
        <v>1</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Suscripción de Licenciamiento Endpoint DLP (Trellix DLP Endpoint Complete o equivalente), incluyendo implementación (revisar anexo 1 de las bases)</t>
        </is>
      </c>
    </row>
    <row r="153">
      <c r="A153" s="0" t="inlineStr">
        <is>
          <t xml:space="preserve">1057049-376-LP26</t>
        </is>
      </c>
      <c r="B153" s="4" t="inlineStr">
        <is>
          <t xml:space="preserve">PROV E INSTALACIÓN DE PLATAFORMAS DE SEGURIDAD PARA SHAFTS DEL HOSPITAL CLÍNICO SAN BORJA ARRIARÁN</t>
        </is>
      </c>
      <c r="C153" s="0">
        <v>1</v>
      </c>
      <c r="D153" s="4" t="inlineStr">
        <is>
          <t xml:space="preserve">Plataforma elevadora</t>
        </is>
      </c>
      <c r="E153" s="4" t="inlineStr">
        <is>
          <t xml:space="preserve">Maquinaria para construcción y edificación / Maquinaria pesada de construcción / Elevadores</t>
        </is>
      </c>
      <c r="F153" s="0">
        <v>1.0</v>
      </c>
      <c r="G153" s="0" t="inlineStr">
        <is>
          <t xml:space="preserve">Global</t>
        </is>
      </c>
      <c r="H153" s="4" t="inlineStr">
        <is>
          <t xml:space="preserve">Servicio de Provisión e Instalación de Plataformas de Seguridad para Shafts del Hospital Clínico San Borja Arriarán</t>
        </is>
      </c>
    </row>
    <row r="154">
      <c r="A154" s="0" t="inlineStr">
        <is>
          <t xml:space="preserve">1005498-24-LP26</t>
        </is>
      </c>
      <c r="B154" s="4" t="inlineStr">
        <is>
          <t xml:space="preserve">SUSCRIPCIÓN DE LICENCIAS EN MODALIDAD CLOUD</t>
        </is>
      </c>
      <c r="C154" s="0">
        <v>1</v>
      </c>
      <c r="D154" s="4" t="inlineStr">
        <is>
          <t xml:space="preserve">Up grade de software</t>
        </is>
      </c>
      <c r="E154" s="4" t="inlineStr">
        <is>
          <t xml:space="preserve">Servicios basados en ingeniería, ciencias sociales y tecnología de la información / Servicios informáticos / Mantenimiento y soporte de software</t>
        </is>
      </c>
      <c r="F154" s="0">
        <v>1.0</v>
      </c>
      <c r="G154" s="0" t="inlineStr">
        <is>
          <t xml:space="preserve">Global</t>
        </is>
      </c>
      <c r="H154" s="4" t="inlineStr">
        <is>
          <t xml:space="preserve">SUSCRIPCIÓN DE LICENCIAS EN MODALIDAD CLOUD COMPUTING SaaS CON SOPORTE LOCAL Y MANTENCIÓN</t>
        </is>
      </c>
    </row>
    <row r="155">
      <c r="A155" s="0" t="inlineStr">
        <is>
          <t xml:space="preserve">5512-18-LE26</t>
        </is>
      </c>
      <c r="B155" s="4" t="inlineStr">
        <is>
          <t xml:space="preserve">ADQUISICIÓN DE MINICOMPUTADORES PARA IA PROYECTO UTA 22991</t>
        </is>
      </c>
      <c r="C155" s="0">
        <v>1</v>
      </c>
      <c r="D155" s="4" t="inlineStr">
        <is>
          <t xml:space="preserve">Computadores de escritorio</t>
        </is>
      </c>
      <c r="E155" s="4" t="inlineStr">
        <is>
          <t xml:space="preserve">Tecnologías de la información, telecomunicaciones y radiodifusión / Equipos informáticos y accesorios / Computadores</t>
        </is>
      </c>
      <c r="F155" s="0">
        <v>3.0</v>
      </c>
      <c r="G155" s="0" t="inlineStr">
        <is>
          <t xml:space="preserve">Unidad</t>
        </is>
      </c>
      <c r="H155"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56">
      <c r="A156" s="0" t="inlineStr">
        <is>
          <t xml:space="preserve">1067778-4-LP26</t>
        </is>
      </c>
      <c r="B156" s="4" t="inlineStr">
        <is>
          <t xml:space="preserve">ARRIENDO CON OPCION DE COMPRA  DE SERVIDOR PARA IA</t>
        </is>
      </c>
      <c r="C156" s="0">
        <v>1</v>
      </c>
      <c r="D156" s="4" t="inlineStr">
        <is>
          <t xml:space="preserve">Servidores</t>
        </is>
      </c>
      <c r="E156" s="4" t="inlineStr">
        <is>
          <t xml:space="preserve">Tecnologías de la información, telecomunicaciones y radiodifusión / Equipos informáticos y accesorios / Computadores</t>
        </is>
      </c>
      <c r="F156" s="0">
        <v>60.0</v>
      </c>
      <c r="G156" s="0" t="inlineStr">
        <is>
          <t xml:space="preserve">Mes</t>
        </is>
      </c>
      <c r="H156" s="4" t="inlineStr">
        <is>
          <t xml:space="preserve">ARRIENDO CON OPCION DE COMPRA DE SERVIDOR PARA IA. VER BASES PARA MAYOR DETALLE</t>
        </is>
      </c>
    </row>
    <row r="157">
      <c r="A157" s="0" t="inlineStr">
        <is>
          <t xml:space="preserve">2656-77-LP26</t>
        </is>
      </c>
      <c r="B157" s="4" t="inlineStr">
        <is>
          <t xml:space="preserve">ARRIENDO SISTEMAS MUNICIPALES Y CLOUD COMPUTING</t>
        </is>
      </c>
      <c r="C157" s="0">
        <v>1</v>
      </c>
      <c r="D157" s="4" t="inlineStr">
        <is>
          <t xml:space="preserve">Software de sistema de archivos</t>
        </is>
      </c>
      <c r="E157" s="4" t="inlineStr">
        <is>
          <t xml:space="preserve">Tecnologías de la información, telecomunicaciones y radiodifusión / Software / Software de entorno operativo</t>
        </is>
      </c>
      <c r="F157" s="0">
        <v>1.0</v>
      </c>
      <c r="G157" s="0" t="inlineStr">
        <is>
          <t xml:space="preserve">Pack</t>
        </is>
      </c>
      <c r="H157"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58">
      <c r="A158" s="0" t="inlineStr">
        <is>
          <t xml:space="preserve">976-18-O126</t>
        </is>
      </c>
      <c r="B158" s="4" t="inlineStr">
        <is>
          <t xml:space="preserve">ATIF Ampliación Plataformas Comercial y General Ad. El Loa</t>
        </is>
      </c>
      <c r="C158" s="0">
        <v>1</v>
      </c>
      <c r="D158" s="4" t="inlineStr">
        <is>
          <t xml:space="preserve">Licitación Pública de Consultoria</t>
        </is>
      </c>
      <c r="E158" s="4" t="inlineStr">
        <is>
          <t xml:space="preserve">Consultoria / Consultoria / Planificación y Factibilidad</t>
        </is>
      </c>
      <c r="F158" s="0">
        <v>1.0</v>
      </c>
      <c r="G158" s="0" t="inlineStr">
        <is>
          <t xml:space="preserve">Unidad</t>
        </is>
      </c>
      <c r="H158" s="4" t="inlineStr">
        <is>
          <t xml:space="preserve">Licitación Pública de Consultoria</t>
        </is>
      </c>
    </row>
    <row r="159">
      <c r="A159" s="0" t="inlineStr">
        <is>
          <t xml:space="preserve">976-15-O126</t>
        </is>
      </c>
      <c r="B159" s="4" t="inlineStr">
        <is>
          <t xml:space="preserve">Ampliación Plataformas Comercial y General Ad. El Loa</t>
        </is>
      </c>
      <c r="C159" s="0">
        <v>1</v>
      </c>
      <c r="D159" s="4" t="inlineStr">
        <is>
          <t xml:space="preserve">Licitación Pública de Obra</t>
        </is>
      </c>
      <c r="E159" s="4" t="inlineStr">
        <is>
          <t xml:space="preserve">Consultoria / Consultoria / Planificación y Factibilidad</t>
        </is>
      </c>
      <c r="F159" s="0">
        <v>1.0</v>
      </c>
      <c r="G159" s="0" t="inlineStr">
        <is>
          <t xml:space="preserve">Unidad</t>
        </is>
      </c>
      <c r="H159" s="4" t="inlineStr">
        <is>
          <t xml:space="preserve">Licitación Pública de Obra</t>
        </is>
      </c>
    </row>
    <row r="160">
      <c r="A160" s="0" t="inlineStr">
        <is>
          <t xml:space="preserve">2490-91-LP26</t>
        </is>
      </c>
      <c r="B160" s="4" t="inlineStr">
        <is>
          <t xml:space="preserve">ARRIENDO SOPORTE Y MANTENCIÓN DE GABINETES PSICOSENSOMÉTRICOS Y EQUIPOS COMPUTACIONALES CON SOFTWARE SPI INTEGRADO 2027-2031</t>
        </is>
      </c>
      <c r="C160" s="0">
        <v>1</v>
      </c>
      <c r="D160" s="4" t="inlineStr">
        <is>
          <t xml:space="preserve">Señales de tránsito</t>
        </is>
      </c>
      <c r="E160" s="4" t="inlineStr">
        <is>
          <t xml:space="preserve">Equipos y suministros de defensa, orden público, protección y seguridad / Seguridad y control público / Control de tráfico</t>
        </is>
      </c>
      <c r="F160" s="0">
        <v>1.0</v>
      </c>
      <c r="G160" s="0" t="inlineStr">
        <is>
          <t xml:space="preserve">Global</t>
        </is>
      </c>
      <c r="H160" s="4" t="inlineStr">
        <is>
          <t xml:space="preserve">“ARRIENDO, SOPORTE Y MANTENCIÓN DE GABINETES PSICOSENSOMÉTRICOS Y EQUIPOS COMPUTACIONALES CON SOFTWARE SPI INTEGRADO 2027-2031”</t>
        </is>
      </c>
    </row>
    <row r="161">
      <c r="A161" s="0" t="inlineStr">
        <is>
          <t xml:space="preserve">2982-48-LE26</t>
        </is>
      </c>
      <c r="B161" s="4" t="inlineStr">
        <is>
          <t xml:space="preserve">SERVICIO DE RENOVACIÓN Y ADQUISICIÓN DE LICENCIAS SOFTWARE DETEP - JENAED</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Kit</t>
        </is>
      </c>
      <c r="H161" s="4" t="inlineStr">
        <is>
          <t xml:space="preserve">SEGÚN LISTADO DETALLADO EN BASES DE LICITACIÓN</t>
        </is>
      </c>
    </row>
    <row r="162">
      <c r="A162" s="0" t="inlineStr">
        <is>
          <t xml:space="preserve">5441-12-LP26</t>
        </is>
      </c>
      <c r="B162" s="4" t="inlineStr">
        <is>
          <t xml:space="preserve">Generador 500 kVA y Tablero de Transf. Autom. 800A</t>
        </is>
      </c>
      <c r="C162" s="0">
        <v>1</v>
      </c>
      <c r="D162" s="4" t="inlineStr">
        <is>
          <t xml:space="preserve">Generadores diesel</t>
        </is>
      </c>
      <c r="E162" s="4" t="inlineStr">
        <is>
          <t xml:space="preserve">Maquinaria para generación y distribución de energía / Transmisión de energía eléctrica, mecánica y cinética / Grupos electrógenos</t>
        </is>
      </c>
      <c r="F162" s="0">
        <v>1.0</v>
      </c>
      <c r="G162" s="0" t="inlineStr">
        <is>
          <t xml:space="preserve">Unidad</t>
        </is>
      </c>
      <c r="H162" s="4" t="inlineStr">
        <is>
          <t xml:space="preserve">GENERADOR DE 500 kVA, SEGÚN BASES ADMINISTRATIVAS Y TÉCNICAS.</t>
        </is>
      </c>
    </row>
    <row r="163">
      <c r="A163" s="0" t="inlineStr">
        <is>
          <t xml:space="preserve">5441-12-LP26</t>
        </is>
      </c>
      <c r="B163" s="4" t="inlineStr">
        <is>
          <t xml:space="preserve">Generador 500 kVA y Tablero de Transf. Autom. 800A</t>
        </is>
      </c>
      <c r="C163" s="0">
        <v>2</v>
      </c>
      <c r="D163" s="4" t="inlineStr">
        <is>
          <t xml:space="preserve">Paneles de control eléctrico para generadores</t>
        </is>
      </c>
      <c r="E163" s="4" t="inlineStr">
        <is>
          <t xml:space="preserve">Maquinaria para generación y distribución de energía / Generación de energía / Equipo para control de producción de energía</t>
        </is>
      </c>
      <c r="F163" s="0">
        <v>1.0</v>
      </c>
      <c r="G163" s="0" t="inlineStr">
        <is>
          <t xml:space="preserve">Unidad</t>
        </is>
      </c>
      <c r="H163" s="4" t="inlineStr">
        <is>
          <t xml:space="preserve">TABLERO DE TRANSFERENCIA AUTOMÁTICA, SEGÚN BASES ADMINISTRATIVAS Y TÉCNICAS.</t>
        </is>
      </c>
    </row>
    <row r="164">
      <c r="A164" s="0" t="inlineStr">
        <is>
          <t xml:space="preserve">587-47-LE26</t>
        </is>
      </c>
      <c r="B164" s="4" t="inlineStr">
        <is>
          <t xml:space="preserve">RENOVACIÓN DE LICENCIAS DE SOFTWARE</t>
        </is>
      </c>
      <c r="C164" s="0">
        <v>1</v>
      </c>
      <c r="D164" s="4" t="inlineStr">
        <is>
          <t xml:space="preserve">Software de gestión de licencias</t>
        </is>
      </c>
      <c r="E164" s="4" t="inlineStr">
        <is>
          <t xml:space="preserve">Tecnologías de la información, telecomunicaciones y radiodifusión / Software / Software de gestión</t>
        </is>
      </c>
      <c r="F164" s="0">
        <v>12.0</v>
      </c>
      <c r="G164" s="0" t="inlineStr">
        <is>
          <t xml:space="preserve">Unidad</t>
        </is>
      </c>
      <c r="H164"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65">
      <c r="A165" s="0" t="inlineStr">
        <is>
          <t xml:space="preserve">2735-149-LR26</t>
        </is>
      </c>
      <c r="B165" s="4" t="inlineStr">
        <is>
          <t xml:space="preserve">Servicio de Software de Gestión y Registro Clinico</t>
        </is>
      </c>
      <c r="C165" s="0">
        <v>1</v>
      </c>
      <c r="D165" s="4" t="inlineStr">
        <is>
          <t xml:space="preserve">Software médico</t>
        </is>
      </c>
      <c r="E165" s="4" t="inlineStr">
        <is>
          <t xml:space="preserve">Tecnologías de la información, telecomunicaciones y radiodifusión / Software / Software específico para la industria</t>
        </is>
      </c>
      <c r="F165" s="0">
        <v>1.0</v>
      </c>
      <c r="G165" s="0" t="inlineStr">
        <is>
          <t xml:space="preserve">Unidad</t>
        </is>
      </c>
      <c r="H16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66">
      <c r="A166" s="0" t="inlineStr">
        <is>
          <t xml:space="preserve">519302-9-LE26</t>
        </is>
      </c>
      <c r="B166" s="4" t="inlineStr">
        <is>
          <t xml:space="preserve">DISEÑO IMPLEMENTACIÓN MEDICION MARKETING DIGITAL</t>
        </is>
      </c>
      <c r="C166" s="0">
        <v>1</v>
      </c>
      <c r="D166" s="4" t="inlineStr">
        <is>
          <t xml:space="preserve">Campañas publicitarias o de marketing</t>
        </is>
      </c>
      <c r="E166" s="4" t="inlineStr">
        <is>
          <t xml:space="preserve">Servicios profesionales, administrativos y consultorías de gestión empresarial / Servicios para la comercialización y distribución / Ventas y marketing</t>
        </is>
      </c>
      <c r="F166" s="0">
        <v>1.0</v>
      </c>
      <c r="G166" s="0" t="inlineStr">
        <is>
          <t xml:space="preserve">Unidad</t>
        </is>
      </c>
      <c r="H166" s="4" t="inlineStr">
        <is>
          <t xml:space="preserve">DISEÑO, PLANIFICACIÓN, IMPLEMENTACIÓN, ADMINISTRACIÓN, OPTIMIZACIÓN Y MEDICIÓN DE CAMPAÑAS DE MARKETING DIGITAL</t>
        </is>
      </c>
    </row>
    <row r="167">
      <c r="A167" s="0" t="inlineStr">
        <is>
          <t xml:space="preserve">621-909-LR26</t>
        </is>
      </c>
      <c r="B167" s="4" t="inlineStr">
        <is>
          <t xml:space="preserve">TERMOGRAFO DIGITAL MONITOREO TEMPERATURA 1000023277</t>
        </is>
      </c>
      <c r="C167" s="0">
        <v>1</v>
      </c>
      <c r="D167" s="4" t="inlineStr">
        <is>
          <t xml:space="preserve">Termómetros de tele indicación</t>
        </is>
      </c>
      <c r="E167" s="4" t="inlineStr">
        <is>
          <t xml:space="preserve">Equipamiento para laboratorios / Instrumentos de medida y experimentación / Instrumentos para medir temperatura y calor</t>
        </is>
      </c>
      <c r="F167" s="0">
        <v>3000.0</v>
      </c>
      <c r="G167" s="0" t="inlineStr">
        <is>
          <t xml:space="preserve">Unidad</t>
        </is>
      </c>
      <c r="H167" s="4" t="inlineStr">
        <is>
          <t xml:space="preserve">TERMOGRAFO DIGITAL MONITOREO TEMPERATURA; 100005575</t>
        </is>
      </c>
    </row>
    <row r="168">
      <c r="A168" s="0" t="inlineStr">
        <is>
          <t xml:space="preserve">2426-52-LR26</t>
        </is>
      </c>
      <c r="B168" s="4" t="inlineStr">
        <is>
          <t xml:space="preserve">DATACENTER ENLACES DE DATOS TELEFONIA E INTERNET</t>
        </is>
      </c>
      <c r="C168" s="0">
        <v>1</v>
      </c>
      <c r="D168" s="4" t="inlineStr">
        <is>
          <t xml:space="preserve">Centro de servicios de datos</t>
        </is>
      </c>
      <c r="E168" s="4" t="inlineStr">
        <is>
          <t xml:space="preserve">Servicios basados en ingeniería, ciencias sociales y tecnología de la información / Servicios informáticos / Servicios de datos</t>
        </is>
      </c>
      <c r="F168" s="0">
        <v>1.0</v>
      </c>
      <c r="G168" s="0" t="inlineStr">
        <is>
          <t xml:space="preserve">Unidad</t>
        </is>
      </c>
      <c r="H168" s="4"/>
    </row>
    <row r="169">
      <c r="A169" s="0" t="inlineStr">
        <is>
          <t xml:space="preserve">4127-51-LR26</t>
        </is>
      </c>
      <c r="B169" s="4" t="inlineStr">
        <is>
          <t xml:space="preserve">[DIGEDEP]Cursos M-Learning Plataforma SIAD 26-27</t>
        </is>
      </c>
      <c r="C169" s="0">
        <v>1</v>
      </c>
      <c r="D169" s="4" t="inlineStr">
        <is>
          <t xml:space="preserve">Capacitación a empleados</t>
        </is>
      </c>
      <c r="E169" s="4" t="inlineStr">
        <is>
          <t xml:space="preserve">Educación, formación, entrenamiento y capacitación / Sistemas educativos complementarios / Educación de adultos</t>
        </is>
      </c>
      <c r="F169" s="0">
        <v>1.0</v>
      </c>
      <c r="G169" s="0" t="inlineStr">
        <is>
          <t xml:space="preserve">Unidad</t>
        </is>
      </c>
      <c r="H169" s="4"/>
    </row>
    <row r="170">
      <c r="A170" s="0" t="inlineStr">
        <is>
          <t xml:space="preserve">1020-54-LP26</t>
        </is>
      </c>
      <c r="B170" s="4" t="inlineStr">
        <is>
          <t xml:space="preserve">Administración y Mantención de Bases de Datos MOP</t>
        </is>
      </c>
      <c r="C170" s="0">
        <v>1</v>
      </c>
      <c r="D170" s="4" t="inlineStr">
        <is>
          <t xml:space="preserve">Administradores de bases de datos</t>
        </is>
      </c>
      <c r="E170" s="4" t="inlineStr">
        <is>
          <t xml:space="preserve">Servicios profesionales, administrativos y consultorías de gestión empresarial / Servicios de recursos humanos / Contratación de personal</t>
        </is>
      </c>
      <c r="F170" s="0">
        <v>24.0</v>
      </c>
      <c r="G170" s="0" t="inlineStr">
        <is>
          <t xml:space="preserve">Mes</t>
        </is>
      </c>
      <c r="H170" s="4" t="inlineStr">
        <is>
          <t xml:space="preserve">SERVICIO DE ADMINISTRACIÓN  Y  MANTENCION DE BASES DE DATOS  ORACLE, MS SQL SERVER, POSTGRESQL y MySQL (24 meses)</t>
        </is>
      </c>
    </row>
    <row r="171">
      <c r="A171" s="0" t="inlineStr">
        <is>
          <t xml:space="preserve">605-17-LP26</t>
        </is>
      </c>
      <c r="B171" s="4" t="inlineStr">
        <is>
          <t xml:space="preserve">TELEFONÍA FIJA Y RED PRIVADA DE DATOS</t>
        </is>
      </c>
      <c r="C171" s="0">
        <v>1</v>
      </c>
      <c r="D171" s="4" t="inlineStr">
        <is>
          <t xml:space="preserve">Servicio telefónico local</t>
        </is>
      </c>
      <c r="E171" s="4" t="inlineStr">
        <is>
          <t xml:space="preserve">Servicios básicos y de información pública / Telecomunicaciones / Telefonía local y de larga distancia</t>
        </is>
      </c>
      <c r="F171" s="0">
        <v>1.0</v>
      </c>
      <c r="G171" s="0" t="inlineStr">
        <is>
          <t xml:space="preserve">Unidad</t>
        </is>
      </c>
      <c r="H17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72">
      <c r="A172" s="0" t="inlineStr">
        <is>
          <t xml:space="preserve">605-17-LP26</t>
        </is>
      </c>
      <c r="B172" s="4" t="inlineStr">
        <is>
          <t xml:space="preserve">TELEFONÍA FIJA Y RED PRIVADA DE DATOS</t>
        </is>
      </c>
      <c r="C172" s="0">
        <v>2</v>
      </c>
      <c r="D172" s="4" t="inlineStr">
        <is>
          <t xml:space="preserve">Servicio de comunicación IP</t>
        </is>
      </c>
      <c r="E172" s="4" t="inlineStr">
        <is>
          <t xml:space="preserve">Servicios básicos y de información pública / Telecomunicaciones / Telefonía local y de larga distancia</t>
        </is>
      </c>
      <c r="F172" s="0">
        <v>1.0</v>
      </c>
      <c r="G172" s="0" t="inlineStr">
        <is>
          <t xml:space="preserve">Unidad</t>
        </is>
      </c>
      <c r="H17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73">
      <c r="A173" s="0" t="inlineStr">
        <is>
          <t xml:space="preserve">2421-52-LR26</t>
        </is>
      </c>
      <c r="B173" s="4" t="inlineStr">
        <is>
          <t xml:space="preserve">SUMINISTRO SERVICIO DE TELECOMUNICACIONES DATOS Y VOZ</t>
        </is>
      </c>
      <c r="C173" s="0">
        <v>1</v>
      </c>
      <c r="D173" s="4" t="inlineStr">
        <is>
          <t xml:space="preserve">Servicio telefónico local</t>
        </is>
      </c>
      <c r="E173" s="4" t="inlineStr">
        <is>
          <t xml:space="preserve">Servicios básicos y de información pública / Telecomunicaciones / Telefonía local y de larga distancia</t>
        </is>
      </c>
      <c r="F173" s="0">
        <v>1.0</v>
      </c>
      <c r="G173" s="0" t="inlineStr">
        <is>
          <t xml:space="preserve">Unidad</t>
        </is>
      </c>
      <c r="H173" s="4" t="inlineStr">
        <is>
          <t xml:space="preserve">Valor total neto mensual (sin impuesto) por los servicios de red de datos, Internet en red de datos, sistema de comunicación de voz y otros, según especificaciones técnicas adjuntas (Anexo Nº8). VER FORMATO ANEXO Nº4.</t>
        </is>
      </c>
    </row>
    <row r="174">
      <c r="A174" s="0" t="inlineStr">
        <is>
          <t xml:space="preserve">2421-52-LR26</t>
        </is>
      </c>
      <c r="B174" s="4" t="inlineStr">
        <is>
          <t xml:space="preserve">SUMINISTRO SERVICIO DE TELECOMUNICACIONES DATOS Y VOZ</t>
        </is>
      </c>
      <c r="C174" s="0">
        <v>2</v>
      </c>
      <c r="D174" s="4" t="inlineStr">
        <is>
          <t xml:space="preserve">Servicio telefónico local</t>
        </is>
      </c>
      <c r="E174" s="4" t="inlineStr">
        <is>
          <t xml:space="preserve">Servicios básicos y de información pública / Telecomunicaciones / Telefonía local y de larga distancia</t>
        </is>
      </c>
      <c r="F174" s="0">
        <v>1.0</v>
      </c>
      <c r="G174" s="0" t="inlineStr">
        <is>
          <t xml:space="preserve">Unidad</t>
        </is>
      </c>
      <c r="H174" s="4" t="inlineStr">
        <is>
          <t xml:space="preserve">Valor Total Neto Cobro Inicial correspondiente a la habilitación y puesta en marcha de los Servicios, cobro aplicado por única vez.</t>
        </is>
      </c>
    </row>
    <row r="175">
      <c r="A175" s="0" t="inlineStr">
        <is>
          <t xml:space="preserve">1057390-21-LR26</t>
        </is>
      </c>
      <c r="B175" s="4" t="inlineStr">
        <is>
          <t xml:space="preserve">PLATAFORMA CLOUD COMPUTING Y SERVICIOS ASOCIADOS ESISSAN</t>
        </is>
      </c>
      <c r="C175" s="0">
        <v>1</v>
      </c>
      <c r="D175" s="4" t="inlineStr">
        <is>
          <t xml:space="preserve">Software de interconectividad de plataformas</t>
        </is>
      </c>
      <c r="E175" s="4" t="inlineStr">
        <is>
          <t xml:space="preserve">Tecnologías de la información, telecomunicaciones y radiodifusión / Software / Software para trabajo en redes</t>
        </is>
      </c>
      <c r="F175" s="0">
        <v>1.0</v>
      </c>
      <c r="G175" s="0" t="inlineStr">
        <is>
          <t xml:space="preserve">Unidad</t>
        </is>
      </c>
      <c r="H175" s="4" t="inlineStr">
        <is>
          <t xml:space="preserve">PLATAFORMA CLOUD COMPUTING Y SERVICIOS ASOCIADOS ESISSAN  Total proyecto neto según Anexo 4 Oferta Económica.   (OC se emitiran de acuerdo a la programación)</t>
        </is>
      </c>
    </row>
    <row r="176">
      <c r="A176" s="0" t="inlineStr">
        <is>
          <t xml:space="preserve">1260-17-LP26</t>
        </is>
      </c>
      <c r="B176" s="4" t="inlineStr">
        <is>
          <t xml:space="preserve">NARRATIVAS DIGITALES Y PRODUCCION CONTENIDOS</t>
        </is>
      </c>
      <c r="C176" s="0">
        <v>1</v>
      </c>
      <c r="D176" s="4" t="inlineStr">
        <is>
          <t xml:space="preserve">Agencias de marketing de ventas, incluidas las impresiones</t>
        </is>
      </c>
      <c r="E176" s="4" t="inlineStr">
        <is>
          <t xml:space="preserve">Servicios profesionales, administrativos y consultorías de gestión empresarial / Servicios para la comercialización y distribución / Ventas y marketing</t>
        </is>
      </c>
      <c r="F176" s="0">
        <v>1.0</v>
      </c>
      <c r="G176" s="0" t="inlineStr">
        <is>
          <t xml:space="preserve">Unidad</t>
        </is>
      </c>
      <c r="H176" s="4" t="inlineStr">
        <is>
          <t xml:space="preserve">SERVICIO DE ANÁLISIS DE NARRATIVAS DIGITALES Y PRODUCCIÓN DE CONTENIDOS CREATIVOS. Ver archivos adjuntos RES_EXENTA_N°1419(11-08-2026)_Aprueba Bases.pdf y RESOLUCION_EXENTA_N°1745(06-10-2026)_Modifica REX 1419.pdf</t>
        </is>
      </c>
    </row>
    <row r="177">
      <c r="A177" s="0" t="inlineStr">
        <is>
          <t xml:space="preserve">425-73-LP26</t>
        </is>
      </c>
      <c r="B177" s="4" t="inlineStr">
        <is>
          <t xml:space="preserve">Renovación de licencias de software CISCO</t>
        </is>
      </c>
      <c r="C177" s="0">
        <v>1</v>
      </c>
      <c r="D177" s="4" t="inlineStr">
        <is>
          <t xml:space="preserve">Software de gestión de licencias</t>
        </is>
      </c>
      <c r="E177" s="4" t="inlineStr">
        <is>
          <t xml:space="preserve">Tecnologías de la información, telecomunicaciones y radiodifusión / Software / Software de gestión</t>
        </is>
      </c>
      <c r="F177" s="0">
        <v>5000.0</v>
      </c>
      <c r="G177" s="0" t="inlineStr">
        <is>
          <t xml:space="preserve">Unidad</t>
        </is>
      </c>
      <c r="H177" s="4" t="inlineStr">
        <is>
          <t xml:space="preserve">CISCO ISE Essentials, Valor neto según Formulario Económico N°1 (en caso de discrepancia entre el valor y el Formulario Económico N° 1 primará este último)</t>
        </is>
      </c>
    </row>
    <row r="178">
      <c r="A178" s="0" t="inlineStr">
        <is>
          <t xml:space="preserve">425-73-LP26</t>
        </is>
      </c>
      <c r="B178" s="4" t="inlineStr">
        <is>
          <t xml:space="preserve">Renovación de licencias de software CISCO</t>
        </is>
      </c>
      <c r="C178" s="0">
        <v>2</v>
      </c>
      <c r="D178" s="4" t="inlineStr">
        <is>
          <t xml:space="preserve">Software de gestión de licencias</t>
        </is>
      </c>
      <c r="E178" s="4" t="inlineStr">
        <is>
          <t xml:space="preserve">Tecnologías de la información, telecomunicaciones y radiodifusión / Software / Software de gestión</t>
        </is>
      </c>
      <c r="F178" s="0">
        <v>20000.0</v>
      </c>
      <c r="G178" s="0" t="inlineStr">
        <is>
          <t xml:space="preserve">Unidad</t>
        </is>
      </c>
      <c r="H178" s="4" t="inlineStr">
        <is>
          <t xml:space="preserve">Cisco Secure Network Analytics, Valor neto según Formulario Económico N°1 (en caso de discrepancia entre el valor y el Formulario Económico N° 1 primará este último)</t>
        </is>
      </c>
    </row>
    <row r="179">
      <c r="A179" s="0" t="inlineStr">
        <is>
          <t xml:space="preserve">425-73-LP26</t>
        </is>
      </c>
      <c r="B179" s="4" t="inlineStr">
        <is>
          <t xml:space="preserve">Renovación de licencias de software CISCO</t>
        </is>
      </c>
      <c r="C179" s="0">
        <v>3</v>
      </c>
      <c r="D179" s="4" t="inlineStr">
        <is>
          <t xml:space="preserve">Software de gestión de licencias</t>
        </is>
      </c>
      <c r="E179" s="4" t="inlineStr">
        <is>
          <t xml:space="preserve">Tecnologías de la información, telecomunicaciones y radiodifusión / Software / Software de gestión</t>
        </is>
      </c>
      <c r="F179" s="0">
        <v>11000.0</v>
      </c>
      <c r="G179" s="0" t="inlineStr">
        <is>
          <t xml:space="preserve">Unidad</t>
        </is>
      </c>
      <c r="H179" s="4" t="inlineStr">
        <is>
          <t xml:space="preserve">CISCO ISE Advantage, Valor neto según Formulario Económico N°1 (en caso de discrepancia entre el valor y el Formulario Económico N° 1 primará este último)</t>
        </is>
      </c>
    </row>
    <row r="180">
      <c r="A180" s="0" t="inlineStr">
        <is>
          <t xml:space="preserve">425-73-LP26</t>
        </is>
      </c>
      <c r="B180" s="4" t="inlineStr">
        <is>
          <t xml:space="preserve">Renovación de licencias de software CISCO</t>
        </is>
      </c>
      <c r="C180" s="0">
        <v>4</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Threat Intelligence, Valor neto según Formulario Económico N°1 (en caso de discrepancia entre el valor y el Formulario Económico N° 1 primará este último)</t>
        </is>
      </c>
    </row>
    <row r="181">
      <c r="A181" s="0" t="inlineStr">
        <is>
          <t xml:space="preserve">425-73-LP26</t>
        </is>
      </c>
      <c r="B181" s="4" t="inlineStr">
        <is>
          <t xml:space="preserve">Renovación de licencias de software CISCO</t>
        </is>
      </c>
      <c r="C181" s="0">
        <v>5</v>
      </c>
      <c r="D181" s="4" t="inlineStr">
        <is>
          <t xml:space="preserve">Software de gestión de licencias</t>
        </is>
      </c>
      <c r="E181" s="4" t="inlineStr">
        <is>
          <t xml:space="preserve">Tecnologías de la información, telecomunicaciones y radiodifusión / Software / Software de gestión</t>
        </is>
      </c>
      <c r="F181" s="0">
        <v>3000.0</v>
      </c>
      <c r="G181" s="0" t="inlineStr">
        <is>
          <t xml:space="preserve">Unidad</t>
        </is>
      </c>
      <c r="H181" s="4" t="inlineStr">
        <is>
          <t xml:space="preserve">CISCO ISE Premier,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6</v>
      </c>
      <c r="D182" s="4" t="inlineStr">
        <is>
          <t xml:space="preserve">Software de gestión de licencias</t>
        </is>
      </c>
      <c r="E182" s="4" t="inlineStr">
        <is>
          <t xml:space="preserve">Tecnologías de la información, telecomunicaciones y radiodifusión / Software / Software de gestión</t>
        </is>
      </c>
      <c r="F182" s="0">
        <v>2.0</v>
      </c>
      <c r="G182" s="0" t="inlineStr">
        <is>
          <t xml:space="preserve">Unidad</t>
        </is>
      </c>
      <c r="H182" s="4" t="inlineStr">
        <is>
          <t xml:space="preserve">CISCO ISE VM,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7</v>
      </c>
      <c r="D183" s="4" t="inlineStr">
        <is>
          <t xml:space="preserve">Software de gestión de licencias</t>
        </is>
      </c>
      <c r="E183" s="4" t="inlineStr">
        <is>
          <t xml:space="preserve">Tecnologías de la información, telecomunicaciones y radiodifusión / Software / Software de gestión</t>
        </is>
      </c>
      <c r="F183" s="0">
        <v>2700.0</v>
      </c>
      <c r="G183" s="0" t="inlineStr">
        <is>
          <t xml:space="preserve">Unidad</t>
        </is>
      </c>
      <c r="H183" s="4" t="inlineStr">
        <is>
          <t xml:space="preserve">Umbrella SIG Essentials,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8</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FMC v300,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9</v>
      </c>
      <c r="D185" s="4" t="inlineStr">
        <is>
          <t xml:space="preserve">Software de gestión de licencias</t>
        </is>
      </c>
      <c r="E185" s="4" t="inlineStr">
        <is>
          <t xml:space="preserve">Tecnologías de la información, telecomunicaciones y radiodifusión / Software / Software de gestión</t>
        </is>
      </c>
      <c r="F185" s="0">
        <v>2.0</v>
      </c>
      <c r="G185" s="0" t="inlineStr">
        <is>
          <t xml:space="preserve">Unidad</t>
        </is>
      </c>
      <c r="H185" s="4" t="inlineStr">
        <is>
          <t xml:space="preserve">Firepower 4115, Valor neto según Formulario Económico N°1 (en caso de discrepancia entre el valor y el Formulario Económico N° 1 primará este último)</t>
        </is>
      </c>
    </row>
    <row r="186">
      <c r="A186" s="0" t="inlineStr">
        <is>
          <t xml:space="preserve">425-73-LP26</t>
        </is>
      </c>
      <c r="B186" s="4" t="inlineStr">
        <is>
          <t xml:space="preserve">Renovación de licencias de software CISCO</t>
        </is>
      </c>
      <c r="C186" s="0">
        <v>10</v>
      </c>
      <c r="D186" s="4" t="inlineStr">
        <is>
          <t xml:space="preserve">Software de gestión de licencias</t>
        </is>
      </c>
      <c r="E186" s="4" t="inlineStr">
        <is>
          <t xml:space="preserve">Tecnologías de la información, telecomunicaciones y radiodifusión / Software / Software de gestión</t>
        </is>
      </c>
      <c r="F186" s="0">
        <v>3000.0</v>
      </c>
      <c r="G186" s="0" t="inlineStr">
        <is>
          <t xml:space="preserve">Unidad</t>
        </is>
      </c>
      <c r="H186" s="4" t="inlineStr">
        <is>
          <t xml:space="preserve">Cisco Secure Client Premier, Valor neto según Formulario Económico N°1 (en caso de discrepancia entre el valor y el Formulario Económico N° 1 primará este último)</t>
        </is>
      </c>
    </row>
    <row r="187">
      <c r="A187" s="0" t="inlineStr">
        <is>
          <t xml:space="preserve">1057898-85-LR26</t>
        </is>
      </c>
      <c r="B187" s="4" t="inlineStr">
        <is>
          <t xml:space="preserve">ADQUISICIÓN DE SOFTWARES HIS-ESB-BI Y ERP PARA EL NUEVO HOSPITAL REGIONAL DE ÑUBLE</t>
        </is>
      </c>
      <c r="C187" s="0">
        <v>1</v>
      </c>
      <c r="D187" s="4" t="inlineStr">
        <is>
          <t xml:space="preserve">Software de administración</t>
        </is>
      </c>
      <c r="E187" s="4" t="inlineStr">
        <is>
          <t xml:space="preserve">Tecnologías de la información, telecomunicaciones y radiodifusión / Software / Software de administración de redes</t>
        </is>
      </c>
      <c r="F187" s="0">
        <v>1.0</v>
      </c>
      <c r="G187" s="0" t="inlineStr">
        <is>
          <t xml:space="preserve">Global</t>
        </is>
      </c>
      <c r="H187" s="4" t="inlineStr">
        <is>
          <t xml:space="preserve">FAMILIA N°1: SISTEMAS 1 PAQUETIZADO SOFTWARE PRINCIPAL(SOFTWARE COMO SERVICIO)</t>
        </is>
      </c>
    </row>
    <row r="188">
      <c r="A188" s="0" t="inlineStr">
        <is>
          <t xml:space="preserve">1057898-85-LR26</t>
        </is>
      </c>
      <c r="B188" s="4" t="inlineStr">
        <is>
          <t xml:space="preserve">ADQUISICIÓN DE SOFTWARES HIS-ESB-BI Y ERP PARA EL NUEVO HOSPITAL REGIONAL DE ÑUBLE</t>
        </is>
      </c>
      <c r="C188" s="0">
        <v>2</v>
      </c>
      <c r="D188" s="4" t="inlineStr">
        <is>
          <t xml:space="preserve">Software de administración</t>
        </is>
      </c>
      <c r="E188" s="4" t="inlineStr">
        <is>
          <t xml:space="preserve">Tecnologías de la información, telecomunicaciones y radiodifusión / Software / Software de administración de redes</t>
        </is>
      </c>
      <c r="F188" s="0">
        <v>1.0</v>
      </c>
      <c r="G188" s="0" t="inlineStr">
        <is>
          <t xml:space="preserve">Global</t>
        </is>
      </c>
      <c r="H188" s="4" t="inlineStr">
        <is>
          <t xml:space="preserve">FAMILIA N°2: SISTEMAS 2 SISTEMA ERP (SOFTWARE COMO SERVICIO)</t>
        </is>
      </c>
    </row>
    <row r="189">
      <c r="A189" s="0" t="inlineStr">
        <is>
          <t xml:space="preserve">1969-34-LS19</t>
        </is>
      </c>
      <c r="B189" s="4" t="inlineStr">
        <is>
          <t xml:space="preserve">AUTOMATIZACIÓN PORTÓN ACCESO A LINEA DE FUEGO</t>
        </is>
      </c>
      <c r="C189" s="0">
        <v>1</v>
      </c>
      <c r="D189" s="4" t="inlineStr">
        <is>
          <t xml:space="preserve">Puertas de metal</t>
        </is>
      </c>
      <c r="E189" s="4" t="inlineStr">
        <is>
          <t xml:space="preserve">Artículos para estructuras, obras y construcciones / Puertas, ventanas y vidrios / Puertas</t>
        </is>
      </c>
      <c r="F189" s="0">
        <v>1.0</v>
      </c>
      <c r="G189" s="0" t="inlineStr">
        <is>
          <t xml:space="preserve">Unidad</t>
        </is>
      </c>
      <c r="H189" s="4" t="inlineStr">
        <is>
          <t xml:space="preserve">AUTOMATIZACIÓN DE PORTÓN ACCESO A LINEA DE FUEGO C.P. CONCEPCIÓN</t>
        </is>
      </c>
    </row>
  </sheetData>
  <autoFilter ref="A1:H189"/>
</worksheet>
</file>