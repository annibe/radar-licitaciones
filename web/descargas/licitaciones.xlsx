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1056854-9-L126</t>
        </is>
      </c>
      <c r="B2" s="4" t="inlineStr">
        <is>
          <t xml:space="preserve">“ADQUISICIÓN DE 20 KITS DE ROBÓTICA EDUCATIVA, SOFTWARE, CAPACITACIÓN Y ACOMPAÑAMIENTO TÉCNICO PARA LA HABILITACIÓN DE LA SALA DE ROBÓTICA DEL HUB PROVIDENCIA”,</t>
        </is>
      </c>
      <c r="C2" s="0" t="inlineStr">
        <is>
          <t xml:space="preserve">Publicada</t>
        </is>
      </c>
      <c r="D2" s="0" t="inlineStr">
        <is>
          <t xml:space="preserve">I MUNICIPALIDAD DE PROVIDENCIA</t>
        </is>
      </c>
      <c r="E2" s="0" t="inlineStr">
        <is>
          <t xml:space="preserve">Dirección de Tecnología </t>
        </is>
      </c>
      <c r="F2" s="0" t="inlineStr">
        <is>
          <t xml:space="preserve">Región Metropolitana de Santiago</t>
        </is>
      </c>
      <c r="G2" s="0" t="inlineStr">
        <is>
          <t xml:space="preserve">Providencia</t>
        </is>
      </c>
      <c r="H2" s="2">
        <v>46289.787847</v>
      </c>
      <c r="I2" s="2">
        <v>46301.625</v>
      </c>
      <c r="J2" s="0">
        <v>3</v>
      </c>
      <c r="K2" s="3">
        <v>5000000.0</v>
      </c>
      <c r="L2" s="0" t="inlineStr">
        <is>
          <t xml:space="preserve">CLP</t>
        </is>
      </c>
      <c r="M2" s="0" t="inlineStr">
        <is>
          <t xml:space="preserve">L1</t>
        </is>
      </c>
      <c r="N2" s="4" t="inlineStr">
        <is>
          <t xml:space="preserve">Instrumentos musicales, juegos, juguetes, artesanías y materiales educativos / Materiales, artículos y suministros didácticos profesionales y para el desarrollo personal / Materiales de enseñanza de tecnología</t>
        </is>
      </c>
      <c r="O2" s="4" t="inlineStr">
        <is>
          <t xml:space="preserve">20 Unidad · Materiales de enseñanza de robótica</t>
        </is>
      </c>
      <c r="P2" s="2"/>
      <c r="Q2" s="2"/>
      <c r="R2" s="0"/>
      <c r="S2" s="0" t="inlineStr">
        <is>
          <t xml:space="preserve">No</t>
        </is>
      </c>
      <c r="T2" s="4"/>
      <c r="U2" s="0"/>
      <c r="V2" s="4" t="inlineStr">
        <is>
          <t xml:space="preserve">El objetivo es disponer de una infraestructura tecnológica pedagógica y reutilizable que permita implementar rutas formativas prácticas y progresivas para niños, niñas, jóvenes y emprendedores de la comuna, orientadas a la programación, la automatización, el pensamiento computacional y la introducción a la Inteligencia Artificial (IA).</t>
        </is>
      </c>
      <c r="W2" s="5" t="str">
        <f>HYPERLINK("https://www.mercadopublico.cl/Procurement/Modules/Attachment/ViewAttachment.aspx?enc=R7xSNEyZpb0%2fUw%2f6Je%2bpcyIOvgk%2fbkCu1YNNCVQIRRzxHyYrJnoJYHMb31p3VEntmdDxXYfD18OFeygfdwKNBX2cS8hbF02x36XMaT9vfywdfoeWmXzw%2bTlgh5y%2fauKhIDu4jWX5%2bXc3Wk4eAZbaW5c%2fbNH6j%2feWVToUaWzDpkpTiSx2ctk2FgA1wFeOm3nQpDIZGZVOr1d%2fepPWIvX1%2bFllTy9Xv8NaGY4GtuPkylYAjXTsGQXJLbzZkiX6%2ff5kTA%2fgLXfoCIWbR55%2frmzo2U8d2n9uhEw1cN23Pe3yXPrvO0Mjvvgfr3%2fZBFFyAXVt","descargar bases")</f>
      </c>
    </row>
    <row r="3">
      <c r="A3" s="0" t="inlineStr">
        <is>
          <t xml:space="preserve">3232-56-LE26</t>
        </is>
      </c>
      <c r="B3" s="4" t="inlineStr">
        <is>
          <t xml:space="preserve">LICENCIAMIENTO ANUAL DE SOFTWARE ÁREA MUNICIPAL</t>
        </is>
      </c>
      <c r="C3" s="0" t="inlineStr">
        <is>
          <t xml:space="preserve">Publicada</t>
        </is>
      </c>
      <c r="D3" s="0" t="inlineStr">
        <is>
          <t xml:space="preserve">I MUNICIPALIDAD DE SANTO DOMINGO</t>
        </is>
      </c>
      <c r="E3" s="0" t="inlineStr">
        <is>
          <t xml:space="preserve">I MUNICIPALIDAD DE SANTO DOMINGO</t>
        </is>
      </c>
      <c r="F3" s="0" t="inlineStr">
        <is>
          <t xml:space="preserve">Región de Valparaíso </t>
        </is>
      </c>
      <c r="G3" s="0" t="inlineStr">
        <is>
          <t xml:space="preserve">Santo Domingo</t>
        </is>
      </c>
      <c r="H3" s="2">
        <v>46297.676551</v>
      </c>
      <c r="I3" s="2">
        <v>46308.666667</v>
      </c>
      <c r="J3" s="0">
        <v>10</v>
      </c>
      <c r="K3" s="3"/>
      <c r="L3" s="0" t="inlineStr">
        <is>
          <t xml:space="preserve">CLP</t>
        </is>
      </c>
      <c r="M3" s="0" t="inlineStr">
        <is>
          <t xml:space="preserve">LE</t>
        </is>
      </c>
      <c r="N3" s="4" t="inlineStr">
        <is>
          <t xml:space="preserve">Tecnologías de la información, telecomunicaciones y radiodifusión / Software / Software de gestión</t>
        </is>
      </c>
      <c r="O3" s="4" t="inlineStr">
        <is>
          <t xml:space="preserve">17 Unidad · Software de gestión de licencias · 1 Unidad · Software de gestión de licencias · 1 Unidad · Software de gestión de licencias</t>
        </is>
      </c>
      <c r="P3" s="2"/>
      <c r="Q3" s="2"/>
      <c r="R3" s="0"/>
      <c r="S3" s="0" t="inlineStr">
        <is>
          <t xml:space="preserve">No</t>
        </is>
      </c>
      <c r="T3" s="4"/>
      <c r="U3" s="0" t="inlineStr">
        <is>
          <t xml:space="preserve">JUAN PABLO VIDAL</t>
        </is>
      </c>
      <c r="V3" s="4" t="inlineStr">
        <is>
          <t xml:space="preserve">La Ilustre Municipalidad de Santo Domingo, a través del Departamento de Informática y Gobierno Electrónico, requieren contratar la adquisición y renovación de licencias anuales de software Autodesk (AutoCAD LT 2026, AutoCAD Map 3D Specialized Tools 2026 y AutoCAD Revit 2026) para el presupuesto 2026, destinadas a apoyar las labores operativas, técnicas, cartográficas y de infraestructura del área municipal.</t>
        </is>
      </c>
      <c r="W3" s="5" t="str">
        <f>HYPERLINK("https://www.mercadopublico.cl/Procurement/Modules/Attachment/ViewAttachment.aspx?enc=MqKktEAJoID3oSMAq5WWrNS3oa0NUvgdwvgReCdrxL7hjwxwJra29%2bRVsNT39j%2fr8LY48QCH%2bsBOURePN3rSOzVOrBG19b9r0oWeVtyq2NpcBGty34omCJKOEQEM%2fG7Jw1Bd7nk5yu1AYWw7Fbu5aAsdHavdPF%2fH%2f%2bq0fB0It6znnIkS5eSyNRCS2DQbTfrPJNHyW%2fqLq68hDa5J3k7esn%2f%2fZn144xJ0K7M6bmG5Zw%2fFTztkPHv5y60we6qShcr6YNbZil6ttaMuy89I7X2w1jVzA3G9q3B9%2bnO1nC8s%2bTOz7FYZGirkCMASid00JfFf","descargar bases")</f>
      </c>
    </row>
    <row r="4">
      <c r="A4" s="0" t="inlineStr">
        <is>
          <t xml:space="preserve">1469-251-L126</t>
        </is>
      </c>
      <c r="B4" s="4" t="inlineStr">
        <is>
          <t xml:space="preserve">“Servicio suministro de puntos de datos para la Universidad de Talca, Dirección de Tecnologías de información, nueva Oficina Servicios TI”</t>
        </is>
      </c>
      <c r="C4" s="0" t="inlineStr">
        <is>
          <t xml:space="preserve">Publicada</t>
        </is>
      </c>
      <c r="D4" s="0" t="inlineStr">
        <is>
          <t xml:space="preserve">UNIVERSIDAD DE TALCA</t>
        </is>
      </c>
      <c r="E4" s="0" t="inlineStr">
        <is>
          <t xml:space="preserve">Universidad de Talca</t>
        </is>
      </c>
      <c r="F4" s="0" t="inlineStr">
        <is>
          <t xml:space="preserve">Región del Maule </t>
        </is>
      </c>
      <c r="G4" s="0" t="inlineStr">
        <is>
          <t xml:space="preserve">Talca</t>
        </is>
      </c>
      <c r="H4" s="2">
        <v>46297.774097</v>
      </c>
      <c r="I4" s="2">
        <v>46309.625</v>
      </c>
      <c r="J4" s="0">
        <v>11</v>
      </c>
      <c r="K4" s="3">
        <v>3730650.0</v>
      </c>
      <c r="L4" s="0" t="inlineStr">
        <is>
          <t xml:space="preserve">CLP</t>
        </is>
      </c>
      <c r="M4" s="0" t="inlineStr">
        <is>
          <t xml:space="preserve">L1</t>
        </is>
      </c>
      <c r="N4" s="4" t="inlineStr">
        <is>
          <t xml:space="preserve">Servicios básicos y de información pública / Bibliotecas y otros centros de información pública / Comunicación social y de masas</t>
        </is>
      </c>
      <c r="O4" s="4" t="inlineStr">
        <is>
          <t xml:space="preserve">1 Unidad · Servicios relacionados con Internet</t>
        </is>
      </c>
      <c r="P4" s="2"/>
      <c r="Q4" s="2"/>
      <c r="R4" s="0"/>
      <c r="S4" s="0" t="inlineStr">
        <is>
          <t xml:space="preserve">No</t>
        </is>
      </c>
      <c r="T4" s="4"/>
      <c r="U4" s="0"/>
      <c r="V4" s="4" t="inlineStr">
        <is>
          <t xml:space="preserve">Contratar la provisión e instalación integral de infraestructura de red para la habilitación del servicio de datos en la nueva oficina del Departamento de Servicios y Procesos TI.</t>
        </is>
      </c>
      <c r="W4" s="5" t="str">
        <f>HYPERLINK("https://www.mercadopublico.cl/Procurement/Modules/Attachment/ViewAttachment.aspx?enc=bLaJBprDWA6IqUrlrMppNDue0pCRZ%2ba6X%2ffRdOFv%2fPwvreqbMuEGdNJ5vT%2fvXLq59aUHrgx6KM7dr4%2fOO%2bh61sfelvKB4iX89%2bPcpx%2bXh6aGjcZzs5bndiKY7D7%2f7KfkYmCftwF4BLmSgCcwnobIs0XumYJWr5X1zXvue0aYeZru0gLnMZmyhummeEWlOeAmMAqkmNG9zACAvlXnhGKFYZm0LdJoelLJ5eqMNXflkXaJpnEJKvwenL5xTe6aVjzQnSwJTwnzX2%2bZ00YG4UkJfpN8O4CVVDPS0JF45NTTBnsGhjN%2bjwL4vtBATkbKcRN2","descargar bases")</f>
      </c>
    </row>
    <row r="5">
      <c r="A5" s="0" t="inlineStr">
        <is>
          <t xml:space="preserve">1208129-10-LP26</t>
        </is>
      </c>
      <c r="B5" s="4" t="inlineStr">
        <is>
          <t xml:space="preserve">Giftcards digitales nominativas para las RR.FF A.D</t>
        </is>
      </c>
      <c r="C5" s="0" t="inlineStr">
        <is>
          <t xml:space="preserve">Publicada</t>
        </is>
      </c>
      <c r="D5" s="0" t="inlineStr">
        <is>
          <t xml:space="preserve">SERVICIO NACIONAL DE PROTECCIÓN ESPECIALIZADA A LA NIÑEZ Y ADOLESCENCI</t>
        </is>
      </c>
      <c r="E5" s="0" t="inlineStr">
        <is>
          <t xml:space="preserve">ADMINISTRACIÓN DIRECTA REGIÓN DEL BIOBÍO</t>
        </is>
      </c>
      <c r="F5" s="0" t="inlineStr">
        <is>
          <t xml:space="preserve">Región del Biobío </t>
        </is>
      </c>
      <c r="G5" s="0" t="inlineStr">
        <is>
          <t xml:space="preserve">Concepción</t>
        </is>
      </c>
      <c r="H5" s="2">
        <v>46297.700833</v>
      </c>
      <c r="I5" s="2">
        <v>46310.450694</v>
      </c>
      <c r="J5" s="0">
        <v>12</v>
      </c>
      <c r="K5" s="3">
        <v>222800000.0</v>
      </c>
      <c r="L5" s="0" t="inlineStr">
        <is>
          <t xml:space="preserve">CLP</t>
        </is>
      </c>
      <c r="M5" s="0" t="inlineStr">
        <is>
          <t xml:space="preserve">LP</t>
        </is>
      </c>
      <c r="N5" s="4" t="inlineStr">
        <is>
          <t xml:space="preserve">Servicios profesionales, administrativos y consultorías de gestión empresarial / Servicios de recursos humanos / Consultorías para el desarrollo de recursos humanos</t>
        </is>
      </c>
      <c r="O5" s="4" t="inlineStr">
        <is>
          <t xml:space="preserve">1 Global · Planificación de compensaciones o beneficios · 1 Global · Planificación de compensaciones o beneficios · 1 Global · Planificación de compensaciones o beneficios</t>
        </is>
      </c>
      <c r="P5" s="2"/>
      <c r="Q5" s="2"/>
      <c r="R5" s="0" t="inlineStr">
        <is>
          <t xml:space="preserve">12 meses</t>
        </is>
      </c>
      <c r="S5" s="0" t="inlineStr">
        <is>
          <t xml:space="preserve">No</t>
        </is>
      </c>
      <c r="T5" s="4"/>
      <c r="U5" s="0" t="inlineStr">
        <is>
          <t xml:space="preserve">PAULA GATICA</t>
        </is>
      </c>
      <c r="V5" s="4" t="inlineStr">
        <is>
          <t xml:space="preserve">SERVICIOS DE ADMINISTRACIÓN Y PROVISIÓN DE BENEFICIOS MEDIANTE GIFTCARDS DIGITALES NOMINATIVAS PARA ALIMENTACIÓN, VESTUARIO Y CALZADO PARA LAS RESIDENCIAS FAMILIARES DE ADMINISTRACION DIRECTA DEL SERVICIO NACIONAL DE PROTECCIÓN ESPECIALIZADA A LA NIÑEZ Y ADOLESCENCIA REGIÓN DEL BIOBIO.</t>
        </is>
      </c>
      <c r="W5" s="5" t="str">
        <f>HYPERLINK("https://www.mercadopublico.cl/Procurement/Modules/Attachment/ViewAttachment.aspx?enc=6efpflMLUjOudT0oaP%2fcPZCWeU%2bJJsYUzXZBN%2fW9BFVFYtgWfY4QwxPe2zlPCnkDVaNTknDk%2fRlTyVB%2f%2fABYL8S9u6OLSBO6mQb1NvM1%2bGDwxyT64ROPBnVYwtCbCXBuu3g6f9yxd4Ck2EE7EDlgaQa8KlM2tvDQ9rVtgEzkDV0z7tq%2bTVODPmv6N6H7MOUfssELEI0hJLaLZvwKYcd5Fh%2fjvzzk6o5J%2fSYSCsQnYdzRc08x9dhh5wNYJWhdjkvITaurP1wUEo9dwBZSY9IyE2Iop6v7yaLZx%2b3cwX7yFljMaml9%2bkLW1Ld0PLoWdCX1","descargar bases")</f>
      </c>
    </row>
    <row r="6">
      <c r="A6" s="0" t="inlineStr">
        <is>
          <t xml:space="preserve">617807-79-B226</t>
        </is>
      </c>
      <c r="B6" s="4" t="inlineStr">
        <is>
          <t xml:space="preserve">SERVICIO DE MANTENCIÓN PREVENTIVA Y REPARATIVA DE EQUIPOS DE RAYOS X DIGITAL ARCO C PARA EL HOSPITAL SAN JUAN DE DIOS DE LOS ANDES</t>
        </is>
      </c>
      <c r="C6" s="0" t="inlineStr">
        <is>
          <t xml:space="preserve">Publicada</t>
        </is>
      </c>
      <c r="D6" s="0" t="inlineStr">
        <is>
          <t xml:space="preserve">SERV NAC SALUD HOSPITAL DE LOS ANDES</t>
        </is>
      </c>
      <c r="E6" s="0" t="inlineStr">
        <is>
          <t xml:space="preserve">Hospital San Juan de Dios de Los Andes</t>
        </is>
      </c>
      <c r="F6" s="0" t="inlineStr">
        <is>
          <t xml:space="preserve">Región de Valparaíso </t>
        </is>
      </c>
      <c r="G6" s="0" t="inlineStr">
        <is>
          <t xml:space="preserve">Los Andes</t>
        </is>
      </c>
      <c r="H6" s="2">
        <v>46297.633194</v>
      </c>
      <c r="I6" s="2">
        <v>46317.625</v>
      </c>
      <c r="J6" s="0">
        <v>19</v>
      </c>
      <c r="K6" s="3"/>
      <c r="L6" s="0" t="inlineStr">
        <is>
          <t xml:space="preserve">CLP</t>
        </is>
      </c>
      <c r="M6" s="0" t="inlineStr">
        <is>
          <t xml:space="preserve">B2</t>
        </is>
      </c>
      <c r="N6" s="4" t="inlineStr">
        <is>
          <t xml:space="preserve">Servicios de producción y fabricación industrial / Servicios de apoyo o soporte a la fabricación / Servicios de mantenimiento y reparación de equipo de fabricación</t>
        </is>
      </c>
      <c r="O6" s="4" t="inlineStr">
        <is>
          <t xml:space="preserve">1 Unidad · Servicio de mantenimiento de equipo de fabricación</t>
        </is>
      </c>
      <c r="P6" s="2"/>
      <c r="Q6" s="2"/>
      <c r="R6" s="0" t="inlineStr">
        <is>
          <t xml:space="preserve">36 meses</t>
        </is>
      </c>
      <c r="S6" s="0" t="inlineStr">
        <is>
          <t xml:space="preserve">No</t>
        </is>
      </c>
      <c r="T6" s="4"/>
      <c r="U6" s="0" t="inlineStr">
        <is>
          <t xml:space="preserve">MARCIA MANDIOLA GOMEZ</t>
        </is>
      </c>
      <c r="V6" s="4" t="inlineStr">
        <is>
          <t xml:space="preserve">Seleccionar un Proveedor reconocido, experto, calificado en el mercado por los servicios solicitados, de manera que entregue seguridad y confianza en la ejecución de los servicios de mantención de equipos y en el “CONVENIO DE MANTENCIÓN DE EQUIPOS RX ARCO C DEL HOSPITAL SAN JUAN DE DIOS DE LOS ANDES”.  Contar con el servicio solicitado por Unidad de Equipos Médicos del Establecimiento de manera que cuenten con los requerimientos técnicos estipulados en las presentes bases, y así garantizar el correcto funcionamiento en las prestaciones de salud.</t>
        </is>
      </c>
      <c r="W6" s="5" t="str">
        <f>HYPERLINK("https://www.mercadopublico.cl/Procurement/Modules/Attachment/ViewAttachment.aspx?enc=ZCXj5VP%2fhARWDFCymBbbH9nLMLyEWCp4kMmf90PeeOyrZi%2fEUKuZyMlksSG%2buI6L%2bZ3goD78WiuRdpuygTaTBstJY9IxlqR6fD7rstClCGgvxMJy2vJbzXoW2NOGjD15yg6xPD7iLrlk3iMXPU5ntB9cavGsqlk8AyIx%2fV9%2fPgg0zFf2WGGKRku%2fecwm%2fQ0%2biYqxuo0zYgoSPISqb%2f1%2beYSjswhMXuJUOOjusNIfUNdVda0euK7Fl6fg6mcWIABxub%2f1TaoxcvVunF4ioaWB1f2yx5DIKcNR29Ux%2bBrZZj1u7NStgm2k1fFe6FiYZg1b","descargar bases")</f>
      </c>
    </row>
    <row r="7">
      <c r="A7" s="0" t="inlineStr">
        <is>
          <t xml:space="preserve">634-92-LE26</t>
        </is>
      </c>
      <c r="B7" s="4" t="inlineStr">
        <is>
          <t xml:space="preserve">SISTEMA RADIOGRÁFICO ODONTOLÓGICO DIGITAL</t>
        </is>
      </c>
      <c r="C7" s="0" t="inlineStr">
        <is>
          <t xml:space="preserve">Publicada</t>
        </is>
      </c>
      <c r="D7" s="0" t="inlineStr">
        <is>
          <t xml:space="preserve">DIRECCION GENERAL DE GENDARMERIA DE CHIL</t>
        </is>
      </c>
      <c r="E7" s="0" t="inlineStr">
        <is>
          <t xml:space="preserve">Dirección Nacional</t>
        </is>
      </c>
      <c r="F7" s="0" t="inlineStr">
        <is>
          <t xml:space="preserve">Región Metropolitana de Santiago</t>
        </is>
      </c>
      <c r="G7" s="0" t="inlineStr">
        <is>
          <t xml:space="preserve">Santiago</t>
        </is>
      </c>
      <c r="H7" s="2">
        <v>46297.655498</v>
      </c>
      <c r="I7" s="2">
        <v>46321.645833</v>
      </c>
      <c r="J7" s="0">
        <v>23</v>
      </c>
      <c r="K7" s="3">
        <v>35009800.0</v>
      </c>
      <c r="L7" s="0" t="inlineStr">
        <is>
          <t xml:space="preserve">CLP</t>
        </is>
      </c>
      <c r="M7" s="0" t="inlineStr">
        <is>
          <t xml:space="preserve">LE</t>
        </is>
      </c>
      <c r="N7" s="4" t="inlineStr">
        <is>
          <t xml:space="preserve">Equipamiento y suministros médicos / Equipos y suministros odontológicos / Equipo y suministros para imágenes dentales</t>
        </is>
      </c>
      <c r="O7" s="4" t="inlineStr">
        <is>
          <t xml:space="preserve">1 Unidad · Unidades de Rayos X dentales</t>
        </is>
      </c>
      <c r="P7" s="2"/>
      <c r="Q7" s="2"/>
      <c r="R7" s="0"/>
      <c r="S7" s="0" t="inlineStr">
        <is>
          <t xml:space="preserve">No</t>
        </is>
      </c>
      <c r="T7" s="4"/>
      <c r="U7" s="0" t="inlineStr">
        <is>
          <t xml:space="preserve">José Silva Díaz</t>
        </is>
      </c>
      <c r="V7" s="4" t="inlineStr">
        <is>
          <t xml:space="preserve">DISPONE LLAMADO A LICITACIÓN PÚBLICA Y APRUEBA BASES ADMINISTRATIVAS, TÉCNICAS Y FORMULARIOS DESTINADOS A LA “ADQUISICIÓN, INSTALACIÓN, PUESTA EN MARCHA Y CAPACITACIÓN DE SISTEMA RADIOGRÁFICO ODONTOLÓGICO DIGITAL TIPO ORTOPANTOMÓGRAFO CON TECNOLOGÍA CBCT PARA EL SERVICIO DENTAL DEL HOSPITAL PENITENCIARIO”. E102RT9</t>
        </is>
      </c>
      <c r="W7" s="5" t="str">
        <f>HYPERLINK("https://www.mercadopublico.cl/Procurement/Modules/Attachment/ViewAttachment.aspx?enc=XXGKysmCYSmBdIKvI5hFMns4uP92PbvbWbjz22BCf6d5R31pvQwMcTo75KXqICypwrn0ZAfQWjvlTJZycYGktEI1ykTQZxQpZUpj3y1U3l6o9j3NhxHalNMf8Oktn6cqpdBE%2frgZvMT%2fd5xRNcAGh6JEnsPhUHLtWoNWTozAesBcCEds%2fEWPR1oS41MZ3fzEqXa1mnJyy9rIPL%2fJdwR4u%2fsm%2fY8xOvd4wDvW22ZoR%2f1i7EuuV0Gale6Xypo19U%2bug2w4acafCRBdRLaszUkVsJzZR5jlrUavIKLewm3BS7seqckdWGSqgWPLnUjhHaCm","descargar bases")</f>
      </c>
    </row>
    <row r="8">
      <c r="A8" s="0" t="inlineStr">
        <is>
          <t xml:space="preserve">2426-52-LR26</t>
        </is>
      </c>
      <c r="B8" s="4" t="inlineStr">
        <is>
          <t xml:space="preserve">DATACENTER ENLACES DE DATOS TELEFONIA E INTERNET</t>
        </is>
      </c>
      <c r="C8" s="0" t="inlineStr">
        <is>
          <t xml:space="preserve">Publicada</t>
        </is>
      </c>
      <c r="D8" s="0" t="inlineStr">
        <is>
          <t xml:space="preserve">I MUNICIPALIDAD DE VALPARAISO</t>
        </is>
      </c>
      <c r="E8" s="0" t="inlineStr">
        <is>
          <t xml:space="preserve">ADQUISICIONES MAYORES</t>
        </is>
      </c>
      <c r="F8" s="0" t="inlineStr">
        <is>
          <t xml:space="preserve">Región de Valparaíso </t>
        </is>
      </c>
      <c r="G8" s="0" t="inlineStr">
        <is>
          <t xml:space="preserve">Valparaíso</t>
        </is>
      </c>
      <c r="H8" s="2">
        <v>46297.658079</v>
      </c>
      <c r="I8" s="2">
        <v>46328.708333</v>
      </c>
      <c r="J8" s="0">
        <v>30</v>
      </c>
      <c r="K8" s="3">
        <v>40719.0</v>
      </c>
      <c r="L8" s="0" t="inlineStr">
        <is>
          <t xml:space="preserve">CLF</t>
        </is>
      </c>
      <c r="M8" s="0" t="inlineStr">
        <is>
          <t xml:space="preserve">LR</t>
        </is>
      </c>
      <c r="N8" s="4" t="inlineStr">
        <is>
          <t xml:space="preserve">Servicios basados en ingeniería, ciencias sociales y tecnología de la información / Servicios informáticos / Servicios de datos</t>
        </is>
      </c>
      <c r="O8" s="4" t="inlineStr">
        <is>
          <t xml:space="preserve">1 Unidad · Centro de servicios de datos</t>
        </is>
      </c>
      <c r="P8" s="2"/>
      <c r="Q8" s="2"/>
      <c r="R8" s="0" t="inlineStr">
        <is>
          <t xml:space="preserve">48 meses</t>
        </is>
      </c>
      <c r="S8" s="0" t="inlineStr">
        <is>
          <t xml:space="preserve">No</t>
        </is>
      </c>
      <c r="T8" s="4"/>
      <c r="U8" s="0" t="inlineStr">
        <is>
          <t xml:space="preserve">Juan Carlos Tempine</t>
        </is>
      </c>
      <c r="V8" s="4" t="inlineStr">
        <is>
          <t xml:space="preserve">SERVICIOS DE DATA CENTER, ENLACES DE DATOS, TELEFONÍA E INTERNET PARA LA MUNICIPALIDAD DE VALPARAÍSO</t>
        </is>
      </c>
      <c r="W8" s="5" t="str">
        <f>HYPERLINK("https://www.mercadopublico.cl/Procurement/Modules/Attachment/ViewAttachment.aspx?enc=KIevwXQPkY%2bfjN1m9DWKhLgsLViJ9bOf4rHmdA75dQCwDPgdZjk3DO5NFYQsGscBTylFiqIjKgi24VGrbz9RhvDzNEt66OQdGIDWVMuaOygf2INQZpcvHs5OYVabvRvg8X0GTzNho1TZ%2fnoHlxvxKjBCLGPtVg9OM5tu6Ui5u4dUyIsAal4f24KGXFyEX29wDvwUeyFhLwK0Fkq%2blalWFzFrP3x5arijcKtog%2fb91j8htNSmuW8DnkDuiKbilmu36PacQvIb%2fgpjss3%2fLC81CFp7RxGIuuag4MBTP%2fz7nQhhLM85nnWaH4mh4i3ujJoi","descargar bases")</f>
      </c>
    </row>
  </sheetData>
  <autoFilter ref="A1:W8"/>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2080-309-LE26</t>
        </is>
      </c>
      <c r="B2" s="4" t="inlineStr">
        <is>
          <t xml:space="preserve">COMPRA ROLLOS PAPEL IMPRESORA TOTEM</t>
        </is>
      </c>
      <c r="C2" s="0" t="inlineStr">
        <is>
          <t xml:space="preserve">Publicada</t>
        </is>
      </c>
      <c r="D2" s="0" t="inlineStr">
        <is>
          <t xml:space="preserve">SERVICIO DE SALUD DEL LIBERTADOR B O'HIGGINS HOSPITAL REG RANCAGUA</t>
        </is>
      </c>
      <c r="E2" s="0" t="inlineStr">
        <is>
          <t xml:space="preserve">Hospital Regional Rancagua - HRR</t>
        </is>
      </c>
      <c r="F2" s="0" t="inlineStr">
        <is>
          <t xml:space="preserve">Región del Libertador General Bernardo O´Higgins</t>
        </is>
      </c>
      <c r="G2" s="0" t="inlineStr">
        <is>
          <t xml:space="preserve">Rancagua</t>
        </is>
      </c>
      <c r="H2" s="2">
        <v>46287.658183</v>
      </c>
      <c r="I2" s="2">
        <v>46301.625</v>
      </c>
      <c r="J2" s="0">
        <v>3</v>
      </c>
      <c r="K2" s="3"/>
      <c r="L2" s="0" t="inlineStr">
        <is>
          <t xml:space="preserve">CLP</t>
        </is>
      </c>
      <c r="M2" s="0" t="inlineStr">
        <is>
          <t xml:space="preserve">LE</t>
        </is>
      </c>
      <c r="N2" s="4" t="inlineStr">
        <is>
          <t xml:space="preserve">Productos de papel / Productos de papel / Papel de imprenta y escritura</t>
        </is>
      </c>
      <c r="O2" s="4" t="inlineStr">
        <is>
          <t xml:space="preserve">21432 Unidad · Rollos para télex</t>
        </is>
      </c>
      <c r="P2" s="2"/>
      <c r="Q2" s="2"/>
      <c r="R2" s="0" t="inlineStr">
        <is>
          <t xml:space="preserve">24 meses</t>
        </is>
      </c>
      <c r="S2" s="0" t="inlineStr">
        <is>
          <t xml:space="preserve">No</t>
        </is>
      </c>
      <c r="T2" s="4"/>
      <c r="U2" s="0" t="inlineStr">
        <is>
          <t xml:space="preserve">CAROLINA PEÑA PADILLA</t>
        </is>
      </c>
      <c r="V2" s="4" t="inlineStr">
        <is>
          <t xml:space="preserve">El objeto de esta Licitación es contar con una adecuada provisión de “COMPRA ROLLOS PAPEL IMPRESORA TOTEM” para el Hospital Dr. Franco Ravera Zunino, durante la vigencia del proceso.</t>
        </is>
      </c>
      <c r="W2" s="5" t="str">
        <f>HYPERLINK("https://www.mercadopublico.cl/Procurement/Modules/Attachment/ViewAttachment.aspx?enc=oxaNdzFtWXDumPE0HI0q2RBM1OnW9d49V5ndlE1NmsQHHzD0DuYw8NoBGrSVg0EF3dNPzpsS8BCmhVBeQAl8dlbqjtEt9ecu1bJ91NLYSVA40QANeIXTnWjL7NpEMN0Hv8LVP%2ba9BggjqgMszoDjnO2oIflvAPHeCGDwMGHjMfsV15L%2b48kEmT%2fX7tN7aQUOWOCW2SXvolyfGHdD9KLmbTeDCNsBp%2bElzFTPNwR5MJpjnW8hMZZ0EE2eHNYy4G0DMLQDE8nIzuoLmpatQqXg7ElIWKKmOHA97q6o5dAiiRKzjsXNjgafjCPHd5bNiMHn","descargar bases")</f>
      </c>
    </row>
    <row r="3">
      <c r="A3" s="0" t="inlineStr">
        <is>
          <t xml:space="preserve">2448-137-L126</t>
        </is>
      </c>
      <c r="B3" s="4" t="inlineStr">
        <is>
          <t xml:space="preserve">CUPOS PARA CURSO - TALLER DE DATOS USANDO IA</t>
        </is>
      </c>
      <c r="C3" s="0" t="inlineStr">
        <is>
          <t xml:space="preserve">Publicada</t>
        </is>
      </c>
      <c r="D3" s="0" t="inlineStr">
        <is>
          <t xml:space="preserve">I MUNICIPALIDAD DE COQUIMBO</t>
        </is>
      </c>
      <c r="E3" s="0" t="inlineStr">
        <is>
          <t xml:space="preserve">Departamento de Salud</t>
        </is>
      </c>
      <c r="F3" s="0" t="inlineStr">
        <is>
          <t xml:space="preserve">Región de Coquimbo </t>
        </is>
      </c>
      <c r="G3" s="0" t="inlineStr">
        <is>
          <t xml:space="preserve">Coquimbo</t>
        </is>
      </c>
      <c r="H3" s="2">
        <v>46293.52735</v>
      </c>
      <c r="I3" s="2">
        <v>46301.625</v>
      </c>
      <c r="J3" s="0">
        <v>3</v>
      </c>
      <c r="K3" s="3">
        <v>5000000.0</v>
      </c>
      <c r="L3" s="0" t="inlineStr">
        <is>
          <t xml:space="preserve">CLP</t>
        </is>
      </c>
      <c r="M3" s="0" t="inlineStr">
        <is>
          <t xml:space="preserve">L1</t>
        </is>
      </c>
      <c r="N3" s="4" t="inlineStr">
        <is>
          <t xml:space="preserve">Educación, formación, entrenamiento y capacitación / Sistemas educativos complementarios / Educación de adultos</t>
        </is>
      </c>
      <c r="O3" s="4" t="inlineStr">
        <is>
          <t xml:space="preserve">40 Unidad · Capacitación a empleados</t>
        </is>
      </c>
      <c r="P3" s="2"/>
      <c r="Q3" s="2"/>
      <c r="R3" s="0"/>
      <c r="S3" s="0" t="inlineStr">
        <is>
          <t xml:space="preserve">No</t>
        </is>
      </c>
      <c r="T3" s="4"/>
      <c r="U3" s="0"/>
      <c r="V3" s="4" t="inlineStr">
        <is>
          <t xml:space="preserve">CUPOS PARA CURSO - TALLER DE DATOS USANDO IA</t>
        </is>
      </c>
      <c r="W3" s="5" t="str">
        <f>HYPERLINK("https://www.mercadopublico.cl/Procurement/Modules/Attachment/ViewAttachment.aspx?enc=DsdZTT8uEfHf%2bnTq0q8r7kIQdG%2fOieSJcQjI4MG0R307TZvmTXO%2bFeqBZ1rPHGptRohQ%2bgEiLWlDpBd%2foJ3t70UhAIQCk04ktLhYY6pFISKN2xp5Zj%2fh66DH5r7L9rjOpawpPPw4CO3JrOiqPQyU54JJ%2bPxD%2fcgdnjfk3kShColcLHgemlqpbHlnxOXF6yMJLwVzj3cZ9r4soBHPioJoaQ7mQp%2fvSDsnNZUoMpoK1yD3v0Tnolt2oqZ6uJWTFchYp2dHn6KM7Dr9W10seC1zu2Wp90KO5BWi5hJpEhAfW1MFnhzQe9JgzUH7kYhXrY4a","descargar bases")</f>
      </c>
    </row>
    <row r="4">
      <c r="A4" s="0" t="inlineStr">
        <is>
          <t xml:space="preserve">2981-270-LE26</t>
        </is>
      </c>
      <c r="B4" s="4" t="inlineStr">
        <is>
          <t xml:space="preserve">ADQUISICIÓN DE 100 GPS TRACKER CON PLATAFORMA INTEGRADA GEOESPACIAL Y DE TRAZABILIDAD Y SU RESPECTIVO EQUIPAMIENTO EJECUCIÓN DEL PLAN CALLE SIN VIOLENCIA</t>
        </is>
      </c>
      <c r="C4" s="0" t="inlineStr">
        <is>
          <t xml:space="preserve">Publicada</t>
        </is>
      </c>
      <c r="D4" s="0" t="inlineStr">
        <is>
          <t xml:space="preserve">POLICIA DE INVESTIGACIONES DE CHILE</t>
        </is>
      </c>
      <c r="E4" s="0" t="inlineStr">
        <is>
          <t xml:space="preserve">DEPARTAMENTO ADMINISTRATIVO</t>
        </is>
      </c>
      <c r="F4" s="0" t="inlineStr">
        <is>
          <t xml:space="preserve">Región Metropolitana de Santiago</t>
        </is>
      </c>
      <c r="G4" s="0" t="inlineStr">
        <is>
          <t xml:space="preserve">Santiago Centro</t>
        </is>
      </c>
      <c r="H4" s="2">
        <v>46289.418947</v>
      </c>
      <c r="I4" s="2">
        <v>46301.625</v>
      </c>
      <c r="J4" s="0">
        <v>3</v>
      </c>
      <c r="K4" s="3">
        <v>26036596.0</v>
      </c>
      <c r="L4" s="0" t="inlineStr">
        <is>
          <t xml:space="preserve">CLP</t>
        </is>
      </c>
      <c r="M4" s="0" t="inlineStr">
        <is>
          <t xml:space="preserve">LE</t>
        </is>
      </c>
      <c r="N4" s="4" t="inlineStr">
        <is>
          <t xml:space="preserve">Muebles, accesorios, electrodomésticos y productos electrónicos / Equipos y accesorios audiovisuales / Equipos audiovisuales y de electrónica menor</t>
        </is>
      </c>
      <c r="O4" s="4" t="inlineStr">
        <is>
          <t xml:space="preserve">100 Unidad · Receptores GPS</t>
        </is>
      </c>
      <c r="P4" s="2"/>
      <c r="Q4" s="2"/>
      <c r="R4" s="0"/>
      <c r="S4" s="0" t="inlineStr">
        <is>
          <t xml:space="preserve">No</t>
        </is>
      </c>
      <c r="T4" s="4" t="inlineStr">
        <is>
          <t xml:space="preserve">SEGÚN ART. 51 DE RESOLEX N°794 DE 23.SEP.026, DEPADM</t>
        </is>
      </c>
      <c r="U4" s="0" t="inlineStr">
        <is>
          <t xml:space="preserve">DAYANA MORI GONZALEZ</t>
        </is>
      </c>
      <c r="V4" s="4" t="inlineStr">
        <is>
          <t xml:space="preserve">ADQUISICIÓN DE 100 GPS TRACKER CON PLATAFORMA INTEGRADA GEOESPACIAL Y DE TRAZABILIDAD Y SU RESPECTIVO EQUIPAMIENTO EJECUCIÓN DEL PLAN CALLE SIN VIOLENCIA</t>
        </is>
      </c>
      <c r="W4" s="5" t="str">
        <f>HYPERLINK("https://www.mercadopublico.cl/Procurement/Modules/Attachment/ViewAttachment.aspx?enc=jLDrcfNdiP5zLqju4yNBuvbXMRdLj6XPwo4zSI4PMjq0ujTFaGPADZLe6YBJKuKK4LGje7nHSLKTmTWPTS3v5WNPOyTgzoBVM2WdZ3BiYRP9jeDwgyEClcPrvKLYDQiBTaIj0agaYRgz0KuxEEKemNq8Kb26ORxbmXblRQAHQmocVc8qkWgdQl2KeE3MTXebsJ63qC5EyFdJAaKa1nWS76IuSXg03P9Jzh7xwWjafAKPR8reVqxkOp7BisKfL109zfLazkN4BtB4ex1o2zhwR7%2bqmUudT5X%2b%2fn%2fmgCHBhYwv3NHVstQTkB%2b5nipnDRaD","descargar bases")</f>
      </c>
    </row>
    <row r="5">
      <c r="A5" s="0" t="inlineStr">
        <is>
          <t xml:space="preserve">548874-77-LR26</t>
        </is>
      </c>
      <c r="B5" s="4" t="inlineStr">
        <is>
          <t xml:space="preserve">MANTENCIÓN Y MEJORA SISTEMA CIBERSEGURIDAD NCH ISO</t>
        </is>
      </c>
      <c r="C5" s="0" t="inlineStr">
        <is>
          <t xml:space="preserve">Publicada</t>
        </is>
      </c>
      <c r="D5" s="0" t="inlineStr">
        <is>
          <t xml:space="preserve">INSTITUTO DE PREVISION SOCIAL</t>
        </is>
      </c>
      <c r="E5" s="0" t="inlineStr">
        <is>
          <t xml:space="preserve">IPS Oficina Central de Compras</t>
        </is>
      </c>
      <c r="F5" s="0" t="inlineStr">
        <is>
          <t xml:space="preserve">Región Metropolitana de Santiago</t>
        </is>
      </c>
      <c r="G5" s="0" t="inlineStr">
        <is>
          <t xml:space="preserve">Santiago</t>
        </is>
      </c>
      <c r="H5" s="2">
        <v>46265.660069</v>
      </c>
      <c r="I5" s="2">
        <v>46301.625</v>
      </c>
      <c r="J5" s="0">
        <v>3</v>
      </c>
      <c r="K5" s="3">
        <v>11000.0</v>
      </c>
      <c r="L5" s="0" t="inlineStr">
        <is>
          <t xml:space="preserve">CLF</t>
        </is>
      </c>
      <c r="M5" s="0" t="inlineStr">
        <is>
          <t xml:space="preserve">LR</t>
        </is>
      </c>
      <c r="N5" s="4" t="inlineStr">
        <is>
          <t xml:space="preserve">Tecnologías de la información, telecomunicaciones y radiodifusión / Software / Software de seguridad y protección</t>
        </is>
      </c>
      <c r="O5" s="4" t="inlineStr">
        <is>
          <t xml:space="preserve">1 Global · Software de administración de red privada virtual (VPN) o de seguridad de red</t>
        </is>
      </c>
      <c r="P5" s="2"/>
      <c r="Q5" s="2"/>
      <c r="R5" s="0" t="inlineStr">
        <is>
          <t xml:space="preserve">24 meses</t>
        </is>
      </c>
      <c r="S5" s="0" t="inlineStr">
        <is>
          <t xml:space="preserve">No</t>
        </is>
      </c>
      <c r="T5" s="4" t="inlineStr">
        <is>
          <t xml:space="preserve">Ver bases punto 16</t>
        </is>
      </c>
      <c r="U5" s="0" t="inlineStr">
        <is>
          <t xml:space="preserve">por definir</t>
        </is>
      </c>
      <c r="V5" s="4" t="inlineStr">
        <is>
          <t xml:space="preserve">E1O2RT8 - SERVICIO DE MANTENCIÓN Y MEJORA DEL SISTEMA DE GESTIÓN DE SEGURIDAD DE LA INFORMACIÓN Y CIBERSEGURIDAD INSTITUCIONAL NCH ISOIEC 27001</t>
        </is>
      </c>
      <c r="W5" s="5" t="str">
        <f>HYPERLINK("https://www.mercadopublico.cl/Procurement/Modules/Attachment/ViewAttachment.aspx?enc=ZbCrvwiGYlsd%2fd8zk3DoC7%2bQk47m6Tqk2dituoqsEwyhxJ8G4BWVXLxAOywO3FBxZVbe%2fx%2bpOz%2fju5JhKl%2fhgJn9PA1uPfZ0flesQX29metWKP4KjLkty6Wk0ojXvKiEHO8tPloDxb5bB94k9MMIb5gbf%2fwkU83Ld1SCgXpBQjBnsXty%2b1t0u28GrkvjlJlGanLD4pT0oONMtVYttDwBctuHXtomOQhWgjSSX%2fUDpwx44VODi3HbuKH2iNOjZHFefkYBJoetou9iwXpKr1lZ15bAE9AQtfswDVyxmTDVy4XYCvC3BaKMX%2f5dH7eNka%2bn","descargar bases")</f>
      </c>
    </row>
    <row r="6">
      <c r="A6" s="0" t="inlineStr">
        <is>
          <t xml:space="preserve">875-10-LE26</t>
        </is>
      </c>
      <c r="B6" s="4" t="inlineStr">
        <is>
          <t xml:space="preserve">SERV. DE INFORMACIÓN DE REMUNERACIONES PLATAFORMA</t>
        </is>
      </c>
      <c r="C6" s="0" t="inlineStr">
        <is>
          <t xml:space="preserve">Publicada</t>
        </is>
      </c>
      <c r="D6" s="0" t="inlineStr">
        <is>
          <t xml:space="preserve">AGENCIA DE PROMOCION DE LA INVERSION EXTRANJERA</t>
        </is>
      </c>
      <c r="E6" s="0" t="inlineStr">
        <is>
          <t xml:space="preserve">Agencia de Promoción de la Inversión Extranjera</t>
        </is>
      </c>
      <c r="F6" s="0" t="inlineStr">
        <is>
          <t xml:space="preserve">Región Metropolitana de Santiago</t>
        </is>
      </c>
      <c r="G6" s="0" t="inlineStr">
        <is>
          <t xml:space="preserve">Santiago</t>
        </is>
      </c>
      <c r="H6" s="2">
        <v>46287.665706</v>
      </c>
      <c r="I6" s="2">
        <v>46301.625</v>
      </c>
      <c r="J6" s="0">
        <v>3</v>
      </c>
      <c r="K6" s="3">
        <v>300.0</v>
      </c>
      <c r="L6" s="0" t="inlineStr">
        <is>
          <t xml:space="preserve">CLF</t>
        </is>
      </c>
      <c r="M6" s="0" t="inlineStr">
        <is>
          <t xml:space="preserve">LE</t>
        </is>
      </c>
      <c r="N6" s="4" t="inlineStr">
        <is>
          <t xml:space="preserve">Productos impresos y publicaciones / Medios impresos / Publicaciones impresas</t>
        </is>
      </c>
      <c r="O6" s="4" t="inlineStr">
        <is>
          <t xml:space="preserve">1 Unidad · Publicaciones periódicas</t>
        </is>
      </c>
      <c r="P6" s="2"/>
      <c r="Q6" s="2"/>
      <c r="R6" s="0" t="inlineStr">
        <is>
          <t xml:space="preserve">12 meses</t>
        </is>
      </c>
      <c r="S6" s="0" t="inlineStr">
        <is>
          <t xml:space="preserve">No</t>
        </is>
      </c>
      <c r="T6" s="4"/>
      <c r="U6" s="0" t="inlineStr">
        <is>
          <t xml:space="preserve">Ana Karina Duarte</t>
        </is>
      </c>
      <c r="V6" s="4" t="inlineStr">
        <is>
          <t xml:space="preserve">Servicio de información de remuneraciones y prácticas de compensación mediante plataforma tecnológica para InvestChile, por un período de 12 meses.</t>
        </is>
      </c>
      <c r="W6" s="5" t="str">
        <f>HYPERLINK("https://www.mercadopublico.cl/Procurement/Modules/Attachment/ViewAttachment.aspx?enc=ExrroszF4%2bnvEu8%2fFj1lKCM7jqQiMQWaC0f12ySXxkji6ZW3l52nMQn%2bcY59NkPLhF1KGZ5tVHdlItjCQRuJuQ30CycqkIJktKTKHPxsXa0ZZSW4QQPoEQVOMmCnnYIpEWdzIKLaHWttxJwSLVzmKVkqyrBABbpM4g7PzVd0MJWyA75WeKe9BvFDxHSwEcnG5ibhWckD8ZSuz%2f%2f5%2fokVqPyzKeagxyuloX6atI%2f0tEDMc6ffwB2E4E7Ai2AP8EDGWByYrtLQv32HfKHqy21mqZ6ITwZULo8f2pKzU5MT30FEdtknhAtqIG6RNXXnqtNl","descargar bases")</f>
      </c>
    </row>
    <row r="7">
      <c r="A7" s="0" t="inlineStr">
        <is>
          <t xml:space="preserve">1056854-9-L126</t>
        </is>
      </c>
      <c r="B7" s="4" t="inlineStr">
        <is>
          <t xml:space="preserve">“ADQUISICIÓN DE 20 KITS DE ROBÓTICA EDUCATIVA, SOFTWARE, CAPACITACIÓN Y ACOMPAÑAMIENTO TÉCNICO PARA LA HABILITACIÓN DE LA SALA DE ROBÓTICA DEL HUB PROVIDENCIA”,</t>
        </is>
      </c>
      <c r="C7" s="0" t="inlineStr">
        <is>
          <t xml:space="preserve">Publicada</t>
        </is>
      </c>
      <c r="D7" s="0" t="inlineStr">
        <is>
          <t xml:space="preserve">I MUNICIPALIDAD DE PROVIDENCIA</t>
        </is>
      </c>
      <c r="E7" s="0" t="inlineStr">
        <is>
          <t xml:space="preserve">Dirección de Tecnología </t>
        </is>
      </c>
      <c r="F7" s="0" t="inlineStr">
        <is>
          <t xml:space="preserve">Región Metropolitana de Santiago</t>
        </is>
      </c>
      <c r="G7" s="0" t="inlineStr">
        <is>
          <t xml:space="preserve">Providencia</t>
        </is>
      </c>
      <c r="H7" s="2">
        <v>46289.787847</v>
      </c>
      <c r="I7" s="2">
        <v>46301.625</v>
      </c>
      <c r="J7" s="0">
        <v>3</v>
      </c>
      <c r="K7" s="3">
        <v>5000000.0</v>
      </c>
      <c r="L7" s="0" t="inlineStr">
        <is>
          <t xml:space="preserve">CLP</t>
        </is>
      </c>
      <c r="M7" s="0" t="inlineStr">
        <is>
          <t xml:space="preserve">L1</t>
        </is>
      </c>
      <c r="N7" s="4" t="inlineStr">
        <is>
          <t xml:space="preserve">Instrumentos musicales, juegos, juguetes, artesanías y materiales educativos / Materiales, artículos y suministros didácticos profesionales y para el desarrollo personal / Materiales de enseñanza de tecnología</t>
        </is>
      </c>
      <c r="O7" s="4" t="inlineStr">
        <is>
          <t xml:space="preserve">20 Unidad · Materiales de enseñanza de robótica</t>
        </is>
      </c>
      <c r="P7" s="2"/>
      <c r="Q7" s="2"/>
      <c r="R7" s="0"/>
      <c r="S7" s="0" t="inlineStr">
        <is>
          <t xml:space="preserve">No</t>
        </is>
      </c>
      <c r="T7" s="4"/>
      <c r="U7" s="0"/>
      <c r="V7" s="4" t="inlineStr">
        <is>
          <t xml:space="preserve">El objetivo es disponer de una infraestructura tecnológica pedagógica y reutilizable que permita implementar rutas formativas prácticas y progresivas para niños, niñas, jóvenes y emprendedores de la comuna, orientadas a la programación, la automatización, el pensamiento computacional y la introducción a la Inteligencia Artificial (IA).</t>
        </is>
      </c>
      <c r="W7" s="5" t="str">
        <f>HYPERLINK("https://www.mercadopublico.cl/Procurement/Modules/Attachment/ViewAttachment.aspx?enc=R7xSNEyZpb0%2fUw%2f6Je%2bpcyIOvgk%2fbkCu1YNNCVQIRRzxHyYrJnoJYHMb31p3VEntmdDxXYfD18OFeygfdwKNBX2cS8hbF02x36XMaT9vfywdfoeWmXzw%2bTlgh5y%2fauKhIDu4jWX5%2bXc3Wk4eAZbaW5c%2fbNH6j%2feWVToUaWzDpkpTiSx2ctk2FgA1wFeOm3nQpDIZGZVOr1d%2fepPWIvX1%2bFllTy9Xv8NaGY4GtuPkylYAjXTsGQXJLbzZkiX6%2ff5kTA%2fgLXfoCIWbR55%2frmzo2U8d2n9uhEw1cN23Pe3yXPrvO0Mjvvgfr3%2fZBFFyAXVt","descargar bases")</f>
      </c>
    </row>
    <row r="8">
      <c r="A8" s="0" t="inlineStr">
        <is>
          <t xml:space="preserve">1810-5-L126</t>
        </is>
      </c>
      <c r="B8" s="4" t="inlineStr">
        <is>
          <t xml:space="preserve">SERVICIO DE PLAN DE DATOS PARA ENCUESTA ENE</t>
        </is>
      </c>
      <c r="C8" s="0" t="inlineStr">
        <is>
          <t xml:space="preserve">Publicada</t>
        </is>
      </c>
      <c r="D8" s="0" t="inlineStr">
        <is>
          <t xml:space="preserve">INSTITUTO NACIONAL DE ESTADISTICAS</t>
        </is>
      </c>
      <c r="E8" s="0" t="inlineStr">
        <is>
          <t xml:space="preserve">INE -  X Región</t>
        </is>
      </c>
      <c r="F8" s="0" t="inlineStr">
        <is>
          <t xml:space="preserve">Región de los Lagos </t>
        </is>
      </c>
      <c r="G8" s="0" t="inlineStr">
        <is>
          <t xml:space="preserve">Puerto Montt</t>
        </is>
      </c>
      <c r="H8" s="2">
        <v>46290.628692</v>
      </c>
      <c r="I8" s="2">
        <v>46301.625</v>
      </c>
      <c r="J8" s="0">
        <v>3</v>
      </c>
      <c r="K8" s="3">
        <v>1276800.0</v>
      </c>
      <c r="L8" s="0" t="inlineStr">
        <is>
          <t xml:space="preserve">CLP</t>
        </is>
      </c>
      <c r="M8" s="0" t="inlineStr">
        <is>
          <t xml:space="preserve">L1</t>
        </is>
      </c>
      <c r="N8" s="4" t="inlineStr">
        <is>
          <t xml:space="preserve">Tecnologías de la información, telecomunicaciones y radiodifusión / Software / Software de intercambio de información</t>
        </is>
      </c>
      <c r="O8" s="4" t="inlineStr">
        <is>
          <t xml:space="preserve">19 Unidad · Software de servicios de Internet por móvil</t>
        </is>
      </c>
      <c r="P8" s="2"/>
      <c r="Q8" s="2"/>
      <c r="R8" s="0"/>
      <c r="S8" s="0" t="inlineStr">
        <is>
          <t xml:space="preserve">No</t>
        </is>
      </c>
      <c r="T8" s="4"/>
      <c r="U8" s="0"/>
      <c r="V8" s="4" t="inlineStr">
        <is>
          <t xml:space="preserve">El Instituto Nacional de Estadísticas es un servicio público funcionalmente descentralizado, encargado de generar las estadísticas oficiales del país y de articular el Sistema Estadístico Nacional. En este contexto, se hace necesario contratar un servicio de planes de telefonía y datos móviles por un periodo de 12 meses, que permita asegurar la continuidad operativa del trabajo en terreno.</t>
        </is>
      </c>
      <c r="W8" s="5" t="str">
        <f>HYPERLINK("https://www.mercadopublico.cl/Procurement/Modules/Attachment/ViewAttachment.aspx?enc=sFHmA21WhF0%2bpCihCZOPOIL0BS9BXakR0tVntZX1E9KDkH5uvEWzSWzs4BesQKGacb6is3PK1NMDdk0TAakhxKFpxY7z6r2FhcEC79EXWFZ00xPyTEJ%2fh0pKRpcYtZFcygzfhQjK6TFF2ZJyOWF95osyNRzX4bOUD5OANqFdrvRbkKRWMM2OSUZ70WLWjGx%2bBld2FtPI49KVwET1X1Vz2eEM1bQjdRAVIaJF51nhulXVAXZQiQenPbn6JTP4zHDO6S3V5C35Mgn5RHsONTZsXaY4Qz7IJTXUBkI9BA0TPrszAm6dyIRO0AcQkDBkECOY","descargar bases")</f>
      </c>
    </row>
    <row r="9">
      <c r="A9" s="0" t="inlineStr">
        <is>
          <t xml:space="preserve">1754-51-LE26</t>
        </is>
      </c>
      <c r="B9" s="4" t="inlineStr">
        <is>
          <t xml:space="preserve">EQUIPOS E INSUMOS INFORMATICOS Y CÁMARAS DE SEGURIDAD</t>
        </is>
      </c>
      <c r="C9" s="0" t="inlineStr">
        <is>
          <t xml:space="preserve">Publicada</t>
        </is>
      </c>
      <c r="D9" s="0" t="inlineStr">
        <is>
          <t xml:space="preserve">Departamento de Salud Parral</t>
        </is>
      </c>
      <c r="E9" s="0" t="inlineStr">
        <is>
          <t xml:space="preserve">Departamento de Salud Parral</t>
        </is>
      </c>
      <c r="F9" s="0" t="inlineStr">
        <is>
          <t xml:space="preserve">Región del Maule </t>
        </is>
      </c>
      <c r="G9" s="0" t="inlineStr">
        <is>
          <t xml:space="preserve">Parral</t>
        </is>
      </c>
      <c r="H9" s="2">
        <v>46293.672731</v>
      </c>
      <c r="I9" s="2">
        <v>46301.625694</v>
      </c>
      <c r="J9" s="0">
        <v>3</v>
      </c>
      <c r="K9" s="3">
        <v>28000000.0</v>
      </c>
      <c r="L9" s="0" t="inlineStr">
        <is>
          <t xml:space="preserve">CLP</t>
        </is>
      </c>
      <c r="M9" s="0" t="inlineStr">
        <is>
          <t xml:space="preserve">LE</t>
        </is>
      </c>
      <c r="N9" s="4" t="inlineStr">
        <is>
          <t xml:space="preserve">Equipos y suministros de defensa, orden público, protección y seguridad / Seguridad, vigilancia y detección / Equipo de vigilancia y detección, Herramientas y maquinaria en general / Herramientas manuales / Juegos de herramientas, Maquinaria para generación y distribución de energía / Alambres y cables eléctricos y electrónicos / Cables eléctricos y accesorios, Productos químicos industriales / Colorantes / Compuestos de colores y dispersiones, Tecnologías de la información, telecomunicaciones y radiodifusión / Componentes para tecnología de la información, difusión o telecomunicaciones / Componentes de gabinete, rack o chasis, Tecnologías de la información, telecomunicaciones y radiodifusión / Equipos informáticos y accesorios / Computadores</t>
        </is>
      </c>
      <c r="O9" s="4" t="inlineStr">
        <is>
          <t xml:space="preserve">1 Kit · Kit de herramienta para computadores · 1 Kit · Computadores de escritorio · 1 Kit · Cable de redes · y 3 más</t>
        </is>
      </c>
      <c r="P9" s="2"/>
      <c r="Q9" s="2"/>
      <c r="R9" s="0" t="inlineStr">
        <is>
          <t xml:space="preserve">12 meses</t>
        </is>
      </c>
      <c r="S9" s="0" t="inlineStr">
        <is>
          <t xml:space="preserve">No</t>
        </is>
      </c>
      <c r="T9" s="4"/>
      <c r="U9" s="0" t="inlineStr">
        <is>
          <t xml:space="preserve">MARIO GAJARDO NAVARRETE</t>
        </is>
      </c>
      <c r="V9" s="4" t="inlineStr">
        <is>
          <t xml:space="preserve">El Departamento de Salud de la Ilustre Municipalidad de Parral requiere licitar la adquisición de equipos e insumos informáticos y cámaras de seguridad, conforme a lo detallado en los presentes Términos de Referencia, con el propósito de garantizar el adecuado funcionamiento del Departamento de Salud y de los distintos establecimientos de salud de la comuna. Lo anterior tiene como finalidad asegurar la continuidad y calidad de las prestaciones otorgadas a la comunidad</t>
        </is>
      </c>
      <c r="W9" s="5" t="str">
        <f>HYPERLINK("https://www.mercadopublico.cl/Procurement/Modules/Attachment/ViewAttachment.aspx?enc=McKEdlp9c6gAWGOICJQHWd4mWOlmIxZzATSlFdMZuU7aUWYlwcRGEuAhiWPqSv8eXJhPHowJpSPQwhtiWoU0oHgeDA69i0GGp8kwO1I7oPipSfiBB0ScLQAwDUeAmrT9khLCS53Pegm4sg9lkCUVIyo1x%2baDQ2CFZrPtltfcgXxRX5LJLm1GuCfRSFg2d9gJfahC8C2yyOcgM6DGcQMAHezYAcCmN%2f5uNi4BpAnIKFdaIIZjg7sccD5HU9bVDcBbsULHmfRHyk95clI3SYsyArte3pycchDiAV5DFO5kD7p8U2f7dDOJ1sUTShmP5HO4","descargar bases")</f>
      </c>
    </row>
    <row r="10">
      <c r="A10" s="0" t="inlineStr">
        <is>
          <t xml:space="preserve">425-67-LE26</t>
        </is>
      </c>
      <c r="B10" s="4" t="inlineStr">
        <is>
          <t xml:space="preserve">Software de seguridad extendida y Ciberdefensa</t>
        </is>
      </c>
      <c r="C10" s="0" t="inlineStr">
        <is>
          <t xml:space="preserve">Publicada</t>
        </is>
      </c>
      <c r="D10" s="0" t="inlineStr">
        <is>
          <t xml:space="preserve">CORP ADMINISTRATIVA DEL PODER JUDICIAL</t>
        </is>
      </c>
      <c r="E10" s="0" t="inlineStr">
        <is>
          <t xml:space="preserve">Servicios</t>
        </is>
      </c>
      <c r="F10" s="0" t="inlineStr">
        <is>
          <t xml:space="preserve">Región Metropolitana de Santiago</t>
        </is>
      </c>
      <c r="G10" s="0" t="inlineStr">
        <is>
          <t xml:space="preserve">Santiago Centro</t>
        </is>
      </c>
      <c r="H10" s="2">
        <v>46289.705463</v>
      </c>
      <c r="I10" s="2">
        <v>46301.666667</v>
      </c>
      <c r="J10" s="0">
        <v>3</v>
      </c>
      <c r="K10" s="3"/>
      <c r="L10" s="0" t="inlineStr">
        <is>
          <t xml:space="preserve">USD</t>
        </is>
      </c>
      <c r="M10" s="0" t="inlineStr">
        <is>
          <t xml:space="preserve">LE</t>
        </is>
      </c>
      <c r="N10" s="4" t="inlineStr">
        <is>
          <t xml:space="preserve">Tecnologías de la información, telecomunicaciones y radiodifusión / Software / Software de seguridad y protección</t>
        </is>
      </c>
      <c r="O10" s="4" t="inlineStr">
        <is>
          <t xml:space="preserve">1 Unidad · Software de equipos de red privada virtual (VPN) o de seguridad de red</t>
        </is>
      </c>
      <c r="P10" s="2"/>
      <c r="Q10" s="2"/>
      <c r="R10" s="0" t="inlineStr">
        <is>
          <t xml:space="preserve">12 meses</t>
        </is>
      </c>
      <c r="S10" s="0" t="inlineStr">
        <is>
          <t xml:space="preserve">No</t>
        </is>
      </c>
      <c r="T10" s="4"/>
      <c r="U10" s="0" t="inlineStr">
        <is>
          <t xml:space="preserve">Jorge Quezada</t>
        </is>
      </c>
      <c r="V10" s="4" t="inlineStr">
        <is>
          <t xml:space="preserve">UE(1804) Software de seguridad extendida y protección de cadena de suministros para la Ciberdefensa de Poder Judicial, para ser utilizadas por el Departamento de Informática y Computación del Poder Judicial como herramienta de protección de riesgos cibernéticos “de la marca Poder Judicial”</t>
        </is>
      </c>
      <c r="W10" s="5" t="str">
        <f>HYPERLINK("https://www.mercadopublico.cl/Procurement/Modules/Attachment/ViewAttachment.aspx?enc=p3qCZ7UHAJB7%2fAl0b7BziPUAOYmTqKYy5mlDl9ezw8VJmfbL5McRVutBi5573HvGwOpm7Unz0%2fDYgQ9ghyeIFungHU4jtNAD01o47zyoPSDH%2bO8uU5EouyIZIKR7tSRQLRmsDT3CYXWFqvvsm%2b9n0fCbjpTxOWLsLBeXUbEvrYzJztDtKsyr%2fKwoMHTxsq6yXKotOdk1tiJ3aMdDTc%2fAm6p5xIMCWyxpOu0VXNrMM8ledYjOPuUfczBYRRNdemRRNSgkmfob%2bSoPQyfVD92AWPGBzMZsPNKZCGl3DYhBH8lJbllGLyxBp6q6OiLjtQ6Q","descargar bases")</f>
      </c>
    </row>
    <row r="11">
      <c r="A11" s="0" t="inlineStr">
        <is>
          <t xml:space="preserve">1051173-13-LP26</t>
        </is>
      </c>
      <c r="B11" s="4" t="inlineStr">
        <is>
          <t xml:space="preserve">SERVICIO DE INFRAESTRUCTURA EN LA NUBE</t>
        </is>
      </c>
      <c r="C11" s="0" t="inlineStr">
        <is>
          <t xml:space="preserve">Publicada</t>
        </is>
      </c>
      <c r="D11" s="0" t="inlineStr">
        <is>
          <t xml:space="preserve">MINISTERIO SECRETARIA GENERAL DE LA PRESIDENCIA DE LA REPUBLICA</t>
        </is>
      </c>
      <c r="E11" s="0" t="inlineStr">
        <is>
          <t xml:space="preserve">Ministerio Secretaria General de la Presidencia</t>
        </is>
      </c>
      <c r="F11" s="0" t="inlineStr">
        <is>
          <t xml:space="preserve">Región Metropolitana de Santiago</t>
        </is>
      </c>
      <c r="G11" s="0" t="inlineStr">
        <is>
          <t xml:space="preserve">Santiago</t>
        </is>
      </c>
      <c r="H11" s="2">
        <v>46280.539583</v>
      </c>
      <c r="I11" s="2">
        <v>46301.729167</v>
      </c>
      <c r="J11" s="0">
        <v>3</v>
      </c>
      <c r="K11" s="3"/>
      <c r="L11" s="0" t="inlineStr">
        <is>
          <t xml:space="preserve">CLP</t>
        </is>
      </c>
      <c r="M11" s="0" t="inlineStr">
        <is>
          <t xml:space="preserve">LP</t>
        </is>
      </c>
      <c r="N11" s="4" t="inlineStr">
        <is>
          <t xml:space="preserve">Servicios basados en ingeniería, ciencias sociales y tecnología de la información / Servicios informáticos / Servicios de datos</t>
        </is>
      </c>
      <c r="O11" s="4" t="inlineStr">
        <is>
          <t xml:space="preserve">1 Unidad no definida · Centro de servicios de datos</t>
        </is>
      </c>
      <c r="P11" s="2"/>
      <c r="Q11" s="2"/>
      <c r="R11" s="0" t="inlineStr">
        <is>
          <t xml:space="preserve">14 meses</t>
        </is>
      </c>
      <c r="S11" s="0" t="inlineStr">
        <is>
          <t xml:space="preserve">No</t>
        </is>
      </c>
      <c r="T11" s="4" t="inlineStr">
        <is>
          <t xml:space="preserve">Atendida la naturaleza de la contratación, no se admitirá la subcontratación.</t>
        </is>
      </c>
      <c r="U11" s="0" t="inlineStr">
        <is>
          <t xml:space="preserve">Jorge Romero Vargas</t>
        </is>
      </c>
      <c r="V11" s="4" t="inlineStr">
        <is>
          <t xml:space="preserve">El Ministerio Secretaría General de la Presidencia, en adelante “el Ministerio”, requiere contratar el servicio de infraestructura en la nube, de conformidad con lo señalado en las presentes bases administrativas y a las especificaciones indicadas en las bases técnicas respectivas. 
El Ministerio informa que actualmente el servicio es proporcionado por Microsoft a través de la plataforma Windows Azure, por lo que es necesario licitar esta tecnología o su equivalente, de acuerdo con los requerimientos que demanda el Ministerio para garantizar la continuidad operacional de este.
Por otro lado, el servicio que se requiere contratar deberá ser operado en modalidad de consumo, el que podrá variar dependiendo de los servicios que sean habilitados en la plataforma de Windows Azure o su equivalente tecnológico.</t>
        </is>
      </c>
      <c r="W11" s="5" t="str">
        <f>HYPERLINK("https://www.mercadopublico.cl/Procurement/Modules/Attachment/ViewAttachment.aspx?enc=rElX799eDS1XJa0WexZ1OMSsDbpx5pxDHeAs3%2feWyxoztYL86pUpbacUCP1UBC4eL3JBmtROTOESRocL07CKPKI8kR2HjegFL6ShXU2flCth5sgzXwbIR8zRE%2fFGuaFyiWF3XjHL4231CPMvUKxlGXDxmhF3yYMHpiGgNmGJJI9vHWu61rOQvUa%2bWeBmzrZp012Mg3ZGRPWfxMAxaaxiP6FFt0iYSzXbNsjCBLu%2bYTQePktIsOEtCiIHsY0cXMvhDENy2QcjQx1JWXXE49eGQ6oUUzYwstRW9r8T4VX0Q0oFUqepzXWcRRZOLyY58jdP","descargar bases")</f>
      </c>
    </row>
    <row r="12">
      <c r="A12" s="0" t="inlineStr">
        <is>
          <t xml:space="preserve">4024-29-LE26</t>
        </is>
      </c>
      <c r="B12" s="4" t="inlineStr">
        <is>
          <t xml:space="preserve">Modernización del Gimnasio Municipal Héctor Aqueveque Aránguiz”</t>
        </is>
      </c>
      <c r="C12" s="0" t="inlineStr">
        <is>
          <t xml:space="preserve">Publicada</t>
        </is>
      </c>
      <c r="D12" s="0" t="inlineStr">
        <is>
          <t xml:space="preserve">ILUSTRE MUNICIPALIDAD DE SAN CARLOS</t>
        </is>
      </c>
      <c r="E12" s="0" t="inlineStr">
        <is>
          <t xml:space="preserve">CONTRATACION DE OBRAS, PROYECTOS Y CONCESIONES </t>
        </is>
      </c>
      <c r="F12" s="0" t="inlineStr">
        <is>
          <t xml:space="preserve">Región del Ñuble</t>
        </is>
      </c>
      <c r="G12" s="0" t="inlineStr">
        <is>
          <t xml:space="preserve">San Carlos</t>
        </is>
      </c>
      <c r="H12" s="2">
        <v>46279.717176</v>
      </c>
      <c r="I12" s="2">
        <v>46301.83125</v>
      </c>
      <c r="J12" s="0">
        <v>3</v>
      </c>
      <c r="K12" s="3">
        <v>35706840.0</v>
      </c>
      <c r="L12" s="0" t="inlineStr">
        <is>
          <t xml:space="preserve">CLP</t>
        </is>
      </c>
      <c r="M12" s="0" t="inlineStr">
        <is>
          <t xml:space="preserve">LE</t>
        </is>
      </c>
      <c r="N12" s="4" t="inlineStr">
        <is>
          <t xml:space="preserve">Artículos para estructuras, obras y construcciones / Pavimento para carreteras y caminos / Asfaltos</t>
        </is>
      </c>
      <c r="O12" s="4" t="inlineStr">
        <is>
          <t xml:space="preserve">1 Unidad · Asfalto</t>
        </is>
      </c>
      <c r="P12" s="2"/>
      <c r="Q12" s="2"/>
      <c r="R12" s="0" t="inlineStr">
        <is>
          <t xml:space="preserve">70 días</t>
        </is>
      </c>
      <c r="S12" s="0" t="inlineStr">
        <is>
          <t xml:space="preserve">No</t>
        </is>
      </c>
      <c r="T12" s="4"/>
      <c r="U12" s="0" t="inlineStr">
        <is>
          <t xml:space="preserve">FRANCISCO CONTRERAS SALINAS</t>
        </is>
      </c>
      <c r="V12" s="4" t="inlineStr">
        <is>
          <t xml:space="preserve">El presente proyecto contempla la modernización integral de un recinto deportivo mediante la incorporación de
equipamiento e infraestructura de alto estándar, con el propósito de habilitar un espacio multifuncional, moderno y
eficiente, apto para la práctica de diversas disciplinas deportivas, actividades recreativas y la realización de eventos
comunitarios e institucionales.</t>
        </is>
      </c>
      <c r="W12" s="5" t="str">
        <f>HYPERLINK("https://www.mercadopublico.cl/Procurement/Modules/Attachment/ViewAttachment.aspx?enc=WnNjKU03JFYe%2b%2f0SAFV4hGDxvZsHCHqV4gXj057wfZE%2fDm96dAl%2fJLtcQhsznzm5nFAggMw%2bVdgBZGSMbr8QZzMqnnNQO%2fvcGNV8ANucHhMUYBknsNX1x0eSv0YVjxe3VXvcwQdhP8RjcnJDUC40%2f%2b%2b%2bIDzzTtZRw5gdMLcu348mBJysC%2bIzycJxvVLGzZrVSKQM6BWx1sUJM336PRygxWCI%2f%2fXVKAsbvh3H6uG7y%2bSwLRQLSdiOpJzcl3ZQrVXnff9XkNejoXB8cdd6%2ftPGcI3hLNLXnJUWMLEV%2bc2flLbMBOmVJUYxwV8iu5Z5B21g","descargar bases")</f>
      </c>
    </row>
    <row r="13">
      <c r="A13" s="0" t="inlineStr">
        <is>
          <t xml:space="preserve">2378-116-L126</t>
        </is>
      </c>
      <c r="B13" s="4" t="inlineStr">
        <is>
          <t xml:space="preserve">ADQUISICIÓN DE OTROS SOFTWARES MUN DE LA  FLORIDA</t>
        </is>
      </c>
      <c r="C13" s="0" t="inlineStr">
        <is>
          <t xml:space="preserve">Publicada</t>
        </is>
      </c>
      <c r="D13" s="0" t="inlineStr">
        <is>
          <t xml:space="preserve">I MUNICIPALIDAD DE LA FLORIDA</t>
        </is>
      </c>
      <c r="E13" s="0" t="inlineStr">
        <is>
          <t xml:space="preserve">SECRETARIA DE PLANIFICACION</t>
        </is>
      </c>
      <c r="F13" s="0" t="inlineStr">
        <is>
          <t xml:space="preserve">Región Metropolitana de Santiago</t>
        </is>
      </c>
      <c r="G13" s="0" t="inlineStr">
        <is>
          <t xml:space="preserve">La Florida</t>
        </is>
      </c>
      <c r="H13" s="2">
        <v>46295.481539</v>
      </c>
      <c r="I13" s="2">
        <v>46302.5</v>
      </c>
      <c r="J13" s="0">
        <v>4</v>
      </c>
      <c r="K13" s="3">
        <v>1820000.0</v>
      </c>
      <c r="L13" s="0" t="inlineStr">
        <is>
          <t xml:space="preserve">CLP</t>
        </is>
      </c>
      <c r="M13" s="0" t="inlineStr">
        <is>
          <t xml:space="preserve">L1</t>
        </is>
      </c>
      <c r="N13" s="4" t="inlineStr">
        <is>
          <t xml:space="preserve">Tecnologías de la información, telecomunicaciones y radiodifusión / Software / Software de gestión</t>
        </is>
      </c>
      <c r="O13" s="4" t="inlineStr">
        <is>
          <t xml:space="preserve">1 Global · Software de gestión de licencias · 1 Global · Software de gestión de licencias · 1 Global · Software de gestión de licencias</t>
        </is>
      </c>
      <c r="P13" s="2"/>
      <c r="Q13" s="2"/>
      <c r="R13" s="0" t="inlineStr">
        <is>
          <t xml:space="preserve">45 días</t>
        </is>
      </c>
      <c r="S13" s="0" t="inlineStr">
        <is>
          <t xml:space="preserve">No</t>
        </is>
      </c>
      <c r="T13" s="4"/>
      <c r="U13" s="0" t="inlineStr">
        <is>
          <t xml:space="preserve">CRISTIAN VALENZUELA VERGARA</t>
        </is>
      </c>
      <c r="V13" s="4" t="inlineStr">
        <is>
          <t xml:space="preserve">Dicha propuesta tiene por objeto la contratación de la suscripción de licencias de software destinadas al apoyo a la operación institucional, destinadas a fortalecer los procesos internos de la Municipalidad de La Florida, mejorando la productividad de los equipos de trabajo mediante la incorporación de herramientas de software especializadas que apoyen la operación institucional, optimicen los procesos de las distintas unidades municipales y contribuyan a una gestión más eficiente, segura y continua de los servicios tecnológicos.</t>
        </is>
      </c>
      <c r="W13" s="5" t="str">
        <f>HYPERLINK("https://www.mercadopublico.cl/Procurement/Modules/Attachment/ViewAttachment.aspx?enc=e6HupSStZg6iEtoDwkBdHbRpgK90WXv5BgsoEAclpsFbwwSGMttqkio5Z6eUhGX9CSQD4kjl1l%2byM3NJ6JcWz8eTQANrlCdm1IWI9RN%2fYwrZW7xKrQ9WXgUakzhUVoq%2frS%2bSqynqFYUorQwU%2bGPjtlTeqZfIBihLXqL3hJkta%2bQhIRcBiDx%2bVZSg6e2dJobbCQl8xkgee4zWNotW3Gq9vkjpdhuDmk9I1TQtNGxGbqb%2f9bXT7wYGNqWL2uBsMAbIwWT7kbinLsIAUrH%2bpj1AutlzC%2by2tHZr7q1qbYNjSCwHe8XCpmdp9d9wW4pbFmAW","descargar bases")</f>
      </c>
    </row>
    <row r="14">
      <c r="A14" s="0" t="inlineStr">
        <is>
          <t xml:space="preserve">1002-84-LP26</t>
        </is>
      </c>
      <c r="B14" s="4" t="inlineStr">
        <is>
          <t xml:space="preserve">ADQUISICION DE TABLERO DE MADERA PRESERVADA CON HERRAJE</t>
        </is>
      </c>
      <c r="C14" s="0" t="inlineStr">
        <is>
          <t xml:space="preserve">Publicada</t>
        </is>
      </c>
      <c r="D14" s="0" t="inlineStr">
        <is>
          <t xml:space="preserve">MINISTERIO DE OBRAS PUBLICAS DIREC CION GRAL DE OO PP DCYF</t>
        </is>
      </c>
      <c r="E14" s="0" t="inlineStr">
        <is>
          <t xml:space="preserve">Dirección de Vialidad - X Región - Dirección Regional</t>
        </is>
      </c>
      <c r="F14" s="0" t="inlineStr">
        <is>
          <t xml:space="preserve">Región de los Lagos </t>
        </is>
      </c>
      <c r="G14" s="0" t="inlineStr">
        <is>
          <t xml:space="preserve">Puerto Montt</t>
        </is>
      </c>
      <c r="H14" s="2">
        <v>46287.611759</v>
      </c>
      <c r="I14" s="2">
        <v>46303.583333</v>
      </c>
      <c r="J14" s="0">
        <v>5</v>
      </c>
      <c r="K14" s="3"/>
      <c r="L14" s="0" t="inlineStr">
        <is>
          <t xml:space="preserve">CLP</t>
        </is>
      </c>
      <c r="M14" s="0" t="inlineStr">
        <is>
          <t xml:space="preserve">LP</t>
        </is>
      </c>
      <c r="N14" s="4" t="inlineStr">
        <is>
          <t xml:space="preserve">Artículos para estructuras, obras y construcciones / Materiales estructurales básicos / Productos estructurales</t>
        </is>
      </c>
      <c r="O14" s="4" t="inlineStr">
        <is>
          <t xml:space="preserve">1 Unidad · Vigas de madera</t>
        </is>
      </c>
      <c r="P14" s="2"/>
      <c r="Q14" s="2"/>
      <c r="R14" s="0"/>
      <c r="S14" s="0" t="inlineStr">
        <is>
          <t xml:space="preserve">No</t>
        </is>
      </c>
      <c r="T14" s="4" t="inlineStr">
        <is>
          <t xml:space="preserve">La Empresa adjudicada no puede traspasar a Terceros la responsabilidad del suministro de los productos ofertados.</t>
        </is>
      </c>
      <c r="U14" s="0" t="inlineStr">
        <is>
          <t xml:space="preserve">FERNANDA NUÑEZ JORQUERA</t>
        </is>
      </c>
      <c r="V14" s="4" t="inlineStr">
        <is>
          <t xml:space="preserve">Destinado a la reposición del tablero del puente Maicolpue, ubicado en el Sector Maicolpue, comuna de San Juan de la Costa, provincia de Osorno</t>
        </is>
      </c>
      <c r="W14" s="5" t="str">
        <f>HYPERLINK("https://www.mercadopublico.cl/Procurement/Modules/Attachment/ViewAttachment.aspx?enc=Hm370HO6Sr%2bpMA%2bhPaKiCYM77dQHnp0FCh8TlFkiS4NSBCb0s5sWcLDANOI3ric4eWgvfXXtgb8P3z7JxgGdCNE0n0G6BDzECQ1UeLzkjOzgYNe89JGwut0u22i%2fKuOEhB0nNWFqOV%2fHlc5oVRLf%2fREhy7Xuutb8eCXofMVH%2b7w55dFc%2f8KRhpw5g9VdUdDEycoivZ8oySUIRJ0BGd%2f6%2fDLrSjH4IgiLwBmphIRJ7HMmcTEtqjvsR%2f2kRb2LCNoLrzsdjB31sKPKqlMGFouGnwnCZCOFrNdkmeXNA6jRT8tQuiVE6%2fCMqbfRK%2fc0zeFQ","descargar bases")</f>
      </c>
    </row>
    <row r="15">
      <c r="A15" s="0" t="inlineStr">
        <is>
          <t xml:space="preserve">2410-119-L126</t>
        </is>
      </c>
      <c r="B15" s="4" t="inlineStr">
        <is>
          <t xml:space="preserve">ADQUISICION DE TERMOMETRO HIGROMETRO DIGITAL</t>
        </is>
      </c>
      <c r="C15" s="0" t="inlineStr">
        <is>
          <t xml:space="preserve">Publicada</t>
        </is>
      </c>
      <c r="D15" s="0" t="inlineStr">
        <is>
          <t xml:space="preserve">I MUNICIPALIDAD DE LOS ANGELES</t>
        </is>
      </c>
      <c r="E15" s="0" t="inlineStr">
        <is>
          <t xml:space="preserve">MUNICIPALIDAD DE LOS ANGELES - SALUD</t>
        </is>
      </c>
      <c r="F15" s="0" t="inlineStr">
        <is>
          <t xml:space="preserve">Región del Biobío </t>
        </is>
      </c>
      <c r="G15" s="0" t="inlineStr">
        <is>
          <t xml:space="preserve">Los Angeles</t>
        </is>
      </c>
      <c r="H15" s="2">
        <v>46293.716898</v>
      </c>
      <c r="I15" s="2">
        <v>46303.625</v>
      </c>
      <c r="J15" s="0">
        <v>5</v>
      </c>
      <c r="K15" s="3">
        <v>1520000.0</v>
      </c>
      <c r="L15" s="0" t="inlineStr">
        <is>
          <t xml:space="preserve">CLP</t>
        </is>
      </c>
      <c r="M15" s="0" t="inlineStr">
        <is>
          <t xml:space="preserve">L1</t>
        </is>
      </c>
      <c r="N15" s="4" t="inlineStr">
        <is>
          <t xml:space="preserve">Equipamiento para laboratorios / Instrumentos de medida y experimentación / Instrumentos de medición de humedad</t>
        </is>
      </c>
      <c r="O15" s="4" t="inlineStr">
        <is>
          <t xml:space="preserve">76 Unidad · Higrómetros</t>
        </is>
      </c>
      <c r="P15" s="2"/>
      <c r="Q15" s="2"/>
      <c r="R15" s="0"/>
      <c r="S15" s="0" t="inlineStr">
        <is>
          <t xml:space="preserve">No</t>
        </is>
      </c>
      <c r="T15" s="4"/>
      <c r="U15" s="0"/>
      <c r="V15" s="4" t="inlineStr">
        <is>
          <t xml:space="preserve">Se requiere adquirir termómetro higrómetro digital para el monitoreo y medición de temperatura y humedad, en areas clínicas, bodegas de insumos clínicos, unidad de farmacia y vacunatorio de los 7 CESFAM de la comuna de Los Angeles.</t>
        </is>
      </c>
      <c r="W15" s="5" t="str">
        <f>HYPERLINK("https://www.mercadopublico.cl/Procurement/Modules/Attachment/ViewAttachment.aspx?enc=MprYV0PBCo%2b4R25bDoYcFjweoqJeucCWmadB38jRFcRExi%2bVfTRmTmdeu%2bHWQ%2bCL2iSCc%2fkMILxfnHR4TmudJCpek7jNLIA0X1hojooNkXTuNHoGXv8yCOqoHgylrLmUgDT1uKhmTn0tHidlxw%2f5%2frKNpe6zMMf55EoCH1%2b3At4EQ3CCdkHsN%2fzg9wUkDQOSkQqae%2fNO0R7%2fu2K99OyywDCYwPYOXXR%2fO7isM40x7fxEKhZ%2bkqGtgvVulGDqfJJ%2fa8hsfqtTEBL%2fajxRxUQeWtBsUdrnDdg74qOD6Kf3mKKgyJkSjgGdC%2bdYpoXTZwA2","descargar bases")</f>
      </c>
    </row>
    <row r="16">
      <c r="A16" s="0" t="inlineStr">
        <is>
          <t xml:space="preserve">2563-34-LR26</t>
        </is>
      </c>
      <c r="B16" s="4" t="inlineStr">
        <is>
          <t xml:space="preserve">EQUIPOS PARA REDES INFORMÁTICAS Y LICENCIAS</t>
        </is>
      </c>
      <c r="C16" s="0" t="inlineStr">
        <is>
          <t xml:space="preserve">Publicada</t>
        </is>
      </c>
      <c r="D16" s="0" t="inlineStr">
        <is>
          <t xml:space="preserve">DIRECCION GENERAL DE AERONAUTICA CIVIL</t>
        </is>
      </c>
      <c r="E16" s="0" t="inlineStr">
        <is>
          <t xml:space="preserve">UNIDAD DE COMPRA CONTRATOS NACIONALES</t>
        </is>
      </c>
      <c r="F16" s="0" t="inlineStr">
        <is>
          <t xml:space="preserve">Región Metropolitana de Santiago</t>
        </is>
      </c>
      <c r="G16" s="0" t="inlineStr">
        <is>
          <t xml:space="preserve">Providencia</t>
        </is>
      </c>
      <c r="H16" s="2">
        <v>46254.63125</v>
      </c>
      <c r="I16" s="2">
        <v>46303.625</v>
      </c>
      <c r="J16" s="0">
        <v>5</v>
      </c>
      <c r="K16" s="3">
        <v>453590167.0</v>
      </c>
      <c r="L16" s="0" t="inlineStr">
        <is>
          <t xml:space="preserve">CLP</t>
        </is>
      </c>
      <c r="M16" s="0" t="inlineStr">
        <is>
          <t xml:space="preserve">LR</t>
        </is>
      </c>
      <c r="N16" s="4" t="inlineStr">
        <is>
          <t xml:space="preserve">Tecnologías de la información, telecomunicaciones y radiodifusión / Equipos informáticos y accesorios / Accesorios de computador</t>
        </is>
      </c>
      <c r="O16" s="4" t="inlineStr">
        <is>
          <t xml:space="preserve">10 Unidad · Cajas de conmutación de computadores · 11 Unidad · Cajas de conmutación de computadores · 1 Unidad · Cajas de conmutación de computadores · y 14 más</t>
        </is>
      </c>
      <c r="P16" s="2"/>
      <c r="Q16" s="2"/>
      <c r="R16" s="0"/>
      <c r="S16" s="0" t="inlineStr">
        <is>
          <t xml:space="preserve">No</t>
        </is>
      </c>
      <c r="T16" s="4"/>
      <c r="U16" s="0" t="inlineStr">
        <is>
          <t xml:space="preserve">Javier Pacheco Barahona</t>
        </is>
      </c>
      <c r="V16"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16" s="5" t="str">
        <f>HYPERLINK("https://www.mercadopublico.cl/Procurement/Modules/Attachment/ViewAttachment.aspx?enc=a7KqwFcd%2fssVqyiuIO07PUBi4WLhlP8SlW2rKyZGzqKnaHRO6yCEOEqpHKE5qtZEdFAfNYcoBnMzqTekJf9zs%2fgRW9bGU%2fqLGz8rkiW2sDV5Gr0mdg%2btkoHrASETnuF%2bJE6vHjN1062y1lkpF6s9f2Sa5kaAuuKI7JINoPJ%2fSvj0SRwOZcPnbK7hs89EhKzAS6mk5WCpPftGQ4jYUc%2f3jdSHI2uZZhOg1IwdMoGMipZu03Flm%2bB54ujx3hqMcQp7wDONYRgS5MMxv1KvptBOv%2fyj4I%2fDWyvIQ9cNyvSuQ13VaSljcscHm2KCUl2JH3GN","descargar bases")</f>
      </c>
    </row>
    <row r="17">
      <c r="A17" s="0" t="inlineStr">
        <is>
          <t xml:space="preserve">2658-328-L126</t>
        </is>
      </c>
      <c r="B17" s="4" t="inlineStr">
        <is>
          <t xml:space="preserve">SUSCRIPCION ANUAL PLATAFORMA INTELIGENCIUA ARTIFICIAL</t>
        </is>
      </c>
      <c r="C17" s="0" t="inlineStr">
        <is>
          <t xml:space="preserve">Publicada</t>
        </is>
      </c>
      <c r="D17" s="0" t="inlineStr">
        <is>
          <t xml:space="preserve">I MUNICIPALIDAD DE ANCUD</t>
        </is>
      </c>
      <c r="E17" s="0" t="inlineStr">
        <is>
          <t xml:space="preserve">Municipalidad de Ancud</t>
        </is>
      </c>
      <c r="F17" s="0" t="inlineStr">
        <is>
          <t xml:space="preserve">Región Metropolitana de Santiago</t>
        </is>
      </c>
      <c r="G17" s="0" t="inlineStr">
        <is>
          <t xml:space="preserve">Las Condes</t>
        </is>
      </c>
      <c r="H17" s="2">
        <v>46295.444931</v>
      </c>
      <c r="I17" s="2">
        <v>46303.625</v>
      </c>
      <c r="J17" s="0">
        <v>5</v>
      </c>
      <c r="K17" s="3"/>
      <c r="L17" s="0" t="inlineStr">
        <is>
          <t xml:space="preserve">CLP</t>
        </is>
      </c>
      <c r="M17" s="0" t="inlineStr">
        <is>
          <t xml:space="preserve">L1</t>
        </is>
      </c>
      <c r="N17" s="4" t="inlineStr">
        <is>
          <t xml:space="preserve">Productos impresos y publicaciones / Medios impresos / Publicaciones impresas</t>
        </is>
      </c>
      <c r="O17" s="4" t="inlineStr">
        <is>
          <t xml:space="preserve">5 Unidad · Publicaciones periódicas</t>
        </is>
      </c>
      <c r="P17" s="2"/>
      <c r="Q17" s="2"/>
      <c r="R17" s="0"/>
      <c r="S17" s="0" t="inlineStr">
        <is>
          <t xml:space="preserve">No</t>
        </is>
      </c>
      <c r="T17" s="4"/>
      <c r="U17" s="0"/>
      <c r="V17" s="4" t="inlineStr">
        <is>
          <t xml:space="preserve">donde se solicita la Suscripción anual a Plataforma de Inteligencia Artificial avanzada, lo que se utilizará como herramienta de apoyo para la optimización de labores técnicas y administrativas, dependiente de la Dirección de Obras de la I. Municipalidad de Ancud.</t>
        </is>
      </c>
      <c r="W17" s="5" t="str">
        <f>HYPERLINK("https://www.mercadopublico.cl/Procurement/Modules/Attachment/ViewAttachment.aspx?enc=9XGOaL2PCeN2cJFwIrPnhiHlwA3LObiZvSsmCHFyunz5LgcS3ByG4zkOYHBKQ8L%2f1po6ucvbcs1ip2Eb%2bHNIv%2fPU8V2WrCypzI%2fZn%2feVi%2ffoVr3fdLOvCM%2fAboXdQ%2fTQxPiK7LfBm2IK0bBrc66ssy62IGp8J6T0i3UrQEbB0jGQg27wxI1CiVLqqO07xwIjemuD0l0N4lRXwGO26tGS1AJ2nm6V5VkgMr1BPyps9hQbLlTq9l%2fsBzbam4Zktriry%2bkyzy5tnoohxEuSs9UKjZvxOJaYfYkwl8MDO9AoOQDO1FB1qAuceeO8N0ai%2fEy%2f","descargar bases")</f>
      </c>
    </row>
    <row r="18">
      <c r="A18" s="0" t="inlineStr">
        <is>
          <t xml:space="preserve">5394-22-LE26</t>
        </is>
      </c>
      <c r="B18" s="4" t="inlineStr">
        <is>
          <t xml:space="preserve">SERVICIO DE CONSULTORÍA DE CIBERSEGURIDAD UMAG</t>
        </is>
      </c>
      <c r="C18" s="0" t="inlineStr">
        <is>
          <t xml:space="preserve">Publicada</t>
        </is>
      </c>
      <c r="D18" s="0" t="inlineStr">
        <is>
          <t xml:space="preserve">UNIVERSIDAD DE MAGALLANES</t>
        </is>
      </c>
      <c r="E18" s="0" t="inlineStr">
        <is>
          <t xml:space="preserve">PROYECTOS CON TERCEROS (D/583)</t>
        </is>
      </c>
      <c r="F18" s="0" t="inlineStr">
        <is>
          <t xml:space="preserve">Región de Magallanes y de la Antártica</t>
        </is>
      </c>
      <c r="G18" s="0" t="inlineStr">
        <is>
          <t xml:space="preserve">Punta Arenas</t>
        </is>
      </c>
      <c r="H18" s="2">
        <v>46274.672222</v>
      </c>
      <c r="I18" s="2">
        <v>46303.625</v>
      </c>
      <c r="J18" s="0">
        <v>5</v>
      </c>
      <c r="K18" s="3">
        <v>20000000.0</v>
      </c>
      <c r="L18" s="0" t="inlineStr">
        <is>
          <t xml:space="preserve">CLP</t>
        </is>
      </c>
      <c r="M18" s="0" t="inlineStr">
        <is>
          <t xml:space="preserve">LE</t>
        </is>
      </c>
      <c r="N18" s="4" t="inlineStr">
        <is>
          <t xml:space="preserve">Servicios profesionales, administrativos y consultorías de gestión empresarial / Consultorías o asesorías en gestión empresarial / Servicios de consultoría en gestión de empresas</t>
        </is>
      </c>
      <c r="O18" s="4" t="inlineStr">
        <is>
          <t xml:space="preserve">1 Global · Asesorías Informáticas</t>
        </is>
      </c>
      <c r="P18" s="2"/>
      <c r="Q18" s="2"/>
      <c r="R18" s="0" t="inlineStr">
        <is>
          <t xml:space="preserve">12 semanas</t>
        </is>
      </c>
      <c r="S18" s="0" t="inlineStr">
        <is>
          <t xml:space="preserve">No</t>
        </is>
      </c>
      <c r="T18" s="4" t="inlineStr">
        <is>
          <t xml:space="preserve">9. SUBCONTRATACION
Por la naturaleza de los servicios, no se permite la subcontratación en la presente licitación.</t>
        </is>
      </c>
      <c r="U18" s="0" t="inlineStr">
        <is>
          <t xml:space="preserve">UNIDAD ABASTECIMIENTO</t>
        </is>
      </c>
      <c r="V18" s="4" t="inlineStr">
        <is>
          <t xml:space="preserve">La presente contratación de Servicios de Consultoría para la realización de un Diagnóstico del estado de Ciberseguridad Institucional, la cual se enmarca en la ejecución del Convenio de Desempeño Fortalecimiento de la Gestión Administrativa Institucional: Desarrollo de Capacidades Institucionales para una Gestión Orientada a la Calidad, Código MAG24992.</t>
        </is>
      </c>
      <c r="W18" s="5" t="str">
        <f>HYPERLINK("https://www.mercadopublico.cl/Procurement/Modules/Attachment/ViewAttachment.aspx?enc=LuL2n2KdeaiOIEIi%2beR6n7ejY99Dg8XgtDI9DW6lWvmpRIVKTxexLLxlk8jG%2fCLMGElR%2bHu%2byb%2fMPhTqF%2beDbBX0vUow%2ftbbPncdNLNEoD8SsqvOMYI7ycz%2bFxg%2bBHKit%2bTnYPxSlXbV86k5x1RAMpS5MdRq5g3QHu2jTpeNV6%2bRXz7RU%2fiHJq%2b%2fIx4RToQnMwhGU0peo1LqcIyoWCSzf8dW54JA%2f2lv8SAFooMSo6lOHqaJiR5lIFJ5iDUNEqSCnD9a87%2f4NubVLiyzR2MqFlWsVKhe44XZkqFumcdAb7DN2G%2ftPgj7NadmjEAKUnXd","descargar bases")</f>
      </c>
    </row>
    <row r="19">
      <c r="A19" s="0" t="inlineStr">
        <is>
          <t xml:space="preserve">1605-36-LR26</t>
        </is>
      </c>
      <c r="B19" s="4" t="inlineStr">
        <is>
          <t xml:space="preserve">LR-4252 Servicio de Red Datos WAN</t>
        </is>
      </c>
      <c r="C19" s="0" t="inlineStr">
        <is>
          <t xml:space="preserve">Publicada</t>
        </is>
      </c>
      <c r="D19" s="0" t="inlineStr">
        <is>
          <t xml:space="preserve">SERVICIO DE IMPUESTOS INTERNOS DIRECCION</t>
        </is>
      </c>
      <c r="E19" s="0" t="inlineStr">
        <is>
          <t xml:space="preserve">SII Dirección Nacional</t>
        </is>
      </c>
      <c r="F19" s="0" t="inlineStr">
        <is>
          <t xml:space="preserve">Región Metropolitana de Santiago</t>
        </is>
      </c>
      <c r="G19" s="0" t="inlineStr">
        <is>
          <t xml:space="preserve">Santiago</t>
        </is>
      </c>
      <c r="H19" s="2">
        <v>46195.661111</v>
      </c>
      <c r="I19" s="2">
        <v>46303.666667</v>
      </c>
      <c r="J19" s="0">
        <v>5</v>
      </c>
      <c r="K19" s="3">
        <v>232851.0</v>
      </c>
      <c r="L19" s="0" t="inlineStr">
        <is>
          <t xml:space="preserve">CLF</t>
        </is>
      </c>
      <c r="M19" s="0" t="inlineStr">
        <is>
          <t xml:space="preserve">LR</t>
        </is>
      </c>
      <c r="N19" s="4" t="inlineStr">
        <is>
          <t xml:space="preserve">Servicios basados en ingeniería, ciencias sociales y tecnología de la información / Servicios informáticos / Servicios para internet</t>
        </is>
      </c>
      <c r="O19" s="4" t="inlineStr">
        <is>
          <t xml:space="preserve">72 Mes · Proveedores de servicio de Internet (ISP) · 72 Mes · Proveedores de servicio de Internet (ISP)</t>
        </is>
      </c>
      <c r="P19" s="2"/>
      <c r="Q19" s="2"/>
      <c r="R19" s="0" t="inlineStr">
        <is>
          <t xml:space="preserve">72 meses</t>
        </is>
      </c>
      <c r="S19" s="0" t="inlineStr">
        <is>
          <t xml:space="preserve">No</t>
        </is>
      </c>
      <c r="T19" s="4"/>
      <c r="U19" s="0" t="inlineStr">
        <is>
          <t xml:space="preserve">Luis Venegas</t>
        </is>
      </c>
      <c r="V19"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19" s="5" t="str">
        <f>HYPERLINK("https://www.mercadopublico.cl/Procurement/Modules/Attachment/ViewAttachment.aspx?enc=Ro3FcIEnSwUngTMloX81XQ0Fh2lLX2%2fdNPHjv4%2bP51FhQDZl3fJFAy7g1Y6bdgHaf51lSfDZb8GOvLU8vA6wzGBD%2f%2fAWJC6WzvFJWKg1xe9LZxKLTPtund82mMh7j5wUet4SDd5miVaNtLhk0VzrME65CuPptdT0mA05K%2fzlwsM%2fhz%2brNrUfiVf9HRV86x4s6%2f51onGQyPn4bxfI8p9GTRDEgXakLFdxAfnnFhuiNI2IqzMTFslYz9JzORaTO4RkWDRu3WuMBV4cRizSQOtHOA0hEIS5wInnXTD7BYVJ%2b%2bq8szRVWuccgltBX2mo8OMr","descargar bases")</f>
      </c>
    </row>
    <row r="20">
      <c r="A20" s="0" t="inlineStr">
        <is>
          <t xml:space="preserve">696217-2-LP26</t>
        </is>
      </c>
      <c r="B20" s="4" t="inlineStr">
        <is>
          <t xml:space="preserve">Servicio de Digitalizacion de Carpetas</t>
        </is>
      </c>
      <c r="C20" s="0" t="inlineStr">
        <is>
          <t xml:space="preserve">Publicada</t>
        </is>
      </c>
      <c r="D20" s="0" t="inlineStr">
        <is>
          <t xml:space="preserve">MINISTERIO PUBLICO</t>
        </is>
      </c>
      <c r="E20" s="0" t="inlineStr">
        <is>
          <t xml:space="preserve">FR TARAPACA</t>
        </is>
      </c>
      <c r="F20" s="0" t="inlineStr">
        <is>
          <t xml:space="preserve">Región de Tarapacá  </t>
        </is>
      </c>
      <c r="G20" s="0" t="inlineStr">
        <is>
          <t xml:space="preserve">Pozo Almonte</t>
        </is>
      </c>
      <c r="H20" s="2">
        <v>46288.745833</v>
      </c>
      <c r="I20" s="2">
        <v>46303.666667</v>
      </c>
      <c r="J20" s="0">
        <v>5</v>
      </c>
      <c r="K20" s="3">
        <v>150000000.0</v>
      </c>
      <c r="L20" s="0" t="inlineStr">
        <is>
          <t xml:space="preserve">CLP</t>
        </is>
      </c>
      <c r="M20" s="0" t="inlineStr">
        <is>
          <t xml:space="preserve">LP</t>
        </is>
      </c>
      <c r="N20" s="4" t="inlineStr">
        <is>
          <t xml:space="preserve">Servicios basados en ingeniería, ciencias sociales y tecnología de la información / Servicios informáticos / Servicios de datos</t>
        </is>
      </c>
      <c r="O20" s="4" t="inlineStr">
        <is>
          <t xml:space="preserve">1 Unidad · Servicios de digitalización de documentos</t>
        </is>
      </c>
      <c r="P20" s="2"/>
      <c r="Q20" s="2"/>
      <c r="R20" s="0"/>
      <c r="S20" s="0" t="inlineStr">
        <is>
          <t xml:space="preserve">No</t>
        </is>
      </c>
      <c r="T20" s="4" t="inlineStr">
        <is>
          <t xml:space="preserve">Los derechos y obligaciones que nacen con ocasión del desarrollo de esta licitación serán intransferibles.
El adjudicatario no podrá subcontratar la digitalización, carga, respaldo, custodia ni destrucción de la documentación. Podrá contratar servicios</t>
        </is>
      </c>
      <c r="U20" s="0" t="inlineStr">
        <is>
          <t xml:space="preserve">Cristian Olmedo Gamboa</t>
        </is>
      </c>
      <c r="V20" s="4" t="inlineStr">
        <is>
          <t xml:space="preserve">El MINISTERIO PÚBLICO necesita contratar el servicio de digitalización y destrucción documental para la fiscalía regional de Tarapacá, mediante un único contrato, desde la suscripción del acta de inicio y hasta el 15 de diciembre de 2026, con el objeto de digitalizar, cargar, respaldar y disponer de manera segura la documentación institucional descrita en las Bases Técnicas.
Los servicios deberán prestarse de acuerdo con las especificaciones y términos señalados en las Bases Técnicas, detalladas en el apartado II de estas Bases, para lo cual las empresas participantes deberán presentar propuestas que se ajusten íntegramente a ellas y a las presentes Bases Administrativas.
La presente licitación comprende un único ítem, que será evaluado y adjudicado a un solo oferente o declarado desierto. Para efectos de cotización, evaluación, control y pago, el ítem contiene dos componentes económicos independientes: páginas digitalizadas, cargadas y validadas; y páginas físicas destruidas de manera irreversible, certificadas y recibidas conforme.</t>
        </is>
      </c>
      <c r="W20" s="5" t="str">
        <f>HYPERLINK("https://www.mercadopublico.cl/Procurement/Modules/Attachment/ViewAttachment.aspx?enc=dNfWNLAcvYW%2bPTNLVUy7hE2DA7%2b7Yypl%2b7HlMHikvqf17H3MbuKsy6N1IKWQn9DeZ3weBjp8gM05wZX8HziuanV%2b5fZruDiB7ZLDM7CUqASvaJkLw71DpCDvUh4OhiMYekbYn%2b9YvE2cumStWqq7tNcF3NT%2bhohQ9%2bTtgojQgfCktnu1QTUTj3lGKUI6BK9P9EDztWhhwf6ZG%2f6eEURtg0xcjbDJxIb87DMcFmr%2bPxWfzTUVZKFSRYu1MJPC%2bmbD%2fEMbLG2K%2fwpKdRxzjEN99HC4HwHwJEEMqo2nuHq4vWjwmW1U30OVsnZEO8bUYVCC","descargar bases")</f>
      </c>
    </row>
    <row r="21">
      <c r="A21" s="0" t="inlineStr">
        <is>
          <t xml:space="preserve">1051173-14-LE26</t>
        </is>
      </c>
      <c r="B21" s="4" t="inlineStr">
        <is>
          <t xml:space="preserve">SERVICIO DE ENLACE DE DATOS DE RESPALDO</t>
        </is>
      </c>
      <c r="C21" s="0" t="inlineStr">
        <is>
          <t xml:space="preserve">Publicada</t>
        </is>
      </c>
      <c r="D21" s="0" t="inlineStr">
        <is>
          <t xml:space="preserve">MINISTERIO SECRETARIA GENERAL DE LA PRESIDENCIA DE LA REPUBLICA</t>
        </is>
      </c>
      <c r="E21" s="0" t="inlineStr">
        <is>
          <t xml:space="preserve">Ministerio Secretaria General de la Presidencia</t>
        </is>
      </c>
      <c r="F21" s="0" t="inlineStr">
        <is>
          <t xml:space="preserve">Región Metropolitana de Santiago</t>
        </is>
      </c>
      <c r="G21" s="0" t="inlineStr">
        <is>
          <t xml:space="preserve">Santiago</t>
        </is>
      </c>
      <c r="H21" s="2">
        <v>46287.63625</v>
      </c>
      <c r="I21" s="2">
        <v>46303.729167</v>
      </c>
      <c r="J21" s="0">
        <v>5</v>
      </c>
      <c r="K21" s="3"/>
      <c r="L21" s="0" t="inlineStr">
        <is>
          <t xml:space="preserve">CLF</t>
        </is>
      </c>
      <c r="M21" s="0" t="inlineStr">
        <is>
          <t xml:space="preserve">LE</t>
        </is>
      </c>
      <c r="N21" s="4" t="inlineStr">
        <is>
          <t xml:space="preserve">Tecnologías de la información, telecomunicaciones y radiodifusión / Equipos, plataformas y accesorios de redes multimedia, voz y datos / Equipos de servicio de red</t>
        </is>
      </c>
      <c r="O21" s="4" t="inlineStr">
        <is>
          <t xml:space="preserve">1 Unidad no definida · Unidades de servicio de datos o canales de red</t>
        </is>
      </c>
      <c r="P21" s="2"/>
      <c r="Q21" s="2"/>
      <c r="R21" s="0" t="inlineStr">
        <is>
          <t xml:space="preserve">27 meses</t>
        </is>
      </c>
      <c r="S21" s="0" t="inlineStr">
        <is>
          <t xml:space="preserve">No</t>
        </is>
      </c>
      <c r="T21" s="4" t="inlineStr">
        <is>
          <t xml:space="preserve">El proveedor adjudicado no podrá subcontratar totalmente los servicios licitados.
No obstante, previa autorización del Ministerio, el proveedor adjudicado podrá concertar con terceros la subcontratación parcial del contrato.</t>
        </is>
      </c>
      <c r="U21" s="0" t="inlineStr">
        <is>
          <t xml:space="preserve">Jorge Romero Vargas</t>
        </is>
      </c>
      <c r="V21" s="4" t="inlineStr">
        <is>
          <t xml:space="preserve">El Ministerio Secretaría General de la Presidencia requiere contratar un servicio de enlace de datos de respaldo, destinado a asegurar la continuidad operativa de la conectividad entre sus dependencias, de conformidad con lo señalado en las presentes Bases Administrativas y a las especificaciones indicadas en las Bases Técnicas.</t>
        </is>
      </c>
      <c r="W21" s="5" t="str">
        <f>HYPERLINK("https://www.mercadopublico.cl/Procurement/Modules/Attachment/ViewAttachment.aspx?enc=iinSBxi9hgqyzIPMICl1hPbieqeSrahcKtJpv4JD0dTW3cwRzWlB8c3xytwerh1yppWEWdUr4S2ENcCBsOBaIlId7gAHsyPTPLmRY5QGb2qyIUFoDKeKH8BJyY7A8RpYBGcRr%2b6aVQ74pui0GN6KALCJX%2b22V9VCpm9CmUbAZwneuaXQKhmUT7XTWO5be%2bfPSEc7xQ07yaseofJynowWQWMQV%2fCtFWCYiwpaNpWzS74jcpDRK%2fEWKzwumWrOF9QBTkGDvNCjj8e3KJrf%2bTIN%2fAdyHP9GeICcbXs%2fPOG66ddyhPKAdcZWzew84rcPxtbz","descargar bases")</f>
      </c>
    </row>
    <row r="22">
      <c r="A22" s="0" t="inlineStr">
        <is>
          <t xml:space="preserve">5684-13-LE26</t>
        </is>
      </c>
      <c r="B22" s="4" t="inlineStr">
        <is>
          <t xml:space="preserve">Licencia de Software Cámaras de Vigilancia</t>
        </is>
      </c>
      <c r="C22" s="0" t="inlineStr">
        <is>
          <t xml:space="preserve">Publicada</t>
        </is>
      </c>
      <c r="D22" s="0" t="inlineStr">
        <is>
          <t xml:space="preserve">UNIVERSIDAD DE CHILE</t>
        </is>
      </c>
      <c r="E22" s="0" t="inlineStr">
        <is>
          <t xml:space="preserve">FCFM Campus Facultad</t>
        </is>
      </c>
      <c r="F22" s="0" t="inlineStr">
        <is>
          <t xml:space="preserve">Región Metropolitana de Santiago</t>
        </is>
      </c>
      <c r="G22" s="0" t="inlineStr">
        <is>
          <t xml:space="preserve">Santiago</t>
        </is>
      </c>
      <c r="H22" s="2">
        <v>46293.72294</v>
      </c>
      <c r="I22" s="2">
        <v>46303.75</v>
      </c>
      <c r="J22" s="0">
        <v>5</v>
      </c>
      <c r="K22" s="3"/>
      <c r="L22" s="0" t="inlineStr">
        <is>
          <t xml:space="preserve">USD</t>
        </is>
      </c>
      <c r="M22" s="0" t="inlineStr">
        <is>
          <t xml:space="preserve">LE</t>
        </is>
      </c>
      <c r="N22" s="4" t="inlineStr">
        <is>
          <t xml:space="preserve">Tecnologías de la información, telecomunicaciones y radiodifusión / Software / Software específico para la industria</t>
        </is>
      </c>
      <c r="O22" s="4" t="inlineStr">
        <is>
          <t xml:space="preserve">250 Unidad · Software de compatibilidad</t>
        </is>
      </c>
      <c r="P22" s="2"/>
      <c r="Q22" s="2"/>
      <c r="R22" s="0"/>
      <c r="S22" s="0" t="inlineStr">
        <is>
          <t xml:space="preserve">No</t>
        </is>
      </c>
      <c r="T22" s="4" t="inlineStr">
        <is>
          <t xml:space="preserve">Dado las características del contrato, no estará permitida la subcontratación.</t>
        </is>
      </c>
      <c r="U22" s="0" t="inlineStr">
        <is>
          <t xml:space="preserve">Sergio Miranda</t>
        </is>
      </c>
      <c r="V22" s="4" t="inlineStr">
        <is>
          <t xml:space="preserve">La FCFM de la Universidad de Chile, convoca a licitación pública para la adquisición de licencias de software ISS SecurOS Enterprise o su equivalente técnico o superior, con el objeto de actualizar el software actual y habilitar las cámaras de vigilancia ya existentes en las dependencias.</t>
        </is>
      </c>
      <c r="W22" s="5" t="str">
        <f>HYPERLINK("https://www.mercadopublico.cl/Procurement/Modules/Attachment/ViewAttachment.aspx?enc=wkEANKT6AGUeQsyaCzuzB6Wls%2bEnIkgpY7bTLSZr04CswlBiXHNQzf75SYlz2nCfuUvUtXf2HTW051NHc2CA8ajqq%2fTzuAvNnSwQQ278iJ4fEmwV6r1z3a73dNcDEQMKcfYg8fO9g2wsdbjg76sWY8We8i9Bs5cN5bNIkKjwead3CxQUxce5BAvJXijwup%2fZOyZa9jHeqYx6l%2fS56t%2fz0mPJCvYhf6NnuPCKB8SjyUYRifzfWOPumLrHF5Hd6H31D7CC3BNvCXv%2fgkthS2zESjM0tcKg7Fl%2bvrH1PUNO7SZuAiXIWCJm4YYVvVzuDDvk","descargar bases")</f>
      </c>
    </row>
    <row r="23">
      <c r="A23" s="0" t="inlineStr">
        <is>
          <t xml:space="preserve">2013-13-LE26</t>
        </is>
      </c>
      <c r="B23" s="4" t="inlineStr">
        <is>
          <t xml:space="preserve">SERVICIO DE GESTIÓN DE PUBLICIDAD DIGITAL Y GENERA</t>
        </is>
      </c>
      <c r="C23" s="0" t="inlineStr">
        <is>
          <t xml:space="preserve">Publicada</t>
        </is>
      </c>
      <c r="D23" s="0" t="inlineStr">
        <is>
          <t xml:space="preserve">UNIVERSIDAD ARTURO PRAT</t>
        </is>
      </c>
      <c r="E23" s="0" t="inlineStr">
        <is>
          <t xml:space="preserve">UNIVERSIDAD ARTURO PRAT SEDE IQUIQUE</t>
        </is>
      </c>
      <c r="F23" s="0" t="inlineStr">
        <is>
          <t xml:space="preserve">Región de Tarapacá  </t>
        </is>
      </c>
      <c r="G23" s="0" t="inlineStr">
        <is>
          <t xml:space="preserve">Iquique</t>
        </is>
      </c>
      <c r="H23" s="2">
        <v>46293.538935</v>
      </c>
      <c r="I23" s="2">
        <v>46303.791667</v>
      </c>
      <c r="J23" s="0">
        <v>5</v>
      </c>
      <c r="K23" s="3">
        <v>15000000.0</v>
      </c>
      <c r="L23" s="0" t="inlineStr">
        <is>
          <t xml:space="preserve">CLP</t>
        </is>
      </c>
      <c r="M23" s="0" t="inlineStr">
        <is>
          <t xml:space="preserve">LE</t>
        </is>
      </c>
      <c r="N23" s="4" t="inlineStr">
        <is>
          <t xml:space="preserve">Servicios editoriales, de diseño, publicidad, gráficos y artistas / Publicidad / Publicidad en medios no impresos</t>
        </is>
      </c>
      <c r="O23" s="4" t="inlineStr">
        <is>
          <t xml:space="preserve">1 Unidad · Publicidad en Internet</t>
        </is>
      </c>
      <c r="P23" s="2"/>
      <c r="Q23" s="2"/>
      <c r="R23" s="0"/>
      <c r="S23" s="0" t="inlineStr">
        <is>
          <t xml:space="preserve">No</t>
        </is>
      </c>
      <c r="T23" s="4" t="inlineStr">
        <is>
          <t xml:space="preserve">No se permitirá la subcontratación de los servicios objeto de la presente licitación. El proveedor adjudicado deberá ejecutar directamente las prestaciones contratadas y será responsable de su íntegro y oportuno cumplimiento.</t>
        </is>
      </c>
      <c r="U23" s="0" t="inlineStr">
        <is>
          <t xml:space="preserve">Loreto Valenzuela Zepeda</t>
        </is>
      </c>
      <c r="V23" s="4" t="inlineStr">
        <is>
          <t xml:space="preserve">Contratar un servicio especializado de gestión de publicidad digital y generación de leads para apoyar el proceso de Admisión UNAP 2027, mediante la planificación, ejecución, seguimiento y optimización de campañas digitales, incluyendo la gestión e integración de los leads generados con el CRM institucional.</t>
        </is>
      </c>
      <c r="W23" s="5" t="str">
        <f>HYPERLINK("https://www.mercadopublico.cl/Procurement/Modules/Attachment/ViewAttachment.aspx?enc=IbdVoh99HK9z44JWNCLn7I3Q3uJnFg%2beKwaBFKj2%2f0e6%2fKHneUgygOdx1JWtSR79%2b95%2bnwp%2fdeMa1AgKoWAstYx4v%2bqqwl0N5wKn7tDiba7pmJwQJAwgs6lwxuKatQKUiU7OBhwlKniHMk%2bzG5LHvLSZwRnHRjZDqibq9kC8xQtldAIHf40rigecvqxEuS0c%2f1yEn%2fqk6AYpoeUx6qPFrpQqw58ywsZXBzPi1kB8dohOAwKQpr0v5WqEJUYG3q7ll4U5YLE0Kf1hPJNtBC3mbuLAvMSxyr4uOIAkX7VzE6rYqbP3xLWVjZjoEjE2dH7s","descargar bases")</f>
      </c>
    </row>
    <row r="24">
      <c r="A24" s="0" t="inlineStr">
        <is>
          <t xml:space="preserve">1469-236-L126</t>
        </is>
      </c>
      <c r="B24" s="4" t="inlineStr">
        <is>
          <t xml:space="preserve">“Servicio de Mantenimiento Preventivo para (2) Equipos de Clima de Precisión Liebert CRV 35 kW del Centro de Datos del Campus Talca de la Universidad de Talca”</t>
        </is>
      </c>
      <c r="C24" s="0" t="inlineStr">
        <is>
          <t xml:space="preserve">Publicada</t>
        </is>
      </c>
      <c r="D24" s="0" t="inlineStr">
        <is>
          <t xml:space="preserve">UNIVERSIDAD DE TALCA</t>
        </is>
      </c>
      <c r="E24" s="0" t="inlineStr">
        <is>
          <t xml:space="preserve">Universidad de Talca</t>
        </is>
      </c>
      <c r="F24" s="0" t="inlineStr">
        <is>
          <t xml:space="preserve">Región del Maule </t>
        </is>
      </c>
      <c r="G24" s="0" t="inlineStr">
        <is>
          <t xml:space="preserve">Talca</t>
        </is>
      </c>
      <c r="H24" s="2">
        <v>46295.720938</v>
      </c>
      <c r="I24" s="2">
        <v>46304.416667</v>
      </c>
      <c r="J24" s="0">
        <v>6</v>
      </c>
      <c r="K24" s="3"/>
      <c r="L24" s="0" t="inlineStr">
        <is>
          <t xml:space="preserve">CLP</t>
        </is>
      </c>
      <c r="M24" s="0" t="inlineStr">
        <is>
          <t xml:space="preserve">L1</t>
        </is>
      </c>
      <c r="N24" s="4" t="inlineStr">
        <is>
          <t xml:space="preserve">Servicios de producción y fabricación industrial / Servicios de apoyo o soporte a la fabricación / Servicios de mantenimiento y reparación de equipo de fabricación</t>
        </is>
      </c>
      <c r="O24" s="4" t="inlineStr">
        <is>
          <t xml:space="preserve">1 Unidad · Servicio de reparación de equipo de fabricación</t>
        </is>
      </c>
      <c r="P24" s="2"/>
      <c r="Q24" s="2"/>
      <c r="R24" s="0"/>
      <c r="S24" s="0" t="inlineStr">
        <is>
          <t xml:space="preserve">No</t>
        </is>
      </c>
      <c r="T24" s="4"/>
      <c r="U24" s="0"/>
      <c r="V24" s="4" t="inlineStr">
        <is>
          <t xml:space="preserve">Contratación de un servicio técnico de mantención especializado para garantizar la continuidad operativa, disponibilidad y correcto funcionamiento de la infraestructura crítica del nivel de servicios de Climatización de precisión del Centro de Datos del Campus Talca (Lircay).La contratación de este servicio se requiere que el proveedor cuente con las competencias y acreditaciones necesarias para realizar el  procedimiento de mantenimiento del equipamiento de misión crítica Vertiv/Liebert existen</t>
        </is>
      </c>
      <c r="W24" s="5" t="str">
        <f>HYPERLINK("https://www.mercadopublico.cl/Procurement/Modules/Attachment/ViewAttachment.aspx?enc=fzAYov93sqIovXqVQ0TaC7GLfiiyyeVIFD1N%2fwrL3veBjNRLZB0mD%2fAMBiX4Snh0kaf6YYs6qc18dcIpnUtlEU0vjSILTTxlJFgDbT0Q48VOEtEOTme5OATQ6hgOfRQ8kOpdN6hSAPMAHF6k%2fmfWaeS9Ai6hQCtmoeESGNXPaKU6%2fuUp88WEiLjWIQZWjlmt1SXhRT4aoQ4Jb6cukjeeh%2fSpnDA9CHyXM12QZmUT2Qalpt4ByeB1leAp5gniIRkIsBV3X00iIj0TLKJXf6xqPBUVk%2fEic%2f%2fN2QZu06fMS1pSvKDI%2b9YUYOMaZBepGIEW","descargar bases")</f>
      </c>
    </row>
    <row r="25">
      <c r="A25" s="0" t="inlineStr">
        <is>
          <t xml:space="preserve">2297-30-LE26</t>
        </is>
      </c>
      <c r="B25" s="4" t="inlineStr">
        <is>
          <t xml:space="preserve">ADQUISICION DE FASCIMIL LICENCIAS DE CONDUCIR DIGITAL.</t>
        </is>
      </c>
      <c r="C25" s="0" t="inlineStr">
        <is>
          <t xml:space="preserve">Publicada</t>
        </is>
      </c>
      <c r="D25" s="0" t="inlineStr">
        <is>
          <t xml:space="preserve">I MUNICIPALIDAD DE OSORNO</t>
        </is>
      </c>
      <c r="E25" s="0" t="inlineStr">
        <is>
          <t xml:space="preserve">IMUNI_OSORNO DIRECCION DE ADM Y FINANZAS</t>
        </is>
      </c>
      <c r="F25" s="0" t="inlineStr">
        <is>
          <t xml:space="preserve">Región de los Lagos </t>
        </is>
      </c>
      <c r="G25" s="0" t="inlineStr">
        <is>
          <t xml:space="preserve">Osorno</t>
        </is>
      </c>
      <c r="H25" s="2">
        <v>46296.53103</v>
      </c>
      <c r="I25" s="2">
        <v>46304.458333</v>
      </c>
      <c r="J25" s="0">
        <v>6</v>
      </c>
      <c r="K25" s="3">
        <v>10500000.0</v>
      </c>
      <c r="L25" s="0" t="inlineStr">
        <is>
          <t xml:space="preserve">CLP</t>
        </is>
      </c>
      <c r="M25" s="0" t="inlineStr">
        <is>
          <t xml:space="preserve">LE</t>
        </is>
      </c>
      <c r="N25" s="4" t="inlineStr">
        <is>
          <t xml:space="preserve">Servicios de producción y fabricación industrial / Servicios de apoyo o soporte a la fabricación / Servicios de impresión industrial</t>
        </is>
      </c>
      <c r="O25" s="4" t="inlineStr">
        <is>
          <t xml:space="preserve">1 Unidad · Servicios de impresión industrial Digital</t>
        </is>
      </c>
      <c r="P25" s="2"/>
      <c r="Q25" s="2"/>
      <c r="R25" s="0"/>
      <c r="S25" s="0" t="inlineStr">
        <is>
          <t xml:space="preserve">No</t>
        </is>
      </c>
      <c r="T25" s="4" t="inlineStr">
        <is>
          <t xml:space="preserve">Conforme artículo 74 del Reglamento de la Ley 19.886 al adjudicatario le estará prohibido ceder yo transferir en forma alguna total o parcialmente, los derechos y obligaciones que nacen del desarrollo de la licitación.</t>
        </is>
      </c>
      <c r="U25" s="0" t="inlineStr">
        <is>
          <t xml:space="preserve">MAURICIO BECKER AÑAÑZCO</t>
        </is>
      </c>
      <c r="V25" s="4" t="inlineStr">
        <is>
          <t xml:space="preserve">ADQUISICION DE FASCIMIL LICENCIAS DE CONDUCIR DIGITAL.</t>
        </is>
      </c>
      <c r="W25" s="5" t="str">
        <f>HYPERLINK("https://www.mercadopublico.cl/Procurement/Modules/Attachment/ViewAttachment.aspx?enc=jukrRAnzwU5R0DvaPc6YzzCYkItXn0JMDOc38YuRnYhR6OEwxPsFDWlCNVIrEASElXVzsIIsp2T8WiFKAmkNQ01naCJ6Uw6fCBjFD6TSx7HoMWBgM63EYFGMYrqVUBUkNuigMPFsMNxc4H4eqT05Wkqu%2fsyTFSwlh%2b3UQusOf4JQYTh9yHX8ObISJ0VKqfSjr5v55Ac2rvwNBd3yLCmo5Fj%2bV%2b%2bQufIAmETwRHUQc1UV5ec99lAdK1VNDT2AjU%2fMXx4THtdPJBYIKqW3zzBqq%2flJyxVKga4sED1dMrH1UiQ3DdZ%2bFUFGkKwWtU0PJ2Ey","descargar bases")</f>
      </c>
    </row>
    <row r="26">
      <c r="A26" s="0" t="inlineStr">
        <is>
          <t xml:space="preserve">4469-195-L126</t>
        </is>
      </c>
      <c r="B26" s="4" t="inlineStr">
        <is>
          <t xml:space="preserve">S.C. N° 40583 - 40585 (P.C) ADQUISICIÓN TABLERO SENSORIAL , SET DE PSICOMOTRICIDAD Y OTROS - PROYECTO FIEP 2025 ; JARDIN INFANTIL ; UPLA</t>
        </is>
      </c>
      <c r="C26" s="0" t="inlineStr">
        <is>
          <t xml:space="preserve">Publicada</t>
        </is>
      </c>
      <c r="D26" s="0" t="inlineStr">
        <is>
          <t xml:space="preserve">UNIVERSIDAD DE PLAYA ANCHA DE CIENCIAS DE LA EDUCACION</t>
        </is>
      </c>
      <c r="E26" s="0" t="inlineStr">
        <is>
          <t xml:space="preserve">ADQUISICIONES</t>
        </is>
      </c>
      <c r="F26" s="0" t="inlineStr">
        <is>
          <t xml:space="preserve">Región Metropolitana de Santiago</t>
        </is>
      </c>
      <c r="G26" s="0" t="inlineStr">
        <is>
          <t xml:space="preserve">Talagante</t>
        </is>
      </c>
      <c r="H26" s="2">
        <v>46296.612789</v>
      </c>
      <c r="I26" s="2">
        <v>46304.458333</v>
      </c>
      <c r="J26" s="0">
        <v>6</v>
      </c>
      <c r="K26" s="3">
        <v>1790996.0</v>
      </c>
      <c r="L26" s="0" t="inlineStr">
        <is>
          <t xml:space="preserve">CLP</t>
        </is>
      </c>
      <c r="M26" s="0" t="inlineStr">
        <is>
          <t xml:space="preserve">L1</t>
        </is>
      </c>
      <c r="N26" s="4" t="inlineStr">
        <is>
          <t xml:space="preserve">Instrumentos musicales, juegos, juguetes, artesanías y materiales educativos / Juguetes y juegos / Juegos, Instrumentos musicales, juegos, juguetes, artesanías y materiales educativos / Materiales, artículos y suministros didácticos profesionales y para el desarrollo personal / Materiales o recursos educativos de geometría, Muebles y mobiliario / Muebles de alojamiento / Muebles</t>
        </is>
      </c>
      <c r="O26" s="4" t="inlineStr">
        <is>
          <t xml:space="preserve">1 Unidad · Kits de actividades o juegos de tableros geométricos · 1 Unidad · Kits de actividades o juegos de tableros geométricos · 2 Unidad · Kits de actividades o juegos de tableros geométricos · y 4 más</t>
        </is>
      </c>
      <c r="P26" s="2"/>
      <c r="Q26" s="2"/>
      <c r="R26" s="0"/>
      <c r="S26" s="0" t="inlineStr">
        <is>
          <t xml:space="preserve">No</t>
        </is>
      </c>
      <c r="T26" s="4"/>
      <c r="U26" s="0"/>
      <c r="V26" s="4" t="inlineStr">
        <is>
          <t xml:space="preserve">S.C. N° 40583 - 40585 (P.C) ADQUISICIÓN TABLERO SENSORIAL , SET DE PSICOMOTRICIDAD Y OTROS - PROYECTO FIEP 2025 ; JARDIN INFANTIL ; UPLA</t>
        </is>
      </c>
      <c r="W26" s="5" t="str">
        <f>HYPERLINK("https://www.mercadopublico.cl/Procurement/Modules/Attachment/ViewAttachment.aspx?enc=k36qJXZpa%2fWD1st46UY7bd5H81puuqkO2QiVm%2fL2AInGoM0vBKvl%2fA0ubJmpuJ8fBRj64hWHyD9FeqWqLODQPLdmpN%2bmIhJNAVbXmu76hcfYOR%2f1YW2tXapAM1zQiru28GbVGDgLJ0dnIWL%2f9t5wOG0xblH1pBpK3zqJeqiNBYiLphmkf5HcO6J0%2fl1tFVqqqCyzEvfpx3J4LRiHzJjEDbH4BWLvrzEqtiOVIXEJoHBo4ZBs9x4P15I45K4xsYanq4WW6Ex8ogJpshf6bSwYur%2fqmrqKgi12Y6GBn%2buowyPRmkkfjzIgCCU%2bUHqLR%2b7a","descargar bases")</f>
      </c>
    </row>
    <row r="27">
      <c r="A27" s="0" t="inlineStr">
        <is>
          <t xml:space="preserve">4112-27-LE26</t>
        </is>
      </c>
      <c r="B27" s="4" t="inlineStr">
        <is>
          <t xml:space="preserve">“ADQUISICIÓN DE LICENCIAS DE SOFTWARE”</t>
        </is>
      </c>
      <c r="C27" s="0" t="inlineStr">
        <is>
          <t xml:space="preserve">Publicada</t>
        </is>
      </c>
      <c r="D27" s="0" t="inlineStr">
        <is>
          <t xml:space="preserve">I MUNICIPALIDAD DE CURACAUTIN</t>
        </is>
      </c>
      <c r="E27" s="0" t="inlineStr">
        <is>
          <t xml:space="preserve">DIRECCION DE FINANZAS</t>
        </is>
      </c>
      <c r="F27" s="0" t="inlineStr">
        <is>
          <t xml:space="preserve">Región de la Araucanía </t>
        </is>
      </c>
      <c r="G27" s="0"/>
      <c r="H27" s="2">
        <v>46282.472917</v>
      </c>
      <c r="I27" s="2">
        <v>46304.479167</v>
      </c>
      <c r="J27" s="0">
        <v>6</v>
      </c>
      <c r="K27" s="3"/>
      <c r="L27" s="0" t="inlineStr">
        <is>
          <t xml:space="preserve">CLP</t>
        </is>
      </c>
      <c r="M27" s="0" t="inlineStr">
        <is>
          <t xml:space="preserve">LE</t>
        </is>
      </c>
      <c r="N27" s="4" t="inlineStr">
        <is>
          <t xml:space="preserve">Servicios editoriales, de diseño, publicidad, gráficos y artistas / Diseño gráfico / Diseño, Tecnologías de la información, telecomunicaciones y radiodifusión / Software / Software de gestión, Tecnologías de la información, telecomunicaciones y radiodifusión / Software / Software de intercambio de información</t>
        </is>
      </c>
      <c r="O27" s="4" t="inlineStr">
        <is>
          <t xml:space="preserve">1 Unidad · Diseño por computador · 1 Unidad · Software de gestión de licencias · 1 Unidad · Software de video conferencia</t>
        </is>
      </c>
      <c r="P27" s="2"/>
      <c r="Q27" s="2"/>
      <c r="R27" s="0"/>
      <c r="S27" s="0" t="inlineStr">
        <is>
          <t xml:space="preserve">No</t>
        </is>
      </c>
      <c r="T27" s="4"/>
      <c r="U27" s="0" t="inlineStr">
        <is>
          <t xml:space="preserve">FELIPE OBREQUE</t>
        </is>
      </c>
      <c r="V27" s="4" t="inlineStr">
        <is>
          <t xml:space="preserve">La Ilustre Municipalidad de Curacautín invita a los proveedores inscritos y hábiles en el Registro de Proveedores a participar en la adquisición y renovación de licencias de software para las unidades municipales. La licitación se divide en tres líneas independientes; se podrá ofertar por una o más líneas, incluyendo todos los productos y cantidades de cada línea ofertada. Cada línea se adjudicará íntegramente a un solo proveedor y podrá haber distintos adjudicatarios.</t>
        </is>
      </c>
      <c r="W27" s="5" t="str">
        <f>HYPERLINK("https://www.mercadopublico.cl/Procurement/Modules/Attachment/ViewAttachment.aspx?enc=cKoBXeVH%2fCG1hGGbqyWEEsyOAFQVcbhe6CTxADw1K6PHOtABKPbe5yBOJRp3c5buW%2fn4SEqD770ZhKJKQjwIHX0OH7S5s5LvjWlW9%2fY6rAaSybR%2f57HOTL0tdcFzC7t8AmWZxveqF9qTHcZ3QwEEgOaR2UtS23WYVb7VA0qWrpRJTs6W43kITLW%2fjbeCKBo1rgqX4IyrAbApapOoLCmUCJ1sOD3m5AK6BEQco61xPB76J2MKFZX8SAGv6x9R0z5XViM15hU2caiE1q5TDkU%2f23gMGvc84th9Q%2bliX3M%2bM51xR2NR1lWaOWII%2fk4NQhs0","descargar bases")</f>
      </c>
    </row>
    <row r="28">
      <c r="A28" s="0" t="inlineStr">
        <is>
          <t xml:space="preserve">1082957-33-L126</t>
        </is>
      </c>
      <c r="B28" s="4" t="inlineStr">
        <is>
          <t xml:space="preserve">Servicios de administración de plataforma y suministro de atenciones de salud telemáticas, mediante la suscripción anual a una plataforma digital, para el personal de ProChile.</t>
        </is>
      </c>
      <c r="C28" s="0" t="inlineStr">
        <is>
          <t xml:space="preserve">Publicada</t>
        </is>
      </c>
      <c r="D28" s="0" t="inlineStr">
        <is>
          <t xml:space="preserve">DIRECCION GENERAL DE PROMOCION DE EXPORTACIONES</t>
        </is>
      </c>
      <c r="E28" s="0" t="inlineStr">
        <is>
          <t xml:space="preserve">MN PROMOCION DE EXPORTACIONES</t>
        </is>
      </c>
      <c r="F28" s="0" t="inlineStr">
        <is>
          <t xml:space="preserve">Región Metropolitana de Santiago</t>
        </is>
      </c>
      <c r="G28" s="0" t="inlineStr">
        <is>
          <t xml:space="preserve">Santiago</t>
        </is>
      </c>
      <c r="H28" s="2">
        <v>46296.730197</v>
      </c>
      <c r="I28" s="2">
        <v>46304.5</v>
      </c>
      <c r="J28" s="0">
        <v>6</v>
      </c>
      <c r="K28" s="3">
        <v>7000000.0</v>
      </c>
      <c r="L28" s="0" t="inlineStr">
        <is>
          <t xml:space="preserve">CLP</t>
        </is>
      </c>
      <c r="M28" s="0" t="inlineStr">
        <is>
          <t xml:space="preserve">L1</t>
        </is>
      </c>
      <c r="N28" s="4" t="inlineStr">
        <is>
          <t xml:space="preserve">Salud, servicios sanitarios y alimentación / Servicios para el cuidado de la salud de las personas / Ambulatorios</t>
        </is>
      </c>
      <c r="O28" s="4" t="inlineStr">
        <is>
          <t xml:space="preserve">1 Unidad · Servicios de consulta médica</t>
        </is>
      </c>
      <c r="P28" s="2"/>
      <c r="Q28" s="2"/>
      <c r="R28" s="0"/>
      <c r="S28" s="0" t="inlineStr">
        <is>
          <t xml:space="preserve">No</t>
        </is>
      </c>
      <c r="T28" s="4"/>
      <c r="U28" s="0"/>
      <c r="V28" s="4" t="inlineStr">
        <is>
          <t xml:space="preserve">PROCHILE invita a participar en el proceso de contratación de los servicios de administración de plataforma y suministro de atenciones de salud telemáticas, mediante la suscripción anual para el personal de ProChile, el cual tiene como objetivo promover medidas de autocuidado, de vida saludable y preventivas que favorezcan el bienestar físico, mental y social de sus integrantes. “E1O2RT9”.</t>
        </is>
      </c>
      <c r="W28" s="5" t="str">
        <f>HYPERLINK("https://www.mercadopublico.cl/Procurement/Modules/Attachment/ViewAttachment.aspx?enc=Gv4FpkD7C9s%2b8qrMT%2fkRAjPxni70ihcnc1YPn79GiATGHJGTndhVgDmG0ICP6XTAHf7Dj%2bQCPNXcbb8ixy8hhy5lK4vuz%2f6Ff8XhJnIguWn%2bZROdfw%2f7mf8biZgGEwXMTJwy%2b6jsi%2bB%2bGetxTM5YaNF%2bK1W70PjQJIlxeVSLIDX9TMMeGZwdT8Y8egeqDRUSK8INw4ZA08iUIJK99ZfdLzEtnSRU2iqA5YIHNQzi3KolJZsCUfBJ5gG9Z9Llz9zZJ0WaJQgKhzs0yevNHUhOlTztu%2fo3l12NQEueZE9b%2bPez%2bdxVzL8Z1V%2bqHRFi%2fuxZ","descargar bases")</f>
      </c>
    </row>
    <row r="29">
      <c r="A29" s="0" t="inlineStr">
        <is>
          <t xml:space="preserve">1224957-63-LE26</t>
        </is>
      </c>
      <c r="B29" s="4" t="inlineStr">
        <is>
          <t xml:space="preserve">INSUMOS INFORMÁTICOS CMDS ÑUÑOA</t>
        </is>
      </c>
      <c r="C29" s="0" t="inlineStr">
        <is>
          <t xml:space="preserve">Publicada</t>
        </is>
      </c>
      <c r="D29" s="0" t="inlineStr">
        <is>
          <t xml:space="preserve">CORP MUNICIPAL DE DESARROLLO SOCIAL DE NUNOA</t>
        </is>
      </c>
      <c r="E29" s="0" t="inlineStr">
        <is>
          <t xml:space="preserve">CMDS Nivel Central</t>
        </is>
      </c>
      <c r="F29" s="0" t="inlineStr">
        <is>
          <t xml:space="preserve">Región Metropolitana de Santiago</t>
        </is>
      </c>
      <c r="G29" s="0" t="inlineStr">
        <is>
          <t xml:space="preserve">Ñuñoa</t>
        </is>
      </c>
      <c r="H29" s="2">
        <v>46295.503831</v>
      </c>
      <c r="I29" s="2">
        <v>46304.5</v>
      </c>
      <c r="J29" s="0">
        <v>6</v>
      </c>
      <c r="K29" s="3">
        <v>24557263.0</v>
      </c>
      <c r="L29" s="0" t="inlineStr">
        <is>
          <t xml:space="preserve">CLP</t>
        </is>
      </c>
      <c r="M29" s="0" t="inlineStr">
        <is>
          <t xml:space="preserve">LE</t>
        </is>
      </c>
      <c r="N29" s="4" t="inlineStr">
        <is>
          <t xml:space="preserve">Herramientas y maquinaria en general / Herramientas manuales / Juegos de herramientas</t>
        </is>
      </c>
      <c r="O29" s="4" t="inlineStr">
        <is>
          <t xml:space="preserve">1 Unidad · Kit de herramienta para computadores</t>
        </is>
      </c>
      <c r="P29" s="2"/>
      <c r="Q29" s="2"/>
      <c r="R29" s="0"/>
      <c r="S29" s="0" t="inlineStr">
        <is>
          <t xml:space="preserve">No</t>
        </is>
      </c>
      <c r="T29" s="4" t="inlineStr">
        <is>
          <t xml:space="preserve">No se permitirá subcontratación.</t>
        </is>
      </c>
      <c r="U29" s="0" t="inlineStr">
        <is>
          <t xml:space="preserve">Julio González</t>
        </is>
      </c>
      <c r="V29" s="4" t="inlineStr">
        <is>
          <t xml:space="preserve">Adquirir insumos, herramientas y repuestos informáticos para el desarrollo de trabajos de soporte, mantención y reparación de computadores, conectividad y redes informáticas.</t>
        </is>
      </c>
      <c r="W29" s="5" t="str">
        <f>HYPERLINK("https://www.mercadopublico.cl/Procurement/Modules/Attachment/ViewAttachment.aspx?enc=EbHqvW%2fSEwnN1CUcd0kR0zDDov%2f9dmu9Q2G2kanUCsqektgt5qDHVDjPc0%2fReptOgOX4DID6wezG%2f7%2bUSz7SYjcsvSuAV4pyun9B2DPeXNYGS%2fHEbIfVfQFSNMiNu1%2fxkZia%2flyHwrfVhC5o3THEGo%2f0%2bDAjt6xcU8B4NtxP2r1%2fbL3O8euCAO%2fk8zowJYe%2fz4C%2fh0se95L1Wr5adUVxvjVywivi2G4WVkRw%2bx997B7gmetPE5r4rdnE2vWi1dAwClHsxh3jPvqvsjMV4bc%2fKIB3sqY7xoTcLrB19oHujQ9%2bT%2fDTRGw1lzOcWg0zy6rw","descargar bases")</f>
      </c>
    </row>
    <row r="30">
      <c r="A30" s="0" t="inlineStr">
        <is>
          <t xml:space="preserve">1562-63-LP26</t>
        </is>
      </c>
      <c r="B30" s="4" t="inlineStr">
        <is>
          <t xml:space="preserve">ELABORACIÓN DE LA PLATAFORMA PÚBLICA MINERA</t>
        </is>
      </c>
      <c r="C30" s="0" t="inlineStr">
        <is>
          <t xml:space="preserve">Publicada</t>
        </is>
      </c>
      <c r="D30" s="0" t="inlineStr">
        <is>
          <t xml:space="preserve">SERVICIO NACIONAL DE GEOLOGIA Y MINERIA</t>
        </is>
      </c>
      <c r="E30" s="0" t="inlineStr">
        <is>
          <t xml:space="preserve">Servicio Nacional de Geología y Minería</t>
        </is>
      </c>
      <c r="F30" s="0" t="inlineStr">
        <is>
          <t xml:space="preserve">Región Metropolitana de Santiago</t>
        </is>
      </c>
      <c r="G30" s="0" t="inlineStr">
        <is>
          <t xml:space="preserve">Providencia</t>
        </is>
      </c>
      <c r="H30" s="2">
        <v>46281.707639</v>
      </c>
      <c r="I30" s="2">
        <v>46304.5</v>
      </c>
      <c r="J30" s="0">
        <v>6</v>
      </c>
      <c r="K30" s="3">
        <v>165000000.0</v>
      </c>
      <c r="L30" s="0" t="inlineStr">
        <is>
          <t xml:space="preserve">CLP</t>
        </is>
      </c>
      <c r="M30" s="0" t="inlineStr">
        <is>
          <t xml:space="preserve">LP</t>
        </is>
      </c>
      <c r="N30" s="4" t="inlineStr">
        <is>
          <t xml:space="preserve">Tecnologías de la información, telecomunicaciones y radiodifusión / Software / Programas de desarrollo</t>
        </is>
      </c>
      <c r="O30" s="4" t="inlineStr">
        <is>
          <t xml:space="preserve">1 Global · Software de desarrollo de plataforma Web</t>
        </is>
      </c>
      <c r="P30" s="2"/>
      <c r="Q30" s="2"/>
      <c r="R30" s="0" t="inlineStr">
        <is>
          <t xml:space="preserve">2 meses</t>
        </is>
      </c>
      <c r="S30" s="0" t="inlineStr">
        <is>
          <t xml:space="preserve">No</t>
        </is>
      </c>
      <c r="T30" s="4"/>
      <c r="U30" s="0" t="inlineStr">
        <is>
          <t xml:space="preserve">PHILIPE CARLIER PIZZULIC</t>
        </is>
      </c>
      <c r="V30" s="4" t="inlineStr">
        <is>
          <t xml:space="preserve">S.A. 722 EXP 266362026
El Servicio Nacional de Geología y Minería SERNAGEOMIN, a través de la Dirección Nacional de Geología y Minería y de su Departamento de Planificación, Tecnologías e Innovación, requiere contratar un servicio especializado para la elaboración de la Plataforma Pública Minera PPM, en el marco del proceso de modernización de los sistemas de información asociados a la gestión y fiscalización de la actividad minera.</t>
        </is>
      </c>
      <c r="W30" s="5" t="str">
        <f>HYPERLINK("https://www.mercadopublico.cl/Procurement/Modules/Attachment/ViewAttachment.aspx?enc=O7b9BZmJp4gXpNwg%2bgPddwCzH7w2TKvG2%2bHzJk1e7aodTNI%2bBjWv4K16iANz2XZsKj2PSejpUtE6h1koyDWHAKYv1Mhxr1rliLHobFGyWP%2bDOnN%2frP1IbcwfKb1TZjCv2IXpgOlSD8g7SOWWSZMarPHIqJVvanqiOTe258jAPAaswGxW1VmSpj3f%2fmRFxdfklEWw%2fZLL6CRhHc15pwaPtVzc2DGJdRo%2fNtB4vWl%2fx3iC3oivbuX%2fCShHQsaOrjs2Swc9VRVKCyoAYJiNuPiIlBolKeywjcw7XDgx7ZmobRJx%2bkxERDuEhVijaewr8xMA","descargar bases")</f>
      </c>
    </row>
    <row r="31">
      <c r="A31" s="0" t="inlineStr">
        <is>
          <t xml:space="preserve">2735-167-LE26</t>
        </is>
      </c>
      <c r="B31" s="4" t="inlineStr">
        <is>
          <t xml:space="preserve">ENLACE DE DATOS FARELLONES MUN. LO BARNECHEA</t>
        </is>
      </c>
      <c r="C31" s="0" t="inlineStr">
        <is>
          <t xml:space="preserve">Publicada</t>
        </is>
      </c>
      <c r="D31" s="0" t="inlineStr">
        <is>
          <t xml:space="preserve">I MUNICIPALIDAD LO BARNECHEA</t>
        </is>
      </c>
      <c r="E31" s="0" t="inlineStr">
        <is>
          <t xml:space="preserve">Municipalidad de lo Barnechea - Adquisiciones - Consistorial</t>
        </is>
      </c>
      <c r="F31" s="0" t="inlineStr">
        <is>
          <t xml:space="preserve">Región Metropolitana de Santiago</t>
        </is>
      </c>
      <c r="G31" s="0" t="inlineStr">
        <is>
          <t xml:space="preserve">Lo Barnechea</t>
        </is>
      </c>
      <c r="H31" s="2">
        <v>46293.738657</v>
      </c>
      <c r="I31" s="2">
        <v>46304.520833</v>
      </c>
      <c r="J31" s="0">
        <v>6</v>
      </c>
      <c r="K31" s="3"/>
      <c r="L31" s="0" t="inlineStr">
        <is>
          <t xml:space="preserve">CLF</t>
        </is>
      </c>
      <c r="M31" s="0" t="inlineStr">
        <is>
          <t xml:space="preserve">LE</t>
        </is>
      </c>
      <c r="N31" s="4" t="inlineStr">
        <is>
          <t xml:space="preserve">Tecnologías de la información, telecomunicaciones y radiodifusión / Equipos, plataformas y accesorios de redes multimedia, voz y datos / Equipos de telefonía</t>
        </is>
      </c>
      <c r="O31" s="4" t="inlineStr">
        <is>
          <t xml:space="preserve">1 Unidad · Equipo de interconexión digital (DCX) de banda estrecha o banda ancha</t>
        </is>
      </c>
      <c r="P31" s="2"/>
      <c r="Q31" s="2"/>
      <c r="R31" s="0" t="inlineStr">
        <is>
          <t xml:space="preserve">12 meses</t>
        </is>
      </c>
      <c r="S31" s="0" t="inlineStr">
        <is>
          <t xml:space="preserve">No</t>
        </is>
      </c>
      <c r="T31" s="4" t="inlineStr">
        <is>
          <t xml:space="preserve">De conformidad con el numeral 11.5 de las bases administrativas</t>
        </is>
      </c>
      <c r="U31" s="0" t="inlineStr">
        <is>
          <t xml:space="preserve">Javier Salgado Pezoa</t>
        </is>
      </c>
      <c r="V31" s="4" t="inlineStr">
        <is>
          <t xml:space="preserve">En conformidad con lo previsto en el numeral 1 de las bases técnicas, la Municipalidad requiere contar con conectividad de datos robusta y eficiente entre el Centro Cívico y las dependencias municipales ubicadas en Farellones, que permita compartir los servicios de red que utiliza la municipalidad para la gestión Municipal. El objeto de la contratación es contar con un servicio integral de provisión, instalación, configuración, operación y mantenimiento de enlaces de datos microondas punto a punto o fibra óptica con un mínimo de 100mbps en ambas opciones, destinados a interconectar las dependencias de la Municipalidad de Lo Barnechea en Farellones con su red principal. Este servicio busca garantizar la continuidad operacional de los servicios críticos municipales internet, datos y telefonía IP, asegurando estándares de calidad y rendimiento específicos de la red.
El contratista deberá proveer los enlaces requeridos, junto con los equipos de comunicación necesarios que permitan la transmisión y recepción de datos de manera fluida y sin pérdida de paquetes, entre las distintas dependencias municipales emplazadas en Farellones y el datacenter institucional que se encuentra ubicado </t>
        </is>
      </c>
      <c r="W31" s="5" t="str">
        <f>HYPERLINK("https://www.mercadopublico.cl/Procurement/Modules/Attachment/ViewAttachment.aspx?enc=XE%2bWAlcaK44PjzhnX7%2bNLhTYQNj42PbRPXZB6Y3srJih3gGbBSOGHlEPRqKqADSAiohUg7iy154qaQwJT3nQ37VKd1lo7AG3rLTYKQV1LKGx5igdQ5hfRn%2fo1r2I9xe6MUF10sOP9XUlJivEE%2fWHwlnSJUvPHKCTFZGD8uLnuB%2bmW89pIw0DrAUACpFi2jdszmgFdt1AK6469Dm%2fLSnhXlyEZeMZTccgm4v8PZjTK3unDhSwQuyjEk31d1o%2bhUFUc8H%2fGP4WgZRRl9pvHbSf1j9eMLs%2fcr1UTtX6vEB8wmx6TOBXDRaMR6a7pK9rdp7x","descargar bases")</f>
      </c>
    </row>
    <row r="32">
      <c r="A32" s="0" t="inlineStr">
        <is>
          <t xml:space="preserve">1138297-11-LE26</t>
        </is>
      </c>
      <c r="B32" s="4" t="inlineStr">
        <is>
          <t xml:space="preserve">Servicios de implementación integral para el diseño y producción de material promocional y la optimización del sitio web del Catálogo Digital de las Industrias Creativas de la Región de Atacama</t>
        </is>
      </c>
      <c r="C32" s="0" t="inlineStr">
        <is>
          <t xml:space="preserve">Publicada</t>
        </is>
      </c>
      <c r="D32" s="0" t="inlineStr">
        <is>
          <t xml:space="preserve">DIRECCION GENERAL DE PROMOCION DE EXPORTACIONES</t>
        </is>
      </c>
      <c r="E32" s="0" t="inlineStr">
        <is>
          <t xml:space="preserve">MN FONDO DE TERCEROS</t>
        </is>
      </c>
      <c r="F32" s="0" t="inlineStr">
        <is>
          <t xml:space="preserve">Región de Atacama </t>
        </is>
      </c>
      <c r="G32" s="0" t="inlineStr">
        <is>
          <t xml:space="preserve">Santiago Centro</t>
        </is>
      </c>
      <c r="H32" s="2">
        <v>46293.748565</v>
      </c>
      <c r="I32" s="2">
        <v>46304.541667</v>
      </c>
      <c r="J32" s="0">
        <v>6</v>
      </c>
      <c r="K32" s="3">
        <v>21000000.0</v>
      </c>
      <c r="L32" s="0" t="inlineStr">
        <is>
          <t xml:space="preserve">CLP</t>
        </is>
      </c>
      <c r="M32" s="0" t="inlineStr">
        <is>
          <t xml:space="preserve">LE</t>
        </is>
      </c>
      <c r="N32" s="4" t="inlineStr">
        <is>
          <t xml:space="preserve">Servicios editoriales, de diseño, publicidad, gráficos y artistas / Diseño gráfico / Diseño</t>
        </is>
      </c>
      <c r="O32" s="4" t="inlineStr">
        <is>
          <t xml:space="preserve">1 Unidad · Diseño gráfico</t>
        </is>
      </c>
      <c r="P32" s="2"/>
      <c r="Q32" s="2"/>
      <c r="R32" s="0" t="inlineStr">
        <is>
          <t xml:space="preserve">2 meses</t>
        </is>
      </c>
      <c r="S32" s="0" t="inlineStr">
        <is>
          <t xml:space="preserve">No</t>
        </is>
      </c>
      <c r="T32" s="4" t="inlineStr">
        <is>
          <t xml:space="preserve">El adjudicatario no podrá subcontratar, salvo autorización escrita de ProChile.</t>
        </is>
      </c>
      <c r="U32" s="0" t="inlineStr">
        <is>
          <t xml:space="preserve">Pradenas, Claudia</t>
        </is>
      </c>
      <c r="V32" s="4" t="inlineStr">
        <is>
          <t xml:space="preserve">ProChile invita a participar en el proceso de contratación para los servicios de implementación integral para el diseño y producción de material promocional y la optimización del sitio web del Catálogo Digital de las Industrias Creativas de la Región de Atacama, con el objeto de fortalecer la difusión y el posicionamiento del sector de las industrias creativas, incrementando la visibilidad y consolidando la gestión comercial de las empresas de la región, con el fin de mejorar su competitividad y apoyar el desarrollo de sus estrategias de internacionalización. “E1O2RT9”</t>
        </is>
      </c>
      <c r="W32" s="5" t="str">
        <f>HYPERLINK("https://www.mercadopublico.cl/Procurement/Modules/Attachment/ViewAttachment.aspx?enc=VTKTIV9P2NkaXSXPQSu1RlvO2%2bPGF%2bqS8Bod%2bttys7AvRXRk9EY1ySMURVB2yjZaUCZZcKvLYKSv1b%2b%2bdatuPO5n2z9ZWtIgckTBRepGg2fX0HNLW827a9L7Nme0TrTlR%2f1NeUWxYruIiNe%2bQvnlP8ghX%2fT4M%2bXl1zFySzXvTuvCk%2bzty804nUy%2f0RwbuvbFQkwabBVY6zMbzEYiUeuoi7O4CLcIXxLPuyjy5lEsm5g%2bKrtzSW3WLh9N3lwaMZf4ilkJFbcODM57YTuPJN%2fz9NrD6WXuIJ7SRq2HdQo%2bCWK2Eu853d64ZseYGvX8bNF%2f","descargar bases")</f>
      </c>
    </row>
    <row r="33">
      <c r="A33" s="0" t="inlineStr">
        <is>
          <t xml:space="preserve">2332-65-LE26</t>
        </is>
      </c>
      <c r="B33" s="4" t="inlineStr">
        <is>
          <t xml:space="preserve">ADQUISICIÓN DE ORTOPANTOMÓGRAFO DIGITAL Y CBCT 3D PARA EL DEPARTAMENTO DE SALUD MUNICIPAL DE PUERTO MONTT</t>
        </is>
      </c>
      <c r="C33" s="0" t="inlineStr">
        <is>
          <t xml:space="preserve">Publicada</t>
        </is>
      </c>
      <c r="D33" s="0" t="inlineStr">
        <is>
          <t xml:space="preserve">I MUNICIPALIDAD DE PUERTO MONTT</t>
        </is>
      </c>
      <c r="E33" s="0" t="inlineStr">
        <is>
          <t xml:space="preserve">Oficina de Adquisiciones del Departamento de Salud</t>
        </is>
      </c>
      <c r="F33" s="0" t="inlineStr">
        <is>
          <t xml:space="preserve">Región de los Lagos </t>
        </is>
      </c>
      <c r="G33" s="0"/>
      <c r="H33" s="2">
        <v>46294.722396</v>
      </c>
      <c r="I33" s="2">
        <v>46304.583333</v>
      </c>
      <c r="J33" s="0">
        <v>6</v>
      </c>
      <c r="K33" s="3">
        <v>70091000.0</v>
      </c>
      <c r="L33" s="0" t="inlineStr">
        <is>
          <t xml:space="preserve">CLP</t>
        </is>
      </c>
      <c r="M33" s="0" t="inlineStr">
        <is>
          <t xml:space="preserve">LE</t>
        </is>
      </c>
      <c r="N33" s="4" t="inlineStr">
        <is>
          <t xml:space="preserve">Artículos eléctricos y de iluminación / Equipamiento y artículos eléctricos / Equipamiento para distribución y transformación eléctrica, Equipamiento y suministros médicos / Equipos y suministros odontológicos / Equipo y suministros para imágenes dentales, Tecnologías de la información, telecomunicaciones y radiodifusión / Equipos informáticos y accesorios / Computadores</t>
        </is>
      </c>
      <c r="O33" s="4" t="inlineStr">
        <is>
          <t xml:space="preserve">1 Unidad · Unidades de Rayos X dentales · 1 Unidad · Computadores de escritorio · 1 Unidad · Fuentes de alimentación continua</t>
        </is>
      </c>
      <c r="P33" s="2"/>
      <c r="Q33" s="2"/>
      <c r="R33" s="0"/>
      <c r="S33" s="0" t="inlineStr">
        <is>
          <t xml:space="preserve">No</t>
        </is>
      </c>
      <c r="T33" s="4"/>
      <c r="U33" s="0" t="inlineStr">
        <is>
          <t xml:space="preserve">Mauro Oyarzun</t>
        </is>
      </c>
      <c r="V33" s="4" t="inlineStr">
        <is>
          <t xml:space="preserve">El Departamento de Salud Municipal de Puerto Montt, dentro de su estrategia de compras, tiene definido la “ADQUISICIÓN DE ORTOPANTOMÓGRAFO DIGITAL Y CBCT 3D PARA EL DEPARTAMENTO DE SALUD MUNICIPAL DE PUERTO MONTT”. Destinados a cubrir los requerimientos del Departamento de Salud Municipal y preservar la continuidad de las atenciones dentales a la comunidad de Puerto Montt.
Todas las líneas se evaluarán de manera global y se adjudicarán a un solo proveedor, asegurando el suministro total del servicio.</t>
        </is>
      </c>
      <c r="W33" s="5" t="str">
        <f>HYPERLINK("https://www.mercadopublico.cl/Procurement/Modules/Attachment/ViewAttachment.aspx?enc=lbxEfAAZDgP64soU%2f1AdHFEx22OQmILCooRqgP9DHIXMzzauR1C3T72h0yWM6fj%2fIA8j99lfyLhmxNhMtgiWZbV1lZ9gl03IuI9JSRudXXbUgiwgD9MOE5chH9bFPP2%2ftOxy3LMZG92AuRDW22A1deTycc4YP6%2bp9%2f5ylfabvzgTztE8FQodkonEYZZ1h5%2fPsLXJsqlM%2f9KgIe%2f3W%2fCEQczS%2bniA5hdg%2bl%2faqPikC4b8QryP7WX0dK91NKvHrWCdFTIqPBJ75VierNGRyAYDV6wk1GcctTzAY5AFxEUXr0FdR7je3VvZOzTJmHdic7xX","descargar bases")</f>
      </c>
    </row>
    <row r="34">
      <c r="A34" s="0" t="inlineStr">
        <is>
          <t xml:space="preserve">1020-38-LP26</t>
        </is>
      </c>
      <c r="B34" s="4" t="inlineStr">
        <is>
          <t xml:space="preserve">Adquisición de Plataforma Next Generation Firewall</t>
        </is>
      </c>
      <c r="C34" s="0" t="inlineStr">
        <is>
          <t xml:space="preserve">Publicada</t>
        </is>
      </c>
      <c r="D34" s="0" t="inlineStr">
        <is>
          <t xml:space="preserve">MINISTERIO DE OBRAS PUBLICAS DIREC CION GRAL DE OO PP DCYF</t>
        </is>
      </c>
      <c r="E34" s="0" t="inlineStr">
        <is>
          <t xml:space="preserve">MOP Subsecretaría </t>
        </is>
      </c>
      <c r="F34" s="0" t="inlineStr">
        <is>
          <t xml:space="preserve">Región Metropolitana de Santiago</t>
        </is>
      </c>
      <c r="G34" s="0"/>
      <c r="H34" s="2">
        <v>46252.442361</v>
      </c>
      <c r="I34" s="2">
        <v>46304.625</v>
      </c>
      <c r="J34" s="0">
        <v>6</v>
      </c>
      <c r="K34" s="3">
        <v>240000000.0</v>
      </c>
      <c r="L34" s="0" t="inlineStr">
        <is>
          <t xml:space="preserve">CLP</t>
        </is>
      </c>
      <c r="M34" s="0" t="inlineStr">
        <is>
          <t xml:space="preserve">LP</t>
        </is>
      </c>
      <c r="N34"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34" s="4" t="inlineStr">
        <is>
          <t xml:space="preserve">2 Unidad · Equipo de seguridad de red de firewall · 1 Unidad · Software de vigilancia de redes</t>
        </is>
      </c>
      <c r="P34" s="2"/>
      <c r="Q34" s="2"/>
      <c r="R34" s="0" t="inlineStr">
        <is>
          <t xml:space="preserve">16 meses</t>
        </is>
      </c>
      <c r="S34" s="0" t="inlineStr">
        <is>
          <t xml:space="preserve">No</t>
        </is>
      </c>
      <c r="T34" s="4" t="inlineStr">
        <is>
          <t xml:space="preserve">Conforme al punto 10.5 de las Bases Administrativas, el oferente adjudicado no podrá subcontratar los servicios derivados de la ejecución del Contrato</t>
        </is>
      </c>
      <c r="U34" s="0" t="inlineStr">
        <is>
          <t xml:space="preserve">Francisco Borques</t>
        </is>
      </c>
      <c r="V34"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34" s="5" t="str">
        <f>HYPERLINK("https://www.mercadopublico.cl/Procurement/Modules/Attachment/ViewAttachment.aspx?enc=RDipLN67hXU%2fxB3FrRoNkObNzgG1pZ32%2b1SvQ6j5UIh6fdQand5cWoogHgDlgdtdeqV20WX%2bfWkGR0PSPKTmSrce2JUwNRpIQlLlG59YXA2LDoIUMGiJPd8K%2bt1SiTZdeTSXoggLX2dLbl0jeQcip7T9G5%2bQ8ZJUymP%2bvNwMMW1gwUyXFYpcU72XWb0O9Kn61Fuztv4Z1ecyl5OvhcagQuuBzN6kCAOE3niSTLk3R9RoY%2bGwXD6dNJC%2bobbnJYgKu6UCIJyKF3JX9WR%2fJxdU6jh7LhXC5MVt7NeqH7yzZbi1drzv3lsOF%2bXihagDzF5H","descargar bases")</f>
      </c>
    </row>
    <row r="35">
      <c r="A35" s="0" t="inlineStr">
        <is>
          <t xml:space="preserve">1057532-82-LE26</t>
        </is>
      </c>
      <c r="B35" s="4" t="inlineStr">
        <is>
          <t xml:space="preserve">ADQ. TENSIOMETROS DIGITALES C SET BRAZALETES</t>
        </is>
      </c>
      <c r="C35" s="0" t="inlineStr">
        <is>
          <t xml:space="preserve">Publicada</t>
        </is>
      </c>
      <c r="D35" s="0" t="inlineStr">
        <is>
          <t xml:space="preserve">SERVICIO DE SALUD OSORNO</t>
        </is>
      </c>
      <c r="E35" s="0" t="inlineStr">
        <is>
          <t xml:space="preserve">Bienes y Servicios</t>
        </is>
      </c>
      <c r="F35" s="0" t="inlineStr">
        <is>
          <t xml:space="preserve">Región de los Lagos </t>
        </is>
      </c>
      <c r="G35" s="0" t="inlineStr">
        <is>
          <t xml:space="preserve">Osorno</t>
        </is>
      </c>
      <c r="H35" s="2">
        <v>46294.395266</v>
      </c>
      <c r="I35" s="2">
        <v>46304.625</v>
      </c>
      <c r="J35" s="0">
        <v>6</v>
      </c>
      <c r="K35" s="3">
        <v>10000000.0</v>
      </c>
      <c r="L35" s="0" t="inlineStr">
        <is>
          <t xml:space="preserve">CLP</t>
        </is>
      </c>
      <c r="M35" s="0" t="inlineStr">
        <is>
          <t xml:space="preserve">LE</t>
        </is>
      </c>
      <c r="N35" s="4" t="inlineStr">
        <is>
          <t xml:space="preserve">Equipamiento y suministros médicos / Productos para exámenes y control de pacientes / Unidades de presión sanguínea y productos relacionados</t>
        </is>
      </c>
      <c r="O35" s="4" t="inlineStr">
        <is>
          <t xml:space="preserve">1 Unidad · Unidades electrónicas de presión sanguínea</t>
        </is>
      </c>
      <c r="P35" s="2"/>
      <c r="Q35" s="2"/>
      <c r="R35" s="0"/>
      <c r="S35" s="0" t="inlineStr">
        <is>
          <t xml:space="preserve">No</t>
        </is>
      </c>
      <c r="T35" s="4" t="inlineStr">
        <is>
          <t xml:space="preserve">DE ACUERDO A NUMERAL 7.7 DE LAS BASES ADJUNTAS</t>
        </is>
      </c>
      <c r="U35" s="0" t="inlineStr">
        <is>
          <t xml:space="preserve">CONSUELO CORDOVA</t>
        </is>
      </c>
      <c r="V35" s="4" t="inlineStr">
        <is>
          <t xml:space="preserve">Tensiómetros Digitales con Set de Brazaletes Pediátrico, AdolescenteAdulto pequeño, Adulto Medio, Adulto GrandeObeso</t>
        </is>
      </c>
      <c r="W35" s="5" t="str">
        <f>HYPERLINK("https://www.mercadopublico.cl/Procurement/Modules/Attachment/ViewAttachment.aspx?enc=%2fATxeSbqkvPWxiOFUWLxq%2fhGWr3uX7eb10rgtdMKpdvmQwQN9gRU0MvkF1Og16xSSFe%2b%2fGvp3PXR1vmSBDWPe%2frydJhRo9UL5NaOz4jv6BP7XWgS35lIoJPQMGsqcoDJebOXPilVEsCDhjjfKEWYuQU2cNFHI8uIvxRfjQzS50XoNPdzwFZg4yLhB8nAnmxEzb0wnMXXvpgBk%2bDn85rAs2%2bsNk79Cf%2b2R%2bRawRDXbyXxG%2fO9yANSA49A51rwiSeZjZB7dzcZ5OeCIGHXHSAiJCEMLRYOEl989akxu%2fkc228YkBkfHX6U5%2bbuDDktHtKv","descargar bases")</f>
      </c>
    </row>
    <row r="36">
      <c r="A36" s="0" t="inlineStr">
        <is>
          <t xml:space="preserve">2239-2-LR26</t>
        </is>
      </c>
      <c r="B36" s="4" t="inlineStr">
        <is>
          <t xml:space="preserve">Convenio Marco Desarrollo de software</t>
        </is>
      </c>
      <c r="C36" s="0" t="inlineStr">
        <is>
          <t xml:space="preserve">Publicada</t>
        </is>
      </c>
      <c r="D36" s="0" t="inlineStr">
        <is>
          <t xml:space="preserve">DIRECCION DE COMPRAS Y CONTRATACION PUBLICA</t>
        </is>
      </c>
      <c r="E36" s="0" t="inlineStr">
        <is>
          <t xml:space="preserve">División de Convenio Marco</t>
        </is>
      </c>
      <c r="F36" s="0" t="inlineStr">
        <is>
          <t xml:space="preserve">Región Metropolitana de Santiago</t>
        </is>
      </c>
      <c r="G36" s="0" t="inlineStr">
        <is>
          <t xml:space="preserve">Santiago</t>
        </is>
      </c>
      <c r="H36" s="2">
        <v>46217.7375</v>
      </c>
      <c r="I36" s="2">
        <v>46304.625</v>
      </c>
      <c r="J36" s="0">
        <v>6</v>
      </c>
      <c r="K36" s="3"/>
      <c r="L36" s="0" t="inlineStr">
        <is>
          <t xml:space="preserve">CLF</t>
        </is>
      </c>
      <c r="M36" s="0" t="inlineStr">
        <is>
          <t xml:space="preserve">LR</t>
        </is>
      </c>
      <c r="N36" s="4" t="inlineStr">
        <is>
          <t xml:space="preserve">Servicios profesionales, administrativos y consultorías de gestión empresarial / Servicios de recursos humanos / Contratación de personal</t>
        </is>
      </c>
      <c r="O36" s="4" t="inlineStr">
        <is>
          <t xml:space="preserve">1 Unidad · Desarrolladores de software</t>
        </is>
      </c>
      <c r="P36" s="2"/>
      <c r="Q36" s="2"/>
      <c r="R36" s="0"/>
      <c r="S36" s="0" t="inlineStr">
        <is>
          <t xml:space="preserve">No</t>
        </is>
      </c>
      <c r="T36"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36" s="0" t="inlineStr">
        <is>
          <t xml:space="preserve">Convenio Marco</t>
        </is>
      </c>
      <c r="V36" s="4" t="inlineStr">
        <is>
          <t xml:space="preserve">Convenio Marco para la adquisición de los Servicios de Desarrollo y Mantención de Software, Servicios Profesionales TI y Cloud Computing</t>
        </is>
      </c>
      <c r="W36" s="5" t="str">
        <f>HYPERLINK("https://www.mercadopublico.cl/Procurement/Modules/Attachment/ViewAttachment.aspx?enc=kFiD0itXr51ZWYV%2fOMw%2bEtfIcL0dcHX8UgKnJGOKwtZJu9zehcGwnsqLWiNbMXpS7XL8KecEtCLMS%2bphCJbA%2boHEwblvDWhdz7AEhuFNmMc2yjnTw%2bZCZCkMu8kKZ309JWSp655RwWj0z6pGPsN%2bLSq%2fpaOXOe1GgoKJI4ncmjDwLSeGZPW%2boGAzn6e01IkTBpttEiIrFPXvlpaI2QA6PIUJkfWIPB6G98M74pmFdRVkWiPcsyXQun5gGro86MwLDK2IfqV7v6lgHl%2b948gQBgPEByTboR5Z0GDrhHC4TVJYGWwHQkdJ3JUmQySY%2ftPw","descargar bases")</f>
      </c>
    </row>
    <row r="37">
      <c r="A37" s="0" t="inlineStr">
        <is>
          <t xml:space="preserve">610-19-LE26</t>
        </is>
      </c>
      <c r="B37" s="4" t="inlineStr">
        <is>
          <t xml:space="preserve">Base de datos Plexos del Sistema Eléctrico Nacional</t>
        </is>
      </c>
      <c r="C37" s="0" t="inlineStr">
        <is>
          <t xml:space="preserve">Publicada</t>
        </is>
      </c>
      <c r="D37" s="0" t="inlineStr">
        <is>
          <t xml:space="preserve">Comisión Nacional de Energía</t>
        </is>
      </c>
      <c r="E37" s="0" t="inlineStr">
        <is>
          <t xml:space="preserve">Comisión Nacional de Energía</t>
        </is>
      </c>
      <c r="F37" s="0" t="inlineStr">
        <is>
          <t xml:space="preserve">Región Metropolitana de Santiago</t>
        </is>
      </c>
      <c r="G37" s="0" t="inlineStr">
        <is>
          <t xml:space="preserve">Santiago Centro</t>
        </is>
      </c>
      <c r="H37" s="2">
        <v>46287.700972</v>
      </c>
      <c r="I37" s="2">
        <v>46304.666667</v>
      </c>
      <c r="J37" s="0">
        <v>6</v>
      </c>
      <c r="K37" s="3">
        <v>50000000.0</v>
      </c>
      <c r="L37" s="0" t="inlineStr">
        <is>
          <t xml:space="preserve">CLP</t>
        </is>
      </c>
      <c r="M37" s="0" t="inlineStr">
        <is>
          <t xml:space="preserve">LE</t>
        </is>
      </c>
      <c r="N37" s="4" t="inlineStr">
        <is>
          <t xml:space="preserve">Servicios basados en ingeniería, ciencias sociales y tecnología de la información / Servicios profesionales de ingeniería / Ingeniería eléctrica y electrónica</t>
        </is>
      </c>
      <c r="O37" s="4" t="inlineStr">
        <is>
          <t xml:space="preserve">1 Unidad · Ingeniería eléctrica</t>
        </is>
      </c>
      <c r="P37" s="2"/>
      <c r="Q37" s="2"/>
      <c r="R37" s="0" t="inlineStr">
        <is>
          <t xml:space="preserve">360 días</t>
        </is>
      </c>
      <c r="S37" s="0" t="inlineStr">
        <is>
          <t xml:space="preserve">No</t>
        </is>
      </c>
      <c r="T37" s="4" t="inlineStr">
        <is>
          <t xml:space="preserve">De acuerdo a lo establecido en Bases de Licitación adjuntas.</t>
        </is>
      </c>
      <c r="U37" s="0" t="inlineStr">
        <is>
          <t xml:space="preserve">Esteban Robles Quiroga</t>
        </is>
      </c>
      <c r="V37" s="4" t="inlineStr">
        <is>
          <t xml:space="preserve">El objetivo general es contar con el desarrollo de una base de datos en el software Plexos, de carácter multinodal y multiembalse, que permita a la Comisión simular la operación económica del SEN para los procesos regulatorios de su competencia, en particular el proceso de Fijación de Precios de Nudo de Corto Plazo, en adelante “PNCP”, de manera consistente y comparable con los resultados obtenidos mediante el modelo actualmente en uso (OSE2000).</t>
        </is>
      </c>
      <c r="W37" s="5" t="str">
        <f>HYPERLINK("https://www.mercadopublico.cl/Procurement/Modules/Attachment/ViewAttachment.aspx?enc=ozVARICcNq%2f1Ahes9IrQn6rqF4LunTpZ%2bZ14bt9TFCzrD8b8bUTc0KuWEz2QQFy3vRoYn5WtFkRhhTxox%2fhzcd5o4%2fampRM0s0wLgBQLvAPWg7U03IR93Y7baUtAslUz37sWK7VaWf3aigSW4LS%2fT%2bN%2bbDhsirkzNOs7%2f9z2PFQ3ApKNLpEIDqaANdT9X%2bws7pTqi24VddcS%2bklO08x0gdyNHrIUy2LAAxBe%2fksB1YMzkc5%2bYeJG%2fXkTDDt4t2hCP2sAG74G9sQuoW%2beydZkTInbadPI5pLLkOFdd30QAaouFUUYqtReBJ2%2f%2bS1xVxok","descargar bases")</f>
      </c>
    </row>
    <row r="38">
      <c r="A38" s="0" t="inlineStr">
        <is>
          <t xml:space="preserve">3928-62-LE26</t>
        </is>
      </c>
      <c r="B38" s="4" t="inlineStr">
        <is>
          <t xml:space="preserve">ADQUISICION DE SOFTWARE Y EQUIPAMIENTO TECNOLOGICO PARA ESCUELA DE CAHUIL</t>
        </is>
      </c>
      <c r="C38" s="0" t="inlineStr">
        <is>
          <t xml:space="preserve">Publicada</t>
        </is>
      </c>
      <c r="D38" s="0" t="inlineStr">
        <is>
          <t xml:space="preserve">ILUSTRE MUNICIPALIDAD DE PICHILEMU</t>
        </is>
      </c>
      <c r="E38" s="0" t="inlineStr">
        <is>
          <t xml:space="preserve">Educación Municipal</t>
        </is>
      </c>
      <c r="F38" s="0" t="inlineStr">
        <is>
          <t xml:space="preserve">Región del Libertador General Bernardo O´Higgins</t>
        </is>
      </c>
      <c r="G38" s="0" t="inlineStr">
        <is>
          <t xml:space="preserve">Pichilemu</t>
        </is>
      </c>
      <c r="H38" s="2">
        <v>46290.638773</v>
      </c>
      <c r="I38" s="2">
        <v>46304.666667</v>
      </c>
      <c r="J38" s="0">
        <v>6</v>
      </c>
      <c r="K38" s="3">
        <v>9100000.0</v>
      </c>
      <c r="L38" s="0" t="inlineStr">
        <is>
          <t xml:space="preserve">CLP</t>
        </is>
      </c>
      <c r="M38" s="0" t="inlineStr">
        <is>
          <t xml:space="preserve">LE</t>
        </is>
      </c>
      <c r="N38" s="4" t="inlineStr">
        <is>
          <t xml:space="preserve">Maquinaria para fabricación y transformación industrial / Maquinaria y suministros de procesos industriales / Maquinaria para la industria farmacéutica, Tecnologías de la información, telecomunicaciones y radiodifusión / Software / Software de ocio o juegos de computador</t>
        </is>
      </c>
      <c r="O38" s="4" t="inlineStr">
        <is>
          <t xml:space="preserve">1 Global · Contadores de tabletas · 1 Global · Software doméstico</t>
        </is>
      </c>
      <c r="P38" s="2"/>
      <c r="Q38" s="2"/>
      <c r="R38" s="0"/>
      <c r="S38" s="0" t="inlineStr">
        <is>
          <t xml:space="preserve">No</t>
        </is>
      </c>
      <c r="T38" s="4"/>
      <c r="U38" s="0" t="inlineStr">
        <is>
          <t xml:space="preserve">MERYS TAPIA LATORRES</t>
        </is>
      </c>
      <c r="V38" s="4" t="inlineStr">
        <is>
          <t xml:space="preserve">ADQUISICION DE SOFTWARE Y EQUIPAMIENTO TECNOLOGICO PARA ESCUELA DE CAHUIL
DECRETO N° 2628 DEL 15.09.2026
FONDOS LEY SEP ESCUELA DECAHUIL</t>
        </is>
      </c>
      <c r="W38" s="5" t="str">
        <f>HYPERLINK("https://www.mercadopublico.cl/Procurement/Modules/Attachment/ViewAttachment.aspx?enc=%2ft3ZfYH4gCMt7GtuaTtLuJEubHYjYM1tYw4%2fn3WCKCoVnffQvDe9OW43a0sQyQ%2baq4XJb3Hnc8R%2fH9fDgTEiNC1Zv0mlKcu400PaG61hF9IdUUl8zMMpyJ6hFl2iqkPU1LSDHd8Db7RDcLw%2fcr6fQtgJHrA2kXoHH7W2%2fKo1svexB92KtHLu6aL3a%2faSR0gECbs3oWkuBonluIYtZ9rdI8m%2f6H82FM0%2fQOSfEZq3aSPSEKyeNh759EUayRVf2q5oXnGeb7yEasN5PsEV3XsjAXF0vPLJ2aVCkjOPp6TGKprFYcE5Gz6ZuxymgyUSEDlf","descargar bases")</f>
      </c>
    </row>
    <row r="39">
      <c r="A39" s="0" t="inlineStr">
        <is>
          <t xml:space="preserve">3073-53-LE26</t>
        </is>
      </c>
      <c r="B39" s="4" t="inlineStr">
        <is>
          <t xml:space="preserve">Adq. licencias informáticas.Completar Formularios</t>
        </is>
      </c>
      <c r="C39" s="0" t="inlineStr">
        <is>
          <t xml:space="preserve">Publicada</t>
        </is>
      </c>
      <c r="D39" s="0" t="inlineStr">
        <is>
          <t xml:space="preserve">DIRECCION DE ABASTECIMIENTO DE LA ARMADA</t>
        </is>
      </c>
      <c r="E39" s="0" t="inlineStr">
        <is>
          <t xml:space="preserve">SERVICIO HIDROGRAFICO Y OCEANOGRAFICO</t>
        </is>
      </c>
      <c r="F39" s="0" t="inlineStr">
        <is>
          <t xml:space="preserve">Región de Valparaíso </t>
        </is>
      </c>
      <c r="G39" s="0"/>
      <c r="H39" s="2">
        <v>46294.467847</v>
      </c>
      <c r="I39" s="2">
        <v>46304.833333</v>
      </c>
      <c r="J39" s="0">
        <v>6</v>
      </c>
      <c r="K39" s="3">
        <v>15500000.0</v>
      </c>
      <c r="L39" s="0" t="inlineStr">
        <is>
          <t xml:space="preserve">CLP</t>
        </is>
      </c>
      <c r="M39" s="0" t="inlineStr">
        <is>
          <t xml:space="preserve">LE</t>
        </is>
      </c>
      <c r="N39" s="4" t="inlineStr">
        <is>
          <t xml:space="preserve">Tecnologías de la información, telecomunicaciones y radiodifusión / Software / Software de gestión</t>
        </is>
      </c>
      <c r="O39" s="4" t="inlineStr">
        <is>
          <t xml:space="preserve">10 Unidad · Software de gestión de licencias</t>
        </is>
      </c>
      <c r="P39" s="2"/>
      <c r="Q39" s="2"/>
      <c r="R39" s="0"/>
      <c r="S39" s="0" t="inlineStr">
        <is>
          <t xml:space="preserve">No</t>
        </is>
      </c>
      <c r="T39" s="4" t="inlineStr">
        <is>
          <t xml:space="preserve">Según Bases de Licitación.</t>
        </is>
      </c>
      <c r="U39" s="0" t="inlineStr">
        <is>
          <t xml:space="preserve">Javier Fernández Oyarzún</t>
        </is>
      </c>
      <c r="V39" s="4" t="inlineStr">
        <is>
          <t xml:space="preserve">El Servicio Hidrográfico y Oceanográfico de la Armada, requiere adquirir 10 licencias informáticas. Completar los 7 formularios.</t>
        </is>
      </c>
      <c r="W39" s="5" t="str">
        <f>HYPERLINK("https://www.mercadopublico.cl/Procurement/Modules/Attachment/ViewAttachment.aspx?enc=%2f2cbqQhZgd9N5wJxB6GmcFrep6%2bPduf1iyEb3tlbPypsHMhDY4caMLHIq9PCNgPgAWlDspgsPi5vmruyrd6vE8dek654GtgQD4EMkUR%2fdf%2bx80rhMPAl1m%2bki1kqTAOyWGF7qqJ7Rmt9zG5RTyDi9c9TULHiA7WPR1C4Z%2bAUQbH3yTe9y5BRx%2bhGAD9B0IdCzUcNqJftgTcZInoqMc9%2fixjLgfrJpqO5x7ctflM3hH%2f4%2f%2b008DUzvgcJk1jEcLS%2ftw39ngTCAgcGp%2bMANeTa%2fy2t0pslBlQ74AJMvz27xuJxWPR9JUbqnpI%2fr%2b93sAcG","descargar bases")</f>
      </c>
    </row>
    <row r="40">
      <c r="A40" s="0" t="inlineStr">
        <is>
          <t xml:space="preserve">1020-40-LP26</t>
        </is>
      </c>
      <c r="B40" s="4" t="inlineStr">
        <is>
          <t xml:space="preserve">Serv.Cloud Amazon Web Services AWS o Equivalente</t>
        </is>
      </c>
      <c r="C40" s="0" t="inlineStr">
        <is>
          <t xml:space="preserve">Publicada</t>
        </is>
      </c>
      <c r="D40" s="0" t="inlineStr">
        <is>
          <t xml:space="preserve">MINISTERIO DE OBRAS PUBLICAS DIREC CION GRAL DE OO PP DCYF</t>
        </is>
      </c>
      <c r="E40" s="0" t="inlineStr">
        <is>
          <t xml:space="preserve">MOP Subsecretaría </t>
        </is>
      </c>
      <c r="F40" s="0" t="inlineStr">
        <is>
          <t xml:space="preserve">Región Metropolitana de Santiago</t>
        </is>
      </c>
      <c r="G40" s="0"/>
      <c r="H40" s="2">
        <v>46254.652083</v>
      </c>
      <c r="I40" s="2">
        <v>46308.625694</v>
      </c>
      <c r="J40" s="0">
        <v>10</v>
      </c>
      <c r="K40" s="3">
        <v>295121.0</v>
      </c>
      <c r="L40" s="0" t="inlineStr">
        <is>
          <t xml:space="preserve">USD</t>
        </is>
      </c>
      <c r="M40" s="0" t="inlineStr">
        <is>
          <t xml:space="preserve">LP</t>
        </is>
      </c>
      <c r="N40" s="4" t="inlineStr">
        <is>
          <t xml:space="preserve">Tecnologías de la información, telecomunicaciones y radiodifusión / Software / Software de consultas y gestión de datos</t>
        </is>
      </c>
      <c r="O40" s="4" t="inlineStr">
        <is>
          <t xml:space="preserve">1 Unidad · Software del sistema de administración de bases de datos</t>
        </is>
      </c>
      <c r="P40" s="2"/>
      <c r="Q40" s="2"/>
      <c r="R40" s="0" t="inlineStr">
        <is>
          <t xml:space="preserve">36 meses</t>
        </is>
      </c>
      <c r="S40" s="0" t="inlineStr">
        <is>
          <t xml:space="preserve">No</t>
        </is>
      </c>
      <c r="T40" s="4" t="inlineStr">
        <is>
          <t xml:space="preserve">Ver numeral 10.5 de las Bases Administrativas, en archivo adjunto.</t>
        </is>
      </c>
      <c r="U40" s="0" t="inlineStr">
        <is>
          <t xml:space="preserve">Carmen Gloria Ponce Pérez</t>
        </is>
      </c>
      <c r="V40"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40" s="5" t="str">
        <f>HYPERLINK("https://www.mercadopublico.cl/Procurement/Modules/Attachment/ViewAttachment.aspx?enc=g6Eco9KQYPBO%2fTwi3E%2b2wJ3JnlycSk2ceVJQqNMbvOUflTCp%2bIh%2bF75bNY1%2f081Q0NGxFsvQ%2frv00Gq4TrZrDCJNdKi5%2bqIi%2b90nNXvFExwk9AgYnBrYZzDij38whflSSU0MJktTOnHaeY04HC1WNRokB6QWokgUQFZr3LyvzuHlOpCwDL6BKKWyJaTFpwrG%2fSg2MAISwE8uO7fvgoIBh%2b9pHO0%2bwThgPIMsRJc0kvrNKysw5KLOK2Hip6Z6MNjhdaDtYwlv3YAMsq5LSwXtI0Umx1j6K1g6umOVzKMO3Qj3003jm0y%2bDQjQt7T97z7m","descargar bases")</f>
      </c>
    </row>
    <row r="41">
      <c r="A41" s="0" t="inlineStr">
        <is>
          <t xml:space="preserve">1111089-20-LE26</t>
        </is>
      </c>
      <c r="B41" s="4" t="inlineStr">
        <is>
          <t xml:space="preserve">LICENCIAS DE SOFTWARE Y COMPLEMENTOS TECNOLÓGICOS</t>
        </is>
      </c>
      <c r="C41" s="0" t="inlineStr">
        <is>
          <t xml:space="preserve">Publicada</t>
        </is>
      </c>
      <c r="D41" s="0" t="inlineStr">
        <is>
          <t xml:space="preserve">Comisión Nacional de Investigación Científica y Tecnológicas - CONICYT</t>
        </is>
      </c>
      <c r="E41" s="0" t="inlineStr">
        <is>
          <t xml:space="preserve">Agencia Nacional de Investigación y Desarrollo</t>
        </is>
      </c>
      <c r="F41" s="0" t="inlineStr">
        <is>
          <t xml:space="preserve">Región Metropolitana de Santiago</t>
        </is>
      </c>
      <c r="G41" s="0" t="inlineStr">
        <is>
          <t xml:space="preserve">Santiago</t>
        </is>
      </c>
      <c r="H41" s="2">
        <v>46295.772187</v>
      </c>
      <c r="I41" s="2">
        <v>46308.625694</v>
      </c>
      <c r="J41" s="0">
        <v>10</v>
      </c>
      <c r="K41" s="3">
        <v>11090000.0</v>
      </c>
      <c r="L41" s="0" t="inlineStr">
        <is>
          <t xml:space="preserve">CLP</t>
        </is>
      </c>
      <c r="M41" s="0" t="inlineStr">
        <is>
          <t xml:space="preserve">LE</t>
        </is>
      </c>
      <c r="N41" s="4" t="inlineStr">
        <is>
          <t xml:space="preserve">Tecnologías de la información, telecomunicaciones y radiodifusión / Software / Programas de desarrollo, Tecnologías de la información, telecomunicaciones y radiodifusión / Software / Software de aplicaciones de red, Tecnologías de la información, telecomunicaciones y radiodifusión / Software / Software de controladores de dispositivos y utilidades, Tecnologías de la información, telecomunicaciones y radiodifusión / Software / Software de edición y creación de contenidos</t>
        </is>
      </c>
      <c r="O41" s="4" t="inlineStr">
        <is>
          <t xml:space="preserve">1 Unidad · Software de servidor de aplicaciones · 1 Unidad · Software de compresión de datos · 1 Unidad · Software de servidor de aplicaciones · y 4 más</t>
        </is>
      </c>
      <c r="P41" s="2"/>
      <c r="Q41" s="2"/>
      <c r="R41" s="0" t="inlineStr">
        <is>
          <t xml:space="preserve">12 meses</t>
        </is>
      </c>
      <c r="S41" s="0" t="inlineStr">
        <is>
          <t xml:space="preserve">No</t>
        </is>
      </c>
      <c r="T41" s="4"/>
      <c r="U41" s="0" t="inlineStr">
        <is>
          <t xml:space="preserve">Joel Donoso</t>
        </is>
      </c>
      <c r="V41" s="4" t="inlineStr">
        <is>
          <t xml:space="preserve">La Agencia Nacional de Investigación y Desarrollo ANID requiere contratar la adquisición y renovación de licencias de software utilizadas en el desarrollo de sus funciones institucionales, con el objeto de asegurar la continuidad operativa de las plataformas y herramientas tecnológicas que apoyan los procesos de gestión, análisis de información, diseño, administración y publicación de contenidos institucionales.</t>
        </is>
      </c>
      <c r="W41" s="5" t="str">
        <f>HYPERLINK("https://www.mercadopublico.cl/Procurement/Modules/Attachment/ViewAttachment.aspx?enc=G0922%2fuxr4yDPIUxFzakqMZqTSbkaY%2bwx8%2fAQBOR6MjMJjVgEcbbTiRB2ud%2fXXPRC%2becI5qgJj0mCBl9Uc7ra3EY17r7KCP1rmdVcLcW4aQ7RAZLgGYG9WHpZUxfB9fzBEIGQrs4fekWeGw3jCjK5WAvf9VvqpvHbtAxmCN%2bCa5pmpWPEgwGakL9VTdS%2b9XZ5Jb24GRMt1EwupCVJJ1kaeFvznWCCVcoIIR9HcFcKus8YwAYYFSasNc8R4DmUXZQQpNf9%2fVFHCjC4J9tRjDDvVvRDzGt%2bV8CojkiBmbgTsdacz3MlJdKRcM9eMn3Wjxp","descargar bases")</f>
      </c>
    </row>
    <row r="42">
      <c r="A42" s="0" t="inlineStr">
        <is>
          <t xml:space="preserve">1126922-40-L126</t>
        </is>
      </c>
      <c r="B42" s="4" t="inlineStr">
        <is>
          <t xml:space="preserve">PLATAFORMA WEB PARA GESTION DE DOTACION</t>
        </is>
      </c>
      <c r="C42" s="0" t="inlineStr">
        <is>
          <t xml:space="preserve">Publicada</t>
        </is>
      </c>
      <c r="D42" s="0" t="inlineStr">
        <is>
          <t xml:space="preserve">SERVICIO LOCAL DE EDUCACION PUBLICA DE LLANQUIHUE</t>
        </is>
      </c>
      <c r="E42" s="0" t="inlineStr">
        <is>
          <t xml:space="preserve">SERVICIO LOCAL DE EDUCACION PUBLICA DE LLANQUIHUE</t>
        </is>
      </c>
      <c r="F42" s="0" t="inlineStr">
        <is>
          <t xml:space="preserve">Región de los Lagos </t>
        </is>
      </c>
      <c r="G42" s="0" t="inlineStr">
        <is>
          <t xml:space="preserve">Frutillar</t>
        </is>
      </c>
      <c r="H42" s="2">
        <v>46296.592384</v>
      </c>
      <c r="I42" s="2">
        <v>46308.625694</v>
      </c>
      <c r="J42" s="0">
        <v>10</v>
      </c>
      <c r="K42" s="3"/>
      <c r="L42" s="0" t="inlineStr">
        <is>
          <t xml:space="preserve">CLP</t>
        </is>
      </c>
      <c r="M42" s="0" t="inlineStr">
        <is>
          <t xml:space="preserve">L1</t>
        </is>
      </c>
      <c r="N42" s="4" t="inlineStr">
        <is>
          <t xml:space="preserve">Tecnologías de la información, telecomunicaciones y radiodifusión / Software / Programas de desarrollo</t>
        </is>
      </c>
      <c r="O42" s="4" t="inlineStr">
        <is>
          <t xml:space="preserve">1 Global · Software de desarrollo de plataforma Web</t>
        </is>
      </c>
      <c r="P42" s="2"/>
      <c r="Q42" s="2"/>
      <c r="R42" s="0"/>
      <c r="S42" s="0" t="inlineStr">
        <is>
          <t xml:space="preserve">No</t>
        </is>
      </c>
      <c r="T42" s="4"/>
      <c r="U42" s="0" t="inlineStr">
        <is>
          <t xml:space="preserve">Cristian Téllez Calixto</t>
        </is>
      </c>
      <c r="V42" s="4" t="inlineStr">
        <is>
          <t xml:space="preserve">CONTRATACIÓN DEL SERVICIO DE GESTIÓN DE DOTACIÓN DOCENTE Y ASISTENTES DE LA EDUCACIÓN MEDIANTE PLATAFORMA WEB PARA LOS ESTABLECIMIENTOS
EDUCACIONALES DEL SERVICIO LOCAL DE EDUCACIÓN PÚBLICA LLANQUIHUE</t>
        </is>
      </c>
      <c r="W42" s="5" t="str">
        <f>HYPERLINK("https://www.mercadopublico.cl/Procurement/Modules/Attachment/ViewAttachment.aspx?enc=BLE4Zxqty37Tjk2nn5s37yozeXb3kbG40SZ3wvGA%2bAMnTu6hT2WoANJF7MjhdBWXKRf5CQ5ARNbNS%2fDav7Tbyill5%2bcw%2b5y5KmFvTIPTgu%2bqstf1HjKYL0GsIVUnUBKimkchjqu4qgJFpgRZvn8NIATY6C3%2fUlZoY4bgJgZBkOzLwNdV8B7ePGKU8adNzb4yrvw4SA%2bMO0nFOaF6q2F5I5PfQA%2fnLyCPdIOrk3tYkYHN9mCo8R3PZq%2fPY5tQ%2fhAAp9SYOvuVGQ2YL0xyAD2%2fL2v09Spyb6%2fwqrp1IsB%2bgRuItRpznkAi3%2bT0ltoSlvgu","descargar bases")</f>
      </c>
    </row>
    <row r="43">
      <c r="A43" s="0" t="inlineStr">
        <is>
          <t xml:space="preserve">1239966-13-LP26</t>
        </is>
      </c>
      <c r="B43" s="4" t="inlineStr">
        <is>
          <t xml:space="preserve">CONVENIO AGL EQUIPAMIENTO TECNOLÓGICO E INFORMÁTIC</t>
        </is>
      </c>
      <c r="C43" s="0" t="inlineStr">
        <is>
          <t xml:space="preserve">Publicada</t>
        </is>
      </c>
      <c r="D43" s="0" t="inlineStr">
        <is>
          <t xml:space="preserve">Corporación de Ecuación, Salud y Menores de Puerto Natales</t>
        </is>
      </c>
      <c r="E43" s="0" t="inlineStr">
        <is>
          <t xml:space="preserve">CESFAM JUAN LOZIC PEREZ</t>
        </is>
      </c>
      <c r="F43" s="0" t="inlineStr">
        <is>
          <t xml:space="preserve">Región de Magallanes y de la Antártica</t>
        </is>
      </c>
      <c r="G43" s="0" t="inlineStr">
        <is>
          <t xml:space="preserve">Puerto Natales</t>
        </is>
      </c>
      <c r="H43" s="2">
        <v>46293.632037</v>
      </c>
      <c r="I43" s="2">
        <v>46308.625694</v>
      </c>
      <c r="J43" s="0">
        <v>10</v>
      </c>
      <c r="K43" s="3"/>
      <c r="L43" s="0" t="inlineStr">
        <is>
          <t xml:space="preserve">CLP</t>
        </is>
      </c>
      <c r="M43" s="0" t="inlineStr">
        <is>
          <t xml:space="preserve">LP</t>
        </is>
      </c>
      <c r="N43" s="4" t="inlineStr">
        <is>
          <t xml:space="preserve">Tecnologías de la información, telecomunicaciones y radiodifusión / Equipos informáticos y accesorios / Computadores</t>
        </is>
      </c>
      <c r="O43" s="4" t="inlineStr">
        <is>
          <t xml:space="preserve">1 Unidad · Computadores personales</t>
        </is>
      </c>
      <c r="P43" s="2"/>
      <c r="Q43" s="2"/>
      <c r="R43" s="0"/>
      <c r="S43" s="0" t="inlineStr">
        <is>
          <t xml:space="preserve">No</t>
        </is>
      </c>
      <c r="T43" s="4"/>
      <c r="U43" s="0" t="inlineStr">
        <is>
          <t xml:space="preserve">Daniela Vega Blasquez</t>
        </is>
      </c>
      <c r="V43" s="4" t="inlineStr">
        <is>
          <t xml:space="preserve">Se requiere adquirir los productos del convenio al Programa de Apoyo a la Gestión a Nivel Local en Atención Primaria de Salud, para el Cesfam Dr. Juan E. Lozic Pérez, ubicado en Javiera Carrera N°1430, de la Ciudad de Puerto Natales</t>
        </is>
      </c>
      <c r="W43" s="5" t="str">
        <f>HYPERLINK("https://www.mercadopublico.cl/Procurement/Modules/Attachment/ViewAttachment.aspx?enc=dvAwF6Y%2fp6yeXDUuhbCMYfjZCqrdcUyucsG21V8HBxn%2bn%2fRgCpWrjK1hDQ4XIbiIFrmts59JVcNaxDXRZCQy4LE0%2baPgMJ6YJm%2fuPG%2bWuB0KBMH%2bIFnOkvaxgALzlRzg%2bP9hccFSRwpMD0ENpOXR0lLU6in560pBUlCpr45DRC7vd3MKIZArEWJRA0ADSqP43lvFDPl4SuLR%2fxDYIcS9nlhxAODUYbhzXFhEjVyA7kRqkjQDz18hjeKtrjW9SNLv8Xo8rUt049R2pGDcnM9mniuSkprUkyKbTZQOSiDCcoy1zgvUKeLk0au7GQfYPgZF","descargar bases")</f>
      </c>
    </row>
    <row r="44">
      <c r="A44" s="0" t="inlineStr">
        <is>
          <t xml:space="preserve">1375753-39-LE26</t>
        </is>
      </c>
      <c r="B44" s="4" t="inlineStr">
        <is>
          <t xml:space="preserve">Adquisición de equipos informaticos SLEP Los Andes</t>
        </is>
      </c>
      <c r="C44" s="0" t="inlineStr">
        <is>
          <t xml:space="preserve">Publicada</t>
        </is>
      </c>
      <c r="D44" s="0" t="inlineStr">
        <is>
          <t xml:space="preserve">SERVICIO LOCAL DE EDUCACIÓN PÚBLICA LOS ANDES</t>
        </is>
      </c>
      <c r="E44" s="0" t="inlineStr">
        <is>
          <t xml:space="preserve">COMPRAS Y LICITACIONES</t>
        </is>
      </c>
      <c r="F44" s="0" t="inlineStr">
        <is>
          <t xml:space="preserve">Región de Valparaíso </t>
        </is>
      </c>
      <c r="G44" s="0" t="inlineStr">
        <is>
          <t xml:space="preserve">Santiago</t>
        </is>
      </c>
      <c r="H44" s="2">
        <v>46296.534977</v>
      </c>
      <c r="I44" s="2">
        <v>46308.625694</v>
      </c>
      <c r="J44" s="0">
        <v>10</v>
      </c>
      <c r="K44" s="3"/>
      <c r="L44" s="0" t="inlineStr">
        <is>
          <t xml:space="preserve">CLP</t>
        </is>
      </c>
      <c r="M44" s="0" t="inlineStr">
        <is>
          <t xml:space="preserve">LE</t>
        </is>
      </c>
      <c r="N44" s="4" t="inlineStr">
        <is>
          <t xml:space="preserve">Equipos y suministros de imprenta, fotográficos y audiovisuales / Equipos de composición y presentación audiovisual / Proyectores y suministros, Tecnologías de la información, telecomunicaciones y radiodifusión / Componentes para tecnología de la información, difusión o telecomunicaciones / Dispositivos de soporte de almacenamiento, Tecnologías de la información, telecomunicaciones y radiodifusión / Equipos informáticos y accesorios / Computadores, Tecnologías de la información, telecomunicaciones y radiodifusión / Equipos informáticos y accesorios / Impresoras, Tecnologías de la información, telecomunicaciones y radiodifusión / Equipos informáticos y accesorios / Pantallas o monitores de computador, Vehículos y equipamiento en general / Aeronaves / Aeronave de ala fija militar</t>
        </is>
      </c>
      <c r="O44" s="4" t="inlineStr">
        <is>
          <t xml:space="preserve">9 Unidad · Notebook, laptop o computador portátil excepto Tablet PC · 5 Unidad · Monitores de pantalla táctil · 1 Unidad · Servidores · y 5 más</t>
        </is>
      </c>
      <c r="P44" s="2"/>
      <c r="Q44" s="2"/>
      <c r="R44" s="0"/>
      <c r="S44" s="0" t="inlineStr">
        <is>
          <t xml:space="preserve">No</t>
        </is>
      </c>
      <c r="T44" s="4" t="inlineStr">
        <is>
          <t xml:space="preserve">Según se indica en bases adjuntas</t>
        </is>
      </c>
      <c r="U44" s="0" t="inlineStr">
        <is>
          <t xml:space="preserve">Marcelo Blanca</t>
        </is>
      </c>
      <c r="V44" s="4" t="inlineStr">
        <is>
          <t xml:space="preserve">Fortalecer las capacidades tecnológicas y operativas del Servicio Local de Educación Pública de Los Andes mediante la adquisición de equipamiento informático, audiovisual, de almacenamiento y seguridad, destinado a apoyar la gestión administrativa, las actividades institucionales, el resguardo de información y la continuidad operativa del Servicio.</t>
        </is>
      </c>
      <c r="W44" s="5" t="str">
        <f>HYPERLINK("https://www.mercadopublico.cl/Procurement/Modules/Attachment/ViewAttachment.aspx?enc=dnkiEeg1FwZllMmW6uyqVBXZnksonwGX11tq9HJ4pJJSGM7liWLB31qtdAE6c1hRLLHIB7VaPtlidU3ijZWarbDzjVRoZCkGeZu8dKrnHbuuTuejHPNgMzlhNM9v0TEQHuoyQt7vpsgmu02nE6yRh9OdRrm2TGpKreRfyBAEtYYjGmRm958Y0dwkNzMIU%2bsxuMEBiTB18DzQNCXt2zjEscVN1VVZRtjmI%2fgCMzI5eGhnRCH3JfjtiV8CR8pPMkDKUpV28CiE%2f9h3ZucgpKMAcA3D15kU%2bdWmTYxz42QacRVa1y8ynL%2bMOasEyU4H%2bVfh","descargar bases")</f>
      </c>
    </row>
    <row r="45">
      <c r="A45" s="0" t="inlineStr">
        <is>
          <t xml:space="preserve">2013-15-LE26</t>
        </is>
      </c>
      <c r="B45" s="4" t="inlineStr">
        <is>
          <t xml:space="preserve">CONTRATACIÓN DE SERVICIO DE SOFTWARE ODONTOLÓGICO</t>
        </is>
      </c>
      <c r="C45" s="0" t="inlineStr">
        <is>
          <t xml:space="preserve">Publicada</t>
        </is>
      </c>
      <c r="D45" s="0" t="inlineStr">
        <is>
          <t xml:space="preserve">UNIVERSIDAD ARTURO PRAT</t>
        </is>
      </c>
      <c r="E45" s="0" t="inlineStr">
        <is>
          <t xml:space="preserve">UNIVERSIDAD ARTURO PRAT SEDE IQUIQUE</t>
        </is>
      </c>
      <c r="F45" s="0" t="inlineStr">
        <is>
          <t xml:space="preserve">Región de Tarapacá  </t>
        </is>
      </c>
      <c r="G45" s="0" t="inlineStr">
        <is>
          <t xml:space="preserve">Iquique</t>
        </is>
      </c>
      <c r="H45" s="2">
        <v>46296.609248</v>
      </c>
      <c r="I45" s="2">
        <v>46308.625694</v>
      </c>
      <c r="J45" s="0">
        <v>10</v>
      </c>
      <c r="K45" s="3">
        <v>28000000.0</v>
      </c>
      <c r="L45" s="0" t="inlineStr">
        <is>
          <t xml:space="preserve">CLP</t>
        </is>
      </c>
      <c r="M45" s="0" t="inlineStr">
        <is>
          <t xml:space="preserve">LE</t>
        </is>
      </c>
      <c r="N45" s="4" t="inlineStr">
        <is>
          <t xml:space="preserve">Servicios profesionales, administrativos y consultorías de gestión empresarial / Servicios de recursos humanos / Contratación de personal</t>
        </is>
      </c>
      <c r="O45" s="4" t="inlineStr">
        <is>
          <t xml:space="preserve">1 Global · Desarrolladores de software</t>
        </is>
      </c>
      <c r="P45" s="2"/>
      <c r="Q45" s="2"/>
      <c r="R45" s="0" t="inlineStr">
        <is>
          <t xml:space="preserve">12 meses</t>
        </is>
      </c>
      <c r="S45" s="0" t="inlineStr">
        <is>
          <t xml:space="preserve">No</t>
        </is>
      </c>
      <c r="T45" s="4" t="inlineStr">
        <is>
          <t xml:space="preserve">En caso que se prohíba subcontratar la entrega de los productos o la prestación de los servicios encomendados, el incumplimiento de esta prohibición de parte del contratista se considerará de carácter grave, facultándose a la Universidad para poner térm</t>
        </is>
      </c>
      <c r="U45" s="0" t="inlineStr">
        <is>
          <t xml:space="preserve">GERARDO YEVENES FUENTES</t>
        </is>
      </c>
      <c r="V45" s="4" t="inlineStr">
        <is>
          <t xml:space="preserve">Es indispensable contratar por 12 meses el Software Odontológico Académico Digital para los Centros Odontológicos. Esta plataforma permite la operación clínica y académica, la supervisión docente y la continuidad formativa, asegurando el cumplimiento de la Ley N°20.584 sobre confidencialidad de fichas clínicas, trazabilidad de tratamientos y calidad asistencial universitaria.</t>
        </is>
      </c>
      <c r="W45" s="5" t="str">
        <f>HYPERLINK("https://www.mercadopublico.cl/Procurement/Modules/Attachment/ViewAttachment.aspx?enc=yy0%2fjcpxOaypxMQDqn2TnE1MyYMaTPlgpVOeXItExz8J89b9%2fJC5sod9xvjSLppYllZLzNkdmI6y%2fIcOrxLg6wWvUh7ZAKXO4ZdWju%2fBhxjjlWFt0UPqpx09r0yOBddnwggVWuYWKFD3GuilO5JG9kVPokCC1OmYkNThTLuoLAT8mzx3JsxapxvtOHsp1eQ18dqNXkfZoTlbTg8uZQrEX0RdOfQsJ59QmH9aLeZDWPHFi5hOcK2WZ0eBXlSnBDLQUZ%2fsa09nlpStsCn4ozbjoq6z%2bRthVaRy7LjCVbn%2bRwMR4zeepyzTL9G2kRgmeuwf","descargar bases")</f>
      </c>
    </row>
    <row r="46">
      <c r="A46" s="0" t="inlineStr">
        <is>
          <t xml:space="preserve">2445-124-LP26</t>
        </is>
      </c>
      <c r="B46" s="4" t="inlineStr">
        <is>
          <t xml:space="preserve">SERVICIO DE TELEFONIA FIJA IP Y PLATAFORMA IVR</t>
        </is>
      </c>
      <c r="C46" s="0" t="inlineStr">
        <is>
          <t xml:space="preserve">Publicada</t>
        </is>
      </c>
      <c r="D46" s="0" t="inlineStr">
        <is>
          <t xml:space="preserve">I MUNICIPALIDAD DE CURICO</t>
        </is>
      </c>
      <c r="E46" s="0" t="inlineStr">
        <is>
          <t xml:space="preserve">Salud - Adquisiciones</t>
        </is>
      </c>
      <c r="F46" s="0" t="inlineStr">
        <is>
          <t xml:space="preserve">Región del Maule </t>
        </is>
      </c>
      <c r="G46" s="0" t="inlineStr">
        <is>
          <t xml:space="preserve">Curicó</t>
        </is>
      </c>
      <c r="H46" s="2">
        <v>46286.707014</v>
      </c>
      <c r="I46" s="2">
        <v>46308.625694</v>
      </c>
      <c r="J46" s="0">
        <v>10</v>
      </c>
      <c r="K46" s="3"/>
      <c r="L46" s="0" t="inlineStr">
        <is>
          <t xml:space="preserve">CLP</t>
        </is>
      </c>
      <c r="M46" s="0" t="inlineStr">
        <is>
          <t xml:space="preserve">LP</t>
        </is>
      </c>
      <c r="N46" s="4" t="inlineStr">
        <is>
          <t xml:space="preserve">Servicios profesionales, administrativos y consultorías de gestión empresarial / Servicios de recursos humanos / Servicios de personal temporal</t>
        </is>
      </c>
      <c r="O46" s="4" t="inlineStr">
        <is>
          <t xml:space="preserve">1 Unidad · Mano de obra temporal</t>
        </is>
      </c>
      <c r="P46" s="2"/>
      <c r="Q46" s="2"/>
      <c r="R46" s="0" t="inlineStr">
        <is>
          <t xml:space="preserve">48 meses</t>
        </is>
      </c>
      <c r="S46" s="0" t="inlineStr">
        <is>
          <t xml:space="preserve">No</t>
        </is>
      </c>
      <c r="T46" s="4" t="inlineStr">
        <is>
          <t xml:space="preserve">.</t>
        </is>
      </c>
      <c r="U46" s="0" t="inlineStr">
        <is>
          <t xml:space="preserve">ENRIQUE IBARRA</t>
        </is>
      </c>
      <c r="V46" s="4" t="inlineStr">
        <is>
          <t xml:space="preserve">LA NECESIDAD DE CONTRATAR EL SERVICIO DE TELEFONIA FIJA IP Y PLATAFORMA IVR PARA EL DEPARTAMENTO DE SALUD DE CURICO POR 48 MESES. SE REALIZARA VISITA A TERRENO OBLIGATORIA EL DÍA VIERNES 25 A LAS 11:30 EN CARMEN 925</t>
        </is>
      </c>
      <c r="W46" s="5" t="str">
        <f>HYPERLINK("https://www.mercadopublico.cl/Procurement/Modules/Attachment/ViewAttachment.aspx?enc=Pui3HzE9%2b4k7BTqrsgyN98KQq2AcBe4rtwYr5m7yXNeVVwsAhkxmwJNHwJYQaXEfjS%2bx0SXwpYMhqSPuAS%2bly%2fDuACNvN8ENKIqa7n6iM3cvzaFJQBVzM5LsbnCmOI3Y5%2b1%2fqHV8yu4bQWer5dYsOFh6%2bPDO6wtRfULez9ueE0D%2fkMNv54SI8aKTOnWnNCxvz5xNYVdQ1mMpPzm8J%2fCDr%2bcBGNH1wPeyjUD%2b1gztq6UUzO%2bueca7QSam5OsLf5PfjeVWBPaP4mhE4CkuYcSgV8wMFBFZ3K6YTdWRgmeFp2%2f9iJqB3JjbwRlDec1kl9sr","descargar bases")</f>
      </c>
    </row>
    <row r="47">
      <c r="A47" s="0" t="inlineStr">
        <is>
          <t xml:space="preserve">4246-9-LE26</t>
        </is>
      </c>
      <c r="B47" s="4" t="inlineStr">
        <is>
          <t xml:space="preserve">Licencias de software EDB Enterprise</t>
        </is>
      </c>
      <c r="C47" s="0" t="inlineStr">
        <is>
          <t xml:space="preserve">Publicada</t>
        </is>
      </c>
      <c r="D47" s="0" t="inlineStr">
        <is>
          <t xml:space="preserve">SUPERINTENDENCIA DE CASINOS DE JUEGO</t>
        </is>
      </c>
      <c r="E47" s="0" t="inlineStr">
        <is>
          <t xml:space="preserve">Superintendencia de Casinos de Juego</t>
        </is>
      </c>
      <c r="F47" s="0" t="inlineStr">
        <is>
          <t xml:space="preserve">Región Metropolitana de Santiago</t>
        </is>
      </c>
      <c r="G47" s="0" t="inlineStr">
        <is>
          <t xml:space="preserve">Santiago</t>
        </is>
      </c>
      <c r="H47" s="2">
        <v>46293.44537</v>
      </c>
      <c r="I47" s="2">
        <v>46308.625694</v>
      </c>
      <c r="J47" s="0">
        <v>10</v>
      </c>
      <c r="K47" s="3">
        <v>31000.0</v>
      </c>
      <c r="L47" s="0" t="inlineStr">
        <is>
          <t xml:space="preserve">USD</t>
        </is>
      </c>
      <c r="M47" s="0" t="inlineStr">
        <is>
          <t xml:space="preserve">LE</t>
        </is>
      </c>
      <c r="N47" s="4" t="inlineStr">
        <is>
          <t xml:space="preserve">Tecnologías de la información, telecomunicaciones y radiodifusión / Software / Software de consultas y gestión de datos</t>
        </is>
      </c>
      <c r="O47" s="4" t="inlineStr">
        <is>
          <t xml:space="preserve">1 Unidad · Software de administración de bases de datos orientado a objetos</t>
        </is>
      </c>
      <c r="P47" s="2"/>
      <c r="Q47" s="2"/>
      <c r="R47" s="0"/>
      <c r="S47" s="0" t="inlineStr">
        <is>
          <t xml:space="preserve">No</t>
        </is>
      </c>
      <c r="T47" s="4"/>
      <c r="U47" s="0" t="inlineStr">
        <is>
          <t xml:space="preserve">Alejandro Ledezma</t>
        </is>
      </c>
      <c r="V47" s="4" t="inlineStr">
        <is>
          <t xml:space="preserve">Adquisición de 4 EDB Enterprise Plan Production Support 1 Year Subscription y 10 EDB Enterprise Plan Basic Support 1 Year Subscription. 
Según bases de licitación aprobadas por Resolución Exenta N°945 adjunta</t>
        </is>
      </c>
      <c r="W47" s="5" t="str">
        <f>HYPERLINK("https://www.mercadopublico.cl/Procurement/Modules/Attachment/ViewAttachment.aspx?enc=QafcWHBXoP07yGNEyHUUnIlsD8S%2f0zgao3ca2nU%2b0Z9cZlm5tPZpnuRs0b3CvebFYZFIHY7Z7cQ1EutZXEWgQ6LqYvwQgLfbRyTPfR08V3yJNcNbo5%2fDuLpdvm6jUiOrKmo30tui%2bRMmPROP%2fr0TDcNkwwoiWeeaqtyaYaVSP4u6SRZpswMRx7NDazTxE04eZdglceiUfeBHvPQQPs71jhBVfyJWLkDhcbh%2fhzoKKrwx%2fyV7LnEgpfqvdkVBWL7go0yXNYSTkCo19ERiWWZErfWJ%2bCAVuH3umcSJA6b5BrsY0Fckk3dQSiC5BPccy2Bg","descargar bases")</f>
      </c>
    </row>
    <row r="48">
      <c r="A48" s="0" t="inlineStr">
        <is>
          <t xml:space="preserve">606-26-LE26</t>
        </is>
      </c>
      <c r="B48" s="4" t="inlineStr">
        <is>
          <t xml:space="preserve">Adquisición e implementación de plataforma APIs</t>
        </is>
      </c>
      <c r="C48" s="0" t="inlineStr">
        <is>
          <t xml:space="preserve">Publicada</t>
        </is>
      </c>
      <c r="D48" s="0" t="inlineStr">
        <is>
          <t xml:space="preserve">SUBSECRETARIA DE TELECOMUNICACIONES</t>
        </is>
      </c>
      <c r="E48" s="0" t="inlineStr">
        <is>
          <t xml:space="preserve">Subsecretaría de Telecomunicaciones</t>
        </is>
      </c>
      <c r="F48" s="0" t="inlineStr">
        <is>
          <t xml:space="preserve">Región Metropolitana de Santiago</t>
        </is>
      </c>
      <c r="G48" s="0" t="inlineStr">
        <is>
          <t xml:space="preserve">Santiago</t>
        </is>
      </c>
      <c r="H48" s="2">
        <v>46296.726551</v>
      </c>
      <c r="I48" s="2">
        <v>46308.625694</v>
      </c>
      <c r="J48" s="0">
        <v>10</v>
      </c>
      <c r="K48" s="3">
        <v>70000000.0</v>
      </c>
      <c r="L48" s="0" t="inlineStr">
        <is>
          <t xml:space="preserve">CLP</t>
        </is>
      </c>
      <c r="M48" s="0" t="inlineStr">
        <is>
          <t xml:space="preserve">LE</t>
        </is>
      </c>
      <c r="N48" s="4" t="inlineStr">
        <is>
          <t xml:space="preserve">Servicios basados en ingeniería, ciencias sociales y tecnología de la información / Servicios informáticos / Ingeniería en computación e informática</t>
        </is>
      </c>
      <c r="O48" s="4" t="inlineStr">
        <is>
          <t xml:space="preserve">1 Unidad · Programación de aplicaciones</t>
        </is>
      </c>
      <c r="P48" s="2"/>
      <c r="Q48" s="2"/>
      <c r="R48" s="0"/>
      <c r="S48" s="0" t="inlineStr">
        <is>
          <t xml:space="preserve">No</t>
        </is>
      </c>
      <c r="T48" s="4" t="inlineStr">
        <is>
          <t xml:space="preserve">Se prohíbe la subcontratación.
En caso que el contratista contravenga la prohibición indicada en el párrafo
precedente, se entenderá que dicha situación constituye un incumplimiento grave
de las obligaciones esenciales que impone el contrato al contrat</t>
        </is>
      </c>
      <c r="U48" s="0" t="inlineStr">
        <is>
          <t xml:space="preserve">Macarena Pacheco</t>
        </is>
      </c>
      <c r="V48" s="4" t="inlineStr">
        <is>
          <t xml:space="preserve">Contratar, implementar y poner en operación una plataforma empresarial que
permita diseñar, construir, publicar, proteger, administrar, observar, gobernar y
evolucionar APIs e integraciones en una arquitectura híbrida entre el CPD
institucional y Google Cloud, manteniendo interoperabilidad con PISEE, sistemas
legados y servicios institucionales.</t>
        </is>
      </c>
      <c r="W48" s="5" t="str">
        <f>HYPERLINK("https://www.mercadopublico.cl/Procurement/Modules/Attachment/ViewAttachment.aspx?enc=94ICKmNvqNkfEDN8mU3k%2fmyxsUXi95IuLEMaVXcUo5qWTQkOb7TyraPUGYygxIDdhK%2f4Q%2fqT6bdO%2bevdXOue1usLNcAPR42T4ZJYoiR1vjlwwYYKbI0lO4ZfvRNjv%2fmhomS2XcfLlRuPMyy1NHCzKOUU27cZZLKbqPavmcdp4hsQfp7%2f%2fVnA51oUB%2bJOFAbLebAclBjmAS5YvIVooB0ZBKETn0TWAjzNt9np5tXUgJy3imhygwWpL2Td49%2fW37wSxb2gq%2b6ZUq6pjiHRCjb96MYaSz%2fI84b3n0MhXVq7f106nEhb613K2xLkinjffDEQ","descargar bases")</f>
      </c>
    </row>
    <row r="49">
      <c r="A49" s="0" t="inlineStr">
        <is>
          <t xml:space="preserve">808-7-LE26</t>
        </is>
      </c>
      <c r="B49" s="4" t="inlineStr">
        <is>
          <t xml:space="preserve">Recuperación digitalización y puesta en valor de fuentes documentales para la memoria histórica de los pueblos originarios de Magallanes.</t>
        </is>
      </c>
      <c r="C49" s="0" t="inlineStr">
        <is>
          <t xml:space="preserve">Publicada</t>
        </is>
      </c>
      <c r="D49" s="0" t="inlineStr">
        <is>
          <t xml:space="preserve">CORP NACIONAL DE DESARROLLO INDIGENA</t>
        </is>
      </c>
      <c r="E49" s="0" t="inlineStr">
        <is>
          <t xml:space="preserve">O.A.I. Punta Arenas CONADI</t>
        </is>
      </c>
      <c r="F49" s="0" t="inlineStr">
        <is>
          <t xml:space="preserve">Región de Magallanes y de la Antártica</t>
        </is>
      </c>
      <c r="G49" s="0" t="inlineStr">
        <is>
          <t xml:space="preserve">Punta Arenas</t>
        </is>
      </c>
      <c r="H49" s="2">
        <v>46296.525243</v>
      </c>
      <c r="I49" s="2">
        <v>46308.625694</v>
      </c>
      <c r="J49" s="0">
        <v>10</v>
      </c>
      <c r="K49" s="3"/>
      <c r="L49" s="0" t="inlineStr">
        <is>
          <t xml:space="preserve">CLP</t>
        </is>
      </c>
      <c r="M49" s="0" t="inlineStr">
        <is>
          <t xml:space="preserve">LE</t>
        </is>
      </c>
      <c r="N49" s="4" t="inlineStr">
        <is>
          <t xml:space="preserve">Servicios basados en ingeniería, ciencias sociales y tecnología de la información / Servicios informáticos / Servicios de datos</t>
        </is>
      </c>
      <c r="O49" s="4" t="inlineStr">
        <is>
          <t xml:space="preserve">1 Unidad · Servicios de recuperación de datos</t>
        </is>
      </c>
      <c r="P49" s="2"/>
      <c r="Q49" s="2"/>
      <c r="R49" s="0" t="inlineStr">
        <is>
          <t xml:space="preserve">3 meses</t>
        </is>
      </c>
      <c r="S49" s="0" t="inlineStr">
        <is>
          <t xml:space="preserve">No</t>
        </is>
      </c>
      <c r="T49" s="4" t="inlineStr">
        <is>
          <t xml:space="preserve">No será admisible la subcontratación de acuerdo a lo señalado en el numeral 11. subcontratacion: letras a, b, c y d.</t>
        </is>
      </c>
      <c r="U49" s="0" t="inlineStr">
        <is>
          <t xml:space="preserve">Marco Morales Vargas</t>
        </is>
      </c>
      <c r="V49" s="4" t="inlineStr">
        <is>
          <t xml:space="preserve">La iniciativa tiene por finalidad contribuir a la recuperación, conservación y puesta en valor de fuentes documentales, fotográficas y audiovisuales vinculadas a la memoria histórica de los pueblos originarios presentes en la Región de Magallanes y de la Antártica Chilena. Para ello, contempla la realización y digitalización de estudios especializados desarrollados por la Oficina de Asuntos Indígenas de Punta Arenas, junto con la restauración y digitalización del archivo fotográfico de los pueblos orginarios de la region de Magallanes.</t>
        </is>
      </c>
      <c r="W49" s="5" t="str">
        <f>HYPERLINK("https://www.mercadopublico.cl/Procurement/Modules/Attachment/ViewAttachment.aspx?enc=tAlKuL80YzrMLeR2Vr7HoiO6pCfljQVK%2fh4NWEJON5vO6abQi565WN0GOQmD7TPrL1RTlj86R7d6KuKwwIQ9IvzNX3AT%2buMu8%2byfHpxHuAfRa5fbzIQsS%2fbIZaOVEGHwy2zKI2tstpVOgeePmGiAPl47Z0WJYTQRSvOf9e4FFgUl%2fMbcuxTKCI3Y9XtGgDltJY0uB%2f7olwI1sC%2fyligs2NobsOhJ%2fVsrkkTrkoGS3O2VrLzLsEXXIPMa8kVbnJ1BeCnedZZCqs4%2b6WKHpcr57VH3twGKP9kQKi4HRd9mtuNgttVITO2xdTlmWt1Xa1Bf","descargar bases")</f>
      </c>
    </row>
    <row r="50">
      <c r="A50" s="0" t="inlineStr">
        <is>
          <t xml:space="preserve">29-81-LP26</t>
        </is>
      </c>
      <c r="B50" s="4" t="inlineStr">
        <is>
          <t xml:space="preserve">AGF - PLATAFORMA INGLES</t>
        </is>
      </c>
      <c r="C50" s="0" t="inlineStr">
        <is>
          <t xml:space="preserve">Publicada</t>
        </is>
      </c>
      <c r="D50" s="0" t="inlineStr">
        <is>
          <t xml:space="preserve">FUERZA AEREA DE CHILE COMANDO LOGISTICO</t>
        </is>
      </c>
      <c r="E50" s="0" t="inlineStr">
        <is>
          <t xml:space="preserve">Comando Logístico</t>
        </is>
      </c>
      <c r="F50" s="0" t="inlineStr">
        <is>
          <t xml:space="preserve">Región Metropolitana de Santiago</t>
        </is>
      </c>
      <c r="G50" s="0" t="inlineStr">
        <is>
          <t xml:space="preserve">El Bosque</t>
        </is>
      </c>
      <c r="H50" s="2">
        <v>46276.548981</v>
      </c>
      <c r="I50" s="2">
        <v>46308.625694</v>
      </c>
      <c r="J50" s="0">
        <v>10</v>
      </c>
      <c r="K50" s="3"/>
      <c r="L50" s="0" t="inlineStr">
        <is>
          <t xml:space="preserve">USD</t>
        </is>
      </c>
      <c r="M50" s="0" t="inlineStr">
        <is>
          <t xml:space="preserve">LP</t>
        </is>
      </c>
      <c r="N50" s="4" t="inlineStr">
        <is>
          <t xml:space="preserve">Educación, formación, entrenamiento y capacitación / Sistemas educativos complementarios / Escuelas de idiomas</t>
        </is>
      </c>
      <c r="O50" s="4" t="inlineStr">
        <is>
          <t xml:space="preserve">1 Global · Enseñanza conversacional de idiomas extranjeros</t>
        </is>
      </c>
      <c r="P50" s="2"/>
      <c r="Q50" s="2"/>
      <c r="R50" s="0"/>
      <c r="S50" s="0" t="inlineStr">
        <is>
          <t xml:space="preserve">No</t>
        </is>
      </c>
      <c r="T50" s="4"/>
      <c r="U50" s="0" t="inlineStr">
        <is>
          <t xml:space="preserve">PAULO ARELLANO WOLFF</t>
        </is>
      </c>
      <c r="V50" s="4" t="inlineStr">
        <is>
          <t xml:space="preserve">CONTRATACIÓN DE SERVICIO DE PLATAFORMA INTEGRAL DE CAPACITACIÓN EN IDIOMA INGLÉS MODALIDAD E-LEARNING CON TUTORIA</t>
        </is>
      </c>
      <c r="W50" s="5" t="str">
        <f>HYPERLINK("https://www.mercadopublico.cl/Procurement/Modules/Attachment/ViewAttachment.aspx?enc=6X640dREnPjHCIC%2bSI%2fFLwSz8JFn16mz73j%2fxIb%2fegcN%2bGfeqcvT6%2fc6jehRM4JPD51WEzsdK8llVADPSz7dOHdopty9mdDyI6rLLEIM1bz8hJyK4poKxrlZI0y3k%2ffVBmXGYFgfKAEU3EyT4TIcp9qVvGvPzKHF5lzgUCoUFONFJgu%2bSrV051uK3EoWtAjMq6qh%2fEAzM4n8zW1PB453b9hOpjmslxR4o4h4dT8IXVfWPDE8RUA%2b4zrtd%2bEHGC%2bPBuslSCS6DosFx%2bldinH%2bB%2fodxwDqgFw9%2b0%2b%2b7bc7zDZUyiGhOTFRWBwQWs0qInpP","descargar bases")</f>
      </c>
    </row>
    <row r="51">
      <c r="A51" s="0" t="inlineStr">
        <is>
          <t xml:space="preserve">3447-145-LR26</t>
        </is>
      </c>
      <c r="B51" s="4" t="inlineStr">
        <is>
          <t xml:space="preserve">Adquisición e Implementación Plataforma Integral</t>
        </is>
      </c>
      <c r="C51" s="0" t="inlineStr">
        <is>
          <t xml:space="preserve">Publicada</t>
        </is>
      </c>
      <c r="D51" s="0" t="inlineStr">
        <is>
          <t xml:space="preserve">MUNICIPALIDAD DE ALTO HOSPICIO</t>
        </is>
      </c>
      <c r="E51" s="0" t="inlineStr">
        <is>
          <t xml:space="preserve">Direccion de Administracion y Finanzas</t>
        </is>
      </c>
      <c r="F51" s="0" t="inlineStr">
        <is>
          <t xml:space="preserve">Región de Tarapacá  </t>
        </is>
      </c>
      <c r="G51" s="0" t="inlineStr">
        <is>
          <t xml:space="preserve">Alto Hospicio</t>
        </is>
      </c>
      <c r="H51" s="2">
        <v>46276.643669</v>
      </c>
      <c r="I51" s="2">
        <v>46308.625694</v>
      </c>
      <c r="J51" s="0">
        <v>10</v>
      </c>
      <c r="K51" s="3"/>
      <c r="L51" s="0" t="inlineStr">
        <is>
          <t xml:space="preserve">CLP</t>
        </is>
      </c>
      <c r="M51" s="0" t="inlineStr">
        <is>
          <t xml:space="preserve">LR</t>
        </is>
      </c>
      <c r="N51" s="4" t="inlineStr">
        <is>
          <t xml:space="preserve">Servicios basados en ingeniería, ciencias sociales y tecnología de la información / Servicios informáticos / Ingeniería en computación e informática</t>
        </is>
      </c>
      <c r="O51" s="4" t="inlineStr">
        <is>
          <t xml:space="preserve">1 Global · Servicios de programación de sistemas operativos</t>
        </is>
      </c>
      <c r="P51" s="2"/>
      <c r="Q51" s="2"/>
      <c r="R51" s="0" t="inlineStr">
        <is>
          <t xml:space="preserve">24 meses</t>
        </is>
      </c>
      <c r="S51" s="0" t="inlineStr">
        <is>
          <t xml:space="preserve">No</t>
        </is>
      </c>
      <c r="T51" s="4"/>
      <c r="U51" s="0" t="inlineStr">
        <is>
          <t xml:space="preserve">JAIME AROS BINIMELIS</t>
        </is>
      </c>
      <c r="V51" s="4" t="inlineStr">
        <is>
          <t xml:space="preserve">Art. 9ºLa Municipalidad de Alto Hospicio llama a Licitación Pública denominada Adquisición e Implementación de Plataforma Integral de Gestión Municipal y Servicios Traspasados para la Municipalidad de Alto Hospicio, cuyo objeto es la adquisición, implementación, parametrización, integración, migración de datos, capacitación, puesta en marcha, soporte y mantenimiento de una Plataforma Integral de Gestión Municipal y de Servicios Traspasados, destinada a modernizar, digitalizar y automatizar los procesos institucionales, optimizando la gestión administrativa y operativa, fortaleciendo la interoperabilidad con los sistemas de los organismos de la Administración del Estado, mejorando la atención de los usuarios y asegurando el cumplimiento de la normativa vigente en materia de transformación digital, ciberseguridad y protección de datos personales. Lo anterior, de acuerdo con las características entregadas en las presentes bases administrativas y técnicas adjuntas, en virtud de una mejor y eficiente gestión municipal.</t>
        </is>
      </c>
      <c r="W51" s="5" t="str">
        <f>HYPERLINK("https://www.mercadopublico.cl/Procurement/Modules/Attachment/ViewAttachment.aspx?enc=fo2PIyIS5D8PIgT0tHPMZ19iQpcsSqakuMoBJUDDYrh1Ry76tQE9W4rtGrdj3WDlpupPxaWmFIV%2fyAgBkkpMFhLwL4wQalpb1Kk0TjfEWL2Wg60g1ZkAYwmRbfoNqJkiZWT0U%2fdgBltPobg4D380KadJOfJOH6e3UrCYJw%2f1pRxWjys34EgUyhIBj4YdQK%2fwVkvUMq8wgjzyrkzg9ZAqtMVbDngOyrrTS4yRKUN1zjZbFF8pgLhdHIZO2Jy831iJzMsrGGE%2b29aZmf%2ba0yYT552GLEmCP5ybTy65NxeB1vfYg15AnlJFdNUF61%2bWErYg","descargar bases")</f>
      </c>
    </row>
    <row r="52">
      <c r="A52" s="0" t="inlineStr">
        <is>
          <t xml:space="preserve">4449-30-LP26</t>
        </is>
      </c>
      <c r="B52" s="4" t="inlineStr">
        <is>
          <t xml:space="preserve">Adquisición de libros a perpetuida para BP Digital</t>
        </is>
      </c>
      <c r="C52" s="0" t="inlineStr">
        <is>
          <t xml:space="preserve">Publicada</t>
        </is>
      </c>
      <c r="D52" s="0" t="inlineStr">
        <is>
          <t xml:space="preserve">SERVICIO NACIONAL DEL PATRIMONIO CULTURAL</t>
        </is>
      </c>
      <c r="E52" s="0" t="inlineStr">
        <is>
          <t xml:space="preserve">SUBDIRECCIÓN DE BIBLIOTECAS PÚBLICAS</t>
        </is>
      </c>
      <c r="F52" s="0" t="inlineStr">
        <is>
          <t xml:space="preserve">Región Metropolitana de Santiago</t>
        </is>
      </c>
      <c r="G52" s="0" t="inlineStr">
        <is>
          <t xml:space="preserve">Santiago Centro</t>
        </is>
      </c>
      <c r="H52" s="2">
        <v>46287.715394</v>
      </c>
      <c r="I52" s="2">
        <v>46308.628472</v>
      </c>
      <c r="J52" s="0">
        <v>10</v>
      </c>
      <c r="K52" s="3">
        <v>73000000.0</v>
      </c>
      <c r="L52" s="0" t="inlineStr">
        <is>
          <t xml:space="preserve">CLP</t>
        </is>
      </c>
      <c r="M52" s="0" t="inlineStr">
        <is>
          <t xml:space="preserve">LP</t>
        </is>
      </c>
      <c r="N52" s="4" t="inlineStr">
        <is>
          <t xml:space="preserve">Productos impresos y publicaciones / Material electrónico de referencia / Publicaciones electrónicas y música</t>
        </is>
      </c>
      <c r="O52" s="4" t="inlineStr">
        <is>
          <t xml:space="preserve">3 Unidad · Libros en casetes o CD · 3 Unidad · Libros en casetes o CD · 3 Unidad · Libros en casetes o CD · y 577 más</t>
        </is>
      </c>
      <c r="P52" s="2"/>
      <c r="Q52" s="2"/>
      <c r="R52" s="0"/>
      <c r="S52" s="0" t="inlineStr">
        <is>
          <t xml:space="preserve">No</t>
        </is>
      </c>
      <c r="T52" s="4"/>
      <c r="U52" s="0" t="inlineStr">
        <is>
          <t xml:space="preserve">Salvador Young</t>
        </is>
      </c>
      <c r="V52" s="4" t="inlineStr">
        <is>
          <t xml:space="preserve">ADQUISICIÓN DE MATERIAL BIBLIOGRÁFICO BAJO LICENCIA A PERPETUIDAD PARA BIBLIOTECA PÚBLICA DIGITAL”</t>
        </is>
      </c>
      <c r="W52" s="5" t="str">
        <f>HYPERLINK("https://www.mercadopublico.cl/Procurement/Modules/Attachment/ViewAttachment.aspx?enc=DMUd8gVM6mhSqpzqAX2SvFkRXl41LYW8QYyAdw1hhIVSlnzOQlrugezrNi6qP%2f%2bLFRTneZ5%2ftdy%2f26GGsvpLF2mxgpk%2bK%2bTl8MHdqxBO7CsmQiFsQAmkcN9mnH1S1VMBxhzFD%2fL0XMPcgqBRgz083n0lzqLmAmJAg22DguFDRwm87hUyhhk22elloPVRC1nObyjwuxU%2fJ3mpTPlYzAzAdYLq74b97%2bzisqw1VfroOrQaBNmWwIaI9fjXhHbPlCxdU4MJwew%2foTTEBBGhGlDLCyibCRpgc8tjrMs6Hc013NnOEQrJf8QI3REccY4Fkar3","descargar bases")</f>
      </c>
    </row>
    <row r="53">
      <c r="A53" s="0" t="inlineStr">
        <is>
          <t xml:space="preserve">1057415-60-LE26</t>
        </is>
      </c>
      <c r="B53" s="4" t="inlineStr">
        <is>
          <t xml:space="preserve">SOFTWARE DE GESTIÓN TRIBUTARIA E INVENTARIO</t>
        </is>
      </c>
      <c r="C53" s="0" t="inlineStr">
        <is>
          <t xml:space="preserve">Publicada</t>
        </is>
      </c>
      <c r="D53" s="0" t="inlineStr">
        <is>
          <t xml:space="preserve">SERVICIO SALUD BIO BIO HOSPITAL NACIMIENTO</t>
        </is>
      </c>
      <c r="E53" s="0" t="inlineStr">
        <is>
          <t xml:space="preserve">Bienes y Servicios</t>
        </is>
      </c>
      <c r="F53" s="0" t="inlineStr">
        <is>
          <t xml:space="preserve">Región del Biobío </t>
        </is>
      </c>
      <c r="G53" s="0" t="inlineStr">
        <is>
          <t xml:space="preserve">Nacimiento</t>
        </is>
      </c>
      <c r="H53" s="2">
        <v>46295.700637</v>
      </c>
      <c r="I53" s="2">
        <v>46308.645833</v>
      </c>
      <c r="J53" s="0">
        <v>10</v>
      </c>
      <c r="K53" s="3">
        <v>9000000.0</v>
      </c>
      <c r="L53" s="0" t="inlineStr">
        <is>
          <t xml:space="preserve">CLP</t>
        </is>
      </c>
      <c r="M53" s="0" t="inlineStr">
        <is>
          <t xml:space="preserve">LE</t>
        </is>
      </c>
      <c r="N53" s="4" t="inlineStr">
        <is>
          <t xml:space="preserve">Tecnologías de la información, telecomunicaciones y radiodifusión / Software / Software de consultas y gestión de datos</t>
        </is>
      </c>
      <c r="O53" s="4" t="inlineStr">
        <is>
          <t xml:space="preserve">1 Unidad · Software del sistema de administración de bases de datos</t>
        </is>
      </c>
      <c r="P53" s="2"/>
      <c r="Q53" s="2"/>
      <c r="R53" s="0"/>
      <c r="S53" s="0" t="inlineStr">
        <is>
          <t xml:space="preserve">No</t>
        </is>
      </c>
      <c r="T53" s="4"/>
      <c r="U53" s="0" t="inlineStr">
        <is>
          <t xml:space="preserve">Laura Fuentealba</t>
        </is>
      </c>
      <c r="V53" s="4" t="inlineStr">
        <is>
          <t xml:space="preserve">Disponer del servicio de software de gestión tributaria, retenciones e inventario farmacéutico para las unidades de Recaudación, Finanzas y Farmacia para el Hospital Familiar y Comunitario de Nacimiento, acorde a las condiciones requeridas por la Unidad de Contabilidad, que serán reguladas por el pliego de condiciones establecidas en las presentes bases.</t>
        </is>
      </c>
      <c r="W53" s="5" t="str">
        <f>HYPERLINK("https://www.mercadopublico.cl/Procurement/Modules/Attachment/ViewAttachment.aspx?enc=Fqyiyn20a8x3X8cz1HlLlSppZtDAVuYKZGDx4YbslYnQ1%2fsIlpCx872t4MjeJ6n3i5nL8BoKoSaHUGOlaSu1V02qVD3TS%2f9tw9%2fkpSYlvSorPlghkOxUPPSHG60wsI8CLZrfhBt6hGYeUQLgDqeYqp1OB5BJZzCJVm%2bzXOe%2bMY0Hjd0XrK7TW2TZj7aauOoAPRMmfSdjAXJdPcBVw70DiRyNxr9UTlFOJmkTxd2XCtZMq9kOX%2bPfPeVTQJ5YyHYT7TJ8aIGFJ33zgMHse2wWRwMEFU240tfokq69yyfFCBfNwZjzjT3%2frS%2fUBa%2fJMQxU","descargar bases")</f>
      </c>
    </row>
    <row r="54">
      <c r="A54" s="0" t="inlineStr">
        <is>
          <t xml:space="preserve">1733-8-LE26</t>
        </is>
      </c>
      <c r="B54" s="4" t="inlineStr">
        <is>
          <t xml:space="preserve">Levantamiento de Datos de Biodiversidad</t>
        </is>
      </c>
      <c r="C54" s="0" t="inlineStr">
        <is>
          <t xml:space="preserve">Publicada</t>
        </is>
      </c>
      <c r="D54" s="0" t="inlineStr">
        <is>
          <t xml:space="preserve">INSTITUTO FORESTAL</t>
        </is>
      </c>
      <c r="E54" s="0" t="inlineStr">
        <is>
          <t xml:space="preserve">Instituto Forestal</t>
        </is>
      </c>
      <c r="F54" s="0" t="inlineStr">
        <is>
          <t xml:space="preserve">Región de Los Ríos</t>
        </is>
      </c>
      <c r="G54" s="0" t="inlineStr">
        <is>
          <t xml:space="preserve">La Serena</t>
        </is>
      </c>
      <c r="H54" s="2">
        <v>46295.763715</v>
      </c>
      <c r="I54" s="2">
        <v>46308.645833</v>
      </c>
      <c r="J54" s="0">
        <v>10</v>
      </c>
      <c r="K54" s="3"/>
      <c r="L54" s="0" t="inlineStr">
        <is>
          <t xml:space="preserve">CLP</t>
        </is>
      </c>
      <c r="M54" s="0" t="inlineStr">
        <is>
          <t xml:space="preserve">LE</t>
        </is>
      </c>
      <c r="N54" s="4" t="inlineStr">
        <is>
          <t xml:space="preserve">Servicios agrícolas, pesqueros, forestales y relacionados con la fauna / Cultivos forestales / Administración de cultivos forestales</t>
        </is>
      </c>
      <c r="O54" s="4" t="inlineStr">
        <is>
          <t xml:space="preserve">1 Unidad · Inventario forestal</t>
        </is>
      </c>
      <c r="P54" s="2"/>
      <c r="Q54" s="2"/>
      <c r="R54" s="0" t="inlineStr">
        <is>
          <t xml:space="preserve">2 meses</t>
        </is>
      </c>
      <c r="S54" s="0" t="inlineStr">
        <is>
          <t xml:space="preserve">No</t>
        </is>
      </c>
      <c r="T54" s="4"/>
      <c r="U54" s="0" t="inlineStr">
        <is>
          <t xml:space="preserve">RODRIGO SAGARDIA</t>
        </is>
      </c>
      <c r="V54" s="4" t="inlineStr">
        <is>
          <t xml:space="preserve">Obtención y análisis de datos de biodiversidad recabados a partir de levantamientos a realizar en terreno en el marco del monitoreo de biodiversidad del Inventario Forestal Nacional IFN de INFOR. Comprenderá muestreo, colecta, registro, clasificación y preservación de especímenes pertenecientes al filo Arthropoda, obtenidos desde 22 unidades muestrales situadas en ecosistemas forestales nativos de la región de Los Lagos.</t>
        </is>
      </c>
      <c r="W54" s="5" t="str">
        <f>HYPERLINK("https://www.mercadopublico.cl/Procurement/Modules/Attachment/ViewAttachment.aspx?enc=3ZSEXWFbz%2b0a7Z8rHZkOTuqwwPQlgVLGEzL%2f9IX585F%2bsm394DgGhUxq6e3rj%2fhR0lk2Cqcitj0dRQFkFob9y2GXOy0S4nDYAMj%2bvEJejFFeQpNDxrlWwZtzNE0B654rwb1LR4d3a7XIXFXVgcmH%2bFZdkYFyjJJA%2fIaF5KReq6CMFiW5OXo3rTFXRM6vF1OgcQczFX7m0aBKgt3qOjCcn8kBJncExUobRznGxR5MVVJphg55R9kpXOxUnJgTU7pEZixOBCt5Alo3QmHeRwBZViHeYjwvxMcu%2f3VpHutwzZzpl%2fRJTNhr3iu1GRa5FxM3","descargar bases")</f>
      </c>
    </row>
    <row r="55">
      <c r="A55" s="0" t="inlineStr">
        <is>
          <t xml:space="preserve">5420-22-LP26</t>
        </is>
      </c>
      <c r="B55" s="4" t="inlineStr">
        <is>
          <t xml:space="preserve">Arriendo de enlace de voz y datos</t>
        </is>
      </c>
      <c r="C55" s="0" t="inlineStr">
        <is>
          <t xml:space="preserve">Publicada</t>
        </is>
      </c>
      <c r="D55" s="0" t="inlineStr">
        <is>
          <t xml:space="preserve">GOBIERNO REGIONAL DE ARICA-PARINACOTA</t>
        </is>
      </c>
      <c r="E55" s="0" t="inlineStr">
        <is>
          <t xml:space="preserve">Gobierno Regional de Arica y Parinacota</t>
        </is>
      </c>
      <c r="F55" s="0" t="inlineStr">
        <is>
          <t xml:space="preserve">Región de Arica y Parinacota</t>
        </is>
      </c>
      <c r="G55" s="0" t="inlineStr">
        <is>
          <t xml:space="preserve">Arica</t>
        </is>
      </c>
      <c r="H55" s="2">
        <v>46286.430567</v>
      </c>
      <c r="I55" s="2">
        <v>46308.645833</v>
      </c>
      <c r="J55" s="0">
        <v>10</v>
      </c>
      <c r="K55" s="3"/>
      <c r="L55" s="0" t="inlineStr">
        <is>
          <t xml:space="preserve">CLP</t>
        </is>
      </c>
      <c r="M55" s="0" t="inlineStr">
        <is>
          <t xml:space="preserve">LP</t>
        </is>
      </c>
      <c r="N55" s="4" t="inlineStr">
        <is>
          <t xml:space="preserve">Servicios basados en ingeniería, ciencias sociales y tecnología de la información / Servicios informáticos / Servicios para internet</t>
        </is>
      </c>
      <c r="O55" s="4" t="inlineStr">
        <is>
          <t xml:space="preserve">1 Unidad · Proveedores de servicio de Internet (ISP)</t>
        </is>
      </c>
      <c r="P55" s="2"/>
      <c r="Q55" s="2"/>
      <c r="R55" s="0"/>
      <c r="S55" s="0" t="inlineStr">
        <is>
          <t xml:space="preserve">No</t>
        </is>
      </c>
      <c r="T55" s="4"/>
      <c r="U55" s="0" t="inlineStr">
        <is>
          <t xml:space="preserve">Omar Sepulveda Vasquez</t>
        </is>
      </c>
      <c r="V55" s="4" t="inlineStr">
        <is>
          <t xml:space="preserve">Poseer un enlace de voz y datos para las dependencias del Gobierno Regional de Arica y Parinacota y Consejo Regional de Arica y Parinacota</t>
        </is>
      </c>
      <c r="W55" s="5" t="str">
        <f>HYPERLINK("https://www.mercadopublico.cl/Procurement/Modules/Attachment/ViewAttachment.aspx?enc=Cg%2fKBVPhI5c4EFAG5bRoNhRjicPNwJUCgcuNDweUyy7%2bJksf6v5OKxx51FfwuxSHjtevYtSU9dqHoSgLwjd81kHHV6ASgk0f70rbvCNAaOTRGZIoye8gyA%2fqvwvYaqLtxMorGW766h%2bbSjH%2fLe9XtQHkFzilvs1eEz0Otb3bWXRw1CRafpC8Xr2dZCmj%2fY%2fXsi8RRzipZ94zm3iEy5YTyFHRu1r75twewUTLKiwGtgVeQLhPj%2fNIrTlhzuzdMckZFW0pucbat5p1TebCai3a084To7kzVHWdlqUK02Q16ggviA5BoTUqQ9j86F9hg6kN","descargar bases")</f>
      </c>
    </row>
    <row r="56">
      <c r="A56" s="0" t="inlineStr">
        <is>
          <t xml:space="preserve">906973-10-LP26</t>
        </is>
      </c>
      <c r="B56" s="4" t="inlineStr">
        <is>
          <t xml:space="preserve">SEGUNDO LLAMADO SISTEMAS INFORMÁTICOS DE GESTIÓN MUNICIPAL</t>
        </is>
      </c>
      <c r="C56" s="0" t="inlineStr">
        <is>
          <t xml:space="preserve">Publicada</t>
        </is>
      </c>
      <c r="D56" s="0" t="inlineStr">
        <is>
          <t xml:space="preserve">I MUNICIPALIDAD DE VICHUQUEN</t>
        </is>
      </c>
      <c r="E56" s="0" t="inlineStr">
        <is>
          <t xml:space="preserve">SECPLAC</t>
        </is>
      </c>
      <c r="F56" s="0" t="inlineStr">
        <is>
          <t xml:space="preserve">Región del Maule </t>
        </is>
      </c>
      <c r="G56" s="0" t="inlineStr">
        <is>
          <t xml:space="preserve">Vichuquén</t>
        </is>
      </c>
      <c r="H56" s="2">
        <v>46288.631944</v>
      </c>
      <c r="I56" s="2">
        <v>46308.645833</v>
      </c>
      <c r="J56" s="0">
        <v>10</v>
      </c>
      <c r="K56" s="3"/>
      <c r="L56" s="0" t="inlineStr">
        <is>
          <t xml:space="preserve">CLP</t>
        </is>
      </c>
      <c r="M56" s="0" t="inlineStr">
        <is>
          <t xml:space="preserve">LP</t>
        </is>
      </c>
      <c r="N56" s="4" t="inlineStr">
        <is>
          <t xml:space="preserve">Organizaciones y consultorías políticas, demográficas, económicas, sociales y de administración pública / Administración y finanzas públicas / Finanzas públicas</t>
        </is>
      </c>
      <c r="O56" s="4" t="inlineStr">
        <is>
          <t xml:space="preserve">36 Mes · Servicios contables gubernamentales</t>
        </is>
      </c>
      <c r="P56" s="2"/>
      <c r="Q56" s="2"/>
      <c r="R56" s="0"/>
      <c r="S56" s="0" t="inlineStr">
        <is>
          <t xml:space="preserve">No</t>
        </is>
      </c>
      <c r="T56" s="4"/>
      <c r="U56" s="0" t="inlineStr">
        <is>
          <t xml:space="preserve">Ariel Munoz Vasquez</t>
        </is>
      </c>
      <c r="V56" s="4" t="inlineStr">
        <is>
          <t xml:space="preserve">La presente licitación tiene por objeto contratar el suministro, implementación, soporte y mantención de sistemas informáticos de Contabilidad Gubernamental y Gestión Municipal para la Municipalidad de Vichuquén, incluyendo software, módulos funcionales, servidor o infraestructura local destinada al servicio municipal, UPS, licencias, respaldos, parametrización, migración, pruebas, capacitación, puesta en marcha asistida, actualizaciones normativas y demás componentes necesarios para su correcta operación, durante 36 meses contados desde la suscripción del Acta de Recepción Conforme de Implementación.</t>
        </is>
      </c>
      <c r="W56" s="5" t="str">
        <f>HYPERLINK("https://www.mercadopublico.cl/Procurement/Modules/Attachment/ViewAttachment.aspx?enc=0TB7ZeeUDykO6%2fRWnIb9%2fbuXFNuKCIHgJiSdkyfeQ%2bAly%2brGGkMoUmU8sGyKHXdaG2EQhu%2f0486R5G50HHiLCGchImzqiS7F94KkTfK4ZpQUb%2bfpgHPvnlb5jY3wYuVr%2bZ1WcyOzM%2bgDLptnGsER22V9kTGpUGCxfeNH7LmA3yCRlLd2MJ7Y2ytBiyZxyt0PhbNc7oL2fIyA9mt2YvGQ%2fprapK94jbl6EH5CuwF%2fv51G1YBuWogAWA2SV7nqsW%2bs64ULDTpKeU3eXLtQb%2fOrLD8dWZbb0tpZz7TUHxcB3DRmWBusrbtKhJCzczOsE4Fj","descargar bases")</f>
      </c>
    </row>
    <row r="57">
      <c r="A57" s="0" t="inlineStr">
        <is>
          <t xml:space="preserve">1488587-36-LE26</t>
        </is>
      </c>
      <c r="B57" s="4" t="inlineStr">
        <is>
          <t xml:space="preserve">Ampliación Laboratorio de Imagen Digital Carrera de Periodismo Campus Andrés Bello de Universidad de La Serena</t>
        </is>
      </c>
      <c r="C57" s="0" t="inlineStr">
        <is>
          <t xml:space="preserve">Publicada</t>
        </is>
      </c>
      <c r="D57" s="0" t="inlineStr">
        <is>
          <t xml:space="preserve">UNIVERSIDAD DE LA SERENA</t>
        </is>
      </c>
      <c r="E57" s="0" t="inlineStr">
        <is>
          <t xml:space="preserve">DIRECCIÓN DE INFRAESTRUCTURA</t>
        </is>
      </c>
      <c r="F57" s="0" t="inlineStr">
        <is>
          <t xml:space="preserve">Región de Coquimbo </t>
        </is>
      </c>
      <c r="G57" s="0"/>
      <c r="H57" s="2">
        <v>46294.568044</v>
      </c>
      <c r="I57" s="2">
        <v>46308.666667</v>
      </c>
      <c r="J57" s="0">
        <v>10</v>
      </c>
      <c r="K57" s="3">
        <v>50000000.0</v>
      </c>
      <c r="L57" s="0" t="inlineStr">
        <is>
          <t xml:space="preserve">CLP</t>
        </is>
      </c>
      <c r="M57" s="0" t="inlineStr">
        <is>
          <t xml:space="preserve">LE</t>
        </is>
      </c>
      <c r="N57" s="4" t="inlineStr">
        <is>
          <t xml:space="preserve">Servicios de construcción y mantenimiento / Construcción de edificios en general / Construcción residencial</t>
        </is>
      </c>
      <c r="O57" s="4" t="inlineStr">
        <is>
          <t xml:space="preserve">1 Global · Construcción de edificios y departamentos</t>
        </is>
      </c>
      <c r="P57" s="2"/>
      <c r="Q57" s="2"/>
      <c r="R57" s="0" t="inlineStr">
        <is>
          <t xml:space="preserve">120 días</t>
        </is>
      </c>
      <c r="S57" s="0" t="inlineStr">
        <is>
          <t xml:space="preserve">No</t>
        </is>
      </c>
      <c r="T57" s="4"/>
      <c r="U57" s="0" t="inlineStr">
        <is>
          <t xml:space="preserve">Luis Alejandro Paz Rivera</t>
        </is>
      </c>
      <c r="V57" s="4" t="inlineStr">
        <is>
          <t xml:space="preserve">Que la Universidad de La Serena requiere contratar los servicios de Ampliación Laboratorio de Imagen Digital, Carrera de Periodismo, Campus Andrés Bello de Universidad de La Serena.</t>
        </is>
      </c>
      <c r="W57" s="5" t="str">
        <f>HYPERLINK("https://www.mercadopublico.cl/Procurement/Modules/Attachment/ViewAttachment.aspx?enc=5iDr57SFBp1abcB3trocIB8t9X9QAuUaOlVa7nvW7iEc%2f8HlCx1%2b7DUS3TfDD%2bCNbcY3Y2pAFkMy6omu4NJN0hbj%2f4CgXyZWF6fWWM4gqwrsCUXSWsGAYZRWOB1dXeinzIhSLNRzkJX6gx5a1%2fOWgww07KWC%2bmEJDJNmKLqh6Gua8TyT2SFpB5GHXo%2f5fZAF8b1P27R4UzL%2bv113bIJAzHZAUsRsuOO8yp4y6FbnQFH7dVrB9RWwLh3Y5wny2NU665bTDlJH5XE3KH8kzZCOl2yeTQb1vDzr7I1jQZYZ8oX%2bR1K5GTLwYDI2gH5vxqiR","descargar bases")</f>
      </c>
    </row>
    <row r="58">
      <c r="A58" s="0" t="inlineStr">
        <is>
          <t xml:space="preserve">3134-94-LE26</t>
        </is>
      </c>
      <c r="B58" s="4" t="inlineStr">
        <is>
          <t xml:space="preserve">LICENCIAS DE SOFTWARE CONTROL DE TRÁFICO MARÍTIMO.</t>
        </is>
      </c>
      <c r="C58" s="0" t="inlineStr">
        <is>
          <t xml:space="preserve">Publicada</t>
        </is>
      </c>
      <c r="D58" s="0" t="inlineStr">
        <is>
          <t xml:space="preserve">DIRECCION DE ABASTECIMIENTO DE LA ARMADA</t>
        </is>
      </c>
      <c r="E58" s="0" t="inlineStr">
        <is>
          <t xml:space="preserve">DIRECCION GENERAL DEL TERRITORIO MARITIMO Y M.M.</t>
        </is>
      </c>
      <c r="F58" s="0" t="inlineStr">
        <is>
          <t xml:space="preserve">Región de Valparaíso </t>
        </is>
      </c>
      <c r="G58" s="0" t="inlineStr">
        <is>
          <t xml:space="preserve">Valparaíso</t>
        </is>
      </c>
      <c r="H58" s="2">
        <v>46295.661123</v>
      </c>
      <c r="I58" s="2">
        <v>46308.666667</v>
      </c>
      <c r="J58" s="0">
        <v>10</v>
      </c>
      <c r="K58" s="3">
        <v>59040660.0</v>
      </c>
      <c r="L58" s="0" t="inlineStr">
        <is>
          <t xml:space="preserve">CLP</t>
        </is>
      </c>
      <c r="M58" s="0" t="inlineStr">
        <is>
          <t xml:space="preserve">LE</t>
        </is>
      </c>
      <c r="N58" s="4" t="inlineStr">
        <is>
          <t xml:space="preserve">Equipos y suministros de defensa, orden público, protección y seguridad / Seguridad y control público / Control de tráfico</t>
        </is>
      </c>
      <c r="O58" s="4" t="inlineStr">
        <is>
          <t xml:space="preserve">3 Unidad · Sistemas de señalización marítima</t>
        </is>
      </c>
      <c r="P58" s="2"/>
      <c r="Q58" s="2"/>
      <c r="R58" s="0"/>
      <c r="S58" s="0" t="inlineStr">
        <is>
          <t xml:space="preserve">No</t>
        </is>
      </c>
      <c r="T58" s="4" t="inlineStr">
        <is>
          <t xml:space="preserve">SEGÚN CLÁUSULA 19.- DE LAS BASES ADMINISTRATIVAS ADJUNTAS.</t>
        </is>
      </c>
      <c r="U58" s="0" t="inlineStr">
        <is>
          <t xml:space="preserve">Manuel Torres Cifuentes</t>
        </is>
      </c>
      <c r="V58" s="4" t="inlineStr">
        <is>
          <t xml:space="preserve">ADQUISICIÓN DE 3 LICENCIAS DE SOFTWARE CONTROL DE TRÁFICO MARÍTIMO.</t>
        </is>
      </c>
      <c r="W58" s="5" t="str">
        <f>HYPERLINK("https://www.mercadopublico.cl/Procurement/Modules/Attachment/ViewAttachment.aspx?enc=8FMO6Nw5Jjhabj2gVHRGfz8f3degtYanbSmCqzINuvhgaAYeMbpdrXnsXAIzMEOSYX%2bAfITiGfWO8iRh4UtogADhC46RCC%2fBwfn9%2bRuZhhj0C1QeZD%2fONLqp3fMZnlcrqFh5Nnw5IFj9DU4AMD4osBe4TIoD%2bc93ykBL1IBtQR5ZIO%2b%2b2zZYauC1KtA%2fNjuWJ14P%2fO2tylSJbwQ07zPea6ncaV8KV%2bsfhLiXY3zzlRBqZ9iWSTF9WOCWG0hhiaf%2fqid1HlFqAB%2fZk78B8xaQqcQ9%2butD0XDFS7GkbbahBPL4%2btvR8o9238H1EhUNLsUA","descargar bases")</f>
      </c>
    </row>
    <row r="59">
      <c r="A59" s="0" t="inlineStr">
        <is>
          <t xml:space="preserve">591-26-LP26</t>
        </is>
      </c>
      <c r="B59" s="4" t="inlineStr">
        <is>
          <t xml:space="preserve">PLATAFORMA DE OBSERVABILIDAD AVANZADA MULTICLOUD PARA FONASA.</t>
        </is>
      </c>
      <c r="C59" s="0" t="inlineStr">
        <is>
          <t xml:space="preserve">Publicada</t>
        </is>
      </c>
      <c r="D59" s="0" t="inlineStr">
        <is>
          <t xml:space="preserve">FONDO NACIONAL DE SALUD</t>
        </is>
      </c>
      <c r="E59" s="0" t="inlineStr">
        <is>
          <t xml:space="preserve">FONASA, Nivel Central</t>
        </is>
      </c>
      <c r="F59" s="0" t="inlineStr">
        <is>
          <t xml:space="preserve">Región Metropolitana de Santiago</t>
        </is>
      </c>
      <c r="G59" s="0"/>
      <c r="H59" s="2">
        <v>46275.725</v>
      </c>
      <c r="I59" s="2">
        <v>46308.666667</v>
      </c>
      <c r="J59" s="0">
        <v>10</v>
      </c>
      <c r="K59" s="3"/>
      <c r="L59" s="0" t="inlineStr">
        <is>
          <t xml:space="preserve">CLP</t>
        </is>
      </c>
      <c r="M59" s="0" t="inlineStr">
        <is>
          <t xml:space="preserve">LP</t>
        </is>
      </c>
      <c r="N59" s="4" t="inlineStr">
        <is>
          <t xml:space="preserve">Tecnologías de la información, telecomunicaciones y radiodifusión / Software / Software de gestión</t>
        </is>
      </c>
      <c r="O59" s="4" t="inlineStr">
        <is>
          <t xml:space="preserve">1 Unidad · Software de gestión de licencias</t>
        </is>
      </c>
      <c r="P59" s="2"/>
      <c r="Q59" s="2"/>
      <c r="R59" s="0" t="inlineStr">
        <is>
          <t xml:space="preserve">15 meses</t>
        </is>
      </c>
      <c r="S59" s="0" t="inlineStr">
        <is>
          <t xml:space="preserve">No</t>
        </is>
      </c>
      <c r="T59" s="4"/>
      <c r="U59" s="0" t="inlineStr">
        <is>
          <t xml:space="preserve">Marcelo Gonzalez</t>
        </is>
      </c>
      <c r="V59" s="4" t="inlineStr">
        <is>
          <t xml:space="preserve">El Oferente para la provisión de una plataforma de observabilidad SaaS y la prestación de servicios profesionales especializados para su configuración, despliegue multicloud y transferencia tecnológica</t>
        </is>
      </c>
      <c r="W59" s="5" t="str">
        <f>HYPERLINK("https://www.mercadopublico.cl/Procurement/Modules/Attachment/ViewAttachment.aspx?enc=g23gndmDNWaLZ%2bOvYeTfPF8f%2f4F%2fUNUflRUVbufMCJLe8CXEpXDGUoo04bD7YijxIHN%2b0cK7yzd8JReIFIUADy8kGc9A%2fztiLGnSNm50irt3cSgLcn50DwvRFYX%2bhH5ovXzBDRygkdjB2NtDZ42FMC2kVffuLIQhdb5KZ7JVWy13YapKlm6U6Q2ahWV1tfM7KMF%2b2%2fKzlcdSsdN2qhiKZUE117llhDHbNcol3OhKmr9xtHVmeuK9gWMaXo1ZGKAfv0nlvX2nin41O6B%2frxnKYCGPy%2bYunqtmKGYIBDOGsFXij1Yd4gQ9I9KbcgqzXtY1","descargar bases")</f>
      </c>
    </row>
    <row r="60">
      <c r="A60" s="0" t="inlineStr">
        <is>
          <t xml:space="preserve">611669-20-LE26</t>
        </is>
      </c>
      <c r="B60" s="4" t="inlineStr">
        <is>
          <t xml:space="preserve">ADQUISICIÓN DE LICENCIAS DE SOFTWARE</t>
        </is>
      </c>
      <c r="C60" s="0" t="inlineStr">
        <is>
          <t xml:space="preserve">Publicada</t>
        </is>
      </c>
      <c r="D60" s="0" t="inlineStr">
        <is>
          <t xml:space="preserve">Superintendencia del Medio Ambiente</t>
        </is>
      </c>
      <c r="E60" s="0" t="inlineStr">
        <is>
          <t xml:space="preserve">Superintendencia del Medio Ambiente -Nivel Central</t>
        </is>
      </c>
      <c r="F60" s="0" t="inlineStr">
        <is>
          <t xml:space="preserve">Región Metropolitana de Santiago</t>
        </is>
      </c>
      <c r="G60" s="0" t="inlineStr">
        <is>
          <t xml:space="preserve">Santiago Centro</t>
        </is>
      </c>
      <c r="H60" s="2">
        <v>46296.660081</v>
      </c>
      <c r="I60" s="2">
        <v>46308.666667</v>
      </c>
      <c r="J60" s="0">
        <v>10</v>
      </c>
      <c r="K60" s="3">
        <v>66100000.0</v>
      </c>
      <c r="L60" s="0" t="inlineStr">
        <is>
          <t xml:space="preserve">CLP</t>
        </is>
      </c>
      <c r="M60" s="0" t="inlineStr">
        <is>
          <t xml:space="preserve">LE</t>
        </is>
      </c>
      <c r="N60" s="4" t="inlineStr">
        <is>
          <t xml:space="preserve">Tecnologías de la información, telecomunicaciones y radiodifusión / Software / Software de administración de redes, Tecnologías de la información, telecomunicaciones y radiodifusión / Software / Software de aplicaciones de red, Tecnologías de la información, telecomunicaciones y radiodifusión / Software / Software de consultas y gestión de datos, Tecnologías de la información, telecomunicaciones y radiodifusión / Software / Software de gestión, Tecnologías de la información, telecomunicaciones y radiodifusión / Software / Software para trabajo en redes</t>
        </is>
      </c>
      <c r="O60" s="4" t="inlineStr">
        <is>
          <t xml:space="preserve">1 Unidad · Programas de gestión de proyectos · 1 Unidad · Software de consultas e interfaz de usuario de bases de datos · 4 Unidad · Software de red de almacenamiento · y 3 más</t>
        </is>
      </c>
      <c r="P60" s="2"/>
      <c r="Q60" s="2"/>
      <c r="R60" s="0" t="inlineStr">
        <is>
          <t xml:space="preserve">24 meses</t>
        </is>
      </c>
      <c r="S60" s="0" t="inlineStr">
        <is>
          <t xml:space="preserve">No</t>
        </is>
      </c>
      <c r="T60" s="4"/>
      <c r="U60" s="0" t="inlineStr">
        <is>
          <t xml:space="preserve">Francisco Donoso Galdames</t>
        </is>
      </c>
      <c r="V60" s="4" t="inlineStr">
        <is>
          <t xml:space="preserve">Adquisición de   licencias de software especializadas, que permitan fortalecer y dar continuidad al trabajo técnico desarrollado por el Departamento de Tecnología, Monitoreo e Información DTM de la Superintendencia del Medio Ambiente SMA.</t>
        </is>
      </c>
      <c r="W60" s="5" t="str">
        <f>HYPERLINK("https://www.mercadopublico.cl/Procurement/Modules/Attachment/ViewAttachment.aspx?enc=%2bMVL5soTyLMRp26ZMTYvu07e1hQxXvWhZ7Bb5TmnYXwyKXDVtGEc41Wc%2bbMaJs4ipb1xc%2bPqev3NqkUfK9A1a1Y2aChBXcrn2RCITZquDiuq8CjZhX5XAqBQXI10Bu4bqmsxafZd4GHQbXhzakX2XHPVIxaIb3LNZLirhAD8SuYZTC%2fqEwwA%2fO9u5W4r%2f%2fgh8QAtv7W37bU%2fn%2fBrqnuiN%2f%2fIp%2fqMJomEOZqdqb3kEl7rpX9iFCExqMFdxqoUwMfS%2fQtymyYFzRsu8euJNvgYCQMQM9cpcp39Saj%2fUrh1p8QsJhOaahCeOJQMp2vfFR5j","descargar bases")</f>
      </c>
    </row>
    <row r="61">
      <c r="A61" s="0" t="inlineStr">
        <is>
          <t xml:space="preserve">885-94-LE26</t>
        </is>
      </c>
      <c r="B61" s="4" t="inlineStr">
        <is>
          <t xml:space="preserve">Renovación soporte y mantención de licencias software SAP Sybase IQ Enterprise</t>
        </is>
      </c>
      <c r="C61" s="0" t="inlineStr">
        <is>
          <t xml:space="preserve">Publicada</t>
        </is>
      </c>
      <c r="D61" s="0" t="inlineStr">
        <is>
          <t xml:space="preserve">CONTRALORIA GENERAL DE LA REPUBLICA</t>
        </is>
      </c>
      <c r="E61" s="0" t="inlineStr">
        <is>
          <t xml:space="preserve">Contraloría General de la República</t>
        </is>
      </c>
      <c r="F61" s="0" t="inlineStr">
        <is>
          <t xml:space="preserve">Región Metropolitana de Santiago</t>
        </is>
      </c>
      <c r="G61" s="0"/>
      <c r="H61" s="2">
        <v>46297.509248</v>
      </c>
      <c r="I61" s="2">
        <v>46308.666667</v>
      </c>
      <c r="J61" s="0">
        <v>10</v>
      </c>
      <c r="K61" s="3">
        <v>54000000.0</v>
      </c>
      <c r="L61" s="0" t="inlineStr">
        <is>
          <t xml:space="preserve">CLP</t>
        </is>
      </c>
      <c r="M61" s="0" t="inlineStr">
        <is>
          <t xml:space="preserve">LE</t>
        </is>
      </c>
      <c r="N61" s="4" t="inlineStr">
        <is>
          <t xml:space="preserve">Tecnologías de la información, telecomunicaciones y radiodifusión / Software / Software de gestión</t>
        </is>
      </c>
      <c r="O61" s="4" t="inlineStr">
        <is>
          <t xml:space="preserve">1 Unidad · Software de gestión de licencias</t>
        </is>
      </c>
      <c r="P61" s="2"/>
      <c r="Q61" s="2"/>
      <c r="R61" s="0" t="inlineStr">
        <is>
          <t xml:space="preserve">12 meses</t>
        </is>
      </c>
      <c r="S61" s="0" t="inlineStr">
        <is>
          <t xml:space="preserve">No</t>
        </is>
      </c>
      <c r="T61" s="4"/>
      <c r="U61" s="0" t="inlineStr">
        <is>
          <t xml:space="preserve">Irma del Carmen Garcés Ramírez</t>
        </is>
      </c>
      <c r="V61" s="4" t="inlineStr">
        <is>
          <t xml:space="preserve">La Contraloría General de la República requiere la renovación, soporte y mantención de licencias, cuatro (4) de core productivo y dos (2) de core de desarrollo, del software Sybase IQ Enterprise, por un periodo de 12 meses.</t>
        </is>
      </c>
      <c r="W61" s="5" t="str">
        <f>HYPERLINK("https://www.mercadopublico.cl/Procurement/Modules/Attachment/ViewAttachment.aspx?enc=rbemTSRGs6CPW1fbHeuYd%2fGth0aBKD7YeRUlZQ1iUNfVJFtZHMsf0md2prBH5yQDHmFdyu636sxCRQEASGI%2f8LTf4ubQ5DPQeK%2bq9Ep0nRAFOfUDf33GcIJcc%2ftH1cn2WP4T4JVJWOz6WrmM9lHWts65W8xJIFOybeM2le2TUfvfmHHr77fSrHkb4ybYxtOLotWrSykHqYHoMjoSG9f%2bBr5rY0AkJmZaYL%2bylGYItPg3Bk%2bavpdT2tfFR%2b599Gkye0XTA9VwVUfNgU83cShTGzQPW4l9XhYknL0xp%2bkc7Z4HdmVCRcZ91l9lBmp1DWfI","descargar bases")</f>
      </c>
    </row>
    <row r="62">
      <c r="A62" s="0" t="inlineStr">
        <is>
          <t xml:space="preserve">899-44-LE26</t>
        </is>
      </c>
      <c r="B62" s="4" t="inlineStr">
        <is>
          <t xml:space="preserve">“Servicio de arriendo de equipos informáticos por un período de 36 meses para Hospital Familiar y Comunitario San José de Casablanca”</t>
        </is>
      </c>
      <c r="C62" s="0" t="inlineStr">
        <is>
          <t xml:space="preserve">Publicada</t>
        </is>
      </c>
      <c r="D62" s="0" t="inlineStr">
        <is>
          <t xml:space="preserve">SERVICIO DE SALUD VALPARAISO SAN ANTONIO</t>
        </is>
      </c>
      <c r="E62" s="0" t="inlineStr">
        <is>
          <t xml:space="preserve">Hospital San Jose - Casablanca</t>
        </is>
      </c>
      <c r="F62" s="0" t="inlineStr">
        <is>
          <t xml:space="preserve">Región de Valparaíso </t>
        </is>
      </c>
      <c r="G62" s="0" t="inlineStr">
        <is>
          <t xml:space="preserve">Casablanca</t>
        </is>
      </c>
      <c r="H62" s="2">
        <v>46296.728449</v>
      </c>
      <c r="I62" s="2">
        <v>46308.666667</v>
      </c>
      <c r="J62" s="0">
        <v>10</v>
      </c>
      <c r="K62" s="3"/>
      <c r="L62" s="0" t="inlineStr">
        <is>
          <t xml:space="preserve">CLP</t>
        </is>
      </c>
      <c r="M62" s="0" t="inlineStr">
        <is>
          <t xml:space="preserve">LE</t>
        </is>
      </c>
      <c r="N62" s="4" t="inlineStr">
        <is>
          <t xml:space="preserve">Tecnologías de la información, telecomunicaciones y radiodifusión / Equipos informáticos y accesorios / Computadores</t>
        </is>
      </c>
      <c r="O62" s="4" t="inlineStr">
        <is>
          <t xml:space="preserve">1 Unidad · Computadores personales</t>
        </is>
      </c>
      <c r="P62" s="2"/>
      <c r="Q62" s="2"/>
      <c r="R62" s="0" t="inlineStr">
        <is>
          <t xml:space="preserve">36 meses</t>
        </is>
      </c>
      <c r="S62" s="0" t="inlineStr">
        <is>
          <t xml:space="preserve">No</t>
        </is>
      </c>
      <c r="T62" s="4"/>
      <c r="U62" s="0" t="inlineStr">
        <is>
          <t xml:space="preserve">Hector Richard</t>
        </is>
      </c>
      <c r="V62" s="4" t="inlineStr">
        <is>
          <t xml:space="preserve">El Hospital Familiar y Comunitario San José de Casablanca requiere contar para su gestión con el suministro del servicio de arriendo de equipos informáticos por un período de 36 meses, para mantener en forma permanente y continua las atenciones clínicas para los pacientes beneficiarios del Hospital Familiar y Comunitario San José de Casablanca y así poder cumplir de manera eficiente la labor asistencial que ha sido encomendada a esta Institución de Salud, respondiendo oportunamente a los requerimientos de nuestros pacientes beneficiarios.</t>
        </is>
      </c>
      <c r="W62" s="5" t="str">
        <f>HYPERLINK("https://www.mercadopublico.cl/Procurement/Modules/Attachment/ViewAttachment.aspx?enc=LscdpRRCPgS%2fsnR11LwpgfpN5SmlQomJt3dNSvdEQQ6m4o1Gx09gw3OS2BTPDlljskS2XbklQVcGzFgfM1E4YI%2bZnRfqp0nV09Mr6E%2bLX2rdOVgZI1%2f%2fY7klS6rN8KjOZNdN7lArNhGcJa4nZnkXroEyNWSNpSFHOnNMhO3QHKNroyujHbEslBPBD4mkDFzO6M%2fxAXQt968coR3Ec6FrjoTdC3itoEddp7Nk0oRctMpBjGWUzrdkVNVfOrtQ28btMoDoGG6cMCkz6QALP5052V1k%2bXHBdtEQpoytroJqYEyw%2b765zdzariTjMmYNUpdG","descargar bases")</f>
      </c>
    </row>
    <row r="63">
      <c r="A63" s="0" t="inlineStr">
        <is>
          <t xml:space="preserve">3232-56-LE26</t>
        </is>
      </c>
      <c r="B63" s="4" t="inlineStr">
        <is>
          <t xml:space="preserve">LICENCIAMIENTO ANUAL DE SOFTWARE ÁREA MUNICIPAL</t>
        </is>
      </c>
      <c r="C63" s="0" t="inlineStr">
        <is>
          <t xml:space="preserve">Publicada</t>
        </is>
      </c>
      <c r="D63" s="0" t="inlineStr">
        <is>
          <t xml:space="preserve">I MUNICIPALIDAD DE SANTO DOMINGO</t>
        </is>
      </c>
      <c r="E63" s="0" t="inlineStr">
        <is>
          <t xml:space="preserve">I MUNICIPALIDAD DE SANTO DOMINGO</t>
        </is>
      </c>
      <c r="F63" s="0" t="inlineStr">
        <is>
          <t xml:space="preserve">Región de Valparaíso </t>
        </is>
      </c>
      <c r="G63" s="0" t="inlineStr">
        <is>
          <t xml:space="preserve">Santo Domingo</t>
        </is>
      </c>
      <c r="H63" s="2">
        <v>46297.676551</v>
      </c>
      <c r="I63" s="2">
        <v>46308.666667</v>
      </c>
      <c r="J63" s="0">
        <v>10</v>
      </c>
      <c r="K63" s="3"/>
      <c r="L63" s="0" t="inlineStr">
        <is>
          <t xml:space="preserve">CLP</t>
        </is>
      </c>
      <c r="M63" s="0" t="inlineStr">
        <is>
          <t xml:space="preserve">LE</t>
        </is>
      </c>
      <c r="N63" s="4" t="inlineStr">
        <is>
          <t xml:space="preserve">Tecnologías de la información, telecomunicaciones y radiodifusión / Software / Software de gestión</t>
        </is>
      </c>
      <c r="O63" s="4" t="inlineStr">
        <is>
          <t xml:space="preserve">17 Unidad · Software de gestión de licencias · 1 Unidad · Software de gestión de licencias · 1 Unidad · Software de gestión de licencias</t>
        </is>
      </c>
      <c r="P63" s="2"/>
      <c r="Q63" s="2"/>
      <c r="R63" s="0"/>
      <c r="S63" s="0" t="inlineStr">
        <is>
          <t xml:space="preserve">No</t>
        </is>
      </c>
      <c r="T63" s="4"/>
      <c r="U63" s="0" t="inlineStr">
        <is>
          <t xml:space="preserve">JUAN PABLO VIDAL</t>
        </is>
      </c>
      <c r="V63" s="4" t="inlineStr">
        <is>
          <t xml:space="preserve">La Ilustre Municipalidad de Santo Domingo, a través del Departamento de Informática y Gobierno Electrónico, requieren contratar la adquisición y renovación de licencias anuales de software Autodesk (AutoCAD LT 2026, AutoCAD Map 3D Specialized Tools 2026 y AutoCAD Revit 2026) para el presupuesto 2026, destinadas a apoyar las labores operativas, técnicas, cartográficas y de infraestructura del área municipal.</t>
        </is>
      </c>
      <c r="W63" s="5" t="str">
        <f>HYPERLINK("https://www.mercadopublico.cl/Procurement/Modules/Attachment/ViewAttachment.aspx?enc=MqKktEAJoID3oSMAq5WWrNS3oa0NUvgdwvgReCdrxL7hjwxwJra29%2bRVsNT39j%2fr8LY48QCH%2bsBOURePN3rSOzVOrBG19b9r0oWeVtyq2NpcBGty34omCJKOEQEM%2fG7Jw1Bd7nk5yu1AYWw7Fbu5aAsdHavdPF%2fH%2f%2bq0fB0It6znnIkS5eSyNRCS2DQbTfrPJNHyW%2fqLq68hDa5J3k7esn%2f%2fZn144xJ0K7M6bmG5Zw%2fFTztkPHv5y60we6qShcr6YNbZil6ttaMuy89I7X2w1jVzA3G9q3B9%2bnO1nC8s%2bTOz7FYZGirkCMASid00JfFf","descargar bases")</f>
      </c>
    </row>
    <row r="64">
      <c r="A64" s="0" t="inlineStr">
        <is>
          <t xml:space="preserve">1457281-19-L126</t>
        </is>
      </c>
      <c r="B64" s="4" t="inlineStr">
        <is>
          <t xml:space="preserve">SERVICIO DE SOFTWARE Y SOPORTE PARA SISTEMA DE CONTEO DE PÚBLICO M100</t>
        </is>
      </c>
      <c r="C64" s="0" t="inlineStr">
        <is>
          <t xml:space="preserve">Publicada</t>
        </is>
      </c>
      <c r="D64" s="0" t="inlineStr">
        <is>
          <t xml:space="preserve">CORP CULTURAL MATUCANA CIEN</t>
        </is>
      </c>
      <c r="E64" s="0" t="inlineStr">
        <is>
          <t xml:space="preserve">CORP CULTURAL MATUCANA CIEN</t>
        </is>
      </c>
      <c r="F64" s="0" t="inlineStr">
        <is>
          <t xml:space="preserve">Región Metropolitana de Santiago</t>
        </is>
      </c>
      <c r="G64" s="0" t="inlineStr">
        <is>
          <t xml:space="preserve">Estación Central</t>
        </is>
      </c>
      <c r="H64" s="2">
        <v>46296.650729</v>
      </c>
      <c r="I64" s="2">
        <v>46308.708333</v>
      </c>
      <c r="J64" s="0">
        <v>10</v>
      </c>
      <c r="K64" s="3">
        <v>1600000.0</v>
      </c>
      <c r="L64" s="0" t="inlineStr">
        <is>
          <t xml:space="preserve">CLP</t>
        </is>
      </c>
      <c r="M64" s="0" t="inlineStr">
        <is>
          <t xml:space="preserve">L1</t>
        </is>
      </c>
      <c r="N64" s="4" t="inlineStr">
        <is>
          <t xml:space="preserve">Servicios basados en ingeniería, ciencias sociales y tecnología de la información / Servicios informáticos / Administración de sistemas</t>
        </is>
      </c>
      <c r="O64" s="4" t="inlineStr">
        <is>
          <t xml:space="preserve">12 Mes · Soporte técnico y servicios de mesa de ayuda</t>
        </is>
      </c>
      <c r="P64" s="2"/>
      <c r="Q64" s="2"/>
      <c r="R64" s="0"/>
      <c r="S64" s="0" t="inlineStr">
        <is>
          <t xml:space="preserve">No</t>
        </is>
      </c>
      <c r="T64" s="4"/>
      <c r="U64" s="0"/>
      <c r="V64" s="4" t="inlineStr">
        <is>
          <t xml:space="preserve">Contratación de servicio de software y soporte técnico mensual para la plataforma de gestión de datos del sistema de conteo de público del Centro Cultural M100, operando sobre los 3 puntos ya instalados (acceso principal, sala Teatro y sala Artes Visuales). Incluye dashboard de datos, reportes exportables/imprimibles, soporte ante fallas y certificación de precisión del conteo. Datos usados para rendiciones ante el Ministerio de las Culturas, las Artes y el Patrimonio. Contrato de 12 meses.</t>
        </is>
      </c>
      <c r="W64" s="5" t="str">
        <f>HYPERLINK("https://www.mercadopublico.cl/Procurement/Modules/Attachment/ViewAttachment.aspx?enc=NSyZnpx8AKu4iwHlgwJtL8iJUwsZHVCOCRRku0QgJJyvwRPoDkOHoo41jEG5O%2bERYp41hIE%2f0WjVY8wWPwZzsO47zxhXrvyY%2fsVss%2f6HC7wqVjZOld1u0Hf8ZNsr0Q4qyzwJCXIBNpKRuOKOS60g2mAJ7I9pKsfXthZ94A3th87Qribg3deCKoB52DBxi4g%2fUrJ4%2fa9z9P26X%2bN0cJ35XGsoeBQ3kmztwykqp7lSwhAJVW8BTD5ZGYzmR1fS7H0CmlLYG3d8q3Z2ClGFKby%2fryTvfXkSCdenCBSBE%2b5p%2bLLdOI6T%2bddKbcJyXc1MKn4%2f","descargar bases")</f>
      </c>
    </row>
    <row r="65">
      <c r="A65" s="0" t="inlineStr">
        <is>
          <t xml:space="preserve">1469-241-L126</t>
        </is>
      </c>
      <c r="B65" s="4" t="inlineStr">
        <is>
          <t xml:space="preserve">ADQUISICIÓN LICENCIAS DIGITALES PLATAFORMA EDUCACIONAL IDIOMA FRANCÉS”, UNIVERSIDAD DE TALCA”</t>
        </is>
      </c>
      <c r="C65" s="0" t="inlineStr">
        <is>
          <t xml:space="preserve">Publicada</t>
        </is>
      </c>
      <c r="D65" s="0" t="inlineStr">
        <is>
          <t xml:space="preserve">UNIVERSIDAD DE TALCA</t>
        </is>
      </c>
      <c r="E65" s="0" t="inlineStr">
        <is>
          <t xml:space="preserve">Universidad de Talca</t>
        </is>
      </c>
      <c r="F65" s="0" t="inlineStr">
        <is>
          <t xml:space="preserve">Región del Maule </t>
        </is>
      </c>
      <c r="G65" s="0" t="inlineStr">
        <is>
          <t xml:space="preserve">Talca</t>
        </is>
      </c>
      <c r="H65" s="2">
        <v>46297.500521</v>
      </c>
      <c r="I65" s="2">
        <v>46308.708333</v>
      </c>
      <c r="J65" s="0">
        <v>10</v>
      </c>
      <c r="K65" s="3">
        <v>1075600.0</v>
      </c>
      <c r="L65" s="0" t="inlineStr">
        <is>
          <t xml:space="preserve">CLP</t>
        </is>
      </c>
      <c r="M65" s="0" t="inlineStr">
        <is>
          <t xml:space="preserve">L1</t>
        </is>
      </c>
      <c r="N65" s="4" t="inlineStr">
        <is>
          <t xml:space="preserve">Instrumentos musicales, juegos, juguetes, artesanías y materiales educativos / Materiales, artículos y suministros didácticos profesionales y para el desarrollo personal / Recursos de lenguas extranjeras</t>
        </is>
      </c>
      <c r="O65" s="4" t="inlineStr">
        <is>
          <t xml:space="preserve">2 Unidad · Cursos y materiales de apoyo para aprender a hablar francés · 2 Unidad · Cursos y materiales de apoyo para aprender a hablar francés · 2 Unidad · Cursos y materiales de apoyo para aprender a hablar francés · y 11 más</t>
        </is>
      </c>
      <c r="P65" s="2"/>
      <c r="Q65" s="2"/>
      <c r="R65" s="0"/>
      <c r="S65" s="0" t="inlineStr">
        <is>
          <t xml:space="preserve">No</t>
        </is>
      </c>
      <c r="T65" s="4"/>
      <c r="U65" s="0"/>
      <c r="V65" s="4" t="inlineStr">
        <is>
          <t xml:space="preserve">La Universidad de Talca requiere adquirir licencias digitales de 3 Editoriales: Maison des Langues, Clé y Hachette, para docentes de cursos de francés de pregrado, desde el 05 de octubre de 2026 al 05 de octubre de 2027.</t>
        </is>
      </c>
      <c r="W65" s="5" t="str">
        <f>HYPERLINK("https://www.mercadopublico.cl/Procurement/Modules/Attachment/ViewAttachment.aspx?enc=mHDVrkJ2dVkNmUyTWwv2RxN8YDWgnJ0EPpk8LQymXTfuaOIfNrJt9GChLU9PepPijAeMdiIFikNHbdkWVjas7wpx%2b2UKZHtO%2be7f5W%2b7K%2b8kteap0qQ0cH0Z5f8jAQDSh%2fbJwq5heaweskqq1B6VpkJ%2f3U5et9znAju1gEQUjAijP%2bfxWLYhF0uW%2f3fk82%2fesQpKpT2FuHC8sQ6sRxraQ1ArC7R1Pl4l5crYAqo%2b3%2bJBsFijVNwUm%2bx0%2fMzaRgabp67VcmaeUEs5Yv2ye%2flYxHnF9Em1aTV%2f20tOcOAhDyVUkgvHOz4HQThC%2bMfpm7tT","descargar bases")</f>
      </c>
    </row>
    <row r="66">
      <c r="A66" s="0" t="inlineStr">
        <is>
          <t xml:space="preserve">599-37-LP26</t>
        </is>
      </c>
      <c r="B66" s="4" t="inlineStr">
        <is>
          <t xml:space="preserve">ADQUISICIÓN DE SOFTWARE COMPRAS Y PAGOS 36 MESES</t>
        </is>
      </c>
      <c r="C66" s="0" t="inlineStr">
        <is>
          <t xml:space="preserve">Publicada</t>
        </is>
      </c>
      <c r="D66" s="0" t="inlineStr">
        <is>
          <t xml:space="preserve">JUNTA NACIONAL DE JARDINES         INFANTILES</t>
        </is>
      </c>
      <c r="E66" s="0" t="inlineStr">
        <is>
          <t xml:space="preserve">JUNTA NACIONAL DE JARDINES         INFANTILES</t>
        </is>
      </c>
      <c r="F66" s="0" t="inlineStr">
        <is>
          <t xml:space="preserve">Región Metropolitana de Santiago</t>
        </is>
      </c>
      <c r="G66" s="0" t="inlineStr">
        <is>
          <t xml:space="preserve">Santiago</t>
        </is>
      </c>
      <c r="H66" s="2">
        <v>46288.761505</v>
      </c>
      <c r="I66" s="2">
        <v>46308.75</v>
      </c>
      <c r="J66" s="0">
        <v>10</v>
      </c>
      <c r="K66" s="3"/>
      <c r="L66" s="0" t="inlineStr">
        <is>
          <t xml:space="preserve">CLP</t>
        </is>
      </c>
      <c r="M66" s="0" t="inlineStr">
        <is>
          <t xml:space="preserve">LP</t>
        </is>
      </c>
      <c r="N66" s="4" t="inlineStr">
        <is>
          <t xml:space="preserve">Tecnologías de la información, telecomunicaciones y radiodifusión / Software / Software de gestión</t>
        </is>
      </c>
      <c r="O66" s="4" t="inlineStr">
        <is>
          <t xml:space="preserve">1 Unidad · Software de gestión de adquisiciones</t>
        </is>
      </c>
      <c r="P66" s="2"/>
      <c r="Q66" s="2"/>
      <c r="R66" s="0" t="inlineStr">
        <is>
          <t xml:space="preserve">36 meses</t>
        </is>
      </c>
      <c r="S66" s="0" t="inlineStr">
        <is>
          <t xml:space="preserve">No</t>
        </is>
      </c>
      <c r="T66" s="4"/>
      <c r="U66" s="0" t="inlineStr">
        <is>
          <t xml:space="preserve">Oficina de Gestión de Contratos</t>
        </is>
      </c>
      <c r="V66" s="4" t="inlineStr">
        <is>
          <t xml:space="preserve">La Junta Nacional de Jardines Infantiles, JUNJI, a través de la Sección Tecnologías de la Información del Departamento de Planificación, requiere la “ADQUISICIÓN DE SOFTWARE DE COMPRAS Y PAGOS A PROVEEDORES POR 36 MESES PARA LA JUNTA NACIONAL DE JARDINES INFANTILES”.</t>
        </is>
      </c>
      <c r="W66" s="5" t="str">
        <f>HYPERLINK("https://www.mercadopublico.cl/Procurement/Modules/Attachment/ViewAttachment.aspx?enc=pKX9I2JmqZO1Sc390C5Glsp%2b%2bq0kHqdHj5twTwPEEu1yJIe%2fN3nXJdya7l9ezaOJ%2fhzsD9JdrIUCO43DBIpZJQSGy1jsQQZHTtu0Rwse9AofKiDDqLIxnlPBQVSE8q%2bZH%2fnSCaDyvXCxl4B5sxqXs6kKpKoI4L%2fyss3h%2fi5StzrUENBd635Id3x7RPDb8Eqp7CJEBHEvPNA7R7TVmdU6o0j5uONG4Jvvbtc%2fcsJmlJu0BZ7rzx%2faenGWzFTxmc8V7Xw%2bdKAiOvIum5GwLnqqt460C03b6pYjg1itiIPWcZgjl0Wr9Z7YPqgQnmjPRztT","descargar bases")</f>
      </c>
    </row>
    <row r="67">
      <c r="A67" s="0" t="inlineStr">
        <is>
          <t xml:space="preserve">568658-71-LE26</t>
        </is>
      </c>
      <c r="B67" s="4" t="inlineStr">
        <is>
          <t xml:space="preserve">SOFTWARE DE GESTIÓN PARA FARMACIAS Y OPTICAS</t>
        </is>
      </c>
      <c r="C67" s="0" t="inlineStr">
        <is>
          <t xml:space="preserve">Publicada</t>
        </is>
      </c>
      <c r="D67" s="0" t="inlineStr">
        <is>
          <t xml:space="preserve">CORPORACION MUNICIPAL VINA DEL MAR PARA EL DESARROLLO SOCIAL</t>
        </is>
      </c>
      <c r="E67" s="0" t="inlineStr">
        <is>
          <t xml:space="preserve">CORPORACION MUNICIPAL VINA DEL MAR PARA EL DESARRO</t>
        </is>
      </c>
      <c r="F67" s="0" t="inlineStr">
        <is>
          <t xml:space="preserve">Región de Valparaíso </t>
        </is>
      </c>
      <c r="G67" s="0" t="inlineStr">
        <is>
          <t xml:space="preserve">Viña del Mar</t>
        </is>
      </c>
      <c r="H67" s="2">
        <v>46293.681412</v>
      </c>
      <c r="I67" s="2">
        <v>46309.375</v>
      </c>
      <c r="J67" s="0">
        <v>11</v>
      </c>
      <c r="K67" s="3">
        <v>35112264.0</v>
      </c>
      <c r="L67" s="0" t="inlineStr">
        <is>
          <t xml:space="preserve">CLP</t>
        </is>
      </c>
      <c r="M67" s="0" t="inlineStr">
        <is>
          <t xml:space="preserve">LE</t>
        </is>
      </c>
      <c r="N67" s="4" t="inlineStr">
        <is>
          <t xml:space="preserve">Tecnologías de la información, telecomunicaciones y radiodifusión / Software / Software de consultas y gestión de datos</t>
        </is>
      </c>
      <c r="O67" s="4" t="inlineStr">
        <is>
          <t xml:space="preserve">1 Unidad · Software de administración de metadatos</t>
        </is>
      </c>
      <c r="P67" s="2"/>
      <c r="Q67" s="2"/>
      <c r="R67" s="0" t="inlineStr">
        <is>
          <t xml:space="preserve">36 meses</t>
        </is>
      </c>
      <c r="S67" s="0" t="inlineStr">
        <is>
          <t xml:space="preserve">No</t>
        </is>
      </c>
      <c r="T67" s="4"/>
      <c r="U67" s="0" t="inlineStr">
        <is>
          <t xml:space="preserve">Jean Baptiste Pujos</t>
        </is>
      </c>
      <c r="V67" s="4" t="inlineStr">
        <is>
          <t xml:space="preserve">Las presentes Bases Administrativas tienen por objeto regular el llamado a propuesta pública denominada “CONTRATACIÓN DE UNA SOLUCIÓN INTEGRAL DE SOFTWARE DE GESTIÓN PARA FARMACIAS MUNICIPALES Y ÓPTICA MUNICIPAL” Esta licitación es de carácter público y tiene por objeto la contratación de un sistema informático para gestionar Farmacias Municipales y la Óptica Municipal.</t>
        </is>
      </c>
      <c r="W67" s="5" t="str">
        <f>HYPERLINK("https://www.mercadopublico.cl/Procurement/Modules/Attachment/ViewAttachment.aspx?enc=5jldGaNOf0cymKVuOQhoSUJOeX5kyvzj0MRsin0z6APwr1xMZvp6%2bso43avgaDL%2b5Q1FkuMoGJAC0YghFn1Bmfc5IUOQaNHfpJkDmA8YeE6ba33lu%2beRnwFocsR%2bEDK7mW0tzhkkLwh7c1CvAqzyWBOnLfyFnNjHMZAOiZyMJ3RLtOSN6K5OyTQrSqlmapHTWbSRN9ssLZ%2bPEJVa5GZNusDZNyroptOHVBHPqGZ9yHIMZV%2fbJKC3hqPcMLZlnjGu8iZfuCeTg7oSYVmZmDss4QuPyQ7w9xTe37Ubt630q0XtYsLDwUfOI6DPq6Z34flv","descargar bases")</f>
      </c>
    </row>
    <row r="68">
      <c r="A68" s="0" t="inlineStr">
        <is>
          <t xml:space="preserve">728-13-LE26</t>
        </is>
      </c>
      <c r="B68" s="4" t="inlineStr">
        <is>
          <t xml:space="preserve">Servicio de automatización de Banco de Calibracion</t>
        </is>
      </c>
      <c r="C68" s="0" t="inlineStr">
        <is>
          <t xml:space="preserve">Publicada</t>
        </is>
      </c>
      <c r="D68" s="0" t="inlineStr">
        <is>
          <t xml:space="preserve">INSTITUTO NACIONAL DE HIDRAULICA</t>
        </is>
      </c>
      <c r="E68" s="0" t="inlineStr">
        <is>
          <t xml:space="preserve">Instituto Nacional de Hidráulicas - INH</t>
        </is>
      </c>
      <c r="F68" s="0" t="inlineStr">
        <is>
          <t xml:space="preserve">Región Metropolitana de Santiago</t>
        </is>
      </c>
      <c r="G68" s="0" t="inlineStr">
        <is>
          <t xml:space="preserve">Peñaflor</t>
        </is>
      </c>
      <c r="H68" s="2">
        <v>46294.706412</v>
      </c>
      <c r="I68" s="2">
        <v>46309.583333</v>
      </c>
      <c r="J68" s="0">
        <v>11</v>
      </c>
      <c r="K68" s="3"/>
      <c r="L68" s="0" t="inlineStr">
        <is>
          <t xml:space="preserve">CLP</t>
        </is>
      </c>
      <c r="M68" s="0" t="inlineStr">
        <is>
          <t xml:space="preserve">LE</t>
        </is>
      </c>
      <c r="N68" s="4" t="inlineStr">
        <is>
          <t xml:space="preserve">Maquinaria para fabricación y transformación industrial / Maquinaria y suministros de procesos industriales / Dispositivos de guía, posicionamiento y sujeción</t>
        </is>
      </c>
      <c r="O68" s="4" t="inlineStr">
        <is>
          <t xml:space="preserve">1 Unidad · Artículo de calibración</t>
        </is>
      </c>
      <c r="P68" s="2"/>
      <c r="Q68" s="2"/>
      <c r="R68" s="0"/>
      <c r="S68" s="0" t="inlineStr">
        <is>
          <t xml:space="preserve">No</t>
        </is>
      </c>
      <c r="T68" s="4"/>
      <c r="U68" s="0" t="inlineStr">
        <is>
          <t xml:space="preserve">Jimena Castillo</t>
        </is>
      </c>
      <c r="V68" s="4" t="inlineStr">
        <is>
          <t xml:space="preserve">Se requiere la automatizacion de banco de calibraciones.</t>
        </is>
      </c>
      <c r="W68" s="5" t="str">
        <f>HYPERLINK("https://www.mercadopublico.cl/Procurement/Modules/Attachment/ViewAttachment.aspx?enc=3L4iCZZu7SWBdvVvq5hafb4ye5UNXICzQzjZGh3q%2bK6wA7ZovyqRK8rf5u%2fgOVwwJQa5w%2f9pNYWvIcUHForC1zGJrNK69aqMyq7M3E%2fbNFAOAufyaEH63ESegs40r7FVZprkHOf2oiQhZDvR2ke04OL0SwwQtuZ9V3OUWR%2bqAiqXa6%2bqsNZxSvsEzYFF1ECbbx94Zx4xKYl5OFfLJkllKmGTFOMFT4JK6uOlYAHhC3xz%2fQFAOQQUOZBvABISoy81BgDa4mYGuO9cqMyHmMIaSYosyfBQons6IuoakJ%2fEeprYCLTF4IEzyaFOKEGa69uR","descargar bases")</f>
      </c>
    </row>
    <row r="69">
      <c r="A69" s="0" t="inlineStr">
        <is>
          <t xml:space="preserve">1469-251-L126</t>
        </is>
      </c>
      <c r="B69" s="4" t="inlineStr">
        <is>
          <t xml:space="preserve">“Servicio suministro de puntos de datos para la Universidad de Talca, Dirección de Tecnologías de información, nueva Oficina Servicios TI”</t>
        </is>
      </c>
      <c r="C69" s="0" t="inlineStr">
        <is>
          <t xml:space="preserve">Publicada</t>
        </is>
      </c>
      <c r="D69" s="0" t="inlineStr">
        <is>
          <t xml:space="preserve">UNIVERSIDAD DE TALCA</t>
        </is>
      </c>
      <c r="E69" s="0" t="inlineStr">
        <is>
          <t xml:space="preserve">Universidad de Talca</t>
        </is>
      </c>
      <c r="F69" s="0" t="inlineStr">
        <is>
          <t xml:space="preserve">Región del Maule </t>
        </is>
      </c>
      <c r="G69" s="0" t="inlineStr">
        <is>
          <t xml:space="preserve">Talca</t>
        </is>
      </c>
      <c r="H69" s="2">
        <v>46297.774097</v>
      </c>
      <c r="I69" s="2">
        <v>46309.625</v>
      </c>
      <c r="J69" s="0">
        <v>11</v>
      </c>
      <c r="K69" s="3">
        <v>3730650.0</v>
      </c>
      <c r="L69" s="0" t="inlineStr">
        <is>
          <t xml:space="preserve">CLP</t>
        </is>
      </c>
      <c r="M69" s="0" t="inlineStr">
        <is>
          <t xml:space="preserve">L1</t>
        </is>
      </c>
      <c r="N69" s="4" t="inlineStr">
        <is>
          <t xml:space="preserve">Servicios básicos y de información pública / Bibliotecas y otros centros de información pública / Comunicación social y de masas</t>
        </is>
      </c>
      <c r="O69" s="4" t="inlineStr">
        <is>
          <t xml:space="preserve">1 Unidad · Servicios relacionados con Internet</t>
        </is>
      </c>
      <c r="P69" s="2"/>
      <c r="Q69" s="2"/>
      <c r="R69" s="0"/>
      <c r="S69" s="0" t="inlineStr">
        <is>
          <t xml:space="preserve">No</t>
        </is>
      </c>
      <c r="T69" s="4"/>
      <c r="U69" s="0"/>
      <c r="V69" s="4" t="inlineStr">
        <is>
          <t xml:space="preserve">Contratar la provisión e instalación integral de infraestructura de red para la habilitación del servicio de datos en la nueva oficina del Departamento de Servicios y Procesos TI.</t>
        </is>
      </c>
      <c r="W69" s="5" t="str">
        <f>HYPERLINK("https://www.mercadopublico.cl/Procurement/Modules/Attachment/ViewAttachment.aspx?enc=bLaJBprDWA6IqUrlrMppNDue0pCRZ%2ba6X%2ffRdOFv%2fPwvreqbMuEGdNJ5vT%2fvXLq59aUHrgx6KM7dr4%2fOO%2bh61sfelvKB4iX89%2bPcpx%2bXh6aGjcZzs5bndiKY7D7%2f7KfkYmCftwF4BLmSgCcwnobIs0XumYJWr5X1zXvue0aYeZru0gLnMZmyhummeEWlOeAmMAqkmNG9zACAvlXnhGKFYZm0LdJoelLJ5eqMNXflkXaJpnEJKvwenL5xTe6aVjzQnSwJTwnzX2%2bZ00YG4UkJfpN8O4CVVDPS0JF45NTTBnsGhjN%2bjwL4vtBATkbKcRN2","descargar bases")</f>
      </c>
    </row>
    <row r="70">
      <c r="A70" s="0" t="inlineStr">
        <is>
          <t xml:space="preserve">2107-153-LP26</t>
        </is>
      </c>
      <c r="B70" s="4" t="inlineStr">
        <is>
          <t xml:space="preserve">ARRIENDO DE INFRAESTRUCTURA FÍSICA ENTERPRISE PARA PLATAFORMA TECNOLÓGICA INSTITUCIONAL</t>
        </is>
      </c>
      <c r="C70" s="0" t="inlineStr">
        <is>
          <t xml:space="preserve">Publicada</t>
        </is>
      </c>
      <c r="D70" s="0" t="inlineStr">
        <is>
          <t xml:space="preserve">SERVICIO DE SALUD HOSPITAL DE SANTA CRUZ</t>
        </is>
      </c>
      <c r="E70" s="0" t="inlineStr">
        <is>
          <t xml:space="preserve">Hospital de Santa Cruz</t>
        </is>
      </c>
      <c r="F70" s="0" t="inlineStr">
        <is>
          <t xml:space="preserve">Región del Libertador General Bernardo O´Higgins</t>
        </is>
      </c>
      <c r="G70" s="0"/>
      <c r="H70" s="2">
        <v>46287.719167</v>
      </c>
      <c r="I70" s="2">
        <v>46309.645139</v>
      </c>
      <c r="J70" s="0">
        <v>11</v>
      </c>
      <c r="K70" s="3"/>
      <c r="L70" s="0" t="inlineStr">
        <is>
          <t xml:space="preserve">CLP</t>
        </is>
      </c>
      <c r="M70" s="0" t="inlineStr">
        <is>
          <t xml:space="preserve">LP</t>
        </is>
      </c>
      <c r="N70" s="4" t="inlineStr">
        <is>
          <t xml:space="preserve">Tecnologías de la información, telecomunicaciones y radiodifusión / Componentes para tecnología de la información, difusión o telecomunicaciones / Subconjuntos para dispositivos electrónicos</t>
        </is>
      </c>
      <c r="O70" s="4" t="inlineStr">
        <is>
          <t xml:space="preserve">1 Unidad · Componentes de dispositivo de entrada o unidad de almacenamiento</t>
        </is>
      </c>
      <c r="P70" s="2"/>
      <c r="Q70" s="2"/>
      <c r="R70" s="0" t="inlineStr">
        <is>
          <t xml:space="preserve">36 meses</t>
        </is>
      </c>
      <c r="S70" s="0" t="inlineStr">
        <is>
          <t xml:space="preserve">No</t>
        </is>
      </c>
      <c r="T70" s="4"/>
      <c r="U70" s="0" t="inlineStr">
        <is>
          <t xml:space="preserve">Nicolas Salgado</t>
        </is>
      </c>
      <c r="V70" s="4" t="inlineStr">
        <is>
          <t xml:space="preserve">la contratación permitirá mantener la continuidad operacional de los servicios institucionales, disminuyendo riesgos tecnológicos y asegurando la disponibilidad permanente de la información clínica y administrativa</t>
        </is>
      </c>
      <c r="W70" s="5" t="str">
        <f>HYPERLINK("https://www.mercadopublico.cl/Procurement/Modules/Attachment/ViewAttachment.aspx?enc=Y6KLno3qm%2fweVb1vee5xIIm37f5D2vWIAoaQdmRarqy7U40HtM7H39A6d26Ahq0%2fbp6eWiY8O0MrLZMsePZNeukedaUoXSK1ES8G4LauucIMwLk%2f6fcwOno%2frTH5UbpQJW3mYDYw2A0PH%2f5tIqC8jyHtlJdJRv19rh7aY7VdwJzOj%2fTmh92q20MX9CTEMSYXt77%2fHq1aIWqhAlJE%2f4KlZTqFnDJbDVkuRGSJgiDSUwuoEzVOpMABkOlBl%2bM8q3jnL5x7kPUc4xuVkL2VRtsaxGoX%2bdjyFUJxrdXGc733i11hriJtXDE0RgnEf9557Rgs","descargar bases")</f>
      </c>
    </row>
    <row r="71">
      <c r="A71" s="0" t="inlineStr">
        <is>
          <t xml:space="preserve">1208129-10-LP26</t>
        </is>
      </c>
      <c r="B71" s="4" t="inlineStr">
        <is>
          <t xml:space="preserve">Giftcards digitales nominativas para las RR.FF A.D</t>
        </is>
      </c>
      <c r="C71" s="0" t="inlineStr">
        <is>
          <t xml:space="preserve">Publicada</t>
        </is>
      </c>
      <c r="D71" s="0" t="inlineStr">
        <is>
          <t xml:space="preserve">SERVICIO NACIONAL DE PROTECCIÓN ESPECIALIZADA A LA NIÑEZ Y ADOLESCENCI</t>
        </is>
      </c>
      <c r="E71" s="0" t="inlineStr">
        <is>
          <t xml:space="preserve">ADMINISTRACIÓN DIRECTA REGIÓN DEL BIOBÍO</t>
        </is>
      </c>
      <c r="F71" s="0" t="inlineStr">
        <is>
          <t xml:space="preserve">Región del Biobío </t>
        </is>
      </c>
      <c r="G71" s="0" t="inlineStr">
        <is>
          <t xml:space="preserve">Concepción</t>
        </is>
      </c>
      <c r="H71" s="2">
        <v>46297.700833</v>
      </c>
      <c r="I71" s="2">
        <v>46310.450694</v>
      </c>
      <c r="J71" s="0">
        <v>12</v>
      </c>
      <c r="K71" s="3">
        <v>222800000.0</v>
      </c>
      <c r="L71" s="0" t="inlineStr">
        <is>
          <t xml:space="preserve">CLP</t>
        </is>
      </c>
      <c r="M71" s="0" t="inlineStr">
        <is>
          <t xml:space="preserve">LP</t>
        </is>
      </c>
      <c r="N71" s="4" t="inlineStr">
        <is>
          <t xml:space="preserve">Servicios profesionales, administrativos y consultorías de gestión empresarial / Servicios de recursos humanos / Consultorías para el desarrollo de recursos humanos</t>
        </is>
      </c>
      <c r="O71" s="4" t="inlineStr">
        <is>
          <t xml:space="preserve">1 Global · Planificación de compensaciones o beneficios · 1 Global · Planificación de compensaciones o beneficios · 1 Global · Planificación de compensaciones o beneficios</t>
        </is>
      </c>
      <c r="P71" s="2"/>
      <c r="Q71" s="2"/>
      <c r="R71" s="0" t="inlineStr">
        <is>
          <t xml:space="preserve">12 meses</t>
        </is>
      </c>
      <c r="S71" s="0" t="inlineStr">
        <is>
          <t xml:space="preserve">No</t>
        </is>
      </c>
      <c r="T71" s="4"/>
      <c r="U71" s="0" t="inlineStr">
        <is>
          <t xml:space="preserve">PAULA GATICA</t>
        </is>
      </c>
      <c r="V71" s="4" t="inlineStr">
        <is>
          <t xml:space="preserve">SERVICIOS DE ADMINISTRACIÓN Y PROVISIÓN DE BENEFICIOS MEDIANTE GIFTCARDS DIGITALES NOMINATIVAS PARA ALIMENTACIÓN, VESTUARIO Y CALZADO PARA LAS RESIDENCIAS FAMILIARES DE ADMINISTRACION DIRECTA DEL SERVICIO NACIONAL DE PROTECCIÓN ESPECIALIZADA A LA NIÑEZ Y ADOLESCENCIA REGIÓN DEL BIOBIO.</t>
        </is>
      </c>
      <c r="W71" s="5" t="str">
        <f>HYPERLINK("https://www.mercadopublico.cl/Procurement/Modules/Attachment/ViewAttachment.aspx?enc=6efpflMLUjOudT0oaP%2fcPZCWeU%2bJJsYUzXZBN%2fW9BFVFYtgWfY4QwxPe2zlPCnkDVaNTknDk%2fRlTyVB%2f%2fABYL8S9u6OLSBO6mQb1NvM1%2bGDwxyT64ROPBnVYwtCbCXBuu3g6f9yxd4Ck2EE7EDlgaQa8KlM2tvDQ9rVtgEzkDV0z7tq%2bTVODPmv6N6H7MOUfssELEI0hJLaLZvwKYcd5Fh%2fjvzzk6o5J%2fSYSCsQnYdzRc08x9dhh5wNYJWhdjkvITaurP1wUEo9dwBZSY9IyE2Iop6v7yaLZx%2b3cwX7yFljMaml9%2bkLW1Ld0PLoWdCX1","descargar bases")</f>
      </c>
    </row>
    <row r="72">
      <c r="A72" s="0" t="inlineStr">
        <is>
          <t xml:space="preserve">2760-118-LR26</t>
        </is>
      </c>
      <c r="B72" s="4" t="inlineStr">
        <is>
          <t xml:space="preserve">SERVICIOS DE TELECOMUNICACIONES Y OTROS SERVICIOS INFORMÁTICOS PARA LA MUNICIPALIDAD DE CORONEL</t>
        </is>
      </c>
      <c r="C72" s="0" t="inlineStr">
        <is>
          <t xml:space="preserve">Publicada</t>
        </is>
      </c>
      <c r="D72" s="0" t="inlineStr">
        <is>
          <t xml:space="preserve">I MUNICIPALIDAD DE CORONEL</t>
        </is>
      </c>
      <c r="E72" s="0" t="inlineStr">
        <is>
          <t xml:space="preserve">SECRETARIA COMUNAL DE PLANIFICACION</t>
        </is>
      </c>
      <c r="F72" s="0" t="inlineStr">
        <is>
          <t xml:space="preserve">Región del Biobío </t>
        </is>
      </c>
      <c r="G72" s="0" t="inlineStr">
        <is>
          <t xml:space="preserve">Coronel</t>
        </is>
      </c>
      <c r="H72" s="2">
        <v>46279.810671</v>
      </c>
      <c r="I72" s="2">
        <v>46310.625</v>
      </c>
      <c r="J72" s="0">
        <v>12</v>
      </c>
      <c r="K72" s="3">
        <v>540000000.0</v>
      </c>
      <c r="L72" s="0" t="inlineStr">
        <is>
          <t xml:space="preserve">CLP</t>
        </is>
      </c>
      <c r="M72" s="0" t="inlineStr">
        <is>
          <t xml:space="preserve">LR</t>
        </is>
      </c>
      <c r="N72" s="4" t="inlineStr">
        <is>
          <t xml:space="preserve">Servicios basados en ingeniería, ciencias sociales y tecnología de la información / Servicios informáticos / Administración de sistemas</t>
        </is>
      </c>
      <c r="O72" s="4" t="inlineStr">
        <is>
          <t xml:space="preserve">1 Global · Soporte y mantenimiento de red de área local (LAN)</t>
        </is>
      </c>
      <c r="P72" s="2"/>
      <c r="Q72" s="2"/>
      <c r="R72" s="0" t="inlineStr">
        <is>
          <t xml:space="preserve">60 meses</t>
        </is>
      </c>
      <c r="S72" s="0" t="inlineStr">
        <is>
          <t xml:space="preserve">No</t>
        </is>
      </c>
      <c r="T72" s="4"/>
      <c r="U72" s="0" t="inlineStr">
        <is>
          <t xml:space="preserve">RODRIGO HENRIQUEZ ARANEDA</t>
        </is>
      </c>
      <c r="V72" s="4" t="inlineStr">
        <is>
          <t xml:space="preserve">SERVICIOS DE TELECOMUNICACIONES Y OTROS SERVICIOS INFORMÁTICOS PARA LA MUNICIPALIDAD DE CORONEL</t>
        </is>
      </c>
      <c r="W72" s="5" t="str">
        <f>HYPERLINK("https://www.mercadopublico.cl/Procurement/Modules/Attachment/ViewAttachment.aspx?enc=TqzQjHFm59hXM%2frw1EMFeTZlTh87jAu%2f5Cbcv7sISX0cDsinQ6ybgq5wroNfLPAh8FKHblDpG6bI0vROCvLdVRUkq9raezL4JWbYxHYFDGKWhAwExW8bjxEcpEgKN6GueyklaXKIpOazNr5kThWrHY4fxVrQfchcm1%2bDn8AbyLfTbjyg44fxyxPn6FGqWrq%2fN0CAD1gCEjuqcwOwILa0SejlivlUY2LPyS4abTb3tw6605ij0I8Dznr4vwuJECmNijW8CKuDW0jlxXhoa7iOXNLp%2fQcYF0DQoK1bxYFbYnXJCL6qcylSHxSsKt8aEJce","descargar bases")</f>
      </c>
    </row>
    <row r="73">
      <c r="A73" s="0" t="inlineStr">
        <is>
          <t xml:space="preserve">548874-78-LR26</t>
        </is>
      </c>
      <c r="B73" s="4" t="inlineStr">
        <is>
          <t xml:space="preserve">SERVICIO DE LICENCIAS CLOUD SUCCESSFACTORS</t>
        </is>
      </c>
      <c r="C73" s="0" t="inlineStr">
        <is>
          <t xml:space="preserve">Publicada</t>
        </is>
      </c>
      <c r="D73" s="0" t="inlineStr">
        <is>
          <t xml:space="preserve">INSTITUTO DE PREVISION SOCIAL</t>
        </is>
      </c>
      <c r="E73" s="0" t="inlineStr">
        <is>
          <t xml:space="preserve">IPS Oficina Central de Compras</t>
        </is>
      </c>
      <c r="F73" s="0" t="inlineStr">
        <is>
          <t xml:space="preserve">Región Metropolitana de Santiago</t>
        </is>
      </c>
      <c r="G73" s="0" t="inlineStr">
        <is>
          <t xml:space="preserve">Santiago</t>
        </is>
      </c>
      <c r="H73" s="2">
        <v>46272.683935</v>
      </c>
      <c r="I73" s="2">
        <v>46310.625</v>
      </c>
      <c r="J73" s="0">
        <v>12</v>
      </c>
      <c r="K73" s="3">
        <v>606192000.0</v>
      </c>
      <c r="L73" s="0" t="inlineStr">
        <is>
          <t xml:space="preserve">CLP</t>
        </is>
      </c>
      <c r="M73" s="0" t="inlineStr">
        <is>
          <t xml:space="preserve">LR</t>
        </is>
      </c>
      <c r="N73" s="4" t="inlineStr">
        <is>
          <t xml:space="preserve">Tecnologías de la información, telecomunicaciones y radiodifusión / Software / Software de gestión</t>
        </is>
      </c>
      <c r="O73" s="4" t="inlineStr">
        <is>
          <t xml:space="preserve">1 Global · Software de gestión de licencias</t>
        </is>
      </c>
      <c r="P73" s="2"/>
      <c r="Q73" s="2"/>
      <c r="R73" s="0" t="inlineStr">
        <is>
          <t xml:space="preserve">12 meses</t>
        </is>
      </c>
      <c r="S73" s="0" t="inlineStr">
        <is>
          <t xml:space="preserve">No</t>
        </is>
      </c>
      <c r="T73" s="4" t="inlineStr">
        <is>
          <t xml:space="preserve">Ver bases administrativas punto 16.</t>
        </is>
      </c>
      <c r="U73" s="0" t="inlineStr">
        <is>
          <t xml:space="preserve">Por Definir</t>
        </is>
      </c>
      <c r="V73" s="4" t="inlineStr">
        <is>
          <t xml:space="preserve">SERVICIO DE LICENCIAS CLOUD SUCCESSFACTORS EN MODALIDAD SAAS  E1O2RT8.</t>
        </is>
      </c>
      <c r="W73" s="5" t="str">
        <f>HYPERLINK("https://www.mercadopublico.cl/Procurement/Modules/Attachment/ViewAttachment.aspx?enc=qw8qM2UJR6krtbW766SFu%2fLPpt%2bEdjlPlvPKNXLRctdS5iZMTB5nFpK89AfZE%2fZZBgHi9oq1MYsuhJejuvyUWj%2f9oI5M6YKtxYHgsasukDIF%2f4Nr%2fII49vbIvIZL5y62ybox0D5tR2bSzHLehQbpoo2lXksmeIdijRCzzXEgZxJyHVb3qIolqcrBiF8Mx3JgKVexoph1z1s7bRZqGqTxs2bq4oZJ8PKmxhQ51vUUlA5SnaHD0rCAxocYszAypQaL2%2fu6E2RQI9t4XGhGjHMDPMy51kn7Uz1QWcP8L7jWm6Ij2XOaY9hYbWkXbzoQZ4rN","descargar bases")</f>
      </c>
    </row>
    <row r="74">
      <c r="A74" s="0" t="inlineStr">
        <is>
          <t xml:space="preserve">1305532-14-LP26</t>
        </is>
      </c>
      <c r="B74" s="4" t="inlineStr">
        <is>
          <t xml:space="preserve">VALORIZACION ACTIVO FIJO Y SOFTWARE INVENTARIO</t>
        </is>
      </c>
      <c r="C74" s="0" t="inlineStr">
        <is>
          <t xml:space="preserve">Publicada</t>
        </is>
      </c>
      <c r="D74" s="0" t="inlineStr">
        <is>
          <t xml:space="preserve">SERVICIO LOCAL DE EDUCACIÓN PÚBLICA DEL ELQUI</t>
        </is>
      </c>
      <c r="E74" s="0" t="inlineStr">
        <is>
          <t xml:space="preserve">COMPRAS Y LICITACIONES</t>
        </is>
      </c>
      <c r="F74" s="0" t="inlineStr">
        <is>
          <t xml:space="preserve">Región de Coquimbo </t>
        </is>
      </c>
      <c r="G74" s="0" t="inlineStr">
        <is>
          <t xml:space="preserve">La Serena</t>
        </is>
      </c>
      <c r="H74" s="2">
        <v>46288.674861</v>
      </c>
      <c r="I74" s="2">
        <v>46310.645833</v>
      </c>
      <c r="J74" s="0">
        <v>12</v>
      </c>
      <c r="K74" s="3">
        <v>138000000.0</v>
      </c>
      <c r="L74" s="0" t="inlineStr">
        <is>
          <t xml:space="preserve">CLP</t>
        </is>
      </c>
      <c r="M74" s="0" t="inlineStr">
        <is>
          <t xml:space="preserve">LP</t>
        </is>
      </c>
      <c r="N74" s="4" t="inlineStr">
        <is>
          <t xml:space="preserve">Servicios financieros, pensiones y seguros / Contabilidad y auditorías / Servicios contables</t>
        </is>
      </c>
      <c r="O74" s="4" t="inlineStr">
        <is>
          <t xml:space="preserve">1 Unidad · Contabilidad de inventario</t>
        </is>
      </c>
      <c r="P74" s="2"/>
      <c r="Q74" s="2"/>
      <c r="R74" s="0" t="inlineStr">
        <is>
          <t xml:space="preserve">24 meses</t>
        </is>
      </c>
      <c r="S74" s="0" t="inlineStr">
        <is>
          <t xml:space="preserve">No</t>
        </is>
      </c>
      <c r="T74" s="4"/>
      <c r="U74" s="0" t="inlineStr">
        <is>
          <t xml:space="preserve">Francisca Pérez García</t>
        </is>
      </c>
      <c r="V74" s="4" t="inlineStr">
        <is>
          <t xml:space="preserve">El Servicio Local de Educación Pública de Elqui requiere contratar el “Servicio de Levantamiento, Valorización de Activo Fijo y Plataforma de Gestión de Inventario”, como una solución integral compuesta por dos componentes principales: i) el levantamiento, catastro, regularización y valorización de los activos fijos e inventarios institucionales, y ii) la implementación y licenciamiento de una plataforma tecnológica destinada a la administración y control de dichos bienes.</t>
        </is>
      </c>
      <c r="W74" s="5" t="str">
        <f>HYPERLINK("https://www.mercadopublico.cl/Procurement/Modules/Attachment/ViewAttachment.aspx?enc=vjxZiMf2afPSry6nIqW4h%2fe96BWkdttbmxXuC40BYE4H2Ijlt8ltj3g598cNJpZWDDyf9XSKBkISkKRWNlYv00c4kD3aD9m6HGRLTzSY2BNP5QTeUEN79ZpBElxazHuQVf%2fbEqQFISmHJ8DJPTG9gLwGkP%2f0vrbcO5j7IAlc4ztq4hAWW6mKWwH0Lv1OmQs7SyXHf3kmm8zzvaLJioHeoTir3KbRoAmk6H4fCYuGrfVlI2xxsaWbIPIvbnqTc2jL7udDCllp8Tf9VPDwwN4vQGp%2bkcNrJuxxvCeGOzA8VFnvLjLYEUlDbCE5j3MYmW66","descargar bases")</f>
      </c>
    </row>
    <row r="75">
      <c r="A75" s="0" t="inlineStr">
        <is>
          <t xml:space="preserve">1305532-16-LP26</t>
        </is>
      </c>
      <c r="B75" s="4" t="inlineStr">
        <is>
          <t xml:space="preserve">LICENCIAMIENTO SOFTWARE CONCILIACIONES BANCARIAS</t>
        </is>
      </c>
      <c r="C75" s="0" t="inlineStr">
        <is>
          <t xml:space="preserve">Publicada</t>
        </is>
      </c>
      <c r="D75" s="0" t="inlineStr">
        <is>
          <t xml:space="preserve">SERVICIO LOCAL DE EDUCACIÓN PÚBLICA DEL ELQUI</t>
        </is>
      </c>
      <c r="E75" s="0" t="inlineStr">
        <is>
          <t xml:space="preserve">COMPRAS Y LICITACIONES</t>
        </is>
      </c>
      <c r="F75" s="0" t="inlineStr">
        <is>
          <t xml:space="preserve">Región de Coquimbo </t>
        </is>
      </c>
      <c r="G75" s="0" t="inlineStr">
        <is>
          <t xml:space="preserve">La Serena</t>
        </is>
      </c>
      <c r="H75" s="2">
        <v>46289.534722</v>
      </c>
      <c r="I75" s="2">
        <v>46310.645833</v>
      </c>
      <c r="J75" s="0">
        <v>12</v>
      </c>
      <c r="K75" s="3">
        <v>72000000.0</v>
      </c>
      <c r="L75" s="0" t="inlineStr">
        <is>
          <t xml:space="preserve">CLP</t>
        </is>
      </c>
      <c r="M75" s="0" t="inlineStr">
        <is>
          <t xml:space="preserve">LP</t>
        </is>
      </c>
      <c r="N75" s="4" t="inlineStr">
        <is>
          <t xml:space="preserve">Tecnologías de la información, telecomunicaciones y radiodifusión / Software / Software de planificación de recursos empresariales (ERP) y contabilidad financiera</t>
        </is>
      </c>
      <c r="O75" s="4" t="inlineStr">
        <is>
          <t xml:space="preserve">1 Unidad · Programas de contabilidad</t>
        </is>
      </c>
      <c r="P75" s="2"/>
      <c r="Q75" s="2"/>
      <c r="R75" s="0" t="inlineStr">
        <is>
          <t xml:space="preserve">36 meses</t>
        </is>
      </c>
      <c r="S75" s="0" t="inlineStr">
        <is>
          <t xml:space="preserve">No</t>
        </is>
      </c>
      <c r="T75"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75" s="0" t="inlineStr">
        <is>
          <t xml:space="preserve">Francisca Pérez García</t>
        </is>
      </c>
      <c r="V75" s="4" t="inlineStr">
        <is>
          <t xml:space="preserve">El Servicio Local de Educación Pública del Elqui requiere contratar una solución tecnológica integral, bajo la modalidad de Software as a Service SaaS, destinada a automatizar, optimizar y fortalecer los procesos de conciliación bancaria institucional, contribuyendo a una gestión financiera más eficiente, segura, trazable y conforme a los principios de control, probidad y modernización de la función pública</t>
        </is>
      </c>
      <c r="W75" s="5" t="str">
        <f>HYPERLINK("https://www.mercadopublico.cl/Procurement/Modules/Attachment/ViewAttachment.aspx?enc=hgIDNN2sRrjc3RnM6RSrh4L2eDoDvt5xRT60iDydX%2beNYijGRFbfFIztAoukBDja57CBKihMJlQu%2bVokqw3XF01QU%2bm6gPnoZC%2bY3kofpCZUdOYHqJeVHT8xFcJ%2bXPqRfOqv6bqc9dT4hbSb%2bwn%2bFyk86R4f4E0jFk7kcNgqtbm%2bUkpVMFikoOCq0lxPSr1MsULKRbvRk8UlbXvkriNAigKoRRL6VLAJ2CCSDzwHszCtHkp%2fW0uJ0Bb8%2f4tjvnCkgAk%2fiBnfX7oHwaFqrFFZdMwBLeo7QQUysRZ9hx%2fAGDKMtr4MlKo87nNdPd8MhEMH","descargar bases")</f>
      </c>
    </row>
    <row r="76">
      <c r="A76" s="0" t="inlineStr">
        <is>
          <t xml:space="preserve">2403-72-LP26</t>
        </is>
      </c>
      <c r="B76" s="4" t="inlineStr">
        <is>
          <t xml:space="preserve">Servicios Cloud</t>
        </is>
      </c>
      <c r="C76" s="0" t="inlineStr">
        <is>
          <t xml:space="preserve">Publicada</t>
        </is>
      </c>
      <c r="D76" s="0" t="inlineStr">
        <is>
          <t xml:space="preserve">I MUNICIPALIDAD DE PENALOLEN</t>
        </is>
      </c>
      <c r="E76" s="0" t="inlineStr">
        <is>
          <t xml:space="preserve">I.MUNICIPALIDAD DE PEÑALOLEN</t>
        </is>
      </c>
      <c r="F76" s="0" t="inlineStr">
        <is>
          <t xml:space="preserve">Región Metropolitana de Santiago</t>
        </is>
      </c>
      <c r="G76" s="0" t="inlineStr">
        <is>
          <t xml:space="preserve">Peñalolén</t>
        </is>
      </c>
      <c r="H76" s="2">
        <v>46288.529942</v>
      </c>
      <c r="I76" s="2">
        <v>46310.645833</v>
      </c>
      <c r="J76" s="0">
        <v>12</v>
      </c>
      <c r="K76" s="3">
        <v>320000.0</v>
      </c>
      <c r="L76" s="0" t="inlineStr">
        <is>
          <t xml:space="preserve">USD</t>
        </is>
      </c>
      <c r="M76" s="0" t="inlineStr">
        <is>
          <t xml:space="preserve">LP</t>
        </is>
      </c>
      <c r="N76" s="4" t="inlineStr">
        <is>
          <t xml:space="preserve">Servicios basados en ingeniería, ciencias sociales y tecnología de la información / Servicios informáticos / Servicios de datos</t>
        </is>
      </c>
      <c r="O76" s="4" t="inlineStr">
        <is>
          <t xml:space="preserve">1 Global · Centro de servicios de datos</t>
        </is>
      </c>
      <c r="P76" s="2"/>
      <c r="Q76" s="2"/>
      <c r="R76" s="0" t="inlineStr">
        <is>
          <t xml:space="preserve">49 meses</t>
        </is>
      </c>
      <c r="S76" s="0" t="inlineStr">
        <is>
          <t xml:space="preserve">No</t>
        </is>
      </c>
      <c r="T76" s="4" t="inlineStr">
        <is>
          <t xml:space="preserve">Según Bases de Licitación</t>
        </is>
      </c>
      <c r="U76" s="0" t="inlineStr">
        <is>
          <t xml:space="preserve">Matías Allende</t>
        </is>
      </c>
      <c r="V76" s="4" t="inlineStr">
        <is>
          <t xml:space="preserve">La Municipalidad de Peñalolén requiere contratar la asistencia de gestión
comercial, contractual, organizacional, de facturación y soporte administrativo
de servicios Cloud actualmente desplegados en dos cuentas AWS y una cuenta
Google Cloud Platform, para asegurar la continuidad operativa, autoservicio
municipal, control de accesos, trazabilidad, cumplimiento normativo y
coordinación con los proveedores cloud.</t>
        </is>
      </c>
      <c r="W76" s="5" t="str">
        <f>HYPERLINK("https://www.mercadopublico.cl/Procurement/Modules/Attachment/ViewAttachment.aspx?enc=RlL2cyi1OIBNj4w1ltkBsGaVbSiRqM4BPDy%2bQhHcLXKc8%2fuOCesEQqM28UwQAt%2bslX06fCSCQaR4vUMNjLaZdFaFQsnVd7UMu%2bOZskMWtiDux0DLXaulZd6fYOx4E02O2Xbv2csvy9Mdt3pCbJAwyJwPpsvsgPDPw%2fp6MM8qH5TkEdak8KRR7YrBpZGMbaGOihYh1z7x%2b9cDbhz0m9afpZDeTf%2bcqJZB%2bWVdWCV%2bOLnXEGC6H9bRh4wMswB17cgr4qK%2fBK1yY4%2bYW99uyMX4ZO1wM57Qjq2%2fL0B1%2bXAE5m%2fKX1kgxFwyM2jZdANomiU6","descargar bases")</f>
      </c>
    </row>
    <row r="77">
      <c r="A77" s="0" t="inlineStr">
        <is>
          <t xml:space="preserve">1057503-146-LE26</t>
        </is>
      </c>
      <c r="B77" s="4" t="inlineStr">
        <is>
          <t xml:space="preserve">Contratación de Solución Tecnológica Bajo Modalidad SaaS para Automatizar Procesos de Gestión Estratégica Institucional para el Hospital Padre Alberto Hurtado</t>
        </is>
      </c>
      <c r="C77" s="0" t="inlineStr">
        <is>
          <t xml:space="preserve">Publicada</t>
        </is>
      </c>
      <c r="D77" s="0" t="inlineStr">
        <is>
          <t xml:space="preserve">HOSPITAL PADRE ALBERTO HURTADO</t>
        </is>
      </c>
      <c r="E77" s="0" t="inlineStr">
        <is>
          <t xml:space="preserve">Bienes y Servicios</t>
        </is>
      </c>
      <c r="F77" s="0" t="inlineStr">
        <is>
          <t xml:space="preserve">Región Metropolitana de Santiago</t>
        </is>
      </c>
      <c r="G77" s="0" t="inlineStr">
        <is>
          <t xml:space="preserve">San Ramón</t>
        </is>
      </c>
      <c r="H77" s="2">
        <v>46295.709595</v>
      </c>
      <c r="I77" s="2">
        <v>46310.666667</v>
      </c>
      <c r="J77" s="0">
        <v>12</v>
      </c>
      <c r="K77" s="3">
        <v>1600.0</v>
      </c>
      <c r="L77" s="0" t="inlineStr">
        <is>
          <t xml:space="preserve">CLF</t>
        </is>
      </c>
      <c r="M77" s="0" t="inlineStr">
        <is>
          <t xml:space="preserve">LE</t>
        </is>
      </c>
      <c r="N77" s="4" t="inlineStr">
        <is>
          <t xml:space="preserve">Tecnologías de la información, telecomunicaciones y radiodifusión / Software / Software de administración de redes</t>
        </is>
      </c>
      <c r="O77" s="4" t="inlineStr">
        <is>
          <t xml:space="preserve">1 Unidad · Software de administración</t>
        </is>
      </c>
      <c r="P77" s="2"/>
      <c r="Q77" s="2"/>
      <c r="R77" s="0" t="inlineStr">
        <is>
          <t xml:space="preserve">24 meses</t>
        </is>
      </c>
      <c r="S77" s="0" t="inlineStr">
        <is>
          <t xml:space="preserve">No</t>
        </is>
      </c>
      <c r="T77" s="4"/>
      <c r="U77" s="0" t="inlineStr">
        <is>
          <t xml:space="preserve">Erika Valdés Rubio</t>
        </is>
      </c>
      <c r="V77" s="4" t="inlineStr">
        <is>
          <t xml:space="preserve">El objetivo de la presente licitación es proveer de una Solución Tecnológica Bajo Modalidad SaaS para Automatizar Procesos de Gestión Estratégica Institucional, que cumpla con las exigencias precisadas en las Bases Administrativas y Técnicas de la Propuesta.</t>
        </is>
      </c>
      <c r="W77" s="5" t="str">
        <f>HYPERLINK("https://www.mercadopublico.cl/Procurement/Modules/Attachment/ViewAttachment.aspx?enc=Aw7cuoHGCXNErz9jJOlMvVR%2fGj5TSi6iq6TMu2c046LMG6mMOFOt96xw2uVdmX6LgLnemLPyuJKZivcKnZKdeFH2UO2Zv7NDG%2bbr8es7m4%2fak0bsrrKUmUjpojargrSQQ%2fB%2f2aKdKQi1J7h2J5BCMi9I2JDJnxW%2ftNQotSl8%2fIxj1d0uFjqQESG2SLWt1NMXn8fCaP9WoJ3e0w1y9YJtb%2f6nnUznzvKzWJPypn%2fSuUEik3QLWmnZXOFouij8GsunVbvyV4hBd4thkU28THexNHrIonaNUYBxbCJhzJmml6zWtOhXvVQsRGthGjvV696f","descargar bases")</f>
      </c>
    </row>
    <row r="78">
      <c r="A78" s="0" t="inlineStr">
        <is>
          <t xml:space="preserve">608-197-LR26</t>
        </is>
      </c>
      <c r="B78" s="4" t="inlineStr">
        <is>
          <t xml:space="preserve">SERVICIO DE OPERACIÓN MANTENIMIENTO Y ACTUALIZACIÓN DE PLATAFORMAS TECNOLÓGICAS DE LA SALA DE CONTROL CENTRALIZADO DEL HOSPITAL DR. GUSTAVO FRICKE</t>
        </is>
      </c>
      <c r="C78" s="0" t="inlineStr">
        <is>
          <t xml:space="preserve">Publicada</t>
        </is>
      </c>
      <c r="D78" s="0" t="inlineStr">
        <is>
          <t xml:space="preserve">HOSPITAL DR GUSTAVO FRICKE DE VINA DEL MAR</t>
        </is>
      </c>
      <c r="E78" s="0" t="inlineStr">
        <is>
          <t xml:space="preserve">Hospital Dr. Gustavo Fricke</t>
        </is>
      </c>
      <c r="F78" s="0" t="inlineStr">
        <is>
          <t xml:space="preserve">Región de Valparaíso </t>
        </is>
      </c>
      <c r="G78" s="0"/>
      <c r="H78" s="2">
        <v>46279.505</v>
      </c>
      <c r="I78" s="2">
        <v>46310.686806</v>
      </c>
      <c r="J78" s="0">
        <v>12</v>
      </c>
      <c r="K78" s="3">
        <v>675433201.0</v>
      </c>
      <c r="L78" s="0" t="inlineStr">
        <is>
          <t xml:space="preserve">CLP</t>
        </is>
      </c>
      <c r="M78" s="0" t="inlineStr">
        <is>
          <t xml:space="preserve">LR</t>
        </is>
      </c>
      <c r="N78" s="4" t="inlineStr">
        <is>
          <t xml:space="preserve">Servicios basados en ingeniería, ciencias sociales y tecnología de la información / Servicios informáticos / Ingeniería en computación e informática</t>
        </is>
      </c>
      <c r="O78" s="4" t="inlineStr">
        <is>
          <t xml:space="preserve">1 Unidad · Integración de sistemas</t>
        </is>
      </c>
      <c r="P78" s="2"/>
      <c r="Q78" s="2"/>
      <c r="R78" s="0" t="inlineStr">
        <is>
          <t xml:space="preserve">17 meses</t>
        </is>
      </c>
      <c r="S78" s="0" t="inlineStr">
        <is>
          <t xml:space="preserve">No</t>
        </is>
      </c>
      <c r="T78" s="4"/>
      <c r="U78" s="0" t="inlineStr">
        <is>
          <t xml:space="preserve">SE DEFINIRÁ AL MOMENTO DE ADJUDICAR PROCESO</t>
        </is>
      </c>
      <c r="V78" s="4" t="inlineStr">
        <is>
          <t xml:space="preserve">Que la unidad de control centralizado integra plataformas tecnológicas y de comunicación complejas que
permiten el monitoreo constante y reacción inmediata ante incidentes y respuesta en tiempo real frente a
emergencias.</t>
        </is>
      </c>
      <c r="W78" s="5" t="str">
        <f>HYPERLINK("https://www.mercadopublico.cl/Procurement/Modules/Attachment/ViewAttachment.aspx?enc=IdUZDBqXGGg1WPECQhvmApoZ9JvjaOAC1NgxSN5w7c3%2b4DqPBz%2fMd2YsA2Tki8ahY7JN%2f3uXYqQei5OFsEAyLM6ih6xu8%2fBgVNc5KaGf%2fojKmXnPgzSej%2bNk%2fiSj9gKVWQpVs2wGKSxWnpxBQ3xVQP382FtC2p2FdUWmzxHRu8ubB8X7zPI%2fTMsxE7hUW3QItaNwuk0wpuVrgVwL19wun0leKf2IzSrdgQaJRygiE%2bPW9P4lFEwpTxKXLBzL%2bBoOWUN7wwLHg8NMlxmI6gnXLfUg7lkI5K%2fTVwwYZuozpVRGifLauf3T1bq6%2f%2f3dEYgM","descargar bases")</f>
      </c>
    </row>
    <row r="79">
      <c r="A79" s="0" t="inlineStr">
        <is>
          <t xml:space="preserve">1643-91-LP26</t>
        </is>
      </c>
      <c r="B79" s="4" t="inlineStr">
        <is>
          <t xml:space="preserve">SISTEMA INFORMÁTICO ERP</t>
        </is>
      </c>
      <c r="C79" s="0" t="inlineStr">
        <is>
          <t xml:space="preserve">Publicada</t>
        </is>
      </c>
      <c r="D79" s="0" t="inlineStr">
        <is>
          <t xml:space="preserve">SERVICIO NACIONAL DE SALUD HOSPITAL DE T</t>
        </is>
      </c>
      <c r="E79" s="0" t="inlineStr">
        <is>
          <t xml:space="preserve">Hospital de Talagante</t>
        </is>
      </c>
      <c r="F79" s="0" t="inlineStr">
        <is>
          <t xml:space="preserve">Región Metropolitana de Santiago</t>
        </is>
      </c>
      <c r="G79" s="0" t="inlineStr">
        <is>
          <t xml:space="preserve">Talagante</t>
        </is>
      </c>
      <c r="H79" s="2">
        <v>46290.5386</v>
      </c>
      <c r="I79" s="2">
        <v>46310.708333</v>
      </c>
      <c r="J79" s="0">
        <v>12</v>
      </c>
      <c r="K79" s="3">
        <v>320000000.0</v>
      </c>
      <c r="L79" s="0" t="inlineStr">
        <is>
          <t xml:space="preserve">CLP</t>
        </is>
      </c>
      <c r="M79" s="0" t="inlineStr">
        <is>
          <t xml:space="preserve">LP</t>
        </is>
      </c>
      <c r="N79" s="4" t="inlineStr">
        <is>
          <t xml:space="preserve">Tecnologías de la información, telecomunicaciones y radiodifusión / Software / Software de planificación de recursos empresariales (ERP) y contabilidad financiera</t>
        </is>
      </c>
      <c r="O79" s="4" t="inlineStr">
        <is>
          <t xml:space="preserve">1 Unidad · Software de planificación de recursos empresariales (ERP)</t>
        </is>
      </c>
      <c r="P79" s="2"/>
      <c r="Q79" s="2"/>
      <c r="R79" s="0" t="inlineStr">
        <is>
          <t xml:space="preserve">24 meses</t>
        </is>
      </c>
      <c r="S79" s="0" t="inlineStr">
        <is>
          <t xml:space="preserve">No</t>
        </is>
      </c>
      <c r="T79" s="4"/>
      <c r="U79" s="0" t="inlineStr">
        <is>
          <t xml:space="preserve">Paulina Montenegro Aguilera</t>
        </is>
      </c>
      <c r="V79" s="4" t="inlineStr">
        <is>
          <t xml:space="preserve">EL HOSPITAL DE TALAGANTE REQUIERE LA CONTRATACIÓN DEL SERVICIO DE IMPLEMENTACIÓN, MIGRACIÓN, PUESTA EN MARCHA Y EJECUCIÓN DE UN SISTEMA INFORMÁTICO DE GESTIÓN ERP POR 24 MESES.</t>
        </is>
      </c>
      <c r="W79" s="5" t="str">
        <f>HYPERLINK("https://www.mercadopublico.cl/Procurement/Modules/Attachment/ViewAttachment.aspx?enc=h4E63EMRZCUMeLRTwu453rLBV6p39ivUjlAA8n%2fur2lR3OJAU5bCypnWE6GJMwPdCVXajiiHfKvUefJ7TzxGvQf%2fdyaGlp8Y6c9eVVxbixsYvpjX5RiAn63Q4OQrB3hpTHjTYlk8bXzcyGye7GE0WkMo8FWIrGoyHF3rGNqx2QUZDfSfOWm7bkQCPmKmnUX%2bHhFajNJ%2bzVvvcoivlzgvS7jNPdtH%2bd8J3mBXUWsf1Ku%2fw%2fg2pBWy193sGqK1eT%2b%2f6f6VibhjaAaWE6r2g2lxmHLsc0%2bRCp8at710q490rT4NHnWejhcS1iMJXyinrieC","descargar bases")</f>
      </c>
    </row>
    <row r="80">
      <c r="A80" s="0" t="inlineStr">
        <is>
          <t xml:space="preserve">2852-59-LP26</t>
        </is>
      </c>
      <c r="B80" s="4" t="inlineStr">
        <is>
          <t xml:space="preserve">ADQUISICION DE LICENCIAS DE SOFTWARE</t>
        </is>
      </c>
      <c r="C80" s="0" t="inlineStr">
        <is>
          <t xml:space="preserve">Publicada</t>
        </is>
      </c>
      <c r="D80" s="0" t="inlineStr">
        <is>
          <t xml:space="preserve">I MUNICIPALIDAD DE PUERTO VARAS</t>
        </is>
      </c>
      <c r="E80" s="0" t="inlineStr">
        <is>
          <t xml:space="preserve">Adquisiciones Municipalidad</t>
        </is>
      </c>
      <c r="F80" s="0" t="inlineStr">
        <is>
          <t xml:space="preserve">Región de los Lagos </t>
        </is>
      </c>
      <c r="G80" s="0" t="inlineStr">
        <is>
          <t xml:space="preserve">Puerto Varas</t>
        </is>
      </c>
      <c r="H80" s="2">
        <v>46290.736354</v>
      </c>
      <c r="I80" s="2">
        <v>46310.829167</v>
      </c>
      <c r="J80" s="0">
        <v>12</v>
      </c>
      <c r="K80" s="3"/>
      <c r="L80" s="0" t="inlineStr">
        <is>
          <t xml:space="preserve">CLP</t>
        </is>
      </c>
      <c r="M80" s="0" t="inlineStr">
        <is>
          <t xml:space="preserve">LP</t>
        </is>
      </c>
      <c r="N80" s="4" t="inlineStr">
        <is>
          <t xml:space="preserve">Tecnologías de la información, telecomunicaciones y radiodifusión / Software / Software de consultas y gestión de datos, Tecnologías de la información, telecomunicaciones y radiodifusión / Software / Software de gestión, Tecnologías de la información, telecomunicaciones y radiodifusión / Software / Software de planificación de recursos empresariales (ERP) y contabilidad financiera</t>
        </is>
      </c>
      <c r="O80" s="4" t="inlineStr">
        <is>
          <t xml:space="preserve">1 Unidad · Software de gestión de licencias · 1 Unidad · Software de gestión de licencias · 1 Unidad · Software de gestión de licencias · y 8 más</t>
        </is>
      </c>
      <c r="P80" s="2"/>
      <c r="Q80" s="2"/>
      <c r="R80" s="0"/>
      <c r="S80" s="0" t="inlineStr">
        <is>
          <t xml:space="preserve">No</t>
        </is>
      </c>
      <c r="T80" s="4"/>
      <c r="U80" s="0" t="inlineStr">
        <is>
          <t xml:space="preserve">Segundo Garcés Leuquen</t>
        </is>
      </c>
      <c r="V80" s="4" t="inlineStr">
        <is>
          <t xml:space="preserve">La presente licitación pública tiene por objeto adquirir, licencias de software para distintos departamentos municipales que nos asegure un alto estándar de calidad, eficiencia y nos asegure la continuidad de todos los servicios, integridad, de acuerdo con los requerimientos y las condiciones establecidas en las presentes Bases Administrativas, Requerimientos Técnicos y anexos que forman parte de ellas y las aclaraciones que se hicieren a éstos. El sistema de contratación será licitado en propuesta Pública y publicada en el portal www.mercadopublico.cl.</t>
        </is>
      </c>
      <c r="W80" s="5" t="str">
        <f>HYPERLINK("https://www.mercadopublico.cl/Procurement/Modules/Attachment/ViewAttachment.aspx?enc=3hTw5V58n3pHDh70XyKXwRX9RTjsxBqpkkGq4qUdRFVIhyQXxvIFF6jy6HTLpGqVduRflixn51%2bfq9ETKMSJdHmjPsOgLZ2XU5U7fplLqj2jDz2U41I9gps0IqRmnZS2qiGumaKqMDjdERGMAcsRwrel57iUjk%2f9i4%2fQBpy8t14alLwYWe8%2f55VtECg7QVb6%2bmWtA%2b3IIcGKaO5v6bP%2ftp3maLiiF9WkW9QCpQA4U8BIDtyDcA6cqxsMK%2favwUHb%2feLKXRHkTFcKFjS618ik5nxiuYvRbqCIBe7EaUEcbF98dr8C59AMi5eeVvfx0cCO","descargar bases")</f>
      </c>
    </row>
    <row r="81">
      <c r="A81" s="0" t="inlineStr">
        <is>
          <t xml:space="preserve">4459-23-LP26</t>
        </is>
      </c>
      <c r="B81" s="4" t="inlineStr">
        <is>
          <t xml:space="preserve">Plataforma de Sistemas Informáticos de Gestión Municipal para la Ilustre Municipalidad de Pichilemu</t>
        </is>
      </c>
      <c r="C81" s="0" t="inlineStr">
        <is>
          <t xml:space="preserve">Publicada</t>
        </is>
      </c>
      <c r="D81" s="0" t="inlineStr">
        <is>
          <t xml:space="preserve">ILUSTRE MUNICIPALIDAD DE PICHILEMU</t>
        </is>
      </c>
      <c r="E81" s="0" t="inlineStr">
        <is>
          <t xml:space="preserve">Departamento de Proyectos</t>
        </is>
      </c>
      <c r="F81" s="0" t="inlineStr">
        <is>
          <t xml:space="preserve">Región del Libertador General Bernardo O´Higgins</t>
        </is>
      </c>
      <c r="G81" s="0" t="inlineStr">
        <is>
          <t xml:space="preserve">Pichilemu</t>
        </is>
      </c>
      <c r="H81" s="2">
        <v>46290.508056</v>
      </c>
      <c r="I81" s="2">
        <v>46311.625</v>
      </c>
      <c r="J81" s="0">
        <v>13</v>
      </c>
      <c r="K81" s="3">
        <v>265216200.0</v>
      </c>
      <c r="L81" s="0" t="inlineStr">
        <is>
          <t xml:space="preserve">CLP</t>
        </is>
      </c>
      <c r="M81" s="0" t="inlineStr">
        <is>
          <t xml:space="preserve">LP</t>
        </is>
      </c>
      <c r="N81" s="4" t="inlineStr">
        <is>
          <t xml:space="preserve">Tecnologías de la información, telecomunicaciones y radiodifusión / Software / Software de administración de redes</t>
        </is>
      </c>
      <c r="O81" s="4" t="inlineStr">
        <is>
          <t xml:space="preserve">1 Unidad · Software de mejora de sistemas operativos de redes</t>
        </is>
      </c>
      <c r="P81" s="2"/>
      <c r="Q81" s="2"/>
      <c r="R81" s="0"/>
      <c r="S81" s="0" t="inlineStr">
        <is>
          <t xml:space="preserve">No</t>
        </is>
      </c>
      <c r="T81" s="4"/>
      <c r="U81" s="0" t="inlineStr">
        <is>
          <t xml:space="preserve">Isabel Riquelme Gonzalez</t>
        </is>
      </c>
      <c r="V81" s="4" t="inlineStr">
        <is>
          <t xml:space="preserve">Implementación y operación de una plataforma de sistemas informáticos orientada a optimizar la gestión municipal de la Ilustre Municipalidad de Pichilemu. Esta herramienta permitirá centralizar procesos administrativos, mejorar la atención a la comunidad mediante servicios en línea y facilitar la gestión interna de las distintas unidades municipales, contribuyendo a una mayor eficiencia, transparencia y modernización institucional.</t>
        </is>
      </c>
      <c r="W81" s="5" t="str">
        <f>HYPERLINK("https://www.mercadopublico.cl/Procurement/Modules/Attachment/ViewAttachment.aspx?enc=tKtQ%2bhEy1azfLA0MjmdVZeS8LHagVVP1NkW74aqIXrkdcTuP0feBIe6Lq7ggTGYGdjDddjNro6jRSC0yvRBrYAHMNStTRdAX2gj0wYKCrkS%2bv6VC0Fzxjodxwn8ysEwacYHnkfMO1AE%2ffzx5Fnj6ou48ayrkr7DiXfSOVYs4qzWwseo4NpXY3HVmD1P%2bbBPi0UCnbBF6ImmVJpDijwRJU4v6X9trF6T96m3m%2b5b7hh4LAeIOwfPRy4ww9hI6815d95Qh1vfqPCF2T%2fcP41yw1S2trOCtz8bhkuQq3AuG6lbzmV%2bCkcsSaUt0fYJm8C7Z","descargar bases")</f>
      </c>
    </row>
    <row r="82">
      <c r="A82" s="0" t="inlineStr">
        <is>
          <t xml:space="preserve">948354-139-LR26</t>
        </is>
      </c>
      <c r="B82" s="4" t="inlineStr">
        <is>
          <t xml:space="preserve">CONTRATACIÓN DE SERVICIO DE SOFTWARE DE RECURSOS HUMANOS PARA EL HOSPITAL DIPRECA</t>
        </is>
      </c>
      <c r="C82" s="0" t="inlineStr">
        <is>
          <t xml:space="preserve">Publicada</t>
        </is>
      </c>
      <c r="D82" s="0" t="inlineStr">
        <is>
          <t xml:space="preserve">FONDO HOSPITAL DE LA DIRECCION DE PREVISION DE CARABINEROS DE CHILE</t>
        </is>
      </c>
      <c r="E82" s="0" t="inlineStr">
        <is>
          <t xml:space="preserve">Unidad de Compra de Bienes y Servicios</t>
        </is>
      </c>
      <c r="F82" s="0" t="inlineStr">
        <is>
          <t xml:space="preserve">Región Metropolitana de Santiago</t>
        </is>
      </c>
      <c r="G82" s="0" t="inlineStr">
        <is>
          <t xml:space="preserve">Las Condes</t>
        </is>
      </c>
      <c r="H82" s="2">
        <v>46281.643044</v>
      </c>
      <c r="I82" s="2">
        <v>46311.666667</v>
      </c>
      <c r="J82" s="0">
        <v>13</v>
      </c>
      <c r="K82" s="3">
        <v>450000000.0</v>
      </c>
      <c r="L82" s="0" t="inlineStr">
        <is>
          <t xml:space="preserve">CLP</t>
        </is>
      </c>
      <c r="M82" s="0" t="inlineStr">
        <is>
          <t xml:space="preserve">LR</t>
        </is>
      </c>
      <c r="N82" s="4" t="inlineStr">
        <is>
          <t xml:space="preserve">Tecnologías de la información, telecomunicaciones y radiodifusión / Software / Software de gestión</t>
        </is>
      </c>
      <c r="O82" s="4" t="inlineStr">
        <is>
          <t xml:space="preserve">1 Unidad · Software de gestión de recursos humanos</t>
        </is>
      </c>
      <c r="P82" s="2"/>
      <c r="Q82" s="2"/>
      <c r="R82" s="0" t="inlineStr">
        <is>
          <t xml:space="preserve">36 meses</t>
        </is>
      </c>
      <c r="S82" s="0" t="inlineStr">
        <is>
          <t xml:space="preserve">No</t>
        </is>
      </c>
      <c r="T82" s="4"/>
      <c r="U82" s="0" t="inlineStr">
        <is>
          <t xml:space="preserve">Patricio Salinas</t>
        </is>
      </c>
      <c r="V82" s="4" t="inlineStr">
        <is>
          <t xml:space="preserve">El Hospital de la Dirección de Previsión de Carabineros de Chile, ubicado en Vital Apoquindo N°1.200, Comuna de Las Condes, Región Metropolitana, en adelante “EL HOSPITAL”, llama a Licitación Pública para la Contratación de Servicio de Software para el Recursos Humanos, en adelante “EL SERVICIO”, por un periodo de 36 meses, para el referido Centro Asistencial, cuyas características y requisitos técnicos constan en las Bases Administrativas y Técnicas de esta Licitación con sus respectivos anexos.</t>
        </is>
      </c>
      <c r="W82" s="5" t="str">
        <f>HYPERLINK("https://www.mercadopublico.cl/Procurement/Modules/Attachment/ViewAttachment.aspx?enc=3c4nX47netAhQ%2bcXizzHRNB3E50ZQZnNzfFgCzpej7Hy4N0jWDhKE8TSEko38Py%2fZg7%2bBLJPBvDMUvEkj78nPhFAndtHsYnGjotPcKnNK4bcg4EQckve150fQhYB3SlxwVl%2fqrx%2fRIyk5t%2fC84KkMAhYb7TY%2f%2fFDTbnfI62orUOpYPPDFLxzg1ELCDkOOTn%2f3YvCbgPjal1HcEKgPByTgHFQ5GA0%2by4%2bElE0UzHYH43nEvQIl2tN04lkDtKFzXXlAXpXGxr7yYaat9maHEG76Vv8IggrA6zF8L27Rd8S4kL3pOKe40DOxe%2bjqJNR8Lj2","descargar bases")</f>
      </c>
    </row>
    <row r="83">
      <c r="A83" s="0" t="inlineStr">
        <is>
          <t xml:space="preserve">1153624-22-LE26</t>
        </is>
      </c>
      <c r="B83" s="4" t="inlineStr">
        <is>
          <t xml:space="preserve">Servicio enlace de datos de internet</t>
        </is>
      </c>
      <c r="C83" s="0" t="inlineStr">
        <is>
          <t xml:space="preserve">Publicada</t>
        </is>
      </c>
      <c r="D83" s="0" t="inlineStr">
        <is>
          <t xml:space="preserve">SUBSECRETARIA DE RELACIONES ECONOMICAS INTERNACIONALES</t>
        </is>
      </c>
      <c r="E83" s="0" t="inlineStr">
        <is>
          <t xml:space="preserve">Departamento Adquisiciones MN</t>
        </is>
      </c>
      <c r="F83" s="0" t="inlineStr">
        <is>
          <t xml:space="preserve">Región Metropolitana de Santiago</t>
        </is>
      </c>
      <c r="G83" s="0" t="inlineStr">
        <is>
          <t xml:space="preserve">Santiago</t>
        </is>
      </c>
      <c r="H83" s="2">
        <v>46295.481829</v>
      </c>
      <c r="I83" s="2">
        <v>46314.625</v>
      </c>
      <c r="J83" s="0">
        <v>16</v>
      </c>
      <c r="K83" s="3"/>
      <c r="L83" s="0" t="inlineStr">
        <is>
          <t xml:space="preserve">CLP</t>
        </is>
      </c>
      <c r="M83" s="0" t="inlineStr">
        <is>
          <t xml:space="preserve">LE</t>
        </is>
      </c>
      <c r="N83" s="4" t="inlineStr">
        <is>
          <t xml:space="preserve">Servicios basados en ingeniería, ciencias sociales y tecnología de la información / Servicios informáticos / Servicios de datos</t>
        </is>
      </c>
      <c r="O83" s="4" t="inlineStr">
        <is>
          <t xml:space="preserve">1 Unidad · Servicios de almacenamiento de datos</t>
        </is>
      </c>
      <c r="P83" s="2"/>
      <c r="Q83" s="2"/>
      <c r="R83" s="0" t="inlineStr">
        <is>
          <t xml:space="preserve">24 meses</t>
        </is>
      </c>
      <c r="S83" s="0" t="inlineStr">
        <is>
          <t xml:space="preserve">No</t>
        </is>
      </c>
      <c r="T83" s="4" t="inlineStr">
        <is>
          <t xml:space="preserve">No permite subcontratación.
El adjudicatario no podrá subcontratar, salvo autorización escrita de la Subsecretaría de Relaciones Económicas Internacionales</t>
        </is>
      </c>
      <c r="U83" s="0" t="inlineStr">
        <is>
          <t xml:space="preserve">Berland Méndez, René</t>
        </is>
      </c>
      <c r="V83" s="4" t="inlineStr">
        <is>
          <t xml:space="preserve">La Subsecretaría de Relaciones Económicas Internacionales invita a participar en el proceso de contratación de Servicios de enlace de datos de internet de la Subsecretaría de Relaciones Económicas Internacionales.</t>
        </is>
      </c>
      <c r="W83" s="5" t="str">
        <f>HYPERLINK("https://www.mercadopublico.cl/Procurement/Modules/Attachment/ViewAttachment.aspx?enc=JBbjEpwx99z1RayMpPF2yjT8vxMIWPuZ244wigHqPJMeQ2nAC4CMUx2GAAUfvL5HM4C9zcAetBfa9BG4PfogLmPcsPlry8Di36fVZmRI0BSsoNFDYy3TkPep7T8hj4vO%2fongkSJY9QK8fCsxd4YB9Q36j7m7t2a0R14wNrKsue%2fWn5PXLXDL5t6eBtT63mbWzJsALMTH6CDgbCUpSd0IlkbdWhsJCgLiStEf2Gc%2bCzHsx2x%2fOsp45Coczt4khWOIQIzs0XU4s94LI9GhYQRGX94LVy%2fjobl0knvyEa0FbrIuOJOFFk%2fbzmtDfqnpIXpZ","descargar bases")</f>
      </c>
    </row>
    <row r="84">
      <c r="A84" s="0" t="inlineStr">
        <is>
          <t xml:space="preserve">2563-43-LP26</t>
        </is>
      </c>
      <c r="B84" s="4" t="inlineStr">
        <is>
          <t xml:space="preserve">Adquisición de cámaras IA y radares de seguridad</t>
        </is>
      </c>
      <c r="C84" s="0" t="inlineStr">
        <is>
          <t xml:space="preserve">Publicada</t>
        </is>
      </c>
      <c r="D84" s="0" t="inlineStr">
        <is>
          <t xml:space="preserve">DIRECCION GENERAL DE AERONAUTICA CIVIL</t>
        </is>
      </c>
      <c r="E84" s="0" t="inlineStr">
        <is>
          <t xml:space="preserve">UNIDAD DE COMPRA CONTRATOS NACIONALES</t>
        </is>
      </c>
      <c r="F84" s="0" t="inlineStr">
        <is>
          <t xml:space="preserve">Región Metropolitana de Santiago</t>
        </is>
      </c>
      <c r="G84" s="0" t="inlineStr">
        <is>
          <t xml:space="preserve">Providencia</t>
        </is>
      </c>
      <c r="H84" s="2">
        <v>46293.5386</v>
      </c>
      <c r="I84" s="2">
        <v>46314.625</v>
      </c>
      <c r="J84" s="0">
        <v>16</v>
      </c>
      <c r="K84" s="3">
        <v>192000000.0</v>
      </c>
      <c r="L84" s="0" t="inlineStr">
        <is>
          <t xml:space="preserve">CLP</t>
        </is>
      </c>
      <c r="M84" s="0" t="inlineStr">
        <is>
          <t xml:space="preserve">LP</t>
        </is>
      </c>
      <c r="N84" s="4" t="inlineStr">
        <is>
          <t xml:space="preserve">Equipos y suministros de defensa, orden público, protección y seguridad / Seguridad, vigilancia y detección / Equipo de vigilancia y detección</t>
        </is>
      </c>
      <c r="O84" s="4" t="inlineStr">
        <is>
          <t xml:space="preserve">2 Unidad · Cámaras de seguridad · 2 Unidad · Cámaras de seguridad · 1 Unidad · Cámaras de seguridad · y 13 más</t>
        </is>
      </c>
      <c r="P84" s="2"/>
      <c r="Q84" s="2"/>
      <c r="R84" s="0"/>
      <c r="S84" s="0" t="inlineStr">
        <is>
          <t xml:space="preserve">No</t>
        </is>
      </c>
      <c r="T84" s="4"/>
      <c r="U84" s="0" t="inlineStr">
        <is>
          <t xml:space="preserve">Javier Pacheco</t>
        </is>
      </c>
      <c r="V84" s="4" t="inlineStr">
        <is>
          <t xml:space="preserve">adquisición, modalidad “llave en mano”, de cámaras  de videovigilancia con inteligencia artificial (IA) y radares de seguridad para el aeródromo El Loa de Calama, compuesta por grabador de video en red, servidor de gestión de video, discos duros, videowall, licencia, y demás elementos, componentes, y servicios asociados.</t>
        </is>
      </c>
      <c r="W84" s="5" t="str">
        <f>HYPERLINK("https://www.mercadopublico.cl/Procurement/Modules/Attachment/ViewAttachment.aspx?enc=L2%2b2YP9roU3%2baiPPOM1FzIHCFFi2fXoyUNTWoXhNHHbMOOw0dXusQ9V7lIjoxpbzbLKwLNQ1wL8uql8r5eKVBd71fg7Tiz9emsKHZc9bxDNhVnnMdwYiuE71b%2fkGrgNpzXes2zhYULi1WECp%2fyAB%2bFmnzHsN5sq3kgbeQIk024tlQkFlSVeLfEh4SDHq3RTVtmCApxq2bSbEML%2biB%2bxCbU41nHYT%2fX8d3jsodnV%2brUnc5esJRS0muiZOxmhphE8D5CURGuoBgPwVKIyjYrSbHWYlqX0i1gyNWT01p2WmTs%2bGkPkP3IspK8bHMFlegges","descargar bases")</f>
      </c>
    </row>
    <row r="85">
      <c r="A85" s="0" t="inlineStr">
        <is>
          <t xml:space="preserve">514862-125-LR26</t>
        </is>
      </c>
      <c r="B85" s="4" t="inlineStr">
        <is>
          <t xml:space="preserve">10032938 PLATAFORMA DE AGENDAMIENTO TELECONSULTAS</t>
        </is>
      </c>
      <c r="C85" s="0" t="inlineStr">
        <is>
          <t xml:space="preserve">Publicada</t>
        </is>
      </c>
      <c r="D85" s="0" t="inlineStr">
        <is>
          <t xml:space="preserve">CORPORACION MUNICIPAL DE PENALOLEN PARA EL DESARROLO SOCIAL CORMUP</t>
        </is>
      </c>
      <c r="E85" s="0" t="inlineStr">
        <is>
          <t xml:space="preserve">CORPORACION MUNICIPAL DE PENALOLEN PARA EL DESARRO</t>
        </is>
      </c>
      <c r="F85" s="0" t="inlineStr">
        <is>
          <t xml:space="preserve">Región Metropolitana de Santiago</t>
        </is>
      </c>
      <c r="G85" s="0" t="inlineStr">
        <is>
          <t xml:space="preserve">Peñalolén</t>
        </is>
      </c>
      <c r="H85" s="2">
        <v>46281.559005</v>
      </c>
      <c r="I85" s="2">
        <v>46314.625</v>
      </c>
      <c r="J85" s="0">
        <v>16</v>
      </c>
      <c r="K85" s="3">
        <v>408000000.0</v>
      </c>
      <c r="L85" s="0" t="inlineStr">
        <is>
          <t xml:space="preserve">CLP</t>
        </is>
      </c>
      <c r="M85" s="0" t="inlineStr">
        <is>
          <t xml:space="preserve">LR</t>
        </is>
      </c>
      <c r="N85" s="4" t="inlineStr">
        <is>
          <t xml:space="preserve">Servicios basados en ingeniería, ciencias sociales y tecnología de la información / Servicios informáticos / Servicios de datos</t>
        </is>
      </c>
      <c r="O85" s="4" t="inlineStr">
        <is>
          <t xml:space="preserve">1 Unidad · Servicios de transformación de datos</t>
        </is>
      </c>
      <c r="P85" s="2"/>
      <c r="Q85" s="2"/>
      <c r="R85" s="0"/>
      <c r="S85" s="0" t="inlineStr">
        <is>
          <t xml:space="preserve">No</t>
        </is>
      </c>
      <c r="T85" s="4" t="inlineStr">
        <is>
          <t xml:space="preserve">SEGUN BASES ADJUNTAS</t>
        </is>
      </c>
      <c r="U85" s="0" t="inlineStr">
        <is>
          <t xml:space="preserve">DANILA SEGUEL</t>
        </is>
      </c>
      <c r="V85" s="4" t="inlineStr">
        <is>
          <t xml:space="preserve">SEGUN BASES ADJUNTAS</t>
        </is>
      </c>
      <c r="W85" s="5" t="str">
        <f>HYPERLINK("https://www.mercadopublico.cl/Procurement/Modules/Attachment/ViewAttachment.aspx?enc=60VQiu%2bpVoE%2b45VzXTZ%2bL7O9%2b%2fg8BtLLiZD1zhnaTs87lPB1jTP8XLnJH2CnVfsWhUDTQh%2fB%2fvP3Rkz1HkP9EI0FYlRvN0PY3dr1oALr8mmMCwka2u9SsCUiaB8llN7WA6NXG31WlVWP3NiXa9%2fXa0EFUq%2bjG1UA33wOjRaSOzM87YUIq7Vpc5d%2fENnc9AfVkth%2fLgguQUbCjy8xdUOXtKo00fb9L%2fAU1s3MTeUTtqY6KDVEPlqnkbCmRP%2b7hQ58uopr1ICtmdbxa18sMKc1H%2fDOla9Qj12qz3ynShbhr172LvcbHuJy3TZYkG01fDWF","descargar bases")</f>
      </c>
    </row>
    <row r="86">
      <c r="A86" s="0" t="inlineStr">
        <is>
          <t xml:space="preserve">5482-101-LR26</t>
        </is>
      </c>
      <c r="B86" s="4" t="inlineStr">
        <is>
          <t xml:space="preserve">Plataforma IA para video y seguridad urbana</t>
        </is>
      </c>
      <c r="C86" s="0" t="inlineStr">
        <is>
          <t xml:space="preserve">Publicada</t>
        </is>
      </c>
      <c r="D86" s="0" t="inlineStr">
        <is>
          <t xml:space="preserve">I MUNICIPALIDAD DE NUNOA</t>
        </is>
      </c>
      <c r="E86" s="0" t="inlineStr">
        <is>
          <t xml:space="preserve">SECPLANUNOA</t>
        </is>
      </c>
      <c r="F86" s="0" t="inlineStr">
        <is>
          <t xml:space="preserve">Región Metropolitana de Santiago</t>
        </is>
      </c>
      <c r="G86" s="0" t="inlineStr">
        <is>
          <t xml:space="preserve">Ñuñoa</t>
        </is>
      </c>
      <c r="H86" s="2">
        <v>46275.729861</v>
      </c>
      <c r="I86" s="2">
        <v>46314.625694</v>
      </c>
      <c r="J86" s="0">
        <v>16</v>
      </c>
      <c r="K86" s="3"/>
      <c r="L86" s="0" t="inlineStr">
        <is>
          <t xml:space="preserve">CLF</t>
        </is>
      </c>
      <c r="M86" s="0" t="inlineStr">
        <is>
          <t xml:space="preserve">LR</t>
        </is>
      </c>
      <c r="N86" s="4" t="inlineStr">
        <is>
          <t xml:space="preserve">Tecnologías de la información, telecomunicaciones y radiodifusión / Software / Programas de desarrollo</t>
        </is>
      </c>
      <c r="O86" s="4" t="inlineStr">
        <is>
          <t xml:space="preserve">1 Global · Software de desarrollo de plataforma Web · 26 Mes · Software de desarrollo de plataforma Web</t>
        </is>
      </c>
      <c r="P86" s="2"/>
      <c r="Q86" s="2"/>
      <c r="R86" s="0" t="inlineStr">
        <is>
          <t xml:space="preserve">26 meses</t>
        </is>
      </c>
      <c r="S86" s="0" t="inlineStr">
        <is>
          <t xml:space="preserve">No</t>
        </is>
      </c>
      <c r="T86" s="4"/>
      <c r="U86" s="0" t="inlineStr">
        <is>
          <t xml:space="preserve">Katherinne Ayala</t>
        </is>
      </c>
      <c r="V86"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86" s="5" t="str">
        <f>HYPERLINK("https://www.mercadopublico.cl/Procurement/Modules/Attachment/ViewAttachment.aspx?enc=oIiyXBvotMBl1ynIZdNQauZuCdCBodlJhEnaZ5iWfJYPIzm%2fhrdd6iiVFmNEZtIteXsZLjj53Gn4uA3XN45APTs%2badMv2O0aSzqPpmmU7TZJJOA50TVAKzvSEHHLjMmc2a8Nyf6t%2fsEAPplr9u%2bk9Ck69gljEJzee%2fCxwpG%2b33MRrjbWhFuAuLNzlsIN6hUG20keTg4fqFTH4B291drJQZDFRxACd0li05fu1%2baQkGtcLzhMIG6%2ffmuKRgWBJD5yBG6wWfJF3axSCOSQJaV9uoPMIUZhssbK11hyZmczQ8UkHscD8YXcIEsQHU8slR4Y","descargar bases")</f>
      </c>
    </row>
    <row r="87">
      <c r="A87" s="0" t="inlineStr">
        <is>
          <t xml:space="preserve">425-65-LR26</t>
        </is>
      </c>
      <c r="B87" s="4" t="inlineStr">
        <is>
          <t xml:space="preserve">Renovación de licencias y servicio de administración de software Falcon Crowdstrike EDR para el Poder Judicial</t>
        </is>
      </c>
      <c r="C87" s="0" t="inlineStr">
        <is>
          <t xml:space="preserve">Publicada</t>
        </is>
      </c>
      <c r="D87" s="0" t="inlineStr">
        <is>
          <t xml:space="preserve">CORP ADMINISTRATIVA DEL PODER JUDICIAL</t>
        </is>
      </c>
      <c r="E87" s="0" t="inlineStr">
        <is>
          <t xml:space="preserve">Servicios</t>
        </is>
      </c>
      <c r="F87" s="0" t="inlineStr">
        <is>
          <t xml:space="preserve">Región Metropolitana de Santiago</t>
        </is>
      </c>
      <c r="G87" s="0" t="inlineStr">
        <is>
          <t xml:space="preserve">Santiago Centro</t>
        </is>
      </c>
      <c r="H87" s="2">
        <v>46282.496528</v>
      </c>
      <c r="I87" s="2">
        <v>46314.666667</v>
      </c>
      <c r="J87" s="0">
        <v>16</v>
      </c>
      <c r="K87" s="3"/>
      <c r="L87" s="0" t="inlineStr">
        <is>
          <t xml:space="preserve">USD</t>
        </is>
      </c>
      <c r="M87" s="0" t="inlineStr">
        <is>
          <t xml:space="preserve">LR</t>
        </is>
      </c>
      <c r="N87" s="4" t="inlineStr">
        <is>
          <t xml:space="preserve">Tecnologías de la información, telecomunicaciones y radiodifusión / Software / Software de gestión</t>
        </is>
      </c>
      <c r="O87" s="4" t="inlineStr">
        <is>
          <t xml:space="preserve">1 Global · Software de gestión de licencias · 1 Global · Software de gestión de licencias · 1 Global · Software de gestión de licencias · y 2 más</t>
        </is>
      </c>
      <c r="P87" s="2"/>
      <c r="Q87" s="2"/>
      <c r="R87" s="0" t="inlineStr">
        <is>
          <t xml:space="preserve">12 meses</t>
        </is>
      </c>
      <c r="S87" s="0" t="inlineStr">
        <is>
          <t xml:space="preserve">No</t>
        </is>
      </c>
      <c r="T87" s="4" t="inlineStr">
        <is>
          <t xml:space="preserve">De acuerdo al numeral 15 de las bases administrativas especiales</t>
        </is>
      </c>
      <c r="U87" s="0" t="inlineStr">
        <is>
          <t xml:space="preserve">Jorge Quezada</t>
        </is>
      </c>
      <c r="V87" s="4" t="inlineStr">
        <is>
          <t xml:space="preserve">Renovación de licencias y servicio de administración de software Falcon Crowdstrike EDR para el Poder Judicial</t>
        </is>
      </c>
      <c r="W87" s="5" t="str">
        <f>HYPERLINK("https://www.mercadopublico.cl/Procurement/Modules/Attachment/ViewAttachment.aspx?enc=rEwR%2b7lMgoSLSEOta7wgMX6U7tDWRb%2bl7ArIkzTf9jCubkepmrNyOdbNHDHjzZrvB%2fCpAKLuhiGHisHSKeyO0rldAOGlKJgK5aOJ5p1PZli8PsmwX1Xt1An%2foft79oZodSQhNx2aYyBR%2fK0or3pyDbYcVexFxa26D%2bs0jS7UpSJdeXPnD24MJUFJ2SEu4lr9MV7xuIgiX8uBvPUEhRfR9l%2fB3ERzVTz8kK6XqUUynZgpBwV9qfoueyEnZM9YZsfnn%2bOfz%2fPzS6%2bsAgEJUwHl5RUiVDMsNct5bY2NXfMmbkDs0BzZA4Gqt0kgiRmX%2fkui","descargar bases")</f>
      </c>
    </row>
    <row r="88">
      <c r="A88" s="0" t="inlineStr">
        <is>
          <t xml:space="preserve">1191449-19-LP26</t>
        </is>
      </c>
      <c r="B88" s="4" t="inlineStr">
        <is>
          <t xml:space="preserve">SERVICIOS  DE ADMINIS DE INFRAES CLOUD Y MANTEN AN</t>
        </is>
      </c>
      <c r="C88" s="0" t="inlineStr">
        <is>
          <t xml:space="preserve">Publicada</t>
        </is>
      </c>
      <c r="D88" s="0" t="inlineStr">
        <is>
          <t xml:space="preserve">SERVICIO NACIONAL DEL PATRIMONIO CULTURAL</t>
        </is>
      </c>
      <c r="E88" s="0" t="inlineStr">
        <is>
          <t xml:space="preserve">SUBDIRECCIÓN ARCHIVO NACIONAL DOS</t>
        </is>
      </c>
      <c r="F88" s="0" t="inlineStr">
        <is>
          <t xml:space="preserve">Región Metropolitana de Santiago</t>
        </is>
      </c>
      <c r="G88" s="0" t="inlineStr">
        <is>
          <t xml:space="preserve">Santiago</t>
        </is>
      </c>
      <c r="H88" s="2">
        <v>46294.62088</v>
      </c>
      <c r="I88" s="2">
        <v>46314.833333</v>
      </c>
      <c r="J88" s="0">
        <v>16</v>
      </c>
      <c r="K88" s="3">
        <v>114470000.0</v>
      </c>
      <c r="L88" s="0" t="inlineStr">
        <is>
          <t xml:space="preserve">CLP</t>
        </is>
      </c>
      <c r="M88" s="0" t="inlineStr">
        <is>
          <t xml:space="preserve">LP</t>
        </is>
      </c>
      <c r="N88" s="4" t="inlineStr">
        <is>
          <t xml:space="preserve">Servicios profesionales, administrativos y consultorías de gestión empresarial / Servicios de recursos humanos / Contratación de personal</t>
        </is>
      </c>
      <c r="O88" s="4" t="inlineStr">
        <is>
          <t xml:space="preserve">1 Unidad · Profesionales · 1 Unidad · Profesionales</t>
        </is>
      </c>
      <c r="P88" s="2"/>
      <c r="Q88" s="2"/>
      <c r="R88" s="0" t="inlineStr">
        <is>
          <t xml:space="preserve">12 meses</t>
        </is>
      </c>
      <c r="S88" s="0" t="inlineStr">
        <is>
          <t xml:space="preserve">No</t>
        </is>
      </c>
      <c r="T88" s="4" t="inlineStr">
        <is>
          <t xml:space="preserve">El proveedor no podrá subcontratar ninguno de los servicios encomendados. El incumplimiento de 
esta prohibición de parte de este, se considerará de carácter grave, facultándose al Serpat para 
poner término anticipado al contrato, sin derecho de indemn</t>
        </is>
      </c>
      <c r="U88" s="0" t="inlineStr">
        <is>
          <t xml:space="preserve">CONSTANZA ACUÑA CERDA</t>
        </is>
      </c>
      <c r="V88" s="4" t="inlineStr">
        <is>
          <t xml:space="preserve">“SERVICIOS PROFESIONALES DE ADMINISTRACIÓN DE INFRAESTRUCTURA CLOUD Y MANTENCIÓN DE SISTEMAS PARA EL ARCHIVO NACIONAL”.</t>
        </is>
      </c>
      <c r="W88" s="5" t="str">
        <f>HYPERLINK("https://www.mercadopublico.cl/Procurement/Modules/Attachment/ViewAttachment.aspx?enc=NA4huPeKq7VmIyPr3ub1gLrtj1g0W9eYILh7C0vLosV80KIISbGJeEXQ%2fvkRYzTGRxkeokITQprfpz0JKNJUcRZgXAgGJhLJdk1mMUyH5kRJWMhokoC5ECB5QVtGUgY3zK2DbmKizKHEhIjGZCv%2ffQzmwFl%2bYV%2fXnBNVKpwV2nmUQirim4IvtEzlh%2fF7IxLPldZKeC5wfyKo2QBGzudJCr5P8u3UN0BM2OUGZ4D6xvJWDtpc0xaoWCyBMbvqumbHOb7ymJegK0tv64rDgznRN9LzAVcQKj1RGoje7TU9P05HqIirfHZeJGD%2brpI0legV","descargar bases")</f>
      </c>
    </row>
    <row r="89">
      <c r="A89" s="0" t="inlineStr">
        <is>
          <t xml:space="preserve">1409-15-LE26</t>
        </is>
      </c>
      <c r="B89" s="4" t="inlineStr">
        <is>
          <t xml:space="preserve">Servicio arriendo red de datos e internet</t>
        </is>
      </c>
      <c r="C89" s="0" t="inlineStr">
        <is>
          <t xml:space="preserve">Publicada</t>
        </is>
      </c>
      <c r="D89" s="0" t="inlineStr">
        <is>
          <t xml:space="preserve">DIRECCION GENERAL DE AERONAUTICA CIVIL</t>
        </is>
      </c>
      <c r="E89" s="0" t="inlineStr">
        <is>
          <t xml:space="preserve">UNIDAD DE COMPRA PUERTO MONTT</t>
        </is>
      </c>
      <c r="F89" s="0" t="inlineStr">
        <is>
          <t xml:space="preserve">Región de los Lagos </t>
        </is>
      </c>
      <c r="G89" s="0" t="inlineStr">
        <is>
          <t xml:space="preserve">Puerto Montt</t>
        </is>
      </c>
      <c r="H89" s="2">
        <v>46294.686956</v>
      </c>
      <c r="I89" s="2">
        <v>46315.416667</v>
      </c>
      <c r="J89" s="0">
        <v>17</v>
      </c>
      <c r="K89" s="3"/>
      <c r="L89" s="0" t="inlineStr">
        <is>
          <t xml:space="preserve">CLP</t>
        </is>
      </c>
      <c r="M89" s="0" t="inlineStr">
        <is>
          <t xml:space="preserve">LE</t>
        </is>
      </c>
      <c r="N89" s="4" t="inlineStr">
        <is>
          <t xml:space="preserve">Servicios basados en ingeniería, ciencias sociales y tecnología de la información / Servicios informáticos / Servicios para internet</t>
        </is>
      </c>
      <c r="O89" s="4" t="inlineStr">
        <is>
          <t xml:space="preserve">36 Mes · Proveedores de servicio de Internet (ISP)</t>
        </is>
      </c>
      <c r="P89" s="2"/>
      <c r="Q89" s="2"/>
      <c r="R89" s="0" t="inlineStr">
        <is>
          <t xml:space="preserve">36 meses</t>
        </is>
      </c>
      <c r="S89" s="0" t="inlineStr">
        <is>
          <t xml:space="preserve">No</t>
        </is>
      </c>
      <c r="T89" s="4"/>
      <c r="U89" s="0" t="inlineStr">
        <is>
          <t xml:space="preserve">Rocio Marin Chambla</t>
        </is>
      </c>
      <c r="V89" s="4" t="inlineStr">
        <is>
          <t xml:space="preserve">se requiere contratar el servicio de arriendo red de datos e internet para el aeropuerto el Tepual de Puerto Montt, por un periodo de 36 meses.</t>
        </is>
      </c>
      <c r="W89" s="5" t="str">
        <f>HYPERLINK("https://www.mercadopublico.cl/Procurement/Modules/Attachment/ViewAttachment.aspx?enc=%2fwmkcHANFOzcIkTl6VviMAhaM4J6lp9GPTPl06fSFczuitGwAxeAhs%2bBpV7bUvSAyaEYOVizi%2bYaholctIfNYKZ3srKkN0V%2bTNM2NjWsgsVPPIqXj2dfOGg8RQoQQwXZZHXFRCVu%2fG%2fwNx2wpuWQqlAFnzsJV%2fxEdXnYVS2m7X6XeWVXZIDP724qAPgDVvYFYUNfYcZgYP6fjgncmOgb5NDG7Lxr8uHJBE%2bwxAxJ6DEKAn4030eSWAlWJoG%2buAO5p84zDvatEO5Vg0%2fut9wrHasbBdc%2bARLGnYirZUKWDMnltQqglxV6U40qCi46f85K","descargar bases")</f>
      </c>
    </row>
    <row r="90">
      <c r="A90" s="0" t="inlineStr">
        <is>
          <t xml:space="preserve">4160-15-LP26</t>
        </is>
      </c>
      <c r="B90" s="4" t="inlineStr">
        <is>
          <t xml:space="preserve">SERV MANTENIMIENTO TRANSMISION DE DATOS CAMARAS</t>
        </is>
      </c>
      <c r="C90" s="0" t="inlineStr">
        <is>
          <t xml:space="preserve">Publicada</t>
        </is>
      </c>
      <c r="D90" s="0" t="inlineStr">
        <is>
          <t xml:space="preserve">MUNICIPALIDAD DE HUALPEN</t>
        </is>
      </c>
      <c r="E90" s="0" t="inlineStr">
        <is>
          <t xml:space="preserve">Secplan</t>
        </is>
      </c>
      <c r="F90" s="0" t="inlineStr">
        <is>
          <t xml:space="preserve">Región del Biobío </t>
        </is>
      </c>
      <c r="G90" s="0" t="inlineStr">
        <is>
          <t xml:space="preserve">Hualpén</t>
        </is>
      </c>
      <c r="H90" s="2">
        <v>46293.499931</v>
      </c>
      <c r="I90" s="2">
        <v>46315.583333</v>
      </c>
      <c r="J90" s="0">
        <v>17</v>
      </c>
      <c r="K90" s="3"/>
      <c r="L90" s="0" t="inlineStr">
        <is>
          <t xml:space="preserve">CLF</t>
        </is>
      </c>
      <c r="M90" s="0" t="inlineStr">
        <is>
          <t xml:space="preserve">LP</t>
        </is>
      </c>
      <c r="N90" s="4" t="inlineStr">
        <is>
          <t xml:space="preserve">Equipos y suministros de defensa, orden público, protección y seguridad / Seguridad, vigilancia y detección / Equipo de vigilancia y detección</t>
        </is>
      </c>
      <c r="O90" s="4" t="inlineStr">
        <is>
          <t xml:space="preserve">48 Mes · Cámaras de seguridad</t>
        </is>
      </c>
      <c r="P90" s="2"/>
      <c r="Q90" s="2"/>
      <c r="R90" s="0" t="inlineStr">
        <is>
          <t xml:space="preserve">48 meses</t>
        </is>
      </c>
      <c r="S90" s="0" t="inlineStr">
        <is>
          <t xml:space="preserve">No</t>
        </is>
      </c>
      <c r="T90" s="4"/>
      <c r="U90" s="0" t="inlineStr">
        <is>
          <t xml:space="preserve">RENE IBAÑEZ RETAMAL</t>
        </is>
      </c>
      <c r="V90" s="4" t="inlineStr">
        <is>
          <t xml:space="preserve">contratación del “SERVICIO DE MANTENIMIENTO, TRANSMISION DE DATOS CAMARAS DE TELEVIGILANCIA HUALPÉN”, para lo cual se deberá considerar un plazo de prestación del servicio de 48 meses corridos.</t>
        </is>
      </c>
      <c r="W90" s="5" t="str">
        <f>HYPERLINK("https://www.mercadopublico.cl/Procurement/Modules/Attachment/ViewAttachment.aspx?enc=w6ES3TaAYhMxI6O9CPXipLyeUhBVDL4vTtrBQilM9%2b%2fBMaZWud05AIBIU3gnKaxBkgoH%2bNZ%2bJVy%2biBoVI7wGucLexXsC9QorQj6NxevqJ37aK5MJo%2ftudefqdtZ3JSEIB6ftJzH46ZFkRni5pioN0NSk893%2fNPLgi5p%2fyCvzPkY5ay167gbYeMw6nMWqYcJwgTiHb%2bUsnzynkwqy%2fa%2bEWVwHsQZEd89y39J5O5rf0NCkqGjxYFjgLT%2bRguoiT7mAEq6GR%2bAaRFFjDIeDuQwYaF%2fLp%2ffjq%2fDaJ%2fi%2b%2fFr%2f0x%2bK1kU5glhjLiNT8HjWYyZ1","descargar bases")</f>
      </c>
    </row>
    <row r="91">
      <c r="A91" s="0" t="inlineStr">
        <is>
          <t xml:space="preserve">1461054-45-LP26</t>
        </is>
      </c>
      <c r="B91" s="4" t="inlineStr">
        <is>
          <t xml:space="preserve">PLATAFORMA DE GESTIÓN EDUCACIONAL PARA 77 E.E</t>
        </is>
      </c>
      <c r="C91" s="0" t="inlineStr">
        <is>
          <t xml:space="preserve">Publicada</t>
        </is>
      </c>
      <c r="D91" s="0" t="inlineStr">
        <is>
          <t xml:space="preserve">SERVICIO LOCAL DE EDUCACIÓN PÚBLICA DEL ELQUI</t>
        </is>
      </c>
      <c r="E91" s="0" t="inlineStr">
        <is>
          <t xml:space="preserve">P02 Establecimientos Educacionales</t>
        </is>
      </c>
      <c r="F91" s="0" t="inlineStr">
        <is>
          <t xml:space="preserve">Región de Coquimbo </t>
        </is>
      </c>
      <c r="G91" s="0" t="inlineStr">
        <is>
          <t xml:space="preserve">La Serena</t>
        </is>
      </c>
      <c r="H91" s="2">
        <v>46288.639294</v>
      </c>
      <c r="I91" s="2">
        <v>46315.645833</v>
      </c>
      <c r="J91" s="0">
        <v>17</v>
      </c>
      <c r="K91" s="3">
        <v>290234736.0</v>
      </c>
      <c r="L91" s="0" t="inlineStr">
        <is>
          <t xml:space="preserve">CLP</t>
        </is>
      </c>
      <c r="M91" s="0" t="inlineStr">
        <is>
          <t xml:space="preserve">LP</t>
        </is>
      </c>
      <c r="N91" s="4" t="inlineStr">
        <is>
          <t xml:space="preserve">Tecnologías de la información, telecomunicaciones y radiodifusión / Software / Software de consultas y gestión de datos</t>
        </is>
      </c>
      <c r="O91" s="4" t="inlineStr">
        <is>
          <t xml:space="preserve">1 Unidad · Software del sistema de administración de bases de datos</t>
        </is>
      </c>
      <c r="P91" s="2"/>
      <c r="Q91" s="2"/>
      <c r="R91" s="0" t="inlineStr">
        <is>
          <t xml:space="preserve">36 meses</t>
        </is>
      </c>
      <c r="S91" s="0" t="inlineStr">
        <is>
          <t xml:space="preserve">No</t>
        </is>
      </c>
      <c r="T91"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91" s="0" t="inlineStr">
        <is>
          <t xml:space="preserve">Francisca Pérez García</t>
        </is>
      </c>
      <c r="V91" s="4" t="inlineStr">
        <is>
          <t xml:space="preserve">El Servicio Local de Educación Pública del Elqui (SLEP Elqui) requiere contratar la provisión, implementación, parametrización, puesta en marcha, operación, mantenimiento, actualización, soporte técnico y capacitación de una Plataforma de Gestión Educacional y Libro de Clases Digital, de carácter web y bajo modalidad Software as a Service (SaaS), destinada a los 77 establecimientos educacionales de su dependencia.</t>
        </is>
      </c>
      <c r="W91" s="5" t="str">
        <f>HYPERLINK("https://www.mercadopublico.cl/Procurement/Modules/Attachment/ViewAttachment.aspx?enc=vzgmTXs5xvt6On05DkHNeay0aqEEAyFxtoogqVOVA6A1PHD8V4KtbJ9sp%2fLAk5F%2boyTlopb6jMeEJikR0vwDUMyMCMKLBYnhwWGU%2fl05yasXZ61Y2J9JlydREeqWkgVX%2bwSN15%2bSaGrrkREcaILQGTT%2fbHGidb0Gb3z7fVa8NTzFAtt3oh75McNBLdwcpfy1YR4XarqC1cgoYHzaZ0lIOk70mE1jDxXYLRZLM%2f%2bLRjCQY2voz1iNP4Pbf8LgZH9JgJTDoe3wQJwhYFLr2OXa%2beD4qaiJAxwxByfTo7teVCsFkDpvEix2e54Xm7p0uisx","descargar bases")</f>
      </c>
    </row>
    <row r="92">
      <c r="A92" s="0" t="inlineStr">
        <is>
          <t xml:space="preserve">608897-61-LP26</t>
        </is>
      </c>
      <c r="B92" s="4" t="inlineStr">
        <is>
          <t xml:space="preserve">SOPORTE PLATAFORMAS DE INFORMACIÓN AMBIENTAL BIANUAL</t>
        </is>
      </c>
      <c r="C92" s="0" t="inlineStr">
        <is>
          <t xml:space="preserve">Publicada</t>
        </is>
      </c>
      <c r="D92" s="0" t="inlineStr">
        <is>
          <t xml:space="preserve">SUBSECRETARIA DEL MEDIO AMBIENTE</t>
        </is>
      </c>
      <c r="E92" s="0" t="inlineStr">
        <is>
          <t xml:space="preserve">Subsecretaría del Medio Ambiente</t>
        </is>
      </c>
      <c r="F92" s="0" t="inlineStr">
        <is>
          <t xml:space="preserve">Región Metropolitana de Santiago</t>
        </is>
      </c>
      <c r="G92" s="0" t="inlineStr">
        <is>
          <t xml:space="preserve">Santiago</t>
        </is>
      </c>
      <c r="H92" s="2">
        <v>46296.78</v>
      </c>
      <c r="I92" s="2">
        <v>46316.645833</v>
      </c>
      <c r="J92" s="0">
        <v>18</v>
      </c>
      <c r="K92" s="3">
        <v>100000000.0</v>
      </c>
      <c r="L92" s="0" t="inlineStr">
        <is>
          <t xml:space="preserve">CLP</t>
        </is>
      </c>
      <c r="M92" s="0" t="inlineStr">
        <is>
          <t xml:space="preserve">LP</t>
        </is>
      </c>
      <c r="N92" s="4" t="inlineStr">
        <is>
          <t xml:space="preserve">Servicios medioambientales / Gestión medioambiental / Servicios de asesoría medioambiental</t>
        </is>
      </c>
      <c r="O92" s="4" t="inlineStr">
        <is>
          <t xml:space="preserve">1 Unidad · Servicios de asesoría de tecnología medioambiental</t>
        </is>
      </c>
      <c r="P92" s="2"/>
      <c r="Q92" s="2"/>
      <c r="R92" s="0" t="inlineStr">
        <is>
          <t xml:space="preserve">14 meses</t>
        </is>
      </c>
      <c r="S92" s="0" t="inlineStr">
        <is>
          <t xml:space="preserve">No</t>
        </is>
      </c>
      <c r="T92" s="4" t="inlineStr">
        <is>
          <t xml:space="preserve">De acuerdo a lo indicado en punto 27 de bases de licitación</t>
        </is>
      </c>
      <c r="U92" s="0" t="inlineStr">
        <is>
          <t xml:space="preserve">FERNANDO DIAZ</t>
        </is>
      </c>
      <c r="V92" s="4" t="inlineStr">
        <is>
          <t xml:space="preserve">realizar servicios de mantención, actualización, soporte y diseño de los sistemas asociados a la construcción de la información ambiental administrados por el Departamento de Información Ambiental del Ministerio del Medio Ambiente</t>
        </is>
      </c>
      <c r="W92" s="5" t="str">
        <f>HYPERLINK("https://www.mercadopublico.cl/Procurement/Modules/Attachment/ViewAttachment.aspx?enc=Gf%2fgP6cLinb7%2bFCNO%2bLXqnqPTG1lDL3wUTqCqLo%2bk2hw3dBdx94%2fDTskx7g5sRgTx2%2b1uuSOYPqBH2qUtsdkve84dogZshYsijb3HN7OLoqSoTa3aH5QeXp2n2GIv6SwrJBJHmpkUdoY9XS6riSgXJyateLCYs4FVf2Lw3lMdb6JKW85sPeFpWayKm3f1hqik0mKwej4BYmaeIqjU84rct%2fzD10SYChg0jhbUpoL%2bggX1VodxCaJ%2bKafev6qyFnIMmDhkaifIbT6Z4Z9kTEjKv8Dcz9prmy9QtxFWs8Dg5YI2hXscW6EdpaRKwAkNm9u","descargar bases")</f>
      </c>
    </row>
    <row r="93">
      <c r="A93" s="0" t="inlineStr">
        <is>
          <t xml:space="preserve">4086-48-LP26</t>
        </is>
      </c>
      <c r="B93" s="4" t="inlineStr">
        <is>
          <t xml:space="preserve">SERVICIO DE SISTEMA DE INFORMACIÓN DE LA GESTIÓN</t>
        </is>
      </c>
      <c r="C93" s="0" t="inlineStr">
        <is>
          <t xml:space="preserve">Publicada</t>
        </is>
      </c>
      <c r="D93" s="0" t="inlineStr">
        <is>
          <t xml:space="preserve">I MUNICIPALIDAD DE MAULLIN</t>
        </is>
      </c>
      <c r="E93" s="0" t="inlineStr">
        <is>
          <t xml:space="preserve">Administracion y Finanzas</t>
        </is>
      </c>
      <c r="F93" s="0" t="inlineStr">
        <is>
          <t xml:space="preserve">Región de los Lagos </t>
        </is>
      </c>
      <c r="G93" s="0" t="inlineStr">
        <is>
          <t xml:space="preserve">Maullín</t>
        </is>
      </c>
      <c r="H93" s="2">
        <v>46295.670671</v>
      </c>
      <c r="I93" s="2">
        <v>46317.416667</v>
      </c>
      <c r="J93" s="0">
        <v>19</v>
      </c>
      <c r="K93" s="3">
        <v>202800000.0</v>
      </c>
      <c r="L93" s="0" t="inlineStr">
        <is>
          <t xml:space="preserve">CLP</t>
        </is>
      </c>
      <c r="M93" s="0" t="inlineStr">
        <is>
          <t xml:space="preserve">LP</t>
        </is>
      </c>
      <c r="N93" s="4" t="inlineStr">
        <is>
          <t xml:space="preserve">Tecnologías de la información, telecomunicaciones y radiodifusión / Software / Programas de desarrollo</t>
        </is>
      </c>
      <c r="O93" s="4" t="inlineStr">
        <is>
          <t xml:space="preserve">1 Unidad · Programas de gestión de configuración</t>
        </is>
      </c>
      <c r="P93" s="2"/>
      <c r="Q93" s="2"/>
      <c r="R93" s="0" t="inlineStr">
        <is>
          <t xml:space="preserve">60 meses</t>
        </is>
      </c>
      <c r="S93" s="0" t="inlineStr">
        <is>
          <t xml:space="preserve">No</t>
        </is>
      </c>
      <c r="T93" s="4"/>
      <c r="U93" s="0" t="inlineStr">
        <is>
          <t xml:space="preserve">XIMENA OJEDA</t>
        </is>
      </c>
      <c r="V93" s="4" t="inlineStr">
        <is>
          <t xml:space="preserve">SERVICIO DE MANTENCIÓN, ARRIENDO Y PROVISIÓN DE SISTEMA DE INFORMACIÓN DE LA GESTIÓN MUNICIPAL Y SOPORTE COMPUTACIONAL SEGÚN BASES, ESPECIFICACIONES TÉCNICAS, ANEXOS E ITEM ADJUNTOS.</t>
        </is>
      </c>
      <c r="W93" s="5" t="str">
        <f>HYPERLINK("https://www.mercadopublico.cl/Procurement/Modules/Attachment/ViewAttachment.aspx?enc=UsMw0Sb0j9P7XQRtiaL6SEKHdQicCuurOycyyVi8ZpmFLRxl6dypkMcwYYM4bHj5s5zfb%2bJy7LWS8UysbnXp1e5ODg342FlXB3RvNRbxOo2bUUzFPJ3jBpQlNnVjOyvQlnCrbarc1pNU6%2fJWwsjF0FdaGBqI4ucqJISpYXNJee5e5gloltoGHdJbOdTQz9I8vFmrXw1YhbzX%2bxiDiuJgSND3iW28uXrx3sCvkMsevwbj2tIuGKhfH4BNYW%2b8Bx5MFCDdDJueAkOc%2fHXRvWaxIJ9B8YL7d33JqAS06%2fy%2bwUVoOtUfaKN95DPI%2bl2CE6C4","descargar bases")</f>
      </c>
    </row>
    <row r="94">
      <c r="A94" s="0" t="inlineStr">
        <is>
          <t xml:space="preserve">605-17-LP26</t>
        </is>
      </c>
      <c r="B94" s="4" t="inlineStr">
        <is>
          <t xml:space="preserve">TELEFONÍA FIJA Y RED PRIVADA DE DATOS</t>
        </is>
      </c>
      <c r="C94" s="0" t="inlineStr">
        <is>
          <t xml:space="preserve">Publicada</t>
        </is>
      </c>
      <c r="D94" s="0" t="inlineStr">
        <is>
          <t xml:space="preserve">Consejo de Defensa del Estado</t>
        </is>
      </c>
      <c r="E94" s="0" t="inlineStr">
        <is>
          <t xml:space="preserve">Consejo de Defensa del Estado</t>
        </is>
      </c>
      <c r="F94" s="0" t="inlineStr">
        <is>
          <t xml:space="preserve">Región Metropolitana de Santiago</t>
        </is>
      </c>
      <c r="G94" s="0" t="inlineStr">
        <is>
          <t xml:space="preserve">Santiago</t>
        </is>
      </c>
      <c r="H94" s="2">
        <v>46267.455012</v>
      </c>
      <c r="I94" s="2">
        <v>46317.625</v>
      </c>
      <c r="J94" s="0">
        <v>19</v>
      </c>
      <c r="K94" s="3">
        <v>8500.0</v>
      </c>
      <c r="L94" s="0" t="inlineStr">
        <is>
          <t xml:space="preserve">CLF</t>
        </is>
      </c>
      <c r="M94" s="0" t="inlineStr">
        <is>
          <t xml:space="preserve">LP</t>
        </is>
      </c>
      <c r="N94" s="4" t="inlineStr">
        <is>
          <t xml:space="preserve">Servicios básicos y de información pública / Telecomunicaciones / Telefonía local y de larga distancia</t>
        </is>
      </c>
      <c r="O94" s="4" t="inlineStr">
        <is>
          <t xml:space="preserve">1 Unidad · Servicio telefónico local · 1 Unidad · Servicio de comunicación IP</t>
        </is>
      </c>
      <c r="P94" s="2"/>
      <c r="Q94" s="2"/>
      <c r="R94" s="0" t="inlineStr">
        <is>
          <t xml:space="preserve">24 meses</t>
        </is>
      </c>
      <c r="S94" s="0" t="inlineStr">
        <is>
          <t xml:space="preserve">No</t>
        </is>
      </c>
      <c r="T94"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94" s="0" t="inlineStr">
        <is>
          <t xml:space="preserve">IVANHOE AGUIRRE RIVERA</t>
        </is>
      </c>
      <c r="V94"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94" s="5" t="str">
        <f>HYPERLINK("https://www.mercadopublico.cl/Procurement/Modules/Attachment/ViewAttachment.aspx?enc=M8imcazEGHBHopYuCqvP0d1%2fZIkw0JbQs%2fMaoB5lL5frg7du0v4dZTeIGffiO75MpTO7kWzny08NWMUEO66cD8fNJ5sk89AC0URi71DjTrsGtnEiTBeV44ZZnRNRHJg3ddQSdhjB9jTq0xHHOsm26sOxjXDYj91X15LiGq%2boWahwe2ct%2fWZ62csrc3ETKtNm44j2Qro3ZfJNKJkoORrJnlfc2VwRjthcST1IN6PDO1vXijbreCiFSESwGaYGp0xVUSmUVIgoU7aHlBzFrDt78Pkz7VccJs1h5DhktODpMi8jauq%2fSDicbxRTXJvuLqrl","descargar bases")</f>
      </c>
    </row>
    <row r="95">
      <c r="A95" s="0" t="inlineStr">
        <is>
          <t xml:space="preserve">617807-79-B226</t>
        </is>
      </c>
      <c r="B95" s="4" t="inlineStr">
        <is>
          <t xml:space="preserve">SERVICIO DE MANTENCIÓN PREVENTIVA Y REPARATIVA DE EQUIPOS DE RAYOS X DIGITAL ARCO C PARA EL HOSPITAL SAN JUAN DE DIOS DE LOS ANDES</t>
        </is>
      </c>
      <c r="C95" s="0" t="inlineStr">
        <is>
          <t xml:space="preserve">Publicada</t>
        </is>
      </c>
      <c r="D95" s="0" t="inlineStr">
        <is>
          <t xml:space="preserve">SERV NAC SALUD HOSPITAL DE LOS ANDES</t>
        </is>
      </c>
      <c r="E95" s="0" t="inlineStr">
        <is>
          <t xml:space="preserve">Hospital San Juan de Dios de Los Andes</t>
        </is>
      </c>
      <c r="F95" s="0" t="inlineStr">
        <is>
          <t xml:space="preserve">Región de Valparaíso </t>
        </is>
      </c>
      <c r="G95" s="0" t="inlineStr">
        <is>
          <t xml:space="preserve">Los Andes</t>
        </is>
      </c>
      <c r="H95" s="2">
        <v>46297.633194</v>
      </c>
      <c r="I95" s="2">
        <v>46317.625</v>
      </c>
      <c r="J95" s="0">
        <v>19</v>
      </c>
      <c r="K95" s="3"/>
      <c r="L95" s="0" t="inlineStr">
        <is>
          <t xml:space="preserve">CLP</t>
        </is>
      </c>
      <c r="M95" s="0" t="inlineStr">
        <is>
          <t xml:space="preserve">B2</t>
        </is>
      </c>
      <c r="N95" s="4" t="inlineStr">
        <is>
          <t xml:space="preserve">Servicios de producción y fabricación industrial / Servicios de apoyo o soporte a la fabricación / Servicios de mantenimiento y reparación de equipo de fabricación</t>
        </is>
      </c>
      <c r="O95" s="4" t="inlineStr">
        <is>
          <t xml:space="preserve">1 Unidad · Servicio de mantenimiento de equipo de fabricación</t>
        </is>
      </c>
      <c r="P95" s="2"/>
      <c r="Q95" s="2"/>
      <c r="R95" s="0" t="inlineStr">
        <is>
          <t xml:space="preserve">36 meses</t>
        </is>
      </c>
      <c r="S95" s="0" t="inlineStr">
        <is>
          <t xml:space="preserve">No</t>
        </is>
      </c>
      <c r="T95" s="4"/>
      <c r="U95" s="0" t="inlineStr">
        <is>
          <t xml:space="preserve">MARCIA MANDIOLA GOMEZ</t>
        </is>
      </c>
      <c r="V95" s="4" t="inlineStr">
        <is>
          <t xml:space="preserve">Seleccionar un Proveedor reconocido, experto, calificado en el mercado por los servicios solicitados, de manera que entregue seguridad y confianza en la ejecución de los servicios de mantención de equipos y en el “CONVENIO DE MANTENCIÓN DE EQUIPOS RX ARCO C DEL HOSPITAL SAN JUAN DE DIOS DE LOS ANDES”.  Contar con el servicio solicitado por Unidad de Equipos Médicos del Establecimiento de manera que cuenten con los requerimientos técnicos estipulados en las presentes bases, y así garantizar el correcto funcionamiento en las prestaciones de salud.</t>
        </is>
      </c>
      <c r="W95" s="5" t="str">
        <f>HYPERLINK("https://www.mercadopublico.cl/Procurement/Modules/Attachment/ViewAttachment.aspx?enc=ZCXj5VP%2fhARWDFCymBbbH9nLMLyEWCp4kMmf90PeeOyrZi%2fEUKuZyMlksSG%2buI6L%2bZ3goD78WiuRdpuygTaTBstJY9IxlqR6fD7rstClCGgvxMJy2vJbzXoW2NOGjD15yg6xPD7iLrlk3iMXPU5ntB9cavGsqlk8AyIx%2fV9%2fPgg0zFf2WGGKRku%2fecwm%2fQ0%2biYqxuo0zYgoSPISqb%2f1%2beYSjswhMXuJUOOjusNIfUNdVda0euK7Fl6fg6mcWIABxub%2f1TaoxcvVunF4ioaWB1f2yx5DIKcNR29Ux%2bBrZZj1u7NStgm2k1fFe6FiYZg1b","descargar bases")</f>
      </c>
    </row>
    <row r="96">
      <c r="A96" s="0" t="inlineStr">
        <is>
          <t xml:space="preserve">948354-140-LR26</t>
        </is>
      </c>
      <c r="B96" s="4" t="inlineStr">
        <is>
          <t xml:space="preserve">CONTRATACIÓN DE UNA SOLUCIÓN INTEGRAL RIS-PACS INCLUYENDO LA PROVISIÓN DE SERVICIOS SOFTWARE HARDWARE E INFRAESTRUCTURA TECNOLÓGICA PARA EL SERVICIO DE IMAGENOLOGÍA DEL HOSPITAL DIPRECA</t>
        </is>
      </c>
      <c r="C96" s="0" t="inlineStr">
        <is>
          <t xml:space="preserve">Publicada</t>
        </is>
      </c>
      <c r="D96" s="0" t="inlineStr">
        <is>
          <t xml:space="preserve">FONDO HOSPITAL DE LA DIRECCION DE PREVISION DE CARABINEROS DE CHILE</t>
        </is>
      </c>
      <c r="E96" s="0" t="inlineStr">
        <is>
          <t xml:space="preserve">Unidad de Compra de Bienes y Servicios</t>
        </is>
      </c>
      <c r="F96" s="0" t="inlineStr">
        <is>
          <t xml:space="preserve">Región Metropolitana de Santiago</t>
        </is>
      </c>
      <c r="G96" s="0" t="inlineStr">
        <is>
          <t xml:space="preserve">Las Condes</t>
        </is>
      </c>
      <c r="H96" s="2">
        <v>46287.400255</v>
      </c>
      <c r="I96" s="2">
        <v>46317.666667</v>
      </c>
      <c r="J96" s="0">
        <v>19</v>
      </c>
      <c r="K96" s="3">
        <v>3310000000.0</v>
      </c>
      <c r="L96" s="0" t="inlineStr">
        <is>
          <t xml:space="preserve">CLP</t>
        </is>
      </c>
      <c r="M96" s="0" t="inlineStr">
        <is>
          <t xml:space="preserve">LR</t>
        </is>
      </c>
      <c r="N96" s="4" t="inlineStr">
        <is>
          <t xml:space="preserve">Equipamiento y suministros médicos / Productos para imágenes y de medicina nuclear / Artículos para archivar información e imágenes radiológicas</t>
        </is>
      </c>
      <c r="O96" s="4" t="inlineStr">
        <is>
          <t xml:space="preserve">60 Mes · Sistemas informatizados de archivado de imágenes (PACS) médicos</t>
        </is>
      </c>
      <c r="P96" s="2"/>
      <c r="Q96" s="2"/>
      <c r="R96" s="0" t="inlineStr">
        <is>
          <t xml:space="preserve">60 meses</t>
        </is>
      </c>
      <c r="S96" s="0" t="inlineStr">
        <is>
          <t xml:space="preserve">No</t>
        </is>
      </c>
      <c r="T96" s="4"/>
      <c r="U96" s="0" t="inlineStr">
        <is>
          <t xml:space="preserve">Dra. Constanza Damm Araneda</t>
        </is>
      </c>
      <c r="V96" s="4" t="inlineStr">
        <is>
          <t xml:space="preserve">El Hospital de la Dirección de Previsión de Carabineros de Chile, ubicado en Vital Apoquindo N° 1.200, comuna de Las Condes, Región Metropolitana, en adelante ‘EL HOSPITAL’, llama a licitación pública para la contratación de una solución integral RIS-PACS para el Servicio de Imagenología, por un período de 60 meses, comprendiendo conjuntamente la provisión, implementación, instalación, puesta en marcha, operación, soporte, mantenimiento, licenciamiento, migración, integración, actualización tecnológica y provisión de la infraestructura de hardware, software y equipamiento físico necesario para su correcto funcionamiento. La contratación tendrá carácter indivisible, por cuanto sus componentes técnicos, clínicos, operacionales y de seguridad de la información son interdependientes y necesarios para asegurar la continuidad asistencial del Hospital.</t>
        </is>
      </c>
      <c r="W96" s="5" t="str">
        <f>HYPERLINK("https://www.mercadopublico.cl/Procurement/Modules/Attachment/ViewAttachment.aspx?enc=TGmcnIhTnKJ62PzFyaPnI9I7o8S6dMGZQzYB%2b4c5kvIjPD0aAjlWwCwEIvSoInyBSwrr9a%2frUGdHDQq%2fneQ6Qm1mDBRykOw2Ti%2f8a7EArutXFoXQ1aSH7xmB4LvWFX7cuSX%2fMQypTGHs7ugLzDjPrRgPVA5usK%2b0PWLHwht060cPDCpj5pMoth06gQu5ilZy4CFsb4%2b5LBH2GikYnMZoLbwr8I8JS4ImurMesB1CxlaM%2fxPjhbB0pSrlYABi5i%2brGPAkqsdc1TeUi1PWiVqAhIww%2bSX9mn28U6wfPCR63vOWdkBKpKJNmGcSJQ0TNQ%2fb","descargar bases")</f>
      </c>
    </row>
    <row r="97">
      <c r="A97" s="0" t="inlineStr">
        <is>
          <t xml:space="preserve">976-15-O126</t>
        </is>
      </c>
      <c r="B97" s="4" t="inlineStr">
        <is>
          <t xml:space="preserve">Ampliación Plataformas Comercial y General Ad. El Loa</t>
        </is>
      </c>
      <c r="C97" s="0" t="inlineStr">
        <is>
          <t xml:space="preserve">Publicada</t>
        </is>
      </c>
      <c r="D97" s="0" t="inlineStr">
        <is>
          <t xml:space="preserve">MINISTERIO DE OBRAS PUBLICAS DIREC CION GRAL DE OO PP DCYF</t>
        </is>
      </c>
      <c r="E97" s="0" t="inlineStr">
        <is>
          <t xml:space="preserve">Dirección de Aeropuertos - MOPTT</t>
        </is>
      </c>
      <c r="F97" s="0" t="inlineStr">
        <is>
          <t xml:space="preserve">Región de Antofagasta </t>
        </is>
      </c>
      <c r="G97" s="0" t="inlineStr">
        <is>
          <t xml:space="preserve">Santiago</t>
        </is>
      </c>
      <c r="H97" s="2">
        <v>46265.341667</v>
      </c>
      <c r="I97" s="2">
        <v>46318.458333</v>
      </c>
      <c r="J97" s="0">
        <v>20</v>
      </c>
      <c r="K97" s="3"/>
      <c r="L97" s="0" t="inlineStr">
        <is>
          <t xml:space="preserve">CLP</t>
        </is>
      </c>
      <c r="M97" s="0" t="inlineStr">
        <is>
          <t xml:space="preserve">O1</t>
        </is>
      </c>
      <c r="N97" s="4" t="inlineStr">
        <is>
          <t xml:space="preserve">Consultoria / Consultoria / Planificación y Factibilidad</t>
        </is>
      </c>
      <c r="O97" s="4" t="inlineStr">
        <is>
          <t xml:space="preserve">1 Unidad · Licitación Pública de Obra</t>
        </is>
      </c>
      <c r="P97" s="2"/>
      <c r="Q97" s="2"/>
      <c r="R97" s="0"/>
      <c r="S97" s="0" t="inlineStr">
        <is>
          <t xml:space="preserve">No</t>
        </is>
      </c>
      <c r="T97" s="4"/>
      <c r="U97" s="0"/>
      <c r="V97" s="4" t="inlineStr">
        <is>
          <t xml:space="preserve">Esta Dirección necesita llamar a licitación para contratar la obra Ampliación Plataformas Comercial y General Aeródromo El Loa.</t>
        </is>
      </c>
      <c r="W97" s="5" t="str">
        <f>HYPERLINK("https://www.mercadopublico.cl/Procurement/Modules/Attachment/ViewAttachment.aspx?enc=7Xv5KlJ%2b2YQNFBBxooES7aejOpkVHva%2bY5KKWbaX1XFFl%2fgp7GMUkoVroLDj8DhHbv3LG1TERJYupIdlcLFaqb7jycFF7Td9mGJ6bcI1XZD1vl2hss2rP37LB%2b9V8wo4TCppvSDrEM5njstqXweSz3XAHuAyXi0cnV20mM3ozMhlyCzUoFSBM8FefykYuzW0S4i2vWWGKBSTK87IT0ObKzeVawARzmaUbNUYZksBO3TTq%2fZpXx5af8gKmGNtmYtoxqoKzQcjqz2nrP1kAL9LpbTfCUWZjkcyLQGAiOYLkEcWWYhb35lSKiI12pr8Ly3p","descargar bases")</f>
      </c>
    </row>
    <row r="98">
      <c r="A98" s="0" t="inlineStr">
        <is>
          <t xml:space="preserve">2667-71-LR26</t>
        </is>
      </c>
      <c r="B98" s="4" t="inlineStr">
        <is>
          <t xml:space="preserve">ARRIENDO SOPORTE Y MANTENCIÓN DE CENTRAL TELEFONICA IP TELEFONOS IP Y PLATAFORMA DE CONTACT CENTER</t>
        </is>
      </c>
      <c r="C98" s="0" t="inlineStr">
        <is>
          <t xml:space="preserve">Publicada</t>
        </is>
      </c>
      <c r="D98" s="0" t="inlineStr">
        <is>
          <t xml:space="preserve">I MUNICIPALIDAD DE VITACURA</t>
        </is>
      </c>
      <c r="E98" s="0" t="inlineStr">
        <is>
          <t xml:space="preserve">SECPLA</t>
        </is>
      </c>
      <c r="F98" s="0" t="inlineStr">
        <is>
          <t xml:space="preserve">Región Metropolitana de Santiago</t>
        </is>
      </c>
      <c r="G98" s="0" t="inlineStr">
        <is>
          <t xml:space="preserve">Vitacura</t>
        </is>
      </c>
      <c r="H98" s="2">
        <v>46282.54353</v>
      </c>
      <c r="I98" s="2">
        <v>46318.625</v>
      </c>
      <c r="J98" s="0">
        <v>20</v>
      </c>
      <c r="K98" s="3"/>
      <c r="L98" s="0" t="inlineStr">
        <is>
          <t xml:space="preserve">CLF</t>
        </is>
      </c>
      <c r="M98" s="0" t="inlineStr">
        <is>
          <t xml:space="preserve">LR</t>
        </is>
      </c>
      <c r="N98" s="4" t="inlineStr">
        <is>
          <t xml:space="preserve">Equipos y suministros de defensa, orden público, protección y seguridad / Seguridad, vigilancia y detección / Equipo de vigilancia y detección</t>
        </is>
      </c>
      <c r="O98" s="4" t="inlineStr">
        <is>
          <t xml:space="preserve">1 Global · Sistemas de alarma</t>
        </is>
      </c>
      <c r="P98" s="2"/>
      <c r="Q98" s="2"/>
      <c r="R98" s="0" t="inlineStr">
        <is>
          <t xml:space="preserve">48 meses</t>
        </is>
      </c>
      <c r="S98" s="0" t="inlineStr">
        <is>
          <t xml:space="preserve">No</t>
        </is>
      </c>
      <c r="T98" s="4"/>
      <c r="U98" s="0" t="inlineStr">
        <is>
          <t xml:space="preserve">Gonzalo Fuentes Osses</t>
        </is>
      </c>
      <c r="V98" s="4" t="inlineStr">
        <is>
          <t xml:space="preserve">La presente licitación tiene por objeto dar a conocer los requerimientos administrativos y técnicos para la renovación y modernización del servicio telefónico de la Municipalidad de Vitacura. Para ello, se contempla la contratación, bajo modalidad de arriendo, de una Central Telefónica IP, equipos telefónicos y una plataforma de contact center para todas sus dependencias.
El servicio deberá incluir la instalación, puesta en marcha, soporte y mantención de la solución, por un período de 48 meses (4 años), de acuerdo con lo establecido en las presentes Bases Técnicas (BT), Bases Administrativas Especiales (BAE) y demás documentos que forman parte del presente proceso licitatorio.</t>
        </is>
      </c>
      <c r="W98" s="5" t="str">
        <f>HYPERLINK("https://www.mercadopublico.cl/Procurement/Modules/Attachment/ViewAttachment.aspx?enc=RaR%2fpKBPByDo0my5zewykagFPOFR%2f34900TOPfrijkOyqaXp51UTM2yc6lSWUIZvNG4IuEB3JvIo3M7BdW0pPkgsuBiEZO3ddKHStsBx30X7137ipkaXyMbPdarL3a6DrlKAxxue%2bBrgVUw68KHf6B4Xtw32DN0lyYxzNHOSRmIHSuIOWINZaqG8lbqV%2fSpFKibTRdMp16KDG4pUEe1ifbbkGHpXS9cAsDW6Di9CnYFMR1V2oZWv%2bJMbYlLFOEH12bHdOa1F50FgwrIEovIhIAPcYKihsp2GrJwU449liEL5h81G7SM1qUWd3cOMU%2f5w","descargar bases")</f>
      </c>
    </row>
    <row r="99">
      <c r="A99" s="0" t="inlineStr">
        <is>
          <t xml:space="preserve">2342-36-LR26</t>
        </is>
      </c>
      <c r="B99" s="4" t="inlineStr">
        <is>
          <t xml:space="preserve">CONCESIÓN DE ESTACIONAMIENTOS EN CALLES DE LA ZONA CENTRO DE LA COMUNA DE SAN BERNARDO APLICANDO SISTEMA DE CONTROL DE TIEMPO DE USO CAPTADORES DE DATOS</t>
        </is>
      </c>
      <c r="C99" s="0" t="inlineStr">
        <is>
          <t xml:space="preserve">Publicada</t>
        </is>
      </c>
      <c r="D99" s="0" t="inlineStr">
        <is>
          <t xml:space="preserve">I MUNICIPALIDAD DE SAN BERNARDO</t>
        </is>
      </c>
      <c r="E99" s="0" t="inlineStr">
        <is>
          <t xml:space="preserve">SECRETARIA COMUNAL DE PLANIFICACION</t>
        </is>
      </c>
      <c r="F99" s="0" t="inlineStr">
        <is>
          <t xml:space="preserve">Región Metropolitana de Santiago</t>
        </is>
      </c>
      <c r="G99" s="0" t="inlineStr">
        <is>
          <t xml:space="preserve">San Bernardo</t>
        </is>
      </c>
      <c r="H99" s="2">
        <v>46289.68978</v>
      </c>
      <c r="I99" s="2">
        <v>46321.625694</v>
      </c>
      <c r="J99" s="0">
        <v>23</v>
      </c>
      <c r="K99" s="3"/>
      <c r="L99" s="0" t="inlineStr">
        <is>
          <t xml:space="preserve">UTM</t>
        </is>
      </c>
      <c r="M99" s="0" t="inlineStr">
        <is>
          <t xml:space="preserve">LR</t>
        </is>
      </c>
      <c r="N99" s="4" t="inlineStr">
        <is>
          <t xml:space="preserve">Servicios de transporte, almacenaje y correo / Servicios de mantención o reparaciones de transportes / Combustible para vehículos de transporte, estacionamiento y otros servicios de apoyo</t>
        </is>
      </c>
      <c r="O99" s="4" t="inlineStr">
        <is>
          <t xml:space="preserve">1 Unidad · Estacionamientos</t>
        </is>
      </c>
      <c r="P99" s="2"/>
      <c r="Q99" s="2"/>
      <c r="R99" s="0" t="inlineStr">
        <is>
          <t xml:space="preserve">36 meses</t>
        </is>
      </c>
      <c r="S99" s="0" t="inlineStr">
        <is>
          <t xml:space="preserve">No</t>
        </is>
      </c>
      <c r="T99" s="4"/>
      <c r="U99" s="0" t="inlineStr">
        <is>
          <t xml:space="preserve">JUAN CARLOS CABRERA CAMPOS</t>
        </is>
      </c>
      <c r="V99" s="4" t="inlineStr">
        <is>
          <t xml:space="preserve">CONCESIÓN DE ESTACIONAMIENTOS EN CALLES DE LA ZONA CENTRO DE LA COMUNA DE SAN BERNARDO, APLICANDO SISTEMA DE CONTROL DE TIEMPO DE USO CAPTADORES DE DATOS</t>
        </is>
      </c>
      <c r="W99" s="5" t="str">
        <f>HYPERLINK("https://www.mercadopublico.cl/Procurement/Modules/Attachment/ViewAttachment.aspx?enc=8eblOMd6o6MHuQdw24Fph5qZbXPEsdVM4AS0OFiqY8aBFjpBPAjCjJYTxOHSDrBfeT%2f%2b6xLIZ%2bnxb%2bkX2pbETqk%2b0xi9xTsJpVCdY1gv5aN9Fda%2f1t73pIjCmRoDmq%2bVpImkrAlxYLmzRh%2f%2fprSUm8UQUXoi1XLo8iJDjGxwQV%2bBreaE6Co6HCnGI8OYAanKryrDgyGE7Sg0iaatEBv4NxTQ8LaueHnfZh4RuQWeLize2gek987YfLOCDFij%2fN1IY5eWxZaosEna0r4tlV%2f%2bNvQ8Bb84ezO9mRNWrGOk1xSZDivWdUS%2fN7X7YTm9FOlj","descargar bases")</f>
      </c>
    </row>
    <row r="100">
      <c r="A100" s="0" t="inlineStr">
        <is>
          <t xml:space="preserve">2403-73-LR26</t>
        </is>
      </c>
      <c r="B100" s="4" t="inlineStr">
        <is>
          <t xml:space="preserve">Servicios de conectividad telecomunicaciones operación de infraestructura y gestión de ciberseguridad.</t>
        </is>
      </c>
      <c r="C100" s="0" t="inlineStr">
        <is>
          <t xml:space="preserve">Publicada</t>
        </is>
      </c>
      <c r="D100" s="0" t="inlineStr">
        <is>
          <t xml:space="preserve">I MUNICIPALIDAD DE PENALOLEN</t>
        </is>
      </c>
      <c r="E100" s="0" t="inlineStr">
        <is>
          <t xml:space="preserve">I.MUNICIPALIDAD DE PEÑALOLEN</t>
        </is>
      </c>
      <c r="F100" s="0" t="inlineStr">
        <is>
          <t xml:space="preserve">Región Metropolitana de Santiago</t>
        </is>
      </c>
      <c r="G100" s="0" t="inlineStr">
        <is>
          <t xml:space="preserve">Peñalolén</t>
        </is>
      </c>
      <c r="H100" s="2">
        <v>46288.605347</v>
      </c>
      <c r="I100" s="2">
        <v>46321.645833</v>
      </c>
      <c r="J100" s="0">
        <v>23</v>
      </c>
      <c r="K100" s="3">
        <v>1910656000.0</v>
      </c>
      <c r="L100" s="0" t="inlineStr">
        <is>
          <t xml:space="preserve">CLP</t>
        </is>
      </c>
      <c r="M100" s="0" t="inlineStr">
        <is>
          <t xml:space="preserve">LR</t>
        </is>
      </c>
      <c r="N100" s="4" t="inlineStr">
        <is>
          <t xml:space="preserve">Servicios de construcción y mantenimiento / Servicios de atención, mantenimiento y reparaciones de edificios / Servicios eléctricos</t>
        </is>
      </c>
      <c r="O100" s="4" t="inlineStr">
        <is>
          <t xml:space="preserve">1 Global · Instalación de sistemas de seguridad</t>
        </is>
      </c>
      <c r="P100" s="2"/>
      <c r="Q100" s="2"/>
      <c r="R100" s="0" t="inlineStr">
        <is>
          <t xml:space="preserve">51 meses</t>
        </is>
      </c>
      <c r="S100" s="0" t="inlineStr">
        <is>
          <t xml:space="preserve">No</t>
        </is>
      </c>
      <c r="T100" s="4" t="inlineStr">
        <is>
          <t xml:space="preserve">Previa autorización de la inspección técnica, y siempre que no supere el 30% del precio total de la contratación.</t>
        </is>
      </c>
      <c r="U100" s="0" t="inlineStr">
        <is>
          <t xml:space="preserve">Matías Allende Contreras</t>
        </is>
      </c>
      <c r="V100" s="4" t="inlineStr">
        <is>
          <t xml:space="preserve">La Municipalidad de Peñalolén requiere dar continuidad integral de los servicios de conectividad, telecomunicaciones, operación de infraestructura y gestión de ciberseguridad actualmente en producción, incluyendo conectividad institucional, telefonía IP, Contact Center, redes cableadas e inalámbricas, NAC, seguridad perimetral, CSOC, SIEM, housing, soporte, implementación, SLA y capacitación, asegurando continuidad operativa, seguridad y cumplimiento normativo.</t>
        </is>
      </c>
      <c r="W100" s="5" t="str">
        <f>HYPERLINK("https://www.mercadopublico.cl/Procurement/Modules/Attachment/ViewAttachment.aspx?enc=9YosETpFmM6j1GretEPyKM9OYYMd48Yi1pTUionRWXaIi3f0rerZ5%2bycrrMBYEbWMMnsJRK%2bt%2b6gfoUAvYp7w3LlvG3wY6zVU519JHoH1FudGMSNP5Ka0G0dIeFTHz8BWA%2bE17UGqxfahwHvsfrNUuGnFaiKOXNiM6vZ8xzecYdnR5l%2bwYQBDNWWiXqeBevnqBlvWzyxcJ5F1o1R6jtdcadIMYwJgJMwuyuhTqW1AkUs%2fGvzA23fs2Ufd3Cknw%2b%2bJIQ9xSMg%2fgVmOB5jPgCh78rrUZ5lNRKTbXlanYpug4tEUPpuow8vkBdMwxofI9HU","descargar bases")</f>
      </c>
    </row>
    <row r="101">
      <c r="A101" s="0" t="inlineStr">
        <is>
          <t xml:space="preserve">634-92-LE26</t>
        </is>
      </c>
      <c r="B101" s="4" t="inlineStr">
        <is>
          <t xml:space="preserve">SISTEMA RADIOGRÁFICO ODONTOLÓGICO DIGITAL</t>
        </is>
      </c>
      <c r="C101" s="0" t="inlineStr">
        <is>
          <t xml:space="preserve">Publicada</t>
        </is>
      </c>
      <c r="D101" s="0" t="inlineStr">
        <is>
          <t xml:space="preserve">DIRECCION GENERAL DE GENDARMERIA DE CHIL</t>
        </is>
      </c>
      <c r="E101" s="0" t="inlineStr">
        <is>
          <t xml:space="preserve">Dirección Nacional</t>
        </is>
      </c>
      <c r="F101" s="0" t="inlineStr">
        <is>
          <t xml:space="preserve">Región Metropolitana de Santiago</t>
        </is>
      </c>
      <c r="G101" s="0" t="inlineStr">
        <is>
          <t xml:space="preserve">Santiago</t>
        </is>
      </c>
      <c r="H101" s="2">
        <v>46297.655498</v>
      </c>
      <c r="I101" s="2">
        <v>46321.645833</v>
      </c>
      <c r="J101" s="0">
        <v>23</v>
      </c>
      <c r="K101" s="3">
        <v>35009800.0</v>
      </c>
      <c r="L101" s="0" t="inlineStr">
        <is>
          <t xml:space="preserve">CLP</t>
        </is>
      </c>
      <c r="M101" s="0" t="inlineStr">
        <is>
          <t xml:space="preserve">LE</t>
        </is>
      </c>
      <c r="N101" s="4" t="inlineStr">
        <is>
          <t xml:space="preserve">Equipamiento y suministros médicos / Equipos y suministros odontológicos / Equipo y suministros para imágenes dentales</t>
        </is>
      </c>
      <c r="O101" s="4" t="inlineStr">
        <is>
          <t xml:space="preserve">1 Unidad · Unidades de Rayos X dentales</t>
        </is>
      </c>
      <c r="P101" s="2"/>
      <c r="Q101" s="2"/>
      <c r="R101" s="0"/>
      <c r="S101" s="0" t="inlineStr">
        <is>
          <t xml:space="preserve">No</t>
        </is>
      </c>
      <c r="T101" s="4"/>
      <c r="U101" s="0" t="inlineStr">
        <is>
          <t xml:space="preserve">José Silva Díaz</t>
        </is>
      </c>
      <c r="V101" s="4" t="inlineStr">
        <is>
          <t xml:space="preserve">DISPONE LLAMADO A LICITACIÓN PÚBLICA Y APRUEBA BASES ADMINISTRATIVAS, TÉCNICAS Y FORMULARIOS DESTINADOS A LA “ADQUISICIÓN, INSTALACIÓN, PUESTA EN MARCHA Y CAPACITACIÓN DE SISTEMA RADIOGRÁFICO ODONTOLÓGICO DIGITAL TIPO ORTOPANTOMÓGRAFO CON TECNOLOGÍA CBCT PARA EL SERVICIO DENTAL DEL HOSPITAL PENITENCIARIO”. E102RT9</t>
        </is>
      </c>
      <c r="W101" s="5" t="str">
        <f>HYPERLINK("https://www.mercadopublico.cl/Procurement/Modules/Attachment/ViewAttachment.aspx?enc=XXGKysmCYSmBdIKvI5hFMns4uP92PbvbWbjz22BCf6d5R31pvQwMcTo75KXqICypwrn0ZAfQWjvlTJZycYGktEI1ykTQZxQpZUpj3y1U3l6o9j3NhxHalNMf8Oktn6cqpdBE%2frgZvMT%2fd5xRNcAGh6JEnsPhUHLtWoNWTozAesBcCEds%2fEWPR1oS41MZ3fzEqXa1mnJyy9rIPL%2fJdwR4u%2fsm%2fY8xOvd4wDvW22ZoR%2f1i7EuuV0Gale6Xypo19U%2bug2w4acafCRBdRLaszUkVsJzZR5jlrUavIKLewm3BS7seqckdWGSqgWPLnUjhHaCm","descargar bases")</f>
      </c>
    </row>
    <row r="102">
      <c r="A102" s="0" t="inlineStr">
        <is>
          <t xml:space="preserve">976-18-O126</t>
        </is>
      </c>
      <c r="B102" s="4" t="inlineStr">
        <is>
          <t xml:space="preserve">ATIF Ampliación Plataformas Comercial y General Ad. El Loa</t>
        </is>
      </c>
      <c r="C102" s="0" t="inlineStr">
        <is>
          <t xml:space="preserve">Publicada</t>
        </is>
      </c>
      <c r="D102" s="0" t="inlineStr">
        <is>
          <t xml:space="preserve">MINISTERIO DE OBRAS PUBLICAS DIREC CION GRAL DE OO PP DCYF</t>
        </is>
      </c>
      <c r="E102" s="0" t="inlineStr">
        <is>
          <t xml:space="preserve">Dirección de Aeropuertos - MOPTT</t>
        </is>
      </c>
      <c r="F102" s="0" t="inlineStr">
        <is>
          <t xml:space="preserve">Región de Antofagasta </t>
        </is>
      </c>
      <c r="G102" s="0" t="inlineStr">
        <is>
          <t xml:space="preserve">Santiago</t>
        </is>
      </c>
      <c r="H102" s="2">
        <v>46290.38125</v>
      </c>
      <c r="I102" s="2">
        <v>46325.375</v>
      </c>
      <c r="J102" s="0">
        <v>27</v>
      </c>
      <c r="K102" s="3"/>
      <c r="L102" s="0" t="inlineStr">
        <is>
          <t xml:space="preserve">CLP</t>
        </is>
      </c>
      <c r="M102" s="0" t="inlineStr">
        <is>
          <t xml:space="preserve">O1</t>
        </is>
      </c>
      <c r="N102" s="4" t="inlineStr">
        <is>
          <t xml:space="preserve">Consultoria / Consultoria / Planificación y Factibilidad</t>
        </is>
      </c>
      <c r="O102" s="4" t="inlineStr">
        <is>
          <t xml:space="preserve">1 Unidad · Licitación Pública de Consultoria</t>
        </is>
      </c>
      <c r="P102" s="2"/>
      <c r="Q102" s="2"/>
      <c r="R102" s="0"/>
      <c r="S102" s="0" t="inlineStr">
        <is>
          <t xml:space="preserve">No</t>
        </is>
      </c>
      <c r="T102" s="4"/>
      <c r="U102" s="0"/>
      <c r="V102" s="4" t="inlineStr">
        <is>
          <t xml:space="preserve">ESTA DIRECCIÓN NECESITA CONTRATAR ASESORÍA TECNICA DE INSPECCIÓN FISCAL PARA EL CONTRATO DE OBRA AMPLICACION PLATAFORMAS COMERCIAL Y GENERAL AERÓDROMO EL LOA</t>
        </is>
      </c>
      <c r="W102" s="5" t="str">
        <f>HYPERLINK("https://www.mercadopublico.cl/Procurement/Modules/Attachment/ViewAttachment.aspx?enc=YdMAnxn%2f0OL0zONqSJPIo0xkoy0zgoDtexjfp9okmEPjvXNSkUHTY8%2fx5SeNwr2UqIe%2bX6OBfk4fiXtlQOtbWlYrWLm8Zre7XkybrsbdF6Twwhu7%2bTXWajwYyXJbqBEGJ2K8g6Hqahj8Xkyh6goIwbN4pyBGKEjeolZd05qskYNPplbqPQh%2fScC88D%2fK2oe0Vq7nzLAkqTOM35GrgRHmrDdd5i67oytnv8kSynk%2fBc9Xh7C8irXcJ6oooWkYl9LgQXVqeVfMC78qnOfu9VLaKu3WggdmZ08SYYBhdm%2fJ4vLdIXEDDOD%2bfO3fRDl9kCfK","descargar bases")</f>
      </c>
    </row>
    <row r="103">
      <c r="A103" s="0" t="inlineStr">
        <is>
          <t xml:space="preserve">2490-91-LP26</t>
        </is>
      </c>
      <c r="B103" s="4" t="inlineStr">
        <is>
          <t xml:space="preserve">ARRIENDO SOPORTE Y MANTENCIÓN DE GABINETES PSICOSENSOMÉTRICOS Y EQUIPOS COMPUTACIONALES CON SOFTWARE SPI INTEGRADO 2027-2031</t>
        </is>
      </c>
      <c r="C103" s="0" t="inlineStr">
        <is>
          <t xml:space="preserve">Publicada</t>
        </is>
      </c>
      <c r="D103" s="0" t="inlineStr">
        <is>
          <t xml:space="preserve">I MUNICIPALIDAD DE PROVIDENCIA</t>
        </is>
      </c>
      <c r="E103" s="0" t="inlineStr">
        <is>
          <t xml:space="preserve">Dirección de Secpla</t>
        </is>
      </c>
      <c r="F103" s="0" t="inlineStr">
        <is>
          <t xml:space="preserve">Región Metropolitana de Santiago</t>
        </is>
      </c>
      <c r="G103" s="0" t="inlineStr">
        <is>
          <t xml:space="preserve">Providencia</t>
        </is>
      </c>
      <c r="H103" s="2">
        <v>46296.700741</v>
      </c>
      <c r="I103" s="2">
        <v>46325.541667</v>
      </c>
      <c r="J103" s="0">
        <v>27</v>
      </c>
      <c r="K103" s="3">
        <v>190000000.0</v>
      </c>
      <c r="L103" s="0" t="inlineStr">
        <is>
          <t xml:space="preserve">CLP</t>
        </is>
      </c>
      <c r="M103" s="0" t="inlineStr">
        <is>
          <t xml:space="preserve">LP</t>
        </is>
      </c>
      <c r="N103" s="4" t="inlineStr">
        <is>
          <t xml:space="preserve">Equipos y suministros de defensa, orden público, protección y seguridad / Seguridad y control público / Control de tráfico</t>
        </is>
      </c>
      <c r="O103" s="4" t="inlineStr">
        <is>
          <t xml:space="preserve">1 Global · Señales de tránsito</t>
        </is>
      </c>
      <c r="P103" s="2"/>
      <c r="Q103" s="2"/>
      <c r="R103" s="0" t="inlineStr">
        <is>
          <t xml:space="preserve">48 meses</t>
        </is>
      </c>
      <c r="S103" s="0" t="inlineStr">
        <is>
          <t xml:space="preserve">No</t>
        </is>
      </c>
      <c r="T103" s="4"/>
      <c r="U103" s="0" t="inlineStr">
        <is>
          <t xml:space="preserve">Luis Barrientos Echavarría</t>
        </is>
      </c>
      <c r="V103" s="4" t="inlineStr">
        <is>
          <t xml:space="preserve">La Municipalidad de Providencia, mediante el presente proceso de licitación pública, requiere contratar el servicio de “ARRIENDO, SOPORTE Y MANTENCIÓN DE GABINETES PSICOSENSOMÉTRICOS Y EQUIPOS COMPUTACIONALES CON SOFTWARE SPI INTEGRADO 2027-2031”, con el objetivo de contar con 05 gabinetes equipados que permita la evaluación objetiva de aptitudes físicas y psíquicas de los postulantes a licencias de conductor, en total cumplimiento con la normativa vigente.</t>
        </is>
      </c>
      <c r="W103" s="5" t="str">
        <f>HYPERLINK("https://www.mercadopublico.cl/Procurement/Modules/Attachment/ViewAttachment.aspx?enc=lfveYDhRdXNHLwKkGH9PD6Rd9h1IRD16CK1kxFpp3lL6Ftod18Sj5EYhUEqM%2bre1Sx2rUSRWCG4kU7%2bqpJlVoO95OEgLNToptSJlzHaiDeMX9JD6uRIjsosFvPelkSoyhN7YpbM68r1YFiWXUBWFi0codyu8P9W24d%2fOxtExhZ%2baLPXgCKYh3VQ1%2btJQNOGJjZoNGNjNxDAVtWf3gOVXG9dBy04PZuDxzsvHHQK5LWKMg8JYucEcDU%2f3mWbDFLnrUL5o5XMsLW9b2uyGkgW04gm5DrDvJZf%2fzeoNauYnPO4XC0sX0cafY24cAe%2b%2fW30W","descargar bases")</f>
      </c>
    </row>
    <row r="104">
      <c r="A104" s="0" t="inlineStr">
        <is>
          <t xml:space="preserve">2735-149-LR26</t>
        </is>
      </c>
      <c r="B104" s="4" t="inlineStr">
        <is>
          <t xml:space="preserve">Servicio de Software de Gestión y Registro Clinico</t>
        </is>
      </c>
      <c r="C104" s="0" t="inlineStr">
        <is>
          <t xml:space="preserve">Publicada</t>
        </is>
      </c>
      <c r="D104" s="0" t="inlineStr">
        <is>
          <t xml:space="preserve">I MUNICIPALIDAD LO BARNECHEA</t>
        </is>
      </c>
      <c r="E104" s="0" t="inlineStr">
        <is>
          <t xml:space="preserve">Municipalidad de lo Barnechea - Adquisiciones - Consistorial</t>
        </is>
      </c>
      <c r="F104" s="0" t="inlineStr">
        <is>
          <t xml:space="preserve">Región Metropolitana de Santiago</t>
        </is>
      </c>
      <c r="G104" s="0" t="inlineStr">
        <is>
          <t xml:space="preserve">Lo Barnechea</t>
        </is>
      </c>
      <c r="H104" s="2">
        <v>46296.503356</v>
      </c>
      <c r="I104" s="2">
        <v>46328.645833</v>
      </c>
      <c r="J104" s="0">
        <v>30</v>
      </c>
      <c r="K104" s="3"/>
      <c r="L104" s="0" t="inlineStr">
        <is>
          <t xml:space="preserve">CLF</t>
        </is>
      </c>
      <c r="M104" s="0" t="inlineStr">
        <is>
          <t xml:space="preserve">LR</t>
        </is>
      </c>
      <c r="N104" s="4" t="inlineStr">
        <is>
          <t xml:space="preserve">Tecnologías de la información, telecomunicaciones y radiodifusión / Software / Software específico para la industria</t>
        </is>
      </c>
      <c r="O104" s="4" t="inlineStr">
        <is>
          <t xml:space="preserve">1 Unidad · Software médico</t>
        </is>
      </c>
      <c r="P104" s="2"/>
      <c r="Q104" s="2"/>
      <c r="R104" s="0" t="inlineStr">
        <is>
          <t xml:space="preserve">63 meses</t>
        </is>
      </c>
      <c r="S104" s="0" t="inlineStr">
        <is>
          <t xml:space="preserve">No</t>
        </is>
      </c>
      <c r="T104" s="4" t="inlineStr">
        <is>
          <t xml:space="preserve">Conforme a lo establecido en el numeral 16.6 de las bases administrativas</t>
        </is>
      </c>
      <c r="U104" s="0" t="inlineStr">
        <is>
          <t xml:space="preserve">Angelica Parra</t>
        </is>
      </c>
      <c r="V104"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interoperabilidad de las fichas clínicas, y a la Ley N° 19.628 sobre protección de la vida privada, permitiendo mantener un registro clínico electrónico unificado, consistente, seguro y custodiado por la Dirección de Salud</t>
        </is>
      </c>
      <c r="W104" s="5" t="str">
        <f>HYPERLINK("https://www.mercadopublico.cl/Procurement/Modules/Attachment/ViewAttachment.aspx?enc=AU3qvKTQdb1qsAuEwmNEz2IPdq8A9jJa6VJXv4f59hoRhD%2b64reBEm2%2fv7uQFiVv7RVdfJeD2EemzQN8Y6NpUcD6F0GoBLlHmAIed4g6oU2gz%2fRH%2fri%2f%2fiXitoV0Ppbok7mXY7WXestZoDK7w0kVQKCMa%2b4%2fBx0XYZ7kuvD9m8PkU2TfRSAPP4XbVU7V2AcgdYYSdQb8SUOvCKZXovW%2fwPtSh0rWVwevsNa2acdzYLGOT6SofaXmSfZlm%2bq%2bpUtMHZW2%2f7eNkAn5yhL5g3nbS7pi9jTFgfPrIYCX5bG3dykWJUGmRpdtSW%2beY99au5qJ","descargar bases")</f>
      </c>
    </row>
    <row r="105">
      <c r="A105" s="0" t="inlineStr">
        <is>
          <t xml:space="preserve">621-909-LR26</t>
        </is>
      </c>
      <c r="B105" s="4" t="inlineStr">
        <is>
          <t xml:space="preserve">TERMOGRAFO DIGITAL MONITOREO TEMPERATURA 1000023277</t>
        </is>
      </c>
      <c r="C105" s="0" t="inlineStr">
        <is>
          <t xml:space="preserve">Publicada</t>
        </is>
      </c>
      <c r="D105" s="0" t="inlineStr">
        <is>
          <t xml:space="preserve">CENTRAL DE ABASTECIMIENTO DEL SISTEMA NACIONAL DE SERVICIO DE SALUD</t>
        </is>
      </c>
      <c r="E105" s="0" t="inlineStr">
        <is>
          <t xml:space="preserve">Compras del Giro 621</t>
        </is>
      </c>
      <c r="F105" s="0" t="inlineStr">
        <is>
          <t xml:space="preserve">Región Metropolitana de Santiago</t>
        </is>
      </c>
      <c r="G105" s="0" t="inlineStr">
        <is>
          <t xml:space="preserve">Santiago Centro</t>
        </is>
      </c>
      <c r="H105" s="2">
        <v>46297.536181</v>
      </c>
      <c r="I105" s="2">
        <v>46328.666667</v>
      </c>
      <c r="J105" s="0">
        <v>30</v>
      </c>
      <c r="K105" s="3">
        <v>533715000.0</v>
      </c>
      <c r="L105" s="0" t="inlineStr">
        <is>
          <t xml:space="preserve">CLP</t>
        </is>
      </c>
      <c r="M105" s="0" t="inlineStr">
        <is>
          <t xml:space="preserve">LR</t>
        </is>
      </c>
      <c r="N105" s="4" t="inlineStr">
        <is>
          <t xml:space="preserve">Equipamiento para laboratorios / Instrumentos de medida y experimentación / Instrumentos para medir temperatura y calor</t>
        </is>
      </c>
      <c r="O105" s="4" t="inlineStr">
        <is>
          <t xml:space="preserve">3000 Unidad · Termómetros de tele indicación</t>
        </is>
      </c>
      <c r="P105" s="2"/>
      <c r="Q105" s="2"/>
      <c r="R105" s="0" t="inlineStr">
        <is>
          <t xml:space="preserve">14 meses</t>
        </is>
      </c>
      <c r="S105" s="0" t="inlineStr">
        <is>
          <t xml:space="preserve">No</t>
        </is>
      </c>
      <c r="T105" s="4"/>
      <c r="U105" s="0" t="inlineStr">
        <is>
          <t xml:space="preserve">Gisela Teresa Castro Gomez</t>
        </is>
      </c>
      <c r="V105" s="4" t="inlineStr">
        <is>
          <t xml:space="preserve">BASES ADMINISTRATIVAS Y TÉCNICAS TIPO, POR LAS QUE SE REGIRÁN LOS PROCESOS DE LICITACIÓN PARA LA ADQUISICIÓN DE PRODUCTOS FARMACÉUTICOS, COSMÉTICOS, VACUNAS, INSUMOS, DISPOSITIVOS, Y/O ALIMENTOS DE USO MÉDICO, DESTINADO AL EJERCICIO DE ACCIONES DE SALUD</t>
        </is>
      </c>
      <c r="W105" s="5" t="str">
        <f>HYPERLINK("https://www.mercadopublico.cl/Procurement/Modules/Attachment/ViewAttachment.aspx?enc=hCZCI9M3wA2VXywmO6eUdCEsdjgjogO2Df%2fteHSLzn2cIrOvCiSgwW1bDlNZrCFl0L9U%2flpv9zXsCQcmtGCEN5YfOscqvrYwjiYX6iM%2bIKt25xLmvaPyF7xckI2dTglNETnJFgJHfz1x6Xf79LJjQzcZQh9ZophqRo4IFXbVF99q7UPi9qlRw5RumNb%2b%2bDW%2bsMajI%2bh7%2fgZhPTtLkyYzByhhJMpYMejTGLEEEUkK4x9slQMqqix5%2b5IXE1KZ3wEmJzwmNcWAydhZlk%2fminHG9AsG%2bWDOs0cow5BZ4Pkyey7HJ1lVnonplzPIzYcHO6bf","descargar bases")</f>
      </c>
    </row>
    <row r="106">
      <c r="A106" s="0" t="inlineStr">
        <is>
          <t xml:space="preserve">2426-52-LR26</t>
        </is>
      </c>
      <c r="B106" s="4" t="inlineStr">
        <is>
          <t xml:space="preserve">DATACENTER ENLACES DE DATOS TELEFONIA E INTERNET</t>
        </is>
      </c>
      <c r="C106" s="0" t="inlineStr">
        <is>
          <t xml:space="preserve">Publicada</t>
        </is>
      </c>
      <c r="D106" s="0" t="inlineStr">
        <is>
          <t xml:space="preserve">I MUNICIPALIDAD DE VALPARAISO</t>
        </is>
      </c>
      <c r="E106" s="0" t="inlineStr">
        <is>
          <t xml:space="preserve">ADQUISICIONES MAYORES</t>
        </is>
      </c>
      <c r="F106" s="0" t="inlineStr">
        <is>
          <t xml:space="preserve">Región de Valparaíso </t>
        </is>
      </c>
      <c r="G106" s="0" t="inlineStr">
        <is>
          <t xml:space="preserve">Valparaíso</t>
        </is>
      </c>
      <c r="H106" s="2">
        <v>46297.658079</v>
      </c>
      <c r="I106" s="2">
        <v>46328.708333</v>
      </c>
      <c r="J106" s="0">
        <v>30</v>
      </c>
      <c r="K106" s="3">
        <v>40719.0</v>
      </c>
      <c r="L106" s="0" t="inlineStr">
        <is>
          <t xml:space="preserve">CLF</t>
        </is>
      </c>
      <c r="M106" s="0" t="inlineStr">
        <is>
          <t xml:space="preserve">LR</t>
        </is>
      </c>
      <c r="N106" s="4" t="inlineStr">
        <is>
          <t xml:space="preserve">Servicios basados en ingeniería, ciencias sociales y tecnología de la información / Servicios informáticos / Servicios de datos</t>
        </is>
      </c>
      <c r="O106" s="4" t="inlineStr">
        <is>
          <t xml:space="preserve">1 Unidad · Centro de servicios de datos</t>
        </is>
      </c>
      <c r="P106" s="2"/>
      <c r="Q106" s="2"/>
      <c r="R106" s="0" t="inlineStr">
        <is>
          <t xml:space="preserve">48 meses</t>
        </is>
      </c>
      <c r="S106" s="0" t="inlineStr">
        <is>
          <t xml:space="preserve">No</t>
        </is>
      </c>
      <c r="T106" s="4"/>
      <c r="U106" s="0" t="inlineStr">
        <is>
          <t xml:space="preserve">Juan Carlos Tempine</t>
        </is>
      </c>
      <c r="V106" s="4" t="inlineStr">
        <is>
          <t xml:space="preserve">SERVICIOS DE DATA CENTER, ENLACES DE DATOS, TELEFONÍA E INTERNET PARA LA MUNICIPALIDAD DE VALPARAÍSO</t>
        </is>
      </c>
      <c r="W106" s="5" t="str">
        <f>HYPERLINK("https://www.mercadopublico.cl/Procurement/Modules/Attachment/ViewAttachment.aspx?enc=KIevwXQPkY%2bfjN1m9DWKhLgsLViJ9bOf4rHmdA75dQCwDPgdZjk3DO5NFYQsGscBTylFiqIjKgi24VGrbz9RhvDzNEt66OQdGIDWVMuaOygf2INQZpcvHs5OYVabvRvg8X0GTzNho1TZ%2fnoHlxvxKjBCLGPtVg9OM5tu6Ui5u4dUyIsAal4f24KGXFyEX29wDvwUeyFhLwK0Fkq%2blalWFzFrP3x5arijcKtog%2fb91j8htNSmuW8DnkDuiKbilmu36PacQvIb%2fgpjss3%2fLC81CFp7RxGIuuag4MBTP%2fz7nQhhLM85nnWaH4mh4i3ujJoi","descargar bases")</f>
      </c>
    </row>
    <row r="107">
      <c r="A107" s="0" t="inlineStr">
        <is>
          <t xml:space="preserve">1969-34-LS19</t>
        </is>
      </c>
      <c r="B107" s="4" t="inlineStr">
        <is>
          <t xml:space="preserve">AUTOMATIZACIÓN PORTÓN ACCESO A LINEA DE FUEGO</t>
        </is>
      </c>
      <c r="C107" s="0" t="inlineStr">
        <is>
          <t xml:space="preserve">Publicada</t>
        </is>
      </c>
      <c r="D107" s="0" t="inlineStr">
        <is>
          <t xml:space="preserve">DIRECCION GENERAL DE GENDARMERIA DE CHIL</t>
        </is>
      </c>
      <c r="E107" s="0" t="inlineStr">
        <is>
          <t xml:space="preserve">Región del Bio Bío</t>
        </is>
      </c>
      <c r="F107" s="0" t="inlineStr">
        <is>
          <t xml:space="preserve">Región del Biobío </t>
        </is>
      </c>
      <c r="G107" s="0" t="inlineStr">
        <is>
          <t xml:space="preserve">Concepción</t>
        </is>
      </c>
      <c r="H107" s="2">
        <v>43588.74809</v>
      </c>
      <c r="I107" s="2"/>
      <c r="J107" s="0"/>
      <c r="K107" s="3"/>
      <c r="L107" s="0" t="inlineStr">
        <is>
          <t xml:space="preserve">CLP</t>
        </is>
      </c>
      <c r="M107" s="0" t="inlineStr">
        <is>
          <t xml:space="preserve">LS</t>
        </is>
      </c>
      <c r="N107" s="4" t="inlineStr">
        <is>
          <t xml:space="preserve">Artículos para estructuras, obras y construcciones / Puertas, ventanas y vidrios / Puertas</t>
        </is>
      </c>
      <c r="O107" s="4" t="inlineStr">
        <is>
          <t xml:space="preserve">1 Unidad · Puertas de metal</t>
        </is>
      </c>
      <c r="P107" s="2"/>
      <c r="Q107" s="2"/>
      <c r="R107" s="0"/>
      <c r="S107" s="0" t="inlineStr">
        <is>
          <t xml:space="preserve">No</t>
        </is>
      </c>
      <c r="T107" s="4"/>
      <c r="U107" s="0" t="inlineStr">
        <is>
          <t xml:space="preserve">Héctor Polma Lillo</t>
        </is>
      </c>
      <c r="V107" s="4" t="inlineStr">
        <is>
          <t xml:space="preserve">AUTOMATIZACIÓN DE PORTÓN ACCESO A LINEA DE FUEGO C.P. CONCEPCIÓN</t>
        </is>
      </c>
      <c r="W107" s="5" t="str">
        <f>HYPERLINK("https://www.mercadopublico.cl/Procurement/Modules/Attachment/ViewAttachment.aspx?enc=FX7r%2bpJXngRl6VHtU14Z8o2U3Y6qsVwcCmN8laSE%2fdxbIX0n0t5lhk5wOaCpR0j7sh67eah148uKNqxeOKyn441GUvNpQHGm%2bg3404OnKy5HTmO3fzHAjhd0jvrfHgamjRZ%2bGnsEHvrc88LWzMyMF%2fwEalvxu3xxd10VvqMMCL2BTr%2forCDwpugZzQh85i0szZTBkR6qUFNVwqVox%2fZoWY0pKp4hD1ldhWQUZBe7AbDcep9cgAqsD0NUkjsuSR7pVcGnqOn6ocPlDYdZbk2ZlYdtF%2b%2fHDwwdgw1oMyJLBpBQqN5In7tXzTQ1rlTMpisa","descargar bases")</f>
      </c>
    </row>
  </sheetData>
  <autoFilter ref="A1:W107"/>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2080-309-LE26</t>
        </is>
      </c>
      <c r="B2" s="4" t="inlineStr">
        <is>
          <t xml:space="preserve">COMPRA ROLLOS PAPEL IMPRESORA TOTEM</t>
        </is>
      </c>
      <c r="C2" s="0">
        <v>1</v>
      </c>
      <c r="D2" s="4" t="inlineStr">
        <is>
          <t xml:space="preserve">Rollos para télex</t>
        </is>
      </c>
      <c r="E2" s="4" t="inlineStr">
        <is>
          <t xml:space="preserve">Productos de papel / Productos de papel / Papel de imprenta y escritura</t>
        </is>
      </c>
      <c r="F2" s="0">
        <v>21432.0</v>
      </c>
      <c r="G2" s="0" t="inlineStr">
        <is>
          <t xml:space="preserve">Unidad</t>
        </is>
      </c>
      <c r="H2" s="4" t="inlineStr">
        <is>
          <t xml:space="preserve">1OFI-0683 PAPEL IMPRESORA TOTEM. ROLLO TÉRMICO 80 X 40 MM, BLANCO, DIÁMETRO TUBO INTERNO 12 A 13 MM- MUESTRAS: 01 UNIDAD POR OFERENTE.ROLLOS21432</t>
        </is>
      </c>
    </row>
    <row r="3">
      <c r="A3" s="0" t="inlineStr">
        <is>
          <t xml:space="preserve">2448-137-L126</t>
        </is>
      </c>
      <c r="B3" s="4" t="inlineStr">
        <is>
          <t xml:space="preserve">CUPOS PARA CURSO - TALLER DE DATOS USANDO IA</t>
        </is>
      </c>
      <c r="C3" s="0">
        <v>1</v>
      </c>
      <c r="D3" s="4" t="inlineStr">
        <is>
          <t xml:space="preserve">Capacitación a empleados</t>
        </is>
      </c>
      <c r="E3" s="4" t="inlineStr">
        <is>
          <t xml:space="preserve">Educación, formación, entrenamiento y capacitación / Sistemas educativos complementarios / Educación de adultos</t>
        </is>
      </c>
      <c r="F3" s="0">
        <v>40.0</v>
      </c>
      <c r="G3" s="0" t="inlineStr">
        <is>
          <t xml:space="preserve">Unidad</t>
        </is>
      </c>
      <c r="H3" s="4" t="inlineStr">
        <is>
          <t xml:space="preserve">CUPOS PARA CURSO - TALLER RELACIONADO CON ESTRATEGIAS DE ANALISIS DE DATOS USANDO IA. SEGUN CARACTERISTICAS TECNICAS ADJUNTAS.</t>
        </is>
      </c>
    </row>
    <row r="4">
      <c r="A4" s="0" t="inlineStr">
        <is>
          <t xml:space="preserve">2981-270-LE26</t>
        </is>
      </c>
      <c r="B4" s="4" t="inlineStr">
        <is>
          <t xml:space="preserve">ADQUISICIÓN DE 100 GPS TRACKER CON PLATAFORMA INTEGRADA GEOESPACIAL Y DE TRAZABILIDAD Y SU RESPECTIVO EQUIPAMIENTO EJECUCIÓN DEL PLAN CALLE SIN VIOLENCIA</t>
        </is>
      </c>
      <c r="C4" s="0">
        <v>1</v>
      </c>
      <c r="D4" s="4" t="inlineStr">
        <is>
          <t xml:space="preserve">Receptores GPS</t>
        </is>
      </c>
      <c r="E4" s="4" t="inlineStr">
        <is>
          <t xml:space="preserve">Muebles, accesorios, electrodomésticos y productos electrónicos / Equipos y accesorios audiovisuales / Equipos audiovisuales y de electrónica menor</t>
        </is>
      </c>
      <c r="F4" s="0">
        <v>100.0</v>
      </c>
      <c r="G4" s="0" t="inlineStr">
        <is>
          <t xml:space="preserve">Unidad</t>
        </is>
      </c>
      <c r="H4" s="4" t="inlineStr">
        <is>
          <t xml:space="preserve">64 GPS Tracker, Capacidad de Batería mínima 10.000 mAh con autonomía referencial de hasta 120 días en modo stand by y entre 15 y 30 días en operación activa; 29 GPS Tracker Capacidad de Batería mínima 5.000 mAh con autonomía referencial de hasta 60 días m</t>
        </is>
      </c>
    </row>
    <row r="5">
      <c r="A5" s="0" t="inlineStr">
        <is>
          <t xml:space="preserve">548874-77-LR26</t>
        </is>
      </c>
      <c r="B5" s="4" t="inlineStr">
        <is>
          <t xml:space="preserve">MANTENCIÓN Y MEJORA SISTEMA CIBERSEGURIDAD NCH ISO</t>
        </is>
      </c>
      <c r="C5" s="0">
        <v>1</v>
      </c>
      <c r="D5" s="4" t="inlineStr">
        <is>
          <t xml:space="preserve">Software de administración de red privada virtual (VPN) o de seguridad de red</t>
        </is>
      </c>
      <c r="E5" s="4" t="inlineStr">
        <is>
          <t xml:space="preserve">Tecnologías de la información, telecomunicaciones y radiodifusión / Software / Software de seguridad y protección</t>
        </is>
      </c>
      <c r="F5" s="0">
        <v>1.0</v>
      </c>
      <c r="G5" s="0" t="inlineStr">
        <is>
          <t xml:space="preserve">Global</t>
        </is>
      </c>
      <c r="H5" s="4" t="inlineStr">
        <is>
          <t xml:space="preserve">E1O2RT8 - SERVICIO DE MANTENCIÓN Y MEJORA DEL SISTEMA DE GESTIÓN DE SEGURIDAD DE LA INFORMACIÓN Y CIBERSEGURIDAD INSTITUCIONAL NCH ISO/ IEC 27001</t>
        </is>
      </c>
    </row>
    <row r="6">
      <c r="A6" s="0" t="inlineStr">
        <is>
          <t xml:space="preserve">875-10-LE26</t>
        </is>
      </c>
      <c r="B6" s="4" t="inlineStr">
        <is>
          <t xml:space="preserve">SERV. DE INFORMACIÓN DE REMUNERACIONES PLATAFORMA</t>
        </is>
      </c>
      <c r="C6" s="0">
        <v>1</v>
      </c>
      <c r="D6" s="4" t="inlineStr">
        <is>
          <t xml:space="preserve">Publicaciones periódicas</t>
        </is>
      </c>
      <c r="E6" s="4" t="inlineStr">
        <is>
          <t xml:space="preserve">Productos impresos y publicaciones / Medios impresos / Publicaciones impresas</t>
        </is>
      </c>
      <c r="F6" s="0">
        <v>1.0</v>
      </c>
      <c r="G6" s="0" t="inlineStr">
        <is>
          <t xml:space="preserve">Unidad</t>
        </is>
      </c>
      <c r="H6" s="4" t="inlineStr">
        <is>
          <t xml:space="preserve">SERV. DE INFORMACIÓN DE REMUNERACIONES PLATAFORMA</t>
        </is>
      </c>
    </row>
    <row r="7">
      <c r="A7" s="0" t="inlineStr">
        <is>
          <t xml:space="preserve">1056854-9-L126</t>
        </is>
      </c>
      <c r="B7" s="4" t="inlineStr">
        <is>
          <t xml:space="preserve">“ADQUISICIÓN DE 20 KITS DE ROBÓTICA EDUCATIVA, SOFTWARE, CAPACITACIÓN Y ACOMPAÑAMIENTO TÉCNICO PARA LA HABILITACIÓN DE LA SALA DE ROBÓTICA DEL HUB PROVIDENCIA”,</t>
        </is>
      </c>
      <c r="C7" s="0">
        <v>1</v>
      </c>
      <c r="D7" s="4" t="inlineStr">
        <is>
          <t xml:space="preserve">Materiales de enseñanza de robótica</t>
        </is>
      </c>
      <c r="E7" s="4" t="inlineStr">
        <is>
          <t xml:space="preserve">Instrumentos musicales, juegos, juguetes, artesanías y materiales educativos / Materiales, artículos y suministros didácticos profesionales y para el desarrollo personal / Materiales de enseñanza de tecnología</t>
        </is>
      </c>
      <c r="F7" s="0">
        <v>20.0</v>
      </c>
      <c r="G7" s="0" t="inlineStr">
        <is>
          <t xml:space="preserve">Unidad</t>
        </is>
      </c>
      <c r="H7" s="4" t="inlineStr">
        <is>
          <t xml:space="preserve">ADQUISICIÓN DE 20 KITS DE ROBÓTICA EDUCATIVA, SOFTWARE, CAPACITACIÓN Y ACOMPAÑAMIENTO TÉCNICO PARA LA HABILITACIÓN DE LA SALA DE ROBÓTICA DEL HUB PROVIDENCIA,</t>
        </is>
      </c>
    </row>
    <row r="8">
      <c r="A8" s="0" t="inlineStr">
        <is>
          <t xml:space="preserve">1810-5-L126</t>
        </is>
      </c>
      <c r="B8" s="4" t="inlineStr">
        <is>
          <t xml:space="preserve">SERVICIO DE PLAN DE DATOS PARA ENCUESTA ENE</t>
        </is>
      </c>
      <c r="C8" s="0">
        <v>1</v>
      </c>
      <c r="D8" s="4" t="inlineStr">
        <is>
          <t xml:space="preserve">Software de servicios de Internet por móvil</t>
        </is>
      </c>
      <c r="E8" s="4" t="inlineStr">
        <is>
          <t xml:space="preserve">Tecnologías de la información, telecomunicaciones y radiodifusión / Software / Software de intercambio de información</t>
        </is>
      </c>
      <c r="F8" s="0">
        <v>19.0</v>
      </c>
      <c r="G8" s="0" t="inlineStr">
        <is>
          <t xml:space="preserve">Unidad</t>
        </is>
      </c>
      <c r="H8" s="4" t="inlineStr">
        <is>
          <t xml:space="preserve">SERVICIO DE PLAN DE DATOS PARA ENCUESTA ENE</t>
        </is>
      </c>
    </row>
    <row r="9">
      <c r="A9" s="0" t="inlineStr">
        <is>
          <t xml:space="preserve">1754-51-LE26</t>
        </is>
      </c>
      <c r="B9" s="4" t="inlineStr">
        <is>
          <t xml:space="preserve">EQUIPOS E INSUMOS INFORMATICOS Y CÁMARAS DE SEGURIDAD</t>
        </is>
      </c>
      <c r="C9" s="0">
        <v>1</v>
      </c>
      <c r="D9" s="4" t="inlineStr">
        <is>
          <t xml:space="preserve">Kit de herramienta para computadores</t>
        </is>
      </c>
      <c r="E9" s="4" t="inlineStr">
        <is>
          <t xml:space="preserve">Herramientas y maquinaria en general / Herramientas manuales / Juegos de herramientas</t>
        </is>
      </c>
      <c r="F9" s="0">
        <v>1.0</v>
      </c>
      <c r="G9" s="0" t="inlineStr">
        <is>
          <t xml:space="preserve">Kit</t>
        </is>
      </c>
      <c r="H9" s="4" t="inlineStr">
        <is>
          <t xml:space="preserve">LINEA 1: HERRAMIENTAS E INSUMOS PARA REPARACIONES Y FABRICACIÓN, SEGÚN BASES ADMINISTRATIVAS, TERMINOS DE REFERENCIA Y DEMÁS DOCUMENTACIÓN ADJUNTA QUE REGIRAN EN EL PROCESO</t>
        </is>
      </c>
    </row>
    <row r="10">
      <c r="A10" s="0" t="inlineStr">
        <is>
          <t xml:space="preserve">1754-51-LE26</t>
        </is>
      </c>
      <c r="B10" s="4" t="inlineStr">
        <is>
          <t xml:space="preserve">EQUIPOS E INSUMOS INFORMATICOS Y CÁMARAS DE SEGURIDAD</t>
        </is>
      </c>
      <c r="C10" s="0">
        <v>2</v>
      </c>
      <c r="D10" s="4" t="inlineStr">
        <is>
          <t xml:space="preserve">Computadores de escritorio</t>
        </is>
      </c>
      <c r="E10" s="4" t="inlineStr">
        <is>
          <t xml:space="preserve">Tecnologías de la información, telecomunicaciones y radiodifusión / Equipos informáticos y accesorios / Computadores</t>
        </is>
      </c>
      <c r="F10" s="0">
        <v>1.0</v>
      </c>
      <c r="G10" s="0" t="inlineStr">
        <is>
          <t xml:space="preserve">Kit</t>
        </is>
      </c>
      <c r="H10" s="4" t="inlineStr">
        <is>
          <t xml:space="preserve">LINEA 2: EQUIPOS INFORMATICOS Y OTROS, SEGÚN BASES ADMINISTRATIVAS, TERMINOS DE REFERENCIA Y DEMÁS DOCUMENTACIÓN ADJUNTA QUE REGIRAN EN EL PROCESO</t>
        </is>
      </c>
    </row>
    <row r="11">
      <c r="A11" s="0" t="inlineStr">
        <is>
          <t xml:space="preserve">1754-51-LE26</t>
        </is>
      </c>
      <c r="B11" s="4" t="inlineStr">
        <is>
          <t xml:space="preserve">EQUIPOS E INSUMOS INFORMATICOS Y CÁMARAS DE SEGURIDAD</t>
        </is>
      </c>
      <c r="C11" s="0">
        <v>3</v>
      </c>
      <c r="D11" s="4" t="inlineStr">
        <is>
          <t xml:space="preserve">Cable de redes</t>
        </is>
      </c>
      <c r="E11" s="4" t="inlineStr">
        <is>
          <t xml:space="preserve">Maquinaria para generación y distribución de energía / Alambres y cables eléctricos y electrónicos / Cables eléctricos y accesorios</t>
        </is>
      </c>
      <c r="F11" s="0">
        <v>1.0</v>
      </c>
      <c r="G11" s="0" t="inlineStr">
        <is>
          <t xml:space="preserve">Kit</t>
        </is>
      </c>
      <c r="H11" s="4" t="inlineStr">
        <is>
          <t xml:space="preserve">LINEA 3: MATERIALES PARA CABLEADO, SEGÚN BASES ADMINISTRATIVAS, TERMINOS DE REFERENCIA Y DEMÁS DOCUMENTACIÓN ADJUNTA QUE REGIRAN EN EL PROCESO</t>
        </is>
      </c>
    </row>
    <row r="12">
      <c r="A12" s="0" t="inlineStr">
        <is>
          <t xml:space="preserve">1754-51-LE26</t>
        </is>
      </c>
      <c r="B12" s="4" t="inlineStr">
        <is>
          <t xml:space="preserve">EQUIPOS E INSUMOS INFORMATICOS Y CÁMARAS DE SEGURIDAD</t>
        </is>
      </c>
      <c r="C12" s="0">
        <v>4</v>
      </c>
      <c r="D12" s="4" t="inlineStr">
        <is>
          <t xml:space="preserve">Tintas</t>
        </is>
      </c>
      <c r="E12" s="4" t="inlineStr">
        <is>
          <t xml:space="preserve">Productos químicos industriales / Colorantes / Compuestos de colores y dispersiones</t>
        </is>
      </c>
      <c r="F12" s="0">
        <v>1.0</v>
      </c>
      <c r="G12" s="0" t="inlineStr">
        <is>
          <t xml:space="preserve">Kit</t>
        </is>
      </c>
      <c r="H12" s="4" t="inlineStr">
        <is>
          <t xml:space="preserve">LINEA 4: INSUMOS INFORMÁTICOS OFICINA, SEGÚN BASES ADMINISTRATIVAS, TERMINOS DE REFERENCIA Y DEMÁS DOCUMENTACIÓN ADJUNTA QUE REGIRAN EN EL PROCESO</t>
        </is>
      </c>
    </row>
    <row r="13">
      <c r="A13" s="0" t="inlineStr">
        <is>
          <t xml:space="preserve">1754-51-LE26</t>
        </is>
      </c>
      <c r="B13" s="4" t="inlineStr">
        <is>
          <t xml:space="preserve">EQUIPOS E INSUMOS INFORMATICOS Y CÁMARAS DE SEGURIDAD</t>
        </is>
      </c>
      <c r="C13" s="0">
        <v>5</v>
      </c>
      <c r="D13" s="4" t="inlineStr">
        <is>
          <t xml:space="preserve">Cámaras de seguridad</t>
        </is>
      </c>
      <c r="E13" s="4" t="inlineStr">
        <is>
          <t xml:space="preserve">Equipos y suministros de defensa, orden público, protección y seguridad / Seguridad, vigilancia y detección / Equipo de vigilancia y detección</t>
        </is>
      </c>
      <c r="F13" s="0">
        <v>1.0</v>
      </c>
      <c r="G13" s="0" t="inlineStr">
        <is>
          <t xml:space="preserve">Kit</t>
        </is>
      </c>
      <c r="H13" s="4" t="inlineStr">
        <is>
          <t xml:space="preserve">LINEA 5: CAMARAS DE VIGILANCIA, SEGÚN BASES ADMINISTRATIVAS, TERMINOS DE REFERENCIA Y DEMÁS DOCUMENTACIÓN ADJUNTA QUE REGIRAN EN EL PROCESO</t>
        </is>
      </c>
    </row>
    <row r="14">
      <c r="A14" s="0" t="inlineStr">
        <is>
          <t xml:space="preserve">1754-51-LE26</t>
        </is>
      </c>
      <c r="B14" s="4" t="inlineStr">
        <is>
          <t xml:space="preserve">EQUIPOS E INSUMOS INFORMATICOS Y CÁMARAS DE SEGURIDAD</t>
        </is>
      </c>
      <c r="C14" s="0">
        <v>6</v>
      </c>
      <c r="D14" s="4" t="inlineStr">
        <is>
          <t xml:space="preserve">Gabinete, rack, chasis o bastidores para equipos de red</t>
        </is>
      </c>
      <c r="E14" s="4" t="inlineStr">
        <is>
          <t xml:space="preserve">Tecnologías de la información, telecomunicaciones y radiodifusión / Componentes para tecnología de la información, difusión o telecomunicaciones / Componentes de gabinete, rack o chasis</t>
        </is>
      </c>
      <c r="F14" s="0">
        <v>1.0</v>
      </c>
      <c r="G14" s="0" t="inlineStr">
        <is>
          <t xml:space="preserve">Kit</t>
        </is>
      </c>
      <c r="H14" s="4" t="inlineStr">
        <is>
          <t xml:space="preserve">LINEA 6: ACCESORIOS Y EQUIPAMIENTO PARA RACK, SEGÚN BASES ADMINISTRATIVAS, TERMINOS DE REFERENCIA Y DEMÁS DOCUMENTACIÓN ADJUNTA QUE REGIRAN EN EL PROCESO</t>
        </is>
      </c>
    </row>
    <row r="15">
      <c r="A15" s="0" t="inlineStr">
        <is>
          <t xml:space="preserve">425-67-LE26</t>
        </is>
      </c>
      <c r="B15" s="4" t="inlineStr">
        <is>
          <t xml:space="preserve">Software de seguridad extendida y Ciberdefensa</t>
        </is>
      </c>
      <c r="C15" s="0">
        <v>1</v>
      </c>
      <c r="D15" s="4" t="inlineStr">
        <is>
          <t xml:space="preserve">Software de equipos de red privada virtual (VPN) o de seguridad de red</t>
        </is>
      </c>
      <c r="E15" s="4" t="inlineStr">
        <is>
          <t xml:space="preserve">Tecnologías de la información, telecomunicaciones y radiodifusión / Software / Software de seguridad y protección</t>
        </is>
      </c>
      <c r="F15" s="0">
        <v>1.0</v>
      </c>
      <c r="G15" s="0" t="inlineStr">
        <is>
          <t xml:space="preserve">Unidad</t>
        </is>
      </c>
      <c r="H15" s="4" t="inlineStr">
        <is>
          <t xml:space="preserve">Software de seguridad extendida y protección de cadena de suministros para la Ciberdefensa de Poder Judicial Ingresar valor total neto según formulario económico N°1</t>
        </is>
      </c>
    </row>
    <row r="16">
      <c r="A16" s="0" t="inlineStr">
        <is>
          <t xml:space="preserve">1051173-13-LP26</t>
        </is>
      </c>
      <c r="B16" s="4" t="inlineStr">
        <is>
          <t xml:space="preserve">SERVICIO DE INFRAESTRUCTURA EN LA NUBE</t>
        </is>
      </c>
      <c r="C16" s="0">
        <v>1</v>
      </c>
      <c r="D16" s="4" t="inlineStr">
        <is>
          <t xml:space="preserve">Centro de servicios de datos</t>
        </is>
      </c>
      <c r="E16" s="4" t="inlineStr">
        <is>
          <t xml:space="preserve">Servicios basados en ingeniería, ciencias sociales y tecnología de la información / Servicios informáticos / Servicios de datos</t>
        </is>
      </c>
      <c r="F16" s="0">
        <v>1.0</v>
      </c>
      <c r="G16" s="0" t="inlineStr">
        <is>
          <t xml:space="preserve">Unidad no definida</t>
        </is>
      </c>
      <c r="H16" s="4" t="inlineStr">
        <is>
          <t xml:space="preserve">Servicio de infraestructura en la nube para el Ministerio Secretaría General de la Presidencia</t>
        </is>
      </c>
    </row>
    <row r="17">
      <c r="A17" s="0" t="inlineStr">
        <is>
          <t xml:space="preserve">4024-29-LE26</t>
        </is>
      </c>
      <c r="B17" s="4" t="inlineStr">
        <is>
          <t xml:space="preserve">Modernización del Gimnasio Municipal Héctor Aqueveque Aránguiz”</t>
        </is>
      </c>
      <c r="C17" s="0">
        <v>1</v>
      </c>
      <c r="D17" s="4" t="inlineStr">
        <is>
          <t xml:space="preserve">Asfalto</t>
        </is>
      </c>
      <c r="E17" s="4" t="inlineStr">
        <is>
          <t xml:space="preserve">Artículos para estructuras, obras y construcciones / Pavimento para carreteras y caminos / Asfaltos</t>
        </is>
      </c>
      <c r="F17" s="0">
        <v>1.0</v>
      </c>
      <c r="G17" s="0" t="inlineStr">
        <is>
          <t xml:space="preserve">Unidad</t>
        </is>
      </c>
      <c r="H17" s="4" t="inlineStr">
        <is>
          <t xml:space="preserve">La Municipalidad de San Carlos llama a presentar ofertas en la licitación pública denominada MODERNIZACIÓN DEL
GIMNASIO MUNICIPAL HÉCTOR AQUEVEQUE ARÁNGUIZ</t>
        </is>
      </c>
    </row>
    <row r="18">
      <c r="A18" s="0" t="inlineStr">
        <is>
          <t xml:space="preserve">2378-116-L126</t>
        </is>
      </c>
      <c r="B18" s="4" t="inlineStr">
        <is>
          <t xml:space="preserve">ADQUISICIÓN DE OTROS SOFTWARES MUN DE LA  FLORIDA</t>
        </is>
      </c>
      <c r="C18" s="0">
        <v>1</v>
      </c>
      <c r="D18" s="4" t="inlineStr">
        <is>
          <t xml:space="preserve">Software de gestión de licencias</t>
        </is>
      </c>
      <c r="E18" s="4" t="inlineStr">
        <is>
          <t xml:space="preserve">Tecnologías de la información, telecomunicaciones y radiodifusión / Software / Software de gestión</t>
        </is>
      </c>
      <c r="F18" s="0">
        <v>1.0</v>
      </c>
      <c r="G18" s="0" t="inlineStr">
        <is>
          <t xml:space="preserve">Global</t>
        </is>
      </c>
      <c r="H18" s="4" t="inlineStr">
        <is>
          <t xml:space="preserve">LÍNEA “A”: ADQUISICIÓN DE LICENCIAS EQUIVALENTE O SIMILAR TIPO ABBYY FINEREADER PDF STANDARD.</t>
        </is>
      </c>
    </row>
    <row r="19">
      <c r="A19" s="0" t="inlineStr">
        <is>
          <t xml:space="preserve">2378-116-L126</t>
        </is>
      </c>
      <c r="B19" s="4" t="inlineStr">
        <is>
          <t xml:space="preserve">ADQUISICIÓN DE OTROS SOFTWARES MUN DE LA  FLORIDA</t>
        </is>
      </c>
      <c r="C19" s="0">
        <v>2</v>
      </c>
      <c r="D19" s="4" t="inlineStr">
        <is>
          <t xml:space="preserve">Software de gestión de licencias</t>
        </is>
      </c>
      <c r="E19" s="4" t="inlineStr">
        <is>
          <t xml:space="preserve">Tecnologías de la información, telecomunicaciones y radiodifusión / Software / Software de gestión</t>
        </is>
      </c>
      <c r="F19" s="0">
        <v>1.0</v>
      </c>
      <c r="G19" s="0" t="inlineStr">
        <is>
          <t xml:space="preserve">Global</t>
        </is>
      </c>
      <c r="H19" s="4" t="inlineStr">
        <is>
          <t xml:space="preserve">LÍNEA “B”: ADQUISICIÓN DE LICENCIAS EQUIVALENTE O SIMILAR TIPO POWER BI PRO.</t>
        </is>
      </c>
    </row>
    <row r="20">
      <c r="A20" s="0" t="inlineStr">
        <is>
          <t xml:space="preserve">2378-116-L126</t>
        </is>
      </c>
      <c r="B20" s="4" t="inlineStr">
        <is>
          <t xml:space="preserve">ADQUISICIÓN DE OTROS SOFTWARES MUN DE LA  FLORIDA</t>
        </is>
      </c>
      <c r="C20" s="0">
        <v>3</v>
      </c>
      <c r="D20" s="4" t="inlineStr">
        <is>
          <t xml:space="preserve">Software de gestión de licencias</t>
        </is>
      </c>
      <c r="E20" s="4" t="inlineStr">
        <is>
          <t xml:space="preserve">Tecnologías de la información, telecomunicaciones y radiodifusión / Software / Software de gestión</t>
        </is>
      </c>
      <c r="F20" s="0">
        <v>1.0</v>
      </c>
      <c r="G20" s="0" t="inlineStr">
        <is>
          <t xml:space="preserve">Global</t>
        </is>
      </c>
      <c r="H20" s="4" t="inlineStr">
        <is>
          <t xml:space="preserve">LÍNEA “C”: ADQUISICIÓN DE LICENCIA PARA SCANNER LAUNCH X-431 PAD VII, PARA CAMIONES Y MAQUINARIA.</t>
        </is>
      </c>
    </row>
    <row r="21">
      <c r="A21" s="0" t="inlineStr">
        <is>
          <t xml:space="preserve">1002-84-LP26</t>
        </is>
      </c>
      <c r="B21" s="4" t="inlineStr">
        <is>
          <t xml:space="preserve">ADQUISICION DE TABLERO DE MADERA PRESERVADA CON HERRAJE</t>
        </is>
      </c>
      <c r="C21" s="0">
        <v>1</v>
      </c>
      <c r="D21" s="4" t="inlineStr">
        <is>
          <t xml:space="preserve">Vigas de madera</t>
        </is>
      </c>
      <c r="E21" s="4" t="inlineStr">
        <is>
          <t xml:space="preserve">Artículos para estructuras, obras y construcciones / Materiales estructurales básicos / Productos estructurales</t>
        </is>
      </c>
      <c r="F21" s="0">
        <v>1.0</v>
      </c>
      <c r="G21" s="0" t="inlineStr">
        <is>
          <t xml:space="preserve">Unidad</t>
        </is>
      </c>
      <c r="H21" s="4" t="inlineStr">
        <is>
          <t xml:space="preserve">adquisición de un tablero de madera preservada, con su herraje segun solicitado en bases tecnicas</t>
        </is>
      </c>
    </row>
    <row r="22">
      <c r="A22" s="0" t="inlineStr">
        <is>
          <t xml:space="preserve">2410-119-L126</t>
        </is>
      </c>
      <c r="B22" s="4" t="inlineStr">
        <is>
          <t xml:space="preserve">ADQUISICION DE TERMOMETRO HIGROMETRO DIGITAL</t>
        </is>
      </c>
      <c r="C22" s="0">
        <v>1</v>
      </c>
      <c r="D22" s="4" t="inlineStr">
        <is>
          <t xml:space="preserve">Higrómetros</t>
        </is>
      </c>
      <c r="E22" s="4" t="inlineStr">
        <is>
          <t xml:space="preserve">Equipamiento para laboratorios / Instrumentos de medida y experimentación / Instrumentos de medición de humedad</t>
        </is>
      </c>
      <c r="F22" s="0">
        <v>76.0</v>
      </c>
      <c r="G22" s="0" t="inlineStr">
        <is>
          <t xml:space="preserve">Unidad</t>
        </is>
      </c>
      <c r="H22" s="4" t="inlineStr">
        <is>
          <t xml:space="preserve">Termómetro higrómetro digital.  Según lo señalado en bases tecnicas adjuntas.</t>
        </is>
      </c>
    </row>
    <row r="23">
      <c r="A23" s="0" t="inlineStr">
        <is>
          <t xml:space="preserve">2563-34-LR26</t>
        </is>
      </c>
      <c r="B23" s="4" t="inlineStr">
        <is>
          <t xml:space="preserve">EQUIPOS PARA REDES INFORMÁTICAS Y LICENCIAS</t>
        </is>
      </c>
      <c r="C23" s="0">
        <v>1</v>
      </c>
      <c r="D23" s="4" t="inlineStr">
        <is>
          <t xml:space="preserve">Cajas de conmutación de computadores</t>
        </is>
      </c>
      <c r="E23" s="4" t="inlineStr">
        <is>
          <t xml:space="preserve">Tecnologías de la información, telecomunicaciones y radiodifusión / Equipos informáticos y accesorios / Accesorios de computador</t>
        </is>
      </c>
      <c r="F23" s="0">
        <v>10.0</v>
      </c>
      <c r="G23" s="0" t="inlineStr">
        <is>
          <t xml:space="preserve">Unidad</t>
        </is>
      </c>
      <c r="H23" s="4" t="inlineStr">
        <is>
          <t xml:space="preserve">Switch 48G PoE 4SFP+ (equivalente al modelo JL727B) / Control de Acceso</t>
        </is>
      </c>
    </row>
    <row r="24">
      <c r="A24" s="0" t="inlineStr">
        <is>
          <t xml:space="preserve">2563-34-LR26</t>
        </is>
      </c>
      <c r="B24" s="4" t="inlineStr">
        <is>
          <t xml:space="preserve">EQUIPOS PARA REDES INFORMÁTICAS Y LICENCIAS</t>
        </is>
      </c>
      <c r="C24" s="0">
        <v>2</v>
      </c>
      <c r="D24" s="4" t="inlineStr">
        <is>
          <t xml:space="preserve">Cajas de conmutación de computadores</t>
        </is>
      </c>
      <c r="E24" s="4" t="inlineStr">
        <is>
          <t xml:space="preserve">Tecnologías de la información, telecomunicaciones y radiodifusión / Equipos informáticos y accesorios / Accesorios de computador</t>
        </is>
      </c>
      <c r="F24" s="0">
        <v>11.0</v>
      </c>
      <c r="G24" s="0" t="inlineStr">
        <is>
          <t xml:space="preserve">Unidad</t>
        </is>
      </c>
      <c r="H24" s="4" t="inlineStr">
        <is>
          <t xml:space="preserve">Switch 48G PoE 4SFP+ (equivalente al modelo JL727B) /Aeroportuarios</t>
        </is>
      </c>
    </row>
    <row r="25">
      <c r="A25" s="0" t="inlineStr">
        <is>
          <t xml:space="preserve">2563-34-LR26</t>
        </is>
      </c>
      <c r="B25" s="4" t="inlineStr">
        <is>
          <t xml:space="preserve">EQUIPOS PARA REDES INFORMÁTICAS Y LICENCIAS</t>
        </is>
      </c>
      <c r="C25" s="0">
        <v>3</v>
      </c>
      <c r="D25" s="4" t="inlineStr">
        <is>
          <t xml:space="preserve">Cajas de conmutación de computadores</t>
        </is>
      </c>
      <c r="E25" s="4" t="inlineStr">
        <is>
          <t xml:space="preserve">Tecnologías de la información, telecomunicaciones y radiodifusión / Equipos informáticos y accesorios / Accesorios de computador</t>
        </is>
      </c>
      <c r="F25" s="0">
        <v>1.0</v>
      </c>
      <c r="G25" s="0" t="inlineStr">
        <is>
          <t xml:space="preserve">Unidad</t>
        </is>
      </c>
      <c r="H25" s="4" t="inlineStr">
        <is>
          <t xml:space="preserve">Switch 24G PoE 4SFP+(equivalente al modelo JL261A) /Aeroportuario</t>
        </is>
      </c>
    </row>
    <row r="26">
      <c r="A26" s="0" t="inlineStr">
        <is>
          <t xml:space="preserve">2563-34-LR26</t>
        </is>
      </c>
      <c r="B26" s="4" t="inlineStr">
        <is>
          <t xml:space="preserve">EQUIPOS PARA REDES INFORMÁTICAS Y LICENCIAS</t>
        </is>
      </c>
      <c r="C26" s="0">
        <v>4</v>
      </c>
      <c r="D26" s="4" t="inlineStr">
        <is>
          <t xml:space="preserve">Cajas de conmutación de computadores</t>
        </is>
      </c>
      <c r="E26" s="4" t="inlineStr">
        <is>
          <t xml:space="preserve">Tecnologías de la información, telecomunicaciones y radiodifusión / Equipos informáticos y accesorios / Accesorios de computador</t>
        </is>
      </c>
      <c r="F26" s="0">
        <v>7.0</v>
      </c>
      <c r="G26" s="0" t="inlineStr">
        <is>
          <t xml:space="preserve">Unidad</t>
        </is>
      </c>
      <c r="H26" s="4" t="inlineStr">
        <is>
          <t xml:space="preserve">Switch 12G PoE 2SFP+ (equivalente al modelo R8Q72A) /Aeroportuario</t>
        </is>
      </c>
    </row>
    <row r="27">
      <c r="A27" s="0" t="inlineStr">
        <is>
          <t xml:space="preserve">2563-34-LR26</t>
        </is>
      </c>
      <c r="B27" s="4" t="inlineStr">
        <is>
          <t xml:space="preserve">EQUIPOS PARA REDES INFORMÁTICAS Y LICENCIAS</t>
        </is>
      </c>
      <c r="C27" s="0">
        <v>5</v>
      </c>
      <c r="D27" s="4" t="inlineStr">
        <is>
          <t xml:space="preserve">Cajas de conmutación de computadores</t>
        </is>
      </c>
      <c r="E27" s="4" t="inlineStr">
        <is>
          <t xml:space="preserve">Tecnologías de la información, telecomunicaciones y radiodifusión / Equipos informáticos y accesorios / Accesorios de computador</t>
        </is>
      </c>
      <c r="F27" s="0">
        <v>4.0</v>
      </c>
      <c r="G27" s="0" t="inlineStr">
        <is>
          <t xml:space="preserve">Unidad</t>
        </is>
      </c>
      <c r="H27" s="4" t="inlineStr">
        <is>
          <t xml:space="preserve">Access Point Desktop (equivalente al modelo R3V46A) /Control de acceso</t>
        </is>
      </c>
    </row>
    <row r="28">
      <c r="A28" s="0" t="inlineStr">
        <is>
          <t xml:space="preserve">2563-34-LR26</t>
        </is>
      </c>
      <c r="B28" s="4" t="inlineStr">
        <is>
          <t xml:space="preserve">EQUIPOS PARA REDES INFORMÁTICAS Y LICENCIAS</t>
        </is>
      </c>
      <c r="C28" s="0">
        <v>6</v>
      </c>
      <c r="D28" s="4" t="inlineStr">
        <is>
          <t xml:space="preserve">Cajas de conmutación de computadores</t>
        </is>
      </c>
      <c r="E28" s="4" t="inlineStr">
        <is>
          <t xml:space="preserve">Tecnologías de la información, telecomunicaciones y radiodifusión / Equipos informáticos y accesorios / Accesorios de computador</t>
        </is>
      </c>
      <c r="F28" s="0">
        <v>20.0</v>
      </c>
      <c r="G28" s="0" t="inlineStr">
        <is>
          <t xml:space="preserve">Unidad</t>
        </is>
      </c>
      <c r="H28" s="4" t="inlineStr">
        <is>
          <t xml:space="preserve">Access Point
(equivalente al modelo JZ336A) /Control de Acceso</t>
        </is>
      </c>
    </row>
    <row r="29">
      <c r="A29" s="0" t="inlineStr">
        <is>
          <t xml:space="preserve">2563-34-LR26</t>
        </is>
      </c>
      <c r="B29" s="4" t="inlineStr">
        <is>
          <t xml:space="preserve">EQUIPOS PARA REDES INFORMÁTICAS Y LICENCIAS</t>
        </is>
      </c>
      <c r="C29" s="0">
        <v>7</v>
      </c>
      <c r="D29" s="4" t="inlineStr">
        <is>
          <t xml:space="preserve">Cajas de conmutación de computadores</t>
        </is>
      </c>
      <c r="E29" s="4" t="inlineStr">
        <is>
          <t xml:space="preserve">Tecnologías de la información, telecomunicaciones y radiodifusión / Equipos informáticos y accesorios / Accesorios de computador</t>
        </is>
      </c>
      <c r="F29" s="0">
        <v>11.0</v>
      </c>
      <c r="G29" s="0" t="inlineStr">
        <is>
          <t xml:space="preserve">Unidad</t>
        </is>
      </c>
      <c r="H29" s="4" t="inlineStr">
        <is>
          <t xml:space="preserve">Access Point
(equivalente al modelo JZ336A) /Aeroportuarios</t>
        </is>
      </c>
    </row>
    <row r="30">
      <c r="A30" s="0" t="inlineStr">
        <is>
          <t xml:space="preserve">2563-34-LR26</t>
        </is>
      </c>
      <c r="B30" s="4" t="inlineStr">
        <is>
          <t xml:space="preserve">EQUIPOS PARA REDES INFORMÁTICAS Y LICENCIAS</t>
        </is>
      </c>
      <c r="C30" s="0">
        <v>8</v>
      </c>
      <c r="D30" s="4" t="inlineStr">
        <is>
          <t xml:space="preserve">Cajas de conmutación de computadores</t>
        </is>
      </c>
      <c r="E30" s="4" t="inlineStr">
        <is>
          <t xml:space="preserve">Tecnologías de la información, telecomunicaciones y radiodifusión / Equipos informáticos y accesorios / Accesorios de computador</t>
        </is>
      </c>
      <c r="F30" s="0">
        <v>6.0</v>
      </c>
      <c r="G30" s="0" t="inlineStr">
        <is>
          <t xml:space="preserve">Unidad</t>
        </is>
      </c>
      <c r="H30" s="4" t="inlineStr">
        <is>
          <t xml:space="preserve">Access Point Exterior
(equivalente al modelo R7T05A) /Control de Acceso</t>
        </is>
      </c>
    </row>
    <row r="31">
      <c r="A31" s="0" t="inlineStr">
        <is>
          <t xml:space="preserve">2563-34-LR26</t>
        </is>
      </c>
      <c r="B31" s="4" t="inlineStr">
        <is>
          <t xml:space="preserve">EQUIPOS PARA REDES INFORMÁTICAS Y LICENCIAS</t>
        </is>
      </c>
      <c r="C31" s="0">
        <v>9</v>
      </c>
      <c r="D31" s="4" t="inlineStr">
        <is>
          <t xml:space="preserve">Cajas de conmutación de computadores</t>
        </is>
      </c>
      <c r="E31" s="4" t="inlineStr">
        <is>
          <t xml:space="preserve">Tecnologías de la información, telecomunicaciones y radiodifusión / Equipos informáticos y accesorios / Accesorios de computador</t>
        </is>
      </c>
      <c r="F31" s="0">
        <v>3.0</v>
      </c>
      <c r="G31" s="0" t="inlineStr">
        <is>
          <t xml:space="preserve">Unidad</t>
        </is>
      </c>
      <c r="H31" s="4" t="inlineStr">
        <is>
          <t xml:space="preserve">Soporte anclaje para riel cielo falso plano 9/16'' Pack 10 unidades. /Aeroportuarios</t>
        </is>
      </c>
    </row>
    <row r="32">
      <c r="A32" s="0" t="inlineStr">
        <is>
          <t xml:space="preserve">2563-34-LR26</t>
        </is>
      </c>
      <c r="B32" s="4" t="inlineStr">
        <is>
          <t xml:space="preserve">EQUIPOS PARA REDES INFORMÁTICAS Y LICENCIAS</t>
        </is>
      </c>
      <c r="C32" s="0">
        <v>10</v>
      </c>
      <c r="D32" s="4" t="inlineStr">
        <is>
          <t xml:space="preserve">Cajas de conmutación de computadores</t>
        </is>
      </c>
      <c r="E32" s="4" t="inlineStr">
        <is>
          <t xml:space="preserve">Tecnologías de la información, telecomunicaciones y radiodifusión / Equipos informáticos y accesorios / Accesorios de computador</t>
        </is>
      </c>
      <c r="F32" s="0">
        <v>3.0</v>
      </c>
      <c r="G32" s="0" t="inlineStr">
        <is>
          <t xml:space="preserve">Unidad</t>
        </is>
      </c>
      <c r="H32" s="4" t="inlineStr">
        <is>
          <t xml:space="preserve">Soporte anclaje para superficie sólida Pack 10 unidades. /Aeroportuarios</t>
        </is>
      </c>
    </row>
    <row r="33">
      <c r="A33" s="0" t="inlineStr">
        <is>
          <t xml:space="preserve">2563-34-LR26</t>
        </is>
      </c>
      <c r="B33" s="4" t="inlineStr">
        <is>
          <t xml:space="preserve">EQUIPOS PARA REDES INFORMÁTICAS Y LICENCIAS</t>
        </is>
      </c>
      <c r="C33" s="0">
        <v>11</v>
      </c>
      <c r="D33" s="4" t="inlineStr">
        <is>
          <t xml:space="preserve">Cajas de conmutación de computadores</t>
        </is>
      </c>
      <c r="E33" s="4" t="inlineStr">
        <is>
          <t xml:space="preserve">Tecnologías de la información, telecomunicaciones y radiodifusión / Equipos informáticos y accesorios / Accesorios de computador</t>
        </is>
      </c>
      <c r="F33" s="0">
        <v>10.0</v>
      </c>
      <c r="G33" s="0" t="inlineStr">
        <is>
          <t xml:space="preserve">Unidad</t>
        </is>
      </c>
      <c r="H33" s="4" t="inlineStr">
        <is>
          <t xml:space="preserve">Módulo 10G SFP+ LC LR 10km
(equivalente al modelo J9151E) /Control de Acceso</t>
        </is>
      </c>
    </row>
    <row r="34">
      <c r="A34" s="0" t="inlineStr">
        <is>
          <t xml:space="preserve">2563-34-LR26</t>
        </is>
      </c>
      <c r="B34" s="4" t="inlineStr">
        <is>
          <t xml:space="preserve">EQUIPOS PARA REDES INFORMÁTICAS Y LICENCIAS</t>
        </is>
      </c>
      <c r="C34" s="0">
        <v>12</v>
      </c>
      <c r="D34" s="4" t="inlineStr">
        <is>
          <t xml:space="preserve">Cajas de conmutación de computadores</t>
        </is>
      </c>
      <c r="E34" s="4" t="inlineStr">
        <is>
          <t xml:space="preserve">Tecnologías de la información, telecomunicaciones y radiodifusión / Equipos informáticos y accesorios / Accesorios de computador</t>
        </is>
      </c>
      <c r="F34" s="0">
        <v>10.0</v>
      </c>
      <c r="G34" s="0" t="inlineStr">
        <is>
          <t xml:space="preserve">Unidad</t>
        </is>
      </c>
      <c r="H34" s="4" t="inlineStr">
        <is>
          <t xml:space="preserve">Módulo FO (SM) 1G SFP LC LX 10km
(equivalente al modelo J4859D) /Control de Acceso</t>
        </is>
      </c>
    </row>
    <row r="35">
      <c r="A35" s="0" t="inlineStr">
        <is>
          <t xml:space="preserve">2563-34-LR26</t>
        </is>
      </c>
      <c r="B35" s="4" t="inlineStr">
        <is>
          <t xml:space="preserve">EQUIPOS PARA REDES INFORMÁTICAS Y LICENCIAS</t>
        </is>
      </c>
      <c r="C35" s="0">
        <v>13</v>
      </c>
      <c r="D35" s="4" t="inlineStr">
        <is>
          <t xml:space="preserve">Cajas de conmutación de computadores</t>
        </is>
      </c>
      <c r="E35" s="4" t="inlineStr">
        <is>
          <t xml:space="preserve">Tecnologías de la información, telecomunicaciones y radiodifusión / Equipos informáticos y accesorios / Accesorios de computador</t>
        </is>
      </c>
      <c r="F35" s="0">
        <v>24.0</v>
      </c>
      <c r="G35" s="0" t="inlineStr">
        <is>
          <t xml:space="preserve">Unidad</t>
        </is>
      </c>
      <c r="H35" s="4" t="inlineStr">
        <is>
          <t xml:space="preserve">Módulo FO (SM) 1G SFP LC LX 10km (equivalente al modelo J4859D) /Aeroportuarios</t>
        </is>
      </c>
    </row>
    <row r="36">
      <c r="A36" s="0" t="inlineStr">
        <is>
          <t xml:space="preserve">2563-34-LR26</t>
        </is>
      </c>
      <c r="B36" s="4" t="inlineStr">
        <is>
          <t xml:space="preserve">EQUIPOS PARA REDES INFORMÁTICAS Y LICENCIAS</t>
        </is>
      </c>
      <c r="C36" s="0">
        <v>14</v>
      </c>
      <c r="D36" s="4" t="inlineStr">
        <is>
          <t xml:space="preserve">Cajas de conmutación de computadores</t>
        </is>
      </c>
      <c r="E36" s="4" t="inlineStr">
        <is>
          <t xml:space="preserve">Tecnologías de la información, telecomunicaciones y radiodifusión / Equipos informáticos y accesorios / Accesorios de computador</t>
        </is>
      </c>
      <c r="F36" s="0">
        <v>1.0</v>
      </c>
      <c r="G36" s="0" t="inlineStr">
        <is>
          <t xml:space="preserve">Unidad</t>
        </is>
      </c>
      <c r="H36" s="4" t="inlineStr">
        <is>
          <t xml:space="preserve">Equipo de protección de enlaces de red frente a ataques DDoS y amenazas avanzadas, actuando directamente en el borde de la red (edge), donde se conectan los enlaces de Internet principal y de respaldo. /Control de Acceso</t>
        </is>
      </c>
    </row>
    <row r="37">
      <c r="A37" s="0" t="inlineStr">
        <is>
          <t xml:space="preserve">2563-34-LR26</t>
        </is>
      </c>
      <c r="B37" s="4" t="inlineStr">
        <is>
          <t xml:space="preserve">EQUIPOS PARA REDES INFORMÁTICAS Y LICENCIAS</t>
        </is>
      </c>
      <c r="C37" s="0">
        <v>15</v>
      </c>
      <c r="D37" s="4" t="inlineStr">
        <is>
          <t xml:space="preserve">Cajas de conmutación de computadores</t>
        </is>
      </c>
      <c r="E37" s="4" t="inlineStr">
        <is>
          <t xml:space="preserve">Tecnologías de la información, telecomunicaciones y radiodifusión / Equipos informáticos y accesorios / Accesorios de computador</t>
        </is>
      </c>
      <c r="F37" s="0">
        <v>1.0</v>
      </c>
      <c r="G37" s="0" t="inlineStr">
        <is>
          <t xml:space="preserve">Unidad</t>
        </is>
      </c>
      <c r="H37" s="4" t="inlineStr">
        <is>
          <t xml:space="preserve">Licencia para el funcionamiento del equipo de protección de enlaces de red frente a ataques DDoS y amenazas avanzadas. /Control de Acceso</t>
        </is>
      </c>
    </row>
    <row r="38">
      <c r="A38" s="0" t="inlineStr">
        <is>
          <t xml:space="preserve">2658-328-L126</t>
        </is>
      </c>
      <c r="B38" s="4" t="inlineStr">
        <is>
          <t xml:space="preserve">SUSCRIPCION ANUAL PLATAFORMA INTELIGENCIUA ARTIFICIAL</t>
        </is>
      </c>
      <c r="C38" s="0">
        <v>1</v>
      </c>
      <c r="D38" s="4" t="inlineStr">
        <is>
          <t xml:space="preserve">Publicaciones periódicas</t>
        </is>
      </c>
      <c r="E38" s="4" t="inlineStr">
        <is>
          <t xml:space="preserve">Productos impresos y publicaciones / Medios impresos / Publicaciones impresas</t>
        </is>
      </c>
      <c r="F38" s="0">
        <v>5.0</v>
      </c>
      <c r="G38" s="0" t="inlineStr">
        <is>
          <t xml:space="preserve">Unidad</t>
        </is>
      </c>
      <c r="H38" s="4" t="inlineStr">
        <is>
          <t xml:space="preserve">Suscripción anual (12 meses) a plataforma de inteligencia artificial avanzada  
CHATGPT PLUS (OPEN AI), según detalles adjuntos en orden de pedido.</t>
        </is>
      </c>
    </row>
    <row r="39">
      <c r="A39" s="0" t="inlineStr">
        <is>
          <t xml:space="preserve">5394-22-LE26</t>
        </is>
      </c>
      <c r="B39" s="4" t="inlineStr">
        <is>
          <t xml:space="preserve">SERVICIO DE CONSULTORÍA DE CIBERSEGURIDAD UMAG</t>
        </is>
      </c>
      <c r="C39" s="0">
        <v>1</v>
      </c>
      <c r="D39" s="4" t="inlineStr">
        <is>
          <t xml:space="preserve">Asesorías Informáticas</t>
        </is>
      </c>
      <c r="E39" s="4" t="inlineStr">
        <is>
          <t xml:space="preserve">Servicios profesionales, administrativos y consultorías de gestión empresarial / Consultorías o asesorías en gestión empresarial / Servicios de consultoría en gestión de empresas</t>
        </is>
      </c>
      <c r="F39" s="0">
        <v>1.0</v>
      </c>
      <c r="G39" s="0" t="inlineStr">
        <is>
          <t xml:space="preserve">Global</t>
        </is>
      </c>
      <c r="H39" s="4" t="inlineStr">
        <is>
          <t xml:space="preserve">LINEA GLOBAL: CONTRATACIÓN DE SERVICIOS DE CONSULTORÍA DE CIBERSEGURIDAD PARA EL FORTALECIMIENTO DE LA GESTIÓN ADMINISTRATIVA Y TRANSFORMACION DIGITAL INSTITUCIONAL DE LA UNIVERSIDAD DE MAGALLANES.</t>
        </is>
      </c>
    </row>
    <row r="40">
      <c r="A40" s="0" t="inlineStr">
        <is>
          <t xml:space="preserve">1605-36-LR26</t>
        </is>
      </c>
      <c r="B40" s="4" t="inlineStr">
        <is>
          <t xml:space="preserve">LR-4252 Servicio de Red Datos WAN</t>
        </is>
      </c>
      <c r="C40" s="0">
        <v>1</v>
      </c>
      <c r="D40" s="4" t="inlineStr">
        <is>
          <t xml:space="preserve">Proveedores de servicio de Internet (ISP)</t>
        </is>
      </c>
      <c r="E40" s="4" t="inlineStr">
        <is>
          <t xml:space="preserve">Servicios basados en ingeniería, ciencias sociales y tecnología de la información / Servicios informáticos / Servicios para internet</t>
        </is>
      </c>
      <c r="F40" s="0">
        <v>72.0</v>
      </c>
      <c r="G40" s="0" t="inlineStr">
        <is>
          <t xml:space="preserve">Mes</t>
        </is>
      </c>
      <c r="H40" s="4" t="inlineStr">
        <is>
          <t xml:space="preserve">1. Servicio de conectividad de datos.
2. Infraestructura tipo SD-WAN y LAN
3. Servicio de conectividad inalámbrica Wifi.
4. Servicio de telefonía IP institucional.</t>
        </is>
      </c>
    </row>
    <row r="41">
      <c r="A41" s="0" t="inlineStr">
        <is>
          <t xml:space="preserve">1605-36-LR26</t>
        </is>
      </c>
      <c r="B41" s="4" t="inlineStr">
        <is>
          <t xml:space="preserve">LR-4252 Servicio de Red Datos WAN</t>
        </is>
      </c>
      <c r="C41" s="0">
        <v>2</v>
      </c>
      <c r="D41" s="4" t="inlineStr">
        <is>
          <t xml:space="preserve">Proveedores de servicio de Internet (ISP)</t>
        </is>
      </c>
      <c r="E41" s="4" t="inlineStr">
        <is>
          <t xml:space="preserve">Servicios basados en ingeniería, ciencias sociales y tecnología de la información / Servicios informáticos / Servicios para internet</t>
        </is>
      </c>
      <c r="F41" s="0">
        <v>72.0</v>
      </c>
      <c r="G41" s="0" t="inlineStr">
        <is>
          <t xml:space="preserve">Mes</t>
        </is>
      </c>
      <c r="H41" s="4" t="inlineStr">
        <is>
          <t xml:space="preserve">5. Monitoreo y gestión de las componentes 1 a 4.</t>
        </is>
      </c>
    </row>
    <row r="42">
      <c r="A42" s="0" t="inlineStr">
        <is>
          <t xml:space="preserve">696217-2-LP26</t>
        </is>
      </c>
      <c r="B42" s="4" t="inlineStr">
        <is>
          <t xml:space="preserve">Servicio de Digitalizacion de Carpetas</t>
        </is>
      </c>
      <c r="C42" s="0">
        <v>1</v>
      </c>
      <c r="D42" s="4" t="inlineStr">
        <is>
          <t xml:space="preserve">Servicios de digitalización de documentos</t>
        </is>
      </c>
      <c r="E42" s="4" t="inlineStr">
        <is>
          <t xml:space="preserve">Servicios basados en ingeniería, ciencias sociales y tecnología de la información / Servicios informáticos / Servicios de datos</t>
        </is>
      </c>
      <c r="F42" s="0">
        <v>1.0</v>
      </c>
      <c r="G42" s="0" t="inlineStr">
        <is>
          <t xml:space="preserve">Unidad</t>
        </is>
      </c>
      <c r="H42" s="4" t="inlineStr">
        <is>
          <t xml:space="preserve">El MINISTERIO PÚBLICO necesita contratar el servicio de digitalización y destrucción documental para la fiscalía regional de Tarapacá, mediante un único contrato, desde la suscripción del acta de inicio y hasta el 28 de diciembre de 2026, con el objeto de</t>
        </is>
      </c>
    </row>
    <row r="43">
      <c r="A43" s="0" t="inlineStr">
        <is>
          <t xml:space="preserve">1051173-14-LE26</t>
        </is>
      </c>
      <c r="B43" s="4" t="inlineStr">
        <is>
          <t xml:space="preserve">SERVICIO DE ENLACE DE DATOS DE RESPALDO</t>
        </is>
      </c>
      <c r="C43" s="0">
        <v>1</v>
      </c>
      <c r="D43" s="4" t="inlineStr">
        <is>
          <t xml:space="preserve">Unidades de servicio de datos o canales de red</t>
        </is>
      </c>
      <c r="E43" s="4" t="inlineStr">
        <is>
          <t xml:space="preserve">Tecnologías de la información, telecomunicaciones y radiodifusión / Equipos, plataformas y accesorios de redes multimedia, voz y datos / Equipos de servicio de red</t>
        </is>
      </c>
      <c r="F43" s="0">
        <v>1.0</v>
      </c>
      <c r="G43" s="0" t="inlineStr">
        <is>
          <t xml:space="preserve">Unidad no definida</t>
        </is>
      </c>
      <c r="H43" s="4" t="inlineStr">
        <is>
          <t xml:space="preserve">SERVICIO DE ENLACE DE DATOS DE RESPALDO PARA EL MINISTERIO SECRETARÍA GENERAL DE LA PRESIDENCIA</t>
        </is>
      </c>
    </row>
    <row r="44">
      <c r="A44" s="0" t="inlineStr">
        <is>
          <t xml:space="preserve">5684-13-LE26</t>
        </is>
      </c>
      <c r="B44" s="4" t="inlineStr">
        <is>
          <t xml:space="preserve">Licencia de Software Cámaras de Vigilancia</t>
        </is>
      </c>
      <c r="C44" s="0">
        <v>1</v>
      </c>
      <c r="D44" s="4" t="inlineStr">
        <is>
          <t xml:space="preserve">Software de compatibilidad</t>
        </is>
      </c>
      <c r="E44" s="4" t="inlineStr">
        <is>
          <t xml:space="preserve">Tecnologías de la información, telecomunicaciones y radiodifusión / Software / Software específico para la industria</t>
        </is>
      </c>
      <c r="F44" s="0">
        <v>250.0</v>
      </c>
      <c r="G44" s="0" t="inlineStr">
        <is>
          <t xml:space="preserve">Unidad</t>
        </is>
      </c>
      <c r="H44" s="4" t="inlineStr">
        <is>
          <t xml:space="preserve">Adquisición de Software para habilitación de cámaras de vigilancia.</t>
        </is>
      </c>
    </row>
    <row r="45">
      <c r="A45" s="0" t="inlineStr">
        <is>
          <t xml:space="preserve">2013-13-LE26</t>
        </is>
      </c>
      <c r="B45" s="4" t="inlineStr">
        <is>
          <t xml:space="preserve">SERVICIO DE GESTIÓN DE PUBLICIDAD DIGITAL Y GENERA</t>
        </is>
      </c>
      <c r="C45" s="0">
        <v>1</v>
      </c>
      <c r="D45" s="4" t="inlineStr">
        <is>
          <t xml:space="preserve">Publicidad en Internet</t>
        </is>
      </c>
      <c r="E45" s="4" t="inlineStr">
        <is>
          <t xml:space="preserve">Servicios editoriales, de diseño, publicidad, gráficos y artistas / Publicidad / Publicidad en medios no impresos</t>
        </is>
      </c>
      <c r="F45" s="0">
        <v>1.0</v>
      </c>
      <c r="G45" s="0" t="inlineStr">
        <is>
          <t xml:space="preserve">Unidad</t>
        </is>
      </c>
      <c r="H45" s="4" t="inlineStr">
        <is>
          <t xml:space="preserve">SERVICIO DE GESTIÓN DE PUBLICIDAD DIGITAL Y GENERACIÓN DE LEADS PARA ADMISIÓN UNAP 2027</t>
        </is>
      </c>
    </row>
    <row r="46">
      <c r="A46" s="0" t="inlineStr">
        <is>
          <t xml:space="preserve">1469-236-L126</t>
        </is>
      </c>
      <c r="B46" s="4" t="inlineStr">
        <is>
          <t xml:space="preserve">“Servicio de Mantenimiento Preventivo para (2) Equipos de Clima de Precisión Liebert CRV 35 kW del Centro de Datos del Campus Talca de la Universidad de Talca”</t>
        </is>
      </c>
      <c r="C46" s="0">
        <v>1</v>
      </c>
      <c r="D46" s="4" t="inlineStr">
        <is>
          <t xml:space="preserve">Servicio de reparación de equipo de fabricación</t>
        </is>
      </c>
      <c r="E46" s="4" t="inlineStr">
        <is>
          <t xml:space="preserve">Servicios de producción y fabricación industrial / Servicios de apoyo o soporte a la fabricación / Servicios de mantenimiento y reparación de equipo de fabricación</t>
        </is>
      </c>
      <c r="F46" s="0">
        <v>1.0</v>
      </c>
      <c r="G46" s="0" t="inlineStr">
        <is>
          <t xml:space="preserve">Unidad</t>
        </is>
      </c>
      <c r="H46" s="4" t="inlineStr">
        <is>
          <t xml:space="preserve">Servicio de Mantenimiento Preventivo para (2) Equipos de Clima de Precisión Liebert CRV 35 kW del Centro de Datos del Campus Talca de la Universidad de Talca</t>
        </is>
      </c>
    </row>
    <row r="47">
      <c r="A47" s="0" t="inlineStr">
        <is>
          <t xml:space="preserve">2297-30-LE26</t>
        </is>
      </c>
      <c r="B47" s="4" t="inlineStr">
        <is>
          <t xml:space="preserve">ADQUISICION DE FASCIMIL LICENCIAS DE CONDUCIR DIGITAL.</t>
        </is>
      </c>
      <c r="C47" s="0">
        <v>1</v>
      </c>
      <c r="D47" s="4" t="inlineStr">
        <is>
          <t xml:space="preserve">Servicios de impresión industrial Digital</t>
        </is>
      </c>
      <c r="E47" s="4" t="inlineStr">
        <is>
          <t xml:space="preserve">Servicios de producción y fabricación industrial / Servicios de apoyo o soporte a la fabricación / Servicios de impresión industrial</t>
        </is>
      </c>
      <c r="F47" s="0">
        <v>1.0</v>
      </c>
      <c r="G47" s="0" t="inlineStr">
        <is>
          <t xml:space="preserve">Unidad</t>
        </is>
      </c>
      <c r="H47" s="4" t="inlineStr">
        <is>
          <t xml:space="preserve">ADQUISICION DE FASCIMIL LICENCIAS DE CONDUCIR DIGITAL.</t>
        </is>
      </c>
    </row>
    <row r="48">
      <c r="A48" s="0" t="inlineStr">
        <is>
          <t xml:space="preserve">4469-195-L126</t>
        </is>
      </c>
      <c r="B48" s="4" t="inlineStr">
        <is>
          <t xml:space="preserve">S.C. N° 40583 - 40585 (P.C) ADQUISICIÓN TABLERO SENSORIAL , SET DE PSICOMOTRICIDAD Y OTROS - PROYECTO FIEP 2025 ; JARDIN INFANTIL ; UPLA</t>
        </is>
      </c>
      <c r="C48" s="0">
        <v>1</v>
      </c>
      <c r="D48" s="4" t="inlineStr">
        <is>
          <t xml:space="preserve">Kits de actividades o juegos de tableros geométricos</t>
        </is>
      </c>
      <c r="E48" s="4" t="inlineStr">
        <is>
          <t xml:space="preserve">Instrumentos musicales, juegos, juguetes, artesanías y materiales educativos / Materiales, artículos y suministros didácticos profesionales y para el desarrollo personal / Materiales o recursos educativos de geometría</t>
        </is>
      </c>
      <c r="F48" s="0">
        <v>1.0</v>
      </c>
      <c r="G48" s="0" t="inlineStr">
        <is>
          <t xml:space="preserve">Unidad</t>
        </is>
      </c>
      <c r="H48" s="4" t="inlineStr">
        <is>
          <t xml:space="preserve">TABLERO SENSORIAL MAXI ALTO FLUJO - BOSQUE, PESO: 10 KILOS, 120  20  65 CM   (sc40583)</t>
        </is>
      </c>
    </row>
    <row r="49">
      <c r="A49" s="0" t="inlineStr">
        <is>
          <t xml:space="preserve">4469-195-L126</t>
        </is>
      </c>
      <c r="B49" s="4" t="inlineStr">
        <is>
          <t xml:space="preserve">S.C. N° 40583 - 40585 (P.C) ADQUISICIÓN TABLERO SENSORIAL , SET DE PSICOMOTRICIDAD Y OTROS - PROYECTO FIEP 2025 ; JARDIN INFANTIL ; UPLA</t>
        </is>
      </c>
      <c r="C49" s="0">
        <v>2</v>
      </c>
      <c r="D49" s="4" t="inlineStr">
        <is>
          <t xml:space="preserve">Kits de actividades o juegos de tableros geométricos</t>
        </is>
      </c>
      <c r="E49" s="4" t="inlineStr">
        <is>
          <t xml:space="preserve">Instrumentos musicales, juegos, juguetes, artesanías y materiales educativos / Materiales, artículos y suministros didácticos profesionales y para el desarrollo personal / Materiales o recursos educativos de geometría</t>
        </is>
      </c>
      <c r="F49" s="0">
        <v>1.0</v>
      </c>
      <c r="G49" s="0" t="inlineStr">
        <is>
          <t xml:space="preserve">Unidad</t>
        </is>
      </c>
      <c r="H49" s="4" t="inlineStr">
        <is>
          <t xml:space="preserve">SET DE PSICOMOTRICIDAD 8 BLOQUES DE ESPUMA, CON PIEZAS QUE INCLUYEN DIFERENTES FORMAS Y COLORES, CON FORRO  (SC40583)</t>
        </is>
      </c>
    </row>
    <row r="50">
      <c r="A50" s="0" t="inlineStr">
        <is>
          <t xml:space="preserve">4469-195-L126</t>
        </is>
      </c>
      <c r="B50" s="4" t="inlineStr">
        <is>
          <t xml:space="preserve">S.C. N° 40583 - 40585 (P.C) ADQUISICIÓN TABLERO SENSORIAL , SET DE PSICOMOTRICIDAD Y OTROS - PROYECTO FIEP 2025 ; JARDIN INFANTIL ; UPLA</t>
        </is>
      </c>
      <c r="C50" s="0">
        <v>3</v>
      </c>
      <c r="D50" s="4" t="inlineStr">
        <is>
          <t xml:space="preserve">Kits de actividades o juegos de tableros geométricos</t>
        </is>
      </c>
      <c r="E50" s="4" t="inlineStr">
        <is>
          <t xml:space="preserve">Instrumentos musicales, juegos, juguetes, artesanías y materiales educativos / Materiales, artículos y suministros didácticos profesionales y para el desarrollo personal / Materiales o recursos educativos de geometría</t>
        </is>
      </c>
      <c r="F50" s="0">
        <v>2.0</v>
      </c>
      <c r="G50" s="0" t="inlineStr">
        <is>
          <t xml:space="preserve">Unidad</t>
        </is>
      </c>
      <c r="H50" s="4" t="inlineStr">
        <is>
          <t xml:space="preserve">ARENERO: CAJA DE ARENA CON TAPA 74X52X10 CM. CON MATERIAL PARA RESISTIR EL EXTERIOR  (40583)</t>
        </is>
      </c>
    </row>
    <row r="51">
      <c r="A51" s="0" t="inlineStr">
        <is>
          <t xml:space="preserve">4469-195-L126</t>
        </is>
      </c>
      <c r="B51" s="4" t="inlineStr">
        <is>
          <t xml:space="preserve">S.C. N° 40583 - 40585 (P.C) ADQUISICIÓN TABLERO SENSORIAL , SET DE PSICOMOTRICIDAD Y OTROS - PROYECTO FIEP 2025 ; JARDIN INFANTIL ; UPLA</t>
        </is>
      </c>
      <c r="C51" s="0">
        <v>4</v>
      </c>
      <c r="D51" s="4" t="inlineStr">
        <is>
          <t xml:space="preserve">Kits de actividades o juegos de tableros geométricos</t>
        </is>
      </c>
      <c r="E51" s="4" t="inlineStr">
        <is>
          <t xml:space="preserve">Instrumentos musicales, juegos, juguetes, artesanías y materiales educativos / Materiales, artículos y suministros didácticos profesionales y para el desarrollo personal / Materiales o recursos educativos de geometría</t>
        </is>
      </c>
      <c r="F51" s="0">
        <v>2.0</v>
      </c>
      <c r="G51" s="0" t="inlineStr">
        <is>
          <t xml:space="preserve">Unidad</t>
        </is>
      </c>
      <c r="H51" s="4" t="inlineStr">
        <is>
          <t xml:space="preserve">MESA SENSORIAL DE ARENA CON BANCAS Y TAPA DE MADERA, USO EXTERIOR  (40583)</t>
        </is>
      </c>
    </row>
    <row r="52">
      <c r="A52" s="0" t="inlineStr">
        <is>
          <t xml:space="preserve">4469-195-L126</t>
        </is>
      </c>
      <c r="B52" s="4" t="inlineStr">
        <is>
          <t xml:space="preserve">S.C. N° 40583 - 40585 (P.C) ADQUISICIÓN TABLERO SENSORIAL , SET DE PSICOMOTRICIDAD Y OTROS - PROYECTO FIEP 2025 ; JARDIN INFANTIL ; UPLA</t>
        </is>
      </c>
      <c r="C52" s="0">
        <v>5</v>
      </c>
      <c r="D52" s="4" t="inlineStr">
        <is>
          <t xml:space="preserve">Kits de actividades o juegos de tableros geométricos</t>
        </is>
      </c>
      <c r="E52" s="4" t="inlineStr">
        <is>
          <t xml:space="preserve">Instrumentos musicales, juegos, juguetes, artesanías y materiales educativos / Materiales, artículos y suministros didácticos profesionales y para el desarrollo personal / Materiales o recursos educativos de geometría</t>
        </is>
      </c>
      <c r="F52" s="0">
        <v>1.0</v>
      </c>
      <c r="G52" s="0" t="inlineStr">
        <is>
          <t xml:space="preserve">Unidad</t>
        </is>
      </c>
      <c r="H52" s="4" t="inlineStr">
        <is>
          <t xml:space="preserve">CENTRO DE ARENA Y AGUA CASCADA. CON ALMACENAMIENTO DE 11.4 LITROS DE AGUA Y 4.5 KILOS DE ARENA. INCLUYE TAPA, ACCESORIOS  (40583)</t>
        </is>
      </c>
    </row>
    <row r="53">
      <c r="A53" s="0" t="inlineStr">
        <is>
          <t xml:space="preserve">4469-195-L126</t>
        </is>
      </c>
      <c r="B53" s="4" t="inlineStr">
        <is>
          <t xml:space="preserve">S.C. N° 40583 - 40585 (P.C) ADQUISICIÓN TABLERO SENSORIAL , SET DE PSICOMOTRICIDAD Y OTROS - PROYECTO FIEP 2025 ; JARDIN INFANTIL ; UPLA</t>
        </is>
      </c>
      <c r="C53" s="0">
        <v>6</v>
      </c>
      <c r="D53" s="4" t="inlineStr">
        <is>
          <t xml:space="preserve">Mesas</t>
        </is>
      </c>
      <c r="E53" s="4" t="inlineStr">
        <is>
          <t xml:space="preserve">Muebles y mobiliario / Muebles de alojamiento / Muebles</t>
        </is>
      </c>
      <c r="F53" s="0">
        <v>2.0</v>
      </c>
      <c r="G53" s="0" t="inlineStr">
        <is>
          <t xml:space="preserve">Unidad</t>
        </is>
      </c>
      <c r="H53" s="4" t="inlineStr">
        <is>
          <t xml:space="preserve">MESAS SENSORIALES. FABRICADA EN MADERA DE ALTA RESISTENCIA. MEDIDAS: 73 CM LARGO 54 CM ANCHO 50 CM ALTO.CON DOS DEPÓSITOS O BANDEJAS INTERIORES, CON TAPA.. (sc40585)</t>
        </is>
      </c>
    </row>
    <row r="54">
      <c r="A54" s="0" t="inlineStr">
        <is>
          <t xml:space="preserve">4469-195-L126</t>
        </is>
      </c>
      <c r="B54" s="4" t="inlineStr">
        <is>
          <t xml:space="preserve">S.C. N° 40583 - 40585 (P.C) ADQUISICIÓN TABLERO SENSORIAL , SET DE PSICOMOTRICIDAD Y OTROS - PROYECTO FIEP 2025 ; JARDIN INFANTIL ; UPLA</t>
        </is>
      </c>
      <c r="C54" s="0">
        <v>7</v>
      </c>
      <c r="D54" s="4" t="inlineStr">
        <is>
          <t xml:space="preserve">Juegos educativos</t>
        </is>
      </c>
      <c r="E54" s="4" t="inlineStr">
        <is>
          <t xml:space="preserve">Instrumentos musicales, juegos, juguetes, artesanías y materiales educativos / Juguetes y juegos / Juegos</t>
        </is>
      </c>
      <c r="F54" s="0">
        <v>1.0</v>
      </c>
      <c r="G54" s="0" t="inlineStr">
        <is>
          <t xml:space="preserve">Unidad</t>
        </is>
      </c>
      <c r="H54" s="4" t="inlineStr">
        <is>
          <t xml:space="preserve">RESFALIN CON ESCONDITE EN MADERA, RESISTENTE AL EXTERIOR. MEDIDAS APP: 148 CM DE LARGO X 49 CM DE ANCHO X 55 CM DE ALTO.  (sc40585)</t>
        </is>
      </c>
    </row>
    <row r="55">
      <c r="A55" s="0" t="inlineStr">
        <is>
          <t xml:space="preserve">4112-27-LE26</t>
        </is>
      </c>
      <c r="B55" s="4" t="inlineStr">
        <is>
          <t xml:space="preserve">“ADQUISICIÓN DE LICENCIAS DE SOFTWARE”</t>
        </is>
      </c>
      <c r="C55" s="0">
        <v>1</v>
      </c>
      <c r="D55" s="4" t="inlineStr">
        <is>
          <t xml:space="preserve">Diseño por computador</t>
        </is>
      </c>
      <c r="E55" s="4" t="inlineStr">
        <is>
          <t xml:space="preserve">Servicios editoriales, de diseño, publicidad, gráficos y artistas / Diseño gráfico / Diseño</t>
        </is>
      </c>
      <c r="F55" s="0">
        <v>1.0</v>
      </c>
      <c r="G55" s="0" t="inlineStr">
        <is>
          <t xml:space="preserve">Unidad</t>
        </is>
      </c>
      <c r="H55" s="4" t="inlineStr">
        <is>
          <t xml:space="preserve">LÍNEA 1: PROGRAMAS DE ARQUITECTURA, DISEÑO Y EDICIÓN</t>
        </is>
      </c>
    </row>
    <row r="56">
      <c r="A56" s="0" t="inlineStr">
        <is>
          <t xml:space="preserve">4112-27-LE26</t>
        </is>
      </c>
      <c r="B56" s="4" t="inlineStr">
        <is>
          <t xml:space="preserve">“ADQUISICIÓN DE LICENCIAS DE SOFTWARE”</t>
        </is>
      </c>
      <c r="C56" s="0">
        <v>2</v>
      </c>
      <c r="D56" s="4" t="inlineStr">
        <is>
          <t xml:space="preserve">Software de gestión de licencias</t>
        </is>
      </c>
      <c r="E56" s="4" t="inlineStr">
        <is>
          <t xml:space="preserve">Tecnologías de la información, telecomunicaciones y radiodifusión / Software / Software de gestión</t>
        </is>
      </c>
      <c r="F56" s="0">
        <v>1.0</v>
      </c>
      <c r="G56" s="0" t="inlineStr">
        <is>
          <t xml:space="preserve">Unidad</t>
        </is>
      </c>
      <c r="H56" s="4" t="inlineStr">
        <is>
          <t xml:space="preserve">LÍNEA 2: PROGRAMAS OFIMÁTICOS</t>
        </is>
      </c>
    </row>
    <row r="57">
      <c r="A57" s="0" t="inlineStr">
        <is>
          <t xml:space="preserve">4112-27-LE26</t>
        </is>
      </c>
      <c r="B57" s="4" t="inlineStr">
        <is>
          <t xml:space="preserve">“ADQUISICIÓN DE LICENCIAS DE SOFTWARE”</t>
        </is>
      </c>
      <c r="C57" s="0">
        <v>3</v>
      </c>
      <c r="D57" s="4" t="inlineStr">
        <is>
          <t xml:space="preserve">Software de video conferencia</t>
        </is>
      </c>
      <c r="E57" s="4" t="inlineStr">
        <is>
          <t xml:space="preserve">Tecnologías de la información, telecomunicaciones y radiodifusión / Software / Software de intercambio de información</t>
        </is>
      </c>
      <c r="F57" s="0">
        <v>1.0</v>
      </c>
      <c r="G57" s="0" t="inlineStr">
        <is>
          <t xml:space="preserve">Unidad</t>
        </is>
      </c>
      <c r="H57" s="4" t="inlineStr">
        <is>
          <t xml:space="preserve">LÍNEA 3: PROGRAMAS DE TRANSMISIÓN EN VIVO</t>
        </is>
      </c>
    </row>
    <row r="58">
      <c r="A58" s="0" t="inlineStr">
        <is>
          <t xml:space="preserve">1082957-33-L126</t>
        </is>
      </c>
      <c r="B58" s="4" t="inlineStr">
        <is>
          <t xml:space="preserve">Servicios de administración de plataforma y suministro de atenciones de salud telemáticas, mediante la suscripción anual a una plataforma digital, para el personal de ProChile.</t>
        </is>
      </c>
      <c r="C58" s="0">
        <v>1</v>
      </c>
      <c r="D58" s="4" t="inlineStr">
        <is>
          <t xml:space="preserve">Servicios de consulta médica</t>
        </is>
      </c>
      <c r="E58" s="4" t="inlineStr">
        <is>
          <t xml:space="preserve">Salud, servicios sanitarios y alimentación / Servicios para el cuidado de la salud de las personas / Ambulatorios</t>
        </is>
      </c>
      <c r="F58" s="0">
        <v>1.0</v>
      </c>
      <c r="G58" s="0" t="inlineStr">
        <is>
          <t xml:space="preserve">Unidad</t>
        </is>
      </c>
      <c r="H58" s="4" t="inlineStr">
        <is>
          <t xml:space="preserve">Servicios de administración de plataforma y suministro de atenciones de salud telemáticas, mediante la suscripción anual a una plataforma digital, para el personal de ProChile.</t>
        </is>
      </c>
    </row>
    <row r="59">
      <c r="A59" s="0" t="inlineStr">
        <is>
          <t xml:space="preserve">1224957-63-LE26</t>
        </is>
      </c>
      <c r="B59" s="4" t="inlineStr">
        <is>
          <t xml:space="preserve">INSUMOS INFORMÁTICOS CMDS ÑUÑOA</t>
        </is>
      </c>
      <c r="C59" s="0">
        <v>1</v>
      </c>
      <c r="D59" s="4" t="inlineStr">
        <is>
          <t xml:space="preserve">Kit de herramienta para computadores</t>
        </is>
      </c>
      <c r="E59" s="4" t="inlineStr">
        <is>
          <t xml:space="preserve">Herramientas y maquinaria en general / Herramientas manuales / Juegos de herramientas</t>
        </is>
      </c>
      <c r="F59" s="0">
        <v>1.0</v>
      </c>
      <c r="G59" s="0" t="inlineStr">
        <is>
          <t xml:space="preserve">Unidad</t>
        </is>
      </c>
      <c r="H59" s="4"/>
    </row>
    <row r="60">
      <c r="A60" s="0" t="inlineStr">
        <is>
          <t xml:space="preserve">1562-63-LP26</t>
        </is>
      </c>
      <c r="B60" s="4" t="inlineStr">
        <is>
          <t xml:space="preserve">ELABORACIÓN DE LA PLATAFORMA PÚBLICA MINERA</t>
        </is>
      </c>
      <c r="C60" s="0">
        <v>1</v>
      </c>
      <c r="D60" s="4" t="inlineStr">
        <is>
          <t xml:space="preserve">Software de desarrollo de plataforma Web</t>
        </is>
      </c>
      <c r="E60" s="4" t="inlineStr">
        <is>
          <t xml:space="preserve">Tecnologías de la información, telecomunicaciones y radiodifusión / Software / Programas de desarrollo</t>
        </is>
      </c>
      <c r="F60" s="0">
        <v>1.0</v>
      </c>
      <c r="G60" s="0" t="inlineStr">
        <is>
          <t xml:space="preserve">Global</t>
        </is>
      </c>
      <c r="H60" s="4" t="inlineStr">
        <is>
          <t xml:space="preserve">Para la contratación del servicio de especializado de elaboración de la Plataforma Pública Minera, de Sernageomin</t>
        </is>
      </c>
    </row>
    <row r="61">
      <c r="A61" s="0" t="inlineStr">
        <is>
          <t xml:space="preserve">2735-167-LE26</t>
        </is>
      </c>
      <c r="B61" s="4" t="inlineStr">
        <is>
          <t xml:space="preserve">ENLACE DE DATOS FARELLONES MUN. LO BARNECHEA</t>
        </is>
      </c>
      <c r="C61" s="0">
        <v>1</v>
      </c>
      <c r="D61" s="4" t="inlineStr">
        <is>
          <t xml:space="preserve">Equipo de interconexión digital (DCX) de banda estrecha o banda ancha</t>
        </is>
      </c>
      <c r="E61" s="4" t="inlineStr">
        <is>
          <t xml:space="preserve">Tecnologías de la información, telecomunicaciones y radiodifusión / Equipos, plataformas y accesorios de redes multimedia, voz y datos / Equipos de telefonía</t>
        </is>
      </c>
      <c r="F61" s="0">
        <v>1.0</v>
      </c>
      <c r="G61" s="0" t="inlineStr">
        <is>
          <t xml:space="preserve">Unidad</t>
        </is>
      </c>
      <c r="H61" s="4" t="inlineStr">
        <is>
          <t xml:space="preserve">SERVICIO PARA LA PROVISIÓN DE ENLACE DE DATOS MICROONDAS PUNTO A PUNTO PARA DEPENDENCIAS DE LA MUNICIPALIDAD DE LO BARNECHEA EN FARELLONES</t>
        </is>
      </c>
    </row>
    <row r="62">
      <c r="A62" s="0" t="inlineStr">
        <is>
          <t xml:space="preserve">1138297-11-LE26</t>
        </is>
      </c>
      <c r="B62" s="4" t="inlineStr">
        <is>
          <t xml:space="preserve">Servicios de implementación integral para el diseño y producción de material promocional y la optimización del sitio web del Catálogo Digital de las Industrias Creativas de la Región de Atacama</t>
        </is>
      </c>
      <c r="C62" s="0">
        <v>1</v>
      </c>
      <c r="D62" s="4" t="inlineStr">
        <is>
          <t xml:space="preserve">Diseño gráfico</t>
        </is>
      </c>
      <c r="E62" s="4" t="inlineStr">
        <is>
          <t xml:space="preserve">Servicios editoriales, de diseño, publicidad, gráficos y artistas / Diseño gráfico / Diseño</t>
        </is>
      </c>
      <c r="F62" s="0">
        <v>1.0</v>
      </c>
      <c r="G62" s="0" t="inlineStr">
        <is>
          <t xml:space="preserve">Unidad</t>
        </is>
      </c>
      <c r="H62" s="4" t="inlineStr">
        <is>
          <t xml:space="preserve">Servicios de implementación integral para el diseño y producción de material promocional y la optimización del sitio web del Catálogo Digital de las Industrias Creativas de la Región de Atacama</t>
        </is>
      </c>
    </row>
    <row r="63">
      <c r="A63" s="0" t="inlineStr">
        <is>
          <t xml:space="preserve">2332-65-LE26</t>
        </is>
      </c>
      <c r="B63" s="4" t="inlineStr">
        <is>
          <t xml:space="preserve">ADQUISICIÓN DE ORTOPANTOMÓGRAFO DIGITAL Y CBCT 3D PARA EL DEPARTAMENTO DE SALUD MUNICIPAL DE PUERTO MONTT</t>
        </is>
      </c>
      <c r="C63" s="0">
        <v>1</v>
      </c>
      <c r="D63" s="4" t="inlineStr">
        <is>
          <t xml:space="preserve">Unidades de Rayos X dentales</t>
        </is>
      </c>
      <c r="E63" s="4" t="inlineStr">
        <is>
          <t xml:space="preserve">Equipamiento y suministros médicos / Equipos y suministros odontológicos / Equipo y suministros para imágenes dentales</t>
        </is>
      </c>
      <c r="F63" s="0">
        <v>1.0</v>
      </c>
      <c r="G63" s="0" t="inlineStr">
        <is>
          <t xml:space="preserve">Unidad</t>
        </is>
      </c>
      <c r="H63" s="4" t="inlineStr">
        <is>
          <t xml:space="preserve">ORTOPANTOMÓGRAFO DIGITAL Y CBCT 3D, INCLUYE ACCESORIOS. SEGÚN BASES TÉCNICAS ADJUNTAS.</t>
        </is>
      </c>
    </row>
    <row r="64">
      <c r="A64" s="0" t="inlineStr">
        <is>
          <t xml:space="preserve">2332-65-LE26</t>
        </is>
      </c>
      <c r="B64" s="4" t="inlineStr">
        <is>
          <t xml:space="preserve">ADQUISICIÓN DE ORTOPANTOMÓGRAFO DIGITAL Y CBCT 3D PARA EL DEPARTAMENTO DE SALUD MUNICIPAL DE PUERTO MONTT</t>
        </is>
      </c>
      <c r="C64" s="0">
        <v>2</v>
      </c>
      <c r="D64" s="4" t="inlineStr">
        <is>
          <t xml:space="preserve">Computadores de escritorio</t>
        </is>
      </c>
      <c r="E64" s="4" t="inlineStr">
        <is>
          <t xml:space="preserve">Tecnologías de la información, telecomunicaciones y radiodifusión / Equipos informáticos y accesorios / Computadores</t>
        </is>
      </c>
      <c r="F64" s="0">
        <v>1.0</v>
      </c>
      <c r="G64" s="0" t="inlineStr">
        <is>
          <t xml:space="preserve">Unidad</t>
        </is>
      </c>
      <c r="H64" s="4" t="inlineStr">
        <is>
          <t xml:space="preserve">PC. SEGÚN BASES TÉCNICAS ADJUNTAS.</t>
        </is>
      </c>
    </row>
    <row r="65">
      <c r="A65" s="0" t="inlineStr">
        <is>
          <t xml:space="preserve">2332-65-LE26</t>
        </is>
      </c>
      <c r="B65" s="4" t="inlineStr">
        <is>
          <t xml:space="preserve">ADQUISICIÓN DE ORTOPANTOMÓGRAFO DIGITAL Y CBCT 3D PARA EL DEPARTAMENTO DE SALUD MUNICIPAL DE PUERTO MONTT</t>
        </is>
      </c>
      <c r="C65" s="0">
        <v>3</v>
      </c>
      <c r="D65" s="4" t="inlineStr">
        <is>
          <t xml:space="preserve">Fuentes de alimentación continua</t>
        </is>
      </c>
      <c r="E65" s="4" t="inlineStr">
        <is>
          <t xml:space="preserve">Artículos eléctricos y de iluminación / Equipamiento y artículos eléctricos / Equipamiento para distribución y transformación eléctrica</t>
        </is>
      </c>
      <c r="F65" s="0">
        <v>1.0</v>
      </c>
      <c r="G65" s="0" t="inlineStr">
        <is>
          <t xml:space="preserve">Unidad</t>
        </is>
      </c>
      <c r="H65" s="4" t="inlineStr">
        <is>
          <t xml:space="preserve">UPS. SEGÚN BASES TÉCNICAS ADJUNTAS.</t>
        </is>
      </c>
    </row>
    <row r="66">
      <c r="A66" s="0" t="inlineStr">
        <is>
          <t xml:space="preserve">1020-38-LP26</t>
        </is>
      </c>
      <c r="B66" s="4" t="inlineStr">
        <is>
          <t xml:space="preserve">Adquisición de Plataforma Next Generation Firewall</t>
        </is>
      </c>
      <c r="C66" s="0">
        <v>1</v>
      </c>
      <c r="D66" s="4" t="inlineStr">
        <is>
          <t xml:space="preserve">Equipo de seguridad de red de firewall</t>
        </is>
      </c>
      <c r="E66" s="4" t="inlineStr">
        <is>
          <t xml:space="preserve">Tecnologías de la información, telecomunicaciones y radiodifusión / Equipos, plataformas y accesorios de redes multimedia, voz y datos / Equipos de seguridad de red</t>
        </is>
      </c>
      <c r="F66" s="0">
        <v>2.0</v>
      </c>
      <c r="G66" s="0" t="inlineStr">
        <is>
          <t xml:space="preserve">Unidad</t>
        </is>
      </c>
      <c r="H66" s="4" t="inlineStr">
        <is>
          <t xml:space="preserve">Equipos.</t>
        </is>
      </c>
    </row>
    <row r="67">
      <c r="A67" s="0" t="inlineStr">
        <is>
          <t xml:space="preserve">1020-38-LP26</t>
        </is>
      </c>
      <c r="B67" s="4" t="inlineStr">
        <is>
          <t xml:space="preserve">Adquisición de Plataforma Next Generation Firewall</t>
        </is>
      </c>
      <c r="C67" s="0">
        <v>2</v>
      </c>
      <c r="D67" s="4" t="inlineStr">
        <is>
          <t xml:space="preserve">Software de vigilancia de redes</t>
        </is>
      </c>
      <c r="E67" s="4" t="inlineStr">
        <is>
          <t xml:space="preserve">Tecnologías de la información, telecomunicaciones y radiodifusión / Software / Software de administración de redes</t>
        </is>
      </c>
      <c r="F67" s="0">
        <v>1.0</v>
      </c>
      <c r="G67" s="0" t="inlineStr">
        <is>
          <t xml:space="preserve">Unidad</t>
        </is>
      </c>
      <c r="H67" s="4" t="inlineStr">
        <is>
          <t xml:space="preserve">Licenciamiento de software para la Plataforma Next Generation Firewall (NGFW)</t>
        </is>
      </c>
    </row>
    <row r="68">
      <c r="A68" s="0" t="inlineStr">
        <is>
          <t xml:space="preserve">1057532-82-LE26</t>
        </is>
      </c>
      <c r="B68" s="4" t="inlineStr">
        <is>
          <t xml:space="preserve">ADQ. TENSIOMETROS DIGITALES C SET BRAZALETES</t>
        </is>
      </c>
      <c r="C68" s="0">
        <v>1</v>
      </c>
      <c r="D68" s="4" t="inlineStr">
        <is>
          <t xml:space="preserve">Unidades electrónicas de presión sanguínea</t>
        </is>
      </c>
      <c r="E68" s="4" t="inlineStr">
        <is>
          <t xml:space="preserve">Equipamiento y suministros médicos / Productos para exámenes y control de pacientes / Unidades de presión sanguínea y productos relacionados</t>
        </is>
      </c>
      <c r="F68" s="0">
        <v>1.0</v>
      </c>
      <c r="G68" s="0" t="inlineStr">
        <is>
          <t xml:space="preserve">Unidad</t>
        </is>
      </c>
      <c r="H68" s="4" t="inlineStr">
        <is>
          <t xml:space="preserve">Tensiómetro Digital con Set de Brazaletes (Pediátrico, Adolescente/Adulto pequeño, Adulto Medio, Adulto Grande/Obeso)</t>
        </is>
      </c>
    </row>
    <row r="69">
      <c r="A69" s="0" t="inlineStr">
        <is>
          <t xml:space="preserve">2239-2-LR26</t>
        </is>
      </c>
      <c r="B69" s="4" t="inlineStr">
        <is>
          <t xml:space="preserve">Convenio Marco Desarrollo de software</t>
        </is>
      </c>
      <c r="C69" s="0">
        <v>1</v>
      </c>
      <c r="D69" s="4" t="inlineStr">
        <is>
          <t xml:space="preserve">Desarrolladores de software</t>
        </is>
      </c>
      <c r="E69" s="4" t="inlineStr">
        <is>
          <t xml:space="preserve">Servicios profesionales, administrativos y consultorías de gestión empresarial / Servicios de recursos humanos / Contratación de personal</t>
        </is>
      </c>
      <c r="F69" s="0">
        <v>1.0</v>
      </c>
      <c r="G69" s="0" t="inlineStr">
        <is>
          <t xml:space="preserve">Unidad</t>
        </is>
      </c>
      <c r="H69" s="4" t="inlineStr">
        <is>
          <t xml:space="preserve">Convenio Marco para la adquisición de los Servicios de Desarrollo y Mantención de Software, Servicios Profesionales TI y Cloud Computing</t>
        </is>
      </c>
    </row>
    <row r="70">
      <c r="A70" s="0" t="inlineStr">
        <is>
          <t xml:space="preserve">610-19-LE26</t>
        </is>
      </c>
      <c r="B70" s="4" t="inlineStr">
        <is>
          <t xml:space="preserve">Base de datos Plexos del Sistema Eléctrico Nacional</t>
        </is>
      </c>
      <c r="C70" s="0">
        <v>1</v>
      </c>
      <c r="D70" s="4" t="inlineStr">
        <is>
          <t xml:space="preserve">Ingeniería eléctrica</t>
        </is>
      </c>
      <c r="E70" s="4" t="inlineStr">
        <is>
          <t xml:space="preserve">Servicios basados en ingeniería, ciencias sociales y tecnología de la información / Servicios profesionales de ingeniería / Ingeniería eléctrica y electrónica</t>
        </is>
      </c>
      <c r="F70" s="0">
        <v>1.0</v>
      </c>
      <c r="G70" s="0" t="inlineStr">
        <is>
          <t xml:space="preserve">Unidad</t>
        </is>
      </c>
      <c r="H70" s="4" t="inlineStr">
        <is>
          <t xml:space="preserve">Base de datos Plexos del Sistema Eléctrico Nacional.</t>
        </is>
      </c>
    </row>
    <row r="71">
      <c r="A71" s="0" t="inlineStr">
        <is>
          <t xml:space="preserve">3928-62-LE26</t>
        </is>
      </c>
      <c r="B71" s="4" t="inlineStr">
        <is>
          <t xml:space="preserve">ADQUISICION DE SOFTWARE Y EQUIPAMIENTO TECNOLOGICO PARA ESCUELA DE CAHUIL</t>
        </is>
      </c>
      <c r="C71" s="0">
        <v>1</v>
      </c>
      <c r="D71" s="4" t="inlineStr">
        <is>
          <t xml:space="preserve">Contadores de tabletas</t>
        </is>
      </c>
      <c r="E71" s="4" t="inlineStr">
        <is>
          <t xml:space="preserve">Maquinaria para fabricación y transformación industrial / Maquinaria y suministros de procesos industriales / Maquinaria para la industria farmacéutica</t>
        </is>
      </c>
      <c r="F71" s="0">
        <v>1.0</v>
      </c>
      <c r="G71" s="0" t="inlineStr">
        <is>
          <t xml:space="preserve">Global</t>
        </is>
      </c>
      <c r="H71" s="4" t="inlineStr">
        <is>
          <t xml:space="preserve">MALETA CONTENEDORA PARA TABLET, LINEA 2.
VER DETALLE EN BASES ADMINISTATIVAS Y ESPECIFICACIONES TECNICAS ADJUNTAS</t>
        </is>
      </c>
    </row>
    <row r="72">
      <c r="A72" s="0" t="inlineStr">
        <is>
          <t xml:space="preserve">3928-62-LE26</t>
        </is>
      </c>
      <c r="B72" s="4" t="inlineStr">
        <is>
          <t xml:space="preserve">ADQUISICION DE SOFTWARE Y EQUIPAMIENTO TECNOLOGICO PARA ESCUELA DE CAHUIL</t>
        </is>
      </c>
      <c r="C72" s="0">
        <v>2</v>
      </c>
      <c r="D72" s="4" t="inlineStr">
        <is>
          <t xml:space="preserve">Software doméstico</t>
        </is>
      </c>
      <c r="E72" s="4" t="inlineStr">
        <is>
          <t xml:space="preserve">Tecnologías de la información, telecomunicaciones y radiodifusión / Software / Software de ocio o juegos de computador</t>
        </is>
      </c>
      <c r="F72" s="0">
        <v>1.0</v>
      </c>
      <c r="G72" s="0" t="inlineStr">
        <is>
          <t xml:space="preserve">Global</t>
        </is>
      </c>
      <c r="H72" s="4" t="inlineStr">
        <is>
          <t xml:space="preserve">SOFTWARE DE ADMINISTRACION Y CONTROL PARA TABLETS CON OS ANDROID, LICENCIA PERPETUA, CLASDRIVE O SIMILAR. LINEA 1.
REVISAR DETALLES TECNICOS EN LAS ADMINISTRATIVAS Y ESPECIFICACIONALES TECNICAS ADJUNTAS</t>
        </is>
      </c>
    </row>
    <row r="73">
      <c r="A73" s="0" t="inlineStr">
        <is>
          <t xml:space="preserve">3073-53-LE26</t>
        </is>
      </c>
      <c r="B73" s="4" t="inlineStr">
        <is>
          <t xml:space="preserve">Adq. licencias informáticas.Completar Formularios</t>
        </is>
      </c>
      <c r="C73" s="0">
        <v>1</v>
      </c>
      <c r="D73" s="4" t="inlineStr">
        <is>
          <t xml:space="preserve">Software de gestión de licencias</t>
        </is>
      </c>
      <c r="E73" s="4" t="inlineStr">
        <is>
          <t xml:space="preserve">Tecnologías de la información, telecomunicaciones y radiodifusión / Software / Software de gestión</t>
        </is>
      </c>
      <c r="F73" s="0">
        <v>10.0</v>
      </c>
      <c r="G73" s="0" t="inlineStr">
        <is>
          <t xml:space="preserve">Unidad</t>
        </is>
      </c>
      <c r="H73" s="4" t="inlineStr">
        <is>
          <t xml:space="preserve">Licencias Microsoft Windows Standar 2025. (Las licencias deberán ser accesibles desde el centro de administración de licencias de Microsoft y asignadas al "Tenant" del S.H.O.A.), Completar los 7 formularios.</t>
        </is>
      </c>
    </row>
    <row r="74">
      <c r="A74" s="0" t="inlineStr">
        <is>
          <t xml:space="preserve">1020-40-LP26</t>
        </is>
      </c>
      <c r="B74" s="4" t="inlineStr">
        <is>
          <t xml:space="preserve">Serv.Cloud Amazon Web Services AWS o Equivalente</t>
        </is>
      </c>
      <c r="C74" s="0">
        <v>1</v>
      </c>
      <c r="D74" s="4" t="inlineStr">
        <is>
          <t xml:space="preserve">Software del sistema de administración de bases de datos</t>
        </is>
      </c>
      <c r="E74" s="4" t="inlineStr">
        <is>
          <t xml:space="preserve">Tecnologías de la información, telecomunicaciones y radiodifusión / Software / Software de consultas y gestión de datos</t>
        </is>
      </c>
      <c r="F74" s="0">
        <v>1.0</v>
      </c>
      <c r="G74" s="0" t="inlineStr">
        <is>
          <t xml:space="preserve">Unidad</t>
        </is>
      </c>
      <c r="H74" s="4" t="inlineStr">
        <is>
          <t xml:space="preserve">PRECIO TOTAL NETO OFERTADO (SIN IVA), según Formulario N°1 "Oferta Económica" (Incluye los señalado en el numeral 5.1.1 de las Bases Administrativas, en archivo adjunto).</t>
        </is>
      </c>
    </row>
    <row r="75">
      <c r="A75" s="0" t="inlineStr">
        <is>
          <t xml:space="preserve">1111089-20-LE26</t>
        </is>
      </c>
      <c r="B75" s="4" t="inlineStr">
        <is>
          <t xml:space="preserve">LICENCIAS DE SOFTWARE Y COMPLEMENTOS TECNOLÓGICOS</t>
        </is>
      </c>
      <c r="C75" s="0">
        <v>1</v>
      </c>
      <c r="D75" s="4" t="inlineStr">
        <is>
          <t xml:space="preserve">Software de servidor de aplicaciones</t>
        </is>
      </c>
      <c r="E75" s="4" t="inlineStr">
        <is>
          <t xml:space="preserve">Tecnologías de la información, telecomunicaciones y radiodifusión / Software / Software de aplicaciones de red</t>
        </is>
      </c>
      <c r="F75" s="0">
        <v>1.0</v>
      </c>
      <c r="G75" s="0" t="inlineStr">
        <is>
          <t xml:space="preserve">Unidad</t>
        </is>
      </c>
      <c r="H75" s="4" t="inlineStr">
        <is>
          <t xml:space="preserve">Renovación de licencia de Adobe Creative Cloud (o equivalente) por un año, con modalidad VIP</t>
        </is>
      </c>
    </row>
    <row r="76">
      <c r="A76" s="0" t="inlineStr">
        <is>
          <t xml:space="preserve">1111089-20-LE26</t>
        </is>
      </c>
      <c r="B76" s="4" t="inlineStr">
        <is>
          <t xml:space="preserve">LICENCIAS DE SOFTWARE Y COMPLEMENTOS TECNOLÓGICOS</t>
        </is>
      </c>
      <c r="C76" s="0">
        <v>2</v>
      </c>
      <c r="D76" s="4" t="inlineStr">
        <is>
          <t xml:space="preserve">Software de compresión de datos</t>
        </is>
      </c>
      <c r="E76" s="4" t="inlineStr">
        <is>
          <t xml:space="preserve">Tecnologías de la información, telecomunicaciones y radiodifusión / Software / Software de controladores de dispositivos y utilidades</t>
        </is>
      </c>
      <c r="F76" s="0">
        <v>1.0</v>
      </c>
      <c r="G76" s="0" t="inlineStr">
        <is>
          <t xml:space="preserve">Unidad</t>
        </is>
      </c>
      <c r="H76" s="4" t="inlineStr">
        <is>
          <t xml:space="preserve">Licencia ACL analytics (o equivalente) por un año</t>
        </is>
      </c>
    </row>
    <row r="77">
      <c r="A77" s="0" t="inlineStr">
        <is>
          <t xml:space="preserve">1111089-20-LE26</t>
        </is>
      </c>
      <c r="B77" s="4" t="inlineStr">
        <is>
          <t xml:space="preserve">LICENCIAS DE SOFTWARE Y COMPLEMENTOS TECNOLÓGICOS</t>
        </is>
      </c>
      <c r="C77" s="0">
        <v>3</v>
      </c>
      <c r="D77" s="4" t="inlineStr">
        <is>
          <t xml:space="preserve">Software de servidor de aplicaciones</t>
        </is>
      </c>
      <c r="E77" s="4" t="inlineStr">
        <is>
          <t xml:space="preserve">Tecnologías de la información, telecomunicaciones y radiodifusión / Software / Software de aplicaciones de red</t>
        </is>
      </c>
      <c r="F77" s="0">
        <v>1.0</v>
      </c>
      <c r="G77" s="0" t="inlineStr">
        <is>
          <t xml:space="preserve">Unidad</t>
        </is>
      </c>
      <c r="H77" s="4" t="inlineStr">
        <is>
          <t xml:space="preserve">Licencias Pulsar (o equivalente) por un año</t>
        </is>
      </c>
    </row>
    <row r="78">
      <c r="A78" s="0" t="inlineStr">
        <is>
          <t xml:space="preserve">1111089-20-LE26</t>
        </is>
      </c>
      <c r="B78" s="4" t="inlineStr">
        <is>
          <t xml:space="preserve">LICENCIAS DE SOFTWARE Y COMPLEMENTOS TECNOLÓGICOS</t>
        </is>
      </c>
      <c r="C78" s="0">
        <v>4</v>
      </c>
      <c r="D78" s="4" t="inlineStr">
        <is>
          <t xml:space="preserve">Software de edición y creación de páginas Web</t>
        </is>
      </c>
      <c r="E78" s="4" t="inlineStr">
        <is>
          <t xml:space="preserve">Tecnologías de la información, telecomunicaciones y radiodifusión / Software / Software de edición y creación de contenidos</t>
        </is>
      </c>
      <c r="F78" s="0">
        <v>1.0</v>
      </c>
      <c r="G78" s="0" t="inlineStr">
        <is>
          <t xml:space="preserve">Unidad</t>
        </is>
      </c>
      <c r="H78" s="4" t="inlineStr">
        <is>
          <t xml:space="preserve">Complementos para wordpress jetEngine 3.6.4.1 y jetElements 2.7.4.1 (o equivalente) por un año</t>
        </is>
      </c>
    </row>
    <row r="79">
      <c r="A79" s="0" t="inlineStr">
        <is>
          <t xml:space="preserve">1111089-20-LE26</t>
        </is>
      </c>
      <c r="B79" s="4" t="inlineStr">
        <is>
          <t xml:space="preserve">LICENCIAS DE SOFTWARE Y COMPLEMENTOS TECNOLÓGICOS</t>
        </is>
      </c>
      <c r="C79" s="0">
        <v>5</v>
      </c>
      <c r="D79" s="4" t="inlineStr">
        <is>
          <t xml:space="preserve">Software de edición y creación de páginas Web</t>
        </is>
      </c>
      <c r="E79" s="4" t="inlineStr">
        <is>
          <t xml:space="preserve">Tecnologías de la información, telecomunicaciones y radiodifusión / Software / Software de edición y creación de contenidos</t>
        </is>
      </c>
      <c r="F79" s="0">
        <v>1.0</v>
      </c>
      <c r="G79" s="0" t="inlineStr">
        <is>
          <t xml:space="preserve">Unidad</t>
        </is>
      </c>
      <c r="H79" s="4" t="inlineStr">
        <is>
          <t xml:space="preserve">Licencia Crocoblock Membership (o equivalente) por un año</t>
        </is>
      </c>
    </row>
    <row r="80">
      <c r="A80" s="0" t="inlineStr">
        <is>
          <t xml:space="preserve">1111089-20-LE26</t>
        </is>
      </c>
      <c r="B80" s="4" t="inlineStr">
        <is>
          <t xml:space="preserve">LICENCIAS DE SOFTWARE Y COMPLEMENTOS TECNOLÓGICOS</t>
        </is>
      </c>
      <c r="C80" s="0">
        <v>6</v>
      </c>
      <c r="D80" s="4" t="inlineStr">
        <is>
          <t xml:space="preserve">Software de desarrollo de interfaz gráfica de usuario</t>
        </is>
      </c>
      <c r="E80" s="4" t="inlineStr">
        <is>
          <t xml:space="preserve">Tecnologías de la información, telecomunicaciones y radiodifusión / Software / Programas de desarrollo</t>
        </is>
      </c>
      <c r="F80" s="0">
        <v>1.0</v>
      </c>
      <c r="G80" s="0" t="inlineStr">
        <is>
          <t xml:space="preserve">Unidad</t>
        </is>
      </c>
      <c r="H80" s="4" t="inlineStr">
        <is>
          <t xml:space="preserve">Licencia complemento FIGMA versión organization/fullseat (o equivalente) por un año</t>
        </is>
      </c>
    </row>
    <row r="81">
      <c r="A81" s="0" t="inlineStr">
        <is>
          <t xml:space="preserve">1111089-20-LE26</t>
        </is>
      </c>
      <c r="B81" s="4" t="inlineStr">
        <is>
          <t xml:space="preserve">LICENCIAS DE SOFTWARE Y COMPLEMENTOS TECNOLÓGICOS</t>
        </is>
      </c>
      <c r="C81" s="0">
        <v>7</v>
      </c>
      <c r="D81" s="4" t="inlineStr">
        <is>
          <t xml:space="preserve">Software de edición y creación de páginas Web</t>
        </is>
      </c>
      <c r="E81" s="4" t="inlineStr">
        <is>
          <t xml:space="preserve">Tecnologías de la información, telecomunicaciones y radiodifusión / Software / Software de edición y creación de contenidos</t>
        </is>
      </c>
      <c r="F81" s="0">
        <v>1.0</v>
      </c>
      <c r="G81" s="0" t="inlineStr">
        <is>
          <t xml:space="preserve">Unidad</t>
        </is>
      </c>
      <c r="H81" s="4" t="inlineStr">
        <is>
          <t xml:space="preserve">Licencia complemento Better Notificacions for WP-PRO (o equivalente) por un año</t>
        </is>
      </c>
    </row>
    <row r="82">
      <c r="A82" s="0" t="inlineStr">
        <is>
          <t xml:space="preserve">1126922-40-L126</t>
        </is>
      </c>
      <c r="B82" s="4" t="inlineStr">
        <is>
          <t xml:space="preserve">PLATAFORMA WEB PARA GESTION DE DOTACION</t>
        </is>
      </c>
      <c r="C82" s="0">
        <v>1</v>
      </c>
      <c r="D82" s="4" t="inlineStr">
        <is>
          <t xml:space="preserve">Software de desarrollo de plataforma Web</t>
        </is>
      </c>
      <c r="E82" s="4" t="inlineStr">
        <is>
          <t xml:space="preserve">Tecnologías de la información, telecomunicaciones y radiodifusión / Software / Programas de desarrollo</t>
        </is>
      </c>
      <c r="F82" s="0">
        <v>1.0</v>
      </c>
      <c r="G82" s="0" t="inlineStr">
        <is>
          <t xml:space="preserve">Global</t>
        </is>
      </c>
      <c r="H82" s="4" t="inlineStr">
        <is>
          <t xml:space="preserve">SERVICIO DE GESTIÓN DE DOTACIÓN DOCENTE Y ASISTENTES DE LA EDUCACIÓN MEDIANTE PLATAFORMA WEB PARA LOS ESTABLECIMIENTOS EDUCACIONALES DEL SERVICIO LOCAL DE
EDUCACIÓN PÚBLICA LLANQUIHUE</t>
        </is>
      </c>
    </row>
    <row r="83">
      <c r="A83" s="0" t="inlineStr">
        <is>
          <t xml:space="preserve">1239966-13-LP26</t>
        </is>
      </c>
      <c r="B83" s="4" t="inlineStr">
        <is>
          <t xml:space="preserve">CONVENIO AGL EQUIPAMIENTO TECNOLÓGICO E INFORMÁTIC</t>
        </is>
      </c>
      <c r="C83" s="0">
        <v>1</v>
      </c>
      <c r="D83" s="4" t="inlineStr">
        <is>
          <t xml:space="preserve">Computadores personales</t>
        </is>
      </c>
      <c r="E83" s="4" t="inlineStr">
        <is>
          <t xml:space="preserve">Tecnologías de la información, telecomunicaciones y radiodifusión / Equipos informáticos y accesorios / Computadores</t>
        </is>
      </c>
      <c r="F83" s="0">
        <v>1.0</v>
      </c>
      <c r="G83" s="0" t="inlineStr">
        <is>
          <t xml:space="preserve">Unidad</t>
        </is>
      </c>
      <c r="H83" s="4" t="inlineStr">
        <is>
          <t xml:space="preserve">CONVENIO AGL EQUIPAMIENTO TECNOLÓGICO E INFORMÁTICO</t>
        </is>
      </c>
    </row>
    <row r="84">
      <c r="A84" s="0" t="inlineStr">
        <is>
          <t xml:space="preserve">1375753-39-LE26</t>
        </is>
      </c>
      <c r="B84" s="4" t="inlineStr">
        <is>
          <t xml:space="preserve">Adquisición de equipos informaticos SLEP Los Andes</t>
        </is>
      </c>
      <c r="C84" s="0">
        <v>1</v>
      </c>
      <c r="D84" s="4" t="inlineStr">
        <is>
          <t xml:space="preserve">Notebook, laptop o computador portátil excepto Tablet PC</t>
        </is>
      </c>
      <c r="E84" s="4" t="inlineStr">
        <is>
          <t xml:space="preserve">Tecnologías de la información, telecomunicaciones y radiodifusión / Equipos informáticos y accesorios / Computadores</t>
        </is>
      </c>
      <c r="F84" s="0">
        <v>9.0</v>
      </c>
      <c r="G84" s="0" t="inlineStr">
        <is>
          <t xml:space="preserve">Unidad</t>
        </is>
      </c>
      <c r="H84" s="4" t="inlineStr">
        <is>
          <t xml:space="preserve">Notebook gama 1 proc. Intel i3 ryzen3, 8gb
ram, ssd 512 o superior</t>
        </is>
      </c>
    </row>
    <row r="85">
      <c r="A85" s="0" t="inlineStr">
        <is>
          <t xml:space="preserve">1375753-39-LE26</t>
        </is>
      </c>
      <c r="B85" s="4" t="inlineStr">
        <is>
          <t xml:space="preserve">Adquisición de equipos informaticos SLEP Los Andes</t>
        </is>
      </c>
      <c r="C85" s="0">
        <v>2</v>
      </c>
      <c r="D85" s="4" t="inlineStr">
        <is>
          <t xml:space="preserve">Monitores de pantalla táctil</t>
        </is>
      </c>
      <c r="E85" s="4" t="inlineStr">
        <is>
          <t xml:space="preserve">Tecnologías de la información, telecomunicaciones y radiodifusión / Equipos informáticos y accesorios / Pantallas o monitores de computador</t>
        </is>
      </c>
      <c r="F85" s="0">
        <v>5.0</v>
      </c>
      <c r="G85" s="0" t="inlineStr">
        <is>
          <t xml:space="preserve">Unidad</t>
        </is>
      </c>
      <c r="H85" s="4" t="inlineStr">
        <is>
          <t xml:space="preserve">Monitor 24”</t>
        </is>
      </c>
    </row>
    <row r="86">
      <c r="A86" s="0" t="inlineStr">
        <is>
          <t xml:space="preserve">1375753-39-LE26</t>
        </is>
      </c>
      <c r="B86" s="4" t="inlineStr">
        <is>
          <t xml:space="preserve">Adquisición de equipos informaticos SLEP Los Andes</t>
        </is>
      </c>
      <c r="C86" s="0">
        <v>3</v>
      </c>
      <c r="D86" s="4" t="inlineStr">
        <is>
          <t xml:space="preserve">Servidores</t>
        </is>
      </c>
      <c r="E86" s="4" t="inlineStr">
        <is>
          <t xml:space="preserve">Tecnologías de la información, telecomunicaciones y radiodifusión / Equipos informáticos y accesorios / Computadores</t>
        </is>
      </c>
      <c r="F86" s="0">
        <v>1.0</v>
      </c>
      <c r="G86" s="0" t="inlineStr">
        <is>
          <t xml:space="preserve">Unidad</t>
        </is>
      </c>
      <c r="H86" s="4" t="inlineStr">
        <is>
          <t xml:space="preserve">Servidor</t>
        </is>
      </c>
    </row>
    <row r="87">
      <c r="A87" s="0" t="inlineStr">
        <is>
          <t xml:space="preserve">1375753-39-LE26</t>
        </is>
      </c>
      <c r="B87" s="4" t="inlineStr">
        <is>
          <t xml:space="preserve">Adquisición de equipos informaticos SLEP Los Andes</t>
        </is>
      </c>
      <c r="C87" s="0">
        <v>4</v>
      </c>
      <c r="D87" s="4" t="inlineStr">
        <is>
          <t xml:space="preserve">Impresoras de chorro de tinta</t>
        </is>
      </c>
      <c r="E87" s="4" t="inlineStr">
        <is>
          <t xml:space="preserve">Tecnologías de la información, telecomunicaciones y radiodifusión / Equipos informáticos y accesorios / Impresoras</t>
        </is>
      </c>
      <c r="F87" s="0">
        <v>1.0</v>
      </c>
      <c r="G87" s="0" t="inlineStr">
        <is>
          <t xml:space="preserve">Unidad</t>
        </is>
      </c>
      <c r="H87" s="4" t="inlineStr">
        <is>
          <t xml:space="preserve">Impresora Portatil térmica con insumos</t>
        </is>
      </c>
    </row>
    <row r="88">
      <c r="A88" s="0" t="inlineStr">
        <is>
          <t xml:space="preserve">1375753-39-LE26</t>
        </is>
      </c>
      <c r="B88" s="4" t="inlineStr">
        <is>
          <t xml:space="preserve">Adquisición de equipos informaticos SLEP Los Andes</t>
        </is>
      </c>
      <c r="C88" s="0">
        <v>5</v>
      </c>
      <c r="D88" s="4" t="inlineStr">
        <is>
          <t xml:space="preserve">Proyectores multimedia</t>
        </is>
      </c>
      <c r="E88" s="4" t="inlineStr">
        <is>
          <t xml:space="preserve">Equipos y suministros de imprenta, fotográficos y audiovisuales / Equipos de composición y presentación audiovisual / Proyectores y suministros</t>
        </is>
      </c>
      <c r="F88" s="0">
        <v>1.0</v>
      </c>
      <c r="G88" s="0" t="inlineStr">
        <is>
          <t xml:space="preserve">Unidad</t>
        </is>
      </c>
      <c r="H88" s="4" t="inlineStr">
        <is>
          <t xml:space="preserve">Proyectores tiro corto</t>
        </is>
      </c>
    </row>
    <row r="89">
      <c r="A89" s="0" t="inlineStr">
        <is>
          <t xml:space="preserve">1375753-39-LE26</t>
        </is>
      </c>
      <c r="B89" s="4" t="inlineStr">
        <is>
          <t xml:space="preserve">Adquisición de equipos informaticos SLEP Los Andes</t>
        </is>
      </c>
      <c r="C89" s="0">
        <v>6</v>
      </c>
      <c r="D89" s="4" t="inlineStr">
        <is>
          <t xml:space="preserve">Proyectores multimedia</t>
        </is>
      </c>
      <c r="E89" s="4" t="inlineStr">
        <is>
          <t xml:space="preserve">Equipos y suministros de imprenta, fotográficos y audiovisuales / Equipos de composición y presentación audiovisual / Proyectores y suministros</t>
        </is>
      </c>
      <c r="F89" s="0">
        <v>2.0</v>
      </c>
      <c r="G89" s="0" t="inlineStr">
        <is>
          <t xml:space="preserve">Unidad</t>
        </is>
      </c>
      <c r="H89" s="4" t="inlineStr">
        <is>
          <t xml:space="preserve">Proyectores tiro normal</t>
        </is>
      </c>
    </row>
    <row r="90">
      <c r="A90" s="0" t="inlineStr">
        <is>
          <t xml:space="preserve">1375753-39-LE26</t>
        </is>
      </c>
      <c r="B90" s="4" t="inlineStr">
        <is>
          <t xml:space="preserve">Adquisición de equipos informaticos SLEP Los Andes</t>
        </is>
      </c>
      <c r="C90" s="0">
        <v>7</v>
      </c>
      <c r="D90" s="4" t="inlineStr">
        <is>
          <t xml:space="preserve">Aviones objetivo o de reconocimiento</t>
        </is>
      </c>
      <c r="E90" s="4" t="inlineStr">
        <is>
          <t xml:space="preserve">Vehículos y equipamiento en general / Aeronaves / Aeronave de ala fija militar</t>
        </is>
      </c>
      <c r="F90" s="0">
        <v>1.0</v>
      </c>
      <c r="G90" s="0" t="inlineStr">
        <is>
          <t xml:space="preserve">Unidad</t>
        </is>
      </c>
      <c r="H90" s="4" t="inlineStr">
        <is>
          <t xml:space="preserve">Drone</t>
        </is>
      </c>
    </row>
    <row r="91">
      <c r="A91" s="0" t="inlineStr">
        <is>
          <t xml:space="preserve">1375753-39-LE26</t>
        </is>
      </c>
      <c r="B91" s="4" t="inlineStr">
        <is>
          <t xml:space="preserve">Adquisición de equipos informaticos SLEP Los Andes</t>
        </is>
      </c>
      <c r="C91" s="0">
        <v>8</v>
      </c>
      <c r="D91" s="4" t="inlineStr">
        <is>
          <t xml:space="preserve">Discos duros</t>
        </is>
      </c>
      <c r="E91" s="4" t="inlineStr">
        <is>
          <t xml:space="preserve">Tecnologías de la información, telecomunicaciones y radiodifusión / Componentes para tecnología de la información, difusión o telecomunicaciones / Dispositivos de soporte de almacenamiento</t>
        </is>
      </c>
      <c r="F91" s="0">
        <v>4.0</v>
      </c>
      <c r="G91" s="0" t="inlineStr">
        <is>
          <t xml:space="preserve">Unidad</t>
        </is>
      </c>
      <c r="H91" s="4" t="inlineStr">
        <is>
          <t xml:space="preserve">SSD externo 1TB</t>
        </is>
      </c>
    </row>
    <row r="92">
      <c r="A92" s="0" t="inlineStr">
        <is>
          <t xml:space="preserve">2013-15-LE26</t>
        </is>
      </c>
      <c r="B92" s="4" t="inlineStr">
        <is>
          <t xml:space="preserve">CONTRATACIÓN DE SERVICIO DE SOFTWARE ODONTOLÓGICO</t>
        </is>
      </c>
      <c r="C92" s="0">
        <v>1</v>
      </c>
      <c r="D92" s="4" t="inlineStr">
        <is>
          <t xml:space="preserve">Desarrolladores de software</t>
        </is>
      </c>
      <c r="E92" s="4" t="inlineStr">
        <is>
          <t xml:space="preserve">Servicios profesionales, administrativos y consultorías de gestión empresarial / Servicios de recursos humanos / Contratación de personal</t>
        </is>
      </c>
      <c r="F92" s="0">
        <v>1.0</v>
      </c>
      <c r="G92" s="0" t="inlineStr">
        <is>
          <t xml:space="preserve">Global</t>
        </is>
      </c>
      <c r="H92" s="4" t="inlineStr">
        <is>
          <t xml:space="preserve">CONTRATACIÓN DE SERVICIO DE SOFTWARE ODONTOLÓGICO ACADÉMICO DIGITAL PARA CENTROS ODONTOLÓGICOS – CARRERA DE ODONTOLOGÍA – FACULTAD DE CIENCIAS DE LA SALUD POR 12 MESES</t>
        </is>
      </c>
    </row>
    <row r="93">
      <c r="A93" s="0" t="inlineStr">
        <is>
          <t xml:space="preserve">2445-124-LP26</t>
        </is>
      </c>
      <c r="B93" s="4" t="inlineStr">
        <is>
          <t xml:space="preserve">SERVICIO DE TELEFONIA FIJA IP Y PLATAFORMA IVR</t>
        </is>
      </c>
      <c r="C93" s="0">
        <v>1</v>
      </c>
      <c r="D93" s="4" t="inlineStr">
        <is>
          <t xml:space="preserve">Mano de obra temporal</t>
        </is>
      </c>
      <c r="E93" s="4" t="inlineStr">
        <is>
          <t xml:space="preserve">Servicios profesionales, administrativos y consultorías de gestión empresarial / Servicios de recursos humanos / Servicios de personal temporal</t>
        </is>
      </c>
      <c r="F93" s="0">
        <v>1.0</v>
      </c>
      <c r="G93" s="0" t="inlineStr">
        <is>
          <t xml:space="preserve">Unidad</t>
        </is>
      </c>
      <c r="H93" s="4" t="inlineStr">
        <is>
          <t xml:space="preserve">SERVICIO DE TELEFONIA FIJA IP Y PLATAFORMA IVR PARA EL DEPTO DE SALUD POR 48 MESES</t>
        </is>
      </c>
    </row>
    <row r="94">
      <c r="A94" s="0" t="inlineStr">
        <is>
          <t xml:space="preserve">4246-9-LE26</t>
        </is>
      </c>
      <c r="B94" s="4" t="inlineStr">
        <is>
          <t xml:space="preserve">Licencias de software EDB Enterprise</t>
        </is>
      </c>
      <c r="C94" s="0">
        <v>1</v>
      </c>
      <c r="D94" s="4" t="inlineStr">
        <is>
          <t xml:space="preserve">Software de administración de bases de datos orientado a objetos</t>
        </is>
      </c>
      <c r="E94" s="4" t="inlineStr">
        <is>
          <t xml:space="preserve">Tecnologías de la información, telecomunicaciones y radiodifusión / Software / Software de consultas y gestión de datos</t>
        </is>
      </c>
      <c r="F94" s="0">
        <v>1.0</v>
      </c>
      <c r="G94" s="0" t="inlineStr">
        <is>
          <t xml:space="preserve">Unidad</t>
        </is>
      </c>
      <c r="H94" s="4" t="inlineStr">
        <is>
          <t xml:space="preserve">4 EDB Enterprise Plan Production Support 1 Year Subscription y 10 EDB Enterprise Plan Basic Support 1 Year Subscription. Según bases de licitación aprobadas por Resolución Exenta N°945 adjunta</t>
        </is>
      </c>
    </row>
    <row r="95">
      <c r="A95" s="0" t="inlineStr">
        <is>
          <t xml:space="preserve">606-26-LE26</t>
        </is>
      </c>
      <c r="B95" s="4" t="inlineStr">
        <is>
          <t xml:space="preserve">Adquisición e implementación de plataforma APIs</t>
        </is>
      </c>
      <c r="C95" s="0">
        <v>1</v>
      </c>
      <c r="D95" s="4" t="inlineStr">
        <is>
          <t xml:space="preserve">Programación de aplicaciones</t>
        </is>
      </c>
      <c r="E95" s="4" t="inlineStr">
        <is>
          <t xml:space="preserve">Servicios basados en ingeniería, ciencias sociales y tecnología de la información / Servicios informáticos / Ingeniería en computación e informática</t>
        </is>
      </c>
      <c r="F95" s="0">
        <v>1.0</v>
      </c>
      <c r="G95" s="0" t="inlineStr">
        <is>
          <t xml:space="preserve">Unidad</t>
        </is>
      </c>
      <c r="H95" s="4" t="inlineStr">
        <is>
          <t xml:space="preserve">Adquisición e implementación de una
plataforma de gestión de APIs e integración, para la Subsecretaría de Telecomunicaciones</t>
        </is>
      </c>
    </row>
    <row r="96">
      <c r="A96" s="0" t="inlineStr">
        <is>
          <t xml:space="preserve">808-7-LE26</t>
        </is>
      </c>
      <c r="B96" s="4" t="inlineStr">
        <is>
          <t xml:space="preserve">Recuperación digitalización y puesta en valor de fuentes documentales para la memoria histórica de los pueblos originarios de Magallanes.</t>
        </is>
      </c>
      <c r="C96" s="0">
        <v>1</v>
      </c>
      <c r="D96" s="4" t="inlineStr">
        <is>
          <t xml:space="preserve">Servicios de recuperación de datos</t>
        </is>
      </c>
      <c r="E96" s="4" t="inlineStr">
        <is>
          <t xml:space="preserve">Servicios basados en ingeniería, ciencias sociales y tecnología de la información / Servicios informáticos / Servicios de datos</t>
        </is>
      </c>
      <c r="F96" s="0">
        <v>1.0</v>
      </c>
      <c r="G96" s="0" t="inlineStr">
        <is>
          <t xml:space="preserve">Unidad</t>
        </is>
      </c>
      <c r="H96" s="4" t="inlineStr">
        <is>
          <t xml:space="preserve">•Archivos digitalizados y procesados correspondientes a aproximadamente 5.000 páginas de estudios, publicaciones, boletines, informativos y demás fuentes documentales contempladas en el servicio.
•Documentos incorporados a la Biblioteca Virtual de CONA</t>
        </is>
      </c>
    </row>
    <row r="97">
      <c r="A97" s="0" t="inlineStr">
        <is>
          <t xml:space="preserve">29-81-LP26</t>
        </is>
      </c>
      <c r="B97" s="4" t="inlineStr">
        <is>
          <t xml:space="preserve">AGF - PLATAFORMA INGLES</t>
        </is>
      </c>
      <c r="C97" s="0">
        <v>1</v>
      </c>
      <c r="D97" s="4" t="inlineStr">
        <is>
          <t xml:space="preserve">Enseñanza conversacional de idiomas extranjeros</t>
        </is>
      </c>
      <c r="E97" s="4" t="inlineStr">
        <is>
          <t xml:space="preserve">Educación, formación, entrenamiento y capacitación / Sistemas educativos complementarios / Escuelas de idiomas</t>
        </is>
      </c>
      <c r="F97" s="0">
        <v>1.0</v>
      </c>
      <c r="G97" s="0" t="inlineStr">
        <is>
          <t xml:space="preserve">Global</t>
        </is>
      </c>
      <c r="H97" s="4" t="inlineStr">
        <is>
          <t xml:space="preserve">CONTRATACIÓN DE SERVICIO DE PLATAFORMA INTEGRAL DE CAPACITACIÓN EN IDIOMA INGLÉS (MODALIDAD E-LEARNING CON TUTORIA)</t>
        </is>
      </c>
    </row>
    <row r="98">
      <c r="A98" s="0" t="inlineStr">
        <is>
          <t xml:space="preserve">3447-145-LR26</t>
        </is>
      </c>
      <c r="B98" s="4" t="inlineStr">
        <is>
          <t xml:space="preserve">Adquisición e Implementación Plataforma Integral</t>
        </is>
      </c>
      <c r="C98" s="0">
        <v>1</v>
      </c>
      <c r="D98" s="4" t="inlineStr">
        <is>
          <t xml:space="preserve">Servicios de programación de sistemas operativos</t>
        </is>
      </c>
      <c r="E98" s="4" t="inlineStr">
        <is>
          <t xml:space="preserve">Servicios basados en ingeniería, ciencias sociales y tecnología de la información / Servicios informáticos / Ingeniería en computación e informática</t>
        </is>
      </c>
      <c r="F98" s="0">
        <v>1.0</v>
      </c>
      <c r="G98" s="0" t="inlineStr">
        <is>
          <t xml:space="preserve">Global</t>
        </is>
      </c>
      <c r="H98" s="4" t="inlineStr">
        <is>
          <t xml:space="preserve">Adquisición e Implementación de Plataforma Integral de Gestión Municipal y Servicios Traspasados para la Municipalidad de Alto Hospicio. (INGRESAR VALOR TOTAL NETO)</t>
        </is>
      </c>
    </row>
    <row r="99">
      <c r="A99" s="0" t="inlineStr">
        <is>
          <t xml:space="preserve">4449-30-LP26</t>
        </is>
      </c>
      <c r="B99" s="4" t="inlineStr">
        <is>
          <t xml:space="preserve">Adquisición de libros a perpetuida para BP Digital</t>
        </is>
      </c>
      <c r="C99" s="0">
        <v>1</v>
      </c>
      <c r="D99" s="4" t="inlineStr">
        <is>
          <t xml:space="preserve">Libros en casetes o CD</t>
        </is>
      </c>
      <c r="E99" s="4" t="inlineStr">
        <is>
          <t xml:space="preserve">Productos impresos y publicaciones / Material electrónico de referencia / Publicaciones electrónicas y música</t>
        </is>
      </c>
      <c r="F99" s="0">
        <v>3.0</v>
      </c>
      <c r="G99" s="0" t="inlineStr">
        <is>
          <t xml:space="preserve">Unidad</t>
        </is>
      </c>
      <c r="H99" s="4" t="inlineStr">
        <is>
          <t xml:space="preserve">Nazi Literature in the AmericasRoberto Bolaño 9781250450661</t>
        </is>
      </c>
    </row>
    <row r="100">
      <c r="A100" s="0" t="inlineStr">
        <is>
          <t xml:space="preserve">4449-30-LP26</t>
        </is>
      </c>
      <c r="B100" s="4" t="inlineStr">
        <is>
          <t xml:space="preserve">Adquisición de libros a perpetuida para BP Digital</t>
        </is>
      </c>
      <c r="C100" s="0">
        <v>2</v>
      </c>
      <c r="D100" s="4" t="inlineStr">
        <is>
          <t xml:space="preserve">Libros en casetes o CD</t>
        </is>
      </c>
      <c r="E100" s="4" t="inlineStr">
        <is>
          <t xml:space="preserve">Productos impresos y publicaciones / Material electrónico de referencia / Publicaciones electrónicas y música</t>
        </is>
      </c>
      <c r="F100" s="0">
        <v>3.0</v>
      </c>
      <c r="G100" s="0" t="inlineStr">
        <is>
          <t xml:space="preserve">Unidad</t>
        </is>
      </c>
      <c r="H100" s="4" t="inlineStr">
        <is>
          <t xml:space="preserve">Distant StarRoberto BolañoMacmillan Audio9781250450630</t>
        </is>
      </c>
    </row>
    <row r="101">
      <c r="A101" s="0" t="inlineStr">
        <is>
          <t xml:space="preserve">4449-30-LP26</t>
        </is>
      </c>
      <c r="B101" s="4" t="inlineStr">
        <is>
          <t xml:space="preserve">Adquisición de libros a perpetuida para BP Digital</t>
        </is>
      </c>
      <c r="C101" s="0">
        <v>3</v>
      </c>
      <c r="D101" s="4" t="inlineStr">
        <is>
          <t xml:space="preserve">Libros en casetes o CD</t>
        </is>
      </c>
      <c r="E101" s="4" t="inlineStr">
        <is>
          <t xml:space="preserve">Productos impresos y publicaciones / Material electrónico de referencia / Publicaciones electrónicas y música</t>
        </is>
      </c>
      <c r="F101" s="0">
        <v>3.0</v>
      </c>
      <c r="G101" s="0" t="inlineStr">
        <is>
          <t xml:space="preserve">Unidad</t>
        </is>
      </c>
      <c r="H101" s="4" t="inlineStr">
        <is>
          <t xml:space="preserve">El amor en los tiempos del cóleraPenguin Random House Grupo Editorial9788439737919</t>
        </is>
      </c>
    </row>
    <row r="102">
      <c r="A102" s="0" t="inlineStr">
        <is>
          <t xml:space="preserve">4449-30-LP26</t>
        </is>
      </c>
      <c r="B102" s="4" t="inlineStr">
        <is>
          <t xml:space="preserve">Adquisición de libros a perpetuida para BP Digital</t>
        </is>
      </c>
      <c r="C102" s="0">
        <v>4</v>
      </c>
      <c r="D102" s="4" t="inlineStr">
        <is>
          <t xml:space="preserve">Libros en casetes o CD</t>
        </is>
      </c>
      <c r="E102" s="4" t="inlineStr">
        <is>
          <t xml:space="preserve">Productos impresos y publicaciones / Material electrónico de referencia / Publicaciones electrónicas y música</t>
        </is>
      </c>
      <c r="F102" s="0">
        <v>5.0</v>
      </c>
      <c r="G102" s="0" t="inlineStr">
        <is>
          <t xml:space="preserve">Unidad</t>
        </is>
      </c>
      <c r="H102" s="4" t="inlineStr">
        <is>
          <t xml:space="preserve">Toda culpa es un misterioLa Pollera Ediciones9789569203985</t>
        </is>
      </c>
    </row>
    <row r="103">
      <c r="A103" s="0" t="inlineStr">
        <is>
          <t xml:space="preserve">4449-30-LP26</t>
        </is>
      </c>
      <c r="B103" s="4" t="inlineStr">
        <is>
          <t xml:space="preserve">Adquisición de libros a perpetuida para BP Digital</t>
        </is>
      </c>
      <c r="C103" s="0">
        <v>5</v>
      </c>
      <c r="D103" s="4" t="inlineStr">
        <is>
          <t xml:space="preserve">Libros en casetes o CD</t>
        </is>
      </c>
      <c r="E103" s="4" t="inlineStr">
        <is>
          <t xml:space="preserve">Productos impresos y publicaciones / Material electrónico de referencia / Publicaciones electrónicas y música</t>
        </is>
      </c>
      <c r="F103" s="0">
        <v>3.0</v>
      </c>
      <c r="G103" s="0" t="inlineStr">
        <is>
          <t xml:space="preserve">Unidad</t>
        </is>
      </c>
      <c r="H103" s="4" t="inlineStr">
        <is>
          <t xml:space="preserve">Pastoral americanaPenguin Random House Grupo Editorial9788439735489</t>
        </is>
      </c>
    </row>
    <row r="104">
      <c r="A104" s="0" t="inlineStr">
        <is>
          <t xml:space="preserve">4449-30-LP26</t>
        </is>
      </c>
      <c r="B104" s="4" t="inlineStr">
        <is>
          <t xml:space="preserve">Adquisición de libros a perpetuida para BP Digital</t>
        </is>
      </c>
      <c r="C104" s="0">
        <v>6</v>
      </c>
      <c r="D104" s="4" t="inlineStr">
        <is>
          <t xml:space="preserve">Libros en casetes o CD</t>
        </is>
      </c>
      <c r="E104" s="4" t="inlineStr">
        <is>
          <t xml:space="preserve">Productos impresos y publicaciones / Material electrónico de referencia / Publicaciones electrónicas y música</t>
        </is>
      </c>
      <c r="F104" s="0">
        <v>5.0</v>
      </c>
      <c r="G104" s="0" t="inlineStr">
        <is>
          <t xml:space="preserve">Unidad</t>
        </is>
      </c>
      <c r="H104" s="4" t="inlineStr">
        <is>
          <t xml:space="preserve">BonsaiPenguin Random House9780593588543</t>
        </is>
      </c>
    </row>
    <row r="105">
      <c r="A105" s="0" t="inlineStr">
        <is>
          <t xml:space="preserve">4449-30-LP26</t>
        </is>
      </c>
      <c r="B105" s="4" t="inlineStr">
        <is>
          <t xml:space="preserve">Adquisición de libros a perpetuida para BP Digital</t>
        </is>
      </c>
      <c r="C105" s="0">
        <v>7</v>
      </c>
      <c r="D105" s="4" t="inlineStr">
        <is>
          <t xml:space="preserve">Libros en casetes o CD</t>
        </is>
      </c>
      <c r="E105" s="4" t="inlineStr">
        <is>
          <t xml:space="preserve">Productos impresos y publicaciones / Material electrónico de referencia / Publicaciones electrónicas y música</t>
        </is>
      </c>
      <c r="F105" s="0">
        <v>3.0</v>
      </c>
      <c r="G105" s="0" t="inlineStr">
        <is>
          <t xml:space="preserve">Unidad</t>
        </is>
      </c>
      <c r="H105" s="4" t="inlineStr">
        <is>
          <t xml:space="preserve">Last Supper of Queer Apostles, APenguin Random House9780593791899</t>
        </is>
      </c>
    </row>
    <row r="106">
      <c r="A106" s="0" t="inlineStr">
        <is>
          <t xml:space="preserve">4449-30-LP26</t>
        </is>
      </c>
      <c r="B106" s="4" t="inlineStr">
        <is>
          <t xml:space="preserve">Adquisición de libros a perpetuida para BP Digital</t>
        </is>
      </c>
      <c r="C106" s="0">
        <v>8</v>
      </c>
      <c r="D106" s="4" t="inlineStr">
        <is>
          <t xml:space="preserve">Libros en casetes o CD</t>
        </is>
      </c>
      <c r="E106" s="4" t="inlineStr">
        <is>
          <t xml:space="preserve">Productos impresos y publicaciones / Material electrónico de referencia / Publicaciones electrónicas y música</t>
        </is>
      </c>
      <c r="F106" s="0">
        <v>4.0</v>
      </c>
      <c r="G106" s="0" t="inlineStr">
        <is>
          <t xml:space="preserve">Unidad</t>
        </is>
      </c>
      <c r="H106" s="4" t="inlineStr">
        <is>
          <t xml:space="preserve">El olor de la guayabaPenguin Random House Grupo Editorial9788439741398</t>
        </is>
      </c>
    </row>
    <row r="107">
      <c r="A107" s="0" t="inlineStr">
        <is>
          <t xml:space="preserve">4449-30-LP26</t>
        </is>
      </c>
      <c r="B107" s="4" t="inlineStr">
        <is>
          <t xml:space="preserve">Adquisición de libros a perpetuida para BP Digital</t>
        </is>
      </c>
      <c r="C107" s="0">
        <v>9</v>
      </c>
      <c r="D107" s="4" t="inlineStr">
        <is>
          <t xml:space="preserve">Libros en casetes o CD</t>
        </is>
      </c>
      <c r="E107" s="4" t="inlineStr">
        <is>
          <t xml:space="preserve">Productos impresos y publicaciones / Material electrónico de referencia / Publicaciones electrónicas y música</t>
        </is>
      </c>
      <c r="F107" s="0">
        <v>3.0</v>
      </c>
      <c r="G107" s="0" t="inlineStr">
        <is>
          <t xml:space="preserve">Unidad</t>
        </is>
      </c>
      <c r="H107" s="4" t="inlineStr">
        <is>
          <t xml:space="preserve">El Tercer ReichPenguin Random House Grupo Editorial9788420438641</t>
        </is>
      </c>
    </row>
    <row r="108">
      <c r="A108" s="0" t="inlineStr">
        <is>
          <t xml:space="preserve">4449-30-LP26</t>
        </is>
      </c>
      <c r="B108" s="4" t="inlineStr">
        <is>
          <t xml:space="preserve">Adquisición de libros a perpetuida para BP Digital</t>
        </is>
      </c>
      <c r="C108" s="0">
        <v>10</v>
      </c>
      <c r="D108" s="4" t="inlineStr">
        <is>
          <t xml:space="preserve">Libros en casetes o CD</t>
        </is>
      </c>
      <c r="E108" s="4" t="inlineStr">
        <is>
          <t xml:space="preserve">Productos impresos y publicaciones / Material electrónico de referencia / Publicaciones electrónicas y música</t>
        </is>
      </c>
      <c r="F108" s="0">
        <v>3.0</v>
      </c>
      <c r="G108" s="0" t="inlineStr">
        <is>
          <t xml:space="preserve">Unidad</t>
        </is>
      </c>
      <c r="H108" s="4" t="inlineStr">
        <is>
          <t xml:space="preserve">No está solo (Colomba y Dante 1)Penguin Random House Grupo Editorial9788420439921</t>
        </is>
      </c>
    </row>
    <row r="109">
      <c r="A109" s="0" t="inlineStr">
        <is>
          <t xml:space="preserve">4449-30-LP26</t>
        </is>
      </c>
      <c r="B109" s="4" t="inlineStr">
        <is>
          <t xml:space="preserve">Adquisición de libros a perpetuida para BP Digital</t>
        </is>
      </c>
      <c r="C109" s="0">
        <v>11</v>
      </c>
      <c r="D109" s="4" t="inlineStr">
        <is>
          <t xml:space="preserve">Libros en casetes o CD</t>
        </is>
      </c>
      <c r="E109" s="4" t="inlineStr">
        <is>
          <t xml:space="preserve">Productos impresos y publicaciones / Material electrónico de referencia / Publicaciones electrónicas y música</t>
        </is>
      </c>
      <c r="F109" s="0">
        <v>3.0</v>
      </c>
      <c r="G109" s="0" t="inlineStr">
        <is>
          <t xml:space="preserve">Unidad</t>
        </is>
      </c>
      <c r="H109" s="4" t="inlineStr">
        <is>
          <t xml:space="preserve">Tu rostro mañana. 1 Fiebre y lanzaPenguin Random House Grupo Editorial9788420454900</t>
        </is>
      </c>
    </row>
    <row r="110">
      <c r="A110" s="0" t="inlineStr">
        <is>
          <t xml:space="preserve">4449-30-LP26</t>
        </is>
      </c>
      <c r="B110" s="4" t="inlineStr">
        <is>
          <t xml:space="preserve">Adquisición de libros a perpetuida para BP Digital</t>
        </is>
      </c>
      <c r="C110" s="0">
        <v>12</v>
      </c>
      <c r="D110" s="4" t="inlineStr">
        <is>
          <t xml:space="preserve">Libros en casetes o CD</t>
        </is>
      </c>
      <c r="E110" s="4" t="inlineStr">
        <is>
          <t xml:space="preserve">Productos impresos y publicaciones / Material electrónico de referencia / Publicaciones electrónicas y música</t>
        </is>
      </c>
      <c r="F110" s="0">
        <v>4.0</v>
      </c>
      <c r="G110" s="0" t="inlineStr">
        <is>
          <t xml:space="preserve">Unidad</t>
        </is>
      </c>
      <c r="H110" s="4" t="inlineStr">
        <is>
          <t xml:space="preserve">Zombi: Guía de supervivenciaPenguin Random House Grupo Editorial9788466375795</t>
        </is>
      </c>
    </row>
    <row r="111">
      <c r="A111" s="0" t="inlineStr">
        <is>
          <t xml:space="preserve">4449-30-LP26</t>
        </is>
      </c>
      <c r="B111" s="4" t="inlineStr">
        <is>
          <t xml:space="preserve">Adquisición de libros a perpetuida para BP Digital</t>
        </is>
      </c>
      <c r="C111" s="0">
        <v>13</v>
      </c>
      <c r="D111" s="4" t="inlineStr">
        <is>
          <t xml:space="preserve">Libros en casetes o CD</t>
        </is>
      </c>
      <c r="E111" s="4" t="inlineStr">
        <is>
          <t xml:space="preserve">Productos impresos y publicaciones / Material electrónico de referencia / Publicaciones electrónicas y música</t>
        </is>
      </c>
      <c r="F111" s="0">
        <v>5.0</v>
      </c>
      <c r="G111" s="0" t="inlineStr">
        <is>
          <t xml:space="preserve">Unidad</t>
        </is>
      </c>
      <c r="H111" s="4" t="inlineStr">
        <is>
          <t xml:space="preserve">La ninfa de porcelanaPenguin Random House Grupo Editorial9788401019753</t>
        </is>
      </c>
    </row>
    <row r="112">
      <c r="A112" s="0" t="inlineStr">
        <is>
          <t xml:space="preserve">4449-30-LP26</t>
        </is>
      </c>
      <c r="B112" s="4" t="inlineStr">
        <is>
          <t xml:space="preserve">Adquisición de libros a perpetuida para BP Digital</t>
        </is>
      </c>
      <c r="C112" s="0">
        <v>14</v>
      </c>
      <c r="D112" s="4" t="inlineStr">
        <is>
          <t xml:space="preserve">Libros en casetes o CD</t>
        </is>
      </c>
      <c r="E112" s="4" t="inlineStr">
        <is>
          <t xml:space="preserve">Productos impresos y publicaciones / Material electrónico de referencia / Publicaciones electrónicas y música</t>
        </is>
      </c>
      <c r="F112" s="0">
        <v>3.0</v>
      </c>
      <c r="G112" s="0" t="inlineStr">
        <is>
          <t xml:space="preserve">Unidad</t>
        </is>
      </c>
      <c r="H112" s="4" t="inlineStr">
        <is>
          <t xml:space="preserve">Apocalípticos e integradosPenguin Random House Grupo Editorial9788426423948</t>
        </is>
      </c>
    </row>
    <row r="113">
      <c r="A113" s="0" t="inlineStr">
        <is>
          <t xml:space="preserve">4449-30-LP26</t>
        </is>
      </c>
      <c r="B113" s="4" t="inlineStr">
        <is>
          <t xml:space="preserve">Adquisición de libros a perpetuida para BP Digital</t>
        </is>
      </c>
      <c r="C113" s="0">
        <v>15</v>
      </c>
      <c r="D113" s="4" t="inlineStr">
        <is>
          <t xml:space="preserve">Libros en casetes o CD</t>
        </is>
      </c>
      <c r="E113" s="4" t="inlineStr">
        <is>
          <t xml:space="preserve">Productos impresos y publicaciones / Material electrónico de referencia / Publicaciones electrónicas y música</t>
        </is>
      </c>
      <c r="F113" s="0">
        <v>4.0</v>
      </c>
      <c r="G113" s="0" t="inlineStr">
        <is>
          <t xml:space="preserve">Unidad</t>
        </is>
      </c>
      <c r="H113" s="4" t="inlineStr">
        <is>
          <t xml:space="preserve">Veterano de tres guerras - Parte 1Penguin Random House Grupo Editorial9789566056492</t>
        </is>
      </c>
    </row>
    <row r="114">
      <c r="A114" s="0" t="inlineStr">
        <is>
          <t xml:space="preserve">1057415-60-LE26</t>
        </is>
      </c>
      <c r="B114" s="4" t="inlineStr">
        <is>
          <t xml:space="preserve">SOFTWARE DE GESTIÓN TRIBUTARIA E INVENTARIO</t>
        </is>
      </c>
      <c r="C114" s="0">
        <v>1</v>
      </c>
      <c r="D114" s="4" t="inlineStr">
        <is>
          <t xml:space="preserve">Software del sistema de administración de bases de datos</t>
        </is>
      </c>
      <c r="E114" s="4" t="inlineStr">
        <is>
          <t xml:space="preserve">Tecnologías de la información, telecomunicaciones y radiodifusión / Software / Software de consultas y gestión de datos</t>
        </is>
      </c>
      <c r="F114" s="0">
        <v>1.0</v>
      </c>
      <c r="G114" s="0" t="inlineStr">
        <is>
          <t xml:space="preserve">Unidad</t>
        </is>
      </c>
      <c r="H114" s="4" t="inlineStr">
        <is>
          <t xml:space="preserve">SERVICIO DE SOFTWARE DE GESTIÓN TRIBUTARIA E INVENTARIO POR UN PERIODO DE 36 MESES.</t>
        </is>
      </c>
    </row>
    <row r="115">
      <c r="A115" s="0" t="inlineStr">
        <is>
          <t xml:space="preserve">1733-8-LE26</t>
        </is>
      </c>
      <c r="B115" s="4" t="inlineStr">
        <is>
          <t xml:space="preserve">Levantamiento de Datos de Biodiversidad</t>
        </is>
      </c>
      <c r="C115" s="0">
        <v>1</v>
      </c>
      <c r="D115" s="4" t="inlineStr">
        <is>
          <t xml:space="preserve">Inventario forestal</t>
        </is>
      </c>
      <c r="E115" s="4" t="inlineStr">
        <is>
          <t xml:space="preserve">Servicios agrícolas, pesqueros, forestales y relacionados con la fauna / Cultivos forestales / Administración de cultivos forestales</t>
        </is>
      </c>
      <c r="F115" s="0">
        <v>1.0</v>
      </c>
      <c r="G115" s="0" t="inlineStr">
        <is>
          <t xml:space="preserve">Unidad</t>
        </is>
      </c>
      <c r="H115" s="4" t="inlineStr">
        <is>
          <t xml:space="preserve">Levantamiento de Datos de Biodiversidad para filo Arthropoda de Ecosistemas Forestales Nativos de la Región de Los Lagos</t>
        </is>
      </c>
    </row>
    <row r="116">
      <c r="A116" s="0" t="inlineStr">
        <is>
          <t xml:space="preserve">5420-22-LP26</t>
        </is>
      </c>
      <c r="B116" s="4" t="inlineStr">
        <is>
          <t xml:space="preserve">Arriendo de enlace de voz y datos</t>
        </is>
      </c>
      <c r="C116" s="0">
        <v>1</v>
      </c>
      <c r="D116" s="4" t="inlineStr">
        <is>
          <t xml:space="preserve">Proveedores de servicio de Internet (ISP)</t>
        </is>
      </c>
      <c r="E116" s="4" t="inlineStr">
        <is>
          <t xml:space="preserve">Servicios basados en ingeniería, ciencias sociales y tecnología de la información / Servicios informáticos / Servicios para internet</t>
        </is>
      </c>
      <c r="F116" s="0">
        <v>1.0</v>
      </c>
      <c r="G116" s="0" t="inlineStr">
        <is>
          <t xml:space="preserve">Unidad</t>
        </is>
      </c>
      <c r="H116" s="4" t="inlineStr">
        <is>
          <t xml:space="preserve">Arriendo de Enlace de Datos y Solución en la Nube de Voz para Dependencias del Gobierno Regional y Consejo Regional de Arica y Parinacota</t>
        </is>
      </c>
    </row>
    <row r="117">
      <c r="A117" s="0" t="inlineStr">
        <is>
          <t xml:space="preserve">906973-10-LP26</t>
        </is>
      </c>
      <c r="B117" s="4" t="inlineStr">
        <is>
          <t xml:space="preserve">SEGUNDO LLAMADO SISTEMAS INFORMÁTICOS DE GESTIÓN MUNICIPAL</t>
        </is>
      </c>
      <c r="C117" s="0">
        <v>1</v>
      </c>
      <c r="D117" s="4" t="inlineStr">
        <is>
          <t xml:space="preserve">Servicios contables gubernamentales</t>
        </is>
      </c>
      <c r="E117" s="4" t="inlineStr">
        <is>
          <t xml:space="preserve">Organizaciones y consultorías políticas, demográficas, económicas, sociales y de administración pública / Administración y finanzas públicas / Finanzas públicas</t>
        </is>
      </c>
      <c r="F117" s="0">
        <v>36.0</v>
      </c>
      <c r="G117" s="0" t="inlineStr">
        <is>
          <t xml:space="preserve">Mes</t>
        </is>
      </c>
      <c r="H117" s="4" t="inlineStr">
        <is>
          <t xml:space="preserve">La presente licitación tiene por objeto contratar el suministro integral de sistemas informáticos de gestión municipal para la Municipalidad de Vichuquén, incluyendo software, módulos funcionales, servidor o infraestructura local destinada al servicio mun</t>
        </is>
      </c>
    </row>
    <row r="118">
      <c r="A118" s="0" t="inlineStr">
        <is>
          <t xml:space="preserve">1488587-36-LE26</t>
        </is>
      </c>
      <c r="B118" s="4" t="inlineStr">
        <is>
          <t xml:space="preserve">Ampliación Laboratorio de Imagen Digital Carrera de Periodismo Campus Andrés Bello de Universidad de La Serena</t>
        </is>
      </c>
      <c r="C118" s="0">
        <v>1</v>
      </c>
      <c r="D118" s="4" t="inlineStr">
        <is>
          <t xml:space="preserve">Construcción de edificios y departamentos</t>
        </is>
      </c>
      <c r="E118" s="4" t="inlineStr">
        <is>
          <t xml:space="preserve">Servicios de construcción y mantenimiento / Construcción de edificios en general / Construcción residencial</t>
        </is>
      </c>
      <c r="F118" s="0">
        <v>1.0</v>
      </c>
      <c r="G118" s="0" t="inlineStr">
        <is>
          <t xml:space="preserve">Global</t>
        </is>
      </c>
      <c r="H118" s="4" t="inlineStr">
        <is>
          <t xml:space="preserve">Ampliación Laboratorio de Imagen Digital Carrera de Periodismo Campus Andrés Bello de Universidad de La Serena</t>
        </is>
      </c>
    </row>
    <row r="119">
      <c r="A119" s="0" t="inlineStr">
        <is>
          <t xml:space="preserve">3134-94-LE26</t>
        </is>
      </c>
      <c r="B119" s="4" t="inlineStr">
        <is>
          <t xml:space="preserve">LICENCIAS DE SOFTWARE CONTROL DE TRÁFICO MARÍTIMO.</t>
        </is>
      </c>
      <c r="C119" s="0">
        <v>1</v>
      </c>
      <c r="D119" s="4" t="inlineStr">
        <is>
          <t xml:space="preserve">Sistemas de señalización marítima</t>
        </is>
      </c>
      <c r="E119" s="4" t="inlineStr">
        <is>
          <t xml:space="preserve">Equipos y suministros de defensa, orden público, protección y seguridad / Seguridad y control público / Control de tráfico</t>
        </is>
      </c>
      <c r="F119" s="0">
        <v>3.0</v>
      </c>
      <c r="G119" s="0" t="inlineStr">
        <is>
          <t xml:space="preserve">Unidad</t>
        </is>
      </c>
      <c r="H119" s="4" t="inlineStr">
        <is>
          <t xml:space="preserve">SOFTWARE DE CONTROL DE TRÁFICO MARÍTIMO E INTEGRADOR DE RADAR AIS Y CÁMARAS.</t>
        </is>
      </c>
    </row>
    <row r="120">
      <c r="A120" s="0" t="inlineStr">
        <is>
          <t xml:space="preserve">591-26-LP26</t>
        </is>
      </c>
      <c r="B120" s="4" t="inlineStr">
        <is>
          <t xml:space="preserve">PLATAFORMA DE OBSERVABILIDAD AVANZADA MULTICLOUD PARA FONASA.</t>
        </is>
      </c>
      <c r="C120" s="0">
        <v>1</v>
      </c>
      <c r="D120" s="4" t="inlineStr">
        <is>
          <t xml:space="preserve">Software de gestión de licencias</t>
        </is>
      </c>
      <c r="E120" s="4" t="inlineStr">
        <is>
          <t xml:space="preserve">Tecnologías de la información, telecomunicaciones y radiodifusión / Software / Software de gestión</t>
        </is>
      </c>
      <c r="F120" s="0">
        <v>1.0</v>
      </c>
      <c r="G120" s="0" t="inlineStr">
        <is>
          <t xml:space="preserve">Unidad</t>
        </is>
      </c>
      <c r="H120" s="4" t="inlineStr">
        <is>
          <t xml:space="preserve">FONASA requiere fortalecer sus capacidades de monitoreo y diagnóstico de sus plataformas críticas. Actualmente, opera bajo un modelo de Nube Híbrida y Multicloud, con servicios desplegados en Amazon Web Services (AWS), Oracle Cloud Infrastructure (OCI) y</t>
        </is>
      </c>
    </row>
    <row r="121">
      <c r="A121" s="0" t="inlineStr">
        <is>
          <t xml:space="preserve">611669-20-LE26</t>
        </is>
      </c>
      <c r="B121" s="4" t="inlineStr">
        <is>
          <t xml:space="preserve">ADQUISICIÓN DE LICENCIAS DE SOFTWARE</t>
        </is>
      </c>
      <c r="C121" s="0">
        <v>1</v>
      </c>
      <c r="D121" s="4" t="inlineStr">
        <is>
          <t xml:space="preserve">Programas de gestión de proyectos</t>
        </is>
      </c>
      <c r="E121" s="4" t="inlineStr">
        <is>
          <t xml:space="preserve">Tecnologías de la información, telecomunicaciones y radiodifusión / Software / Software de gestión</t>
        </is>
      </c>
      <c r="F121" s="0">
        <v>1.0</v>
      </c>
      <c r="G121" s="0" t="inlineStr">
        <is>
          <t xml:space="preserve">Unidad</t>
        </is>
      </c>
      <c r="H121" s="4" t="inlineStr">
        <is>
          <t xml:space="preserve">Categoría N°1: Renovación de Licencias Atlassian con Plugin “Google Analytics in Jira &amp; 
JSM”. 12 meses</t>
        </is>
      </c>
    </row>
    <row r="122">
      <c r="A122" s="0" t="inlineStr">
        <is>
          <t xml:space="preserve">611669-20-LE26</t>
        </is>
      </c>
      <c r="B122" s="4" t="inlineStr">
        <is>
          <t xml:space="preserve">ADQUISICIÓN DE LICENCIAS DE SOFTWARE</t>
        </is>
      </c>
      <c r="C122" s="0">
        <v>2</v>
      </c>
      <c r="D122" s="4" t="inlineStr">
        <is>
          <t xml:space="preserve">Software de consultas e interfaz de usuario de bases de datos</t>
        </is>
      </c>
      <c r="E122" s="4" t="inlineStr">
        <is>
          <t xml:space="preserve">Tecnologías de la información, telecomunicaciones y radiodifusión / Software / Software de consultas y gestión de datos</t>
        </is>
      </c>
      <c r="F122" s="0">
        <v>1.0</v>
      </c>
      <c r="G122" s="0" t="inlineStr">
        <is>
          <t xml:space="preserve">Unidad</t>
        </is>
      </c>
      <c r="H122" s="4" t="inlineStr">
        <is>
          <t xml:space="preserve">Categoría N°2: Renovación de Licencia Google Maps. 12 meses ó hasta consumir la totalidad de los créditos.</t>
        </is>
      </c>
    </row>
    <row r="123">
      <c r="A123" s="0" t="inlineStr">
        <is>
          <t xml:space="preserve">611669-20-LE26</t>
        </is>
      </c>
      <c r="B123" s="4" t="inlineStr">
        <is>
          <t xml:space="preserve">ADQUISICIÓN DE LICENCIAS DE SOFTWARE</t>
        </is>
      </c>
      <c r="C123" s="0">
        <v>3</v>
      </c>
      <c r="D123" s="4" t="inlineStr">
        <is>
          <t xml:space="preserve">Software de red de almacenamiento</t>
        </is>
      </c>
      <c r="E123" s="4" t="inlineStr">
        <is>
          <t xml:space="preserve">Tecnologías de la información, telecomunicaciones y radiodifusión / Software / Software para trabajo en redes</t>
        </is>
      </c>
      <c r="F123" s="0">
        <v>4.0</v>
      </c>
      <c r="G123" s="0" t="inlineStr">
        <is>
          <t xml:space="preserve">Unidad</t>
        </is>
      </c>
      <c r="H123" s="4" t="inlineStr">
        <is>
          <t xml:space="preserve">Categoría N°3: Licencia plataforma de respaldo VEEAM ONE. 12 meses.</t>
        </is>
      </c>
    </row>
    <row r="124">
      <c r="A124" s="0" t="inlineStr">
        <is>
          <t xml:space="preserve">611669-20-LE26</t>
        </is>
      </c>
      <c r="B124" s="4" t="inlineStr">
        <is>
          <t xml:space="preserve">ADQUISICIÓN DE LICENCIAS DE SOFTWARE</t>
        </is>
      </c>
      <c r="C124" s="0">
        <v>4</v>
      </c>
      <c r="D124" s="4" t="inlineStr">
        <is>
          <t xml:space="preserve">Software de explorador de Internet</t>
        </is>
      </c>
      <c r="E124" s="4" t="inlineStr">
        <is>
          <t xml:space="preserve">Tecnologías de la información, telecomunicaciones y radiodifusión / Software / Software de aplicaciones de red</t>
        </is>
      </c>
      <c r="F124" s="0">
        <v>2.0</v>
      </c>
      <c r="G124" s="0" t="inlineStr">
        <is>
          <t xml:space="preserve">Unidad</t>
        </is>
      </c>
      <c r="H124" s="4" t="inlineStr">
        <is>
          <t xml:space="preserve">Categoría N°4:  Licencias Tableau Creator. 24 meses.</t>
        </is>
      </c>
    </row>
    <row r="125">
      <c r="A125" s="0" t="inlineStr">
        <is>
          <t xml:space="preserve">611669-20-LE26</t>
        </is>
      </c>
      <c r="B125" s="4" t="inlineStr">
        <is>
          <t xml:space="preserve">ADQUISICIÓN DE LICENCIAS DE SOFTWARE</t>
        </is>
      </c>
      <c r="C125" s="0">
        <v>5</v>
      </c>
      <c r="D125" s="4" t="inlineStr">
        <is>
          <t xml:space="preserve">Software de administración</t>
        </is>
      </c>
      <c r="E125" s="4" t="inlineStr">
        <is>
          <t xml:space="preserve">Tecnologías de la información, telecomunicaciones y radiodifusión / Software / Software de administración de redes</t>
        </is>
      </c>
      <c r="F125" s="0">
        <v>1.0</v>
      </c>
      <c r="G125" s="0" t="inlineStr">
        <is>
          <t xml:space="preserve">Unidad</t>
        </is>
      </c>
      <c r="H125" s="4" t="inlineStr">
        <is>
          <t xml:space="preserve">Categoría N°5: Licencia Google Earth Engine Enterprise Basic. 12 meses.</t>
        </is>
      </c>
    </row>
    <row r="126">
      <c r="A126" s="0" t="inlineStr">
        <is>
          <t xml:space="preserve">611669-20-LE26</t>
        </is>
      </c>
      <c r="B126" s="4" t="inlineStr">
        <is>
          <t xml:space="preserve">ADQUISICIÓN DE LICENCIAS DE SOFTWARE</t>
        </is>
      </c>
      <c r="C126" s="0">
        <v>6</v>
      </c>
      <c r="D126" s="4" t="inlineStr">
        <is>
          <t xml:space="preserve">Software de administración</t>
        </is>
      </c>
      <c r="E126" s="4" t="inlineStr">
        <is>
          <t xml:space="preserve">Tecnologías de la información, telecomunicaciones y radiodifusión / Software / Software de administración de redes</t>
        </is>
      </c>
      <c r="F126" s="0">
        <v>1.0</v>
      </c>
      <c r="G126" s="0" t="inlineStr">
        <is>
          <t xml:space="preserve">Unidad</t>
        </is>
      </c>
      <c r="H126" s="4" t="inlineStr">
        <is>
          <t xml:space="preserve">Categoría N°6: Licencia Medium de la API Storm Glass. 12 meses.</t>
        </is>
      </c>
    </row>
    <row r="127">
      <c r="A127" s="0" t="inlineStr">
        <is>
          <t xml:space="preserve">885-94-LE26</t>
        </is>
      </c>
      <c r="B127" s="4" t="inlineStr">
        <is>
          <t xml:space="preserve">Renovación soporte y mantención de licencias software SAP Sybase IQ Enterprise</t>
        </is>
      </c>
      <c r="C127" s="0">
        <v>1</v>
      </c>
      <c r="D127" s="4" t="inlineStr">
        <is>
          <t xml:space="preserve">Software de gestión de licencias</t>
        </is>
      </c>
      <c r="E127" s="4" t="inlineStr">
        <is>
          <t xml:space="preserve">Tecnologías de la información, telecomunicaciones y radiodifusión / Software / Software de gestión</t>
        </is>
      </c>
      <c r="F127" s="0">
        <v>1.0</v>
      </c>
      <c r="G127" s="0" t="inlineStr">
        <is>
          <t xml:space="preserve">Unidad</t>
        </is>
      </c>
      <c r="H127" s="4" t="inlineStr">
        <is>
          <t xml:space="preserve">Renovación, soporte y mantención de licencias, cuatro (4) de core productivo y dos (2) de core de desarrollo, del software Sybase IQ Enterprise, por un periodo de 12 meses.</t>
        </is>
      </c>
    </row>
    <row r="128">
      <c r="A128" s="0" t="inlineStr">
        <is>
          <t xml:space="preserve">899-44-LE26</t>
        </is>
      </c>
      <c r="B128" s="4" t="inlineStr">
        <is>
          <t xml:space="preserve">“Servicio de arriendo de equipos informáticos por un período de 36 meses para Hospital Familiar y Comunitario San José de Casablanca”</t>
        </is>
      </c>
      <c r="C128" s="0">
        <v>1</v>
      </c>
      <c r="D128" s="4" t="inlineStr">
        <is>
          <t xml:space="preserve">Computadores personales</t>
        </is>
      </c>
      <c r="E128" s="4" t="inlineStr">
        <is>
          <t xml:space="preserve">Tecnologías de la información, telecomunicaciones y radiodifusión / Equipos informáticos y accesorios / Computadores</t>
        </is>
      </c>
      <c r="F128" s="0">
        <v>1.0</v>
      </c>
      <c r="G128" s="0" t="inlineStr">
        <is>
          <t xml:space="preserve">Unidad</t>
        </is>
      </c>
      <c r="H128" s="4" t="inlineStr">
        <is>
          <t xml:space="preserve">“Servicio de arriendo de equipos informáticos por un período de 36 meses para Hospital Familiar y Comunitario San José de Casablanca”. De acuerdo a lo indicado en Bases Técnicas.</t>
        </is>
      </c>
    </row>
    <row r="129">
      <c r="A129" s="0" t="inlineStr">
        <is>
          <t xml:space="preserve">3232-56-LE26</t>
        </is>
      </c>
      <c r="B129" s="4" t="inlineStr">
        <is>
          <t xml:space="preserve">LICENCIAMIENTO ANUAL DE SOFTWARE ÁREA MUNICIPAL</t>
        </is>
      </c>
      <c r="C129" s="0">
        <v>1</v>
      </c>
      <c r="D129" s="4" t="inlineStr">
        <is>
          <t xml:space="preserve">Software de gestión de licencias</t>
        </is>
      </c>
      <c r="E129" s="4" t="inlineStr">
        <is>
          <t xml:space="preserve">Tecnologías de la información, telecomunicaciones y radiodifusión / Software / Software de gestión</t>
        </is>
      </c>
      <c r="F129" s="0">
        <v>17.0</v>
      </c>
      <c r="G129" s="0" t="inlineStr">
        <is>
          <t xml:space="preserve">Unidad</t>
        </is>
      </c>
      <c r="H129" s="4" t="inlineStr">
        <is>
          <t xml:space="preserve">NUEVA - AUTODESK AUTOCAD LT 2026 - SIMILAR O EQUIVALENTE</t>
        </is>
      </c>
    </row>
    <row r="130">
      <c r="A130" s="0" t="inlineStr">
        <is>
          <t xml:space="preserve">3232-56-LE26</t>
        </is>
      </c>
      <c r="B130" s="4" t="inlineStr">
        <is>
          <t xml:space="preserve">LICENCIAMIENTO ANUAL DE SOFTWARE ÁREA MUNICIPAL</t>
        </is>
      </c>
      <c r="C130" s="0">
        <v>2</v>
      </c>
      <c r="D130" s="4" t="inlineStr">
        <is>
          <t xml:space="preserve">Software de gestión de licencias</t>
        </is>
      </c>
      <c r="E130" s="4" t="inlineStr">
        <is>
          <t xml:space="preserve">Tecnologías de la información, telecomunicaciones y radiodifusión / Software / Software de gestión</t>
        </is>
      </c>
      <c r="F130" s="0">
        <v>1.0</v>
      </c>
      <c r="G130" s="0" t="inlineStr">
        <is>
          <t xml:space="preserve">Unidad</t>
        </is>
      </c>
      <c r="H130" s="4" t="inlineStr">
        <is>
          <t xml:space="preserve">RENOVACIÓN - AUTOCAD MAP 3D SPECIALIZED TOOLS 2026- SIMILAR O EQUIVALENTE</t>
        </is>
      </c>
    </row>
    <row r="131">
      <c r="A131" s="0" t="inlineStr">
        <is>
          <t xml:space="preserve">3232-56-LE26</t>
        </is>
      </c>
      <c r="B131" s="4" t="inlineStr">
        <is>
          <t xml:space="preserve">LICENCIAMIENTO ANUAL DE SOFTWARE ÁREA MUNICIPAL</t>
        </is>
      </c>
      <c r="C131" s="0">
        <v>3</v>
      </c>
      <c r="D131" s="4" t="inlineStr">
        <is>
          <t xml:space="preserve">Software de gestión de licencias</t>
        </is>
      </c>
      <c r="E131" s="4" t="inlineStr">
        <is>
          <t xml:space="preserve">Tecnologías de la información, telecomunicaciones y radiodifusión / Software / Software de gestión</t>
        </is>
      </c>
      <c r="F131" s="0">
        <v>1.0</v>
      </c>
      <c r="G131" s="0" t="inlineStr">
        <is>
          <t xml:space="preserve">Unidad</t>
        </is>
      </c>
      <c r="H131" s="4" t="inlineStr">
        <is>
          <t xml:space="preserve">RENOVACIÓN – AUTOCAD REVIT 2026 - SIMILAR O EQUIVALENTE</t>
        </is>
      </c>
    </row>
    <row r="132">
      <c r="A132" s="0" t="inlineStr">
        <is>
          <t xml:space="preserve">1457281-19-L126</t>
        </is>
      </c>
      <c r="B132" s="4" t="inlineStr">
        <is>
          <t xml:space="preserve">SERVICIO DE SOFTWARE Y SOPORTE PARA SISTEMA DE CONTEO DE PÚBLICO M100</t>
        </is>
      </c>
      <c r="C132" s="0">
        <v>1</v>
      </c>
      <c r="D132" s="4" t="inlineStr">
        <is>
          <t xml:space="preserve">Soporte técnico y servicios de mesa de ayuda</t>
        </is>
      </c>
      <c r="E132" s="4" t="inlineStr">
        <is>
          <t xml:space="preserve">Servicios basados en ingeniería, ciencias sociales y tecnología de la información / Servicios informáticos / Administración de sistemas</t>
        </is>
      </c>
      <c r="F132" s="0">
        <v>12.0</v>
      </c>
      <c r="G132" s="0" t="inlineStr">
        <is>
          <t xml:space="preserve">Mes</t>
        </is>
      </c>
      <c r="H132" s="4" t="inlineStr">
        <is>
          <t xml:space="preserve">Servicio de software y soporte técnico mensual para plataforma de conteo de público del Centro Cultural M100, sobre 3 puntos de conteo instalados. Incluye dashboard, reportes exportables y certificación de precisión.</t>
        </is>
      </c>
    </row>
    <row r="133">
      <c r="A133" s="0" t="inlineStr">
        <is>
          <t xml:space="preserve">1469-241-L126</t>
        </is>
      </c>
      <c r="B133" s="4" t="inlineStr">
        <is>
          <t xml:space="preserve">ADQUISICIÓN LICENCIAS DIGITALES PLATAFORMA EDUCACIONAL IDIOMA FRANCÉS”, UNIVERSIDAD DE TALCA”</t>
        </is>
      </c>
      <c r="C133" s="0">
        <v>1</v>
      </c>
      <c r="D133" s="4" t="inlineStr">
        <is>
          <t xml:space="preserve">Cursos y materiales de apoyo para aprender a hablar francés</t>
        </is>
      </c>
      <c r="E133" s="4" t="inlineStr">
        <is>
          <t xml:space="preserve">Instrumentos musicales, juegos, juguetes, artesanías y materiales educativos / Materiales, artículos y suministros didácticos profesionales y para el desarrollo personal / Recursos de lenguas extranjeras</t>
        </is>
      </c>
      <c r="F133" s="0">
        <v>2.0</v>
      </c>
      <c r="G133" s="0" t="inlineStr">
        <is>
          <t xml:space="preserve">Unidad</t>
        </is>
      </c>
      <c r="H133" s="4" t="inlineStr">
        <is>
          <t xml:space="preserve">La Universidad de Talca requiere adquirir licencias digitales de 3 Editoriales: Maison des Langues, Clé y Hachette, para docentes de cursos de francés de pregrado, desde el 05 de octubre de 2026 al 05 de octubre de 2027.</t>
        </is>
      </c>
    </row>
    <row r="134">
      <c r="A134" s="0" t="inlineStr">
        <is>
          <t xml:space="preserve">1469-241-L126</t>
        </is>
      </c>
      <c r="B134" s="4" t="inlineStr">
        <is>
          <t xml:space="preserve">ADQUISICIÓN LICENCIAS DIGITALES PLATAFORMA EDUCACIONAL IDIOMA FRANCÉS”, UNIVERSIDAD DE TALCA”</t>
        </is>
      </c>
      <c r="C134" s="0">
        <v>2</v>
      </c>
      <c r="D134" s="4" t="inlineStr">
        <is>
          <t xml:space="preserve">Cursos y materiales de apoyo para aprender a hablar francés</t>
        </is>
      </c>
      <c r="E134" s="4" t="inlineStr">
        <is>
          <t xml:space="preserve">Instrumentos musicales, juegos, juguetes, artesanías y materiales educativos / Materiales, artículos y suministros didácticos profesionales y para el desarrollo personal / Recursos de lenguas extranjeras</t>
        </is>
      </c>
      <c r="F134" s="0">
        <v>2.0</v>
      </c>
      <c r="G134" s="0" t="inlineStr">
        <is>
          <t xml:space="preserve">Unidad</t>
        </is>
      </c>
      <c r="H134" s="4" t="inlineStr">
        <is>
          <t xml:space="preserve">La Universidad de Talca requiere adquirir licencias digitales de 3 Editoriales: Maison des Langues, Clé y Hachette, para docentes de cursos de francés de pregrado, desde el 05 de octubre de 2026 al 05 de octubre de 2027.</t>
        </is>
      </c>
    </row>
    <row r="135">
      <c r="A135" s="0" t="inlineStr">
        <is>
          <t xml:space="preserve">1469-241-L126</t>
        </is>
      </c>
      <c r="B135" s="4" t="inlineStr">
        <is>
          <t xml:space="preserve">ADQUISICIÓN LICENCIAS DIGITALES PLATAFORMA EDUCACIONAL IDIOMA FRANCÉS”, UNIVERSIDAD DE TALCA”</t>
        </is>
      </c>
      <c r="C135" s="0">
        <v>3</v>
      </c>
      <c r="D135" s="4" t="inlineStr">
        <is>
          <t xml:space="preserve">Cursos y materiales de apoyo para aprender a hablar francés</t>
        </is>
      </c>
      <c r="E135" s="4" t="inlineStr">
        <is>
          <t xml:space="preserve">Instrumentos musicales, juegos, juguetes, artesanías y materiales educativos / Materiales, artículos y suministros didácticos profesionales y para el desarrollo personal / Recursos de lenguas extranjeras</t>
        </is>
      </c>
      <c r="F135" s="0">
        <v>2.0</v>
      </c>
      <c r="G135" s="0" t="inlineStr">
        <is>
          <t xml:space="preserve">Unidad</t>
        </is>
      </c>
      <c r="H135" s="4" t="inlineStr">
        <is>
          <t xml:space="preserve">La Universidad de Talca requiere adquirir licencias digitales de 3 Editoriales: Maison des Langues, Clé y Hachette, para docentes de cursos de francés de pregrado, desde el 05 de octubre de 2026 al 05 de octubre de 2027.</t>
        </is>
      </c>
    </row>
    <row r="136">
      <c r="A136" s="0" t="inlineStr">
        <is>
          <t xml:space="preserve">1469-241-L126</t>
        </is>
      </c>
      <c r="B136" s="4" t="inlineStr">
        <is>
          <t xml:space="preserve">ADQUISICIÓN LICENCIAS DIGITALES PLATAFORMA EDUCACIONAL IDIOMA FRANCÉS”, UNIVERSIDAD DE TALCA”</t>
        </is>
      </c>
      <c r="C136" s="0">
        <v>4</v>
      </c>
      <c r="D136" s="4" t="inlineStr">
        <is>
          <t xml:space="preserve">Cursos y materiales de apoyo para aprender a hablar francés</t>
        </is>
      </c>
      <c r="E136" s="4" t="inlineStr">
        <is>
          <t xml:space="preserve">Instrumentos musicales, juegos, juguetes, artesanías y materiales educativos / Materiales, artículos y suministros didácticos profesionales y para el desarrollo personal / Recursos de lenguas extranjeras</t>
        </is>
      </c>
      <c r="F136" s="0">
        <v>2.0</v>
      </c>
      <c r="G136" s="0" t="inlineStr">
        <is>
          <t xml:space="preserve">Unidad</t>
        </is>
      </c>
      <c r="H136" s="4" t="inlineStr">
        <is>
          <t xml:space="preserve">La Universidad de Talca requiere adquirir licencias digitales de 3 Editoriales: Maison des Langues, Clé y Hachette, para docentes de cursos de francés de pregrado, desde el 05 de octubre de 2026 al 05 de octubre de 2027.</t>
        </is>
      </c>
    </row>
    <row r="137">
      <c r="A137" s="0" t="inlineStr">
        <is>
          <t xml:space="preserve">1469-241-L126</t>
        </is>
      </c>
      <c r="B137" s="4" t="inlineStr">
        <is>
          <t xml:space="preserve">ADQUISICIÓN LICENCIAS DIGITALES PLATAFORMA EDUCACIONAL IDIOMA FRANCÉS”, UNIVERSIDAD DE TALCA”</t>
        </is>
      </c>
      <c r="C137" s="0">
        <v>5</v>
      </c>
      <c r="D137" s="4" t="inlineStr">
        <is>
          <t xml:space="preserve">Cursos y materiales de apoyo para aprender a hablar francés</t>
        </is>
      </c>
      <c r="E137" s="4" t="inlineStr">
        <is>
          <t xml:space="preserve">Instrumentos musicales, juegos, juguetes, artesanías y materiales educativos / Materiales, artículos y suministros didácticos profesionales y para el desarrollo personal / Recursos de lenguas extranjeras</t>
        </is>
      </c>
      <c r="F137" s="0">
        <v>2.0</v>
      </c>
      <c r="G137" s="0" t="inlineStr">
        <is>
          <t xml:space="preserve">Unidad</t>
        </is>
      </c>
      <c r="H137" s="4" t="inlineStr">
        <is>
          <t xml:space="preserve">La Universidad de Talca requiere adquirir licencias digitales de 3 Editoriales: Maison des Langues, Clé y Hachette, para docentes de cursos de francés de pregrado, desde el 05 de octubre de 2026 al 05 de octubre de 2027.</t>
        </is>
      </c>
    </row>
    <row r="138">
      <c r="A138" s="0" t="inlineStr">
        <is>
          <t xml:space="preserve">1469-241-L126</t>
        </is>
      </c>
      <c r="B138" s="4" t="inlineStr">
        <is>
          <t xml:space="preserve">ADQUISICIÓN LICENCIAS DIGITALES PLATAFORMA EDUCACIONAL IDIOMA FRANCÉS”, UNIVERSIDAD DE TALCA”</t>
        </is>
      </c>
      <c r="C138" s="0">
        <v>6</v>
      </c>
      <c r="D138" s="4" t="inlineStr">
        <is>
          <t xml:space="preserve">Cursos y materiales de apoyo para aprender a hablar francés</t>
        </is>
      </c>
      <c r="E138" s="4" t="inlineStr">
        <is>
          <t xml:space="preserve">Instrumentos musicales, juegos, juguetes, artesanías y materiales educativos / Materiales, artículos y suministros didácticos profesionales y para el desarrollo personal / Recursos de lenguas extranjeras</t>
        </is>
      </c>
      <c r="F138" s="0">
        <v>2.0</v>
      </c>
      <c r="G138" s="0" t="inlineStr">
        <is>
          <t xml:space="preserve">Unidad</t>
        </is>
      </c>
      <c r="H138" s="4" t="inlineStr">
        <is>
          <t xml:space="preserve">La Universidad de Talca requiere adquirir licencias digitales de 3 Editoriales: Maison des Langues, Clé y Hachette, para docentes de cursos de francés de pregrado, desde el 05 de octubre de 2026 al 05 de octubre de 2027.</t>
        </is>
      </c>
    </row>
    <row r="139">
      <c r="A139" s="0" t="inlineStr">
        <is>
          <t xml:space="preserve">1469-241-L126</t>
        </is>
      </c>
      <c r="B139" s="4" t="inlineStr">
        <is>
          <t xml:space="preserve">ADQUISICIÓN LICENCIAS DIGITALES PLATAFORMA EDUCACIONAL IDIOMA FRANCÉS”, UNIVERSIDAD DE TALCA”</t>
        </is>
      </c>
      <c r="C139" s="0">
        <v>7</v>
      </c>
      <c r="D139" s="4" t="inlineStr">
        <is>
          <t xml:space="preserve">Cursos y materiales de apoyo para aprender a hablar francés</t>
        </is>
      </c>
      <c r="E139" s="4" t="inlineStr">
        <is>
          <t xml:space="preserve">Instrumentos musicales, juegos, juguetes, artesanías y materiales educativos / Materiales, artículos y suministros didácticos profesionales y para el desarrollo personal / Recursos de lenguas extranjeras</t>
        </is>
      </c>
      <c r="F139" s="0">
        <v>2.0</v>
      </c>
      <c r="G139" s="0" t="inlineStr">
        <is>
          <t xml:space="preserve">Unidad</t>
        </is>
      </c>
      <c r="H139" s="4" t="inlineStr">
        <is>
          <t xml:space="preserve">La Universidad de Talca requiere adquirir licencias digitales de 3 Editoriales: Maison des Langues, Clé y Hachette, para docentes de cursos de francés de pregrado, desde el 05 de octubre de 2026 al 05 de octubre de 2027.</t>
        </is>
      </c>
    </row>
    <row r="140">
      <c r="A140" s="0" t="inlineStr">
        <is>
          <t xml:space="preserve">1469-241-L126</t>
        </is>
      </c>
      <c r="B140" s="4" t="inlineStr">
        <is>
          <t xml:space="preserve">ADQUISICIÓN LICENCIAS DIGITALES PLATAFORMA EDUCACIONAL IDIOMA FRANCÉS”, UNIVERSIDAD DE TALCA”</t>
        </is>
      </c>
      <c r="C140" s="0">
        <v>8</v>
      </c>
      <c r="D140" s="4" t="inlineStr">
        <is>
          <t xml:space="preserve">Cursos y materiales de apoyo para aprender a hablar francés</t>
        </is>
      </c>
      <c r="E140" s="4" t="inlineStr">
        <is>
          <t xml:space="preserve">Instrumentos musicales, juegos, juguetes, artesanías y materiales educativos / Materiales, artículos y suministros didácticos profesionales y para el desarrollo personal / Recursos de lenguas extranjeras</t>
        </is>
      </c>
      <c r="F140" s="0">
        <v>2.0</v>
      </c>
      <c r="G140" s="0" t="inlineStr">
        <is>
          <t xml:space="preserve">Unidad</t>
        </is>
      </c>
      <c r="H140" s="4" t="inlineStr">
        <is>
          <t xml:space="preserve">La Universidad de Talca requiere adquirir licencias digitales de 3 Editoriales: Maison des Langues, Clé y Hachette, para docentes de cursos de francés de pregrado, desde el 05 de octubre de 2026 al 05 de octubre de 2027.</t>
        </is>
      </c>
    </row>
    <row r="141">
      <c r="A141" s="0" t="inlineStr">
        <is>
          <t xml:space="preserve">1469-241-L126</t>
        </is>
      </c>
      <c r="B141" s="4" t="inlineStr">
        <is>
          <t xml:space="preserve">ADQUISICIÓN LICENCIAS DIGITALES PLATAFORMA EDUCACIONAL IDIOMA FRANCÉS”, UNIVERSIDAD DE TALCA”</t>
        </is>
      </c>
      <c r="C141" s="0">
        <v>9</v>
      </c>
      <c r="D141" s="4" t="inlineStr">
        <is>
          <t xml:space="preserve">Cursos y materiales de apoyo para aprender a hablar francés</t>
        </is>
      </c>
      <c r="E141" s="4" t="inlineStr">
        <is>
          <t xml:space="preserve">Instrumentos musicales, juegos, juguetes, artesanías y materiales educativos / Materiales, artículos y suministros didácticos profesionales y para el desarrollo personal / Recursos de lenguas extranjeras</t>
        </is>
      </c>
      <c r="F141" s="0">
        <v>2.0</v>
      </c>
      <c r="G141" s="0" t="inlineStr">
        <is>
          <t xml:space="preserve">Unidad</t>
        </is>
      </c>
      <c r="H141" s="4" t="inlineStr">
        <is>
          <t xml:space="preserve">La Universidad de Talca requiere adquirir licencias digitales de 3 Editoriales: Maison des Langues, Clé y Hachette, para docentes de cursos de francés de pregrado, desde el 05 de octubre de 2026 al 05 de octubre de 2027.</t>
        </is>
      </c>
    </row>
    <row r="142">
      <c r="A142" s="0" t="inlineStr">
        <is>
          <t xml:space="preserve">1469-241-L126</t>
        </is>
      </c>
      <c r="B142" s="4" t="inlineStr">
        <is>
          <t xml:space="preserve">ADQUISICIÓN LICENCIAS DIGITALES PLATAFORMA EDUCACIONAL IDIOMA FRANCÉS”, UNIVERSIDAD DE TALCA”</t>
        </is>
      </c>
      <c r="C142" s="0">
        <v>10</v>
      </c>
      <c r="D142" s="4" t="inlineStr">
        <is>
          <t xml:space="preserve">Cursos y materiales de apoyo para aprender a hablar francés</t>
        </is>
      </c>
      <c r="E142" s="4" t="inlineStr">
        <is>
          <t xml:space="preserve">Instrumentos musicales, juegos, juguetes, artesanías y materiales educativos / Materiales, artículos y suministros didácticos profesionales y para el desarrollo personal / Recursos de lenguas extranjeras</t>
        </is>
      </c>
      <c r="F142" s="0">
        <v>2.0</v>
      </c>
      <c r="G142" s="0" t="inlineStr">
        <is>
          <t xml:space="preserve">Unidad</t>
        </is>
      </c>
      <c r="H142" s="4" t="inlineStr">
        <is>
          <t xml:space="preserve">La Universidad de Talca requiere adquirir licencias digitales de 3 Editoriales: Maison des Langues, Clé y Hachette, para docentes de cursos de francés de pregrado, desde el 05 de octubre de 2026 al 05 de octubre de 2027.</t>
        </is>
      </c>
    </row>
    <row r="143">
      <c r="A143" s="0" t="inlineStr">
        <is>
          <t xml:space="preserve">1469-241-L126</t>
        </is>
      </c>
      <c r="B143" s="4" t="inlineStr">
        <is>
          <t xml:space="preserve">ADQUISICIÓN LICENCIAS DIGITALES PLATAFORMA EDUCACIONAL IDIOMA FRANCÉS”, UNIVERSIDAD DE TALCA”</t>
        </is>
      </c>
      <c r="C143" s="0">
        <v>11</v>
      </c>
      <c r="D143" s="4" t="inlineStr">
        <is>
          <t xml:space="preserve">Cursos y materiales de apoyo para aprender a hablar francés</t>
        </is>
      </c>
      <c r="E143" s="4" t="inlineStr">
        <is>
          <t xml:space="preserve">Instrumentos musicales, juegos, juguetes, artesanías y materiales educativos / Materiales, artículos y suministros didácticos profesionales y para el desarrollo personal / Recursos de lenguas extranjeras</t>
        </is>
      </c>
      <c r="F143" s="0">
        <v>2.0</v>
      </c>
      <c r="G143" s="0" t="inlineStr">
        <is>
          <t xml:space="preserve">Unidad</t>
        </is>
      </c>
      <c r="H143" s="4" t="inlineStr">
        <is>
          <t xml:space="preserve">La Universidad de Talca requiere adquirir licencias digitales de 3 Editoriales: Maison des Langues, Clé y Hachette, para docentes de cursos de francés de pregrado, desde el 05 de octubre de 2026 al 05 de octubre de 2027.</t>
        </is>
      </c>
    </row>
    <row r="144">
      <c r="A144" s="0" t="inlineStr">
        <is>
          <t xml:space="preserve">1469-241-L126</t>
        </is>
      </c>
      <c r="B144" s="4" t="inlineStr">
        <is>
          <t xml:space="preserve">ADQUISICIÓN LICENCIAS DIGITALES PLATAFORMA EDUCACIONAL IDIOMA FRANCÉS”, UNIVERSIDAD DE TALCA”</t>
        </is>
      </c>
      <c r="C144" s="0">
        <v>12</v>
      </c>
      <c r="D144" s="4" t="inlineStr">
        <is>
          <t xml:space="preserve">Cursos y materiales de apoyo para aprender a hablar francés</t>
        </is>
      </c>
      <c r="E144" s="4" t="inlineStr">
        <is>
          <t xml:space="preserve">Instrumentos musicales, juegos, juguetes, artesanías y materiales educativos / Materiales, artículos y suministros didácticos profesionales y para el desarrollo personal / Recursos de lenguas extranjeras</t>
        </is>
      </c>
      <c r="F144" s="0">
        <v>2.0</v>
      </c>
      <c r="G144" s="0" t="inlineStr">
        <is>
          <t xml:space="preserve">Unidad</t>
        </is>
      </c>
      <c r="H144" s="4" t="inlineStr">
        <is>
          <t xml:space="preserve">La Universidad de Talca requiere adquirir licencias digitales de 3 Editoriales: Maison des Langues, Clé y Hachette, para docentes de cursos de francés de pregrado, desde el 05 de octubre de 2026 al 05 de octubre de 2027.</t>
        </is>
      </c>
    </row>
    <row r="145">
      <c r="A145" s="0" t="inlineStr">
        <is>
          <t xml:space="preserve">1469-241-L126</t>
        </is>
      </c>
      <c r="B145" s="4" t="inlineStr">
        <is>
          <t xml:space="preserve">ADQUISICIÓN LICENCIAS DIGITALES PLATAFORMA EDUCACIONAL IDIOMA FRANCÉS”, UNIVERSIDAD DE TALCA”</t>
        </is>
      </c>
      <c r="C145" s="0">
        <v>13</v>
      </c>
      <c r="D145" s="4" t="inlineStr">
        <is>
          <t xml:space="preserve">Cursos y materiales de apoyo para aprender a hablar francés</t>
        </is>
      </c>
      <c r="E145" s="4" t="inlineStr">
        <is>
          <t xml:space="preserve">Instrumentos musicales, juegos, juguetes, artesanías y materiales educativos / Materiales, artículos y suministros didácticos profesionales y para el desarrollo personal / Recursos de lenguas extranjeras</t>
        </is>
      </c>
      <c r="F145" s="0">
        <v>2.0</v>
      </c>
      <c r="G145" s="0" t="inlineStr">
        <is>
          <t xml:space="preserve">Unidad</t>
        </is>
      </c>
      <c r="H145" s="4" t="inlineStr">
        <is>
          <t xml:space="preserve">La Universidad de Talca requiere adquirir licencias digitales de 3 Editoriales: Maison des Langues, Clé y Hachette, para docentes de cursos de francés de pregrado, desde el 05 de octubre de 2026 al 05 de octubre de 2027.</t>
        </is>
      </c>
    </row>
    <row r="146">
      <c r="A146" s="0" t="inlineStr">
        <is>
          <t xml:space="preserve">1469-241-L126</t>
        </is>
      </c>
      <c r="B146" s="4" t="inlineStr">
        <is>
          <t xml:space="preserve">ADQUISICIÓN LICENCIAS DIGITALES PLATAFORMA EDUCACIONAL IDIOMA FRANCÉS”, UNIVERSIDAD DE TALCA”</t>
        </is>
      </c>
      <c r="C146" s="0">
        <v>14</v>
      </c>
      <c r="D146" s="4" t="inlineStr">
        <is>
          <t xml:space="preserve">Cursos y materiales de apoyo para aprender a hablar francés</t>
        </is>
      </c>
      <c r="E146" s="4" t="inlineStr">
        <is>
          <t xml:space="preserve">Instrumentos musicales, juegos, juguetes, artesanías y materiales educativos / Materiales, artículos y suministros didácticos profesionales y para el desarrollo personal / Recursos de lenguas extranjeras</t>
        </is>
      </c>
      <c r="F146" s="0">
        <v>2.0</v>
      </c>
      <c r="G146" s="0" t="inlineStr">
        <is>
          <t xml:space="preserve">Unidad</t>
        </is>
      </c>
      <c r="H146" s="4" t="inlineStr">
        <is>
          <t xml:space="preserve">La Universidad de Talca requiere adquirir licencias digitales de 3 Editoriales: Maison des Langues, Clé y Hachette, para docentes de cursos de francés de pregrado, desde el 05 de octubre de 2026 al 05 de octubre de 2027.</t>
        </is>
      </c>
    </row>
    <row r="147">
      <c r="A147" s="0" t="inlineStr">
        <is>
          <t xml:space="preserve">599-37-LP26</t>
        </is>
      </c>
      <c r="B147" s="4" t="inlineStr">
        <is>
          <t xml:space="preserve">ADQUISICIÓN DE SOFTWARE COMPRAS Y PAGOS 36 MESES</t>
        </is>
      </c>
      <c r="C147" s="0">
        <v>1</v>
      </c>
      <c r="D147" s="4" t="inlineStr">
        <is>
          <t xml:space="preserve">Software de gestión de adquisiciones</t>
        </is>
      </c>
      <c r="E147" s="4" t="inlineStr">
        <is>
          <t xml:space="preserve">Tecnologías de la información, telecomunicaciones y radiodifusión / Software / Software de gestión</t>
        </is>
      </c>
      <c r="F147" s="0">
        <v>1.0</v>
      </c>
      <c r="G147" s="0" t="inlineStr">
        <is>
          <t xml:space="preserve">Unidad</t>
        </is>
      </c>
      <c r="H147" s="4" t="inlineStr">
        <is>
          <t xml:space="preserve">ADQUISICIÓN DE UN SOFTWARE DE COMPRAS Y PAGOS A PROVEEDORES POR 36 MESES</t>
        </is>
      </c>
    </row>
    <row r="148">
      <c r="A148" s="0" t="inlineStr">
        <is>
          <t xml:space="preserve">568658-71-LE26</t>
        </is>
      </c>
      <c r="B148" s="4" t="inlineStr">
        <is>
          <t xml:space="preserve">SOFTWARE DE GESTIÓN PARA FARMACIAS Y OPTICAS</t>
        </is>
      </c>
      <c r="C148" s="0">
        <v>1</v>
      </c>
      <c r="D148" s="4" t="inlineStr">
        <is>
          <t xml:space="preserve">Software de administración de metadatos</t>
        </is>
      </c>
      <c r="E148" s="4" t="inlineStr">
        <is>
          <t xml:space="preserve">Tecnologías de la información, telecomunicaciones y radiodifusión / Software / Software de consultas y gestión de datos</t>
        </is>
      </c>
      <c r="F148" s="0">
        <v>1.0</v>
      </c>
      <c r="G148" s="0" t="inlineStr">
        <is>
          <t xml:space="preserve">Unidad</t>
        </is>
      </c>
      <c r="H148" s="4"/>
    </row>
    <row r="149">
      <c r="A149" s="0" t="inlineStr">
        <is>
          <t xml:space="preserve">728-13-LE26</t>
        </is>
      </c>
      <c r="B149" s="4" t="inlineStr">
        <is>
          <t xml:space="preserve">Servicio de automatización de Banco de Calibracion</t>
        </is>
      </c>
      <c r="C149" s="0">
        <v>1</v>
      </c>
      <c r="D149" s="4" t="inlineStr">
        <is>
          <t xml:space="preserve">Artículo de calibración</t>
        </is>
      </c>
      <c r="E149" s="4" t="inlineStr">
        <is>
          <t xml:space="preserve">Maquinaria para fabricación y transformación industrial / Maquinaria y suministros de procesos industriales / Dispositivos de guía, posicionamiento y sujeción</t>
        </is>
      </c>
      <c r="F149" s="0">
        <v>1.0</v>
      </c>
      <c r="G149" s="0" t="inlineStr">
        <is>
          <t xml:space="preserve">Unidad</t>
        </is>
      </c>
      <c r="H149" s="4" t="inlineStr">
        <is>
          <t xml:space="preserve">Servicio de Automatización de Banco de Calibraciones (ver adjunto)</t>
        </is>
      </c>
    </row>
    <row r="150">
      <c r="A150" s="0" t="inlineStr">
        <is>
          <t xml:space="preserve">1469-251-L126</t>
        </is>
      </c>
      <c r="B150" s="4" t="inlineStr">
        <is>
          <t xml:space="preserve">“Servicio suministro de puntos de datos para la Universidad de Talca, Dirección de Tecnologías de información, nueva Oficina Servicios TI”</t>
        </is>
      </c>
      <c r="C150" s="0">
        <v>1</v>
      </c>
      <c r="D150" s="4" t="inlineStr">
        <is>
          <t xml:space="preserve">Servicios relacionados con Internet</t>
        </is>
      </c>
      <c r="E150" s="4" t="inlineStr">
        <is>
          <t xml:space="preserve">Servicios básicos y de información pública / Bibliotecas y otros centros de información pública / Comunicación social y de masas</t>
        </is>
      </c>
      <c r="F150" s="0">
        <v>1.0</v>
      </c>
      <c r="G150" s="0" t="inlineStr">
        <is>
          <t xml:space="preserve">Unidad</t>
        </is>
      </c>
      <c r="H150" s="4" t="inlineStr">
        <is>
          <t xml:space="preserve">La Universidad de Talca requiere la contratación del servicio de instalación de puntos de red Categoría 6, incluyendo la totalidad de los accesorios y componentes necesarios para habilitar la conectividad de datos.</t>
        </is>
      </c>
    </row>
    <row r="151">
      <c r="A151" s="0" t="inlineStr">
        <is>
          <t xml:space="preserve">2107-153-LP26</t>
        </is>
      </c>
      <c r="B151" s="4" t="inlineStr">
        <is>
          <t xml:space="preserve">ARRIENDO DE INFRAESTRUCTURA FÍSICA ENTERPRISE PARA PLATAFORMA TECNOLÓGICA INSTITUCIONAL</t>
        </is>
      </c>
      <c r="C151" s="0">
        <v>1</v>
      </c>
      <c r="D151" s="4" t="inlineStr">
        <is>
          <t xml:space="preserve">Componentes de dispositivo de entrada o unidad de almacenamiento</t>
        </is>
      </c>
      <c r="E151" s="4" t="inlineStr">
        <is>
          <t xml:space="preserve">Tecnologías de la información, telecomunicaciones y radiodifusión / Componentes para tecnología de la información, difusión o telecomunicaciones / Subconjuntos para dispositivos electrónicos</t>
        </is>
      </c>
      <c r="F151" s="0">
        <v>1.0</v>
      </c>
      <c r="G151" s="0" t="inlineStr">
        <is>
          <t xml:space="preserve">Unidad</t>
        </is>
      </c>
      <c r="H151" s="4" t="inlineStr">
        <is>
          <t xml:space="preserve">ARRIENDO DE INFRAESTRUCTURA FÍSICA ENTERPRISE PARA PLATAFORMA TECNOLÓGICA INSTITUCIONAL (según bases)</t>
        </is>
      </c>
    </row>
    <row r="152">
      <c r="A152" s="0" t="inlineStr">
        <is>
          <t xml:space="preserve">1208129-10-LP26</t>
        </is>
      </c>
      <c r="B152" s="4" t="inlineStr">
        <is>
          <t xml:space="preserve">Giftcards digitales nominativas para las RR.FF A.D</t>
        </is>
      </c>
      <c r="C152" s="0">
        <v>1</v>
      </c>
      <c r="D152" s="4" t="inlineStr">
        <is>
          <t xml:space="preserve">Planificación de compensaciones o beneficios</t>
        </is>
      </c>
      <c r="E152" s="4" t="inlineStr">
        <is>
          <t xml:space="preserve">Servicios profesionales, administrativos y consultorías de gestión empresarial / Servicios de recursos humanos / Consultorías para el desarrollo de recursos humanos</t>
        </is>
      </c>
      <c r="F152" s="0">
        <v>1.0</v>
      </c>
      <c r="G152" s="0" t="inlineStr">
        <is>
          <t xml:space="preserve">Global</t>
        </is>
      </c>
      <c r="H152" s="4" t="inlineStr">
        <is>
          <t xml:space="preserve">servicios de administración y provisión de beneficios mediante giftcards digitales nominativas, destinadas a atender necesidades de alimentación de las Residencias Familiares de AA.DD del SPE Región del Biobio.</t>
        </is>
      </c>
    </row>
    <row r="153">
      <c r="A153" s="0" t="inlineStr">
        <is>
          <t xml:space="preserve">1208129-10-LP26</t>
        </is>
      </c>
      <c r="B153" s="4" t="inlineStr">
        <is>
          <t xml:space="preserve">Giftcards digitales nominativas para las RR.FF A.D</t>
        </is>
      </c>
      <c r="C153" s="0">
        <v>2</v>
      </c>
      <c r="D153" s="4" t="inlineStr">
        <is>
          <t xml:space="preserve">Planificación de compensaciones o beneficios</t>
        </is>
      </c>
      <c r="E153" s="4" t="inlineStr">
        <is>
          <t xml:space="preserve">Servicios profesionales, administrativos y consultorías de gestión empresarial / Servicios de recursos humanos / Consultorías para el desarrollo de recursos humanos</t>
        </is>
      </c>
      <c r="F153" s="0">
        <v>1.0</v>
      </c>
      <c r="G153" s="0" t="inlineStr">
        <is>
          <t xml:space="preserve">Global</t>
        </is>
      </c>
      <c r="H153" s="4" t="inlineStr">
        <is>
          <t xml:space="preserve">servicios de administración y provisión de beneficios mediante giftcards digitales nominativas, destinadas a atender necesidades de vestuario de las Residencias Familiares de AA.DD del SPE Región del Biobio.</t>
        </is>
      </c>
    </row>
    <row r="154">
      <c r="A154" s="0" t="inlineStr">
        <is>
          <t xml:space="preserve">1208129-10-LP26</t>
        </is>
      </c>
      <c r="B154" s="4" t="inlineStr">
        <is>
          <t xml:space="preserve">Giftcards digitales nominativas para las RR.FF A.D</t>
        </is>
      </c>
      <c r="C154" s="0">
        <v>3</v>
      </c>
      <c r="D154" s="4" t="inlineStr">
        <is>
          <t xml:space="preserve">Planificación de compensaciones o beneficios</t>
        </is>
      </c>
      <c r="E154" s="4" t="inlineStr">
        <is>
          <t xml:space="preserve">Servicios profesionales, administrativos y consultorías de gestión empresarial / Servicios de recursos humanos / Consultorías para el desarrollo de recursos humanos</t>
        </is>
      </c>
      <c r="F154" s="0">
        <v>1.0</v>
      </c>
      <c r="G154" s="0" t="inlineStr">
        <is>
          <t xml:space="preserve">Global</t>
        </is>
      </c>
      <c r="H154" s="4" t="inlineStr">
        <is>
          <t xml:space="preserve">servicios de administración y provisión de beneficios mediante giftcards digitales nominativas, destinadas a atender necesidades de calzado para las Residencias Familiares de AA.DD del SPE Región del Biobio.</t>
        </is>
      </c>
    </row>
    <row r="155">
      <c r="A155" s="0" t="inlineStr">
        <is>
          <t xml:space="preserve">2760-118-LR26</t>
        </is>
      </c>
      <c r="B155" s="4" t="inlineStr">
        <is>
          <t xml:space="preserve">SERVICIOS DE TELECOMUNICACIONES Y OTROS SERVICIOS INFORMÁTICOS PARA LA MUNICIPALIDAD DE CORONEL</t>
        </is>
      </c>
      <c r="C155" s="0">
        <v>1</v>
      </c>
      <c r="D155" s="4" t="inlineStr">
        <is>
          <t xml:space="preserve">Soporte y mantenimiento de red de área local (LAN)</t>
        </is>
      </c>
      <c r="E155" s="4" t="inlineStr">
        <is>
          <t xml:space="preserve">Servicios basados en ingeniería, ciencias sociales y tecnología de la información / Servicios informáticos / Administración de sistemas</t>
        </is>
      </c>
      <c r="F155" s="0">
        <v>1.0</v>
      </c>
      <c r="G155" s="0" t="inlineStr">
        <is>
          <t xml:space="preserve">Global</t>
        </is>
      </c>
      <c r="H155" s="4" t="inlineStr">
        <is>
          <t xml:space="preserve">Servicios de Telecomunicaciones y Otros Servicios Informáticos para la Municipalidad de Coronel</t>
        </is>
      </c>
    </row>
    <row r="156">
      <c r="A156" s="0" t="inlineStr">
        <is>
          <t xml:space="preserve">548874-78-LR26</t>
        </is>
      </c>
      <c r="B156" s="4" t="inlineStr">
        <is>
          <t xml:space="preserve">SERVICIO DE LICENCIAS CLOUD SUCCESSFACTORS</t>
        </is>
      </c>
      <c r="C156" s="0">
        <v>1</v>
      </c>
      <c r="D156" s="4" t="inlineStr">
        <is>
          <t xml:space="preserve">Software de gestión de licencias</t>
        </is>
      </c>
      <c r="E156" s="4" t="inlineStr">
        <is>
          <t xml:space="preserve">Tecnologías de la información, telecomunicaciones y radiodifusión / Software / Software de gestión</t>
        </is>
      </c>
      <c r="F156" s="0">
        <v>1.0</v>
      </c>
      <c r="G156" s="0" t="inlineStr">
        <is>
          <t xml:space="preserve">Global</t>
        </is>
      </c>
      <c r="H156" s="4" t="inlineStr">
        <is>
          <t xml:space="preserve">SERVICIO DE LICENCIAS CLOUD SUCCESSFACTORS
EN MODALIDAD SAAS.</t>
        </is>
      </c>
    </row>
    <row r="157">
      <c r="A157" s="0" t="inlineStr">
        <is>
          <t xml:space="preserve">1305532-14-LP26</t>
        </is>
      </c>
      <c r="B157" s="4" t="inlineStr">
        <is>
          <t xml:space="preserve">VALORIZACION ACTIVO FIJO Y SOFTWARE INVENTARIO</t>
        </is>
      </c>
      <c r="C157" s="0">
        <v>1</v>
      </c>
      <c r="D157" s="4" t="inlineStr">
        <is>
          <t xml:space="preserve">Contabilidad de inventario</t>
        </is>
      </c>
      <c r="E157" s="4" t="inlineStr">
        <is>
          <t xml:space="preserve">Servicios financieros, pensiones y seguros / Contabilidad y auditorías / Servicios contables</t>
        </is>
      </c>
      <c r="F157" s="0">
        <v>1.0</v>
      </c>
      <c r="G157" s="0" t="inlineStr">
        <is>
          <t xml:space="preserve">Unidad</t>
        </is>
      </c>
      <c r="H157" s="4" t="inlineStr">
        <is>
          <t xml:space="preserve">SERVICIO DE LEVANTAMIENTO, VALORIZACIÓN DE ACTIVO FIJO Y PLATAFORMA DE GESTION DE INVENTARIO PARA EL SLEP ELQUI</t>
        </is>
      </c>
    </row>
    <row r="158">
      <c r="A158" s="0" t="inlineStr">
        <is>
          <t xml:space="preserve">1305532-16-LP26</t>
        </is>
      </c>
      <c r="B158" s="4" t="inlineStr">
        <is>
          <t xml:space="preserve">LICENCIAMIENTO SOFTWARE CONCILIACIONES BANCARIAS</t>
        </is>
      </c>
      <c r="C158" s="0">
        <v>1</v>
      </c>
      <c r="D158" s="4" t="inlineStr">
        <is>
          <t xml:space="preserve">Programas de contabilidad</t>
        </is>
      </c>
      <c r="E158" s="4" t="inlineStr">
        <is>
          <t xml:space="preserve">Tecnologías de la información, telecomunicaciones y radiodifusión / Software / Software de planificación de recursos empresariales (ERP) y contabilidad financiera</t>
        </is>
      </c>
      <c r="F158" s="0">
        <v>1.0</v>
      </c>
      <c r="G158" s="0" t="inlineStr">
        <is>
          <t xml:space="preserve">Unidad</t>
        </is>
      </c>
      <c r="H158" s="4" t="inlineStr">
        <is>
          <t xml:space="preserve">LICENCIAMIENTO SOFTWARE O SISTEMA DE CONCILIACIONES BANCARIAS PARA EL SERVICIO LOCAL DE EDUCACIÓN PÚBLICA ELQUI</t>
        </is>
      </c>
    </row>
    <row r="159">
      <c r="A159" s="0" t="inlineStr">
        <is>
          <t xml:space="preserve">2403-72-LP26</t>
        </is>
      </c>
      <c r="B159" s="4" t="inlineStr">
        <is>
          <t xml:space="preserve">Servicios Cloud</t>
        </is>
      </c>
      <c r="C159" s="0">
        <v>1</v>
      </c>
      <c r="D159" s="4" t="inlineStr">
        <is>
          <t xml:space="preserve">Centro de servicios de datos</t>
        </is>
      </c>
      <c r="E159" s="4" t="inlineStr">
        <is>
          <t xml:space="preserve">Servicios basados en ingeniería, ciencias sociales y tecnología de la información / Servicios informáticos / Servicios de datos</t>
        </is>
      </c>
      <c r="F159" s="0">
        <v>1.0</v>
      </c>
      <c r="G159" s="0" t="inlineStr">
        <is>
          <t xml:space="preserve">Global</t>
        </is>
      </c>
      <c r="H159" s="4" t="inlineStr">
        <is>
          <t xml:space="preserve">Servicios cloud, según bases de licitación</t>
        </is>
      </c>
    </row>
    <row r="160">
      <c r="A160" s="0" t="inlineStr">
        <is>
          <t xml:space="preserve">1057503-146-LE26</t>
        </is>
      </c>
      <c r="B160" s="4" t="inlineStr">
        <is>
          <t xml:space="preserve">Contratación de Solución Tecnológica Bajo Modalidad SaaS para Automatizar Procesos de Gestión Estratégica Institucional para el Hospital Padre Alberto Hurtado</t>
        </is>
      </c>
      <c r="C160" s="0">
        <v>1</v>
      </c>
      <c r="D160" s="4" t="inlineStr">
        <is>
          <t xml:space="preserve">Software de administración</t>
        </is>
      </c>
      <c r="E160" s="4" t="inlineStr">
        <is>
          <t xml:space="preserve">Tecnologías de la información, telecomunicaciones y radiodifusión / Software / Software de administración de redes</t>
        </is>
      </c>
      <c r="F160" s="0">
        <v>1.0</v>
      </c>
      <c r="G160" s="0" t="inlineStr">
        <is>
          <t xml:space="preserve">Unidad</t>
        </is>
      </c>
      <c r="H160" s="4" t="inlineStr">
        <is>
          <t xml:space="preserve">Plataforma Tecnológica en Modalidad SaaS destinada a Automatizar y Fortalecer los Procesos de Gestión Estratégica Institucional, Según Formulario N° 1.</t>
        </is>
      </c>
    </row>
    <row r="161">
      <c r="A161" s="0" t="inlineStr">
        <is>
          <t xml:space="preserve">608-197-LR26</t>
        </is>
      </c>
      <c r="B161" s="4" t="inlineStr">
        <is>
          <t xml:space="preserve">SERVICIO DE OPERACIÓN MANTENIMIENTO Y ACTUALIZACIÓN DE PLATAFORMAS TECNOLÓGICAS DE LA SALA DE CONTROL CENTRALIZADO DEL HOSPITAL DR. GUSTAVO FRICKE</t>
        </is>
      </c>
      <c r="C161" s="0">
        <v>1</v>
      </c>
      <c r="D161" s="4" t="inlineStr">
        <is>
          <t xml:space="preserve">Integración de sistemas</t>
        </is>
      </c>
      <c r="E161" s="4" t="inlineStr">
        <is>
          <t xml:space="preserve">Servicios basados en ingeniería, ciencias sociales y tecnología de la información / Servicios informáticos / Ingeniería en computación e informática</t>
        </is>
      </c>
      <c r="F161" s="0">
        <v>1.0</v>
      </c>
      <c r="G161" s="0" t="inlineStr">
        <is>
          <t xml:space="preserve">Unidad</t>
        </is>
      </c>
      <c r="H161" s="4" t="inlineStr">
        <is>
          <t xml:space="preserve">SERVICIO
DE OPERACIÓN, MANTENIMIENTO Y ACTUALIZACIÓN
DE PLATAFORMAS TECNOLÓGICAS DE LA SALA DE
CONTROL CENTRALIZADO DEL HOSPITAL DR.
GUSTAVO FRICKE (favor desglosar valores en anexo económico N°6)</t>
        </is>
      </c>
    </row>
    <row r="162">
      <c r="A162" s="0" t="inlineStr">
        <is>
          <t xml:space="preserve">1643-91-LP26</t>
        </is>
      </c>
      <c r="B162" s="4" t="inlineStr">
        <is>
          <t xml:space="preserve">SISTEMA INFORMÁTICO ERP</t>
        </is>
      </c>
      <c r="C162" s="0">
        <v>1</v>
      </c>
      <c r="D162" s="4" t="inlineStr">
        <is>
          <t xml:space="preserve">Software de planificación de recursos empresariales (ERP)</t>
        </is>
      </c>
      <c r="E162" s="4" t="inlineStr">
        <is>
          <t xml:space="preserve">Tecnologías de la información, telecomunicaciones y radiodifusión / Software / Software de planificación de recursos empresariales (ERP) y contabilidad financiera</t>
        </is>
      </c>
      <c r="F162" s="0">
        <v>1.0</v>
      </c>
      <c r="G162" s="0" t="inlineStr">
        <is>
          <t xml:space="preserve">Unidad</t>
        </is>
      </c>
      <c r="H162" s="4" t="inlineStr">
        <is>
          <t xml:space="preserve">CONTRATACIÓN DE SISTEMA INFORMÁTICO (ERP)</t>
        </is>
      </c>
    </row>
    <row r="163">
      <c r="A163" s="0" t="inlineStr">
        <is>
          <t xml:space="preserve">2852-59-LP26</t>
        </is>
      </c>
      <c r="B163" s="4" t="inlineStr">
        <is>
          <t xml:space="preserve">ADQUISICION DE LICENCIAS DE SOFTWARE</t>
        </is>
      </c>
      <c r="C163" s="0">
        <v>1</v>
      </c>
      <c r="D163" s="4" t="inlineStr">
        <is>
          <t xml:space="preserve">Software de gestión de licencias</t>
        </is>
      </c>
      <c r="E163" s="4" t="inlineStr">
        <is>
          <t xml:space="preserve">Tecnologías de la información, telecomunicaciones y radiodifusión / Software / Software de gestión</t>
        </is>
      </c>
      <c r="F163" s="0">
        <v>1.0</v>
      </c>
      <c r="G163" s="0" t="inlineStr">
        <is>
          <t xml:space="preserve">Unidad</t>
        </is>
      </c>
      <c r="H163" s="4" t="inlineStr">
        <is>
          <t xml:space="preserve">L1:Software CAD Profesional</t>
        </is>
      </c>
    </row>
    <row r="164">
      <c r="A164" s="0" t="inlineStr">
        <is>
          <t xml:space="preserve">2852-59-LP26</t>
        </is>
      </c>
      <c r="B164" s="4" t="inlineStr">
        <is>
          <t xml:space="preserve">ADQUISICION DE LICENCIAS DE SOFTWARE</t>
        </is>
      </c>
      <c r="C164" s="0">
        <v>2</v>
      </c>
      <c r="D164" s="4" t="inlineStr">
        <is>
          <t xml:space="preserve">Software de gestión de licencias</t>
        </is>
      </c>
      <c r="E164" s="4" t="inlineStr">
        <is>
          <t xml:space="preserve">Tecnologías de la información, telecomunicaciones y radiodifusión / Software / Software de gestión</t>
        </is>
      </c>
      <c r="F164" s="0">
        <v>1.0</v>
      </c>
      <c r="G164" s="0" t="inlineStr">
        <is>
          <t xml:space="preserve">Unidad</t>
        </is>
      </c>
      <c r="H164" s="4" t="inlineStr">
        <is>
          <t xml:space="preserve">L2:Software de Producción Digital</t>
        </is>
      </c>
    </row>
    <row r="165">
      <c r="A165" s="0" t="inlineStr">
        <is>
          <t xml:space="preserve">2852-59-LP26</t>
        </is>
      </c>
      <c r="B165" s="4" t="inlineStr">
        <is>
          <t xml:space="preserve">ADQUISICION DE LICENCIAS DE SOFTWARE</t>
        </is>
      </c>
      <c r="C165" s="0">
        <v>3</v>
      </c>
      <c r="D165" s="4" t="inlineStr">
        <is>
          <t xml:space="preserve">Software de gestión de licencias</t>
        </is>
      </c>
      <c r="E165" s="4" t="inlineStr">
        <is>
          <t xml:space="preserve">Tecnologías de la información, telecomunicaciones y radiodifusión / Software / Software de gestión</t>
        </is>
      </c>
      <c r="F165" s="0">
        <v>1.0</v>
      </c>
      <c r="G165" s="0" t="inlineStr">
        <is>
          <t xml:space="preserve">Unidad</t>
        </is>
      </c>
      <c r="H165" s="4" t="inlineStr">
        <is>
          <t xml:space="preserve">L3:Software de BIM Multidisciplinario</t>
        </is>
      </c>
    </row>
    <row r="166">
      <c r="A166" s="0" t="inlineStr">
        <is>
          <t xml:space="preserve">2852-59-LP26</t>
        </is>
      </c>
      <c r="B166" s="4" t="inlineStr">
        <is>
          <t xml:space="preserve">ADQUISICION DE LICENCIAS DE SOFTWARE</t>
        </is>
      </c>
      <c r="C166" s="0">
        <v>4</v>
      </c>
      <c r="D166" s="4" t="inlineStr">
        <is>
          <t xml:space="preserve">Software de gestión de licencias</t>
        </is>
      </c>
      <c r="E166" s="4" t="inlineStr">
        <is>
          <t xml:space="preserve">Tecnologías de la información, telecomunicaciones y radiodifusión / Software / Software de gestión</t>
        </is>
      </c>
      <c r="F166" s="0">
        <v>1.0</v>
      </c>
      <c r="G166" s="0" t="inlineStr">
        <is>
          <t xml:space="preserve">Unidad</t>
        </is>
      </c>
      <c r="H166" s="4" t="inlineStr">
        <is>
          <t xml:space="preserve">L4:Software de Modelado 3D</t>
        </is>
      </c>
    </row>
    <row r="167">
      <c r="A167" s="0" t="inlineStr">
        <is>
          <t xml:space="preserve">2852-59-LP26</t>
        </is>
      </c>
      <c r="B167" s="4" t="inlineStr">
        <is>
          <t xml:space="preserve">ADQUISICION DE LICENCIAS DE SOFTWARE</t>
        </is>
      </c>
      <c r="C167" s="0">
        <v>5</v>
      </c>
      <c r="D167" s="4" t="inlineStr">
        <is>
          <t xml:space="preserve">Software de gestión de licencias</t>
        </is>
      </c>
      <c r="E167" s="4" t="inlineStr">
        <is>
          <t xml:space="preserve">Tecnologías de la información, telecomunicaciones y radiodifusión / Software / Software de gestión</t>
        </is>
      </c>
      <c r="F167" s="0">
        <v>1.0</v>
      </c>
      <c r="G167" s="0" t="inlineStr">
        <is>
          <t xml:space="preserve">Unidad</t>
        </is>
      </c>
      <c r="H167" s="4" t="inlineStr">
        <is>
          <t xml:space="preserve">L5:Software para Video Institucional</t>
        </is>
      </c>
    </row>
    <row r="168">
      <c r="A168" s="0" t="inlineStr">
        <is>
          <t xml:space="preserve">2852-59-LP26</t>
        </is>
      </c>
      <c r="B168" s="4" t="inlineStr">
        <is>
          <t xml:space="preserve">ADQUISICION DE LICENCIAS DE SOFTWARE</t>
        </is>
      </c>
      <c r="C168" s="0">
        <v>6</v>
      </c>
      <c r="D168" s="4" t="inlineStr">
        <is>
          <t xml:space="preserve">Software de gestión de licencias</t>
        </is>
      </c>
      <c r="E168" s="4" t="inlineStr">
        <is>
          <t xml:space="preserve">Tecnologías de la información, telecomunicaciones y radiodifusión / Software / Software de gestión</t>
        </is>
      </c>
      <c r="F168" s="0">
        <v>1.0</v>
      </c>
      <c r="G168" s="0" t="inlineStr">
        <is>
          <t xml:space="preserve">Unidad</t>
        </is>
      </c>
      <c r="H168" s="4" t="inlineStr">
        <is>
          <t xml:space="preserve">L6:Software de BIM Arquitectura</t>
        </is>
      </c>
    </row>
    <row r="169">
      <c r="A169" s="0" t="inlineStr">
        <is>
          <t xml:space="preserve">2852-59-LP26</t>
        </is>
      </c>
      <c r="B169" s="4" t="inlineStr">
        <is>
          <t xml:space="preserve">ADQUISICION DE LICENCIAS DE SOFTWARE</t>
        </is>
      </c>
      <c r="C169" s="0">
        <v>7</v>
      </c>
      <c r="D169" s="4" t="inlineStr">
        <is>
          <t xml:space="preserve">Software de gestión de licencias</t>
        </is>
      </c>
      <c r="E169" s="4" t="inlineStr">
        <is>
          <t xml:space="preserve">Tecnologías de la información, telecomunicaciones y radiodifusión / Software / Software de gestión</t>
        </is>
      </c>
      <c r="F169" s="0">
        <v>1.0</v>
      </c>
      <c r="G169" s="0" t="inlineStr">
        <is>
          <t xml:space="preserve">Unidad</t>
        </is>
      </c>
      <c r="H169" s="4" t="inlineStr">
        <is>
          <t xml:space="preserve">L7:Software de Gestión de Redes Sociales</t>
        </is>
      </c>
    </row>
    <row r="170">
      <c r="A170" s="0" t="inlineStr">
        <is>
          <t xml:space="preserve">2852-59-LP26</t>
        </is>
      </c>
      <c r="B170" s="4" t="inlineStr">
        <is>
          <t xml:space="preserve">ADQUISICION DE LICENCIAS DE SOFTWARE</t>
        </is>
      </c>
      <c r="C170" s="0">
        <v>8</v>
      </c>
      <c r="D170" s="4" t="inlineStr">
        <is>
          <t xml:space="preserve">Software de gestión de adquisiciones</t>
        </is>
      </c>
      <c r="E170" s="4" t="inlineStr">
        <is>
          <t xml:space="preserve">Tecnologías de la información, telecomunicaciones y radiodifusión / Software / Software de gestión</t>
        </is>
      </c>
      <c r="F170" s="0">
        <v>1.0</v>
      </c>
      <c r="G170" s="0" t="inlineStr">
        <is>
          <t xml:space="preserve">Unidad</t>
        </is>
      </c>
      <c r="H170" s="4" t="inlineStr">
        <is>
          <t xml:space="preserve">L8:Software de Inteligencia Artificial</t>
        </is>
      </c>
    </row>
    <row r="171">
      <c r="A171" s="0" t="inlineStr">
        <is>
          <t xml:space="preserve">2852-59-LP26</t>
        </is>
      </c>
      <c r="B171" s="4" t="inlineStr">
        <is>
          <t xml:space="preserve">ADQUISICION DE LICENCIAS DE SOFTWARE</t>
        </is>
      </c>
      <c r="C171" s="0">
        <v>9</v>
      </c>
      <c r="D171" s="4" t="inlineStr">
        <is>
          <t xml:space="preserve">Software de gestión de recursos humanos</t>
        </is>
      </c>
      <c r="E171" s="4" t="inlineStr">
        <is>
          <t xml:space="preserve">Tecnologías de la información, telecomunicaciones y radiodifusión / Software / Software de gestión</t>
        </is>
      </c>
      <c r="F171" s="0">
        <v>1.0</v>
      </c>
      <c r="G171" s="0" t="inlineStr">
        <is>
          <t xml:space="preserve">Unidad</t>
        </is>
      </c>
      <c r="H171" s="4" t="inlineStr">
        <is>
          <t xml:space="preserve">L9:Software Antivirus</t>
        </is>
      </c>
    </row>
    <row r="172">
      <c r="A172" s="0" t="inlineStr">
        <is>
          <t xml:space="preserve">2852-59-LP26</t>
        </is>
      </c>
      <c r="B172" s="4" t="inlineStr">
        <is>
          <t xml:space="preserve">ADQUISICION DE LICENCIAS DE SOFTWARE</t>
        </is>
      </c>
      <c r="C172" s="0">
        <v>10</v>
      </c>
      <c r="D172" s="4" t="inlineStr">
        <is>
          <t xml:space="preserve">Software de contabilidad temporal</t>
        </is>
      </c>
      <c r="E172" s="4" t="inlineStr">
        <is>
          <t xml:space="preserve">Tecnologías de la información, telecomunicaciones y radiodifusión / Software / Software de planificación de recursos empresariales (ERP) y contabilidad financiera</t>
        </is>
      </c>
      <c r="F172" s="0">
        <v>1.0</v>
      </c>
      <c r="G172" s="0" t="inlineStr">
        <is>
          <t xml:space="preserve">Unidad</t>
        </is>
      </c>
      <c r="H172" s="4" t="inlineStr">
        <is>
          <t xml:space="preserve">L10:Software de gestión de Videocámaras</t>
        </is>
      </c>
    </row>
    <row r="173">
      <c r="A173" s="0" t="inlineStr">
        <is>
          <t xml:space="preserve">2852-59-LP26</t>
        </is>
      </c>
      <c r="B173" s="4" t="inlineStr">
        <is>
          <t xml:space="preserve">ADQUISICION DE LICENCIAS DE SOFTWARE</t>
        </is>
      </c>
      <c r="C173" s="0">
        <v>11</v>
      </c>
      <c r="D173" s="4" t="inlineStr">
        <is>
          <t xml:space="preserve">Software de gestión de relaciones con el cliente (CRM)</t>
        </is>
      </c>
      <c r="E173" s="4" t="inlineStr">
        <is>
          <t xml:space="preserve">Tecnologías de la información, telecomunicaciones y radiodifusión / Software / Software de consultas y gestión de datos</t>
        </is>
      </c>
      <c r="F173" s="0">
        <v>1.0</v>
      </c>
      <c r="G173" s="0" t="inlineStr">
        <is>
          <t xml:space="preserve">Unidad</t>
        </is>
      </c>
      <c r="H173" s="4" t="inlineStr">
        <is>
          <t xml:space="preserve">L11:Software de Fotogrametría</t>
        </is>
      </c>
    </row>
    <row r="174">
      <c r="A174" s="0" t="inlineStr">
        <is>
          <t xml:space="preserve">4459-23-LP26</t>
        </is>
      </c>
      <c r="B174" s="4" t="inlineStr">
        <is>
          <t xml:space="preserve">Plataforma de Sistemas Informáticos de Gestión Municipal para la Ilustre Municipalidad de Pichilemu</t>
        </is>
      </c>
      <c r="C174" s="0">
        <v>1</v>
      </c>
      <c r="D174" s="4" t="inlineStr">
        <is>
          <t xml:space="preserve">Software de mejora de sistemas operativos de redes</t>
        </is>
      </c>
      <c r="E174" s="4" t="inlineStr">
        <is>
          <t xml:space="preserve">Tecnologías de la información, telecomunicaciones y radiodifusión / Software / Software de administración de redes</t>
        </is>
      </c>
      <c r="F174" s="0">
        <v>1.0</v>
      </c>
      <c r="G174" s="0" t="inlineStr">
        <is>
          <t xml:space="preserve">Unidad</t>
        </is>
      </c>
      <c r="H174" s="4" t="inlineStr">
        <is>
          <t xml:space="preserve">Implementación y operación de una plataforma de sistemas informáticos orientada a optimizar la gestión municipal de la Ilustre Municipalidad de Pichilemu. Esta herramienta permitirá centralizar procesos administrativos, mejorar la atención a la comunidad</t>
        </is>
      </c>
    </row>
    <row r="175">
      <c r="A175" s="0" t="inlineStr">
        <is>
          <t xml:space="preserve">948354-139-LR26</t>
        </is>
      </c>
      <c r="B175" s="4" t="inlineStr">
        <is>
          <t xml:space="preserve">CONTRATACIÓN DE SERVICIO DE SOFTWARE DE RECURSOS HUMANOS PARA EL HOSPITAL DIPRECA</t>
        </is>
      </c>
      <c r="C175" s="0">
        <v>1</v>
      </c>
      <c r="D175" s="4" t="inlineStr">
        <is>
          <t xml:space="preserve">Software de gestión de recursos humanos</t>
        </is>
      </c>
      <c r="E175" s="4" t="inlineStr">
        <is>
          <t xml:space="preserve">Tecnologías de la información, telecomunicaciones y radiodifusión / Software / Software de gestión</t>
        </is>
      </c>
      <c r="F175" s="0">
        <v>1.0</v>
      </c>
      <c r="G175" s="0" t="inlineStr">
        <is>
          <t xml:space="preserve">Unidad</t>
        </is>
      </c>
      <c r="H175" s="4" t="inlineStr">
        <is>
          <t xml:space="preserve">CONTRATACIÓN DE SERVICIO DE SOFTWARE DE RECURSOS HUMANOS</t>
        </is>
      </c>
    </row>
    <row r="176">
      <c r="A176" s="0" t="inlineStr">
        <is>
          <t xml:space="preserve">1153624-22-LE26</t>
        </is>
      </c>
      <c r="B176" s="4" t="inlineStr">
        <is>
          <t xml:space="preserve">Servicio enlace de datos de internet</t>
        </is>
      </c>
      <c r="C176" s="0">
        <v>1</v>
      </c>
      <c r="D176" s="4" t="inlineStr">
        <is>
          <t xml:space="preserve">Servicios de almacenamiento de datos</t>
        </is>
      </c>
      <c r="E176" s="4" t="inlineStr">
        <is>
          <t xml:space="preserve">Servicios basados en ingeniería, ciencias sociales y tecnología de la información / Servicios informáticos / Servicios de datos</t>
        </is>
      </c>
      <c r="F176" s="0">
        <v>1.0</v>
      </c>
      <c r="G176" s="0" t="inlineStr">
        <is>
          <t xml:space="preserve">Unidad</t>
        </is>
      </c>
      <c r="H176" s="4" t="inlineStr">
        <is>
          <t xml:space="preserve">Servicio enlace de datos de internet</t>
        </is>
      </c>
    </row>
    <row r="177">
      <c r="A177" s="0" t="inlineStr">
        <is>
          <t xml:space="preserve">2563-43-LP26</t>
        </is>
      </c>
      <c r="B177" s="4" t="inlineStr">
        <is>
          <t xml:space="preserve">Adquisición de cámaras IA y radares de seguridad</t>
        </is>
      </c>
      <c r="C177" s="0">
        <v>1</v>
      </c>
      <c r="D177" s="4" t="inlineStr">
        <is>
          <t xml:space="preserve">Cámaras de seguridad</t>
        </is>
      </c>
      <c r="E177" s="4" t="inlineStr">
        <is>
          <t xml:space="preserve">Equipos y suministros de defensa, orden público, protección y seguridad / Seguridad, vigilancia y detección / Equipo de vigilancia y detección</t>
        </is>
      </c>
      <c r="F177" s="0">
        <v>2.0</v>
      </c>
      <c r="G177" s="0" t="inlineStr">
        <is>
          <t xml:space="preserve">Unidad</t>
        </is>
      </c>
      <c r="H177" s="4" t="inlineStr">
        <is>
          <t xml:space="preserve">Ítem 1, A.- Radar de Seguridad: 
Radar de seguridad para la detección, localización y seguimiento de objetivos, conforme a las especificaciones técnicas y funcionales establecidas en las presentes bases técnicas, de referencia STS-BG24X-L3/P o equivale</t>
        </is>
      </c>
    </row>
    <row r="178">
      <c r="A178" s="0" t="inlineStr">
        <is>
          <t xml:space="preserve">2563-43-LP26</t>
        </is>
      </c>
      <c r="B178" s="4" t="inlineStr">
        <is>
          <t xml:space="preserve">Adquisición de cámaras IA y radares de seguridad</t>
        </is>
      </c>
      <c r="C178" s="0">
        <v>2</v>
      </c>
      <c r="D178" s="4" t="inlineStr">
        <is>
          <t xml:space="preserve">Cámaras de seguridad</t>
        </is>
      </c>
      <c r="E178" s="4" t="inlineStr">
        <is>
          <t xml:space="preserve">Equipos y suministros de defensa, orden público, protección y seguridad / Seguridad, vigilancia y detección / Equipo de vigilancia y detección</t>
        </is>
      </c>
      <c r="F178" s="0">
        <v>2.0</v>
      </c>
      <c r="G178" s="0" t="inlineStr">
        <is>
          <t xml:space="preserve">Unidad</t>
        </is>
      </c>
      <c r="H178" s="4" t="inlineStr">
        <is>
          <t xml:space="preserve">Ítem 1, B.- Licencia: Licenciamiento para la integración, administración y operación de los radares de seguridad en el sistema de gestión de video (VMS), teniendo como referencia HikCentral-P-Radar-1Unit o equivalente de otras marcas o fabricantes que per</t>
        </is>
      </c>
    </row>
    <row r="179">
      <c r="A179" s="0" t="inlineStr">
        <is>
          <t xml:space="preserve">2563-43-LP26</t>
        </is>
      </c>
      <c r="B179" s="4" t="inlineStr">
        <is>
          <t xml:space="preserve">Adquisición de cámaras IA y radares de seguridad</t>
        </is>
      </c>
      <c r="C179" s="0">
        <v>3</v>
      </c>
      <c r="D179" s="4" t="inlineStr">
        <is>
          <t xml:space="preserve">Cámaras de seguridad</t>
        </is>
      </c>
      <c r="E179" s="4" t="inlineStr">
        <is>
          <t xml:space="preserve">Equipos y suministros de defensa, orden público, protección y seguridad / Seguridad, vigilancia y detección / Equipo de vigilancia y detección</t>
        </is>
      </c>
      <c r="F179" s="0">
        <v>1.0</v>
      </c>
      <c r="G179" s="0" t="inlineStr">
        <is>
          <t xml:space="preserve">Unidad</t>
        </is>
      </c>
      <c r="H179" s="4" t="inlineStr">
        <is>
          <t xml:space="preserve">ítem 2: Servidor de gestión de video.</t>
        </is>
      </c>
    </row>
    <row r="180">
      <c r="A180" s="0" t="inlineStr">
        <is>
          <t xml:space="preserve">2563-43-LP26</t>
        </is>
      </c>
      <c r="B180" s="4" t="inlineStr">
        <is>
          <t xml:space="preserve">Adquisición de cámaras IA y radares de seguridad</t>
        </is>
      </c>
      <c r="C180" s="0">
        <v>4</v>
      </c>
      <c r="D180" s="4" t="inlineStr">
        <is>
          <t xml:space="preserve">Cámaras de seguridad</t>
        </is>
      </c>
      <c r="E180" s="4" t="inlineStr">
        <is>
          <t xml:space="preserve">Equipos y suministros de defensa, orden público, protección y seguridad / Seguridad, vigilancia y detección / Equipo de vigilancia y detección</t>
        </is>
      </c>
      <c r="F180" s="0">
        <v>2.0</v>
      </c>
      <c r="G180" s="0" t="inlineStr">
        <is>
          <t xml:space="preserve">Unidad</t>
        </is>
      </c>
      <c r="H180" s="4" t="inlineStr">
        <is>
          <t xml:space="preserve">Ítem 3, A.- Cámara de videovigilancia: Cámara IP con funcionalidad de reconocimiento automático de placas patentes (ANPR)teniendo como referencia iDS-TCM403-B(G)/POE/2812 o equivalente de otras marcas o fabricantes que cumplan íntegramente las especificac</t>
        </is>
      </c>
    </row>
    <row r="181">
      <c r="A181" s="0" t="inlineStr">
        <is>
          <t xml:space="preserve">2563-43-LP26</t>
        </is>
      </c>
      <c r="B181" s="4" t="inlineStr">
        <is>
          <t xml:space="preserve">Adquisición de cámaras IA y radares de seguridad</t>
        </is>
      </c>
      <c r="C181" s="0">
        <v>5</v>
      </c>
      <c r="D181" s="4" t="inlineStr">
        <is>
          <t xml:space="preserve">Cámaras de seguridad</t>
        </is>
      </c>
      <c r="E181" s="4" t="inlineStr">
        <is>
          <t xml:space="preserve">Equipos y suministros de defensa, orden público, protección y seguridad / Seguridad, vigilancia y detección / Equipo de vigilancia y detección</t>
        </is>
      </c>
      <c r="F181" s="0">
        <v>2.0</v>
      </c>
      <c r="G181" s="0" t="inlineStr">
        <is>
          <t xml:space="preserve">Unidad</t>
        </is>
      </c>
      <c r="H181" s="4" t="inlineStr">
        <is>
          <t xml:space="preserve">Ítem 3, B.- Licencia: Licenciamiento para habilitar la integración, gestión y operación de las cámaras con funcionalidad ANPR en el sistema de gestión de video (VMS), , teniendo como referencia  HikCentral-P-VSS-1Ch/ANPR o equivalente de otras marcas o fa</t>
        </is>
      </c>
    </row>
    <row r="182">
      <c r="A182" s="0" t="inlineStr">
        <is>
          <t xml:space="preserve">2563-43-LP26</t>
        </is>
      </c>
      <c r="B182" s="4" t="inlineStr">
        <is>
          <t xml:space="preserve">Adquisición de cámaras IA y radares de seguridad</t>
        </is>
      </c>
      <c r="C182" s="0">
        <v>6</v>
      </c>
      <c r="D182" s="4" t="inlineStr">
        <is>
          <t xml:space="preserve">Cámaras de seguridad</t>
        </is>
      </c>
      <c r="E182" s="4" t="inlineStr">
        <is>
          <t xml:space="preserve">Equipos y suministros de defensa, orden público, protección y seguridad / Seguridad, vigilancia y detección / Equipo de vigilancia y detección</t>
        </is>
      </c>
      <c r="F182" s="0">
        <v>6.0</v>
      </c>
      <c r="G182" s="0" t="inlineStr">
        <is>
          <t xml:space="preserve">Unidad</t>
        </is>
      </c>
      <c r="H182" s="4" t="inlineStr">
        <is>
          <t xml:space="preserve">Ítem 4, A.- Cámara de videovigilancia: Cámara IP con capacidad de reconocimiento facial, teniendo como referencia iDS-2CD7A46G2-IZHS o equivalente de otras marcas o fabricantes que cumplan íntegramente las especificaciones técnicas y funcionales estableci</t>
        </is>
      </c>
    </row>
    <row r="183">
      <c r="A183" s="0" t="inlineStr">
        <is>
          <t xml:space="preserve">2563-43-LP26</t>
        </is>
      </c>
      <c r="B183" s="4" t="inlineStr">
        <is>
          <t xml:space="preserve">Adquisición de cámaras IA y radares de seguridad</t>
        </is>
      </c>
      <c r="C183" s="0">
        <v>7</v>
      </c>
      <c r="D183" s="4" t="inlineStr">
        <is>
          <t xml:space="preserve">Cámaras de seguridad</t>
        </is>
      </c>
      <c r="E183" s="4" t="inlineStr">
        <is>
          <t xml:space="preserve">Equipos y suministros de defensa, orden público, protección y seguridad / Seguridad, vigilancia y detección / Equipo de vigilancia y detección</t>
        </is>
      </c>
      <c r="F183" s="0">
        <v>6.0</v>
      </c>
      <c r="G183" s="0" t="inlineStr">
        <is>
          <t xml:space="preserve">Unidad</t>
        </is>
      </c>
      <c r="H183" s="4" t="inlineStr">
        <is>
          <t xml:space="preserve">Ítem 4, B.- Licencia: Licenciamiento para habilitar la funcionalidad de reconocimiento facial de las 6 cámaras a instalar en el sistema de gestión de video (VMS),, teniendo como referencia HikCentral P-AcuSeek-1Ch/RealTime&amp;Search o equivalente de otras ma</t>
        </is>
      </c>
    </row>
    <row r="184">
      <c r="A184" s="0" t="inlineStr">
        <is>
          <t xml:space="preserve">2563-43-LP26</t>
        </is>
      </c>
      <c r="B184" s="4" t="inlineStr">
        <is>
          <t xml:space="preserve">Adquisición de cámaras IA y radares de seguridad</t>
        </is>
      </c>
      <c r="C184" s="0">
        <v>8</v>
      </c>
      <c r="D184" s="4" t="inlineStr">
        <is>
          <t xml:space="preserve">Cámaras de seguridad</t>
        </is>
      </c>
      <c r="E184" s="4" t="inlineStr">
        <is>
          <t xml:space="preserve">Equipos y suministros de defensa, orden público, protección y seguridad / Seguridad, vigilancia y detección / Equipo de vigilancia y detección</t>
        </is>
      </c>
      <c r="F184" s="0">
        <v>1.0</v>
      </c>
      <c r="G184" s="0" t="inlineStr">
        <is>
          <t xml:space="preserve">Unidad</t>
        </is>
      </c>
      <c r="H184" s="4" t="inlineStr">
        <is>
          <t xml:space="preserve">Ítem 5, A.-Grabador de video: Grabador de vídeo en red (NVR), destinado a la grabación, almacenamiento, gestión y reproducción de las señales de video de la solución, teniendo como modelo de referencia iDS-9664NXI-M16/X o equivalente de otras marcas o fab</t>
        </is>
      </c>
    </row>
    <row r="185">
      <c r="A185" s="0" t="inlineStr">
        <is>
          <t xml:space="preserve">2563-43-LP26</t>
        </is>
      </c>
      <c r="B185" s="4" t="inlineStr">
        <is>
          <t xml:space="preserve">Adquisición de cámaras IA y radares de seguridad</t>
        </is>
      </c>
      <c r="C185" s="0">
        <v>9</v>
      </c>
      <c r="D185" s="4" t="inlineStr">
        <is>
          <t xml:space="preserve">Cámaras de seguridad</t>
        </is>
      </c>
      <c r="E185" s="4" t="inlineStr">
        <is>
          <t xml:space="preserve">Equipos y suministros de defensa, orden público, protección y seguridad / Seguridad, vigilancia y detección / Equipo de vigilancia y detección</t>
        </is>
      </c>
      <c r="F185" s="0">
        <v>8.0</v>
      </c>
      <c r="G185" s="0" t="inlineStr">
        <is>
          <t xml:space="preserve">Unidad</t>
        </is>
      </c>
      <c r="H185" s="4" t="inlineStr">
        <is>
          <t xml:space="preserve">Ítem 5, B.- Disco duro: B.- De 10 TB, 7200 RPM, 3.5”, SATA, apto para sistemas de videovigilancia y operación continua 24/7, teniendo como modelo de referencia  WUS721010ALE6L4, o equivalente de otras marcas o fabricantes que cumplan íntegramente las espe</t>
        </is>
      </c>
    </row>
    <row r="186">
      <c r="A186" s="0" t="inlineStr">
        <is>
          <t xml:space="preserve">2563-43-LP26</t>
        </is>
      </c>
      <c r="B186" s="4" t="inlineStr">
        <is>
          <t xml:space="preserve">Adquisición de cámaras IA y radares de seguridad</t>
        </is>
      </c>
      <c r="C186" s="0">
        <v>10</v>
      </c>
      <c r="D186" s="4" t="inlineStr">
        <is>
          <t xml:space="preserve">Cámaras de seguridad</t>
        </is>
      </c>
      <c r="E186" s="4" t="inlineStr">
        <is>
          <t xml:space="preserve">Equipos y suministros de defensa, orden público, protección y seguridad / Seguridad, vigilancia y detección / Equipo de vigilancia y detección</t>
        </is>
      </c>
      <c r="F186" s="0">
        <v>1.0</v>
      </c>
      <c r="G186" s="0" t="inlineStr">
        <is>
          <t xml:space="preserve">Unidad</t>
        </is>
      </c>
      <c r="H186" s="4" t="inlineStr">
        <is>
          <t xml:space="preserve">Ítem 6, A.-Videowall Licencia: A.- Licencia necesaria para habilitar la gestión, configuración y operación del módulo de videowall para VMS, teniendo como referencia HikCentral-P-SmartWall/Module o equivalente de otras marcas o fabricantes que permitan cu</t>
        </is>
      </c>
    </row>
    <row r="187">
      <c r="A187" s="0" t="inlineStr">
        <is>
          <t xml:space="preserve">2563-43-LP26</t>
        </is>
      </c>
      <c r="B187" s="4" t="inlineStr">
        <is>
          <t xml:space="preserve">Adquisición de cámaras IA y radares de seguridad</t>
        </is>
      </c>
      <c r="C187" s="0">
        <v>11</v>
      </c>
      <c r="D187" s="4" t="inlineStr">
        <is>
          <t xml:space="preserve">Cámaras de seguridad</t>
        </is>
      </c>
      <c r="E187" s="4" t="inlineStr">
        <is>
          <t xml:space="preserve">Equipos y suministros de defensa, orden público, protección y seguridad / Seguridad, vigilancia y detección / Equipo de vigilancia y detección</t>
        </is>
      </c>
      <c r="F187" s="0">
        <v>1.0</v>
      </c>
      <c r="G187" s="0" t="inlineStr">
        <is>
          <t xml:space="preserve">Unidad</t>
        </is>
      </c>
      <c r="H187" s="4" t="inlineStr">
        <is>
          <t xml:space="preserve">Ítem 6, B.-Videowall Licencia: Licencia para VMS, que permita habilitar y mantener operativo los canales requeridos y demás funcionalidades señaladas en las presentes bases, teniendo como referencia  HikCentral-P-Maintenance-16 Ch/Base /Promo) o equivalen</t>
        </is>
      </c>
    </row>
    <row r="188">
      <c r="A188" s="0" t="inlineStr">
        <is>
          <t xml:space="preserve">2563-43-LP26</t>
        </is>
      </c>
      <c r="B188" s="4" t="inlineStr">
        <is>
          <t xml:space="preserve">Adquisición de cámaras IA y radares de seguridad</t>
        </is>
      </c>
      <c r="C188" s="0">
        <v>12</v>
      </c>
      <c r="D188" s="4" t="inlineStr">
        <is>
          <t xml:space="preserve">Cámaras de seguridad</t>
        </is>
      </c>
      <c r="E188" s="4" t="inlineStr">
        <is>
          <t xml:space="preserve">Equipos y suministros de defensa, orden público, protección y seguridad / Seguridad, vigilancia y detección / Equipo de vigilancia y detección</t>
        </is>
      </c>
      <c r="F188" s="0">
        <v>2.0</v>
      </c>
      <c r="G188" s="0" t="inlineStr">
        <is>
          <t xml:space="preserve">Unidad</t>
        </is>
      </c>
      <c r="H188" s="4" t="inlineStr">
        <is>
          <t xml:space="preserve">Ítem 6, C.- Videowall: C.- Pantalla LCD 46”, teniendo como modelo de referencia DS-D2046TL-2B o equivalente de otras marcas o fabricantes que cumpla íntegramente las especificaciones técnicas y funcionales establecidas en las presentes bases técnicas.</t>
        </is>
      </c>
    </row>
    <row r="189">
      <c r="A189" s="0" t="inlineStr">
        <is>
          <t xml:space="preserve">2563-43-LP26</t>
        </is>
      </c>
      <c r="B189" s="4" t="inlineStr">
        <is>
          <t xml:space="preserve">Adquisición de cámaras IA y radares de seguridad</t>
        </is>
      </c>
      <c r="C189" s="0">
        <v>13</v>
      </c>
      <c r="D189" s="4" t="inlineStr">
        <is>
          <t xml:space="preserve">Cámaras de seguridad</t>
        </is>
      </c>
      <c r="E189" s="4" t="inlineStr">
        <is>
          <t xml:space="preserve">Equipos y suministros de defensa, orden público, protección y seguridad / Seguridad, vigilancia y detección / Equipo de vigilancia y detección</t>
        </is>
      </c>
      <c r="F189" s="0">
        <v>2.0</v>
      </c>
      <c r="G189" s="0" t="inlineStr">
        <is>
          <t xml:space="preserve">Unidad</t>
        </is>
      </c>
      <c r="H189" s="4" t="inlineStr">
        <is>
          <t xml:space="preserve">Ítem 6, D.- Videowall: Sistema de soporte y anclaje para monitor 46” compatible con la pantalla ofertada y adecuado a las condiciones del lugar de instalación, teniendo como modelo de referencia  DP-D2X46XXX-1X1 o equivalente de otras marcas o fabricantes</t>
        </is>
      </c>
    </row>
    <row r="190">
      <c r="A190" s="0" t="inlineStr">
        <is>
          <t xml:space="preserve">2563-43-LP26</t>
        </is>
      </c>
      <c r="B190" s="4" t="inlineStr">
        <is>
          <t xml:space="preserve">Adquisición de cámaras IA y radares de seguridad</t>
        </is>
      </c>
      <c r="C190" s="0">
        <v>14</v>
      </c>
      <c r="D190" s="4" t="inlineStr">
        <is>
          <t xml:space="preserve">Cámaras de seguridad</t>
        </is>
      </c>
      <c r="E190" s="4" t="inlineStr">
        <is>
          <t xml:space="preserve">Equipos y suministros de defensa, orden público, protección y seguridad / Seguridad, vigilancia y detección / Equipo de vigilancia y detección</t>
        </is>
      </c>
      <c r="F190" s="0">
        <v>2.0</v>
      </c>
      <c r="G190" s="0" t="inlineStr">
        <is>
          <t xml:space="preserve">Unidad</t>
        </is>
      </c>
      <c r="H190" s="4" t="inlineStr">
        <is>
          <t xml:space="preserve">Ítem 6, E.- Videowall: Decodificador 4K,teniendo como modelo de referencia DS-6908UDI o equivalente de otras marcas o fabricantes que cumpla íntegramente las especificaciones técnicas y funcionales establecidas en las presentes Bases Técnicas.</t>
        </is>
      </c>
    </row>
    <row r="191">
      <c r="A191" s="0" t="inlineStr">
        <is>
          <t xml:space="preserve">2563-43-LP26</t>
        </is>
      </c>
      <c r="B191" s="4" t="inlineStr">
        <is>
          <t xml:space="preserve">Adquisición de cámaras IA y radares de seguridad</t>
        </is>
      </c>
      <c r="C191" s="0">
        <v>15</v>
      </c>
      <c r="D191" s="4" t="inlineStr">
        <is>
          <t xml:space="preserve">Cámaras de seguridad</t>
        </is>
      </c>
      <c r="E191" s="4" t="inlineStr">
        <is>
          <t xml:space="preserve">Equipos y suministros de defensa, orden público, protección y seguridad / Seguridad, vigilancia y detección / Equipo de vigilancia y detección</t>
        </is>
      </c>
      <c r="F191" s="0">
        <v>1.0</v>
      </c>
      <c r="G191" s="0" t="inlineStr">
        <is>
          <t xml:space="preserve">Unidad</t>
        </is>
      </c>
      <c r="H191" s="4" t="inlineStr">
        <is>
          <t xml:space="preserve">Ítem 6, F.-Videowall:  F.- Control IP PTZ Joystick  para la gestión y operación de las cámaras de videovigilancia, compatible con el VMS HikCentral de propiedad de la DGAC, teniendo como modelo de referencia  DS-1600KI o equivalente de otras marcas o fabr</t>
        </is>
      </c>
    </row>
    <row r="192">
      <c r="A192" s="0" t="inlineStr">
        <is>
          <t xml:space="preserve">514862-125-LR26</t>
        </is>
      </c>
      <c r="B192" s="4" t="inlineStr">
        <is>
          <t xml:space="preserve">10032938 PLATAFORMA DE AGENDAMIENTO TELECONSULTAS</t>
        </is>
      </c>
      <c r="C192" s="0">
        <v>1</v>
      </c>
      <c r="D192" s="4" t="inlineStr">
        <is>
          <t xml:space="preserve">Servicios de transformación de datos</t>
        </is>
      </c>
      <c r="E192" s="4" t="inlineStr">
        <is>
          <t xml:space="preserve">Servicios basados en ingeniería, ciencias sociales y tecnología de la información / Servicios informáticos / Servicios de datos</t>
        </is>
      </c>
      <c r="F192" s="0">
        <v>1.0</v>
      </c>
      <c r="G192" s="0" t="inlineStr">
        <is>
          <t xml:space="preserve">Unidad</t>
        </is>
      </c>
      <c r="H192" s="4" t="inlineStr">
        <is>
          <t xml:space="preserve">PLATAFORMA INTEGRAL DE AGENDAMIENTO, TELECONSULTAS Y GESTIÓN DE FILAS PARA LA ATENCIÓN</t>
        </is>
      </c>
    </row>
    <row r="193">
      <c r="A193" s="0" t="inlineStr">
        <is>
          <t xml:space="preserve">5482-101-LR26</t>
        </is>
      </c>
      <c r="B193" s="4" t="inlineStr">
        <is>
          <t xml:space="preserve">Plataforma IA para video y seguridad urbana</t>
        </is>
      </c>
      <c r="C193" s="0">
        <v>1</v>
      </c>
      <c r="D193" s="4" t="inlineStr">
        <is>
          <t xml:space="preserve">Software de desarrollo de plataforma Web</t>
        </is>
      </c>
      <c r="E193" s="4" t="inlineStr">
        <is>
          <t xml:space="preserve">Tecnologías de la información, telecomunicaciones y radiodifusión / Software / Programas de desarrollo</t>
        </is>
      </c>
      <c r="F193" s="0">
        <v>1.0</v>
      </c>
      <c r="G193" s="0" t="inlineStr">
        <is>
          <t xml:space="preserve">Global</t>
        </is>
      </c>
      <c r="H193" s="4" t="inlineStr">
        <is>
          <t xml:space="preserve">Setup o configuración inicial del servicio e instalación</t>
        </is>
      </c>
    </row>
    <row r="194">
      <c r="A194" s="0" t="inlineStr">
        <is>
          <t xml:space="preserve">5482-101-LR26</t>
        </is>
      </c>
      <c r="B194" s="4" t="inlineStr">
        <is>
          <t xml:space="preserve">Plataforma IA para video y seguridad urbana</t>
        </is>
      </c>
      <c r="C194" s="0">
        <v>2</v>
      </c>
      <c r="D194" s="4" t="inlineStr">
        <is>
          <t xml:space="preserve">Software de desarrollo de plataforma Web</t>
        </is>
      </c>
      <c r="E194" s="4" t="inlineStr">
        <is>
          <t xml:space="preserve">Tecnologías de la información, telecomunicaciones y radiodifusión / Software / Programas de desarrollo</t>
        </is>
      </c>
      <c r="F194" s="0">
        <v>26.0</v>
      </c>
      <c r="G194" s="0" t="inlineStr">
        <is>
          <t xml:space="preserve">Mes</t>
        </is>
      </c>
      <c r="H194" s="4" t="inlineStr">
        <is>
          <t xml:space="preserve">Servicio mensual (Operación)</t>
        </is>
      </c>
    </row>
    <row r="195">
      <c r="A195" s="0" t="inlineStr">
        <is>
          <t xml:space="preserve">425-65-LR26</t>
        </is>
      </c>
      <c r="B195" s="4" t="inlineStr">
        <is>
          <t xml:space="preserve">Renovación de licencias y servicio de administración de software Falcon Crowdstrike EDR para el Poder Judicial</t>
        </is>
      </c>
      <c r="C195" s="0">
        <v>1</v>
      </c>
      <c r="D195" s="4" t="inlineStr">
        <is>
          <t xml:space="preserve">Software de gestión de licencias</t>
        </is>
      </c>
      <c r="E195" s="4" t="inlineStr">
        <is>
          <t xml:space="preserve">Tecnologías de la información, telecomunicaciones y radiodifusión / Software / Software de gestión</t>
        </is>
      </c>
      <c r="F195" s="0">
        <v>1.0</v>
      </c>
      <c r="G195" s="0" t="inlineStr">
        <is>
          <t xml:space="preserve">Global</t>
        </is>
      </c>
      <c r="H195" s="4" t="inlineStr">
        <is>
          <t xml:space="preserve">Ítem 4 LICENCIAS FALCON CROWDSTRIKE EDR. Valor total neto del ítem según Formulario Económico N°1 (en caso de discrepancia entre el valor del portal y el formulario primará este último).</t>
        </is>
      </c>
    </row>
    <row r="196">
      <c r="A196" s="0" t="inlineStr">
        <is>
          <t xml:space="preserve">425-65-LR26</t>
        </is>
      </c>
      <c r="B196" s="4" t="inlineStr">
        <is>
          <t xml:space="preserve">Renovación de licencias y servicio de administración de software Falcon Crowdstrike EDR para el Poder Judicial</t>
        </is>
      </c>
      <c r="C196" s="0">
        <v>2</v>
      </c>
      <c r="D196" s="4" t="inlineStr">
        <is>
          <t xml:space="preserve">Software de gestión de licencias</t>
        </is>
      </c>
      <c r="E196" s="4" t="inlineStr">
        <is>
          <t xml:space="preserve">Tecnologías de la información, telecomunicaciones y radiodifusión / Software / Software de gestión</t>
        </is>
      </c>
      <c r="F196" s="0">
        <v>1.0</v>
      </c>
      <c r="G196" s="0" t="inlineStr">
        <is>
          <t xml:space="preserve">Global</t>
        </is>
      </c>
      <c r="H196" s="4" t="inlineStr">
        <is>
          <t xml:space="preserve">Ítem 1 LICENCIAS FALCON CROWDSTRIKE EDR. Valor total neto del ítem según Formulario Económico N°1 (en caso de discrepancia entre el valor del portal y el formulario primará este último).</t>
        </is>
      </c>
    </row>
    <row r="197">
      <c r="A197" s="0" t="inlineStr">
        <is>
          <t xml:space="preserve">425-65-LR26</t>
        </is>
      </c>
      <c r="B197" s="4" t="inlineStr">
        <is>
          <t xml:space="preserve">Renovación de licencias y servicio de administración de software Falcon Crowdstrike EDR para el Poder Judicial</t>
        </is>
      </c>
      <c r="C197" s="0">
        <v>3</v>
      </c>
      <c r="D197" s="4" t="inlineStr">
        <is>
          <t xml:space="preserve">Software de gestión de licencias</t>
        </is>
      </c>
      <c r="E197" s="4" t="inlineStr">
        <is>
          <t xml:space="preserve">Tecnologías de la información, telecomunicaciones y radiodifusión / Software / Software de gestión</t>
        </is>
      </c>
      <c r="F197" s="0">
        <v>1.0</v>
      </c>
      <c r="G197" s="0" t="inlineStr">
        <is>
          <t xml:space="preserve">Global</t>
        </is>
      </c>
      <c r="H197" s="4" t="inlineStr">
        <is>
          <t xml:space="preserve">Ítem 2 LICENCIAS FALCON CROWDSTRIKE EDR. Valor total neto del ítem según Formulario Económico N°1 (en caso de discrepancia entre el valor del portal y el formulario primará este último).</t>
        </is>
      </c>
    </row>
    <row r="198">
      <c r="A198" s="0" t="inlineStr">
        <is>
          <t xml:space="preserve">425-65-LR26</t>
        </is>
      </c>
      <c r="B198" s="4" t="inlineStr">
        <is>
          <t xml:space="preserve">Renovación de licencias y servicio de administración de software Falcon Crowdstrike EDR para el Poder Judicial</t>
        </is>
      </c>
      <c r="C198" s="0">
        <v>4</v>
      </c>
      <c r="D198" s="4" t="inlineStr">
        <is>
          <t xml:space="preserve">Software de gestión de licencias</t>
        </is>
      </c>
      <c r="E198" s="4" t="inlineStr">
        <is>
          <t xml:space="preserve">Tecnologías de la información, telecomunicaciones y radiodifusión / Software / Software de gestión</t>
        </is>
      </c>
      <c r="F198" s="0">
        <v>1.0</v>
      </c>
      <c r="G198" s="0" t="inlineStr">
        <is>
          <t xml:space="preserve">Global</t>
        </is>
      </c>
      <c r="H198" s="4" t="inlineStr">
        <is>
          <t xml:space="preserve">Ítem 3 LICENCIAS FALCON CROWDSTRIKE EDR. Valor total neto del ítem según Formulario Económico N°1 (en caso de discrepancia entre el valor del portal y el formulario primará este último).</t>
        </is>
      </c>
    </row>
    <row r="199">
      <c r="A199" s="0" t="inlineStr">
        <is>
          <t xml:space="preserve">425-65-LR26</t>
        </is>
      </c>
      <c r="B199" s="4" t="inlineStr">
        <is>
          <t xml:space="preserve">Renovación de licencias y servicio de administración de software Falcon Crowdstrike EDR para el Poder Judicial</t>
        </is>
      </c>
      <c r="C199" s="0">
        <v>5</v>
      </c>
      <c r="D199" s="4" t="inlineStr">
        <is>
          <t xml:space="preserve">Software de gestión de licencias</t>
        </is>
      </c>
      <c r="E199" s="4" t="inlineStr">
        <is>
          <t xml:space="preserve">Tecnologías de la información, telecomunicaciones y radiodifusión / Software / Software de gestión</t>
        </is>
      </c>
      <c r="F199" s="0">
        <v>1.0</v>
      </c>
      <c r="G199" s="0" t="inlineStr">
        <is>
          <t xml:space="preserve">Global</t>
        </is>
      </c>
      <c r="H199" s="4" t="inlineStr">
        <is>
          <t xml:space="preserve">Ítem 5 Servicios de Administración
Falcon Crowdstrike. Valor total neto del ítem según Formulario Económico N°1 (en caso de discrepancia entre el valor del portal y el formulario primará este último).</t>
        </is>
      </c>
    </row>
    <row r="200">
      <c r="A200" s="0" t="inlineStr">
        <is>
          <t xml:space="preserve">1191449-19-LP26</t>
        </is>
      </c>
      <c r="B200" s="4" t="inlineStr">
        <is>
          <t xml:space="preserve">SERVICIOS  DE ADMINIS DE INFRAES CLOUD Y MANTEN AN</t>
        </is>
      </c>
      <c r="C200" s="0">
        <v>1</v>
      </c>
      <c r="D200" s="4" t="inlineStr">
        <is>
          <t xml:space="preserve">Profesionales</t>
        </is>
      </c>
      <c r="E200" s="4" t="inlineStr">
        <is>
          <t xml:space="preserve">Servicios profesionales, administrativos y consultorías de gestión empresarial / Servicios de recursos humanos / Contratación de personal</t>
        </is>
      </c>
      <c r="F200" s="0">
        <v>1.0</v>
      </c>
      <c r="G200" s="0" t="inlineStr">
        <is>
          <t xml:space="preserve">Unidad</t>
        </is>
      </c>
      <c r="H200" s="4" t="inlineStr">
        <is>
          <t xml:space="preserve">Servicio profesional de administración de infraestructura Cloud</t>
        </is>
      </c>
    </row>
    <row r="201">
      <c r="A201" s="0" t="inlineStr">
        <is>
          <t xml:space="preserve">1191449-19-LP26</t>
        </is>
      </c>
      <c r="B201" s="4" t="inlineStr">
        <is>
          <t xml:space="preserve">SERVICIOS  DE ADMINIS DE INFRAES CLOUD Y MANTEN AN</t>
        </is>
      </c>
      <c r="C201" s="0">
        <v>2</v>
      </c>
      <c r="D201" s="4" t="inlineStr">
        <is>
          <t xml:space="preserve">Profesionales</t>
        </is>
      </c>
      <c r="E201" s="4" t="inlineStr">
        <is>
          <t xml:space="preserve">Servicios profesionales, administrativos y consultorías de gestión empresarial / Servicios de recursos humanos / Contratación de personal</t>
        </is>
      </c>
      <c r="F201" s="0">
        <v>1.0</v>
      </c>
      <c r="G201" s="0" t="inlineStr">
        <is>
          <t xml:space="preserve">Unidad</t>
        </is>
      </c>
      <c r="H201" s="4" t="inlineStr">
        <is>
          <t xml:space="preserve">Servicio profesional de mantención de sistemas</t>
        </is>
      </c>
    </row>
    <row r="202">
      <c r="A202" s="0" t="inlineStr">
        <is>
          <t xml:space="preserve">1409-15-LE26</t>
        </is>
      </c>
      <c r="B202" s="4" t="inlineStr">
        <is>
          <t xml:space="preserve">Servicio arriendo red de datos e internet</t>
        </is>
      </c>
      <c r="C202" s="0">
        <v>1</v>
      </c>
      <c r="D202" s="4" t="inlineStr">
        <is>
          <t xml:space="preserve">Proveedores de servicio de Internet (ISP)</t>
        </is>
      </c>
      <c r="E202" s="4" t="inlineStr">
        <is>
          <t xml:space="preserve">Servicios basados en ingeniería, ciencias sociales y tecnología de la información / Servicios informáticos / Servicios para internet</t>
        </is>
      </c>
      <c r="F202" s="0">
        <v>36.0</v>
      </c>
      <c r="G202" s="0" t="inlineStr">
        <is>
          <t xml:space="preserve">Mes</t>
        </is>
      </c>
      <c r="H202" s="4" t="inlineStr">
        <is>
          <t xml:space="preserve">Servicio de arriendo red de datos e internet para el aeropuerto el Tepual de Puerto Montt.</t>
        </is>
      </c>
    </row>
    <row r="203">
      <c r="A203" s="0" t="inlineStr">
        <is>
          <t xml:space="preserve">4160-15-LP26</t>
        </is>
      </c>
      <c r="B203" s="4" t="inlineStr">
        <is>
          <t xml:space="preserve">SERV MANTENIMIENTO TRANSMISION DE DATOS CAMARAS</t>
        </is>
      </c>
      <c r="C203" s="0">
        <v>1</v>
      </c>
      <c r="D203" s="4" t="inlineStr">
        <is>
          <t xml:space="preserve">Cámaras de seguridad</t>
        </is>
      </c>
      <c r="E203" s="4" t="inlineStr">
        <is>
          <t xml:space="preserve">Equipos y suministros de defensa, orden público, protección y seguridad / Seguridad, vigilancia y detección / Equipo de vigilancia y detección</t>
        </is>
      </c>
      <c r="F203" s="0">
        <v>48.0</v>
      </c>
      <c r="G203" s="0" t="inlineStr">
        <is>
          <t xml:space="preserve">Mes</t>
        </is>
      </c>
      <c r="H203" s="4" t="inlineStr">
        <is>
          <t xml:space="preserve">contratación del “SERVICIO DE MANTENIMIENTO, TRANSMISION DE DATOS CAMARAS DE TELEVIGILANCIA HUALPÉN”, para lo cual se deberá considerar un plazo de prestación del servicio de 48 meses corridos.</t>
        </is>
      </c>
    </row>
    <row r="204">
      <c r="A204" s="0" t="inlineStr">
        <is>
          <t xml:space="preserve">1461054-45-LP26</t>
        </is>
      </c>
      <c r="B204" s="4" t="inlineStr">
        <is>
          <t xml:space="preserve">PLATAFORMA DE GESTIÓN EDUCACIONAL PARA 77 E.E</t>
        </is>
      </c>
      <c r="C204" s="0">
        <v>1</v>
      </c>
      <c r="D204" s="4" t="inlineStr">
        <is>
          <t xml:space="preserve">Software del sistema de administración de bases de datos</t>
        </is>
      </c>
      <c r="E204" s="4" t="inlineStr">
        <is>
          <t xml:space="preserve">Tecnologías de la información, telecomunicaciones y radiodifusión / Software / Software de consultas y gestión de datos</t>
        </is>
      </c>
      <c r="F204" s="0">
        <v>1.0</v>
      </c>
      <c r="G204" s="0" t="inlineStr">
        <is>
          <t xml:space="preserve">Unidad</t>
        </is>
      </c>
      <c r="H204" s="4" t="inlineStr">
        <is>
          <t xml:space="preserve">PLATAFORMA DE GESTIÓN EDUCACIONAL PARA 77 ESTABLECIMIENTOS EDUCACIONALES DEPENDIENTES DEL SERVICIO LOCAL DE EDUCACIÓN PÚBLICA ELQUI</t>
        </is>
      </c>
    </row>
    <row r="205">
      <c r="A205" s="0" t="inlineStr">
        <is>
          <t xml:space="preserve">608897-61-LP26</t>
        </is>
      </c>
      <c r="B205" s="4" t="inlineStr">
        <is>
          <t xml:space="preserve">SOPORTE PLATAFORMAS DE INFORMACIÓN AMBIENTAL BIANUAL</t>
        </is>
      </c>
      <c r="C205" s="0">
        <v>1</v>
      </c>
      <c r="D205" s="4" t="inlineStr">
        <is>
          <t xml:space="preserve">Servicios de asesoría de tecnología medioambiental</t>
        </is>
      </c>
      <c r="E205" s="4" t="inlineStr">
        <is>
          <t xml:space="preserve">Servicios medioambientales / Gestión medioambiental / Servicios de asesoría medioambiental</t>
        </is>
      </c>
      <c r="F205" s="0">
        <v>1.0</v>
      </c>
      <c r="G205" s="0" t="inlineStr">
        <is>
          <t xml:space="preserve">Unidad</t>
        </is>
      </c>
      <c r="H205" s="4" t="inlineStr">
        <is>
          <t xml:space="preserve">realizar servicios de mantención, actualización, soporte y diseño de los sistemas asociados a la construcción de la información ambiental administrados por el Departamento de Información Ambiental del Ministerio del Medio Ambiente</t>
        </is>
      </c>
    </row>
    <row r="206">
      <c r="A206" s="0" t="inlineStr">
        <is>
          <t xml:space="preserve">4086-48-LP26</t>
        </is>
      </c>
      <c r="B206" s="4" t="inlineStr">
        <is>
          <t xml:space="preserve">SERVICIO DE SISTEMA DE INFORMACIÓN DE LA GESTIÓN</t>
        </is>
      </c>
      <c r="C206" s="0">
        <v>1</v>
      </c>
      <c r="D206" s="4" t="inlineStr">
        <is>
          <t xml:space="preserve">Programas de gestión de configuración</t>
        </is>
      </c>
      <c r="E206" s="4" t="inlineStr">
        <is>
          <t xml:space="preserve">Tecnologías de la información, telecomunicaciones y radiodifusión / Software / Programas de desarrollo</t>
        </is>
      </c>
      <c r="F206" s="0">
        <v>1.0</v>
      </c>
      <c r="G206" s="0" t="inlineStr">
        <is>
          <t xml:space="preserve">Unidad</t>
        </is>
      </c>
      <c r="H206" s="4" t="inlineStr">
        <is>
          <t xml:space="preserve">SERVICIO DE MANTENCIÓN, ARRIENDO Y PROVISIÓN DE SISTEMA DE INFORMACIÓN DE LA GESTIÓN MUNICIPAL Y SOPORTE COMPUTACIONAL SEGÚN BASES, , ESPECIFICACIONES TÉCNICAS, ANEXOS E ITEM ADJUNTOS.</t>
        </is>
      </c>
    </row>
    <row r="207">
      <c r="A207" s="0" t="inlineStr">
        <is>
          <t xml:space="preserve">605-17-LP26</t>
        </is>
      </c>
      <c r="B207" s="4" t="inlineStr">
        <is>
          <t xml:space="preserve">TELEFONÍA FIJA Y RED PRIVADA DE DATOS</t>
        </is>
      </c>
      <c r="C207" s="0">
        <v>1</v>
      </c>
      <c r="D207" s="4" t="inlineStr">
        <is>
          <t xml:space="preserve">Servicio telefónico local</t>
        </is>
      </c>
      <c r="E207" s="4" t="inlineStr">
        <is>
          <t xml:space="preserve">Servicios básicos y de información pública / Telecomunicaciones / Telefonía local y de larga distancia</t>
        </is>
      </c>
      <c r="F207" s="0">
        <v>1.0</v>
      </c>
      <c r="G207" s="0" t="inlineStr">
        <is>
          <t xml:space="preserve">Unidad</t>
        </is>
      </c>
      <c r="H207"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208">
      <c r="A208" s="0" t="inlineStr">
        <is>
          <t xml:space="preserve">605-17-LP26</t>
        </is>
      </c>
      <c r="B208" s="4" t="inlineStr">
        <is>
          <t xml:space="preserve">TELEFONÍA FIJA Y RED PRIVADA DE DATOS</t>
        </is>
      </c>
      <c r="C208" s="0">
        <v>2</v>
      </c>
      <c r="D208" s="4" t="inlineStr">
        <is>
          <t xml:space="preserve">Servicio de comunicación IP</t>
        </is>
      </c>
      <c r="E208" s="4" t="inlineStr">
        <is>
          <t xml:space="preserve">Servicios básicos y de información pública / Telecomunicaciones / Telefonía local y de larga distancia</t>
        </is>
      </c>
      <c r="F208" s="0">
        <v>1.0</v>
      </c>
      <c r="G208" s="0" t="inlineStr">
        <is>
          <t xml:space="preserve">Unidad</t>
        </is>
      </c>
      <c r="H208"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209">
      <c r="A209" s="0" t="inlineStr">
        <is>
          <t xml:space="preserve">617807-79-B226</t>
        </is>
      </c>
      <c r="B209" s="4" t="inlineStr">
        <is>
          <t xml:space="preserve">SERVICIO DE MANTENCIÓN PREVENTIVA Y REPARATIVA DE EQUIPOS DE RAYOS X DIGITAL ARCO C PARA EL HOSPITAL SAN JUAN DE DIOS DE LOS ANDES</t>
        </is>
      </c>
      <c r="C209" s="0">
        <v>1</v>
      </c>
      <c r="D209" s="4" t="inlineStr">
        <is>
          <t xml:space="preserve">Servicio de mantenimiento de equipo de fabricación</t>
        </is>
      </c>
      <c r="E209" s="4" t="inlineStr">
        <is>
          <t xml:space="preserve">Servicios de producción y fabricación industrial / Servicios de apoyo o soporte a la fabricación / Servicios de mantenimiento y reparación de equipo de fabricación</t>
        </is>
      </c>
      <c r="F209" s="0">
        <v>1.0</v>
      </c>
      <c r="G209" s="0" t="inlineStr">
        <is>
          <t xml:space="preserve">Unidad</t>
        </is>
      </c>
      <c r="H209" s="4" t="inlineStr">
        <is>
          <t xml:space="preserve">SERVICIO DE MANTENCION PREVENTIVA Y REPARATIVO  DE EQUIPOS DE RAYOS X DIGITAL ARCO C (SEGUN TERMINOS DE REFERENCIA)</t>
        </is>
      </c>
    </row>
    <row r="210">
      <c r="A210" s="0" t="inlineStr">
        <is>
          <t xml:space="preserve">948354-140-LR26</t>
        </is>
      </c>
      <c r="B210" s="4" t="inlineStr">
        <is>
          <t xml:space="preserve">CONTRATACIÓN DE UNA SOLUCIÓN INTEGRAL RIS-PACS INCLUYENDO LA PROVISIÓN DE SERVICIOS SOFTWARE HARDWARE E INFRAESTRUCTURA TECNOLÓGICA PARA EL SERVICIO DE IMAGENOLOGÍA DEL HOSPITAL DIPRECA</t>
        </is>
      </c>
      <c r="C210" s="0">
        <v>1</v>
      </c>
      <c r="D210" s="4" t="inlineStr">
        <is>
          <t xml:space="preserve">Sistemas informatizados de archivado de imágenes (PACS) médicos</t>
        </is>
      </c>
      <c r="E210" s="4" t="inlineStr">
        <is>
          <t xml:space="preserve">Equipamiento y suministros médicos / Productos para imágenes y de medicina nuclear / Artículos para archivar información e imágenes radiológicas</t>
        </is>
      </c>
      <c r="F210" s="0">
        <v>60.0</v>
      </c>
      <c r="G210" s="0" t="inlineStr">
        <is>
          <t xml:space="preserve">Mes</t>
        </is>
      </c>
      <c r="H210" s="4" t="inlineStr">
        <is>
          <t xml:space="preserve">SERVICIO DE RIS-PACS PARA EL SERVICIO DE IMAGENOLOGÍA DEL HOSPITAL DIPRECA (De acuerdo a las Bases Técnicas).</t>
        </is>
      </c>
    </row>
    <row r="211">
      <c r="A211" s="0" t="inlineStr">
        <is>
          <t xml:space="preserve">976-15-O126</t>
        </is>
      </c>
      <c r="B211" s="4" t="inlineStr">
        <is>
          <t xml:space="preserve">Ampliación Plataformas Comercial y General Ad. El Loa</t>
        </is>
      </c>
      <c r="C211" s="0">
        <v>1</v>
      </c>
      <c r="D211" s="4" t="inlineStr">
        <is>
          <t xml:space="preserve">Licitación Pública de Obra</t>
        </is>
      </c>
      <c r="E211" s="4" t="inlineStr">
        <is>
          <t xml:space="preserve">Consultoria / Consultoria / Planificación y Factibilidad</t>
        </is>
      </c>
      <c r="F211" s="0">
        <v>1.0</v>
      </c>
      <c r="G211" s="0" t="inlineStr">
        <is>
          <t xml:space="preserve">Unidad</t>
        </is>
      </c>
      <c r="H211" s="4" t="inlineStr">
        <is>
          <t xml:space="preserve">Licitación Pública de Obra</t>
        </is>
      </c>
    </row>
    <row r="212">
      <c r="A212" s="0" t="inlineStr">
        <is>
          <t xml:space="preserve">2667-71-LR26</t>
        </is>
      </c>
      <c r="B212" s="4" t="inlineStr">
        <is>
          <t xml:space="preserve">ARRIENDO SOPORTE Y MANTENCIÓN DE CENTRAL TELEFONICA IP TELEFONOS IP Y PLATAFORMA DE CONTACT CENTER</t>
        </is>
      </c>
      <c r="C212" s="0">
        <v>1</v>
      </c>
      <c r="D212" s="4" t="inlineStr">
        <is>
          <t xml:space="preserve">Sistemas de alarma</t>
        </is>
      </c>
      <c r="E212" s="4" t="inlineStr">
        <is>
          <t xml:space="preserve">Equipos y suministros de defensa, orden público, protección y seguridad / Seguridad, vigilancia y detección / Equipo de vigilancia y detección</t>
        </is>
      </c>
      <c r="F212" s="0">
        <v>1.0</v>
      </c>
      <c r="G212" s="0" t="inlineStr">
        <is>
          <t xml:space="preserve">Global</t>
        </is>
      </c>
      <c r="H212" s="4" t="inlineStr">
        <is>
          <t xml:space="preserve">ARRIENDO, INSTALACIÓN, SOPORTE Y MANTENCIÓN DE CENTRAL TELEFÓNICA, EQUIPOS TELEFÓNICOS Y PLATAFORMA DE ATENCIÓN TELEFÓNICA</t>
        </is>
      </c>
    </row>
    <row r="213">
      <c r="A213" s="0" t="inlineStr">
        <is>
          <t xml:space="preserve">2342-36-LR26</t>
        </is>
      </c>
      <c r="B213" s="4" t="inlineStr">
        <is>
          <t xml:space="preserve">CONCESIÓN DE ESTACIONAMIENTOS EN CALLES DE LA ZONA CENTRO DE LA COMUNA DE SAN BERNARDO APLICANDO SISTEMA DE CONTROL DE TIEMPO DE USO CAPTADORES DE DATOS</t>
        </is>
      </c>
      <c r="C213" s="0">
        <v>1</v>
      </c>
      <c r="D213" s="4" t="inlineStr">
        <is>
          <t xml:space="preserve">Estacionamientos</t>
        </is>
      </c>
      <c r="E213" s="4" t="inlineStr">
        <is>
          <t xml:space="preserve">Servicios de transporte, almacenaje y correo / Servicios de mantención o reparaciones de transportes / Combustible para vehículos de transporte, estacionamiento y otros servicios de apoyo</t>
        </is>
      </c>
      <c r="F213" s="0">
        <v>1.0</v>
      </c>
      <c r="G213" s="0" t="inlineStr">
        <is>
          <t xml:space="preserve">Unidad</t>
        </is>
      </c>
      <c r="H213" s="4" t="inlineStr">
        <is>
          <t xml:space="preserve">De acuerdo a lo indicado en Especificaciones Técnicas</t>
        </is>
      </c>
    </row>
    <row r="214">
      <c r="A214" s="0" t="inlineStr">
        <is>
          <t xml:space="preserve">2403-73-LR26</t>
        </is>
      </c>
      <c r="B214" s="4" t="inlineStr">
        <is>
          <t xml:space="preserve">Servicios de conectividad telecomunicaciones operación de infraestructura y gestión de ciberseguridad.</t>
        </is>
      </c>
      <c r="C214" s="0">
        <v>1</v>
      </c>
      <c r="D214" s="4" t="inlineStr">
        <is>
          <t xml:space="preserve">Instalación de sistemas de seguridad</t>
        </is>
      </c>
      <c r="E214" s="4" t="inlineStr">
        <is>
          <t xml:space="preserve">Servicios de construcción y mantenimiento / Servicios de atención, mantenimiento y reparaciones de edificios / Servicios eléctricos</t>
        </is>
      </c>
      <c r="F214" s="0">
        <v>1.0</v>
      </c>
      <c r="G214" s="0" t="inlineStr">
        <is>
          <t xml:space="preserve">Global</t>
        </is>
      </c>
      <c r="H214" s="4" t="inlineStr">
        <is>
          <t xml:space="preserve">Servicios de conectividad, telecomunicaciones, operación de infraestructura y gestión de ciberseguridad actualmente en producción, incluyendo conectividad institucional, telefonía IP, Contact Center, redes cableadas e inalámbricas, y otros según Bases.</t>
        </is>
      </c>
    </row>
    <row r="215">
      <c r="A215" s="0" t="inlineStr">
        <is>
          <t xml:space="preserve">634-92-LE26</t>
        </is>
      </c>
      <c r="B215" s="4" t="inlineStr">
        <is>
          <t xml:space="preserve">SISTEMA RADIOGRÁFICO ODONTOLÓGICO DIGITAL</t>
        </is>
      </c>
      <c r="C215" s="0">
        <v>1</v>
      </c>
      <c r="D215" s="4" t="inlineStr">
        <is>
          <t xml:space="preserve">Unidades de Rayos X dentales</t>
        </is>
      </c>
      <c r="E215" s="4" t="inlineStr">
        <is>
          <t xml:space="preserve">Equipamiento y suministros médicos / Equipos y suministros odontológicos / Equipo y suministros para imágenes dentales</t>
        </is>
      </c>
      <c r="F215" s="0">
        <v>1.0</v>
      </c>
      <c r="G215" s="0" t="inlineStr">
        <is>
          <t xml:space="preserve">Unidad</t>
        </is>
      </c>
      <c r="H215" s="4" t="inlineStr">
        <is>
          <t xml:space="preserve">Adquisición sistema radiográfico odontológico digital tipo Ortopantomógrafo con tecnología CBCT para el Servicio Dental del Hospital Penitenciario</t>
        </is>
      </c>
    </row>
    <row r="216">
      <c r="A216" s="0" t="inlineStr">
        <is>
          <t xml:space="preserve">976-18-O126</t>
        </is>
      </c>
      <c r="B216" s="4" t="inlineStr">
        <is>
          <t xml:space="preserve">ATIF Ampliación Plataformas Comercial y General Ad. El Loa</t>
        </is>
      </c>
      <c r="C216" s="0">
        <v>1</v>
      </c>
      <c r="D216" s="4" t="inlineStr">
        <is>
          <t xml:space="preserve">Licitación Pública de Consultoria</t>
        </is>
      </c>
      <c r="E216" s="4" t="inlineStr">
        <is>
          <t xml:space="preserve">Consultoria / Consultoria / Planificación y Factibilidad</t>
        </is>
      </c>
      <c r="F216" s="0">
        <v>1.0</v>
      </c>
      <c r="G216" s="0" t="inlineStr">
        <is>
          <t xml:space="preserve">Unidad</t>
        </is>
      </c>
      <c r="H216" s="4" t="inlineStr">
        <is>
          <t xml:space="preserve">Licitación Pública de Consultoria</t>
        </is>
      </c>
    </row>
    <row r="217">
      <c r="A217" s="0" t="inlineStr">
        <is>
          <t xml:space="preserve">2490-91-LP26</t>
        </is>
      </c>
      <c r="B217" s="4" t="inlineStr">
        <is>
          <t xml:space="preserve">ARRIENDO SOPORTE Y MANTENCIÓN DE GABINETES PSICOSENSOMÉTRICOS Y EQUIPOS COMPUTACIONALES CON SOFTWARE SPI INTEGRADO 2027-2031</t>
        </is>
      </c>
      <c r="C217" s="0">
        <v>1</v>
      </c>
      <c r="D217" s="4" t="inlineStr">
        <is>
          <t xml:space="preserve">Señales de tránsito</t>
        </is>
      </c>
      <c r="E217" s="4" t="inlineStr">
        <is>
          <t xml:space="preserve">Equipos y suministros de defensa, orden público, protección y seguridad / Seguridad y control público / Control de tráfico</t>
        </is>
      </c>
      <c r="F217" s="0">
        <v>1.0</v>
      </c>
      <c r="G217" s="0" t="inlineStr">
        <is>
          <t xml:space="preserve">Global</t>
        </is>
      </c>
      <c r="H217" s="4" t="inlineStr">
        <is>
          <t xml:space="preserve">“ARRIENDO, SOPORTE Y MANTENCIÓN DE GABINETES PSICOSENSOMÉTRICOS Y EQUIPOS COMPUTACIONALES CON SOFTWARE SPI INTEGRADO 2027-2031”</t>
        </is>
      </c>
    </row>
    <row r="218">
      <c r="A218" s="0" t="inlineStr">
        <is>
          <t xml:space="preserve">2735-149-LR26</t>
        </is>
      </c>
      <c r="B218" s="4" t="inlineStr">
        <is>
          <t xml:space="preserve">Servicio de Software de Gestión y Registro Clinico</t>
        </is>
      </c>
      <c r="C218" s="0">
        <v>1</v>
      </c>
      <c r="D218" s="4" t="inlineStr">
        <is>
          <t xml:space="preserve">Software médico</t>
        </is>
      </c>
      <c r="E218" s="4" t="inlineStr">
        <is>
          <t xml:space="preserve">Tecnologías de la información, telecomunicaciones y radiodifusión / Software / Software específico para la industria</t>
        </is>
      </c>
      <c r="F218" s="0">
        <v>1.0</v>
      </c>
      <c r="G218" s="0" t="inlineStr">
        <is>
          <t xml:space="preserve">Unidad</t>
        </is>
      </c>
      <c r="H218"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t>
        </is>
      </c>
    </row>
    <row r="219">
      <c r="A219" s="0" t="inlineStr">
        <is>
          <t xml:space="preserve">621-909-LR26</t>
        </is>
      </c>
      <c r="B219" s="4" t="inlineStr">
        <is>
          <t xml:space="preserve">TERMOGRAFO DIGITAL MONITOREO TEMPERATURA 1000023277</t>
        </is>
      </c>
      <c r="C219" s="0">
        <v>1</v>
      </c>
      <c r="D219" s="4" t="inlineStr">
        <is>
          <t xml:space="preserve">Termómetros de tele indicación</t>
        </is>
      </c>
      <c r="E219" s="4" t="inlineStr">
        <is>
          <t xml:space="preserve">Equipamiento para laboratorios / Instrumentos de medida y experimentación / Instrumentos para medir temperatura y calor</t>
        </is>
      </c>
      <c r="F219" s="0">
        <v>3000.0</v>
      </c>
      <c r="G219" s="0" t="inlineStr">
        <is>
          <t xml:space="preserve">Unidad</t>
        </is>
      </c>
      <c r="H219" s="4" t="inlineStr">
        <is>
          <t xml:space="preserve">TERMOGRAFO DIGITAL MONITOREO TEMPERATURA; 100005575</t>
        </is>
      </c>
    </row>
    <row r="220">
      <c r="A220" s="0" t="inlineStr">
        <is>
          <t xml:space="preserve">2426-52-LR26</t>
        </is>
      </c>
      <c r="B220" s="4" t="inlineStr">
        <is>
          <t xml:space="preserve">DATACENTER ENLACES DE DATOS TELEFONIA E INTERNET</t>
        </is>
      </c>
      <c r="C220" s="0">
        <v>1</v>
      </c>
      <c r="D220" s="4" t="inlineStr">
        <is>
          <t xml:space="preserve">Centro de servicios de datos</t>
        </is>
      </c>
      <c r="E220" s="4" t="inlineStr">
        <is>
          <t xml:space="preserve">Servicios basados en ingeniería, ciencias sociales y tecnología de la información / Servicios informáticos / Servicios de datos</t>
        </is>
      </c>
      <c r="F220" s="0">
        <v>1.0</v>
      </c>
      <c r="G220" s="0" t="inlineStr">
        <is>
          <t xml:space="preserve">Unidad</t>
        </is>
      </c>
      <c r="H220" s="4"/>
    </row>
    <row r="221">
      <c r="A221" s="0" t="inlineStr">
        <is>
          <t xml:space="preserve">1969-34-LS19</t>
        </is>
      </c>
      <c r="B221" s="4" t="inlineStr">
        <is>
          <t xml:space="preserve">AUTOMATIZACIÓN PORTÓN ACCESO A LINEA DE FUEGO</t>
        </is>
      </c>
      <c r="C221" s="0">
        <v>1</v>
      </c>
      <c r="D221" s="4" t="inlineStr">
        <is>
          <t xml:space="preserve">Puertas de metal</t>
        </is>
      </c>
      <c r="E221" s="4" t="inlineStr">
        <is>
          <t xml:space="preserve">Artículos para estructuras, obras y construcciones / Puertas, ventanas y vidrios / Puertas</t>
        </is>
      </c>
      <c r="F221" s="0">
        <v>1.0</v>
      </c>
      <c r="G221" s="0" t="inlineStr">
        <is>
          <t xml:space="preserve">Unidad</t>
        </is>
      </c>
      <c r="H221" s="4" t="inlineStr">
        <is>
          <t xml:space="preserve">AUTOMATIZACIÓN DE PORTÓN ACCESO A LINEA DE FUEGO C.P. CONCEPCIÓN</t>
        </is>
      </c>
    </row>
  </sheetData>
  <autoFilter ref="A1:H221"/>
</worksheet>
</file>