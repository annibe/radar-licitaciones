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2422-149-L126</t>
        </is>
      </c>
      <c r="B2" s="4" t="inlineStr">
        <is>
          <t xml:space="preserve">SOL. 945841, SERVISIO DE FABRICACION E INSTALACION DE TABLERO PARA BALNEARIO</t>
        </is>
      </c>
      <c r="C2" s="0" t="inlineStr">
        <is>
          <t xml:space="preserve">Publicada</t>
        </is>
      </c>
      <c r="D2" s="0" t="inlineStr">
        <is>
          <t xml:space="preserve">I MUNICIPALIDAD DE PUENTE ALTO</t>
        </is>
      </c>
      <c r="E2" s="0" t="inlineStr">
        <is>
          <t xml:space="preserve">I MUNICIPALIDAD DE PUENTE ALTO</t>
        </is>
      </c>
      <c r="F2" s="0" t="inlineStr">
        <is>
          <t xml:space="preserve">Región Metropolitana de Santiago</t>
        </is>
      </c>
      <c r="G2" s="0" t="inlineStr">
        <is>
          <t xml:space="preserve">Puente Alto</t>
        </is>
      </c>
      <c r="H2" s="2">
        <v>46265.753669</v>
      </c>
      <c r="I2" s="2">
        <v>46272.65</v>
      </c>
      <c r="J2" s="0">
        <v>6</v>
      </c>
      <c r="K2" s="3">
        <v>4000000.0</v>
      </c>
      <c r="L2" s="0" t="inlineStr">
        <is>
          <t xml:space="preserve">CLP</t>
        </is>
      </c>
      <c r="M2" s="0" t="inlineStr">
        <is>
          <t xml:space="preserve">L1</t>
        </is>
      </c>
      <c r="N2" s="4" t="inlineStr">
        <is>
          <t xml:space="preserve">Servicios de producción y fabricación industrial / Fabricación de maquinarias y equipos de transporte / Fabricación de maquinarias</t>
        </is>
      </c>
      <c r="O2" s="4" t="inlineStr">
        <is>
          <t xml:space="preserve">1 Kit · Servicios de fabricación de calderas para central eléctrica</t>
        </is>
      </c>
      <c r="P2" s="2"/>
      <c r="Q2" s="2"/>
      <c r="R2" s="0"/>
      <c r="S2" s="0" t="inlineStr">
        <is>
          <t xml:space="preserve">No</t>
        </is>
      </c>
      <c r="T2" s="4"/>
      <c r="U2" s="0"/>
      <c r="V2" s="4" t="inlineStr">
        <is>
          <t xml:space="preserve">NECESIDAD DE SERVICIO, PARA ACONDICIONAMIENTO DE AMBIENTE DE LA PISCINA TEMPERADA BALNEARIO MUNICIPAL, SE REQUIERE SERVICIO DE FABRICACION, INSTALACION Y PUESTA EN MARCHA DE TABLERO DE FUERZA Y COMANDO DE MOTOR TRIFASICO.</t>
        </is>
      </c>
      <c r="W2" s="5" t="str">
        <f>HYPERLINK("https://www.mercadopublico.cl/Procurement/Modules/RFB/DetailsAcquisition.aspx?idlicitacion=2422-149-L126","descargar bases")</f>
      </c>
    </row>
  </sheetData>
  <autoFilter ref="A1:W2"/>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986278-18-L126</t>
        </is>
      </c>
      <c r="B2" s="4" t="inlineStr">
        <is>
          <t xml:space="preserve">CONTRATO DE SUMINISTRO DE INSUMOS INFORMÁTICOS, AÑO 2026, CFT DE LA REGIÓN DE LA ARAUCANÍA</t>
        </is>
      </c>
      <c r="C2" s="0" t="inlineStr">
        <is>
          <t xml:space="preserve">Publicada</t>
        </is>
      </c>
      <c r="D2" s="0" t="inlineStr">
        <is>
          <t xml:space="preserve">CENTRO DE FORMACION TECNICA DE LA REGION DE LA ARAUCANIA</t>
        </is>
      </c>
      <c r="E2" s="0" t="inlineStr">
        <is>
          <t xml:space="preserve">Sub-Unidad Adquisiciones y Contrataciones Públicas</t>
        </is>
      </c>
      <c r="F2" s="0" t="inlineStr">
        <is>
          <t xml:space="preserve">Región Metropolitana de Santiago</t>
        </is>
      </c>
      <c r="G2" s="0" t="inlineStr">
        <is>
          <t xml:space="preserve">Vitacura</t>
        </is>
      </c>
      <c r="H2" s="2">
        <v>46253.735417</v>
      </c>
      <c r="I2" s="2">
        <v>46265.666667</v>
      </c>
      <c r="J2" s="0">
        <v>-1</v>
      </c>
      <c r="K2" s="3">
        <v>4522419.0</v>
      </c>
      <c r="L2" s="0" t="inlineStr">
        <is>
          <t xml:space="preserve">CLP</t>
        </is>
      </c>
      <c r="M2" s="0" t="inlineStr">
        <is>
          <t xml:space="preserve">L1</t>
        </is>
      </c>
      <c r="N2" s="4" t="inlineStr">
        <is>
          <t xml:space="preserve">Equipos, accesorios y suministros de oficina / Maquinarias, suministros y accesorios de oficina / Suministros para impresora, fax y fotocopiadora</t>
        </is>
      </c>
      <c r="O2" s="4" t="inlineStr">
        <is>
          <t xml:space="preserve">1 Global · Tóner</t>
        </is>
      </c>
      <c r="P2" s="2"/>
      <c r="Q2" s="2"/>
      <c r="R2" s="0"/>
      <c r="S2" s="0" t="inlineStr">
        <is>
          <t xml:space="preserve">No</t>
        </is>
      </c>
      <c r="T2" s="4"/>
      <c r="U2" s="0"/>
      <c r="V2"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2" s="5" t="str">
        <f>HYPERLINK("https://www.mercadopublico.cl/Procurement/Modules/RFB/DetailsAcquisition.aspx?idlicitacion=986278-18-L126","descargar bases")</f>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t="inlineStr">
        <is>
          <t xml:space="preserve">Publicada</t>
        </is>
      </c>
      <c r="D3" s="0" t="inlineStr">
        <is>
          <t xml:space="preserve">DIRECCION DE ABASTECIMIENTO DE LA ARMADA</t>
        </is>
      </c>
      <c r="E3" s="0" t="inlineStr">
        <is>
          <t xml:space="preserve">DIRECCION GENERAL DEL TERRITORIO MARITIMO Y M.M.</t>
        </is>
      </c>
      <c r="F3" s="0" t="inlineStr">
        <is>
          <t xml:space="preserve">Región de Valparaíso </t>
        </is>
      </c>
      <c r="G3" s="0" t="inlineStr">
        <is>
          <t xml:space="preserve">Valparaíso</t>
        </is>
      </c>
      <c r="H3" s="2">
        <v>46233.4625</v>
      </c>
      <c r="I3" s="2">
        <v>46265.708333</v>
      </c>
      <c r="J3" s="0">
        <v>-1</v>
      </c>
      <c r="K3" s="3">
        <v>434042600.0</v>
      </c>
      <c r="L3" s="0" t="inlineStr">
        <is>
          <t xml:space="preserve">CLP</t>
        </is>
      </c>
      <c r="M3" s="0" t="inlineStr">
        <is>
          <t xml:space="preserve">LR</t>
        </is>
      </c>
      <c r="N3" s="4" t="inlineStr">
        <is>
          <t xml:space="preserve">Tecnologías de la información, telecomunicaciones y radiodifusión / Software / Programas de desarrollo</t>
        </is>
      </c>
      <c r="O3" s="4" t="inlineStr">
        <is>
          <t xml:space="preserve">1 Unidad no definida · Software de entorno de desarrollo</t>
        </is>
      </c>
      <c r="P3" s="2"/>
      <c r="Q3" s="2"/>
      <c r="R3" s="0" t="inlineStr">
        <is>
          <t xml:space="preserve">60 meses</t>
        </is>
      </c>
      <c r="S3" s="0" t="inlineStr">
        <is>
          <t xml:space="preserve">No</t>
        </is>
      </c>
      <c r="T3" s="4"/>
      <c r="U3" s="0" t="inlineStr">
        <is>
          <t xml:space="preserve">JEFE DEPTO FINANZAS DGTM</t>
        </is>
      </c>
      <c r="V3"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3" s="5" t="str">
        <f>HYPERLINK("https://www.mercadopublico.cl/Procurement/Modules/RFB/DetailsAcquisition.aspx?idlicitacion=3134-72-LR26","descargar bases")</f>
      </c>
    </row>
    <row r="4">
      <c r="A4" s="0" t="inlineStr">
        <is>
          <t xml:space="preserve">2713-159-LE26</t>
        </is>
      </c>
      <c r="B4" s="4" t="inlineStr">
        <is>
          <t xml:space="preserve">DAF-informatica sevicio plataforma documental</t>
        </is>
      </c>
      <c r="C4" s="0" t="inlineStr">
        <is>
          <t xml:space="preserve">Publicada</t>
        </is>
      </c>
      <c r="D4" s="0" t="inlineStr">
        <is>
          <t xml:space="preserve">I MUNICIPALIDAD DE AYSEN</t>
        </is>
      </c>
      <c r="E4" s="0" t="inlineStr">
        <is>
          <t xml:space="preserve">I.MUNICIPALIDAD AYSEN-ADQUISICIONES</t>
        </is>
      </c>
      <c r="F4" s="0" t="inlineStr">
        <is>
          <t xml:space="preserve">Región Aysén del General Carlos Ibáñez del Campo</t>
        </is>
      </c>
      <c r="G4" s="0" t="inlineStr">
        <is>
          <t xml:space="preserve">Aysén</t>
        </is>
      </c>
      <c r="H4" s="2">
        <v>46252.663449</v>
      </c>
      <c r="I4" s="2">
        <v>46266.604167</v>
      </c>
      <c r="J4" s="0">
        <v>0</v>
      </c>
      <c r="K4" s="3"/>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t="inlineStr">
        <is>
          <t xml:space="preserve">48 meses</t>
        </is>
      </c>
      <c r="S4" s="0" t="inlineStr">
        <is>
          <t xml:space="preserve">No</t>
        </is>
      </c>
      <c r="T4" s="4"/>
      <c r="U4" s="0" t="inlineStr">
        <is>
          <t xml:space="preserve">Victor Godoy Tapia</t>
        </is>
      </c>
      <c r="V4"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4" s="5" t="str">
        <f>HYPERLINK("https://www.mercadopublico.cl/Procurement/Modules/RFB/DetailsAcquisition.aspx?idlicitacion=2713-159-LE26","descargar bases")</f>
      </c>
    </row>
    <row r="5">
      <c r="A5" s="0" t="inlineStr">
        <is>
          <t xml:space="preserve">869591-10-LP26</t>
        </is>
      </c>
      <c r="B5" s="4" t="inlineStr">
        <is>
          <t xml:space="preserve">CONTRATACIÓN DEL SERVICIO DE DISEÑO Y DESARROLLO DEL NUEVO PORTAL API Y CAPA DE DATOS DE NEGOCIO PARA MERCADO PÚBLICO</t>
        </is>
      </c>
      <c r="C5" s="0" t="inlineStr">
        <is>
          <t xml:space="preserve">Publicada</t>
        </is>
      </c>
      <c r="D5" s="0" t="inlineStr">
        <is>
          <t xml:space="preserve">DIRECCION DE COMPRAS Y CONTRATACION PUBLICA</t>
        </is>
      </c>
      <c r="E5" s="0" t="inlineStr">
        <is>
          <t xml:space="preserve">Calidad del Gasto en las Compras Públicas</t>
        </is>
      </c>
      <c r="F5" s="0" t="inlineStr">
        <is>
          <t xml:space="preserve">Región Metropolitana de Santiago</t>
        </is>
      </c>
      <c r="G5" s="0" t="inlineStr">
        <is>
          <t xml:space="preserve">Santiago Centro</t>
        </is>
      </c>
      <c r="H5" s="2">
        <v>46246.440972</v>
      </c>
      <c r="I5" s="2">
        <v>46266.625</v>
      </c>
      <c r="J5" s="0">
        <v>0</v>
      </c>
      <c r="K5" s="3"/>
      <c r="L5" s="0" t="inlineStr">
        <is>
          <t xml:space="preserve">CLF</t>
        </is>
      </c>
      <c r="M5" s="0" t="inlineStr">
        <is>
          <t xml:space="preserve">LP</t>
        </is>
      </c>
      <c r="N5" s="4" t="inlineStr">
        <is>
          <t xml:space="preserve">Servicios profesionales, administrativos y consultorías de gestión empresarial / Servicios de recursos humanos / Contratación de personal</t>
        </is>
      </c>
      <c r="O5" s="4" t="inlineStr">
        <is>
          <t xml:space="preserve">1 Unidad · Desarrolladores de software</t>
        </is>
      </c>
      <c r="P5" s="2"/>
      <c r="Q5" s="2"/>
      <c r="R5" s="0" t="inlineStr">
        <is>
          <t xml:space="preserve">12 meses</t>
        </is>
      </c>
      <c r="S5" s="0" t="inlineStr">
        <is>
          <t xml:space="preserve">No</t>
        </is>
      </c>
      <c r="T5" s="4" t="inlineStr">
        <is>
          <t xml:space="preserve">ver clausula 10 de las bases especiales</t>
        </is>
      </c>
      <c r="U5" s="0" t="inlineStr">
        <is>
          <t xml:space="preserve">Christian Zarria</t>
        </is>
      </c>
      <c r="V5" s="4" t="inlineStr">
        <is>
          <t xml:space="preserve">CONTRATACIÓN DEL SERVICIO DE DISEÑO Y DESARROLLO DEL NUEVO PORTAL API Y CAPA DE DATOS DE NEGOCIO PARA MERCADO PÚBLICO</t>
        </is>
      </c>
      <c r="W5" s="5" t="str">
        <f>HYPERLINK("https://www.mercadopublico.cl/Procurement/Modules/RFB/DetailsAcquisition.aspx?idlicitacion=869591-10-LP26","descargar bases")</f>
      </c>
    </row>
    <row r="6">
      <c r="A6" s="0" t="inlineStr">
        <is>
          <t xml:space="preserve">587-37-LE26</t>
        </is>
      </c>
      <c r="B6" s="4" t="inlineStr">
        <is>
          <t xml:space="preserve">SELICO 326-2026. Renovación Software Estadístico</t>
        </is>
      </c>
      <c r="C6" s="0" t="inlineStr">
        <is>
          <t xml:space="preserve">Publicada</t>
        </is>
      </c>
      <c r="D6" s="0" t="inlineStr">
        <is>
          <t xml:space="preserve">SUBSECRETARIA DEL MINISTERIO DE LA VIVIENDA Y URBANISMO</t>
        </is>
      </c>
      <c r="E6" s="0" t="inlineStr">
        <is>
          <t xml:space="preserve">Ministerio de Vivienda y Urbanismo(766)</t>
        </is>
      </c>
      <c r="F6" s="0" t="inlineStr">
        <is>
          <t xml:space="preserve">Región Metropolitana de Santiago</t>
        </is>
      </c>
      <c r="G6" s="0"/>
      <c r="H6" s="2">
        <v>46247.621076</v>
      </c>
      <c r="I6" s="2">
        <v>46266.631944</v>
      </c>
      <c r="J6" s="0">
        <v>0</v>
      </c>
      <c r="K6" s="3">
        <v>33150.0</v>
      </c>
      <c r="L6" s="0" t="inlineStr">
        <is>
          <t xml:space="preserve">USD</t>
        </is>
      </c>
      <c r="M6" s="0" t="inlineStr">
        <is>
          <t xml:space="preserve">LE</t>
        </is>
      </c>
      <c r="N6" s="4" t="inlineStr">
        <is>
          <t xml:space="preserve">Tecnologías de la información, telecomunicaciones y radiodifusión / Software / Software de gestión</t>
        </is>
      </c>
      <c r="O6" s="4" t="inlineStr">
        <is>
          <t xml:space="preserve">1 Global · Software de gestión de licencias</t>
        </is>
      </c>
      <c r="P6" s="2"/>
      <c r="Q6" s="2"/>
      <c r="R6" s="0" t="inlineStr">
        <is>
          <t xml:space="preserve">12 meses</t>
        </is>
      </c>
      <c r="S6" s="0" t="inlineStr">
        <is>
          <t xml:space="preserve">No</t>
        </is>
      </c>
      <c r="T6" s="4" t="inlineStr">
        <is>
          <t xml:space="preserve">VER PUNTO 1.13.5.7.- SUBCONTRATACIÓN, DE LAS PRESENTES BASES.</t>
        </is>
      </c>
      <c r="U6" s="0" t="inlineStr">
        <is>
          <t xml:space="preserve">Adrián Muñoz Brevis</t>
        </is>
      </c>
      <c r="V6"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6" s="5" t="str">
        <f>HYPERLINK("https://www.mercadopublico.cl/Procurement/Modules/RFB/DetailsAcquisition.aspx?idlicitacion=587-37-LE26","descargar bases")</f>
      </c>
    </row>
    <row r="7">
      <c r="A7" s="0" t="inlineStr">
        <is>
          <t xml:space="preserve">1110404-154-LE26</t>
        </is>
      </c>
      <c r="B7" s="4" t="inlineStr">
        <is>
          <t xml:space="preserve">ADQUISICIÓN DE LICENCIAS PERMANENTES DE SOFTWARE FACTORY IO PARA LA ESPECIALIDAD DE ELECTRÓNICA DEL LICEO POLITÉCNICO ARICA SERVICIO LOCAL DE EDUCACIÓN PÚBLICA CHINCHORRO</t>
        </is>
      </c>
      <c r="C7" s="0" t="inlineStr">
        <is>
          <t xml:space="preserve">Publicada</t>
        </is>
      </c>
      <c r="D7" s="0" t="inlineStr">
        <is>
          <t xml:space="preserve">SERVICIO LOCAL DE EDUCACION DE CHINCHORRO</t>
        </is>
      </c>
      <c r="E7" s="0" t="inlineStr">
        <is>
          <t xml:space="preserve">SLEPCH - EE - Programa 02</t>
        </is>
      </c>
      <c r="F7" s="0" t="inlineStr">
        <is>
          <t xml:space="preserve">Región de Arica y Parinacota</t>
        </is>
      </c>
      <c r="G7" s="0"/>
      <c r="H7" s="2">
        <v>46258.46338</v>
      </c>
      <c r="I7" s="2">
        <v>46266.666667</v>
      </c>
      <c r="J7" s="0">
        <v>0</v>
      </c>
      <c r="K7" s="3">
        <v>12154650.0</v>
      </c>
      <c r="L7" s="0" t="inlineStr">
        <is>
          <t xml:space="preserve">CLP</t>
        </is>
      </c>
      <c r="M7" s="0" t="inlineStr">
        <is>
          <t xml:space="preserve">LE</t>
        </is>
      </c>
      <c r="N7" s="4" t="inlineStr">
        <is>
          <t xml:space="preserve">Tecnologías de la información, telecomunicaciones y radiodifusión / Software / Software educativo o de referencia</t>
        </is>
      </c>
      <c r="O7" s="4" t="inlineStr">
        <is>
          <t xml:space="preserve">15 Unidad · Software de mapa electrónico</t>
        </is>
      </c>
      <c r="P7" s="2"/>
      <c r="Q7" s="2"/>
      <c r="R7" s="0"/>
      <c r="S7" s="0" t="inlineStr">
        <is>
          <t xml:space="preserve">No</t>
        </is>
      </c>
      <c r="T7" s="4" t="inlineStr">
        <is>
          <t xml:space="preserve">Según el punto 10.8 de las Bases Administrativas</t>
        </is>
      </c>
      <c r="U7" s="0" t="inlineStr">
        <is>
          <t xml:space="preserve">IGNACIO PARRA TESTA</t>
        </is>
      </c>
      <c r="V7" s="4" t="inlineStr">
        <is>
          <t xml:space="preserve">SOL-2026-1260
LICEO POLITECNICO ARICA
Fuente de financiamiento : SEP
Materia de compra : 2907001 Programas computacionales</t>
        </is>
      </c>
      <c r="W7" s="5" t="str">
        <f>HYPERLINK("https://www.mercadopublico.cl/Procurement/Modules/RFB/DetailsAcquisition.aspx?idlicitacion=1110404-154-LE26","descargar bases")</f>
      </c>
    </row>
    <row r="8">
      <c r="A8" s="0" t="inlineStr">
        <is>
          <t xml:space="preserve">885-74-LP26</t>
        </is>
      </c>
      <c r="B8" s="4" t="inlineStr">
        <is>
          <t xml:space="preserve">Servicio de actualización de software arquitectura y migración de base de datos del Sistema DIP.</t>
        </is>
      </c>
      <c r="C8" s="0" t="inlineStr">
        <is>
          <t xml:space="preserve">Publicada</t>
        </is>
      </c>
      <c r="D8" s="0" t="inlineStr">
        <is>
          <t xml:space="preserve">CONTRALORIA GENERAL DE LA REPUBLICA</t>
        </is>
      </c>
      <c r="E8" s="0" t="inlineStr">
        <is>
          <t xml:space="preserve">Contraloría General de la República</t>
        </is>
      </c>
      <c r="F8" s="0" t="inlineStr">
        <is>
          <t xml:space="preserve">Región Metropolitana de Santiago</t>
        </is>
      </c>
      <c r="G8" s="0"/>
      <c r="H8" s="2">
        <v>46246.420336</v>
      </c>
      <c r="I8" s="2">
        <v>46266.666667</v>
      </c>
      <c r="J8" s="0">
        <v>0</v>
      </c>
      <c r="K8" s="3">
        <v>190000000.0</v>
      </c>
      <c r="L8" s="0" t="inlineStr">
        <is>
          <t xml:space="preserve">CLP</t>
        </is>
      </c>
      <c r="M8" s="0" t="inlineStr">
        <is>
          <t xml:space="preserve">LP</t>
        </is>
      </c>
      <c r="N8" s="4" t="inlineStr">
        <is>
          <t xml:space="preserve">Servicios profesionales, administrativos y consultorías de gestión empresarial / Servicios de recursos humanos / Contratación de personal</t>
        </is>
      </c>
      <c r="O8" s="4" t="inlineStr">
        <is>
          <t xml:space="preserve">1 Unidad · Desarrolladores de software</t>
        </is>
      </c>
      <c r="P8" s="2"/>
      <c r="Q8" s="2"/>
      <c r="R8" s="0" t="inlineStr">
        <is>
          <t xml:space="preserve">10 meses</t>
        </is>
      </c>
      <c r="S8" s="0" t="inlineStr">
        <is>
          <t xml:space="preserve">No</t>
        </is>
      </c>
      <c r="T8" s="4"/>
      <c r="U8" s="0" t="inlineStr">
        <is>
          <t xml:space="preserve">Cristian Leon</t>
        </is>
      </c>
      <c r="V8" s="4" t="inlineStr">
        <is>
          <t xml:space="preserve">La Contraloría General de la República requiere contratar el servicio de actualización de software, arquitectura y migración de base de datos del Sistema de Declaraciones de Intereses y Patrimonio — DIP.</t>
        </is>
      </c>
      <c r="W8" s="5" t="str">
        <f>HYPERLINK("https://www.mercadopublico.cl/Procurement/Modules/RFB/DetailsAcquisition.aspx?idlicitacion=885-74-LP26","descargar bases")</f>
      </c>
    </row>
    <row r="9">
      <c r="A9" s="0" t="inlineStr">
        <is>
          <t xml:space="preserve">1113265-12-LE26</t>
        </is>
      </c>
      <c r="B9" s="4" t="inlineStr">
        <is>
          <t xml:space="preserve">ADQUISICIÓN E IMPLEMENTACIÓN DE PLATAFORMA</t>
        </is>
      </c>
      <c r="C9" s="0" t="inlineStr">
        <is>
          <t xml:space="preserve">Publicada</t>
        </is>
      </c>
      <c r="D9" s="0" t="inlineStr">
        <is>
          <t xml:space="preserve">CENTRO DE FORMACION TECNICA DE LA REGION DE ANTOFAGASTA</t>
        </is>
      </c>
      <c r="E9" s="0" t="inlineStr">
        <is>
          <t xml:space="preserve">UNIDAD DE COMPRAS</t>
        </is>
      </c>
      <c r="F9" s="0" t="inlineStr">
        <is>
          <t xml:space="preserve">Región de Antofagasta </t>
        </is>
      </c>
      <c r="G9" s="0" t="inlineStr">
        <is>
          <t xml:space="preserve">Calama</t>
        </is>
      </c>
      <c r="H9" s="2">
        <v>46245.847222</v>
      </c>
      <c r="I9" s="2">
        <v>46266.692361</v>
      </c>
      <c r="J9" s="0">
        <v>0</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t="inlineStr">
        <is>
          <t xml:space="preserve">12 meses</t>
        </is>
      </c>
      <c r="S9" s="0" t="inlineStr">
        <is>
          <t xml:space="preserve">No</t>
        </is>
      </c>
      <c r="T9" s="4"/>
      <c r="U9" s="0" t="inlineStr">
        <is>
          <t xml:space="preserve">IVAN MELLA</t>
        </is>
      </c>
      <c r="V9"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9" s="5" t="str">
        <f>HYPERLINK("https://www.mercadopublico.cl/Procurement/Modules/RFB/DetailsAcquisition.aspx?idlicitacion=1113265-12-LE26","descargar bases")</f>
      </c>
    </row>
    <row r="10">
      <c r="A10" s="0" t="inlineStr">
        <is>
          <t xml:space="preserve">1233623-38-LE26</t>
        </is>
      </c>
      <c r="B10" s="4" t="inlineStr">
        <is>
          <t xml:space="preserve">ADQUISICIÓN DE SOFTWARE AEC COLLECTION 2025</t>
        </is>
      </c>
      <c r="C10" s="0" t="inlineStr">
        <is>
          <t xml:space="preserve">Publicada</t>
        </is>
      </c>
      <c r="D10" s="0" t="inlineStr">
        <is>
          <t xml:space="preserve">Servicio Local de Educación Pública Licancabur</t>
        </is>
      </c>
      <c r="E10" s="0" t="inlineStr">
        <is>
          <t xml:space="preserve">Servicio Local de Educación Pública Licancabur</t>
        </is>
      </c>
      <c r="F10" s="0" t="inlineStr">
        <is>
          <t xml:space="preserve">Región de Antofagasta </t>
        </is>
      </c>
      <c r="G10" s="0" t="inlineStr">
        <is>
          <t xml:space="preserve">Calama</t>
        </is>
      </c>
      <c r="H10" s="2">
        <v>46258.779861</v>
      </c>
      <c r="I10" s="2">
        <v>46267.625</v>
      </c>
      <c r="J10" s="0">
        <v>1</v>
      </c>
      <c r="K10" s="3">
        <v>19800000.0</v>
      </c>
      <c r="L10" s="0" t="inlineStr">
        <is>
          <t xml:space="preserve">CLP</t>
        </is>
      </c>
      <c r="M10" s="0" t="inlineStr">
        <is>
          <t xml:space="preserve">LE</t>
        </is>
      </c>
      <c r="N10" s="4" t="inlineStr">
        <is>
          <t xml:space="preserve">Tecnologías de la información, telecomunicaciones y radiodifusión / Software / Software para trabajo en redes</t>
        </is>
      </c>
      <c r="O10" s="4" t="inlineStr">
        <is>
          <t xml:space="preserve">1 Global · Software de acceso</t>
        </is>
      </c>
      <c r="P10" s="2"/>
      <c r="Q10" s="2"/>
      <c r="R10" s="0"/>
      <c r="S10" s="0" t="inlineStr">
        <is>
          <t xml:space="preserve">No</t>
        </is>
      </c>
      <c r="T10" s="4"/>
      <c r="U10" s="0" t="inlineStr">
        <is>
          <t xml:space="preserve">Barbara Lira Mac-Donald</t>
        </is>
      </c>
      <c r="V10"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10" s="5" t="str">
        <f>HYPERLINK("https://www.mercadopublico.cl/Procurement/Modules/RFB/DetailsAcquisition.aspx?idlicitacion=1233623-38-LE26","descargar bases")</f>
      </c>
    </row>
    <row r="11">
      <c r="A11" s="0" t="inlineStr">
        <is>
          <t xml:space="preserve">652-37-LP26</t>
        </is>
      </c>
      <c r="B11" s="4" t="inlineStr">
        <is>
          <t xml:space="preserve">ARRIENDO SERVIDOR INFORMATICO PARA PROGRAMA SISSA.</t>
        </is>
      </c>
      <c r="C11" s="0" t="inlineStr">
        <is>
          <t xml:space="preserve">Publicada</t>
        </is>
      </c>
      <c r="D11" s="0" t="inlineStr">
        <is>
          <t xml:space="preserve">SERVICIO DE SALUD ARAUCO</t>
        </is>
      </c>
      <c r="E11" s="0" t="inlineStr">
        <is>
          <t xml:space="preserve">SERVICIO DE SALUD ARAUCO</t>
        </is>
      </c>
      <c r="F11" s="0" t="inlineStr">
        <is>
          <t xml:space="preserve">Región del Biobío </t>
        </is>
      </c>
      <c r="G11" s="0" t="inlineStr">
        <is>
          <t xml:space="preserve">Lebu</t>
        </is>
      </c>
      <c r="H11" s="2">
        <v>46247.795127</v>
      </c>
      <c r="I11" s="2">
        <v>46267.625</v>
      </c>
      <c r="J11" s="0">
        <v>1</v>
      </c>
      <c r="K11" s="3"/>
      <c r="L11" s="0" t="inlineStr">
        <is>
          <t xml:space="preserve">CLP</t>
        </is>
      </c>
      <c r="M11" s="0" t="inlineStr">
        <is>
          <t xml:space="preserve">LP</t>
        </is>
      </c>
      <c r="N11" s="4" t="inlineStr">
        <is>
          <t xml:space="preserve">Tecnologías de la información, telecomunicaciones y radiodifusión / Equipos informáticos y accesorios / Computadores</t>
        </is>
      </c>
      <c r="O11" s="4" t="inlineStr">
        <is>
          <t xml:space="preserve">1 Unidad · Servidores</t>
        </is>
      </c>
      <c r="P11" s="2"/>
      <c r="Q11" s="2"/>
      <c r="R11" s="0" t="inlineStr">
        <is>
          <t xml:space="preserve">36 meses</t>
        </is>
      </c>
      <c r="S11" s="0" t="inlineStr">
        <is>
          <t xml:space="preserve">No</t>
        </is>
      </c>
      <c r="T11" s="4"/>
      <c r="U11" s="0" t="inlineStr">
        <is>
          <t xml:space="preserve">JEFE DEPARTAMENTO TIC SSA</t>
        </is>
      </c>
      <c r="V11"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1" s="5" t="str">
        <f>HYPERLINK("https://www.mercadopublico.cl/Procurement/Modules/RFB/DetailsAcquisition.aspx?idlicitacion=652-37-LP26","descargar bases")</f>
      </c>
    </row>
    <row r="12">
      <c r="A12" s="0" t="inlineStr">
        <is>
          <t xml:space="preserve">609-25-LE26</t>
        </is>
      </c>
      <c r="B12" s="4" t="inlineStr">
        <is>
          <t xml:space="preserve">ACTUALIZACIÓN DEL SGSI DE INDAP- CIBERSEGURIDAD</t>
        </is>
      </c>
      <c r="C12" s="0" t="inlineStr">
        <is>
          <t xml:space="preserve">Publicada</t>
        </is>
      </c>
      <c r="D12" s="0" t="inlineStr">
        <is>
          <t xml:space="preserve">INSTITUTO DE DESARROLLO AGROPECUARIO</t>
        </is>
      </c>
      <c r="E12" s="0" t="inlineStr">
        <is>
          <t xml:space="preserve">Instituto de Desarrollo Agropecuario - INDAP</t>
        </is>
      </c>
      <c r="F12" s="0" t="inlineStr">
        <is>
          <t xml:space="preserve">Región Metropolitana de Santiago</t>
        </is>
      </c>
      <c r="G12" s="0" t="inlineStr">
        <is>
          <t xml:space="preserve">Santiago</t>
        </is>
      </c>
      <c r="H12" s="2">
        <v>46255.533843</v>
      </c>
      <c r="I12" s="2">
        <v>46267.645833</v>
      </c>
      <c r="J12" s="0">
        <v>1</v>
      </c>
      <c r="K12" s="3">
        <v>22000000.0</v>
      </c>
      <c r="L12" s="0" t="inlineStr">
        <is>
          <t xml:space="preserve">CLP</t>
        </is>
      </c>
      <c r="M12" s="0" t="inlineStr">
        <is>
          <t xml:space="preserve">LE</t>
        </is>
      </c>
      <c r="N12" s="4" t="inlineStr">
        <is>
          <t xml:space="preserve">Servicios profesionales, administrativos y consultorías de gestión empresarial / Consultorías o asesorías en gestión empresarial / Servicios de consultoría en gestión de empresas</t>
        </is>
      </c>
      <c r="O12" s="4" t="inlineStr">
        <is>
          <t xml:space="preserve">1 Unidad · Asesorías Informáticas</t>
        </is>
      </c>
      <c r="P12" s="2"/>
      <c r="Q12" s="2"/>
      <c r="R12" s="0" t="inlineStr">
        <is>
          <t xml:space="preserve">3 meses</t>
        </is>
      </c>
      <c r="S12" s="0" t="inlineStr">
        <is>
          <t xml:space="preserve">No</t>
        </is>
      </c>
      <c r="T12" s="4"/>
      <c r="U12" s="0" t="inlineStr">
        <is>
          <t xml:space="preserve">José Miguel Reyes Canales</t>
        </is>
      </c>
      <c r="V12" s="4" t="inlineStr">
        <is>
          <t xml:space="preserve">Consultoría para actualización del SGSI de INDAP, modelado de procesos, matriz de riesgo, identificación e implementación de controles y otros referidos a la Ley Marco de Ciberseguridad.</t>
        </is>
      </c>
      <c r="W12" s="5" t="str">
        <f>HYPERLINK("https://www.mercadopublico.cl/Procurement/Modules/RFB/DetailsAcquisition.aspx?idlicitacion=609-25-LE26","descargar bases")</f>
      </c>
    </row>
    <row r="13">
      <c r="A13" s="0" t="inlineStr">
        <is>
          <t xml:space="preserve">1075956-9-LE26</t>
        </is>
      </c>
      <c r="B13" s="4" t="inlineStr">
        <is>
          <t xml:space="preserve">42 CUPOS - CURSO NUEVA LEY DE PROTECCIÓN DE DATOS PERSONALES: INTRODUCCIÓN Y PRINCIPIOS” SEGÚN BASES DE LICITACIÓN Y ANEXOS QUE SE ADJUNTAN - PRESUPUESTO ESTIMADO  15.000.000. -</t>
        </is>
      </c>
      <c r="C13" s="0" t="inlineStr">
        <is>
          <t xml:space="preserve">Publicada</t>
        </is>
      </c>
      <c r="D13" s="0" t="inlineStr">
        <is>
          <t xml:space="preserve">DIRECCION DE LOGISTICA DE CARABINEROS</t>
        </is>
      </c>
      <c r="E13" s="0" t="inlineStr">
        <is>
          <t xml:space="preserve">DEPTO ANALISIS FINANCIERO PROCESOS Y RIESGOS</t>
        </is>
      </c>
      <c r="F13" s="0" t="inlineStr">
        <is>
          <t xml:space="preserve">Región Metropolitana de Santiago</t>
        </is>
      </c>
      <c r="G13" s="0" t="inlineStr">
        <is>
          <t xml:space="preserve">Santiago</t>
        </is>
      </c>
      <c r="H13" s="2">
        <v>46253.686806</v>
      </c>
      <c r="I13" s="2">
        <v>46267.708333</v>
      </c>
      <c r="J13" s="0">
        <v>1</v>
      </c>
      <c r="K13" s="3">
        <v>15000000.0</v>
      </c>
      <c r="L13" s="0" t="inlineStr">
        <is>
          <t xml:space="preserve">CLP</t>
        </is>
      </c>
      <c r="M13" s="0" t="inlineStr">
        <is>
          <t xml:space="preserve">LE</t>
        </is>
      </c>
      <c r="N13" s="4" t="inlineStr">
        <is>
          <t xml:space="preserve">Servicios profesionales, administrativos y consultorías de gestión empresarial / Servicios de recursos humanos / Consultorías para el desarrollo de recursos humanos</t>
        </is>
      </c>
      <c r="O13" s="4" t="inlineStr">
        <is>
          <t xml:space="preserve">42 Unidad · Formación, capacitación y entrenamiento de personal</t>
        </is>
      </c>
      <c r="P13" s="2"/>
      <c r="Q13" s="2"/>
      <c r="R13" s="0"/>
      <c r="S13" s="0" t="inlineStr">
        <is>
          <t xml:space="preserve">No</t>
        </is>
      </c>
      <c r="T13" s="4"/>
      <c r="U13" s="0" t="inlineStr">
        <is>
          <t xml:space="preserve">YESICA SEPÚLVEDA NAVARRO.</t>
        </is>
      </c>
      <c r="V13" s="4" t="inlineStr">
        <is>
          <t xml:space="preserve">42 CUPOS - CURSO NUEVA LEY DE PROTECCIÓN DE DATOS PERSONALES: "INTRODUCCIÓN Y PRINCIPIOS”, SEGÚN BASES DE LICITACIÓN Y ANEXOS QUE SE ADJUNTAN - PRESUPUESTO ESTIMADO $ 15.000.000. -</t>
        </is>
      </c>
      <c r="W13" s="5" t="str">
        <f>HYPERLINK("https://www.mercadopublico.cl/Procurement/Modules/RFB/DetailsAcquisition.aspx?idlicitacion=1075956-9-LE26","descargar bases")</f>
      </c>
    </row>
    <row r="14">
      <c r="A14" s="0" t="inlineStr">
        <is>
          <t xml:space="preserve">1057532-72-LE26</t>
        </is>
      </c>
      <c r="B14" s="4" t="inlineStr">
        <is>
          <t xml:space="preserve">SUSCRIPCIÓN LICENCIAS SOFTWARE CAD ARCHICAD COLLABORATE O EQUIVALENTE PARA EL SERVICIO DE SALUD OSORNO</t>
        </is>
      </c>
      <c r="C14" s="0" t="inlineStr">
        <is>
          <t xml:space="preserve">Publicada</t>
        </is>
      </c>
      <c r="D14" s="0" t="inlineStr">
        <is>
          <t xml:space="preserve">SERVICIO DE SALUD OSORNO</t>
        </is>
      </c>
      <c r="E14" s="0" t="inlineStr">
        <is>
          <t xml:space="preserve">Bienes y Servicios</t>
        </is>
      </c>
      <c r="F14" s="0" t="inlineStr">
        <is>
          <t xml:space="preserve">Región de los Lagos </t>
        </is>
      </c>
      <c r="G14" s="0" t="inlineStr">
        <is>
          <t xml:space="preserve">Osorno</t>
        </is>
      </c>
      <c r="H14" s="2">
        <v>46261.607396</v>
      </c>
      <c r="I14" s="2">
        <v>46267.709028</v>
      </c>
      <c r="J14" s="0">
        <v>1</v>
      </c>
      <c r="K14" s="3"/>
      <c r="L14" s="0" t="inlineStr">
        <is>
          <t xml:space="preserve">CLP</t>
        </is>
      </c>
      <c r="M14" s="0" t="inlineStr">
        <is>
          <t xml:space="preserve">LE</t>
        </is>
      </c>
      <c r="N14" s="4" t="inlineStr">
        <is>
          <t xml:space="preserve">Tecnologías de la información, telecomunicaciones y radiodifusión / Software / Software específico para la industria</t>
        </is>
      </c>
      <c r="O14" s="4" t="inlineStr">
        <is>
          <t xml:space="preserve">6 Unidad · Software de diseño asistido por computador (CAD)</t>
        </is>
      </c>
      <c r="P14" s="2"/>
      <c r="Q14" s="2"/>
      <c r="R14" s="0" t="inlineStr">
        <is>
          <t xml:space="preserve">12 meses</t>
        </is>
      </c>
      <c r="S14" s="0" t="inlineStr">
        <is>
          <t xml:space="preserve">No</t>
        </is>
      </c>
      <c r="T14" s="4" t="inlineStr">
        <is>
          <t xml:space="preserve">DE ACUERDO A NUMERAL 7.7 DE LAS BASES ADJUNTAS</t>
        </is>
      </c>
      <c r="U14" s="0" t="inlineStr">
        <is>
          <t xml:space="preserve">Bruno Ojeda Alvarez</t>
        </is>
      </c>
      <c r="V14"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14" s="5" t="str">
        <f>HYPERLINK("https://www.mercadopublico.cl/Procurement/Modules/RFB/DetailsAcquisition.aspx?idlicitacion=1057532-72-LE26","descargar bases")</f>
      </c>
    </row>
    <row r="15">
      <c r="A15" s="0" t="inlineStr">
        <is>
          <t xml:space="preserve">564953-62-LP26</t>
        </is>
      </c>
      <c r="B15" s="4" t="inlineStr">
        <is>
          <t xml:space="preserve">ACTUALIZACIÓN PLATAFORMA ERP PARA LA CORPORACIÓN</t>
        </is>
      </c>
      <c r="C15" s="0" t="inlineStr">
        <is>
          <t xml:space="preserve">Publicada</t>
        </is>
      </c>
      <c r="D15" s="0" t="inlineStr">
        <is>
          <t xml:space="preserve">Corporación de Educación y Salud de Las Condes</t>
        </is>
      </c>
      <c r="E15" s="0" t="inlineStr">
        <is>
          <t xml:space="preserve">Corporación de Educación y Salud de Las Condes</t>
        </is>
      </c>
      <c r="F15" s="0" t="inlineStr">
        <is>
          <t xml:space="preserve">Región Metropolitana de Santiago</t>
        </is>
      </c>
      <c r="G15" s="0" t="inlineStr">
        <is>
          <t xml:space="preserve">Las Condes</t>
        </is>
      </c>
      <c r="H15" s="2">
        <v>46245.613889</v>
      </c>
      <c r="I15" s="2">
        <v>46267.749306</v>
      </c>
      <c r="J15" s="0">
        <v>1</v>
      </c>
      <c r="K15" s="3">
        <v>250000000.0</v>
      </c>
      <c r="L15" s="0" t="inlineStr">
        <is>
          <t xml:space="preserve">CLP</t>
        </is>
      </c>
      <c r="M15" s="0" t="inlineStr">
        <is>
          <t xml:space="preserve">LP</t>
        </is>
      </c>
      <c r="N15" s="4" t="inlineStr">
        <is>
          <t xml:space="preserve">Tecnologías de la información, telecomunicaciones y radiodifusión / Software / Software de planificación de recursos empresariales (ERP) y contabilidad financiera</t>
        </is>
      </c>
      <c r="O15" s="4" t="inlineStr">
        <is>
          <t xml:space="preserve">1 Unidad · Software de planificación de recursos empresariales (ERP)</t>
        </is>
      </c>
      <c r="P15" s="2"/>
      <c r="Q15" s="2"/>
      <c r="R15" s="0" t="inlineStr">
        <is>
          <t xml:space="preserve">40 meses</t>
        </is>
      </c>
      <c r="S15" s="0" t="inlineStr">
        <is>
          <t xml:space="preserve">No</t>
        </is>
      </c>
      <c r="T15" s="4"/>
      <c r="U15" s="0" t="inlineStr">
        <is>
          <t xml:space="preserve">Cristián Seguel</t>
        </is>
      </c>
      <c r="V15" s="4" t="inlineStr">
        <is>
          <t xml:space="preserve">El objetivo de la presente licitación es contratar el servicio de implementación y soporte de ERP Dynamics Business Central</t>
        </is>
      </c>
      <c r="W15" s="5" t="str">
        <f>HYPERLINK("https://www.mercadopublico.cl/Procurement/Modules/RFB/DetailsAcquisition.aspx?idlicitacion=564953-62-LP26","descargar bases")</f>
      </c>
    </row>
    <row r="16">
      <c r="A16" s="0" t="inlineStr">
        <is>
          <t xml:space="preserve">3945-20-LE26</t>
        </is>
      </c>
      <c r="B16" s="4" t="inlineStr">
        <is>
          <t xml:space="preserve">ADQUISICION SERVICIO DE SISTEMA INFORMATIVO DE GESTION DOCUMENTAL - MUNICIPALIDAD LOS ALAMOS</t>
        </is>
      </c>
      <c r="C16" s="0" t="inlineStr">
        <is>
          <t xml:space="preserve">Publicada</t>
        </is>
      </c>
      <c r="D16" s="0" t="inlineStr">
        <is>
          <t xml:space="preserve">I MUNICIPALIDAD DE LOS ALAMOS DEPTO COMUNAL</t>
        </is>
      </c>
      <c r="E16" s="0" t="inlineStr">
        <is>
          <t xml:space="preserve">Administración y Finanzas</t>
        </is>
      </c>
      <c r="F16" s="0" t="inlineStr">
        <is>
          <t xml:space="preserve">Región del Biobío </t>
        </is>
      </c>
      <c r="G16" s="0" t="inlineStr">
        <is>
          <t xml:space="preserve">Los Alamos</t>
        </is>
      </c>
      <c r="H16" s="2">
        <v>46258.628264</v>
      </c>
      <c r="I16" s="2">
        <v>46268.500694</v>
      </c>
      <c r="J16" s="0">
        <v>2</v>
      </c>
      <c r="K16" s="3">
        <v>70000000.0</v>
      </c>
      <c r="L16" s="0" t="inlineStr">
        <is>
          <t xml:space="preserve">CLP</t>
        </is>
      </c>
      <c r="M16" s="0" t="inlineStr">
        <is>
          <t xml:space="preserve">LE</t>
        </is>
      </c>
      <c r="N16" s="4" t="inlineStr">
        <is>
          <t xml:space="preserve">Tecnologías de la información, telecomunicaciones y radiodifusión / Software / Software de entorno operativo</t>
        </is>
      </c>
      <c r="O16" s="4" t="inlineStr">
        <is>
          <t xml:space="preserve">1 Global · Software de sistema operativo</t>
        </is>
      </c>
      <c r="P16" s="2"/>
      <c r="Q16" s="2"/>
      <c r="R16" s="0" t="inlineStr">
        <is>
          <t xml:space="preserve">36 meses</t>
        </is>
      </c>
      <c r="S16" s="0" t="inlineStr">
        <is>
          <t xml:space="preserve">No</t>
        </is>
      </c>
      <c r="T16" s="4"/>
      <c r="U16" s="0" t="inlineStr">
        <is>
          <t xml:space="preserve">Encargado de soporte informatico</t>
        </is>
      </c>
      <c r="V16" s="4" t="inlineStr">
        <is>
          <t xml:space="preserve">La   necesidad      de      contratar    “ADQUISICION SERVICIO   DE SISTEMA     INFORMATIVO    DE     GESTION   DOCUMENTAL – MUNICIPALIDAD   LOS     ALAMOS”, conforme     a           Bases  
Administrativas, Técnicas y Anexos adjuntos.</t>
        </is>
      </c>
      <c r="W16" s="5" t="str">
        <f>HYPERLINK("https://www.mercadopublico.cl/Procurement/Modules/RFB/DetailsAcquisition.aspx?idlicitacion=3945-20-LE26","descargar bases")</f>
      </c>
    </row>
    <row r="17">
      <c r="A17" s="0" t="inlineStr">
        <is>
          <t xml:space="preserve">4429-95-LE26</t>
        </is>
      </c>
      <c r="B17" s="4" t="inlineStr">
        <is>
          <t xml:space="preserve">ARRIENDO SOFTWARE FARMACIA Y OPTICA MUNICIPAL</t>
        </is>
      </c>
      <c r="C17" s="0" t="inlineStr">
        <is>
          <t xml:space="preserve">Publicada</t>
        </is>
      </c>
      <c r="D17" s="0" t="inlineStr">
        <is>
          <t xml:space="preserve">MUNICIPALIDAD DE HUALPEN</t>
        </is>
      </c>
      <c r="E17" s="0" t="inlineStr">
        <is>
          <t xml:space="preserve">Dirección de Salud</t>
        </is>
      </c>
      <c r="F17" s="0" t="inlineStr">
        <is>
          <t xml:space="preserve">Región del Biobío </t>
        </is>
      </c>
      <c r="G17" s="0" t="inlineStr">
        <is>
          <t xml:space="preserve">Hualpén</t>
        </is>
      </c>
      <c r="H17" s="2">
        <v>46258.511505</v>
      </c>
      <c r="I17" s="2">
        <v>46268.600694</v>
      </c>
      <c r="J17" s="0">
        <v>2</v>
      </c>
      <c r="K17" s="3">
        <v>10000000.0</v>
      </c>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 Unidad · Software de gestión de adquisiciones</t>
        </is>
      </c>
      <c r="P17" s="2"/>
      <c r="Q17" s="2"/>
      <c r="R17" s="0" t="inlineStr">
        <is>
          <t xml:space="preserve">36 meses</t>
        </is>
      </c>
      <c r="S17" s="0" t="inlineStr">
        <is>
          <t xml:space="preserve">No</t>
        </is>
      </c>
      <c r="T17"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17" s="0" t="inlineStr">
        <is>
          <t xml:space="preserve">CARLOS CARES MORALES</t>
        </is>
      </c>
      <c r="V17" s="4" t="inlineStr">
        <is>
          <t xml:space="preserve">SERVICIO DE ARRIENDO, IMPLEMENTACION, PUESTA EN MARCHA Y MANTENCION SOFTWARE EN GESTION FARMACIA Y OPTICA COMUNAL DE LA MUNICIPALIDAD DE HUALPEN</t>
        </is>
      </c>
      <c r="W17" s="5" t="str">
        <f>HYPERLINK("https://www.mercadopublico.cl/Procurement/Modules/RFB/DetailsAcquisition.aspx?idlicitacion=4429-95-LE26","descargar bases")</f>
      </c>
    </row>
    <row r="18">
      <c r="A18" s="0" t="inlineStr">
        <is>
          <t xml:space="preserve">4429-96-LE26</t>
        </is>
      </c>
      <c r="B18" s="4" t="inlineStr">
        <is>
          <t xml:space="preserve">SISTEMA INFORMATICO WEB PARA CENTROS DE SALUD</t>
        </is>
      </c>
      <c r="C18" s="0" t="inlineStr">
        <is>
          <t xml:space="preserve">Publicada</t>
        </is>
      </c>
      <c r="D18" s="0" t="inlineStr">
        <is>
          <t xml:space="preserve">MUNICIPALIDAD DE HUALPEN</t>
        </is>
      </c>
      <c r="E18" s="0" t="inlineStr">
        <is>
          <t xml:space="preserve">Dirección de Salud</t>
        </is>
      </c>
      <c r="F18" s="0" t="inlineStr">
        <is>
          <t xml:space="preserve">Región del Biobío </t>
        </is>
      </c>
      <c r="G18" s="0" t="inlineStr">
        <is>
          <t xml:space="preserve">Hualpén</t>
        </is>
      </c>
      <c r="H18" s="2">
        <v>46258.631748</v>
      </c>
      <c r="I18" s="2">
        <v>46268.600694</v>
      </c>
      <c r="J18" s="0">
        <v>2</v>
      </c>
      <c r="K18" s="3">
        <v>32500000.0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Paquetes de software para oficinas</t>
        </is>
      </c>
      <c r="P18" s="2"/>
      <c r="Q18" s="2"/>
      <c r="R18" s="0" t="inlineStr">
        <is>
          <t xml:space="preserve">36 meses</t>
        </is>
      </c>
      <c r="S18" s="0" t="inlineStr">
        <is>
          <t xml:space="preserve">No</t>
        </is>
      </c>
      <c r="T18"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18" s="0" t="inlineStr">
        <is>
          <t xml:space="preserve">CARLOS CARES MORALES</t>
        </is>
      </c>
      <c r="V18" s="4" t="inlineStr">
        <is>
          <t xml:space="preserve">Servicio de Sistema Informático Web para la Gestión de Calidad, Seguridad del Paciente, Acreditación y Autorización Sanitaria de los Establecimientos dependientes de la Dirección de Salud Municipal de Hualpén</t>
        </is>
      </c>
      <c r="W18" s="5" t="str">
        <f>HYPERLINK("https://www.mercadopublico.cl/Procurement/Modules/RFB/DetailsAcquisition.aspx?idlicitacion=4429-96-LE26","descargar bases")</f>
      </c>
    </row>
    <row r="19">
      <c r="A19" s="0" t="inlineStr">
        <is>
          <t xml:space="preserve">1431841-53-LE26</t>
        </is>
      </c>
      <c r="B19" s="4" t="inlineStr">
        <is>
          <t xml:space="preserve">ADQUISICIÓN DE CREDITOS GOOGLE CLOUD PLATFORM</t>
        </is>
      </c>
      <c r="C19" s="0" t="inlineStr">
        <is>
          <t xml:space="preserve">Publicada</t>
        </is>
      </c>
      <c r="D19" s="0" t="inlineStr">
        <is>
          <t xml:space="preserve">I MUNICIPALIDAD DE RECOLETA</t>
        </is>
      </c>
      <c r="E19" s="0" t="inlineStr">
        <is>
          <t xml:space="preserve">DIRECCION  DE COMPRAS PUBLICAS</t>
        </is>
      </c>
      <c r="F19" s="0" t="inlineStr">
        <is>
          <t xml:space="preserve">Región Metropolitana de Santiago</t>
        </is>
      </c>
      <c r="G19" s="0" t="inlineStr">
        <is>
          <t xml:space="preserve">Recoleta</t>
        </is>
      </c>
      <c r="H19" s="2">
        <v>46253.435475</v>
      </c>
      <c r="I19" s="2">
        <v>46268.625</v>
      </c>
      <c r="J19" s="0">
        <v>2</v>
      </c>
      <c r="K19" s="3">
        <v>15000000.0</v>
      </c>
      <c r="L19" s="0" t="inlineStr">
        <is>
          <t xml:space="preserve">CLP</t>
        </is>
      </c>
      <c r="M19" s="0" t="inlineStr">
        <is>
          <t xml:space="preserve">LE</t>
        </is>
      </c>
      <c r="N19" s="4" t="inlineStr">
        <is>
          <t xml:space="preserve">Tecnologías de la información, telecomunicaciones y radiodifusión / Software / Software de aplicaciones de red</t>
        </is>
      </c>
      <c r="O19" s="4" t="inlineStr">
        <is>
          <t xml:space="preserve">1 Global · Software de servidor de aplicaciones</t>
        </is>
      </c>
      <c r="P19" s="2"/>
      <c r="Q19" s="2"/>
      <c r="R19" s="0" t="inlineStr">
        <is>
          <t xml:space="preserve">12 meses</t>
        </is>
      </c>
      <c r="S19" s="0" t="inlineStr">
        <is>
          <t xml:space="preserve">No</t>
        </is>
      </c>
      <c r="T19"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19" s="0" t="inlineStr">
        <is>
          <t xml:space="preserve">Carlos Barraza</t>
        </is>
      </c>
      <c r="V19"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19" s="5" t="str">
        <f>HYPERLINK("https://www.mercadopublico.cl/Procurement/Modules/RFB/DetailsAcquisition.aspx?idlicitacion=1431841-53-LE26","descargar bases")</f>
      </c>
    </row>
    <row r="20">
      <c r="A20" s="0" t="inlineStr">
        <is>
          <t xml:space="preserve">3506-88-LP26</t>
        </is>
      </c>
      <c r="B20" s="4" t="inlineStr">
        <is>
          <t xml:space="preserve">ADQUISICION DE SOFTWARE DE GESTION MUNICIPAL</t>
        </is>
      </c>
      <c r="C20" s="0" t="inlineStr">
        <is>
          <t xml:space="preserve">Publicada</t>
        </is>
      </c>
      <c r="D20" s="0" t="inlineStr">
        <is>
          <t xml:space="preserve">I MUNICIPALIDAD DE TOCOPILLA</t>
        </is>
      </c>
      <c r="E20" s="0" t="inlineStr">
        <is>
          <t xml:space="preserve">UNIDAD DE ADQUISICIONES</t>
        </is>
      </c>
      <c r="F20" s="0" t="inlineStr">
        <is>
          <t xml:space="preserve">Región de Antofagasta </t>
        </is>
      </c>
      <c r="G20" s="0"/>
      <c r="H20" s="2">
        <v>46248.4375</v>
      </c>
      <c r="I20" s="2">
        <v>46268.625</v>
      </c>
      <c r="J20" s="0">
        <v>2</v>
      </c>
      <c r="K20" s="3">
        <v>269000000.0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Unidad · Software de gestión de licencias</t>
        </is>
      </c>
      <c r="P20" s="2"/>
      <c r="Q20" s="2"/>
      <c r="R20" s="0" t="inlineStr">
        <is>
          <t xml:space="preserve">24 meses</t>
        </is>
      </c>
      <c r="S20" s="0" t="inlineStr">
        <is>
          <t xml:space="preserve">No</t>
        </is>
      </c>
      <c r="T20"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20" s="0" t="inlineStr">
        <is>
          <t xml:space="preserve">DYLAN VALLEJOS</t>
        </is>
      </c>
      <c r="V20" s="4" t="inlineStr">
        <is>
          <t xml:space="preserve">Se requiere el ADQUISICION DE SOFTWARE DE GESTION MUNICIPAL”. Esta adquisición debe considerar todo los especificado en las Bases Administrativas y Especificaciones técnicas</t>
        </is>
      </c>
      <c r="W20" s="5" t="str">
        <f>HYPERLINK("https://www.mercadopublico.cl/Procurement/Modules/RFB/DetailsAcquisition.aspx?idlicitacion=3506-88-LP26","descargar bases")</f>
      </c>
    </row>
    <row r="21">
      <c r="A21" s="0" t="inlineStr">
        <is>
          <t xml:space="preserve">761391-124-L126</t>
        </is>
      </c>
      <c r="B21" s="4" t="inlineStr">
        <is>
          <t xml:space="preserve">DE/54/GUB/PLATAFORMA DE PREPARACIÓN PARA EL EXAMEN TOEIC LISTENING AND READING</t>
        </is>
      </c>
      <c r="C21" s="0" t="inlineStr">
        <is>
          <t xml:space="preserve">Publicada</t>
        </is>
      </c>
      <c r="D21" s="0" t="inlineStr">
        <is>
          <t xml:space="preserve">FUERZA AEREA DE CHILE COMANDO LOGISTICO</t>
        </is>
      </c>
      <c r="E21" s="0" t="inlineStr">
        <is>
          <t xml:space="preserve">Base Aérea El Bosque</t>
        </is>
      </c>
      <c r="F21" s="0" t="inlineStr">
        <is>
          <t xml:space="preserve">Región Metropolitana de Santiago</t>
        </is>
      </c>
      <c r="G21" s="0" t="inlineStr">
        <is>
          <t xml:space="preserve">El Bosque</t>
        </is>
      </c>
      <c r="H21" s="2">
        <v>46255.420208</v>
      </c>
      <c r="I21" s="2">
        <v>46268.625</v>
      </c>
      <c r="J21" s="0">
        <v>2</v>
      </c>
      <c r="K21" s="3">
        <v>1989000.0</v>
      </c>
      <c r="L21" s="0" t="inlineStr">
        <is>
          <t xml:space="preserve">CLP</t>
        </is>
      </c>
      <c r="M21" s="0" t="inlineStr">
        <is>
          <t xml:space="preserve">L1</t>
        </is>
      </c>
      <c r="N21" s="4" t="inlineStr">
        <is>
          <t xml:space="preserve">Educación, formación, entrenamiento y capacitación / Sistemas educativos complementarios / Educación de adultos</t>
        </is>
      </c>
      <c r="O21" s="4" t="inlineStr">
        <is>
          <t xml:space="preserve">13 Unidad · Capacitación a empleados</t>
        </is>
      </c>
      <c r="P21" s="2"/>
      <c r="Q21" s="2"/>
      <c r="R21" s="0"/>
      <c r="S21" s="0" t="inlineStr">
        <is>
          <t xml:space="preserve">No</t>
        </is>
      </c>
      <c r="T21" s="4"/>
      <c r="U21" s="0"/>
      <c r="V21" s="4" t="inlineStr">
        <is>
          <t xml:space="preserve">DE/54/GUB/PLATAFORMA DE PREPARACIÓN PARA EL EXAMEN TOEIC LISTENING AND READING
SE ADJUNTAN BASES TÉCNICAS 
SE ADJUNTAN ANEXOS EDITABLES</t>
        </is>
      </c>
      <c r="W21" s="5" t="str">
        <f>HYPERLINK("https://www.mercadopublico.cl/Procurement/Modules/RFB/DetailsAcquisition.aspx?idlicitacion=761391-124-L126","descargar bases")</f>
      </c>
    </row>
    <row r="22">
      <c r="A22" s="0" t="inlineStr">
        <is>
          <t xml:space="preserve">3477-77-LE26</t>
        </is>
      </c>
      <c r="B22" s="4" t="inlineStr">
        <is>
          <t xml:space="preserve">“INSTALACIÓN DE PUNTOS DE RED EN UDEL” SECCIÓN DE INFORMÁTICA MUNICIPAL</t>
        </is>
      </c>
      <c r="C22" s="0" t="inlineStr">
        <is>
          <t xml:space="preserve">Publicada</t>
        </is>
      </c>
      <c r="D22" s="0" t="inlineStr">
        <is>
          <t xml:space="preserve">I MUNICIPALIDAD DE VILCUN</t>
        </is>
      </c>
      <c r="E22" s="0" t="inlineStr">
        <is>
          <t xml:space="preserve"> Area Municipal</t>
        </is>
      </c>
      <c r="F22" s="0" t="inlineStr">
        <is>
          <t xml:space="preserve">Región de la Araucanía </t>
        </is>
      </c>
      <c r="G22" s="0" t="inlineStr">
        <is>
          <t xml:space="preserve">Vilcún</t>
        </is>
      </c>
      <c r="H22" s="2">
        <v>46255.680382</v>
      </c>
      <c r="I22" s="2">
        <v>46268.645833</v>
      </c>
      <c r="J22" s="0">
        <v>2</v>
      </c>
      <c r="K22" s="3">
        <v>8000000.0</v>
      </c>
      <c r="L22" s="0" t="inlineStr">
        <is>
          <t xml:space="preserve">CLP</t>
        </is>
      </c>
      <c r="M22" s="0" t="inlineStr">
        <is>
          <t xml:space="preserve">LE</t>
        </is>
      </c>
      <c r="N22" s="4" t="inlineStr">
        <is>
          <t xml:space="preserve">Servicios profesionales, administrativos y consultorías de gestión empresarial / Servicios de recursos humanos / Servicios de personal temporal</t>
        </is>
      </c>
      <c r="O22" s="4" t="inlineStr">
        <is>
          <t xml:space="preserve">1 Global · Especialistas temporales en redes computacionales</t>
        </is>
      </c>
      <c r="P22" s="2"/>
      <c r="Q22" s="2"/>
      <c r="R22" s="0"/>
      <c r="S22" s="0" t="inlineStr">
        <is>
          <t xml:space="preserve">No</t>
        </is>
      </c>
      <c r="T22" s="4"/>
      <c r="U22" s="0" t="inlineStr">
        <is>
          <t xml:space="preserve">Cristian Sepulveda</t>
        </is>
      </c>
      <c r="V22" s="4" t="inlineStr">
        <is>
          <t xml:space="preserve">“INSTALACIÓN DE PUNTOS DE RED EN UDEL”
SECCIÓN DE INFORMÁTICA MUNICIPAL. SEGUN BASES ADJUNTAS.</t>
        </is>
      </c>
      <c r="W22" s="5" t="str">
        <f>HYPERLINK("https://www.mercadopublico.cl/Procurement/Modules/RFB/DetailsAcquisition.aspx?idlicitacion=3477-77-LE26","descargar bases")</f>
      </c>
    </row>
    <row r="23">
      <c r="A23" s="0" t="inlineStr">
        <is>
          <t xml:space="preserve">730566-21-LP26</t>
        </is>
      </c>
      <c r="B23" s="4" t="inlineStr">
        <is>
          <t xml:space="preserve">RENOVACIÓN DE PLATAFORMA WIFI</t>
        </is>
      </c>
      <c r="C23" s="0" t="inlineStr">
        <is>
          <t xml:space="preserve">Publicada</t>
        </is>
      </c>
      <c r="D23" s="0" t="inlineStr">
        <is>
          <t xml:space="preserve">SUBSECRETARIA DE EVALUACION SOCIAL</t>
        </is>
      </c>
      <c r="E23" s="0" t="inlineStr">
        <is>
          <t xml:space="preserve">Subsecretaría de Evaluación Social</t>
        </is>
      </c>
      <c r="F23" s="0" t="inlineStr">
        <is>
          <t xml:space="preserve">Región Metropolitana de Santiago</t>
        </is>
      </c>
      <c r="G23" s="0" t="inlineStr">
        <is>
          <t xml:space="preserve">Santiago</t>
        </is>
      </c>
      <c r="H23" s="2">
        <v>46258.64419</v>
      </c>
      <c r="I23" s="2">
        <v>46268.645833</v>
      </c>
      <c r="J23" s="0">
        <v>2</v>
      </c>
      <c r="K23" s="3"/>
      <c r="L23" s="0" t="inlineStr">
        <is>
          <t xml:space="preserve">USD</t>
        </is>
      </c>
      <c r="M23" s="0" t="inlineStr">
        <is>
          <t xml:space="preserve">LP</t>
        </is>
      </c>
      <c r="N23"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23" s="4" t="inlineStr">
        <is>
          <t xml:space="preserve">100 Unidad · Dispositivos de acceso de red digital de servicios integrados (RDSI) · 1 Unidad · Plataforma de mensajería unificada</t>
        </is>
      </c>
      <c r="P23" s="2"/>
      <c r="Q23" s="2"/>
      <c r="R23" s="0" t="inlineStr">
        <is>
          <t xml:space="preserve">36 meses</t>
        </is>
      </c>
      <c r="S23" s="0" t="inlineStr">
        <is>
          <t xml:space="preserve">No</t>
        </is>
      </c>
      <c r="T23" s="4" t="inlineStr">
        <is>
          <t xml:space="preserve">Según punto 9 de las bases adjuntas</t>
        </is>
      </c>
      <c r="U23" s="0" t="inlineStr">
        <is>
          <t xml:space="preserve">Fabián Abarca</t>
        </is>
      </c>
      <c r="V23"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23" s="5" t="str">
        <f>HYPERLINK("https://www.mercadopublico.cl/Procurement/Modules/RFB/DetailsAcquisition.aspx?idlicitacion=730566-21-LP26","descargar bases")</f>
      </c>
    </row>
    <row r="24">
      <c r="A24" s="0" t="inlineStr">
        <is>
          <t xml:space="preserve">2427-73-LE26</t>
        </is>
      </c>
      <c r="B24" s="4" t="inlineStr">
        <is>
          <t xml:space="preserve">SUMINISTRO DE MARKETING DIGITAL PARA REDES SOCIALES DEL MUNICIPIO DE VALPARAÍSO</t>
        </is>
      </c>
      <c r="C24" s="0" t="inlineStr">
        <is>
          <t xml:space="preserve">Publicada</t>
        </is>
      </c>
      <c r="D24" s="0" t="inlineStr">
        <is>
          <t xml:space="preserve">I MUNICIPALIDAD DE VALPARAISO</t>
        </is>
      </c>
      <c r="E24" s="0" t="inlineStr">
        <is>
          <t xml:space="preserve">ABASTECIMIENTO</t>
        </is>
      </c>
      <c r="F24" s="0" t="inlineStr">
        <is>
          <t xml:space="preserve">Región de Valparaíso </t>
        </is>
      </c>
      <c r="G24" s="0"/>
      <c r="H24" s="2">
        <v>46258.560174</v>
      </c>
      <c r="I24" s="2">
        <v>46268.666667</v>
      </c>
      <c r="J24" s="0">
        <v>2</v>
      </c>
      <c r="K24" s="3">
        <v>14000000.0</v>
      </c>
      <c r="L24" s="0" t="inlineStr">
        <is>
          <t xml:space="preserve">CLP</t>
        </is>
      </c>
      <c r="M24" s="0" t="inlineStr">
        <is>
          <t xml:space="preserve">LE</t>
        </is>
      </c>
      <c r="N24" s="4" t="inlineStr">
        <is>
          <t xml:space="preserve">Servicios profesionales, administrativos y consultorías de gestión empresarial / Servicios para la comercialización y distribución / Ventas y marketing</t>
        </is>
      </c>
      <c r="O24" s="4" t="inlineStr">
        <is>
          <t xml:space="preserve">1 Unidad · Agencias de marketing de ventas, incluidas las impresiones</t>
        </is>
      </c>
      <c r="P24" s="2"/>
      <c r="Q24" s="2"/>
      <c r="R24" s="0"/>
      <c r="S24" s="0" t="inlineStr">
        <is>
          <t xml:space="preserve">No</t>
        </is>
      </c>
      <c r="T24" s="4"/>
      <c r="U24" s="0" t="inlineStr">
        <is>
          <t xml:space="preserve">CHRISTOPHER GEEP</t>
        </is>
      </c>
      <c r="V24" s="4" t="inlineStr">
        <is>
          <t xml:space="preserve">Pedido 24 Gabinete - Imagen Corporativa.</t>
        </is>
      </c>
      <c r="W24" s="5" t="str">
        <f>HYPERLINK("https://www.mercadopublico.cl/Procurement/Modules/RFB/DetailsAcquisition.aspx?idlicitacion=2427-73-LE26","descargar bases")</f>
      </c>
    </row>
    <row r="25">
      <c r="A25" s="0" t="inlineStr">
        <is>
          <t xml:space="preserve">2258-146-LP26</t>
        </is>
      </c>
      <c r="B25" s="4" t="inlineStr">
        <is>
          <t xml:space="preserve">AUDIFONOS DIGITAL PAC.GES HIPOACUSIA BILATERAL</t>
        </is>
      </c>
      <c r="C25" s="0" t="inlineStr">
        <is>
          <t xml:space="preserve">Publicada</t>
        </is>
      </c>
      <c r="D25" s="0" t="inlineStr">
        <is>
          <t xml:space="preserve">SERVICIO DE SALUD ANTOFAGASTA HOSPITAL L</t>
        </is>
      </c>
      <c r="E25" s="0" t="inlineStr">
        <is>
          <t xml:space="preserve">Abastecimiento Principal</t>
        </is>
      </c>
      <c r="F25" s="0" t="inlineStr">
        <is>
          <t xml:space="preserve">Región de Antofagasta </t>
        </is>
      </c>
      <c r="G25" s="0" t="inlineStr">
        <is>
          <t xml:space="preserve">Antofagasta</t>
        </is>
      </c>
      <c r="H25" s="2">
        <v>46248.581736</v>
      </c>
      <c r="I25" s="2">
        <v>46268.675</v>
      </c>
      <c r="J25" s="0">
        <v>2</v>
      </c>
      <c r="K25" s="3"/>
      <c r="L25" s="0" t="inlineStr">
        <is>
          <t xml:space="preserve">CLP</t>
        </is>
      </c>
      <c r="M25" s="0" t="inlineStr">
        <is>
          <t xml:space="preserve">LP</t>
        </is>
      </c>
      <c r="N25" s="4" t="inlineStr">
        <is>
          <t xml:space="preserve">Equipamiento y suministros médicos / Ayuda para personas con discapacidad / Artículos de ayuda para la comunicación de discapacitados</t>
        </is>
      </c>
      <c r="O25" s="4" t="inlineStr">
        <is>
          <t xml:space="preserve">900 Unidad · Audífonos para personas con discapacidad física · 504 Unidad · Audífonos para personas con discapacidad física</t>
        </is>
      </c>
      <c r="P25" s="2"/>
      <c r="Q25" s="2"/>
      <c r="R25" s="0" t="inlineStr">
        <is>
          <t xml:space="preserve">12 meses</t>
        </is>
      </c>
      <c r="S25" s="0" t="inlineStr">
        <is>
          <t xml:space="preserve">No</t>
        </is>
      </c>
      <c r="T25" s="4"/>
      <c r="U25" s="0" t="inlineStr">
        <is>
          <t xml:space="preserve">Sebastian Castillo Eitner</t>
        </is>
      </c>
      <c r="V25" s="4" t="inlineStr">
        <is>
          <t xml:space="preserve">Cotizar valores netos</t>
        </is>
      </c>
      <c r="W25" s="5" t="str">
        <f>HYPERLINK("https://www.mercadopublico.cl/Procurement/Modules/RFB/DetailsAcquisition.aspx?idlicitacion=2258-146-LP26","descargar bases")</f>
      </c>
    </row>
    <row r="26">
      <c r="A26" s="0" t="inlineStr">
        <is>
          <t xml:space="preserve">1483311-2-LP26</t>
        </is>
      </c>
      <c r="B26" s="4" t="inlineStr">
        <is>
          <t xml:space="preserve">SERVICIO DE ARRIENDO DE SOFTWARE DE REMUNERACIONES</t>
        </is>
      </c>
      <c r="C26" s="0" t="inlineStr">
        <is>
          <t xml:space="preserve">Publicada</t>
        </is>
      </c>
      <c r="D26" s="0" t="inlineStr">
        <is>
          <t xml:space="preserve">SERVICIO LOCAL DE EDUCACIÓN PÚBLICA LOS VIÑEDOS</t>
        </is>
      </c>
      <c r="E26" s="0" t="inlineStr">
        <is>
          <t xml:space="preserve">SERVICIO LOCAL DE EDUCACIÓN PÚBLICA LOS VIÑEDOS</t>
        </is>
      </c>
      <c r="F26" s="0" t="inlineStr">
        <is>
          <t xml:space="preserve">Región Metropolitana de Santiago</t>
        </is>
      </c>
      <c r="G26" s="0"/>
      <c r="H26" s="2">
        <v>46248.714144</v>
      </c>
      <c r="I26" s="2">
        <v>46268.708333</v>
      </c>
      <c r="J26" s="0">
        <v>2</v>
      </c>
      <c r="K26" s="3">
        <v>202000000.0</v>
      </c>
      <c r="L26" s="0" t="inlineStr">
        <is>
          <t xml:space="preserve">CLP</t>
        </is>
      </c>
      <c r="M26" s="0" t="inlineStr">
        <is>
          <t xml:space="preserve">LP</t>
        </is>
      </c>
      <c r="N26" s="4" t="inlineStr">
        <is>
          <t xml:space="preserve">Tecnologías de la información, telecomunicaciones y radiodifusión / Software / Software de gestión</t>
        </is>
      </c>
      <c r="O26" s="4" t="inlineStr">
        <is>
          <t xml:space="preserve">1 Unidad · Software de gestión de recursos humanos · 1 Unidad · Software de gestión de recursos humanos</t>
        </is>
      </c>
      <c r="P26" s="2"/>
      <c r="Q26" s="2"/>
      <c r="R26" s="0" t="inlineStr">
        <is>
          <t xml:space="preserve">24 meses</t>
        </is>
      </c>
      <c r="S26" s="0" t="inlineStr">
        <is>
          <t xml:space="preserve">No</t>
        </is>
      </c>
      <c r="T26" s="4"/>
      <c r="U26" s="0" t="inlineStr">
        <is>
          <t xml:space="preserve">Francisca Pérez Godoy</t>
        </is>
      </c>
      <c r="V26"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26" s="5" t="str">
        <f>HYPERLINK("https://www.mercadopublico.cl/Procurement/Modules/RFB/DetailsAcquisition.aspx?idlicitacion=1483311-2-LP26","descargar bases")</f>
      </c>
    </row>
    <row r="27">
      <c r="A27" s="0" t="inlineStr">
        <is>
          <t xml:space="preserve">1422051-25-LE26</t>
        </is>
      </c>
      <c r="B27" s="4" t="inlineStr">
        <is>
          <t xml:space="preserve">Contratación Servicio Plataforma de Gestión RRHH</t>
        </is>
      </c>
      <c r="C27" s="0" t="inlineStr">
        <is>
          <t xml:space="preserve">Publicada</t>
        </is>
      </c>
      <c r="D27" s="0" t="inlineStr">
        <is>
          <t xml:space="preserve">JUNTA DE ALCALDES PROVIDENCIA LAS CONDES LA REINA</t>
        </is>
      </c>
      <c r="E27" s="0" t="inlineStr">
        <is>
          <t xml:space="preserve">JUNTA DE ALCALDES PROVIDENCIA LAS CONDES LA REINA</t>
        </is>
      </c>
      <c r="F27" s="0" t="inlineStr">
        <is>
          <t xml:space="preserve">Región Metropolitana de Santiago</t>
        </is>
      </c>
      <c r="G27" s="0"/>
      <c r="H27" s="2">
        <v>46253.682894</v>
      </c>
      <c r="I27" s="2">
        <v>46268.75</v>
      </c>
      <c r="J27" s="0">
        <v>2</v>
      </c>
      <c r="K27" s="3">
        <v>32000000.0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Software de gestión de recursos humanos</t>
        </is>
      </c>
      <c r="P27" s="2"/>
      <c r="Q27" s="2"/>
      <c r="R27" s="0" t="inlineStr">
        <is>
          <t xml:space="preserve">24 horas</t>
        </is>
      </c>
      <c r="S27" s="0" t="inlineStr">
        <is>
          <t xml:space="preserve">No</t>
        </is>
      </c>
      <c r="T27" s="4"/>
      <c r="U27" s="0" t="inlineStr">
        <is>
          <t xml:space="preserve">Hector Fuentealba Riquelme</t>
        </is>
      </c>
      <c r="V27" s="4" t="inlineStr">
        <is>
          <t xml:space="preserve">Implementar una plataforma integral de gestión de personas para la Junta de Alcaldes, orientada a dar solución a los requerimientos derivados de las funciones comunes y diarias de la institución.</t>
        </is>
      </c>
      <c r="W27" s="5" t="str">
        <f>HYPERLINK("https://www.mercadopublico.cl/Procurement/Modules/RFB/DetailsAcquisition.aspx?idlicitacion=1422051-25-LE26","descargar bases")</f>
      </c>
    </row>
    <row r="28">
      <c r="A28" s="0" t="inlineStr">
        <is>
          <t xml:space="preserve">727202-69-LE26</t>
        </is>
      </c>
      <c r="B28" s="4" t="inlineStr">
        <is>
          <t xml:space="preserve">ADQUISICIÓN E IMPLEMENTACIÓN DE TÓTEMS</t>
        </is>
      </c>
      <c r="C28" s="0" t="inlineStr">
        <is>
          <t xml:space="preserve">Publicada</t>
        </is>
      </c>
      <c r="D28" s="0" t="inlineStr">
        <is>
          <t xml:space="preserve">I MUNICIPALIDAD DE VICUNA</t>
        </is>
      </c>
      <c r="E28" s="0" t="inlineStr">
        <is>
          <t xml:space="preserve">Secplan</t>
        </is>
      </c>
      <c r="F28" s="0" t="inlineStr">
        <is>
          <t xml:space="preserve">Región de Coquimbo </t>
        </is>
      </c>
      <c r="G28" s="0" t="inlineStr">
        <is>
          <t xml:space="preserve">Vicuña</t>
        </is>
      </c>
      <c r="H28" s="2">
        <v>46253.654167</v>
      </c>
      <c r="I28" s="2">
        <v>46269.375</v>
      </c>
      <c r="J28" s="0">
        <v>3</v>
      </c>
      <c r="K28" s="3">
        <v>13000000.0</v>
      </c>
      <c r="L28" s="0" t="inlineStr">
        <is>
          <t xml:space="preserve">CLP</t>
        </is>
      </c>
      <c r="M28" s="0" t="inlineStr">
        <is>
          <t xml:space="preserve">LE</t>
        </is>
      </c>
      <c r="N28" s="4" t="inlineStr">
        <is>
          <t xml:space="preserve">Tecnologías de la información, telecomunicaciones y radiodifusión / Equipos informáticos y accesorios / Pantallas o monitores de computador</t>
        </is>
      </c>
      <c r="O28" s="4" t="inlineStr">
        <is>
          <t xml:space="preserve">1 Global · Monitores de pantalla táctil</t>
        </is>
      </c>
      <c r="P28" s="2"/>
      <c r="Q28" s="2"/>
      <c r="R28" s="0" t="inlineStr">
        <is>
          <t xml:space="preserve">60 días</t>
        </is>
      </c>
      <c r="S28" s="0" t="inlineStr">
        <is>
          <t xml:space="preserve">No</t>
        </is>
      </c>
      <c r="T28" s="4"/>
      <c r="U28" s="0" t="inlineStr">
        <is>
          <t xml:space="preserve">Mario Aros Carvajal</t>
        </is>
      </c>
      <c r="V28" s="4" t="inlineStr">
        <is>
          <t xml:space="preserve">Adquisición e implementación de tótems interactivos con inteligencia artificial y sistema de gestión de contenidos para el museo del Observatorio Mamalluca, conforme a la documentación técnica adjunta.</t>
        </is>
      </c>
      <c r="W28" s="5" t="str">
        <f>HYPERLINK("https://www.mercadopublico.cl/Procurement/Modules/RFB/DetailsAcquisition.aspx?idlicitacion=727202-69-LE26","descargar bases")</f>
      </c>
    </row>
    <row r="29">
      <c r="A29" s="0" t="inlineStr">
        <is>
          <t xml:space="preserve">3553-29-LE26</t>
        </is>
      </c>
      <c r="B29" s="4" t="inlineStr">
        <is>
          <t xml:space="preserve">Serv. jurídicos de Ley 21.719 y prot. de datos</t>
        </is>
      </c>
      <c r="C29" s="0" t="inlineStr">
        <is>
          <t xml:space="preserve">Publicada</t>
        </is>
      </c>
      <c r="D29" s="0" t="inlineStr">
        <is>
          <t xml:space="preserve">MINISTERIO DE BIENES NACIONALES</t>
        </is>
      </c>
      <c r="E29" s="0" t="inlineStr">
        <is>
          <t xml:space="preserve">MINISTERIO DE BIENES NACIONALES</t>
        </is>
      </c>
      <c r="F29" s="0" t="inlineStr">
        <is>
          <t xml:space="preserve">Región Metropolitana de Santiago</t>
        </is>
      </c>
      <c r="G29" s="0" t="inlineStr">
        <is>
          <t xml:space="preserve">Santiago Centro</t>
        </is>
      </c>
      <c r="H29" s="2">
        <v>46258.536296</v>
      </c>
      <c r="I29" s="2">
        <v>46269.5</v>
      </c>
      <c r="J29" s="0">
        <v>3</v>
      </c>
      <c r="K29" s="3">
        <v>40856640.0</v>
      </c>
      <c r="L29" s="0" t="inlineStr">
        <is>
          <t xml:space="preserve">CLP</t>
        </is>
      </c>
      <c r="M29" s="0" t="inlineStr">
        <is>
          <t xml:space="preserve">LE</t>
        </is>
      </c>
      <c r="N29" s="4" t="inlineStr">
        <is>
          <t xml:space="preserve">Organizaciones sociales, laborales y clubes / Organizaciones, asociaciones y movimientos cívicos / Organizaciones de beneficencia</t>
        </is>
      </c>
      <c r="O29" s="4" t="inlineStr">
        <is>
          <t xml:space="preserve">1 Unidad · Servicios de asistencia legal y judicial</t>
        </is>
      </c>
      <c r="P29" s="2"/>
      <c r="Q29" s="2"/>
      <c r="R29" s="0" t="inlineStr">
        <is>
          <t xml:space="preserve">90 días</t>
        </is>
      </c>
      <c r="S29" s="0" t="inlineStr">
        <is>
          <t xml:space="preserve">No</t>
        </is>
      </c>
      <c r="T29" s="4"/>
      <c r="U29" s="0" t="inlineStr">
        <is>
          <t xml:space="preserve">Stefan Andrés Goecke Ruz</t>
        </is>
      </c>
      <c r="V29"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29" s="5" t="str">
        <f>HYPERLINK("https://www.mercadopublico.cl/Procurement/Modules/RFB/DetailsAcquisition.aspx?idlicitacion=3553-29-LE26","descargar bases")</f>
      </c>
    </row>
    <row r="30">
      <c r="A30" s="0" t="inlineStr">
        <is>
          <t xml:space="preserve">1469-173-L126</t>
        </is>
      </c>
      <c r="B30" s="4" t="inlineStr">
        <is>
          <t xml:space="preserve">Sistema de gestión de Libro de Obras Digital, para PIBV</t>
        </is>
      </c>
      <c r="C30" s="0" t="inlineStr">
        <is>
          <t xml:space="preserve">Publicada</t>
        </is>
      </c>
      <c r="D30" s="0" t="inlineStr">
        <is>
          <t xml:space="preserve">UNIVERSIDAD DE TALCA</t>
        </is>
      </c>
      <c r="E30" s="0" t="inlineStr">
        <is>
          <t xml:space="preserve">Universidad de Talca</t>
        </is>
      </c>
      <c r="F30" s="0" t="inlineStr">
        <is>
          <t xml:space="preserve">Región del Maule </t>
        </is>
      </c>
      <c r="G30" s="0" t="inlineStr">
        <is>
          <t xml:space="preserve">Talca</t>
        </is>
      </c>
      <c r="H30" s="2">
        <v>46259.516007</v>
      </c>
      <c r="I30" s="2">
        <v>46269.625</v>
      </c>
      <c r="J30" s="0">
        <v>3</v>
      </c>
      <c r="K30" s="3">
        <v>2500000.0</v>
      </c>
      <c r="L30" s="0" t="inlineStr">
        <is>
          <t xml:space="preserve">CLP</t>
        </is>
      </c>
      <c r="M30" s="0" t="inlineStr">
        <is>
          <t xml:space="preserve">L1</t>
        </is>
      </c>
      <c r="N30" s="4" t="inlineStr">
        <is>
          <t xml:space="preserve">Tecnologías de la información, telecomunicaciones y radiodifusión / Software / Software de consultas y gestión de datos</t>
        </is>
      </c>
      <c r="O30" s="4" t="inlineStr">
        <is>
          <t xml:space="preserve">1 Unidad · Software de búsqueda o recuperación de información</t>
        </is>
      </c>
      <c r="P30" s="2"/>
      <c r="Q30" s="2"/>
      <c r="R30" s="0"/>
      <c r="S30" s="0" t="inlineStr">
        <is>
          <t xml:space="preserve">No</t>
        </is>
      </c>
      <c r="T30" s="4"/>
      <c r="U30" s="0"/>
      <c r="V30" s="4" t="inlineStr">
        <is>
          <t xml:space="preserve">La Universidad de Talca requiere del servicio de plataforma de Libro de Obra Digital para continuar con el requerimiento del Convenio PIBV, por un periodo de 15 meses.</t>
        </is>
      </c>
      <c r="W30" s="5" t="str">
        <f>HYPERLINK("https://www.mercadopublico.cl/Procurement/Modules/RFB/DetailsAcquisition.aspx?idlicitacion=1469-173-L126","descargar bases")</f>
      </c>
    </row>
    <row r="31">
      <c r="A31" s="0" t="inlineStr">
        <is>
          <t xml:space="preserve">869591-9-LR26</t>
        </is>
      </c>
      <c r="B31" s="4" t="inlineStr">
        <is>
          <t xml:space="preserve">CONTRATACIÓN DEL DESARROLLO DE LA PLATAFORMA MODULAR DE COMPRAS NUEVOS MECANISMOS PARA LA DIRECCIÓN DE COMPRAS Y CONTRATACIÓN PÚBLICA.</t>
        </is>
      </c>
      <c r="C31" s="0" t="inlineStr">
        <is>
          <t xml:space="preserve">Publicada</t>
        </is>
      </c>
      <c r="D31" s="0" t="inlineStr">
        <is>
          <t xml:space="preserve">DIRECCION DE COMPRAS Y CONTRATACION PUBLICA</t>
        </is>
      </c>
      <c r="E31" s="0" t="inlineStr">
        <is>
          <t xml:space="preserve">Calidad del Gasto en las Compras Públicas</t>
        </is>
      </c>
      <c r="F31" s="0" t="inlineStr">
        <is>
          <t xml:space="preserve">Región Metropolitana de Santiago</t>
        </is>
      </c>
      <c r="G31" s="0" t="inlineStr">
        <is>
          <t xml:space="preserve">Santiago Centro</t>
        </is>
      </c>
      <c r="H31" s="2">
        <v>46233.318056</v>
      </c>
      <c r="I31" s="2">
        <v>46269.625</v>
      </c>
      <c r="J31" s="0">
        <v>3</v>
      </c>
      <c r="K31" s="3"/>
      <c r="L31" s="0" t="inlineStr">
        <is>
          <t xml:space="preserve">CLF</t>
        </is>
      </c>
      <c r="M31" s="0" t="inlineStr">
        <is>
          <t xml:space="preserve">LR</t>
        </is>
      </c>
      <c r="N31" s="4" t="inlineStr">
        <is>
          <t xml:space="preserve">Servicios profesionales, administrativos y consultorías de gestión empresarial / Servicios de recursos humanos / Contratación de personal</t>
        </is>
      </c>
      <c r="O31" s="4" t="inlineStr">
        <is>
          <t xml:space="preserve">1 Unidad · Desarrolladores de software</t>
        </is>
      </c>
      <c r="P31" s="2"/>
      <c r="Q31" s="2"/>
      <c r="R31" s="0" t="inlineStr">
        <is>
          <t xml:space="preserve">25 meses</t>
        </is>
      </c>
      <c r="S31" s="0" t="inlineStr">
        <is>
          <t xml:space="preserve">No</t>
        </is>
      </c>
      <c r="T31" s="4" t="inlineStr">
        <is>
          <t xml:space="preserve">ver clausula 10 de las bases especiales</t>
        </is>
      </c>
      <c r="U31" s="0" t="inlineStr">
        <is>
          <t xml:space="preserve">Miguel Herrera</t>
        </is>
      </c>
      <c r="V31" s="4" t="inlineStr">
        <is>
          <t xml:space="preserve">CONTRATACIÓN DEL DESARROLLO DE LA PLATAFORMA MODULAR DE COMPRAS (NUEVOS MECANISMOS) PARA LA DIRECCIÓN DE COMPRAS Y CONTRATACIÓN PÚBLICA.</t>
        </is>
      </c>
      <c r="W31" s="5" t="str">
        <f>HYPERLINK("https://www.mercadopublico.cl/Procurement/Modules/RFB/DetailsAcquisition.aspx?idlicitacion=869591-9-LR26","descargar bases")</f>
      </c>
    </row>
    <row r="32">
      <c r="A32" s="0" t="inlineStr">
        <is>
          <t xml:space="preserve">1641-323-LE26</t>
        </is>
      </c>
      <c r="B32" s="4" t="inlineStr">
        <is>
          <t xml:space="preserve">FMM - SUMINISTRO DE LICENCIA DE SOFTWARE AUTOCAD PARA OBRAS</t>
        </is>
      </c>
      <c r="C32" s="0" t="inlineStr">
        <is>
          <t xml:space="preserve">Publicada</t>
        </is>
      </c>
      <c r="D32" s="0" t="inlineStr">
        <is>
          <t xml:space="preserve">SERVICIO DE SALUD OCCIDENTE HOSPITAL SAN JUAN DE DIOS</t>
        </is>
      </c>
      <c r="E32" s="0" t="inlineStr">
        <is>
          <t xml:space="preserve">SERVICIO DE SALUD OCCIDENTE HOSPITAL SAN JUAN DE D</t>
        </is>
      </c>
      <c r="F32" s="0" t="inlineStr">
        <is>
          <t xml:space="preserve">Región Metropolitana de Santiago</t>
        </is>
      </c>
      <c r="G32" s="0"/>
      <c r="H32" s="2">
        <v>46259.479363</v>
      </c>
      <c r="I32" s="2">
        <v>46269.666667</v>
      </c>
      <c r="J32" s="0">
        <v>3</v>
      </c>
      <c r="K32" s="3"/>
      <c r="L32" s="0" t="inlineStr">
        <is>
          <t xml:space="preserve">CLP</t>
        </is>
      </c>
      <c r="M32" s="0" t="inlineStr">
        <is>
          <t xml:space="preserve">LE</t>
        </is>
      </c>
      <c r="N32" s="4" t="inlineStr">
        <is>
          <t xml:space="preserve">Tecnologías de la información, telecomunicaciones y radiodifusión / Software / Software específico para la industria</t>
        </is>
      </c>
      <c r="O32" s="4" t="inlineStr">
        <is>
          <t xml:space="preserve">7 Unidad · Software de diseño asistido por computador (CAD) · 2 Unidad · Software de diseño asistido por computador (CAD)</t>
        </is>
      </c>
      <c r="P32" s="2"/>
      <c r="Q32" s="2"/>
      <c r="R32" s="0" t="inlineStr">
        <is>
          <t xml:space="preserve">36 meses</t>
        </is>
      </c>
      <c r="S32" s="0" t="inlineStr">
        <is>
          <t xml:space="preserve">No</t>
        </is>
      </c>
      <c r="T32" s="4"/>
      <c r="U32" s="0" t="inlineStr">
        <is>
          <t xml:space="preserve">Beatriz Romero Lopez</t>
        </is>
      </c>
      <c r="V32"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32" s="5" t="str">
        <f>HYPERLINK("https://www.mercadopublico.cl/Procurement/Modules/RFB/DetailsAcquisition.aspx?idlicitacion=1641-323-LE26","descargar bases")</f>
      </c>
    </row>
    <row r="33">
      <c r="A33" s="0" t="inlineStr">
        <is>
          <t xml:space="preserve">3530-19-L126</t>
        </is>
      </c>
      <c r="B33" s="4" t="inlineStr">
        <is>
          <t xml:space="preserve">Adquisición del servicio de mantenimiento y reparación para el reemplazo completo del tablero eléctrico trifásico.</t>
        </is>
      </c>
      <c r="C33" s="0" t="inlineStr">
        <is>
          <t xml:space="preserve">Publicada</t>
        </is>
      </c>
      <c r="D33" s="0" t="inlineStr">
        <is>
          <t xml:space="preserve">DIVISION LOGISTICA DEL EJERCITO</t>
        </is>
      </c>
      <c r="E33" s="0" t="inlineStr">
        <is>
          <t xml:space="preserve">Regimiento N 2 "Maipo"</t>
        </is>
      </c>
      <c r="F33" s="0" t="inlineStr">
        <is>
          <t xml:space="preserve">Región de Valparaíso </t>
        </is>
      </c>
      <c r="G33" s="0" t="inlineStr">
        <is>
          <t xml:space="preserve">Valparaíso</t>
        </is>
      </c>
      <c r="H33" s="2">
        <v>46261.608252</v>
      </c>
      <c r="I33" s="2">
        <v>46269.708333</v>
      </c>
      <c r="J33" s="0">
        <v>3</v>
      </c>
      <c r="K33" s="3">
        <v>4000000.0</v>
      </c>
      <c r="L33" s="0" t="inlineStr">
        <is>
          <t xml:space="preserve">CLP</t>
        </is>
      </c>
      <c r="M33" s="0" t="inlineStr">
        <is>
          <t xml:space="preserve">L1</t>
        </is>
      </c>
      <c r="N33" s="4" t="inlineStr">
        <is>
          <t xml:space="preserve">Maquinaria para generación y distribución de energía / Generación de energía / Equipo para control de producción de energía</t>
        </is>
      </c>
      <c r="O33" s="4" t="inlineStr">
        <is>
          <t xml:space="preserve">1 Unidad · Paneles de control eléctrico para generadores</t>
        </is>
      </c>
      <c r="P33" s="2"/>
      <c r="Q33" s="2"/>
      <c r="R33" s="0"/>
      <c r="S33" s="0" t="inlineStr">
        <is>
          <t xml:space="preserve">No</t>
        </is>
      </c>
      <c r="T33" s="4"/>
      <c r="U33" s="0"/>
      <c r="V33" s="4" t="inlineStr">
        <is>
          <t xml:space="preserve">Adquisición del servicio de mantenimiento y reparación para el
reemplazo completo del tablero eléctrico trifásico perteneciente al
Regimiento N°2 "Maipo".</t>
        </is>
      </c>
      <c r="W33" s="5" t="str">
        <f>HYPERLINK("https://www.mercadopublico.cl/Procurement/Modules/RFB/DetailsAcquisition.aspx?idlicitacion=3530-19-L126","descargar bases")</f>
      </c>
    </row>
    <row r="34">
      <c r="A34" s="0" t="inlineStr">
        <is>
          <t xml:space="preserve">1171234-5-LE26</t>
        </is>
      </c>
      <c r="B34" s="4" t="inlineStr">
        <is>
          <t xml:space="preserve">SERVICIOS DE IMPLEMENTACIÓN SOFTWARE CEDOC MNBA</t>
        </is>
      </c>
      <c r="C34" s="0" t="inlineStr">
        <is>
          <t xml:space="preserve">Publicada</t>
        </is>
      </c>
      <c r="D34" s="0" t="inlineStr">
        <is>
          <t xml:space="preserve">SERVICIO NACIONAL DEL PATRIMONIO CULTURAL</t>
        </is>
      </c>
      <c r="E34" s="0" t="inlineStr">
        <is>
          <t xml:space="preserve">MUSEO NACIONAL DE BELLAS ARTES DOS</t>
        </is>
      </c>
      <c r="F34" s="0" t="inlineStr">
        <is>
          <t xml:space="preserve">Región Metropolitana de Santiago</t>
        </is>
      </c>
      <c r="G34" s="0" t="inlineStr">
        <is>
          <t xml:space="preserve">Santiago</t>
        </is>
      </c>
      <c r="H34" s="2">
        <v>46259.655556</v>
      </c>
      <c r="I34" s="2">
        <v>46269.833333</v>
      </c>
      <c r="J34" s="0">
        <v>3</v>
      </c>
      <c r="K34" s="3">
        <v>27000000.0</v>
      </c>
      <c r="L34" s="0" t="inlineStr">
        <is>
          <t xml:space="preserve">CLP</t>
        </is>
      </c>
      <c r="M34" s="0" t="inlineStr">
        <is>
          <t xml:space="preserve">LE</t>
        </is>
      </c>
      <c r="N34" s="4" t="inlineStr">
        <is>
          <t xml:space="preserve">Servicios basados en ingeniería, ciencias sociales y tecnología de la información / Servicios informáticos / Administración de sistemas</t>
        </is>
      </c>
      <c r="O34" s="4" t="inlineStr">
        <is>
          <t xml:space="preserve">1 Unidad · Instalación de sistemas</t>
        </is>
      </c>
      <c r="P34" s="2"/>
      <c r="Q34" s="2"/>
      <c r="R34" s="0"/>
      <c r="S34" s="0" t="inlineStr">
        <is>
          <t xml:space="preserve">No</t>
        </is>
      </c>
      <c r="T34" s="4" t="inlineStr">
        <is>
          <t xml:space="preserve">DE ACUERDO A LO SEÑALADO EN BASES DE LICTACIÓN ADJUNTAS</t>
        </is>
      </c>
      <c r="U34" s="0" t="inlineStr">
        <is>
          <t xml:space="preserve">Manuel  Arenas Bustos</t>
        </is>
      </c>
      <c r="V34" s="4" t="inlineStr">
        <is>
          <t xml:space="preserve">CONTRATACIÓN DE LOS SERVICIOS DE IMPLEMENTACIÓN DE SOFTWARE, CONSERVACIÓN, SISTEMATIZACIÓN Y ACCESO A LOS ACERVOS PATRIMONIALES DEL CENTRO DE DOCUMENTACIÓN ANGÉLICA PÉREZ GERMAIN”</t>
        </is>
      </c>
      <c r="W34" s="5" t="str">
        <f>HYPERLINK("https://www.mercadopublico.cl/Procurement/Modules/RFB/DetailsAcquisition.aspx?idlicitacion=1171234-5-LE26","descargar bases")</f>
      </c>
    </row>
    <row r="35">
      <c r="A35" s="0" t="inlineStr">
        <is>
          <t xml:space="preserve">2981-242-LE26</t>
        </is>
      </c>
      <c r="B35" s="4" t="inlineStr">
        <is>
          <t xml:space="preserve">ADQUISICIÓN DE ESTRUCTURA TÓTEM Y LETRAS VOLUMETRICAS DE METAL</t>
        </is>
      </c>
      <c r="C35" s="0" t="inlineStr">
        <is>
          <t xml:space="preserve">Publicada</t>
        </is>
      </c>
      <c r="D35" s="0" t="inlineStr">
        <is>
          <t xml:space="preserve">POLICIA DE INVESTIGACIONES DE CHILE</t>
        </is>
      </c>
      <c r="E35" s="0" t="inlineStr">
        <is>
          <t xml:space="preserve">DEPARTAMENTO ADMINISTRATIVO</t>
        </is>
      </c>
      <c r="F35" s="0" t="inlineStr">
        <is>
          <t xml:space="preserve">Región Metropolitana de Santiago</t>
        </is>
      </c>
      <c r="G35" s="0" t="inlineStr">
        <is>
          <t xml:space="preserve">Santiago Centro</t>
        </is>
      </c>
      <c r="H35" s="2">
        <v>46261.612338</v>
      </c>
      <c r="I35" s="2">
        <v>46272.625</v>
      </c>
      <c r="J35" s="0">
        <v>6</v>
      </c>
      <c r="K35" s="3">
        <v>60000000.0</v>
      </c>
      <c r="L35" s="0" t="inlineStr">
        <is>
          <t xml:space="preserve">CLP</t>
        </is>
      </c>
      <c r="M35" s="0" t="inlineStr">
        <is>
          <t xml:space="preserve">LE</t>
        </is>
      </c>
      <c r="N35" s="4" t="inlineStr">
        <is>
          <t xml:space="preserve">Productos impresos y publicaciones / Etiquetado y accesorios / Etiquetado</t>
        </is>
      </c>
      <c r="O35" s="4" t="inlineStr">
        <is>
          <t xml:space="preserve">1 Unidad no definida · Placas metálicas indicadoras del nombre</t>
        </is>
      </c>
      <c r="P35" s="2"/>
      <c r="Q35" s="2"/>
      <c r="R35" s="0"/>
      <c r="S35" s="0" t="inlineStr">
        <is>
          <t xml:space="preserve">No</t>
        </is>
      </c>
      <c r="T35" s="4" t="inlineStr">
        <is>
          <t xml:space="preserve">SEGÚN RESOLEX N° 668 DE 26.AGO.026, DEPADM</t>
        </is>
      </c>
      <c r="U35" s="0" t="inlineStr">
        <is>
          <t xml:space="preserve">NICOLE PÉREZ RIVERA</t>
        </is>
      </c>
      <c r="V35"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35" s="5" t="str">
        <f>HYPERLINK("https://www.mercadopublico.cl/Procurement/Modules/RFB/DetailsAcquisition.aspx?idlicitacion=2981-242-LE26","descargar bases")</f>
      </c>
    </row>
    <row r="36">
      <c r="A36" s="0" t="inlineStr">
        <is>
          <t xml:space="preserve">3820-25-LE26</t>
        </is>
      </c>
      <c r="B36" s="4" t="inlineStr">
        <is>
          <t xml:space="preserve">ADQUISICION Y RENOVACION DE LICENCIAS DE SOFTWARE</t>
        </is>
      </c>
      <c r="C36" s="0" t="inlineStr">
        <is>
          <t xml:space="preserve">Publicada</t>
        </is>
      </c>
      <c r="D36" s="0" t="inlineStr">
        <is>
          <t xml:space="preserve">I MUNICIPALIDAD DE SANTA MARIA</t>
        </is>
      </c>
      <c r="E36" s="0" t="inlineStr">
        <is>
          <t xml:space="preserve">I MUNICIPALIDAD DE SANTA MARIA</t>
        </is>
      </c>
      <c r="F36" s="0" t="inlineStr">
        <is>
          <t xml:space="preserve">Región de Valparaíso </t>
        </is>
      </c>
      <c r="G36" s="0" t="inlineStr">
        <is>
          <t xml:space="preserve">Santa María</t>
        </is>
      </c>
      <c r="H36" s="2">
        <v>46260.491898</v>
      </c>
      <c r="I36" s="2">
        <v>46272.625</v>
      </c>
      <c r="J36" s="0">
        <v>6</v>
      </c>
      <c r="K36" s="3">
        <v>16000000.0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t>
        </is>
      </c>
      <c r="P36" s="2"/>
      <c r="Q36" s="2"/>
      <c r="R36" s="0"/>
      <c r="S36" s="0" t="inlineStr">
        <is>
          <t xml:space="preserve">No</t>
        </is>
      </c>
      <c r="T36" s="4"/>
      <c r="U36" s="0" t="inlineStr">
        <is>
          <t xml:space="preserve">Ninoska Pino</t>
        </is>
      </c>
      <c r="V36"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36" s="5" t="str">
        <f>HYPERLINK("https://www.mercadopublico.cl/Procurement/Modules/RFB/DetailsAcquisition.aspx?idlicitacion=3820-25-LE26","descargar bases")</f>
      </c>
    </row>
    <row r="37">
      <c r="A37" s="0" t="inlineStr">
        <is>
          <t xml:space="preserve">564162-115-L126</t>
        </is>
      </c>
      <c r="B37" s="4" t="inlineStr">
        <is>
          <t xml:space="preserve">Solicitud N°92870 - Bolsas, etiquetas y cajas con impresión digital - CC112 / PS1772</t>
        </is>
      </c>
      <c r="C37" s="0" t="inlineStr">
        <is>
          <t xml:space="preserve">Publicada</t>
        </is>
      </c>
      <c r="D37" s="0" t="inlineStr">
        <is>
          <t xml:space="preserve">UNIVERSIDAD DE SANTIAGO DE CHILE</t>
        </is>
      </c>
      <c r="E37" s="0" t="inlineStr">
        <is>
          <t xml:space="preserve">VICERRECTORIA DE INVESTIGACION Y DESARROLLO</t>
        </is>
      </c>
      <c r="F37" s="0" t="inlineStr">
        <is>
          <t xml:space="preserve">Región Metropolitana de Santiago</t>
        </is>
      </c>
      <c r="G37" s="0" t="inlineStr">
        <is>
          <t xml:space="preserve">Estación Central</t>
        </is>
      </c>
      <c r="H37" s="2">
        <v>46265.7214</v>
      </c>
      <c r="I37" s="2">
        <v>46272.625</v>
      </c>
      <c r="J37" s="0">
        <v>6</v>
      </c>
      <c r="K37" s="3">
        <v>5210000.0</v>
      </c>
      <c r="L37" s="0" t="inlineStr">
        <is>
          <t xml:space="preserve">CLP</t>
        </is>
      </c>
      <c r="M37" s="0" t="inlineStr">
        <is>
          <t xml:space="preserve">L1</t>
        </is>
      </c>
      <c r="N37"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7" s="4" t="inlineStr">
        <is>
          <t xml:space="preserve">1 Unidad · Cajas para empaquetado · 1 Unidad · Cajas para empaquetado · 1 Unidad · Papel, bolsas o cajas de regalo · y 2 más</t>
        </is>
      </c>
      <c r="P37" s="2"/>
      <c r="Q37" s="2"/>
      <c r="R37" s="0"/>
      <c r="S37" s="0" t="inlineStr">
        <is>
          <t xml:space="preserve">No</t>
        </is>
      </c>
      <c r="T37" s="4"/>
      <c r="U37" s="0"/>
      <c r="V37" s="4" t="inlineStr">
        <is>
          <t xml:space="preserve">La Universidad de Santiago de chile requiere la compra de bolsas, etiquetas y cajas con impresión digital según especificaciones técnicas.</t>
        </is>
      </c>
      <c r="W37" s="5" t="str">
        <f>HYPERLINK("https://www.mercadopublico.cl/Procurement/Modules/RFB/DetailsAcquisition.aspx?idlicitacion=564162-115-L126","descargar bases")</f>
      </c>
    </row>
    <row r="38">
      <c r="A38" s="0" t="inlineStr">
        <is>
          <t xml:space="preserve">584105-34-LE26</t>
        </is>
      </c>
      <c r="B38" s="4" t="inlineStr">
        <is>
          <t xml:space="preserve">Licitacion licencia de software</t>
        </is>
      </c>
      <c r="C38" s="0" t="inlineStr">
        <is>
          <t xml:space="preserve">Publicada</t>
        </is>
      </c>
      <c r="D38" s="0" t="inlineStr">
        <is>
          <t xml:space="preserve">SUBSECRETARIA DE ENERGIA</t>
        </is>
      </c>
      <c r="E38" s="0" t="inlineStr">
        <is>
          <t xml:space="preserve">P01</t>
        </is>
      </c>
      <c r="F38" s="0" t="inlineStr">
        <is>
          <t xml:space="preserve">Región Metropolitana de Santiago</t>
        </is>
      </c>
      <c r="G38" s="0" t="inlineStr">
        <is>
          <t xml:space="preserve">Santiago</t>
        </is>
      </c>
      <c r="H38" s="2">
        <v>46261.455972</v>
      </c>
      <c r="I38" s="2">
        <v>46272.625</v>
      </c>
      <c r="J38" s="0">
        <v>6</v>
      </c>
      <c r="K38" s="3"/>
      <c r="L38" s="0" t="inlineStr">
        <is>
          <t xml:space="preserve">CLP</t>
        </is>
      </c>
      <c r="M38" s="0" t="inlineStr">
        <is>
          <t xml:space="preserve">LE</t>
        </is>
      </c>
      <c r="N38" s="4" t="inlineStr">
        <is>
          <t xml:space="preserve">Servicios profesionales, administrativos y consultorías de gestión empresarial / Servicios de recursos humanos / Contratación de personal</t>
        </is>
      </c>
      <c r="O38" s="4" t="inlineStr">
        <is>
          <t xml:space="preserve">1 Unidad · Desarrolladores de software</t>
        </is>
      </c>
      <c r="P38" s="2"/>
      <c r="Q38" s="2"/>
      <c r="R38" s="0"/>
      <c r="S38" s="0" t="inlineStr">
        <is>
          <t xml:space="preserve">No</t>
        </is>
      </c>
      <c r="T38" s="4" t="inlineStr">
        <is>
          <t xml:space="preserve">De acuerdo a lo establecido en bases adjuntas</t>
        </is>
      </c>
      <c r="U38" s="0" t="inlineStr">
        <is>
          <t xml:space="preserve">Andrea Fernández</t>
        </is>
      </c>
      <c r="V38" s="4" t="inlineStr">
        <is>
          <t xml:space="preserve">LICENCIA DE SOFTWARE DE OPTIMIZACION MATEMÁTICA AVANZADO PARA PLANIFICACIÓN ENERGÉTICA</t>
        </is>
      </c>
      <c r="W38" s="5" t="str">
        <f>HYPERLINK("https://www.mercadopublico.cl/Procurement/Modules/RFB/DetailsAcquisition.aspx?idlicitacion=584105-34-LE26","descargar bases")</f>
      </c>
    </row>
    <row r="39">
      <c r="A39" s="0" t="inlineStr">
        <is>
          <t xml:space="preserve">721-29-LP26</t>
        </is>
      </c>
      <c r="B39" s="4" t="inlineStr">
        <is>
          <t xml:space="preserve">Respaldo y recuperación plataforma de servidores</t>
        </is>
      </c>
      <c r="C39" s="0" t="inlineStr">
        <is>
          <t xml:space="preserve">Publicada</t>
        </is>
      </c>
      <c r="D39" s="0" t="inlineStr">
        <is>
          <t xml:space="preserve">CAJA DE PREVISION DE LA DEFENSA NACIONAL</t>
        </is>
      </c>
      <c r="E39" s="0" t="inlineStr">
        <is>
          <t xml:space="preserve">CAPREDENA</t>
        </is>
      </c>
      <c r="F39" s="0" t="inlineStr">
        <is>
          <t xml:space="preserve">Región Metropolitana de Santiago</t>
        </is>
      </c>
      <c r="G39" s="0" t="inlineStr">
        <is>
          <t xml:space="preserve">Santiago</t>
        </is>
      </c>
      <c r="H39" s="2">
        <v>46247.698611</v>
      </c>
      <c r="I39" s="2">
        <v>46272.625</v>
      </c>
      <c r="J39" s="0">
        <v>6</v>
      </c>
      <c r="K39" s="3">
        <v>4728.0</v>
      </c>
      <c r="L39" s="0" t="inlineStr">
        <is>
          <t xml:space="preserve">CLF</t>
        </is>
      </c>
      <c r="M39" s="0" t="inlineStr">
        <is>
          <t xml:space="preserve">LP</t>
        </is>
      </c>
      <c r="N39" s="4" t="inlineStr">
        <is>
          <t xml:space="preserve">Tecnologías de la información, telecomunicaciones y radiodifusión / Equipos, plataformas y accesorios de redes multimedia, voz y datos / Equipos de servicio de red</t>
        </is>
      </c>
      <c r="O39" s="4" t="inlineStr">
        <is>
          <t xml:space="preserve">24 Unidad · Servidores de acceso</t>
        </is>
      </c>
      <c r="P39" s="2"/>
      <c r="Q39" s="2"/>
      <c r="R39" s="0" t="inlineStr">
        <is>
          <t xml:space="preserve">24 meses</t>
        </is>
      </c>
      <c r="S39" s="0" t="inlineStr">
        <is>
          <t xml:space="preserve">No</t>
        </is>
      </c>
      <c r="T39" s="4"/>
      <c r="U39" s="0" t="inlineStr">
        <is>
          <t xml:space="preserve">Juan Carlos Villalobos Yáñez</t>
        </is>
      </c>
      <c r="V39" s="4" t="inlineStr">
        <is>
          <t xml:space="preserve">CAPREDENA llama a licitación pública para contratar la prestación del SERVICIO DE RESPALDO Y RECUPERACIÓN DE SU PLATAFORMA DE SERVIDORES DE CAPREDENA, por el periodo de 24 meses, más el plazo de implementación.</t>
        </is>
      </c>
      <c r="W39" s="5" t="str">
        <f>HYPERLINK("https://www.mercadopublico.cl/Procurement/Modules/RFB/DetailsAcquisition.aspx?idlicitacion=721-29-LP26","descargar bases")</f>
      </c>
    </row>
    <row r="40">
      <c r="A40" s="0" t="inlineStr">
        <is>
          <t xml:space="preserve">2324-109-LE26</t>
        </is>
      </c>
      <c r="B40" s="4" t="inlineStr">
        <is>
          <t xml:space="preserve">LICITACION PÚBLICA N° 52026 “CONTRATACION DE SOFTWARE CONTROL DE OBRAS Y GESTION DE PROYECTOS PARA LA INSPECCION DE OBRAS MUNICIPALES POR 3 AÑOS”</t>
        </is>
      </c>
      <c r="C40" s="0" t="inlineStr">
        <is>
          <t xml:space="preserve">Publicada</t>
        </is>
      </c>
      <c r="D40" s="0" t="inlineStr">
        <is>
          <t xml:space="preserve">I MUNICIPALIDAD DE PUERTO MONTT</t>
        </is>
      </c>
      <c r="E40" s="0" t="inlineStr">
        <is>
          <t xml:space="preserve">Departamento de Licitaciones y gestión de Abastecimiento </t>
        </is>
      </c>
      <c r="F40" s="0" t="inlineStr">
        <is>
          <t xml:space="preserve">Región de los Lagos </t>
        </is>
      </c>
      <c r="G40" s="0" t="inlineStr">
        <is>
          <t xml:space="preserve">Puerto Montt</t>
        </is>
      </c>
      <c r="H40" s="2">
        <v>46262.428762</v>
      </c>
      <c r="I40" s="2">
        <v>46272.625694</v>
      </c>
      <c r="J40" s="0">
        <v>6</v>
      </c>
      <c r="K40" s="3"/>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 Global · Programas de gestión de proyectos</t>
        </is>
      </c>
      <c r="P40" s="2"/>
      <c r="Q40" s="2"/>
      <c r="R40" s="0" t="inlineStr">
        <is>
          <t xml:space="preserve">36 meses</t>
        </is>
      </c>
      <c r="S40" s="0" t="inlineStr">
        <is>
          <t xml:space="preserve">No</t>
        </is>
      </c>
      <c r="T40" s="4" t="inlineStr">
        <is>
          <t xml:space="preserve">SEGUN ARTICULO BASES ADMINISTRATIVAS.</t>
        </is>
      </c>
      <c r="U40" s="0" t="inlineStr">
        <is>
          <t xml:space="preserve">JAVIERA  TORRES</t>
        </is>
      </c>
      <c r="V40" s="4" t="inlineStr">
        <is>
          <t xml:space="preserve">LICITACION PÚBLICA N° 5/2026 “CONTRATACION DE SOFTWARE CONTROL DE OBRAS Y GESTION DE PROYECTOS PARA LA INSPECCION DE OBRAS MUNICIPALES POR 3 AÑOS”</t>
        </is>
      </c>
      <c r="W40" s="5" t="str">
        <f>HYPERLINK("https://www.mercadopublico.cl/Procurement/Modules/RFB/DetailsAcquisition.aspx?idlicitacion=2324-109-LE26","descargar bases")</f>
      </c>
    </row>
    <row r="41">
      <c r="A41" s="0" t="inlineStr">
        <is>
          <t xml:space="preserve">29-69-LE26</t>
        </is>
      </c>
      <c r="B41" s="4" t="inlineStr">
        <is>
          <t xml:space="preserve">SERVICIO DE TRANSMISIÓN ELECTRÓNICA DE DATOS</t>
        </is>
      </c>
      <c r="C41" s="0" t="inlineStr">
        <is>
          <t xml:space="preserve">Publicada</t>
        </is>
      </c>
      <c r="D41" s="0" t="inlineStr">
        <is>
          <t xml:space="preserve">FUERZA AEREA DE CHILE COMANDO LOGISTICO</t>
        </is>
      </c>
      <c r="E41" s="0" t="inlineStr">
        <is>
          <t xml:space="preserve">Comando Logístico</t>
        </is>
      </c>
      <c r="F41" s="0" t="inlineStr">
        <is>
          <t xml:space="preserve">Región Metropolitana de Santiago</t>
        </is>
      </c>
      <c r="G41" s="0" t="inlineStr">
        <is>
          <t xml:space="preserve">El Bosque</t>
        </is>
      </c>
      <c r="H41" s="2">
        <v>46258.61147</v>
      </c>
      <c r="I41" s="2">
        <v>46272.625694</v>
      </c>
      <c r="J41" s="0">
        <v>6</v>
      </c>
      <c r="K41" s="3"/>
      <c r="L41" s="0" t="inlineStr">
        <is>
          <t xml:space="preserve">CLP</t>
        </is>
      </c>
      <c r="M41" s="0" t="inlineStr">
        <is>
          <t xml:space="preserve">LE</t>
        </is>
      </c>
      <c r="N41" s="4" t="inlineStr">
        <is>
          <t xml:space="preserve">Servicios de perforación de minería, petróleo y gas / Servicios gestión y proceso de datos e información sobre petróleo y gas / Servicios de comunicación de datos del campo petrolífero</t>
        </is>
      </c>
      <c r="O41" s="4" t="inlineStr">
        <is>
          <t xml:space="preserve">1 Unidad · Servicios de transmisión de datos de registro</t>
        </is>
      </c>
      <c r="P41" s="2"/>
      <c r="Q41" s="2"/>
      <c r="R41" s="0"/>
      <c r="S41" s="0" t="inlineStr">
        <is>
          <t xml:space="preserve">No</t>
        </is>
      </c>
      <c r="T41" s="4"/>
      <c r="U41" s="0" t="inlineStr">
        <is>
          <t xml:space="preserve">Francisco Parra Guarda</t>
        </is>
      </c>
      <c r="V41" s="4" t="inlineStr">
        <is>
          <t xml:space="preserve">SERVICIO DE TRANSMISIÓN ELECTRÓNICA DE DATOS ENTRE LA FUERZA AÉREA DE CHILE Y EL SERVICIO NACIONAL DE ADUANAS.</t>
        </is>
      </c>
      <c r="W41" s="5" t="str">
        <f>HYPERLINK("https://www.mercadopublico.cl/Procurement/Modules/RFB/DetailsAcquisition.aspx?idlicitacion=29-69-LE26","descargar bases")</f>
      </c>
    </row>
    <row r="42">
      <c r="A42" s="0" t="inlineStr">
        <is>
          <t xml:space="preserve">2446-251-LE26</t>
        </is>
      </c>
      <c r="B42" s="4" t="inlineStr">
        <is>
          <t xml:space="preserve">IMPLEMENTACION PLATAFORMA E-LEARNING</t>
        </is>
      </c>
      <c r="C42" s="0" t="inlineStr">
        <is>
          <t xml:space="preserve">Publicada</t>
        </is>
      </c>
      <c r="D42" s="0" t="inlineStr">
        <is>
          <t xml:space="preserve">I MUNICIPALIDAD DE COQUIMBO</t>
        </is>
      </c>
      <c r="E42" s="0" t="inlineStr">
        <is>
          <t xml:space="preserve">IMUNI_COQUIMBO</t>
        </is>
      </c>
      <c r="F42" s="0" t="inlineStr">
        <is>
          <t xml:space="preserve">Región de Coquimbo </t>
        </is>
      </c>
      <c r="G42" s="0" t="inlineStr">
        <is>
          <t xml:space="preserve">Coquimbo</t>
        </is>
      </c>
      <c r="H42" s="2">
        <v>46262.432604</v>
      </c>
      <c r="I42" s="2">
        <v>46272.63125</v>
      </c>
      <c r="J42" s="0">
        <v>6</v>
      </c>
      <c r="K42" s="3">
        <v>14000000.0</v>
      </c>
      <c r="L42" s="0" t="inlineStr">
        <is>
          <t xml:space="preserve">CLP</t>
        </is>
      </c>
      <c r="M42" s="0" t="inlineStr">
        <is>
          <t xml:space="preserve">LE</t>
        </is>
      </c>
      <c r="N42" s="4" t="inlineStr">
        <is>
          <t xml:space="preserve">Educación, formación, entrenamiento y capacitación / Servicios de orientación y tecnología educativa / Tecnología educativa</t>
        </is>
      </c>
      <c r="O42" s="4" t="inlineStr">
        <is>
          <t xml:space="preserve">1 Unidad · E-learning</t>
        </is>
      </c>
      <c r="P42" s="2"/>
      <c r="Q42" s="2"/>
      <c r="R42" s="0" t="inlineStr">
        <is>
          <t xml:space="preserve">730 días</t>
        </is>
      </c>
      <c r="S42" s="0" t="inlineStr">
        <is>
          <t xml:space="preserve">No</t>
        </is>
      </c>
      <c r="T42" s="4"/>
      <c r="U42" s="0" t="inlineStr">
        <is>
          <t xml:space="preserve">ENCARGADO DEPTO DE DESARROLLO HUMANO</t>
        </is>
      </c>
      <c r="V42"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42" s="5" t="str">
        <f>HYPERLINK("https://www.mercadopublico.cl/Procurement/Modules/RFB/DetailsAcquisition.aspx?idlicitacion=2446-251-LE26","descargar bases")</f>
      </c>
    </row>
    <row r="43">
      <c r="A43" s="0" t="inlineStr">
        <is>
          <t xml:space="preserve">2490-81-LP26</t>
        </is>
      </c>
      <c r="B43" s="4" t="inlineStr">
        <is>
          <t xml:space="preserve">“RENOVACIÓN Y ADQUISICIÓN DE SOFTWARE DE LICENCIAS AUTODESK O EQUIVALENTE 2026-2027”</t>
        </is>
      </c>
      <c r="C43" s="0" t="inlineStr">
        <is>
          <t xml:space="preserve">Publicada</t>
        </is>
      </c>
      <c r="D43" s="0" t="inlineStr">
        <is>
          <t xml:space="preserve">I MUNICIPALIDAD DE PROVIDENCIA</t>
        </is>
      </c>
      <c r="E43" s="0" t="inlineStr">
        <is>
          <t xml:space="preserve">Dirección de Secpla</t>
        </is>
      </c>
      <c r="F43" s="0" t="inlineStr">
        <is>
          <t xml:space="preserve">Región Metropolitana de Santiago</t>
        </is>
      </c>
      <c r="G43" s="0" t="inlineStr">
        <is>
          <t xml:space="preserve">Providencia</t>
        </is>
      </c>
      <c r="H43" s="2">
        <v>46251.6036</v>
      </c>
      <c r="I43" s="2">
        <v>46272.631944</v>
      </c>
      <c r="J43" s="0">
        <v>6</v>
      </c>
      <c r="K43" s="3"/>
      <c r="L43" s="0" t="inlineStr">
        <is>
          <t xml:space="preserve">USD</t>
        </is>
      </c>
      <c r="M43" s="0" t="inlineStr">
        <is>
          <t xml:space="preserve">LP</t>
        </is>
      </c>
      <c r="N43" s="4" t="inlineStr">
        <is>
          <t xml:space="preserve">Tecnologías de la información, telecomunicaciones y radiodifusión / Software / Software de gestión</t>
        </is>
      </c>
      <c r="O43" s="4" t="inlineStr">
        <is>
          <t xml:space="preserve">1 Global · Software de gestión de licencias</t>
        </is>
      </c>
      <c r="P43" s="2"/>
      <c r="Q43" s="2"/>
      <c r="R43" s="0" t="inlineStr">
        <is>
          <t xml:space="preserve">12 meses</t>
        </is>
      </c>
      <c r="S43" s="0" t="inlineStr">
        <is>
          <t xml:space="preserve">No</t>
        </is>
      </c>
      <c r="T43" s="4"/>
      <c r="U43" s="0" t="inlineStr">
        <is>
          <t xml:space="preserve">GONZALO SALAZAR</t>
        </is>
      </c>
      <c r="V43"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43" s="5" t="str">
        <f>HYPERLINK("https://www.mercadopublico.cl/Procurement/Modules/RFB/DetailsAcquisition.aspx?idlicitacion=2490-81-LP26","descargar bases")</f>
      </c>
    </row>
    <row r="44">
      <c r="A44" s="0" t="inlineStr">
        <is>
          <t xml:space="preserve">1007793-15-LE26</t>
        </is>
      </c>
      <c r="B44" s="4" t="inlineStr">
        <is>
          <t xml:space="preserve">SOLUCIÓN INFORMÁTICA INSTITUCIONAL PARA EL CFT</t>
        </is>
      </c>
      <c r="C44" s="0" t="inlineStr">
        <is>
          <t xml:space="preserve">Publicada</t>
        </is>
      </c>
      <c r="D44" s="0" t="inlineStr">
        <is>
          <t xml:space="preserve">CENTRO DE FORMACION TECNICA ESTATAL DE LA REGION DE LOS LAGOS</t>
        </is>
      </c>
      <c r="E44" s="0" t="inlineStr">
        <is>
          <t xml:space="preserve">Rectoría</t>
        </is>
      </c>
      <c r="F44" s="0" t="inlineStr">
        <is>
          <t xml:space="preserve">Región de los Lagos </t>
        </is>
      </c>
      <c r="G44" s="0" t="inlineStr">
        <is>
          <t xml:space="preserve">Llanquihue</t>
        </is>
      </c>
      <c r="H44" s="2">
        <v>46253.503472</v>
      </c>
      <c r="I44" s="2">
        <v>46272.645833</v>
      </c>
      <c r="J44" s="0">
        <v>6</v>
      </c>
      <c r="K44" s="3">
        <v>11300000.0</v>
      </c>
      <c r="L44" s="0" t="inlineStr">
        <is>
          <t xml:space="preserve">CLP</t>
        </is>
      </c>
      <c r="M44" s="0" t="inlineStr">
        <is>
          <t xml:space="preserve">LE</t>
        </is>
      </c>
      <c r="N44" s="4" t="inlineStr">
        <is>
          <t xml:space="preserve">Tecnologías de la información, telecomunicaciones y radiodifusión / Software / Programas de desarrollo</t>
        </is>
      </c>
      <c r="O44" s="4" t="inlineStr">
        <is>
          <t xml:space="preserve">1 Unidad · Software de desarrollo de plataforma Web · 1 Unidad · Software de desarrollo de plataforma Web · 1 Unidad · Software de desarrollo de plataforma Web</t>
        </is>
      </c>
      <c r="P44" s="2"/>
      <c r="Q44" s="2"/>
      <c r="R44" s="0" t="inlineStr">
        <is>
          <t xml:space="preserve">24 meses</t>
        </is>
      </c>
      <c r="S44" s="0" t="inlineStr">
        <is>
          <t xml:space="preserve">No</t>
        </is>
      </c>
      <c r="T44" s="4" t="inlineStr">
        <is>
          <t xml:space="preserve">Revisar Res.Ex.98 que aprueba bases de licitación.</t>
        </is>
      </c>
      <c r="U44" s="0" t="inlineStr">
        <is>
          <t xml:space="preserve">Marcela Bravo Novoa</t>
        </is>
      </c>
      <c r="V44" s="4" t="inlineStr">
        <is>
          <t xml:space="preserve">Se requiere la adquisición de una solución informática institucional para la gestión de iniciativas de vinculación con el medio del CFT Estatal de la Región de Los Lagos.</t>
        </is>
      </c>
      <c r="W44" s="5" t="str">
        <f>HYPERLINK("https://www.mercadopublico.cl/Procurement/Modules/RFB/DetailsAcquisition.aspx?idlicitacion=1007793-15-LE26","descargar bases")</f>
      </c>
    </row>
    <row r="45">
      <c r="A45" s="0" t="inlineStr">
        <is>
          <t xml:space="preserve">1978-44-LE26</t>
        </is>
      </c>
      <c r="B45" s="4" t="inlineStr">
        <is>
          <t xml:space="preserve">ADQUISICIÓN DE SOLUCIÓN XDR PARA CIBERSEGURIDAD AVANZADA SERVICIO DE SALUD MAULE</t>
        </is>
      </c>
      <c r="C45" s="0" t="inlineStr">
        <is>
          <t xml:space="preserve">Publicada</t>
        </is>
      </c>
      <c r="D45" s="0" t="inlineStr">
        <is>
          <t xml:space="preserve">SERVICIO DE SALUD DEL MAULE</t>
        </is>
      </c>
      <c r="E45" s="0" t="inlineStr">
        <is>
          <t xml:space="preserve">Servicio de Salud del Maule</t>
        </is>
      </c>
      <c r="F45" s="0" t="inlineStr">
        <is>
          <t xml:space="preserve">Región del Maule </t>
        </is>
      </c>
      <c r="G45" s="0" t="inlineStr">
        <is>
          <t xml:space="preserve">Maule</t>
        </is>
      </c>
      <c r="H45" s="2">
        <v>46259.473611</v>
      </c>
      <c r="I45" s="2">
        <v>46272.645833</v>
      </c>
      <c r="J45" s="0">
        <v>6</v>
      </c>
      <c r="K45" s="3">
        <v>21500000.0</v>
      </c>
      <c r="L45" s="0" t="inlineStr">
        <is>
          <t xml:space="preserve">CLP</t>
        </is>
      </c>
      <c r="M45" s="0" t="inlineStr">
        <is>
          <t xml:space="preserve">LE</t>
        </is>
      </c>
      <c r="N45" s="4" t="inlineStr">
        <is>
          <t xml:space="preserve">Servicios basados en ingeniería, ciencias sociales y tecnología de la información / Servicios informáticos / Administración de sistemas</t>
        </is>
      </c>
      <c r="O45" s="4" t="inlineStr">
        <is>
          <t xml:space="preserve">1 Unidad · Seguridad para computadores, redes e Internet</t>
        </is>
      </c>
      <c r="P45" s="2"/>
      <c r="Q45" s="2"/>
      <c r="R45" s="0" t="inlineStr">
        <is>
          <t xml:space="preserve">24 meses</t>
        </is>
      </c>
      <c r="S45" s="0" t="inlineStr">
        <is>
          <t xml:space="preserve">No</t>
        </is>
      </c>
      <c r="T45" s="4" t="inlineStr">
        <is>
          <t xml:space="preserve">De acuerdo a Resolución Exenta Nº3560 de fecha 21 de agosto de 2026</t>
        </is>
      </c>
      <c r="U45" s="0" t="inlineStr">
        <is>
          <t xml:space="preserve">Héctor Bastidas</t>
        </is>
      </c>
      <c r="V45"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45" s="5" t="str">
        <f>HYPERLINK("https://www.mercadopublico.cl/Procurement/Modules/RFB/DetailsAcquisition.aspx?idlicitacion=1978-44-LE26","descargar bases")</f>
      </c>
    </row>
    <row r="46">
      <c r="A46" s="0" t="inlineStr">
        <is>
          <t xml:space="preserve">2422-149-L126</t>
        </is>
      </c>
      <c r="B46" s="4" t="inlineStr">
        <is>
          <t xml:space="preserve">SOL. 945841, SERVISIO DE FABRICACION E INSTALACION DE TABLERO PARA BALNEARIO</t>
        </is>
      </c>
      <c r="C46" s="0" t="inlineStr">
        <is>
          <t xml:space="preserve">Publicada</t>
        </is>
      </c>
      <c r="D46" s="0" t="inlineStr">
        <is>
          <t xml:space="preserve">I MUNICIPALIDAD DE PUENTE ALTO</t>
        </is>
      </c>
      <c r="E46" s="0" t="inlineStr">
        <is>
          <t xml:space="preserve">I MUNICIPALIDAD DE PUENTE ALTO</t>
        </is>
      </c>
      <c r="F46" s="0" t="inlineStr">
        <is>
          <t xml:space="preserve">Región Metropolitana de Santiago</t>
        </is>
      </c>
      <c r="G46" s="0" t="inlineStr">
        <is>
          <t xml:space="preserve">Puente Alto</t>
        </is>
      </c>
      <c r="H46" s="2">
        <v>46265.753669</v>
      </c>
      <c r="I46" s="2">
        <v>46272.65</v>
      </c>
      <c r="J46" s="0">
        <v>6</v>
      </c>
      <c r="K46" s="3">
        <v>4000000.0</v>
      </c>
      <c r="L46" s="0" t="inlineStr">
        <is>
          <t xml:space="preserve">CLP</t>
        </is>
      </c>
      <c r="M46" s="0" t="inlineStr">
        <is>
          <t xml:space="preserve">L1</t>
        </is>
      </c>
      <c r="N46" s="4" t="inlineStr">
        <is>
          <t xml:space="preserve">Servicios de producción y fabricación industrial / Fabricación de maquinarias y equipos de transporte / Fabricación de maquinarias</t>
        </is>
      </c>
      <c r="O46" s="4" t="inlineStr">
        <is>
          <t xml:space="preserve">1 Kit · Servicios de fabricación de calderas para central eléctrica</t>
        </is>
      </c>
      <c r="P46" s="2"/>
      <c r="Q46" s="2"/>
      <c r="R46" s="0"/>
      <c r="S46" s="0" t="inlineStr">
        <is>
          <t xml:space="preserve">No</t>
        </is>
      </c>
      <c r="T46" s="4"/>
      <c r="U46" s="0"/>
      <c r="V46" s="4" t="inlineStr">
        <is>
          <t xml:space="preserve">NECESIDAD DE SERVICIO, PARA ACONDICIONAMIENTO DE AMBIENTE DE LA PISCINA TEMPERADA BALNEARIO MUNICIPAL, SE REQUIERE SERVICIO DE FABRICACION, INSTALACION Y PUESTA EN MARCHA DE TABLERO DE FUERZA Y COMANDO DE MOTOR TRIFASICO.</t>
        </is>
      </c>
      <c r="W46" s="5" t="str">
        <f>HYPERLINK("https://www.mercadopublico.cl/Procurement/Modules/RFB/DetailsAcquisition.aspx?idlicitacion=2422-149-L126","descargar bases")</f>
      </c>
    </row>
    <row r="47">
      <c r="A47" s="0" t="inlineStr">
        <is>
          <t xml:space="preserve">2548-74-LE26</t>
        </is>
      </c>
      <c r="B47" s="4" t="inlineStr">
        <is>
          <t xml:space="preserve">PROVISIÓN AUDÍFONOS RETROAURICULARES DIGITALES</t>
        </is>
      </c>
      <c r="C47" s="0" t="inlineStr">
        <is>
          <t xml:space="preserve">Publicada</t>
        </is>
      </c>
      <c r="D47" s="0" t="inlineStr">
        <is>
          <t xml:space="preserve">I MUNICIPALIDAD DE PADRE LAS CASAS</t>
        </is>
      </c>
      <c r="E47" s="0" t="inlineStr">
        <is>
          <t xml:space="preserve">MUNICIPALIDAD DE PADRE LAS CASAS  SALUD</t>
        </is>
      </c>
      <c r="F47" s="0" t="inlineStr">
        <is>
          <t xml:space="preserve">Región de la Araucanía </t>
        </is>
      </c>
      <c r="G47" s="0" t="inlineStr">
        <is>
          <t xml:space="preserve">Padre Las Casas</t>
        </is>
      </c>
      <c r="H47" s="2">
        <v>46259.532141</v>
      </c>
      <c r="I47" s="2">
        <v>46272.666667</v>
      </c>
      <c r="J47" s="0">
        <v>6</v>
      </c>
      <c r="K47" s="3">
        <v>29790000.0</v>
      </c>
      <c r="L47" s="0" t="inlineStr">
        <is>
          <t xml:space="preserve">CLP</t>
        </is>
      </c>
      <c r="M47" s="0" t="inlineStr">
        <is>
          <t xml:space="preserve">LE</t>
        </is>
      </c>
      <c r="N47" s="4" t="inlineStr">
        <is>
          <t xml:space="preserve">Equipamiento y suministros médicos / Ayuda para personas con discapacidad / Artículos de ayuda para la comunicación de discapacitados</t>
        </is>
      </c>
      <c r="O47" s="4" t="inlineStr">
        <is>
          <t xml:space="preserve">1 Unidad · Audífonos para personas con discapacidad física</t>
        </is>
      </c>
      <c r="P47" s="2"/>
      <c r="Q47" s="2"/>
      <c r="R47" s="0" t="inlineStr">
        <is>
          <t xml:space="preserve">3 meses</t>
        </is>
      </c>
      <c r="S47" s="0" t="inlineStr">
        <is>
          <t xml:space="preserve">No</t>
        </is>
      </c>
      <c r="T47" s="4" t="inlineStr">
        <is>
          <t xml:space="preserve">DE ACUERDO A BASES</t>
        </is>
      </c>
      <c r="U47" s="0" t="inlineStr">
        <is>
          <t xml:space="preserve">ESTEFANI LEIVA CASTRO</t>
        </is>
      </c>
      <c r="V47"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47" s="5" t="str">
        <f>HYPERLINK("https://www.mercadopublico.cl/Procurement/Modules/RFB/DetailsAcquisition.aspx?idlicitacion=2548-74-LE26","descargar bases")</f>
      </c>
    </row>
    <row r="48">
      <c r="A48" s="0" t="inlineStr">
        <is>
          <t xml:space="preserve">3378-51-LP26</t>
        </is>
      </c>
      <c r="B48" s="4" t="inlineStr">
        <is>
          <t xml:space="preserve">SERVICIO DE SOPORTE Y MANTENCIÓN DE SISTEMA Y BASE DE DATOS SAP-HANA BUSINESS ONE PARA EL HMS POR 36 MESES</t>
        </is>
      </c>
      <c r="C48" s="0" t="inlineStr">
        <is>
          <t xml:space="preserve">Publicada</t>
        </is>
      </c>
      <c r="D48" s="0" t="inlineStr">
        <is>
          <t xml:space="preserve">DIVISION LOGISTICA DEL EJERCITO</t>
        </is>
      </c>
      <c r="E48" s="0" t="inlineStr">
        <is>
          <t xml:space="preserve">Hospital Militar de Santiago- HMS</t>
        </is>
      </c>
      <c r="F48" s="0" t="inlineStr">
        <is>
          <t xml:space="preserve">Región Metropolitana de Santiago</t>
        </is>
      </c>
      <c r="G48" s="0" t="inlineStr">
        <is>
          <t xml:space="preserve">La Reina</t>
        </is>
      </c>
      <c r="H48" s="2">
        <v>46251.420347</v>
      </c>
      <c r="I48" s="2">
        <v>46272.666667</v>
      </c>
      <c r="J48" s="0">
        <v>6</v>
      </c>
      <c r="K48" s="3">
        <v>272160000.0</v>
      </c>
      <c r="L48" s="0" t="inlineStr">
        <is>
          <t xml:space="preserve">CLP</t>
        </is>
      </c>
      <c r="M48" s="0" t="inlineStr">
        <is>
          <t xml:space="preserve">LP</t>
        </is>
      </c>
      <c r="N48" s="4" t="inlineStr">
        <is>
          <t xml:space="preserve">Servicios basados en ingeniería, ciencias sociales y tecnología de la información / Servicios informáticos / Administración de sistemas</t>
        </is>
      </c>
      <c r="O48" s="4" t="inlineStr">
        <is>
          <t xml:space="preserve">1 Unidad · Mantenimiento y soporte de sistemas propietarios</t>
        </is>
      </c>
      <c r="P48" s="2"/>
      <c r="Q48" s="2"/>
      <c r="R48" s="0" t="inlineStr">
        <is>
          <t xml:space="preserve">36 meses</t>
        </is>
      </c>
      <c r="S48" s="0" t="inlineStr">
        <is>
          <t xml:space="preserve">No</t>
        </is>
      </c>
      <c r="T48" s="4" t="inlineStr">
        <is>
          <t xml:space="preserve">Según Bases de Licitación adjuntas</t>
        </is>
      </c>
      <c r="U48" s="0" t="inlineStr">
        <is>
          <t xml:space="preserve">Carlos Ramirez Lazo</t>
        </is>
      </c>
      <c r="V48"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48" s="5" t="str">
        <f>HYPERLINK("https://www.mercadopublico.cl/Procurement/Modules/RFB/DetailsAcquisition.aspx?idlicitacion=3378-51-LP26","descargar bases")</f>
      </c>
    </row>
    <row r="49">
      <c r="A49" s="0" t="inlineStr">
        <is>
          <t xml:space="preserve">634-67-LR26</t>
        </is>
      </c>
      <c r="B49" s="4" t="inlineStr">
        <is>
          <t xml:space="preserve">MODERNIZACIÓN DEL SISTEMA ELECTRÓNICO DE SEGURIDAD</t>
        </is>
      </c>
      <c r="C49" s="0" t="inlineStr">
        <is>
          <t xml:space="preserve">Publicada</t>
        </is>
      </c>
      <c r="D49" s="0" t="inlineStr">
        <is>
          <t xml:space="preserve">DIRECCION GENERAL DE GENDARMERIA DE CHIL</t>
        </is>
      </c>
      <c r="E49" s="0" t="inlineStr">
        <is>
          <t xml:space="preserve">Dirección Nacional</t>
        </is>
      </c>
      <c r="F49" s="0" t="inlineStr">
        <is>
          <t xml:space="preserve">Región Metropolitana de Santiago</t>
        </is>
      </c>
      <c r="G49" s="0" t="inlineStr">
        <is>
          <t xml:space="preserve">Santiago</t>
        </is>
      </c>
      <c r="H49" s="2">
        <v>46238.684757</v>
      </c>
      <c r="I49" s="2">
        <v>46272.666667</v>
      </c>
      <c r="J49" s="0">
        <v>6</v>
      </c>
      <c r="K49" s="3">
        <v>927900000.0</v>
      </c>
      <c r="L49" s="0" t="inlineStr">
        <is>
          <t xml:space="preserve">CLP</t>
        </is>
      </c>
      <c r="M49" s="0" t="inlineStr">
        <is>
          <t xml:space="preserve">LR</t>
        </is>
      </c>
      <c r="N49" s="4" t="inlineStr">
        <is>
          <t xml:space="preserve">Servicios de construcción y mantenimiento / Servicios de atención, mantenimiento y reparaciones de edificios / Servicios eléctricos</t>
        </is>
      </c>
      <c r="O49" s="4" t="inlineStr">
        <is>
          <t xml:space="preserve">1 Unidad · Instalación de sistemas de seguridad</t>
        </is>
      </c>
      <c r="P49" s="2"/>
      <c r="Q49" s="2"/>
      <c r="R49" s="0"/>
      <c r="S49" s="0" t="inlineStr">
        <is>
          <t xml:space="preserve">No</t>
        </is>
      </c>
      <c r="T49" s="4"/>
      <c r="U49" s="0" t="inlineStr">
        <is>
          <t xml:space="preserve">Víctor Erices</t>
        </is>
      </c>
      <c r="V49" s="4" t="inlineStr">
        <is>
          <t xml:space="preserve">MODERNIZACIÓN DEL SISTEMA ELECTRÓNICO DE SEGURIDAD DEL CENTRO PENITENCIARIO FEMENINO DE ANTOFAGASTA.</t>
        </is>
      </c>
      <c r="W49" s="5" t="str">
        <f>HYPERLINK("https://www.mercadopublico.cl/Procurement/Modules/RFB/DetailsAcquisition.aspx?idlicitacion=634-67-LR26","descargar bases")</f>
      </c>
    </row>
    <row r="50">
      <c r="A50" s="0" t="inlineStr">
        <is>
          <t xml:space="preserve">932-22-L126</t>
        </is>
      </c>
      <c r="B50" s="4" t="inlineStr">
        <is>
          <t xml:space="preserve">SERVICIO DE REPARACIÓN DE LUMINARIAS, INSTALACIONES ELECTRICAS Y NORMALIZACIÓN DE TABLERO ELECTRONICO DEL COMPLEJO DEPORTIVO HERMOGENES LIZANA, DEL INSTITUTO NACIONAL DE DEPORTES DE O¨HIGGINS.</t>
        </is>
      </c>
      <c r="C50" s="0" t="inlineStr">
        <is>
          <t xml:space="preserve">Publicada</t>
        </is>
      </c>
      <c r="D50" s="0" t="inlineStr">
        <is>
          <t xml:space="preserve">INSTITUTO NACIONAL DE DEPORTES DE CHILE</t>
        </is>
      </c>
      <c r="E50" s="0" t="inlineStr">
        <is>
          <t xml:space="preserve">I.N.D. REGION VI</t>
        </is>
      </c>
      <c r="F50" s="0" t="inlineStr">
        <is>
          <t xml:space="preserve">Región del Libertador General Bernardo O´Higgins</t>
        </is>
      </c>
      <c r="G50" s="0" t="inlineStr">
        <is>
          <t xml:space="preserve">Rancagua</t>
        </is>
      </c>
      <c r="H50" s="2">
        <v>46265.704213</v>
      </c>
      <c r="I50" s="2">
        <v>46272.666667</v>
      </c>
      <c r="J50" s="0">
        <v>6</v>
      </c>
      <c r="K50" s="3">
        <v>5200000.0</v>
      </c>
      <c r="L50" s="0" t="inlineStr">
        <is>
          <t xml:space="preserve">CLP</t>
        </is>
      </c>
      <c r="M50" s="0" t="inlineStr">
        <is>
          <t xml:space="preserve">L1</t>
        </is>
      </c>
      <c r="N50" s="4" t="inlineStr">
        <is>
          <t xml:space="preserve">Servicios de producción y fabricación industrial / Servicios de apoyo o soporte a la fabricación / Servicios de mantenimiento y reparación de equipo de fabricación</t>
        </is>
      </c>
      <c r="O50" s="4" t="inlineStr">
        <is>
          <t xml:space="preserve">1 Unidad · Servicio de reparación de equipo de fabricación</t>
        </is>
      </c>
      <c r="P50" s="2"/>
      <c r="Q50" s="2"/>
      <c r="R50" s="0"/>
      <c r="S50" s="0" t="inlineStr">
        <is>
          <t xml:space="preserve">No</t>
        </is>
      </c>
      <c r="T50" s="4"/>
      <c r="U50" s="0"/>
      <c r="V50"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50" s="5" t="str">
        <f>HYPERLINK("https://www.mercadopublico.cl/Procurement/Modules/RFB/DetailsAcquisition.aspx?idlicitacion=932-22-L126","descargar bases")</f>
      </c>
    </row>
    <row r="51">
      <c r="A51" s="0" t="inlineStr">
        <is>
          <t xml:space="preserve">932-25-LE26</t>
        </is>
      </c>
      <c r="B51" s="4" t="inlineStr">
        <is>
          <t xml:space="preserve">SERVICIO DE MANTENIMIENTO PREVENTIVO Y CORRECTIVO HABITUAL DEL SISTEMA ELÉCTRICO  CORRIENTES DÉBILES E INFRAESTRUCTURA DE DATOS PARA EL CENTRO DEPORTIVO COMUNITARIO  DE  RANCAGUA</t>
        </is>
      </c>
      <c r="C51" s="0" t="inlineStr">
        <is>
          <t xml:space="preserve">Publicada</t>
        </is>
      </c>
      <c r="D51" s="0" t="inlineStr">
        <is>
          <t xml:space="preserve">INSTITUTO NACIONAL DE DEPORTES DE CHILE</t>
        </is>
      </c>
      <c r="E51" s="0" t="inlineStr">
        <is>
          <t xml:space="preserve">I.N.D. REGION VI</t>
        </is>
      </c>
      <c r="F51" s="0" t="inlineStr">
        <is>
          <t xml:space="preserve">Región del Libertador General Bernardo O´Higgins</t>
        </is>
      </c>
      <c r="G51" s="0" t="inlineStr">
        <is>
          <t xml:space="preserve">Rancagua</t>
        </is>
      </c>
      <c r="H51" s="2">
        <v>46260.589688</v>
      </c>
      <c r="I51" s="2">
        <v>46272.666667</v>
      </c>
      <c r="J51" s="0">
        <v>6</v>
      </c>
      <c r="K51" s="3">
        <v>30000000.0</v>
      </c>
      <c r="L51" s="0" t="inlineStr">
        <is>
          <t xml:space="preserve">CLP</t>
        </is>
      </c>
      <c r="M51" s="0" t="inlineStr">
        <is>
          <t xml:space="preserve">LE</t>
        </is>
      </c>
      <c r="N51" s="4" t="inlineStr">
        <is>
          <t xml:space="preserve">Servicios de producción y fabricación industrial / Servicios de apoyo o soporte a la fabricación / Servicios de mantenimiento y reparación de equipo de fabricación</t>
        </is>
      </c>
      <c r="O51" s="4" t="inlineStr">
        <is>
          <t xml:space="preserve">1 Unidad · Servicio de mantenimiento de equipo de fabricación</t>
        </is>
      </c>
      <c r="P51" s="2"/>
      <c r="Q51" s="2"/>
      <c r="R51" s="0" t="inlineStr">
        <is>
          <t xml:space="preserve">12 meses</t>
        </is>
      </c>
      <c r="S51" s="0" t="inlineStr">
        <is>
          <t xml:space="preserve">No</t>
        </is>
      </c>
      <c r="T51"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51" s="0" t="inlineStr">
        <is>
          <t xml:space="preserve">Cristina Alfonso Aguirre</t>
        </is>
      </c>
      <c r="V51"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51" s="5" t="str">
        <f>HYPERLINK("https://www.mercadopublico.cl/Procurement/Modules/RFB/DetailsAcquisition.aspx?idlicitacion=932-25-LE26","descargar bases")</f>
      </c>
    </row>
    <row r="52">
      <c r="A52" s="0" t="inlineStr">
        <is>
          <t xml:space="preserve">2658-284-L126</t>
        </is>
      </c>
      <c r="B52" s="4" t="inlineStr">
        <is>
          <t xml:space="preserve">Suscripción anual a Plataforma de Inteligencia Artificial avanzada</t>
        </is>
      </c>
      <c r="C52" s="0" t="inlineStr">
        <is>
          <t xml:space="preserve">Publicada</t>
        </is>
      </c>
      <c r="D52" s="0" t="inlineStr">
        <is>
          <t xml:space="preserve">I MUNICIPALIDAD DE ANCUD</t>
        </is>
      </c>
      <c r="E52" s="0" t="inlineStr">
        <is>
          <t xml:space="preserve">Municipalidad de Ancud</t>
        </is>
      </c>
      <c r="F52" s="0" t="inlineStr">
        <is>
          <t xml:space="preserve">Región Metropolitana de Santiago</t>
        </is>
      </c>
      <c r="G52" s="0" t="inlineStr">
        <is>
          <t xml:space="preserve">Las Condes</t>
        </is>
      </c>
      <c r="H52" s="2">
        <v>46262.604178</v>
      </c>
      <c r="I52" s="2">
        <v>46272.706944</v>
      </c>
      <c r="J52" s="0">
        <v>6</v>
      </c>
      <c r="K52" s="3">
        <v>1500000.0</v>
      </c>
      <c r="L52" s="0" t="inlineStr">
        <is>
          <t xml:space="preserve">CLP</t>
        </is>
      </c>
      <c r="M52" s="0" t="inlineStr">
        <is>
          <t xml:space="preserve">L1</t>
        </is>
      </c>
      <c r="N52" s="4" t="inlineStr">
        <is>
          <t xml:space="preserve">Tecnologías de la información, telecomunicaciones y radiodifusión / Software / Software de consultas y gestión de datos</t>
        </is>
      </c>
      <c r="O52" s="4" t="inlineStr">
        <is>
          <t xml:space="preserve">5 Unidad · Software de extracción de datos</t>
        </is>
      </c>
      <c r="P52" s="2"/>
      <c r="Q52" s="2"/>
      <c r="R52" s="0"/>
      <c r="S52" s="0" t="inlineStr">
        <is>
          <t xml:space="preserve">No</t>
        </is>
      </c>
      <c r="T52" s="4"/>
      <c r="U52" s="0"/>
      <c r="V52" s="4" t="inlineStr">
        <is>
          <t xml:space="preserve">Lo que seá utilizado como herramientas de apoyo para la optimización de labores tecnicas y administrativas.</t>
        </is>
      </c>
      <c r="W52" s="5" t="str">
        <f>HYPERLINK("https://www.mercadopublico.cl/Procurement/Modules/RFB/DetailsAcquisition.aspx?idlicitacion=2658-284-L126","descargar bases")</f>
      </c>
    </row>
    <row r="53">
      <c r="A53" s="0" t="inlineStr">
        <is>
          <t xml:space="preserve">598-16-LE26</t>
        </is>
      </c>
      <c r="B53" s="4" t="inlineStr">
        <is>
          <t xml:space="preserve">SERVICIO DE CAPACITACIÓN EN PROTECCIÓN DE DATOS PERSONALES GOBERNANZA DE DATOS Y CUMPLIMIENTO NORMATIVO</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46259.463738</v>
      </c>
      <c r="I53" s="2">
        <v>46273.375</v>
      </c>
      <c r="J53" s="0">
        <v>7</v>
      </c>
      <c r="K53" s="3"/>
      <c r="L53" s="0" t="inlineStr">
        <is>
          <t xml:space="preserve">CLP</t>
        </is>
      </c>
      <c r="M53" s="0" t="inlineStr">
        <is>
          <t xml:space="preserve">LE</t>
        </is>
      </c>
      <c r="N53" s="4" t="inlineStr">
        <is>
          <t xml:space="preserve">Servicios profesionales, administrativos y consultorías de gestión empresarial / Servicios de recursos humanos / Consultorías para el desarrollo de recursos humanos</t>
        </is>
      </c>
      <c r="O53" s="4" t="inlineStr">
        <is>
          <t xml:space="preserve">1 Unidad · Formación, capacitación y entrenamiento de personal</t>
        </is>
      </c>
      <c r="P53" s="2"/>
      <c r="Q53" s="2"/>
      <c r="R53" s="0"/>
      <c r="S53" s="0" t="inlineStr">
        <is>
          <t xml:space="preserve">No</t>
        </is>
      </c>
      <c r="T53" s="4"/>
      <c r="U53" s="0" t="inlineStr">
        <is>
          <t xml:space="preserve">Karen Ortiz</t>
        </is>
      </c>
      <c r="V53"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53" s="5" t="str">
        <f>HYPERLINK("https://www.mercadopublico.cl/Procurement/Modules/RFB/DetailsAcquisition.aspx?idlicitacion=598-16-LE26","descargar bases")</f>
      </c>
    </row>
    <row r="54">
      <c r="A54" s="0" t="inlineStr">
        <is>
          <t xml:space="preserve">610-16-LP26</t>
        </is>
      </c>
      <c r="B54" s="4" t="inlineStr">
        <is>
          <t xml:space="preserve">Adquisición de productos y servicios destinados a la “Implementación de software para nueva Plataforma de Virtualización”.</t>
        </is>
      </c>
      <c r="C54" s="0" t="inlineStr">
        <is>
          <t xml:space="preserve">Publicada</t>
        </is>
      </c>
      <c r="D54" s="0" t="inlineStr">
        <is>
          <t xml:space="preserve">Comisión Nacional de Energía</t>
        </is>
      </c>
      <c r="E54" s="0" t="inlineStr">
        <is>
          <t xml:space="preserve">Comisión Nacional de Energía</t>
        </is>
      </c>
      <c r="F54" s="0" t="inlineStr">
        <is>
          <t xml:space="preserve">Región Metropolitana de Santiago</t>
        </is>
      </c>
      <c r="G54" s="0" t="inlineStr">
        <is>
          <t xml:space="preserve">Santiago Centro</t>
        </is>
      </c>
      <c r="H54" s="2">
        <v>46253.476782</v>
      </c>
      <c r="I54" s="2">
        <v>46273.416667</v>
      </c>
      <c r="J54" s="0">
        <v>7</v>
      </c>
      <c r="K54" s="3">
        <v>124000000.0</v>
      </c>
      <c r="L54" s="0" t="inlineStr">
        <is>
          <t xml:space="preserve">CLP</t>
        </is>
      </c>
      <c r="M54" s="0" t="inlineStr">
        <is>
          <t xml:space="preserve">LP</t>
        </is>
      </c>
      <c r="N54" s="4" t="inlineStr">
        <is>
          <t xml:space="preserve">Tecnologías de la información, telecomunicaciones y radiodifusión / Software / Software de gestión</t>
        </is>
      </c>
      <c r="O54" s="4" t="inlineStr">
        <is>
          <t xml:space="preserve">1 Unidad · Paquetes de software para oficinas</t>
        </is>
      </c>
      <c r="P54" s="2"/>
      <c r="Q54" s="2"/>
      <c r="R54" s="0" t="inlineStr">
        <is>
          <t xml:space="preserve">425 días</t>
        </is>
      </c>
      <c r="S54" s="0" t="inlineStr">
        <is>
          <t xml:space="preserve">No</t>
        </is>
      </c>
      <c r="T54" s="4" t="inlineStr">
        <is>
          <t xml:space="preserve">De acuerdo a lo establecido en bases de licitación.</t>
        </is>
      </c>
      <c r="U54" s="0" t="inlineStr">
        <is>
          <t xml:space="preserve">Jaime García Sepúlveda</t>
        </is>
      </c>
      <c r="V54"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54" s="5" t="str">
        <f>HYPERLINK("https://www.mercadopublico.cl/Procurement/Modules/RFB/DetailsAcquisition.aspx?idlicitacion=610-16-LP26","descargar bases")</f>
      </c>
    </row>
    <row r="55">
      <c r="A55" s="0" t="inlineStr">
        <is>
          <t xml:space="preserve">2448-122-L126</t>
        </is>
      </c>
      <c r="B55" s="4" t="inlineStr">
        <is>
          <t xml:space="preserve">ADQ. BOLSA DE CREDITOS DE CONSUMO EN NUBE PUBLICA</t>
        </is>
      </c>
      <c r="C55" s="0" t="inlineStr">
        <is>
          <t xml:space="preserve">Publicada</t>
        </is>
      </c>
      <c r="D55" s="0" t="inlineStr">
        <is>
          <t xml:space="preserve">I MUNICIPALIDAD DE COQUIMBO</t>
        </is>
      </c>
      <c r="E55" s="0" t="inlineStr">
        <is>
          <t xml:space="preserve">Departamento de Salud</t>
        </is>
      </c>
      <c r="F55" s="0" t="inlineStr">
        <is>
          <t xml:space="preserve">Región de Coquimbo </t>
        </is>
      </c>
      <c r="G55" s="0" t="inlineStr">
        <is>
          <t xml:space="preserve">Coquimbo</t>
        </is>
      </c>
      <c r="H55" s="2">
        <v>46265.640903</v>
      </c>
      <c r="I55" s="2">
        <v>46273.625</v>
      </c>
      <c r="J55" s="0">
        <v>7</v>
      </c>
      <c r="K55" s="3">
        <v>3000000.0</v>
      </c>
      <c r="L55" s="0" t="inlineStr">
        <is>
          <t xml:space="preserve">CLP</t>
        </is>
      </c>
      <c r="M55" s="0" t="inlineStr">
        <is>
          <t xml:space="preserve">L1</t>
        </is>
      </c>
      <c r="N55" s="4" t="inlineStr">
        <is>
          <t xml:space="preserve">Tecnologías de la información, telecomunicaciones y radiodifusión / Software / Software de consultas y gestión de datos</t>
        </is>
      </c>
      <c r="O55" s="4" t="inlineStr">
        <is>
          <t xml:space="preserve">1 Año · Software del sistema de administración de bases de datos</t>
        </is>
      </c>
      <c r="P55" s="2"/>
      <c r="Q55" s="2"/>
      <c r="R55" s="0"/>
      <c r="S55" s="0" t="inlineStr">
        <is>
          <t xml:space="preserve">No</t>
        </is>
      </c>
      <c r="T55" s="4"/>
      <c r="U55" s="0"/>
      <c r="V55"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55" s="5" t="str">
        <f>HYPERLINK("https://www.mercadopublico.cl/Procurement/Modules/RFB/DetailsAcquisition.aspx?idlicitacion=2448-122-L126","descargar bases")</f>
      </c>
    </row>
    <row r="56">
      <c r="A56" s="0" t="inlineStr">
        <is>
          <t xml:space="preserve">5586-127-LE26</t>
        </is>
      </c>
      <c r="B56" s="4" t="inlineStr">
        <is>
          <t xml:space="preserve">BC SISTEMA DE ADQUISICIÓN DE DATOS INSTRUMENTACIÓN Y MONITOREO DE ENSAYOS EXPERIMENTALES DE SIMULACIÓN SÍSMICA EN MUROS</t>
        </is>
      </c>
      <c r="C56" s="0" t="inlineStr">
        <is>
          <t xml:space="preserve">Publicada</t>
        </is>
      </c>
      <c r="D56" s="0" t="inlineStr">
        <is>
          <t xml:space="preserve">UNIVERSIDAD DE LA FRONTERA</t>
        </is>
      </c>
      <c r="E56" s="0" t="inlineStr">
        <is>
          <t xml:space="preserve">Universidad de la Frontera</t>
        </is>
      </c>
      <c r="F56" s="0" t="inlineStr">
        <is>
          <t xml:space="preserve">Región de la Araucanía </t>
        </is>
      </c>
      <c r="G56" s="0" t="inlineStr">
        <is>
          <t xml:space="preserve">Temuco</t>
        </is>
      </c>
      <c r="H56" s="2">
        <v>46260.454375</v>
      </c>
      <c r="I56" s="2">
        <v>46273.625694</v>
      </c>
      <c r="J56" s="0">
        <v>7</v>
      </c>
      <c r="K56" s="3"/>
      <c r="L56" s="0" t="inlineStr">
        <is>
          <t xml:space="preserve">CLP</t>
        </is>
      </c>
      <c r="M56" s="0" t="inlineStr">
        <is>
          <t xml:space="preserve">LE</t>
        </is>
      </c>
      <c r="N56" s="4" t="inlineStr">
        <is>
          <t xml:space="preserve">Equipamiento para laboratorios / Instrumentos de medida y experimentación / Instrumentos sismológicos</t>
        </is>
      </c>
      <c r="O56" s="4" t="inlineStr">
        <is>
          <t xml:space="preserve">1 Global · Módulos de alarma sísmica</t>
        </is>
      </c>
      <c r="P56" s="2"/>
      <c r="Q56" s="2"/>
      <c r="R56" s="0"/>
      <c r="S56" s="0" t="inlineStr">
        <is>
          <t xml:space="preserve">No</t>
        </is>
      </c>
      <c r="T56" s="4"/>
      <c r="U56" s="0" t="inlineStr">
        <is>
          <t xml:space="preserve">Viviana Letelier González</t>
        </is>
      </c>
      <c r="V56" s="4" t="inlineStr">
        <is>
          <t xml:space="preserve">SISTEMA DE ADQUISICIÓN
DE DATOS INSTRUMENTACIÓN Y MONITOREO DE ENSAYOS EXPERIMENTALES DE
SIMULACIÓN SÍSMICA EN MUROS</t>
        </is>
      </c>
      <c r="W56" s="5" t="str">
        <f>HYPERLINK("https://www.mercadopublico.cl/Procurement/Modules/RFB/DetailsAcquisition.aspx?idlicitacion=5586-127-LE26","descargar bases")</f>
      </c>
    </row>
    <row r="57">
      <c r="A57" s="0" t="inlineStr">
        <is>
          <t xml:space="preserve">1016-8-LE26</t>
        </is>
      </c>
      <c r="B57" s="4" t="inlineStr">
        <is>
          <t xml:space="preserve">Licencias de inteligencia artificial generativa tipo Claude Team o similar para la Dirección de Planeamiento</t>
        </is>
      </c>
      <c r="C57" s="0" t="inlineStr">
        <is>
          <t xml:space="preserve">Publicada</t>
        </is>
      </c>
      <c r="D57" s="0" t="inlineStr">
        <is>
          <t xml:space="preserve">MINISTERIO DE OBRAS PUBLICAS DIREC CION GRAL DE OO PP DCYF</t>
        </is>
      </c>
      <c r="E57" s="0" t="inlineStr">
        <is>
          <t xml:space="preserve">Dirección de Planeamiento - MOP</t>
        </is>
      </c>
      <c r="F57" s="0" t="inlineStr">
        <is>
          <t xml:space="preserve">Región Metropolitana de Santiago</t>
        </is>
      </c>
      <c r="G57" s="0" t="inlineStr">
        <is>
          <t xml:space="preserve">Santiago Centro</t>
        </is>
      </c>
      <c r="H57" s="2">
        <v>46262.57412</v>
      </c>
      <c r="I57" s="2">
        <v>46273.645833</v>
      </c>
      <c r="J57" s="0">
        <v>7</v>
      </c>
      <c r="K57" s="3">
        <v>19980000.0</v>
      </c>
      <c r="L57" s="0" t="inlineStr">
        <is>
          <t xml:space="preserve">CLP</t>
        </is>
      </c>
      <c r="M57" s="0" t="inlineStr">
        <is>
          <t xml:space="preserve">LE</t>
        </is>
      </c>
      <c r="N57" s="4" t="inlineStr">
        <is>
          <t xml:space="preserve">Tecnologías de la información, telecomunicaciones y radiodifusión / Software / Software de consultas y gestión de datos, Tecnologías de la información, telecomunicaciones y radiodifusión / Software / Software de gestión</t>
        </is>
      </c>
      <c r="O57" s="4" t="inlineStr">
        <is>
          <t xml:space="preserve">1 Unidad · Software de sistema experto · 1 Unidad · Software de clasificación o categorización</t>
        </is>
      </c>
      <c r="P57" s="2"/>
      <c r="Q57" s="2"/>
      <c r="R57" s="0"/>
      <c r="S57" s="0" t="inlineStr">
        <is>
          <t xml:space="preserve">No</t>
        </is>
      </c>
      <c r="T57" s="4" t="inlineStr">
        <is>
          <t xml:space="preserve">Se prohíbe la subcontratación ya que se adjudica de acuerdo a la oferta del proveedor y sus características especiales.</t>
        </is>
      </c>
      <c r="U57" s="0" t="inlineStr">
        <is>
          <t xml:space="preserve">Carolina Quintana</t>
        </is>
      </c>
      <c r="V57"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7" s="5" t="str">
        <f>HYPERLINK("https://www.mercadopublico.cl/Procurement/Modules/RFB/DetailsAcquisition.aspx?idlicitacion=1016-8-LE26","descargar bases")</f>
      </c>
    </row>
    <row r="58">
      <c r="A58" s="0" t="inlineStr">
        <is>
          <t xml:space="preserve">542429-7-LE26</t>
        </is>
      </c>
      <c r="B58" s="4" t="inlineStr">
        <is>
          <t xml:space="preserve">“Provisión de licencias de software</t>
        </is>
      </c>
      <c r="C58" s="0" t="inlineStr">
        <is>
          <t xml:space="preserve">Publicada</t>
        </is>
      </c>
      <c r="D58" s="0" t="inlineStr">
        <is>
          <t xml:space="preserve">UNIDAD ADMINISTRADORA DE LOS TRIBUNALES TRIBUTARIOS Y ADUANEROS</t>
        </is>
      </c>
      <c r="E58" s="0" t="inlineStr">
        <is>
          <t xml:space="preserve">UNIDAD ADMINISTRADORA DE LOS TRIBUNALES TRIBUTARIOS Y ADUANEROS</t>
        </is>
      </c>
      <c r="F58" s="0" t="inlineStr">
        <is>
          <t xml:space="preserve">Región Metropolitana de Santiago</t>
        </is>
      </c>
      <c r="G58" s="0" t="inlineStr">
        <is>
          <t xml:space="preserve">Arica</t>
        </is>
      </c>
      <c r="H58" s="2">
        <v>46262.635671</v>
      </c>
      <c r="I58" s="2">
        <v>46273.645833</v>
      </c>
      <c r="J58" s="0">
        <v>7</v>
      </c>
      <c r="K58" s="3">
        <v>52270.0</v>
      </c>
      <c r="L58" s="0" t="inlineStr">
        <is>
          <t xml:space="preserve">USD</t>
        </is>
      </c>
      <c r="M58" s="0" t="inlineStr">
        <is>
          <t xml:space="preserve">LE</t>
        </is>
      </c>
      <c r="N58" s="4" t="inlineStr">
        <is>
          <t xml:space="preserve">Tecnologías de la información, telecomunicaciones y radiodifusión / Software / Software de gestión</t>
        </is>
      </c>
      <c r="O58" s="4" t="inlineStr">
        <is>
          <t xml:space="preserve">1 Unidad · Software de gestión de licencias · 1 Unidad · Software de gestión de licencias · 1 Unidad · Software de gestión de licencias · y 1 más</t>
        </is>
      </c>
      <c r="P58" s="2"/>
      <c r="Q58" s="2"/>
      <c r="R58" s="0" t="inlineStr">
        <is>
          <t xml:space="preserve">36 meses</t>
        </is>
      </c>
      <c r="S58" s="0" t="inlineStr">
        <is>
          <t xml:space="preserve">No</t>
        </is>
      </c>
      <c r="T58" s="4"/>
      <c r="U58" s="0" t="inlineStr">
        <is>
          <t xml:space="preserve">Karen Brito</t>
        </is>
      </c>
      <c r="V58" s="4" t="inlineStr">
        <is>
          <t xml:space="preserve">La Unidad Administradora requiere la provisión de licencias de software con el fin de asegurar la continuidad operativa de la plataforma tecnológica utilizada por los Tribunales que gestiona</t>
        </is>
      </c>
      <c r="W58" s="5" t="str">
        <f>HYPERLINK("https://www.mercadopublico.cl/Procurement/Modules/RFB/DetailsAcquisition.aspx?idlicitacion=542429-7-LE26","descargar bases")</f>
      </c>
    </row>
    <row r="59">
      <c r="A59" s="0" t="inlineStr">
        <is>
          <t xml:space="preserve">1057531-10-L126</t>
        </is>
      </c>
      <c r="B59" s="4" t="inlineStr">
        <is>
          <t xml:space="preserve">Contratación de Convenio Prótesis Fijas con sistema digital CADCAM 2026-2027</t>
        </is>
      </c>
      <c r="C59" s="0" t="inlineStr">
        <is>
          <t xml:space="preserve">Publicada</t>
        </is>
      </c>
      <c r="D59" s="0" t="inlineStr">
        <is>
          <t xml:space="preserve">SERVICIO NACIONAL DE SALUD HOSPITAL DE RIO NEGRO</t>
        </is>
      </c>
      <c r="E59" s="0" t="inlineStr">
        <is>
          <t xml:space="preserve">Bienes y Servicios</t>
        </is>
      </c>
      <c r="F59" s="0" t="inlineStr">
        <is>
          <t xml:space="preserve">Región Metropolitana de Santiago</t>
        </is>
      </c>
      <c r="G59" s="0" t="inlineStr">
        <is>
          <t xml:space="preserve">Santiago</t>
        </is>
      </c>
      <c r="H59" s="2">
        <v>46265.489178</v>
      </c>
      <c r="I59" s="2">
        <v>46273.666667</v>
      </c>
      <c r="J59" s="0">
        <v>7</v>
      </c>
      <c r="K59" s="3">
        <v>7000000.0</v>
      </c>
      <c r="L59" s="0" t="inlineStr">
        <is>
          <t xml:space="preserve">CLP</t>
        </is>
      </c>
      <c r="M59" s="0" t="inlineStr">
        <is>
          <t xml:space="preserve">L1</t>
        </is>
      </c>
      <c r="N59" s="4" t="inlineStr">
        <is>
          <t xml:space="preserve">Equipamiento y suministros médicos / Equipos y suministros odontológicos / Suministros y equipos de odontología cosmética</t>
        </is>
      </c>
      <c r="O59" s="4" t="inlineStr">
        <is>
          <t xml:space="preserve">15 Unidad no definida · Coronas o formas de coronas</t>
        </is>
      </c>
      <c r="P59" s="2"/>
      <c r="Q59" s="2"/>
      <c r="R59" s="0"/>
      <c r="S59" s="0" t="inlineStr">
        <is>
          <t xml:space="preserve">No</t>
        </is>
      </c>
      <c r="T59" s="4"/>
      <c r="U59" s="0"/>
      <c r="V59"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9" s="5" t="str">
        <f>HYPERLINK("https://www.mercadopublico.cl/Procurement/Modules/RFB/DetailsAcquisition.aspx?idlicitacion=1057531-10-L126","descargar bases")</f>
      </c>
    </row>
    <row r="60">
      <c r="A60" s="0" t="inlineStr">
        <is>
          <t xml:space="preserve">1456835-1-LP26</t>
        </is>
      </c>
      <c r="B60" s="4" t="inlineStr">
        <is>
          <t xml:space="preserve">SERVICIO DE ARRIENDO DE SOFTWARE DE GDP Y REMUNERA</t>
        </is>
      </c>
      <c r="C60" s="0" t="inlineStr">
        <is>
          <t xml:space="preserve">Publicada</t>
        </is>
      </c>
      <c r="D60" s="0" t="inlineStr">
        <is>
          <t xml:space="preserve">SERVICIO LOCAL DE EDUCACIÓN PÚBLICA DEL LITORAL</t>
        </is>
      </c>
      <c r="E60" s="0" t="inlineStr">
        <is>
          <t xml:space="preserve">SERVICIO LOCAL DE EDUCACIÓN PÚBLICA DEL LITORAL</t>
        </is>
      </c>
      <c r="F60" s="0" t="inlineStr">
        <is>
          <t xml:space="preserve">Región de Valparaíso </t>
        </is>
      </c>
      <c r="G60" s="0"/>
      <c r="H60" s="2">
        <v>46252.983947</v>
      </c>
      <c r="I60" s="2">
        <v>46273.666667</v>
      </c>
      <c r="J60" s="0">
        <v>7</v>
      </c>
      <c r="K60" s="3"/>
      <c r="L60" s="0" t="inlineStr">
        <is>
          <t xml:space="preserve">CLP</t>
        </is>
      </c>
      <c r="M60" s="0" t="inlineStr">
        <is>
          <t xml:space="preserve">LP</t>
        </is>
      </c>
      <c r="N60" s="4" t="inlineStr">
        <is>
          <t xml:space="preserve">Tecnologías de la información, telecomunicaciones y radiodifusión / Software / Software de gestión</t>
        </is>
      </c>
      <c r="O60" s="4" t="inlineStr">
        <is>
          <t xml:space="preserve">1 Unidad · Software de gestión de recursos humanos</t>
        </is>
      </c>
      <c r="P60" s="2"/>
      <c r="Q60" s="2"/>
      <c r="R60" s="0" t="inlineStr">
        <is>
          <t xml:space="preserve">24 meses</t>
        </is>
      </c>
      <c r="S60" s="0" t="inlineStr">
        <is>
          <t xml:space="preserve">No</t>
        </is>
      </c>
      <c r="T60" s="4" t="inlineStr">
        <is>
          <t xml:space="preserve">No se permitirá la subcontratación de los servicios objeto del presente contrato.-</t>
        </is>
      </c>
      <c r="U60" s="0" t="inlineStr">
        <is>
          <t xml:space="preserve">Maria Fernanda Gonzalez</t>
        </is>
      </c>
      <c r="V60"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60" s="5" t="str">
        <f>HYPERLINK("https://www.mercadopublico.cl/Procurement/Modules/RFB/DetailsAcquisition.aspx?idlicitacion=1456835-1-LP26","descargar bases")</f>
      </c>
    </row>
    <row r="61">
      <c r="A61" s="0" t="inlineStr">
        <is>
          <t xml:space="preserve">520149-35-L126</t>
        </is>
      </c>
      <c r="B61" s="4" t="inlineStr">
        <is>
          <t xml:space="preserve">SERVICIO DE INSTALACIÓN, TRASLADO Y REPARACIÓN DE PUNTOS DE DATOS, PARA LOS EDIFICIOS JOSÉ MIGUEL CARRERA Y SEDE DE LA ACADEMIA DIPLOMÁTICA BAJO LA MODALIDAD DE CONTRATO DE SUMINISTRO.</t>
        </is>
      </c>
      <c r="C61" s="0" t="inlineStr">
        <is>
          <t xml:space="preserve">Publicada</t>
        </is>
      </c>
      <c r="D61" s="0" t="inlineStr">
        <is>
          <t xml:space="preserve">SUBSECRETARIA DE RELACIONES EXTERIORES</t>
        </is>
      </c>
      <c r="E61" s="0" t="inlineStr">
        <is>
          <t xml:space="preserve">DICOMPRAS</t>
        </is>
      </c>
      <c r="F61" s="0" t="inlineStr">
        <is>
          <t xml:space="preserve">Región Metropolitana de Santiago</t>
        </is>
      </c>
      <c r="G61" s="0" t="inlineStr">
        <is>
          <t xml:space="preserve">Santiago</t>
        </is>
      </c>
      <c r="H61" s="2">
        <v>46265.729988</v>
      </c>
      <c r="I61" s="2">
        <v>46273.666667</v>
      </c>
      <c r="J61" s="0">
        <v>7</v>
      </c>
      <c r="K61" s="3">
        <v>5000000.0</v>
      </c>
      <c r="L61" s="0" t="inlineStr">
        <is>
          <t xml:space="preserve">CLP</t>
        </is>
      </c>
      <c r="M61" s="0" t="inlineStr">
        <is>
          <t xml:space="preserve">L1</t>
        </is>
      </c>
      <c r="N61" s="4" t="inlineStr">
        <is>
          <t xml:space="preserve">Tecnologías de la información, telecomunicaciones y radiodifusión / Componentes para tecnología de la información, difusión o telecomunicaciones / Subconjuntos para dispositivos electrónicos</t>
        </is>
      </c>
      <c r="O61" s="4" t="inlineStr">
        <is>
          <t xml:space="preserve">1 Unidad · Conjuntos de cableado</t>
        </is>
      </c>
      <c r="P61" s="2"/>
      <c r="Q61" s="2"/>
      <c r="R61" s="0"/>
      <c r="S61" s="0" t="inlineStr">
        <is>
          <t xml:space="preserve">No</t>
        </is>
      </c>
      <c r="T61" s="4"/>
      <c r="U61" s="0"/>
      <c r="V61" s="4" t="inlineStr">
        <is>
          <t xml:space="preserve">SERVICIO DE INSTALACIÓN, TRASLADO Y REPARACIÓN DE PUNTOS DE DATOS, PARA LOS EDIFICIOS JOSÉ MIGUEL CARRERA Y SEDE DE LA ACADEMIA DIPLOMÁTICA BAJO LA MODALIDAD DE CONTRATO DE SUMINISTRO.</t>
        </is>
      </c>
      <c r="W61" s="5" t="str">
        <f>HYPERLINK("https://www.mercadopublico.cl/Procurement/Modules/RFB/DetailsAcquisition.aspx?idlicitacion=520149-35-L126","descargar bases")</f>
      </c>
    </row>
    <row r="62">
      <c r="A62" s="0" t="inlineStr">
        <is>
          <t xml:space="preserve">2793-121-LE26</t>
        </is>
      </c>
      <c r="B62" s="4" t="inlineStr">
        <is>
          <t xml:space="preserve">LICENCIAS DE SOFTWARE</t>
        </is>
      </c>
      <c r="C62" s="0" t="inlineStr">
        <is>
          <t xml:space="preserve">Publicada</t>
        </is>
      </c>
      <c r="D62" s="0" t="inlineStr">
        <is>
          <t xml:space="preserve">Municipalidad de Huechuraba</t>
        </is>
      </c>
      <c r="E62" s="0" t="inlineStr">
        <is>
          <t xml:space="preserve">Municipalidad de Huechuraba</t>
        </is>
      </c>
      <c r="F62" s="0" t="inlineStr">
        <is>
          <t xml:space="preserve">Región Metropolitana de Santiago</t>
        </is>
      </c>
      <c r="G62" s="0" t="inlineStr">
        <is>
          <t xml:space="preserve">Huechuraba</t>
        </is>
      </c>
      <c r="H62" s="2">
        <v>46265.69294</v>
      </c>
      <c r="I62" s="2">
        <v>46274.375</v>
      </c>
      <c r="J62" s="0">
        <v>8</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t>
        </is>
      </c>
      <c r="P62" s="2"/>
      <c r="Q62" s="2"/>
      <c r="R62" s="0"/>
      <c r="S62" s="0" t="inlineStr">
        <is>
          <t xml:space="preserve">No</t>
        </is>
      </c>
      <c r="T62" s="4"/>
      <c r="U62" s="0" t="inlineStr">
        <is>
          <t xml:space="preserve">ASESORIA JURIDICA</t>
        </is>
      </c>
      <c r="V62" s="4" t="inlineStr">
        <is>
          <t xml:space="preserve">LA MUNICIPALIDAD DE HUECHURABA REQUIERE LA ADQUISICIÓN DE LICENCIAS DE SOFTWARE LECTOR, MODIFICADOR Y CREADOR DE DOCUMENTOS PDF, SOLICITADA POR EL DEPARTAMENTO DE INFORMATICA, SEGÚN LO INDICADO EN DOCUMENTACIÓN ADJUNTA.</t>
        </is>
      </c>
      <c r="W62" s="5" t="str">
        <f>HYPERLINK("https://www.mercadopublico.cl/Procurement/Modules/RFB/DetailsAcquisition.aspx?idlicitacion=2793-121-LE26","descargar bases")</f>
      </c>
    </row>
    <row r="63">
      <c r="A63" s="0" t="inlineStr">
        <is>
          <t xml:space="preserve">1978-85-LE26</t>
        </is>
      </c>
      <c r="B63" s="4" t="inlineStr">
        <is>
          <t xml:space="preserve">Soporte Acronis Backup Cloud y Acronis Storage</t>
        </is>
      </c>
      <c r="C63" s="0" t="inlineStr">
        <is>
          <t xml:space="preserve">Publicada</t>
        </is>
      </c>
      <c r="D63" s="0" t="inlineStr">
        <is>
          <t xml:space="preserve">SERVICIO DE SALUD DEL MAULE</t>
        </is>
      </c>
      <c r="E63" s="0" t="inlineStr">
        <is>
          <t xml:space="preserve">Servicio de Salud del Maule</t>
        </is>
      </c>
      <c r="F63" s="0" t="inlineStr">
        <is>
          <t xml:space="preserve">Región del Maule </t>
        </is>
      </c>
      <c r="G63" s="0" t="inlineStr">
        <is>
          <t xml:space="preserve">Maule</t>
        </is>
      </c>
      <c r="H63" s="2">
        <v>46260.668773</v>
      </c>
      <c r="I63" s="2">
        <v>46274.463194</v>
      </c>
      <c r="J63" s="0">
        <v>8</v>
      </c>
      <c r="K63" s="3"/>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36 Mes · Software de sistema experto</t>
        </is>
      </c>
      <c r="P63" s="2"/>
      <c r="Q63" s="2"/>
      <c r="R63" s="0" t="inlineStr">
        <is>
          <t xml:space="preserve">36 meses</t>
        </is>
      </c>
      <c r="S63" s="0" t="inlineStr">
        <is>
          <t xml:space="preserve">No</t>
        </is>
      </c>
      <c r="T63" s="4"/>
      <c r="U63" s="0" t="inlineStr">
        <is>
          <t xml:space="preserve">Hector Bastidas V</t>
        </is>
      </c>
      <c r="V6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63" s="5" t="str">
        <f>HYPERLINK("https://www.mercadopublico.cl/Procurement/Modules/RFB/DetailsAcquisition.aspx?idlicitacion=1978-85-LE26","descargar bases")</f>
      </c>
    </row>
    <row r="64">
      <c r="A64" s="0" t="inlineStr">
        <is>
          <t xml:space="preserve">742475-4-LE26</t>
        </is>
      </c>
      <c r="B64" s="4" t="inlineStr">
        <is>
          <t xml:space="preserve">Adquisición de equipos informáticos para el programa Oficina Local de la Niñez</t>
        </is>
      </c>
      <c r="C64" s="0" t="inlineStr">
        <is>
          <t xml:space="preserve">Publicada</t>
        </is>
      </c>
      <c r="D64" s="0" t="inlineStr">
        <is>
          <t xml:space="preserve">I MUNICIPALIDAD DE VILLA ALEMANA</t>
        </is>
      </c>
      <c r="E64" s="0" t="inlineStr">
        <is>
          <t xml:space="preserve">ABASTECIMIENTO PROGRAMAS</t>
        </is>
      </c>
      <c r="F64" s="0" t="inlineStr">
        <is>
          <t xml:space="preserve">Región de Valparaíso </t>
        </is>
      </c>
      <c r="G64" s="0" t="inlineStr">
        <is>
          <t xml:space="preserve">Villa Alemana</t>
        </is>
      </c>
      <c r="H64" s="2">
        <v>46261.5564</v>
      </c>
      <c r="I64" s="2">
        <v>46274.5</v>
      </c>
      <c r="J64" s="0">
        <v>8</v>
      </c>
      <c r="K64" s="3">
        <v>7167631.0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 Notebook, laptop o computador portátil excepto Tablet PC</t>
        </is>
      </c>
      <c r="P64" s="2"/>
      <c r="Q64" s="2"/>
      <c r="R64" s="0"/>
      <c r="S64" s="0" t="inlineStr">
        <is>
          <t xml:space="preserve">No</t>
        </is>
      </c>
      <c r="T64" s="4"/>
      <c r="U64" s="0" t="inlineStr">
        <is>
          <t xml:space="preserve">ALAN RAAD</t>
        </is>
      </c>
      <c r="V64"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64" s="5" t="str">
        <f>HYPERLINK("https://www.mercadopublico.cl/Procurement/Modules/RFB/DetailsAcquisition.aspx?idlicitacion=742475-4-LE26","descargar bases")</f>
      </c>
    </row>
    <row r="65">
      <c r="A65" s="0" t="inlineStr">
        <is>
          <t xml:space="preserve">1469-175-L126</t>
        </is>
      </c>
      <c r="B65" s="4" t="inlineStr">
        <is>
          <t xml:space="preserve">TABLERO PARA BOMBA SUMERGIBLE, CAMPUS TALCA,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46260.508333</v>
      </c>
      <c r="I65" s="2">
        <v>46274.625</v>
      </c>
      <c r="J65" s="0">
        <v>8</v>
      </c>
      <c r="K65" s="3">
        <v>1800000.0</v>
      </c>
      <c r="L65" s="0" t="inlineStr">
        <is>
          <t xml:space="preserve">CLP</t>
        </is>
      </c>
      <c r="M65" s="0" t="inlineStr">
        <is>
          <t xml:space="preserve">L1</t>
        </is>
      </c>
      <c r="N65" s="4" t="inlineStr">
        <is>
          <t xml:space="preserve">Equipamiento para el acondicionamiento, distribución y filtrado de fluidos / Bombas y compresores industriales / Bombas</t>
        </is>
      </c>
      <c r="O65" s="4" t="inlineStr">
        <is>
          <t xml:space="preserve">1 Unidad · Bombas sumergibles</t>
        </is>
      </c>
      <c r="P65" s="2"/>
      <c r="Q65" s="2"/>
      <c r="R65" s="0"/>
      <c r="S65" s="0" t="inlineStr">
        <is>
          <t xml:space="preserve">No</t>
        </is>
      </c>
      <c r="T65" s="4"/>
      <c r="U65" s="0"/>
      <c r="V65" s="4" t="inlineStr">
        <is>
          <t xml:space="preserve">La presente contratación considera la ejecución de obras menores en jardín botánico, para instalar un tablero eléctrico nuevo, el cual debe cumplir con la normativa eléctrica chilena y protecciones para la bomba.</t>
        </is>
      </c>
      <c r="W65" s="5" t="str">
        <f>HYPERLINK("https://www.mercadopublico.cl/Procurement/Modules/RFB/DetailsAcquisition.aspx?idlicitacion=1469-175-L126","descargar bases")</f>
      </c>
    </row>
    <row r="66">
      <c r="A66" s="0" t="inlineStr">
        <is>
          <t xml:space="preserve">1562-52-LE26</t>
        </is>
      </c>
      <c r="B66" s="4" t="inlineStr">
        <is>
          <t xml:space="preserve">ADQUISICIÓN RENOVACIÓN PLATAFORMA ROCSCIENCE</t>
        </is>
      </c>
      <c r="C66" s="0" t="inlineStr">
        <is>
          <t xml:space="preserve">Publicada</t>
        </is>
      </c>
      <c r="D66" s="0" t="inlineStr">
        <is>
          <t xml:space="preserve">SERVICIO NACIONAL DE GEOLOGIA Y MINERIA</t>
        </is>
      </c>
      <c r="E66" s="0" t="inlineStr">
        <is>
          <t xml:space="preserve">Servicio Nacional de Geología y Minería</t>
        </is>
      </c>
      <c r="F66" s="0" t="inlineStr">
        <is>
          <t xml:space="preserve">Región Metropolitana de Santiago</t>
        </is>
      </c>
      <c r="G66" s="0" t="inlineStr">
        <is>
          <t xml:space="preserve">Providencia</t>
        </is>
      </c>
      <c r="H66" s="2">
        <v>46262.475579</v>
      </c>
      <c r="I66" s="2">
        <v>46274.625</v>
      </c>
      <c r="J66" s="0">
        <v>8</v>
      </c>
      <c r="K66" s="3">
        <v>30754000.0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t="inlineStr">
        <is>
          <t xml:space="preserve">12 meses</t>
        </is>
      </c>
      <c r="S66" s="0" t="inlineStr">
        <is>
          <t xml:space="preserve">No</t>
        </is>
      </c>
      <c r="T66" s="4"/>
      <c r="U66" s="0" t="inlineStr">
        <is>
          <t xml:space="preserve">Hugo Neira</t>
        </is>
      </c>
      <c r="V6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6" s="5" t="str">
        <f>HYPERLINK("https://www.mercadopublico.cl/Procurement/Modules/RFB/DetailsAcquisition.aspx?idlicitacion=1562-52-LE26","descargar bases")</f>
      </c>
    </row>
    <row r="67">
      <c r="A67" s="0" t="inlineStr">
        <is>
          <t xml:space="preserve">1057390-48-LP26</t>
        </is>
      </c>
      <c r="B67" s="4" t="inlineStr">
        <is>
          <t xml:space="preserve">CONV. RADIOCOMUNICACIÓN DIGITAL SAMU</t>
        </is>
      </c>
      <c r="C67" s="0" t="inlineStr">
        <is>
          <t xml:space="preserve">Publicada</t>
        </is>
      </c>
      <c r="D67" s="0" t="inlineStr">
        <is>
          <t xml:space="preserve">SERVICIO DE SALUD ARAUCANIA NORTE</t>
        </is>
      </c>
      <c r="E67" s="0" t="inlineStr">
        <is>
          <t xml:space="preserve">Bienes y Servicios</t>
        </is>
      </c>
      <c r="F67" s="0" t="inlineStr">
        <is>
          <t xml:space="preserve">Región de la Araucanía </t>
        </is>
      </c>
      <c r="G67" s="0"/>
      <c r="H67" s="2">
        <v>46254.446921</v>
      </c>
      <c r="I67" s="2">
        <v>46274.645833</v>
      </c>
      <c r="J67" s="0">
        <v>8</v>
      </c>
      <c r="K67" s="3">
        <v>180329688.0</v>
      </c>
      <c r="L67" s="0" t="inlineStr">
        <is>
          <t xml:space="preserve">CLP</t>
        </is>
      </c>
      <c r="M67" s="0" t="inlineStr">
        <is>
          <t xml:space="preserve">LP</t>
        </is>
      </c>
      <c r="N67" s="4" t="inlineStr">
        <is>
          <t xml:space="preserve">Servicios básicos y de información pública / Telecomunicaciones / Servicios de radio</t>
        </is>
      </c>
      <c r="O67" s="4" t="inlineStr">
        <is>
          <t xml:space="preserve">1 Mes · Sistemas de radio a pequeña escala</t>
        </is>
      </c>
      <c r="P67" s="2"/>
      <c r="Q67" s="2"/>
      <c r="R67" s="0" t="inlineStr">
        <is>
          <t xml:space="preserve">24 meses</t>
        </is>
      </c>
      <c r="S67" s="0" t="inlineStr">
        <is>
          <t xml:space="preserve">No</t>
        </is>
      </c>
      <c r="T67" s="4"/>
      <c r="U67" s="0" t="inlineStr">
        <is>
          <t xml:space="preserve">Gastón Lorca Troncoso</t>
        </is>
      </c>
      <c r="V67" s="4" t="inlineStr">
        <is>
          <t xml:space="preserve">La presente licitación tiene como objetivo, contratar un servicio mensual de comunicaciones digitales de voz para SAMU Malleco, según Especificaciones Técnicas (Anexo 4).</t>
        </is>
      </c>
      <c r="W67" s="5" t="str">
        <f>HYPERLINK("https://www.mercadopublico.cl/Procurement/Modules/RFB/DetailsAcquisition.aspx?idlicitacion=1057390-48-LP26","descargar bases")</f>
      </c>
    </row>
    <row r="68">
      <c r="A68" s="0" t="inlineStr">
        <is>
          <t xml:space="preserve">1605-36-LR26</t>
        </is>
      </c>
      <c r="B68" s="4" t="inlineStr">
        <is>
          <t xml:space="preserve">LR-4252 Servicio de Red Datos WAN</t>
        </is>
      </c>
      <c r="C68" s="0" t="inlineStr">
        <is>
          <t xml:space="preserve">Publicada</t>
        </is>
      </c>
      <c r="D68" s="0" t="inlineStr">
        <is>
          <t xml:space="preserve">SERVICIO DE IMPUESTOS INTERNOS DIRECCION</t>
        </is>
      </c>
      <c r="E68" s="0" t="inlineStr">
        <is>
          <t xml:space="preserve">SII Dirección Nacional</t>
        </is>
      </c>
      <c r="F68" s="0" t="inlineStr">
        <is>
          <t xml:space="preserve">Región Metropolitana de Santiago</t>
        </is>
      </c>
      <c r="G68" s="0" t="inlineStr">
        <is>
          <t xml:space="preserve">Santiago</t>
        </is>
      </c>
      <c r="H68" s="2">
        <v>46195.661111</v>
      </c>
      <c r="I68" s="2">
        <v>46274.666667</v>
      </c>
      <c r="J68" s="0">
        <v>8</v>
      </c>
      <c r="K68" s="3">
        <v>232851.0</v>
      </c>
      <c r="L68" s="0" t="inlineStr">
        <is>
          <t xml:space="preserve">CLF</t>
        </is>
      </c>
      <c r="M68" s="0" t="inlineStr">
        <is>
          <t xml:space="preserve">LR</t>
        </is>
      </c>
      <c r="N68" s="4" t="inlineStr">
        <is>
          <t xml:space="preserve">Servicios basados en ingeniería, ciencias sociales y tecnología de la información / Servicios informáticos / Servicios para internet</t>
        </is>
      </c>
      <c r="O68" s="4" t="inlineStr">
        <is>
          <t xml:space="preserve">72 Mes · Proveedores de servicio de Internet (ISP) · 72 Mes · Proveedores de servicio de Internet (ISP)</t>
        </is>
      </c>
      <c r="P68" s="2"/>
      <c r="Q68" s="2"/>
      <c r="R68" s="0" t="inlineStr">
        <is>
          <t xml:space="preserve">72 meses</t>
        </is>
      </c>
      <c r="S68" s="0" t="inlineStr">
        <is>
          <t xml:space="preserve">No</t>
        </is>
      </c>
      <c r="T68" s="4"/>
      <c r="U68" s="0" t="inlineStr">
        <is>
          <t xml:space="preserve">Luis Venegas</t>
        </is>
      </c>
      <c r="V6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8" s="5" t="str">
        <f>HYPERLINK("https://www.mercadopublico.cl/Procurement/Modules/RFB/DetailsAcquisition.aspx?idlicitacion=1605-36-LR26","descargar bases")</f>
      </c>
    </row>
    <row r="69">
      <c r="A69" s="0" t="inlineStr">
        <is>
          <t xml:space="preserve">1057501-488-LE26</t>
        </is>
      </c>
      <c r="B69" s="4" t="inlineStr">
        <is>
          <t xml:space="preserve">ARRIENDO MODULOS BODEGA PARA INFORMÁTICA HSR</t>
        </is>
      </c>
      <c r="C69" s="0" t="inlineStr">
        <is>
          <t xml:space="preserve">Publicada</t>
        </is>
      </c>
      <c r="D69" s="0" t="inlineStr">
        <is>
          <t xml:space="preserve">COMPLEJO ASISTENCIAL DR. SOTERO DEL RIO</t>
        </is>
      </c>
      <c r="E69" s="0" t="inlineStr">
        <is>
          <t xml:space="preserve">COMPLEJO ASISTENCIAL DR. SOTERO DEL RIO</t>
        </is>
      </c>
      <c r="F69" s="0" t="inlineStr">
        <is>
          <t xml:space="preserve">Región Metropolitana de Santiago</t>
        </is>
      </c>
      <c r="G69" s="0" t="inlineStr">
        <is>
          <t xml:space="preserve">Puente Alto</t>
        </is>
      </c>
      <c r="H69" s="2">
        <v>46261.515278</v>
      </c>
      <c r="I69" s="2">
        <v>46275.5</v>
      </c>
      <c r="J69" s="0">
        <v>9</v>
      </c>
      <c r="K69" s="3"/>
      <c r="L69" s="0" t="inlineStr">
        <is>
          <t xml:space="preserve">CLP</t>
        </is>
      </c>
      <c r="M69" s="0" t="inlineStr">
        <is>
          <t xml:space="preserve">LE</t>
        </is>
      </c>
      <c r="N69" s="4" t="inlineStr">
        <is>
          <t xml:space="preserve">Servicios de construcción y mantenimiento / Construcción de edificios en general / Construcción de obras civiles y infraestructuras</t>
        </is>
      </c>
      <c r="O69" s="4" t="inlineStr">
        <is>
          <t xml:space="preserve">2 Unidad · Construcción de obras civiles</t>
        </is>
      </c>
      <c r="P69" s="2"/>
      <c r="Q69" s="2"/>
      <c r="R69" s="0"/>
      <c r="S69" s="0" t="inlineStr">
        <is>
          <t xml:space="preserve">No</t>
        </is>
      </c>
      <c r="T69" s="4" t="inlineStr">
        <is>
          <t xml:space="preserve">16.- PROHIBICIÓN DE CESIÓN</t>
        </is>
      </c>
      <c r="U69" s="0" t="inlineStr">
        <is>
          <t xml:space="preserve">Cristian Diaz</t>
        </is>
      </c>
      <c r="V6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9" s="5" t="str">
        <f>HYPERLINK("https://www.mercadopublico.cl/Procurement/Modules/RFB/DetailsAcquisition.aspx?idlicitacion=1057501-488-LE26","descargar bases")</f>
      </c>
    </row>
    <row r="70">
      <c r="A70" s="0" t="inlineStr">
        <is>
          <t xml:space="preserve">1020-38-LP26</t>
        </is>
      </c>
      <c r="B70" s="4" t="inlineStr">
        <is>
          <t xml:space="preserve">Adquisición de Plataforma Next Generation Firewall</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46252.442905</v>
      </c>
      <c r="I70" s="2">
        <v>46275.625</v>
      </c>
      <c r="J70" s="0">
        <v>9</v>
      </c>
      <c r="K70" s="3">
        <v>240000000.0</v>
      </c>
      <c r="L70" s="0" t="inlineStr">
        <is>
          <t xml:space="preserve">CLP</t>
        </is>
      </c>
      <c r="M70" s="0" t="inlineStr">
        <is>
          <t xml:space="preserve">LP</t>
        </is>
      </c>
      <c r="N7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0" s="4" t="inlineStr">
        <is>
          <t xml:space="preserve">2 Unidad · Equipo de seguridad de red de firewall · 1 Unidad · Software de vigilancia de redes</t>
        </is>
      </c>
      <c r="P70" s="2"/>
      <c r="Q70" s="2"/>
      <c r="R70" s="0" t="inlineStr">
        <is>
          <t xml:space="preserve">16 meses</t>
        </is>
      </c>
      <c r="S70" s="0" t="inlineStr">
        <is>
          <t xml:space="preserve">No</t>
        </is>
      </c>
      <c r="T70" s="4" t="inlineStr">
        <is>
          <t xml:space="preserve">Conforme al punto 10.5 de las Bases Administrativas, el oferente adjudicado no podrá subcontratar los servicios derivados de la ejecución del Contrato</t>
        </is>
      </c>
      <c r="U70" s="0" t="inlineStr">
        <is>
          <t xml:space="preserve">Francisco Borques</t>
        </is>
      </c>
      <c r="V7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0" s="5" t="str">
        <f>HYPERLINK("https://www.mercadopublico.cl/Procurement/Modules/RFB/DetailsAcquisition.aspx?idlicitacion=1020-38-LP26","descargar bases")</f>
      </c>
    </row>
    <row r="71">
      <c r="A71" s="0" t="inlineStr">
        <is>
          <t xml:space="preserve">1020-45-LE26</t>
        </is>
      </c>
      <c r="B71" s="4" t="inlineStr">
        <is>
          <t xml:space="preserve">Renovación Licencias Software Solarwinds Dameware</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46262.529931</v>
      </c>
      <c r="I71" s="2">
        <v>46275.625</v>
      </c>
      <c r="J71" s="0">
        <v>9</v>
      </c>
      <c r="K71" s="3">
        <v>26000000.0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60 Unidad · Software de gestión de licencias</t>
        </is>
      </c>
      <c r="P71" s="2"/>
      <c r="Q71" s="2"/>
      <c r="R71" s="0"/>
      <c r="S71" s="0" t="inlineStr">
        <is>
          <t xml:space="preserve">No</t>
        </is>
      </c>
      <c r="T71" s="4" t="inlineStr">
        <is>
          <t xml:space="preserve">No permite subcontratación Conforme a lo señalado en el punto 10.5 de las Bases Administrativas, adjuntas.</t>
        </is>
      </c>
      <c r="U71" s="0" t="inlineStr">
        <is>
          <t xml:space="preserve">Juan Carlos Poblete</t>
        </is>
      </c>
      <c r="V7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71" s="5" t="str">
        <f>HYPERLINK("https://www.mercadopublico.cl/Procurement/Modules/RFB/DetailsAcquisition.aspx?idlicitacion=1020-45-LE26","descargar bases")</f>
      </c>
    </row>
    <row r="72">
      <c r="A72" s="0" t="inlineStr">
        <is>
          <t xml:space="preserve">1057494-50-LR26</t>
        </is>
      </c>
      <c r="B72" s="4" t="inlineStr">
        <is>
          <t xml:space="preserve">SOFTWARE PARA LA GESTIÓN DE LA UNIDAD DE LABORATOR</t>
        </is>
      </c>
      <c r="C72" s="0" t="inlineStr">
        <is>
          <t xml:space="preserve">Publicada</t>
        </is>
      </c>
      <c r="D72" s="0" t="inlineStr">
        <is>
          <t xml:space="preserve">SERVICIO DE SALUD SUR HOSPITAL EXEQUIEL</t>
        </is>
      </c>
      <c r="E72" s="0" t="inlineStr">
        <is>
          <t xml:space="preserve">Bienes y Servicios</t>
        </is>
      </c>
      <c r="F72" s="0" t="inlineStr">
        <is>
          <t xml:space="preserve">Región Metropolitana de Santiago</t>
        </is>
      </c>
      <c r="G72" s="0" t="inlineStr">
        <is>
          <t xml:space="preserve">San Miguel</t>
        </is>
      </c>
      <c r="H72" s="2">
        <v>46245.521528</v>
      </c>
      <c r="I72" s="2">
        <v>46275.666667</v>
      </c>
      <c r="J72" s="0">
        <v>9</v>
      </c>
      <c r="K72" s="3"/>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1 Unidad · Software de sistemas de archivado de película radiográfica médica</t>
        </is>
      </c>
      <c r="P72" s="2"/>
      <c r="Q72" s="2"/>
      <c r="R72" s="0" t="inlineStr">
        <is>
          <t xml:space="preserve">60 meses</t>
        </is>
      </c>
      <c r="S72" s="0" t="inlineStr">
        <is>
          <t xml:space="preserve">No</t>
        </is>
      </c>
      <c r="T72" s="4"/>
      <c r="U72" s="0" t="inlineStr">
        <is>
          <t xml:space="preserve">Damaris Medinelli Tapia</t>
        </is>
      </c>
      <c r="V72" s="4" t="inlineStr">
        <is>
          <t xml:space="preserve">ARRIENDO DE SOFTWARE PARA LA GESTIÓN DE LA UNIDAD DE LABORATORIO CLÍNICO DEL HOSPITAL DR. EXEQUIEL GONZÁLEZ CORTÉS</t>
        </is>
      </c>
      <c r="W72" s="5" t="str">
        <f>HYPERLINK("https://www.mercadopublico.cl/Procurement/Modules/RFB/DetailsAcquisition.aspx?idlicitacion=1057494-50-LR26","descargar bases")</f>
      </c>
    </row>
    <row r="73">
      <c r="A73" s="0" t="inlineStr">
        <is>
          <t xml:space="preserve">5586-128-LE26</t>
        </is>
      </c>
      <c r="B73" s="4" t="inlineStr">
        <is>
          <t xml:space="preserve">BR CONTRATACIÓN DE PLATAFORMA TECNOLÓGICA TIPO SAAS DE GESTIÓN DIGITAL</t>
        </is>
      </c>
      <c r="C73" s="0" t="inlineStr">
        <is>
          <t xml:space="preserve">Publicada</t>
        </is>
      </c>
      <c r="D73" s="0" t="inlineStr">
        <is>
          <t xml:space="preserve">UNIVERSIDAD DE LA FRONTERA</t>
        </is>
      </c>
      <c r="E73" s="0" t="inlineStr">
        <is>
          <t xml:space="preserve">Universidad de la Frontera</t>
        </is>
      </c>
      <c r="F73" s="0" t="inlineStr">
        <is>
          <t xml:space="preserve">Región de la Araucanía </t>
        </is>
      </c>
      <c r="G73" s="0" t="inlineStr">
        <is>
          <t xml:space="preserve">Temuco</t>
        </is>
      </c>
      <c r="H73" s="2">
        <v>46265.697917</v>
      </c>
      <c r="I73" s="2">
        <v>46276.416667</v>
      </c>
      <c r="J73" s="0">
        <v>10</v>
      </c>
      <c r="K73" s="3">
        <v>13000000.0</v>
      </c>
      <c r="L73" s="0" t="inlineStr">
        <is>
          <t xml:space="preserve">CLP</t>
        </is>
      </c>
      <c r="M73" s="0" t="inlineStr">
        <is>
          <t xml:space="preserve">LE</t>
        </is>
      </c>
      <c r="N73" s="4" t="inlineStr">
        <is>
          <t xml:space="preserve">Tecnologías de la información, telecomunicaciones y radiodifusión / Software / Software de administración de redes</t>
        </is>
      </c>
      <c r="O73" s="4" t="inlineStr">
        <is>
          <t xml:space="preserve">1 Global · Software de administración</t>
        </is>
      </c>
      <c r="P73" s="2"/>
      <c r="Q73" s="2"/>
      <c r="R73" s="0" t="inlineStr">
        <is>
          <t xml:space="preserve">18 meses</t>
        </is>
      </c>
      <c r="S73" s="0" t="inlineStr">
        <is>
          <t xml:space="preserve">No</t>
        </is>
      </c>
      <c r="T73" s="4" t="inlineStr">
        <is>
          <t xml:space="preserve">Lo anterior de acuerdo a lo
indicado en el Art. 128 del Reglamento de Compras públicas.</t>
        </is>
      </c>
      <c r="U73" s="0" t="inlineStr">
        <is>
          <t xml:space="preserve">FERNANDO GONZALEZ</t>
        </is>
      </c>
      <c r="V73" s="4" t="inlineStr">
        <is>
          <t xml:space="preserve">CONTRATACIÓN DE PLATAFORMA TECNOLÓGICA TIPO SAAS DE GESTIÓN DIGITAL, DE ACUERDO A REQUERIMIENTO ADJUNTO</t>
        </is>
      </c>
      <c r="W73" s="5" t="str">
        <f>HYPERLINK("https://www.mercadopublico.cl/Procurement/Modules/RFB/DetailsAcquisition.aspx?idlicitacion=5586-128-LE26","descargar bases")</f>
      </c>
    </row>
    <row r="74">
      <c r="A74" s="0" t="inlineStr">
        <is>
          <t xml:space="preserve">3671-58-LE26</t>
        </is>
      </c>
      <c r="B74" s="4" t="inlineStr">
        <is>
          <t xml:space="preserve">“HABILITACIÓN DE NUEVAS DEPENDENCIAS DE SEGURIDAD MUNICIPAL E INFORMÁTICA DE LA MUNICIPALIDAD DE CHILLÁN VIEJO”</t>
        </is>
      </c>
      <c r="C74" s="0" t="inlineStr">
        <is>
          <t xml:space="preserve">Publicada</t>
        </is>
      </c>
      <c r="D74" s="0" t="inlineStr">
        <is>
          <t xml:space="preserve">ILUSTRE MUNICIPALIDAD DE CHILLAN VIEJO</t>
        </is>
      </c>
      <c r="E74" s="0" t="inlineStr">
        <is>
          <t xml:space="preserve">Secplan</t>
        </is>
      </c>
      <c r="F74" s="0" t="inlineStr">
        <is>
          <t xml:space="preserve">Región del Ñuble</t>
        </is>
      </c>
      <c r="G74" s="0" t="inlineStr">
        <is>
          <t xml:space="preserve">Chillán Viejo</t>
        </is>
      </c>
      <c r="H74" s="2">
        <v>46261.573044</v>
      </c>
      <c r="I74" s="2">
        <v>46276.625</v>
      </c>
      <c r="J74" s="0">
        <v>10</v>
      </c>
      <c r="K74" s="3"/>
      <c r="L74" s="0" t="inlineStr">
        <is>
          <t xml:space="preserve">CLP</t>
        </is>
      </c>
      <c r="M74" s="0" t="inlineStr">
        <is>
          <t xml:space="preserve">LE</t>
        </is>
      </c>
      <c r="N74" s="4" t="inlineStr">
        <is>
          <t xml:space="preserve">Servicios de construcción y mantenimiento / Construcción de edificios en general / Construcción de obras civiles y infraestructuras</t>
        </is>
      </c>
      <c r="O74" s="4" t="inlineStr">
        <is>
          <t xml:space="preserve">1 Unidad · Construcción de obras civiles</t>
        </is>
      </c>
      <c r="P74" s="2"/>
      <c r="Q74" s="2"/>
      <c r="R74" s="0" t="inlineStr">
        <is>
          <t xml:space="preserve">60 días</t>
        </is>
      </c>
      <c r="S74" s="0" t="inlineStr">
        <is>
          <t xml:space="preserve">No</t>
        </is>
      </c>
      <c r="T74" s="4"/>
      <c r="U74" s="0" t="inlineStr">
        <is>
          <t xml:space="preserve">MARIA PAZ VASQUEZ RAMIREZ</t>
        </is>
      </c>
      <c r="V74"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4" s="5" t="str">
        <f>HYPERLINK("https://www.mercadopublico.cl/Procurement/Modules/RFB/DetailsAcquisition.aspx?idlicitacion=3671-58-LE26","descargar bases")</f>
      </c>
    </row>
    <row r="75">
      <c r="A75" s="0" t="inlineStr">
        <is>
          <t xml:space="preserve">425-39-LR26</t>
        </is>
      </c>
      <c r="B75" s="4" t="inlineStr">
        <is>
          <t xml:space="preserve">ADQUISICIÓN Y RENOVACIÓN DE LICENCIAS DE SOFTWARE PARA EL PODER JUDICIAL</t>
        </is>
      </c>
      <c r="C75" s="0" t="inlineStr">
        <is>
          <t xml:space="preserve">Publicada</t>
        </is>
      </c>
      <c r="D75" s="0" t="inlineStr">
        <is>
          <t xml:space="preserve">CORP ADMINISTRATIVA DEL PODER JUDICIAL</t>
        </is>
      </c>
      <c r="E75" s="0" t="inlineStr">
        <is>
          <t xml:space="preserve">Servicios</t>
        </is>
      </c>
      <c r="F75" s="0" t="inlineStr">
        <is>
          <t xml:space="preserve">Región Metropolitana de Santiago</t>
        </is>
      </c>
      <c r="G75" s="0" t="inlineStr">
        <is>
          <t xml:space="preserve">Santiago Centro</t>
        </is>
      </c>
      <c r="H75" s="2">
        <v>46232.502083</v>
      </c>
      <c r="I75" s="2">
        <v>46276.666667</v>
      </c>
      <c r="J75" s="0">
        <v>10</v>
      </c>
      <c r="K75" s="3"/>
      <c r="L75" s="0" t="inlineStr">
        <is>
          <t xml:space="preserve">USD</t>
        </is>
      </c>
      <c r="M75" s="0" t="inlineStr">
        <is>
          <t xml:space="preserve">LR</t>
        </is>
      </c>
      <c r="N75" s="4" t="inlineStr">
        <is>
          <t xml:space="preserve">Tecnologías de la información, telecomunicaciones y radiodifusión / Software / Software de gestión</t>
        </is>
      </c>
      <c r="O75" s="4" t="inlineStr">
        <is>
          <t xml:space="preserve">12 Unidad · Software de gestión de licencias · 4480 Unidad · Software de gestión de licencias · 30 Unidad · Software de gestión de licencias · y 30 más</t>
        </is>
      </c>
      <c r="P75" s="2"/>
      <c r="Q75" s="2"/>
      <c r="R75" s="0"/>
      <c r="S75" s="0" t="inlineStr">
        <is>
          <t xml:space="preserve">No</t>
        </is>
      </c>
      <c r="T75" s="4" t="inlineStr">
        <is>
          <t xml:space="preserve">No se permite subcontratación.</t>
        </is>
      </c>
      <c r="U75" s="0" t="inlineStr">
        <is>
          <t xml:space="preserve">Lisette Ávila</t>
        </is>
      </c>
      <c r="V75" s="4" t="inlineStr">
        <is>
          <t xml:space="preserve">UR(1804) ADQUISICIÓN Y RENOVACIÓN DE LICENCIAS DE SOFTWARE PARA EL PODER JUDICIAL</t>
        </is>
      </c>
      <c r="W75" s="5" t="str">
        <f>HYPERLINK("https://www.mercadopublico.cl/Procurement/Modules/RFB/DetailsAcquisition.aspx?idlicitacion=425-39-LR26","descargar bases")</f>
      </c>
    </row>
    <row r="76">
      <c r="A76" s="0" t="inlineStr">
        <is>
          <t xml:space="preserve">4778-14-LP26</t>
        </is>
      </c>
      <c r="B76" s="4" t="inlineStr">
        <is>
          <t xml:space="preserve">SERV. ADMINISTRADO CONTACT CENTER OMNICANAL CON IA</t>
        </is>
      </c>
      <c r="C76" s="0" t="inlineStr">
        <is>
          <t xml:space="preserve">Publicada</t>
        </is>
      </c>
      <c r="D76" s="0" t="inlineStr">
        <is>
          <t xml:space="preserve">SERVICIO NACIONAL DE SALUD HOSPITAL DE C</t>
        </is>
      </c>
      <c r="E76" s="0" t="inlineStr">
        <is>
          <t xml:space="preserve">Compras de Insumos y Servicios Generales</t>
        </is>
      </c>
      <c r="F76" s="0" t="inlineStr">
        <is>
          <t xml:space="preserve">Región Aysén del General Carlos Ibáñez del Campo</t>
        </is>
      </c>
      <c r="G76" s="0" t="inlineStr">
        <is>
          <t xml:space="preserve">Coyhaique</t>
        </is>
      </c>
      <c r="H76" s="2">
        <v>46254.698993</v>
      </c>
      <c r="I76" s="2">
        <v>46276.666667</v>
      </c>
      <c r="J76" s="0">
        <v>10</v>
      </c>
      <c r="K76" s="3"/>
      <c r="L76" s="0" t="inlineStr">
        <is>
          <t xml:space="preserve">CLP</t>
        </is>
      </c>
      <c r="M76" s="0" t="inlineStr">
        <is>
          <t xml:space="preserve">LP</t>
        </is>
      </c>
      <c r="N76" s="4" t="inlineStr">
        <is>
          <t xml:space="preserve">Tecnologías de la información, telecomunicaciones y radiodifusión / Software / Software para trabajo en redes</t>
        </is>
      </c>
      <c r="O76" s="4" t="inlineStr">
        <is>
          <t xml:space="preserve">24 Unidad · Software para centrales de comunicación digital</t>
        </is>
      </c>
      <c r="P76" s="2"/>
      <c r="Q76" s="2"/>
      <c r="R76" s="0" t="inlineStr">
        <is>
          <t xml:space="preserve">24 meses</t>
        </is>
      </c>
      <c r="S76" s="0" t="inlineStr">
        <is>
          <t xml:space="preserve">No</t>
        </is>
      </c>
      <c r="T76" s="4" t="inlineStr">
        <is>
          <t xml:space="preserve">Ver Bases Administrativas Especiales, punto 3.</t>
        </is>
      </c>
      <c r="U76" s="0" t="inlineStr">
        <is>
          <t xml:space="preserve">Carolina Pérez Alfaro</t>
        </is>
      </c>
      <c r="V76" s="4" t="inlineStr">
        <is>
          <t xml:space="preserve">Servicio Administrado de Contact Center Omnicanal con Inteligencia Artificial para la Gestión Integral de la Contactabilidad de Usuarios del Hospital Regional Coyhaique.</t>
        </is>
      </c>
      <c r="W76" s="5" t="str">
        <f>HYPERLINK("https://www.mercadopublico.cl/Procurement/Modules/RFB/DetailsAcquisition.aspx?idlicitacion=4778-14-LP26","descargar bases")</f>
      </c>
    </row>
    <row r="77">
      <c r="A77" s="0" t="inlineStr">
        <is>
          <t xml:space="preserve">2107-142-LE26</t>
        </is>
      </c>
      <c r="B77" s="4" t="inlineStr">
        <is>
          <t xml:space="preserve">ARRIENDO DE TOTEMS AUTOADMINISTRADOS PARA HSC</t>
        </is>
      </c>
      <c r="C77" s="0" t="inlineStr">
        <is>
          <t xml:space="preserve">Publicada</t>
        </is>
      </c>
      <c r="D77" s="0" t="inlineStr">
        <is>
          <t xml:space="preserve">SERVICIO DE SALUD HOSPITAL DE SANTA CRUZ</t>
        </is>
      </c>
      <c r="E77" s="0" t="inlineStr">
        <is>
          <t xml:space="preserve">Hospital de Santa Cruz</t>
        </is>
      </c>
      <c r="F77" s="0" t="inlineStr">
        <is>
          <t xml:space="preserve">Región del Libertador General Bernardo O´Higgins</t>
        </is>
      </c>
      <c r="G77" s="0" t="inlineStr">
        <is>
          <t xml:space="preserve">Santa Cruz</t>
        </is>
      </c>
      <c r="H77" s="2">
        <v>46265.345752</v>
      </c>
      <c r="I77" s="2">
        <v>46276.747222</v>
      </c>
      <c r="J77" s="0">
        <v>10</v>
      </c>
      <c r="K77" s="3"/>
      <c r="L77" s="0" t="inlineStr">
        <is>
          <t xml:space="preserve">CLP</t>
        </is>
      </c>
      <c r="M77" s="0" t="inlineStr">
        <is>
          <t xml:space="preserve">LE</t>
        </is>
      </c>
      <c r="N77" s="4" t="inlineStr">
        <is>
          <t xml:space="preserve">Tecnologías de la información, telecomunicaciones y radiodifusión / Equipos informáticos y accesorios / Computadores</t>
        </is>
      </c>
      <c r="O77" s="4" t="inlineStr">
        <is>
          <t xml:space="preserve">36 Mes · Servidores de gama alta</t>
        </is>
      </c>
      <c r="P77" s="2"/>
      <c r="Q77" s="2"/>
      <c r="R77" s="0" t="inlineStr">
        <is>
          <t xml:space="preserve">36 meses</t>
        </is>
      </c>
      <c r="S77" s="0" t="inlineStr">
        <is>
          <t xml:space="preserve">No</t>
        </is>
      </c>
      <c r="T77" s="4"/>
      <c r="U77" s="0" t="inlineStr">
        <is>
          <t xml:space="preserve">Nicolás Salgado Marín</t>
        </is>
      </c>
      <c r="V77"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77" s="5" t="str">
        <f>HYPERLINK("https://www.mercadopublico.cl/Procurement/Modules/RFB/DetailsAcquisition.aspx?idlicitacion=2107-142-LE26","descargar bases")</f>
      </c>
    </row>
    <row r="78">
      <c r="A78" s="0" t="inlineStr">
        <is>
          <t xml:space="preserve">1607-10-LR26</t>
        </is>
      </c>
      <c r="B78" s="4" t="inlineStr">
        <is>
          <t xml:space="preserve">servicio hospedaje soporte mantención plataforma</t>
        </is>
      </c>
      <c r="C78" s="0" t="inlineStr">
        <is>
          <t xml:space="preserve">Publicada</t>
        </is>
      </c>
      <c r="D78" s="0" t="inlineStr">
        <is>
          <t xml:space="preserve">SUPERINTENDENCIA DE SEGURIDAD SOCIAL</t>
        </is>
      </c>
      <c r="E78" s="0" t="inlineStr">
        <is>
          <t xml:space="preserve">Superintendencia de Seguridad Social</t>
        </is>
      </c>
      <c r="F78" s="0" t="inlineStr">
        <is>
          <t xml:space="preserve">Región Metropolitana de Santiago</t>
        </is>
      </c>
      <c r="G78" s="0" t="inlineStr">
        <is>
          <t xml:space="preserve">Santiago Centro</t>
        </is>
      </c>
      <c r="H78" s="2">
        <v>46248.628472</v>
      </c>
      <c r="I78" s="2">
        <v>46279.625</v>
      </c>
      <c r="J78" s="0">
        <v>13</v>
      </c>
      <c r="K78" s="3">
        <v>540000000.0</v>
      </c>
      <c r="L78" s="0" t="inlineStr">
        <is>
          <t xml:space="preserve">CLP</t>
        </is>
      </c>
      <c r="M78" s="0" t="inlineStr">
        <is>
          <t xml:space="preserve">LR</t>
        </is>
      </c>
      <c r="N78" s="4" t="inlineStr">
        <is>
          <t xml:space="preserve">Servicios profesionales, administrativos y consultorías de gestión empresarial / Servicios de recursos humanos / Contratación de personal</t>
        </is>
      </c>
      <c r="O78" s="4" t="inlineStr">
        <is>
          <t xml:space="preserve">1 Unidad · Desarrolladores de software</t>
        </is>
      </c>
      <c r="P78" s="2"/>
      <c r="Q78" s="2"/>
      <c r="R78" s="0"/>
      <c r="S78" s="0" t="inlineStr">
        <is>
          <t xml:space="preserve">No</t>
        </is>
      </c>
      <c r="T7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8" s="0" t="inlineStr">
        <is>
          <t xml:space="preserve">Melissa Pino</t>
        </is>
      </c>
      <c r="V78" s="4" t="inlineStr">
        <is>
          <t xml:space="preserve">contratación del servicio hospedaje, soporte, mantención y actualización de la Plataforma Integrada de Asignación Familiar, Subsidio Único Familiar y Regímenes relacionados PIAS, de la Superintendencia de Seguridad Social.</t>
        </is>
      </c>
      <c r="W78" s="5" t="str">
        <f>HYPERLINK("https://www.mercadopublico.cl/Procurement/Modules/RFB/DetailsAcquisition.aspx?idlicitacion=1607-10-LR26","descargar bases")</f>
      </c>
    </row>
    <row r="79">
      <c r="A79" s="0" t="inlineStr">
        <is>
          <t xml:space="preserve">2413-20-LE26</t>
        </is>
      </c>
      <c r="B79" s="4" t="inlineStr">
        <is>
          <t xml:space="preserve">SISTEMA DE GESTIÓN DOCUMENTAL</t>
        </is>
      </c>
      <c r="C79" s="0" t="inlineStr">
        <is>
          <t xml:space="preserve">Publicada</t>
        </is>
      </c>
      <c r="D79" s="0" t="inlineStr">
        <is>
          <t xml:space="preserve">I MUNICIPALIDAD DE LO PRADO</t>
        </is>
      </c>
      <c r="E79" s="0" t="inlineStr">
        <is>
          <t xml:space="preserve">SECRETARIA PLANIFICACION COMUNAL</t>
        </is>
      </c>
      <c r="F79" s="0" t="inlineStr">
        <is>
          <t xml:space="preserve">Región Metropolitana de Santiago</t>
        </is>
      </c>
      <c r="G79" s="0" t="inlineStr">
        <is>
          <t xml:space="preserve">Lo Prado</t>
        </is>
      </c>
      <c r="H79" s="2">
        <v>46262.778414</v>
      </c>
      <c r="I79" s="2">
        <v>46279.625</v>
      </c>
      <c r="J79" s="0">
        <v>13</v>
      </c>
      <c r="K79" s="3"/>
      <c r="L79" s="0" t="inlineStr">
        <is>
          <t xml:space="preserve">CLF</t>
        </is>
      </c>
      <c r="M79" s="0" t="inlineStr">
        <is>
          <t xml:space="preserve">LE</t>
        </is>
      </c>
      <c r="N79" s="4" t="inlineStr">
        <is>
          <t xml:space="preserve">Servicios profesionales, administrativos y consultorías de gestión empresarial / Servicios de recursos humanos / Contratación de personal</t>
        </is>
      </c>
      <c r="O79" s="4" t="inlineStr">
        <is>
          <t xml:space="preserve">1 Mes · Desarrolladores de software</t>
        </is>
      </c>
      <c r="P79" s="2"/>
      <c r="Q79" s="2"/>
      <c r="R79" s="0"/>
      <c r="S79" s="0" t="inlineStr">
        <is>
          <t xml:space="preserve">No</t>
        </is>
      </c>
      <c r="T79" s="4"/>
      <c r="U79" s="0" t="inlineStr">
        <is>
          <t xml:space="preserve">Paola Moncada Venegas</t>
        </is>
      </c>
      <c r="V79"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79" s="5" t="str">
        <f>HYPERLINK("https://www.mercadopublico.cl/Procurement/Modules/RFB/DetailsAcquisition.aspx?idlicitacion=2413-20-LE26","descargar bases")</f>
      </c>
    </row>
    <row r="80">
      <c r="A80" s="0" t="inlineStr">
        <is>
          <t xml:space="preserve">906973-8-LP26</t>
        </is>
      </c>
      <c r="B80" s="4" t="inlineStr">
        <is>
          <t xml:space="preserve">SISTEMAS INFORMÁTICOS DE GESTIÓN MUNICIPAL</t>
        </is>
      </c>
      <c r="C80" s="0" t="inlineStr">
        <is>
          <t xml:space="preserve">Publicada</t>
        </is>
      </c>
      <c r="D80" s="0" t="inlineStr">
        <is>
          <t xml:space="preserve">I MUNICIPALIDAD DE VICHUQUEN</t>
        </is>
      </c>
      <c r="E80" s="0" t="inlineStr">
        <is>
          <t xml:space="preserve">SECPLAC</t>
        </is>
      </c>
      <c r="F80" s="0" t="inlineStr">
        <is>
          <t xml:space="preserve">Región del Maule </t>
        </is>
      </c>
      <c r="G80" s="0" t="inlineStr">
        <is>
          <t xml:space="preserve">Vichuquén</t>
        </is>
      </c>
      <c r="H80" s="2">
        <v>46259.547662</v>
      </c>
      <c r="I80" s="2">
        <v>46279.625</v>
      </c>
      <c r="J80" s="0">
        <v>13</v>
      </c>
      <c r="K80" s="3"/>
      <c r="L80" s="0" t="inlineStr">
        <is>
          <t xml:space="preserve">CLP</t>
        </is>
      </c>
      <c r="M80" s="0" t="inlineStr">
        <is>
          <t xml:space="preserve">LP</t>
        </is>
      </c>
      <c r="N80" s="4" t="inlineStr">
        <is>
          <t xml:space="preserve">Organizaciones y consultorías políticas, demográficas, económicas, sociales y de administración pública / Administración y finanzas públicas / Finanzas públicas</t>
        </is>
      </c>
      <c r="O80" s="4" t="inlineStr">
        <is>
          <t xml:space="preserve">36 Mes · Servicios contables gubernamentales</t>
        </is>
      </c>
      <c r="P80" s="2"/>
      <c r="Q80" s="2"/>
      <c r="R80" s="0"/>
      <c r="S80" s="0" t="inlineStr">
        <is>
          <t xml:space="preserve">No</t>
        </is>
      </c>
      <c r="T80" s="4"/>
      <c r="U80" s="0" t="inlineStr">
        <is>
          <t xml:space="preserve">Ariel Munoz Vasquez</t>
        </is>
      </c>
      <c r="V80"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0" s="5" t="str">
        <f>HYPERLINK("https://www.mercadopublico.cl/Procurement/Modules/RFB/DetailsAcquisition.aspx?idlicitacion=906973-8-LP26","descargar bases")</f>
      </c>
    </row>
    <row r="81">
      <c r="A81" s="0" t="inlineStr">
        <is>
          <t xml:space="preserve">29-73-LE26</t>
        </is>
      </c>
      <c r="B81" s="4" t="inlineStr">
        <is>
          <t xml:space="preserve">ALR - ADQ. REPUESTOS Y TABLERO ELECT.   GPO. ELECT</t>
        </is>
      </c>
      <c r="C81" s="0" t="inlineStr">
        <is>
          <t xml:space="preserve">Publicada</t>
        </is>
      </c>
      <c r="D81" s="0" t="inlineStr">
        <is>
          <t xml:space="preserve">FUERZA AEREA DE CHILE COMANDO LOGISTICO</t>
        </is>
      </c>
      <c r="E81" s="0" t="inlineStr">
        <is>
          <t xml:space="preserve">Comando Logístico</t>
        </is>
      </c>
      <c r="F81" s="0" t="inlineStr">
        <is>
          <t xml:space="preserve">Región Metropolitana de Santiago</t>
        </is>
      </c>
      <c r="G81" s="0" t="inlineStr">
        <is>
          <t xml:space="preserve">El Bosque</t>
        </is>
      </c>
      <c r="H81" s="2">
        <v>46265.630394</v>
      </c>
      <c r="I81" s="2">
        <v>46279.625694</v>
      </c>
      <c r="J81" s="0">
        <v>13</v>
      </c>
      <c r="K81" s="3"/>
      <c r="L81" s="0" t="inlineStr">
        <is>
          <t xml:space="preserve">USD</t>
        </is>
      </c>
      <c r="M81" s="0" t="inlineStr">
        <is>
          <t xml:space="preserve">LE</t>
        </is>
      </c>
      <c r="N81"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1" s="4" t="inlineStr">
        <is>
          <t xml:space="preserve">1 Unidad · Paneles de control eléctrico para generadores · 2 Unidad · Filtros de aceite · 2 Unidad · Filtros de combustible · y 9 más</t>
        </is>
      </c>
      <c r="P81" s="2"/>
      <c r="Q81" s="2"/>
      <c r="R81" s="0"/>
      <c r="S81" s="0" t="inlineStr">
        <is>
          <t xml:space="preserve">No</t>
        </is>
      </c>
      <c r="T81" s="4"/>
      <c r="U81" s="0" t="inlineStr">
        <is>
          <t xml:space="preserve">SERGIO ROMEROCALQUIN</t>
        </is>
      </c>
      <c r="V81" s="4" t="inlineStr">
        <is>
          <t xml:space="preserve">ADQUISICIÓN DE REPUESTOS Y TABLERO CON INSTALACIÓN PARA GRUPOS ELECTRÓGENOS DE LA FUERZA AÉREA DE CHILE</t>
        </is>
      </c>
      <c r="W81" s="5" t="str">
        <f>HYPERLINK("https://www.mercadopublico.cl/Procurement/Modules/RFB/DetailsAcquisition.aspx?idlicitacion=29-73-LE26","descargar bases")</f>
      </c>
    </row>
    <row r="82">
      <c r="A82" s="0" t="inlineStr">
        <is>
          <t xml:space="preserve">875-6-LP26</t>
        </is>
      </c>
      <c r="B82" s="4" t="inlineStr">
        <is>
          <t xml:space="preserve">SERVICIO DE MARKETING DIGITAL</t>
        </is>
      </c>
      <c r="C82" s="0" t="inlineStr">
        <is>
          <t xml:space="preserve">Publicada</t>
        </is>
      </c>
      <c r="D82" s="0" t="inlineStr">
        <is>
          <t xml:space="preserve">AGENCIA DE PROMOCION DE LA INVERSION EXTRANJERA</t>
        </is>
      </c>
      <c r="E82" s="0" t="inlineStr">
        <is>
          <t xml:space="preserve">Agencia de Promoción de la Inversión Extranjera</t>
        </is>
      </c>
      <c r="F82" s="0" t="inlineStr">
        <is>
          <t xml:space="preserve">Región Metropolitana de Santiago</t>
        </is>
      </c>
      <c r="G82" s="0" t="inlineStr">
        <is>
          <t xml:space="preserve">Santiago</t>
        </is>
      </c>
      <c r="H82" s="2">
        <v>46258.740845</v>
      </c>
      <c r="I82" s="2">
        <v>46279.666667</v>
      </c>
      <c r="J82" s="0">
        <v>13</v>
      </c>
      <c r="K82" s="3">
        <v>225000000.0</v>
      </c>
      <c r="L82" s="0" t="inlineStr">
        <is>
          <t xml:space="preserve">CLP</t>
        </is>
      </c>
      <c r="M82" s="0" t="inlineStr">
        <is>
          <t xml:space="preserve">LP</t>
        </is>
      </c>
      <c r="N82" s="4" t="inlineStr">
        <is>
          <t xml:space="preserve">Servicios profesionales, administrativos y consultorías de gestión empresarial / Servicios para la comercialización y distribución / Ventas y marketing</t>
        </is>
      </c>
      <c r="O82" s="4" t="inlineStr">
        <is>
          <t xml:space="preserve">1 Unidad · Campañas publicitarias o de marketing</t>
        </is>
      </c>
      <c r="P82" s="2"/>
      <c r="Q82" s="2"/>
      <c r="R82" s="0" t="inlineStr">
        <is>
          <t xml:space="preserve">12 meses</t>
        </is>
      </c>
      <c r="S82" s="0" t="inlineStr">
        <is>
          <t xml:space="preserve">No</t>
        </is>
      </c>
      <c r="T82" s="4"/>
      <c r="U82" s="0" t="inlineStr">
        <is>
          <t xml:space="preserve">Claudio Álvarez M., o ella funcionarioa que desi</t>
        </is>
      </c>
      <c r="V82"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2" s="5" t="str">
        <f>HYPERLINK("https://www.mercadopublico.cl/Procurement/Modules/RFB/DetailsAcquisition.aspx?idlicitacion=875-6-LP26","descargar bases")</f>
      </c>
    </row>
    <row r="83">
      <c r="A83" s="0" t="inlineStr">
        <is>
          <t xml:space="preserve">2348-34-LP26</t>
        </is>
      </c>
      <c r="B83" s="4" t="inlineStr">
        <is>
          <t xml:space="preserve">ADQUISICIÓN DE LICENCIAS DE SOFTWARE</t>
        </is>
      </c>
      <c r="C83" s="0" t="inlineStr">
        <is>
          <t xml:space="preserve">Publicada</t>
        </is>
      </c>
      <c r="D83" s="0" t="inlineStr">
        <is>
          <t xml:space="preserve">I MUNICIPALIDAD DE PUNTA ARENAS</t>
        </is>
      </c>
      <c r="E83" s="0" t="inlineStr">
        <is>
          <t xml:space="preserve">Dirección de Administración y Finanzas</t>
        </is>
      </c>
      <c r="F83" s="0" t="inlineStr">
        <is>
          <t xml:space="preserve">Región de Magallanes y de la Antártica</t>
        </is>
      </c>
      <c r="G83" s="0" t="inlineStr">
        <is>
          <t xml:space="preserve">Punta Arenas</t>
        </is>
      </c>
      <c r="H83" s="2">
        <v>46259.485648</v>
      </c>
      <c r="I83" s="2">
        <v>46280.458333</v>
      </c>
      <c r="J83" s="0">
        <v>14</v>
      </c>
      <c r="K83" s="3">
        <v>163000000.0</v>
      </c>
      <c r="L83" s="0" t="inlineStr">
        <is>
          <t xml:space="preserve">CLP</t>
        </is>
      </c>
      <c r="M83" s="0" t="inlineStr">
        <is>
          <t xml:space="preserve">LP</t>
        </is>
      </c>
      <c r="N83" s="4" t="inlineStr">
        <is>
          <t xml:space="preserve">Tecnologías de la información, telecomunicaciones y radiodifusión / Software / Software de entorno operativo</t>
        </is>
      </c>
      <c r="O83" s="4" t="inlineStr">
        <is>
          <t xml:space="preserve">2 Unidad · Software de sistema operativo · 22 Unidad · Software de sistema operativo · 5 Unidad · Software de sistema operativo · y 7 más</t>
        </is>
      </c>
      <c r="P83" s="2"/>
      <c r="Q83" s="2"/>
      <c r="R83" s="0"/>
      <c r="S83" s="0" t="inlineStr">
        <is>
          <t xml:space="preserve">No</t>
        </is>
      </c>
      <c r="T83" s="4" t="inlineStr">
        <is>
          <t xml:space="preserve">SEGÚN ART. N°43 DE LAS BASES ADMINISTRATIVAS.-</t>
        </is>
      </c>
      <c r="U83" s="0" t="inlineStr">
        <is>
          <t xml:space="preserve">CLAUDIO RADONICH JIMENEZ</t>
        </is>
      </c>
      <c r="V83"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3" s="5" t="str">
        <f>HYPERLINK("https://www.mercadopublico.cl/Procurement/Modules/RFB/DetailsAcquisition.aspx?idlicitacion=2348-34-LP26","descargar bases")</f>
      </c>
    </row>
    <row r="84">
      <c r="A84" s="0" t="inlineStr">
        <is>
          <t xml:space="preserve">2445-109-LP26</t>
        </is>
      </c>
      <c r="B84" s="4" t="inlineStr">
        <is>
          <t xml:space="preserve">SERVICIO SOFTWARE GESTIÓN  ASISTENCIA DEPTO. SALUD</t>
        </is>
      </c>
      <c r="C84" s="0" t="inlineStr">
        <is>
          <t xml:space="preserve">Publicada</t>
        </is>
      </c>
      <c r="D84" s="0" t="inlineStr">
        <is>
          <t xml:space="preserve">I MUNICIPALIDAD DE CURICO</t>
        </is>
      </c>
      <c r="E84" s="0" t="inlineStr">
        <is>
          <t xml:space="preserve">Salud - Adquisiciones</t>
        </is>
      </c>
      <c r="F84" s="0" t="inlineStr">
        <is>
          <t xml:space="preserve">Región del Maule </t>
        </is>
      </c>
      <c r="G84" s="0" t="inlineStr">
        <is>
          <t xml:space="preserve">Curicó</t>
        </is>
      </c>
      <c r="H84" s="2">
        <v>46260.403657</v>
      </c>
      <c r="I84" s="2">
        <v>46280.5</v>
      </c>
      <c r="J84" s="0">
        <v>14</v>
      </c>
      <c r="K84" s="3">
        <v>132232000.0</v>
      </c>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Unidad · Software de gestión de recursos humanos</t>
        </is>
      </c>
      <c r="P84" s="2"/>
      <c r="Q84" s="2"/>
      <c r="R84" s="0" t="inlineStr">
        <is>
          <t xml:space="preserve">36 semanas</t>
        </is>
      </c>
      <c r="S84" s="0" t="inlineStr">
        <is>
          <t xml:space="preserve">No</t>
        </is>
      </c>
      <c r="T84" s="4"/>
      <c r="U84" s="0" t="inlineStr">
        <is>
          <t xml:space="preserve">PABLO LEPE</t>
        </is>
      </c>
      <c r="V84"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4" s="5" t="str">
        <f>HYPERLINK("https://www.mercadopublico.cl/Procurement/Modules/RFB/DetailsAcquisition.aspx?idlicitacion=2445-109-LP26","descargar bases")</f>
      </c>
    </row>
    <row r="85">
      <c r="A85" s="0" t="inlineStr">
        <is>
          <t xml:space="preserve">1020-40-LP26</t>
        </is>
      </c>
      <c r="B85" s="4" t="inlineStr">
        <is>
          <t xml:space="preserve">Serv.Cloud Amazon Web Services AWS o Equivalente</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46254.652164</v>
      </c>
      <c r="I85" s="2">
        <v>46280.625</v>
      </c>
      <c r="J85" s="0">
        <v>14</v>
      </c>
      <c r="K85" s="3">
        <v>295121.0</v>
      </c>
      <c r="L85" s="0" t="inlineStr">
        <is>
          <t xml:space="preserve">USD</t>
        </is>
      </c>
      <c r="M85" s="0" t="inlineStr">
        <is>
          <t xml:space="preserve">LP</t>
        </is>
      </c>
      <c r="N85" s="4" t="inlineStr">
        <is>
          <t xml:space="preserve">Tecnologías de la información, telecomunicaciones y radiodifusión / Software / Software de consultas y gestión de datos</t>
        </is>
      </c>
      <c r="O85" s="4" t="inlineStr">
        <is>
          <t xml:space="preserve">1 Unidad · Software del sistema de administración de bases de datos</t>
        </is>
      </c>
      <c r="P85" s="2"/>
      <c r="Q85" s="2"/>
      <c r="R85" s="0" t="inlineStr">
        <is>
          <t xml:space="preserve">36 meses</t>
        </is>
      </c>
      <c r="S85" s="0" t="inlineStr">
        <is>
          <t xml:space="preserve">No</t>
        </is>
      </c>
      <c r="T85" s="4" t="inlineStr">
        <is>
          <t xml:space="preserve">Ver numeral 10.5 de las Bases Administrativas, en archivo adjunto.</t>
        </is>
      </c>
      <c r="U85" s="0" t="inlineStr">
        <is>
          <t xml:space="preserve">Carmen Gloria Ponce Pérez</t>
        </is>
      </c>
      <c r="V85"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5" s="5" t="str">
        <f>HYPERLINK("https://www.mercadopublico.cl/Procurement/Modules/RFB/DetailsAcquisition.aspx?idlicitacion=1020-40-LP26","descargar bases")</f>
      </c>
    </row>
    <row r="86">
      <c r="A86" s="0" t="inlineStr">
        <is>
          <t xml:space="preserve">3902-39-LP26</t>
        </is>
      </c>
      <c r="B86" s="4" t="inlineStr">
        <is>
          <t xml:space="preserve">SERVICIO SOFTWARE SISTEMAS DE INFORMACIÓN BULNES.</t>
        </is>
      </c>
      <c r="C86" s="0" t="inlineStr">
        <is>
          <t xml:space="preserve">Publicada</t>
        </is>
      </c>
      <c r="D86" s="0" t="inlineStr">
        <is>
          <t xml:space="preserve">I MUNICIPALIDAD DE BULNES</t>
        </is>
      </c>
      <c r="E86" s="0" t="inlineStr">
        <is>
          <t xml:space="preserve">I MUNICIPALIDAD DE BULNES</t>
        </is>
      </c>
      <c r="F86" s="0" t="inlineStr">
        <is>
          <t xml:space="preserve">Región del Ñuble</t>
        </is>
      </c>
      <c r="G86" s="0" t="inlineStr">
        <is>
          <t xml:space="preserve">Bulnes</t>
        </is>
      </c>
      <c r="H86" s="2">
        <v>46261.708333</v>
      </c>
      <c r="I86" s="2">
        <v>46280.6375</v>
      </c>
      <c r="J86" s="0">
        <v>14</v>
      </c>
      <c r="K86" s="3"/>
      <c r="L86" s="0" t="inlineStr">
        <is>
          <t xml:space="preserve">CLP</t>
        </is>
      </c>
      <c r="M86" s="0" t="inlineStr">
        <is>
          <t xml:space="preserve">LP</t>
        </is>
      </c>
      <c r="N86" s="4" t="inlineStr">
        <is>
          <t xml:space="preserve">Tecnologías de la información, telecomunicaciones y radiodifusión / Software / Software de gestión</t>
        </is>
      </c>
      <c r="O86" s="4" t="inlineStr">
        <is>
          <t xml:space="preserve">1 Global · Paquetes de software para oficinas</t>
        </is>
      </c>
      <c r="P86" s="2"/>
      <c r="Q86" s="2"/>
      <c r="R86" s="0" t="inlineStr">
        <is>
          <t xml:space="preserve">24 meses</t>
        </is>
      </c>
      <c r="S86" s="0" t="inlineStr">
        <is>
          <t xml:space="preserve">No</t>
        </is>
      </c>
      <c r="T86" s="4"/>
      <c r="U86" s="0" t="inlineStr">
        <is>
          <t xml:space="preserve">ULISES AEDO VALDÉS</t>
        </is>
      </c>
      <c r="V8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6" s="5" t="str">
        <f>HYPERLINK("https://www.mercadopublico.cl/Procurement/Modules/RFB/DetailsAcquisition.aspx?idlicitacion=3902-39-LP26","descargar bases")</f>
      </c>
    </row>
    <row r="87">
      <c r="A87" s="0" t="inlineStr">
        <is>
          <t xml:space="preserve">2434-20-LP26</t>
        </is>
      </c>
      <c r="B87" s="4" t="inlineStr">
        <is>
          <t xml:space="preserve">SERV. PLATAFORMA INTEGRAL PARA GESTION MUNICIPAL</t>
        </is>
      </c>
      <c r="C87" s="0" t="inlineStr">
        <is>
          <t xml:space="preserve">Publicada</t>
        </is>
      </c>
      <c r="D87" s="0" t="inlineStr">
        <is>
          <t xml:space="preserve">I MUNICIPALIDAD ESTACION CENTRAL</t>
        </is>
      </c>
      <c r="E87" s="0" t="inlineStr">
        <is>
          <t xml:space="preserve">SECRETARIA COMUNAL DE PLANIFICACION</t>
        </is>
      </c>
      <c r="F87" s="0" t="inlineStr">
        <is>
          <t xml:space="preserve">Región Metropolitana de Santiago</t>
        </is>
      </c>
      <c r="G87" s="0" t="inlineStr">
        <is>
          <t xml:space="preserve">Estación Central</t>
        </is>
      </c>
      <c r="H87" s="2">
        <v>46261.839757</v>
      </c>
      <c r="I87" s="2">
        <v>46281.583333</v>
      </c>
      <c r="J87" s="0">
        <v>15</v>
      </c>
      <c r="K87" s="3">
        <v>204000000.0</v>
      </c>
      <c r="L87" s="0" t="inlineStr">
        <is>
          <t xml:space="preserve">CLP</t>
        </is>
      </c>
      <c r="M87" s="0" t="inlineStr">
        <is>
          <t xml:space="preserve">LP</t>
        </is>
      </c>
      <c r="N87" s="4" t="inlineStr">
        <is>
          <t xml:space="preserve">Tecnologías de la información, telecomunicaciones y radiodifusión / Software / Software para trabajo en redes</t>
        </is>
      </c>
      <c r="O87" s="4" t="inlineStr">
        <is>
          <t xml:space="preserve">1 Global · Software de interconectividad de plataformas</t>
        </is>
      </c>
      <c r="P87" s="2"/>
      <c r="Q87" s="2"/>
      <c r="R87" s="0" t="inlineStr">
        <is>
          <t xml:space="preserve">12 meses</t>
        </is>
      </c>
      <c r="S87" s="0" t="inlineStr">
        <is>
          <t xml:space="preserve">No</t>
        </is>
      </c>
      <c r="T87" s="4"/>
      <c r="U87" s="0" t="inlineStr">
        <is>
          <t xml:space="preserve">Iván Ahumada</t>
        </is>
      </c>
      <c r="V8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7" s="5" t="str">
        <f>HYPERLINK("https://www.mercadopublico.cl/Procurement/Modules/RFB/DetailsAcquisition.aspx?idlicitacion=2434-20-LP26","descargar bases")</f>
      </c>
    </row>
    <row r="88">
      <c r="A88" s="0" t="inlineStr">
        <is>
          <t xml:space="preserve">1020-46-LE26</t>
        </is>
      </c>
      <c r="B88" s="4" t="inlineStr">
        <is>
          <t xml:space="preserve">Adq. Sopor. y Actual. Software ServiceTonic MOP.</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46265.634387</v>
      </c>
      <c r="I88" s="2">
        <v>46281.625</v>
      </c>
      <c r="J88" s="0">
        <v>15</v>
      </c>
      <c r="K88" s="3">
        <v>22500000.0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50 Unidad · Software de gestión de licencias</t>
        </is>
      </c>
      <c r="P88" s="2"/>
      <c r="Q88" s="2"/>
      <c r="R88" s="0" t="inlineStr">
        <is>
          <t xml:space="preserve">12 meses</t>
        </is>
      </c>
      <c r="S88" s="0" t="inlineStr">
        <is>
          <t xml:space="preserve">No</t>
        </is>
      </c>
      <c r="T88" s="4" t="inlineStr">
        <is>
          <t xml:space="preserve">No permite subcontratación El oferente adjudicado, no podrá subcontratar los servicios derivados de la ejecución del Contrato.</t>
        </is>
      </c>
      <c r="U88" s="0" t="inlineStr">
        <is>
          <t xml:space="preserve">Carmen Gloria Ponce</t>
        </is>
      </c>
      <c r="V88" s="4" t="inlineStr">
        <is>
          <t xml:space="preserve">El objetivo de la Adquisición de Soporte y Actualizaciones Software ServiceTonic Licencias en modalidad On-Premise, usuarios nombrados, por 12 meses.</t>
        </is>
      </c>
      <c r="W88" s="5" t="str">
        <f>HYPERLINK("https://www.mercadopublico.cl/Procurement/Modules/RFB/DetailsAcquisition.aspx?idlicitacion=1020-46-LE26","descargar bases")</f>
      </c>
    </row>
    <row r="89">
      <c r="A89" s="0" t="inlineStr">
        <is>
          <t xml:space="preserve">1133353-43-LR26</t>
        </is>
      </c>
      <c r="B89" s="4" t="inlineStr">
        <is>
          <t xml:space="preserve">ARRIENDO DE SOFTWARE INTEGRAL PARA LA GESTIÓN MUNICIPAL ÁREAS DE SALUD Y MUNICIPAL COMUNA DE RAUCO</t>
        </is>
      </c>
      <c r="C89" s="0" t="inlineStr">
        <is>
          <t xml:space="preserve">Publicada</t>
        </is>
      </c>
      <c r="D89" s="0" t="inlineStr">
        <is>
          <t xml:space="preserve">I MUNICIPALIDAD DE RAUCO</t>
        </is>
      </c>
      <c r="E89" s="0" t="inlineStr">
        <is>
          <t xml:space="preserve">SECPLAC</t>
        </is>
      </c>
      <c r="F89" s="0" t="inlineStr">
        <is>
          <t xml:space="preserve">Región del Maule </t>
        </is>
      </c>
      <c r="G89" s="0"/>
      <c r="H89" s="2">
        <v>46251.511435</v>
      </c>
      <c r="I89" s="2">
        <v>46281.729167</v>
      </c>
      <c r="J89" s="0">
        <v>15</v>
      </c>
      <c r="K89" s="3">
        <v>388644480.0</v>
      </c>
      <c r="L89" s="0" t="inlineStr">
        <is>
          <t xml:space="preserve">CLP</t>
        </is>
      </c>
      <c r="M89" s="0" t="inlineStr">
        <is>
          <t xml:space="preserve">LR</t>
        </is>
      </c>
      <c r="N89" s="4" t="inlineStr">
        <is>
          <t xml:space="preserve">Tecnologías de la información, telecomunicaciones y radiodifusión / Software / Software de administración de redes</t>
        </is>
      </c>
      <c r="O89" s="4" t="inlineStr">
        <is>
          <t xml:space="preserve">1 Global · Software de administración</t>
        </is>
      </c>
      <c r="P89" s="2"/>
      <c r="Q89" s="2"/>
      <c r="R89" s="0" t="inlineStr">
        <is>
          <t xml:space="preserve">72 meses</t>
        </is>
      </c>
      <c r="S89" s="0" t="inlineStr">
        <is>
          <t xml:space="preserve">No</t>
        </is>
      </c>
      <c r="T89" s="4"/>
      <c r="U89" s="0" t="inlineStr">
        <is>
          <t xml:space="preserve">LUIS GALLARDO NARANJO</t>
        </is>
      </c>
      <c r="V89"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89" s="5" t="str">
        <f>HYPERLINK("https://www.mercadopublico.cl/Procurement/Modules/RFB/DetailsAcquisition.aspx?idlicitacion=1133353-43-LR26","descargar bases")</f>
      </c>
    </row>
    <row r="90">
      <c r="A90" s="0" t="inlineStr">
        <is>
          <t xml:space="preserve">2408-160-LP26</t>
        </is>
      </c>
      <c r="B90" s="4" t="inlineStr">
        <is>
          <t xml:space="preserve">EQUIPOS INFORMÁTICOS PARA DEPENDENCIAS MUNICIPALES</t>
        </is>
      </c>
      <c r="C90" s="0" t="inlineStr">
        <is>
          <t xml:space="preserve">Publicada</t>
        </is>
      </c>
      <c r="D90" s="0" t="inlineStr">
        <is>
          <t xml:space="preserve">I MUNICIPALIDAD DE LOS ANGELES</t>
        </is>
      </c>
      <c r="E90" s="0" t="inlineStr">
        <is>
          <t xml:space="preserve">IMUNI_LOSANGELES ADQUISICIONES</t>
        </is>
      </c>
      <c r="F90" s="0" t="inlineStr">
        <is>
          <t xml:space="preserve">Región del Biobío </t>
        </is>
      </c>
      <c r="G90" s="0" t="inlineStr">
        <is>
          <t xml:space="preserve">Los Angeles</t>
        </is>
      </c>
      <c r="H90" s="2">
        <v>46261.357963</v>
      </c>
      <c r="I90" s="2">
        <v>46282.375</v>
      </c>
      <c r="J90" s="0">
        <v>16</v>
      </c>
      <c r="K90" s="3">
        <v>80000000.0</v>
      </c>
      <c r="L90" s="0" t="inlineStr">
        <is>
          <t xml:space="preserve">CLP</t>
        </is>
      </c>
      <c r="M90" s="0" t="inlineStr">
        <is>
          <t xml:space="preserve">LP</t>
        </is>
      </c>
      <c r="N9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0" s="4" t="inlineStr">
        <is>
          <t xml:space="preserve">40 Unidad · Escáner · 70 Unidad · Impresoras de chorro de tinta · 3 Unidad · Trazadoras de gráficos · y 3 más</t>
        </is>
      </c>
      <c r="P90" s="2"/>
      <c r="Q90" s="2"/>
      <c r="R90" s="0"/>
      <c r="S90" s="0" t="inlineStr">
        <is>
          <t xml:space="preserve">No</t>
        </is>
      </c>
      <c r="T90" s="4" t="inlineStr">
        <is>
          <t xml:space="preserve">De acuerdo a lo señalado en la cláusula N°9.27 de las bases administrativas.</t>
        </is>
      </c>
      <c r="U90" s="0" t="inlineStr">
        <is>
          <t xml:space="preserve">María Pamela Vega Garcés</t>
        </is>
      </c>
      <c r="V90" s="4" t="inlineStr">
        <is>
          <t xml:space="preserve">Se requiere la adquisición de equipos informáticos para la municipalidad de los ángeles.</t>
        </is>
      </c>
      <c r="W90" s="5" t="str">
        <f>HYPERLINK("https://www.mercadopublico.cl/Procurement/Modules/RFB/DetailsAcquisition.aspx?idlicitacion=2408-160-LP26","descargar bases")</f>
      </c>
    </row>
    <row r="91">
      <c r="A91" s="0" t="inlineStr">
        <is>
          <t xml:space="preserve">1593-24-LP26</t>
        </is>
      </c>
      <c r="B91" s="4" t="inlineStr">
        <is>
          <t xml:space="preserve">Adquisición instalación plataforma almacenamiento</t>
        </is>
      </c>
      <c r="C91" s="0" t="inlineStr">
        <is>
          <t xml:space="preserve">Publicada</t>
        </is>
      </c>
      <c r="D91" s="0" t="inlineStr">
        <is>
          <t xml:space="preserve">SUPERINTENDENCIA DE SERVICIOS SANITARIOS</t>
        </is>
      </c>
      <c r="E91" s="0" t="inlineStr">
        <is>
          <t xml:space="preserve">Superintendencia de Servicios Sanitarios - SISS</t>
        </is>
      </c>
      <c r="F91" s="0" t="inlineStr">
        <is>
          <t xml:space="preserve">Región Metropolitana de Santiago</t>
        </is>
      </c>
      <c r="G91" s="0" t="inlineStr">
        <is>
          <t xml:space="preserve">Santiago</t>
        </is>
      </c>
      <c r="H91" s="2">
        <v>46262.944537</v>
      </c>
      <c r="I91" s="2">
        <v>46282.4375</v>
      </c>
      <c r="J91" s="0">
        <v>16</v>
      </c>
      <c r="K91" s="3">
        <v>177000000.0</v>
      </c>
      <c r="L91" s="0" t="inlineStr">
        <is>
          <t xml:space="preserve">CLP</t>
        </is>
      </c>
      <c r="M91" s="0" t="inlineStr">
        <is>
          <t xml:space="preserve">LP</t>
        </is>
      </c>
      <c r="N91" s="4" t="inlineStr">
        <is>
          <t xml:space="preserve">Servicios basados en ingeniería, ciencias sociales y tecnología de la información / Servicios informáticos / Administración de sistemas</t>
        </is>
      </c>
      <c r="O91" s="4" t="inlineStr">
        <is>
          <t xml:space="preserve">1 Unidad · Almacenamiento de datos</t>
        </is>
      </c>
      <c r="P91" s="2"/>
      <c r="Q91" s="2"/>
      <c r="R91" s="0" t="inlineStr">
        <is>
          <t xml:space="preserve">60 días</t>
        </is>
      </c>
      <c r="S91" s="0" t="inlineStr">
        <is>
          <t xml:space="preserve">No</t>
        </is>
      </c>
      <c r="T91" s="4"/>
      <c r="U91" s="0" t="inlineStr">
        <is>
          <t xml:space="preserve">Fernando Iriarte</t>
        </is>
      </c>
      <c r="V91"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1" s="5" t="str">
        <f>HYPERLINK("https://www.mercadopublico.cl/Procurement/Modules/RFB/DetailsAcquisition.aspx?idlicitacion=1593-24-LP26","descargar bases")</f>
      </c>
    </row>
    <row r="92">
      <c r="A92" s="0" t="inlineStr">
        <is>
          <t xml:space="preserve">2563-34-LR26</t>
        </is>
      </c>
      <c r="B92" s="4" t="inlineStr">
        <is>
          <t xml:space="preserve">EQUIPOS PARA REDES INFORMÁTICAS Y LICENCIAS</t>
        </is>
      </c>
      <c r="C92" s="0" t="inlineStr">
        <is>
          <t xml:space="preserve">Publicada</t>
        </is>
      </c>
      <c r="D92" s="0" t="inlineStr">
        <is>
          <t xml:space="preserve">DIRECCION GENERAL DE AERONAUTICA CIVIL</t>
        </is>
      </c>
      <c r="E92" s="0" t="inlineStr">
        <is>
          <t xml:space="preserve">UNIDAD DE COMPRA CONTRATOS NACIONALES</t>
        </is>
      </c>
      <c r="F92" s="0" t="inlineStr">
        <is>
          <t xml:space="preserve">Región Metropolitana de Santiago</t>
        </is>
      </c>
      <c r="G92" s="0" t="inlineStr">
        <is>
          <t xml:space="preserve">Providencia</t>
        </is>
      </c>
      <c r="H92" s="2">
        <v>46254.631817</v>
      </c>
      <c r="I92" s="2">
        <v>46286.625694</v>
      </c>
      <c r="J92" s="0">
        <v>20</v>
      </c>
      <c r="K92" s="3">
        <v>453590167.0</v>
      </c>
      <c r="L92" s="0" t="inlineStr">
        <is>
          <t xml:space="preserve">CLP</t>
        </is>
      </c>
      <c r="M92" s="0" t="inlineStr">
        <is>
          <t xml:space="preserve">LR</t>
        </is>
      </c>
      <c r="N92" s="4" t="inlineStr">
        <is>
          <t xml:space="preserve">Tecnologías de la información, telecomunicaciones y radiodifusión / Equipos informáticos y accesorios / Accesorios de computador</t>
        </is>
      </c>
      <c r="O92" s="4" t="inlineStr">
        <is>
          <t xml:space="preserve">10 Unidad · Cajas de conmutación de computadores · 11 Unidad · Cajas de conmutación de computadores · 1 Unidad · Cajas de conmutación de computadores · y 14 más</t>
        </is>
      </c>
      <c r="P92" s="2"/>
      <c r="Q92" s="2"/>
      <c r="R92" s="0"/>
      <c r="S92" s="0" t="inlineStr">
        <is>
          <t xml:space="preserve">No</t>
        </is>
      </c>
      <c r="T92" s="4"/>
      <c r="U92" s="0" t="inlineStr">
        <is>
          <t xml:space="preserve">Javier Pacheco Barahona</t>
        </is>
      </c>
      <c r="V9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2" s="5" t="str">
        <f>HYPERLINK("https://www.mercadopublico.cl/Procurement/Modules/RFB/DetailsAcquisition.aspx?idlicitacion=2563-34-LR26","descargar bases")</f>
      </c>
    </row>
    <row r="93">
      <c r="A93" s="0" t="inlineStr">
        <is>
          <t xml:space="preserve">1259850-4-LP26</t>
        </is>
      </c>
      <c r="B93" s="4" t="inlineStr">
        <is>
          <t xml:space="preserve">GORE COMPRA DE EQUIPOS INFORMATICOS</t>
        </is>
      </c>
      <c r="C93" s="0" t="inlineStr">
        <is>
          <t xml:space="preserve">Publicada</t>
        </is>
      </c>
      <c r="D93" s="0" t="inlineStr">
        <is>
          <t xml:space="preserve">DIRECCION GENERAL DE GENDARMERIA DE CHIL</t>
        </is>
      </c>
      <c r="E93" s="0" t="inlineStr">
        <is>
          <t xml:space="preserve">Compras GORE Arica y Parinacota</t>
        </is>
      </c>
      <c r="F93" s="0" t="inlineStr">
        <is>
          <t xml:space="preserve">Región de Arica y Parinacota</t>
        </is>
      </c>
      <c r="G93" s="0" t="inlineStr">
        <is>
          <t xml:space="preserve">Arica</t>
        </is>
      </c>
      <c r="H93" s="2">
        <v>46255.670162</v>
      </c>
      <c r="I93" s="2">
        <v>46286.645833</v>
      </c>
      <c r="J93" s="0">
        <v>20</v>
      </c>
      <c r="K93" s="3"/>
      <c r="L93" s="0" t="inlineStr">
        <is>
          <t xml:space="preserve">CLP</t>
        </is>
      </c>
      <c r="M93" s="0" t="inlineStr">
        <is>
          <t xml:space="preserve">LP</t>
        </is>
      </c>
      <c r="N9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3" s="4" t="inlineStr">
        <is>
          <t xml:space="preserve">66 Unidad · Computadores de escritorio · 15 Unidad · Impresoras multifunción o multifuncionales · 4 Unidad · Escáner</t>
        </is>
      </c>
      <c r="P93" s="2"/>
      <c r="Q93" s="2"/>
      <c r="R93" s="0"/>
      <c r="S93" s="0" t="inlineStr">
        <is>
          <t xml:space="preserve">No</t>
        </is>
      </c>
      <c r="T93" s="4"/>
      <c r="U93" s="0" t="inlineStr">
        <is>
          <t xml:space="preserve">ALEX MEDINA MEDINA</t>
        </is>
      </c>
      <c r="V93" s="4" t="inlineStr">
        <is>
          <t xml:space="preserve">GOBIERNO REGIONAL ADQUISICION DE COMPUTADORES IMPRESORAS Y ESCANER PROYECTO REPOSICION E INCORPORACION DE EQUIPOS INFORMATICOS DE ALTA SEGURIDAD PARA RECINTOS PENITENCIARIOS.</t>
        </is>
      </c>
      <c r="W93" s="5" t="str">
        <f>HYPERLINK("https://www.mercadopublico.cl/Procurement/Modules/RFB/DetailsAcquisition.aspx?idlicitacion=1259850-4-LP26","descargar bases")</f>
      </c>
    </row>
    <row r="94">
      <c r="A94" s="0" t="inlineStr">
        <is>
          <t xml:space="preserve">2069-141-LR26</t>
        </is>
      </c>
      <c r="B94" s="4" t="inlineStr">
        <is>
          <t xml:space="preserve">CGM ADQ. TORRE DE ENDOSCOPIA DIGESTIVA CON IA</t>
        </is>
      </c>
      <c r="C94" s="0" t="inlineStr">
        <is>
          <t xml:space="preserve">Publicada</t>
        </is>
      </c>
      <c r="D94" s="0" t="inlineStr">
        <is>
          <t xml:space="preserve">SERVICIO DE SALUD METROPOLITANO SUR HOSP</t>
        </is>
      </c>
      <c r="E94" s="0" t="inlineStr">
        <is>
          <t xml:space="preserve">HOSPITAL BARROS LUCO TRUDEAU</t>
        </is>
      </c>
      <c r="F94" s="0" t="inlineStr">
        <is>
          <t xml:space="preserve">Región Metropolitana de Santiago</t>
        </is>
      </c>
      <c r="G94" s="0" t="inlineStr">
        <is>
          <t xml:space="preserve">San Miguel</t>
        </is>
      </c>
      <c r="H94" s="2">
        <v>46252.66316</v>
      </c>
      <c r="I94" s="2">
        <v>46286.666667</v>
      </c>
      <c r="J94" s="0">
        <v>20</v>
      </c>
      <c r="K94" s="3"/>
      <c r="L94" s="0" t="inlineStr">
        <is>
          <t xml:space="preserve">CLP</t>
        </is>
      </c>
      <c r="M94" s="0" t="inlineStr">
        <is>
          <t xml:space="preserve">LR</t>
        </is>
      </c>
      <c r="N94" s="4" t="inlineStr">
        <is>
          <t xml:space="preserve">Equipamiento y suministros médicos / Productos quirúrgicos / Equipo endoscópico, accesorios y productos relacionados</t>
        </is>
      </c>
      <c r="O94" s="4" t="inlineStr">
        <is>
          <t xml:space="preserve">2 Unidad · Equipo endoscópico o carritos de procedimiento o accesorios</t>
        </is>
      </c>
      <c r="P94" s="2"/>
      <c r="Q94" s="2"/>
      <c r="R94" s="0"/>
      <c r="S94" s="0" t="inlineStr">
        <is>
          <t xml:space="preserve">No</t>
        </is>
      </c>
      <c r="T94" s="4" t="inlineStr">
        <is>
          <t xml:space="preserve">Véase numeral 16 Subcontratación</t>
        </is>
      </c>
      <c r="U94" s="0" t="inlineStr">
        <is>
          <t xml:space="preserve">Jefa de unidad de adquisiciones de mantención y se</t>
        </is>
      </c>
      <c r="V94"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4" s="5" t="str">
        <f>HYPERLINK("https://www.mercadopublico.cl/Procurement/Modules/RFB/DetailsAcquisition.aspx?idlicitacion=2069-141-LR26","descargar bases")</f>
      </c>
    </row>
    <row r="95">
      <c r="A95" s="0" t="inlineStr">
        <is>
          <t xml:space="preserve">5531-4-B226</t>
        </is>
      </c>
      <c r="B95" s="4" t="inlineStr">
        <is>
          <t xml:space="preserve">Servicios de publicidad digital para el DII</t>
        </is>
      </c>
      <c r="C95" s="0" t="inlineStr">
        <is>
          <t xml:space="preserve">Publicada</t>
        </is>
      </c>
      <c r="D95" s="0" t="inlineStr">
        <is>
          <t xml:space="preserve">UNIVERSIDAD DE CHILE</t>
        </is>
      </c>
      <c r="E95" s="0" t="inlineStr">
        <is>
          <t xml:space="preserve">FCFM Departamento de Ingeniería Industrial</t>
        </is>
      </c>
      <c r="F95" s="0" t="inlineStr">
        <is>
          <t xml:space="preserve">Región Metropolitana de Santiago</t>
        </is>
      </c>
      <c r="G95" s="0" t="inlineStr">
        <is>
          <t xml:space="preserve">San Joaquín</t>
        </is>
      </c>
      <c r="H95" s="2">
        <v>46265.698692</v>
      </c>
      <c r="I95" s="2">
        <v>46286.666667</v>
      </c>
      <c r="J95" s="0">
        <v>20</v>
      </c>
      <c r="K95" s="3"/>
      <c r="L95" s="0" t="inlineStr">
        <is>
          <t xml:space="preserve">CLP</t>
        </is>
      </c>
      <c r="M95" s="0" t="inlineStr">
        <is>
          <t xml:space="preserve">B2</t>
        </is>
      </c>
      <c r="N95" s="4" t="inlineStr">
        <is>
          <t xml:space="preserve">Servicios editoriales, de diseño, publicidad, gráficos y artistas / Publicidad / Agencias de publicidad</t>
        </is>
      </c>
      <c r="O95" s="4" t="inlineStr">
        <is>
          <t xml:space="preserve">1 Unidad · Campañas publicitarias</t>
        </is>
      </c>
      <c r="P95" s="2"/>
      <c r="Q95" s="2"/>
      <c r="R95" s="0" t="inlineStr">
        <is>
          <t xml:space="preserve">36 meses</t>
        </is>
      </c>
      <c r="S95" s="0" t="inlineStr">
        <is>
          <t xml:space="preserve">No</t>
        </is>
      </c>
      <c r="T95" s="4" t="inlineStr">
        <is>
          <t xml:space="preserve">ver bases administrativas numeral 29 Subcontratación</t>
        </is>
      </c>
      <c r="U95" s="0" t="inlineStr">
        <is>
          <t xml:space="preserve">Karina Pérez</t>
        </is>
      </c>
      <c r="V95"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95" s="5" t="str">
        <f>HYPERLINK("https://www.mercadopublico.cl/Procurement/Modules/RFB/DetailsAcquisition.aspx?idlicitacion=5531-4-B226","descargar bases")</f>
      </c>
    </row>
    <row r="96">
      <c r="A96" s="0" t="inlineStr">
        <is>
          <t xml:space="preserve">1562-49-LR26</t>
        </is>
      </c>
      <c r="B96" s="4" t="inlineStr">
        <is>
          <t xml:space="preserve">Sistema de monitoreo integral de ciberseguridad</t>
        </is>
      </c>
      <c r="C96" s="0" t="inlineStr">
        <is>
          <t xml:space="preserve">Publicada</t>
        </is>
      </c>
      <c r="D96" s="0" t="inlineStr">
        <is>
          <t xml:space="preserve">SERVICIO NACIONAL DE GEOLOGIA Y MINERIA</t>
        </is>
      </c>
      <c r="E96" s="0" t="inlineStr">
        <is>
          <t xml:space="preserve">Servicio Nacional de Geología y Minería</t>
        </is>
      </c>
      <c r="F96" s="0" t="inlineStr">
        <is>
          <t xml:space="preserve">Región Metropolitana de Santiago</t>
        </is>
      </c>
      <c r="G96" s="0" t="inlineStr">
        <is>
          <t xml:space="preserve">Providencia</t>
        </is>
      </c>
      <c r="H96" s="2">
        <v>46254.764514</v>
      </c>
      <c r="I96" s="2">
        <v>46287.625</v>
      </c>
      <c r="J96" s="0">
        <v>21</v>
      </c>
      <c r="K96" s="3">
        <v>366678654.0</v>
      </c>
      <c r="L96" s="0" t="inlineStr">
        <is>
          <t xml:space="preserve">CLP</t>
        </is>
      </c>
      <c r="M96" s="0" t="inlineStr">
        <is>
          <t xml:space="preserve">LR</t>
        </is>
      </c>
      <c r="N96" s="4" t="inlineStr">
        <is>
          <t xml:space="preserve">Tecnologías de la información, telecomunicaciones y radiodifusión / Equipos, plataformas y accesorios de redes multimedia, voz y datos / Equipos de seguridad de red</t>
        </is>
      </c>
      <c r="O96" s="4" t="inlineStr">
        <is>
          <t xml:space="preserve">1 Unidad · Equipo de seguridad de evaluación de vulnerabilidad</t>
        </is>
      </c>
      <c r="P96" s="2"/>
      <c r="Q96" s="2"/>
      <c r="R96" s="0" t="inlineStr">
        <is>
          <t xml:space="preserve">12 meses</t>
        </is>
      </c>
      <c r="S96" s="0" t="inlineStr">
        <is>
          <t xml:space="preserve">No</t>
        </is>
      </c>
      <c r="T96" s="4"/>
      <c r="U96" s="0" t="inlineStr">
        <is>
          <t xml:space="preserve">Gonzalo Palet</t>
        </is>
      </c>
      <c r="V9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96" s="5" t="str">
        <f>HYPERLINK("https://www.mercadopublico.cl/Procurement/Modules/RFB/DetailsAcquisition.aspx?idlicitacion=1562-49-LR26","descargar bases")</f>
      </c>
    </row>
    <row r="97">
      <c r="A97" s="0" t="inlineStr">
        <is>
          <t xml:space="preserve">586-52-LP26</t>
        </is>
      </c>
      <c r="B97" s="4" t="inlineStr">
        <is>
          <t xml:space="preserve">Adquisición de licencias de software Redhat</t>
        </is>
      </c>
      <c r="C97" s="0" t="inlineStr">
        <is>
          <t xml:space="preserve">Publicada</t>
        </is>
      </c>
      <c r="D97" s="0" t="inlineStr">
        <is>
          <t xml:space="preserve">SERVICIO NACIONAL DE ADUANAS</t>
        </is>
      </c>
      <c r="E97" s="0" t="inlineStr">
        <is>
          <t xml:space="preserve">Dirección Nacional de Aduanas</t>
        </is>
      </c>
      <c r="F97" s="0" t="inlineStr">
        <is>
          <t xml:space="preserve">Región de Valparaíso </t>
        </is>
      </c>
      <c r="G97" s="0" t="inlineStr">
        <is>
          <t xml:space="preserve">Valparaíso</t>
        </is>
      </c>
      <c r="H97" s="2">
        <v>46261.817222</v>
      </c>
      <c r="I97" s="2">
        <v>46287.625</v>
      </c>
      <c r="J97" s="0">
        <v>21</v>
      </c>
      <c r="K97" s="3"/>
      <c r="L97" s="0" t="inlineStr">
        <is>
          <t xml:space="preserve">USD</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12 meses</t>
        </is>
      </c>
      <c r="S97" s="0" t="inlineStr">
        <is>
          <t xml:space="preserve">No</t>
        </is>
      </c>
      <c r="T97" s="4" t="inlineStr">
        <is>
          <t xml:space="preserve">Conforme a numeral VII.1 de las Bases Administrativas</t>
        </is>
      </c>
      <c r="U97" s="0" t="inlineStr">
        <is>
          <t xml:space="preserve">Marcelo Reyes</t>
        </is>
      </c>
      <c r="V97" s="4" t="inlineStr">
        <is>
          <t xml:space="preserve">Adquisición de suscripciones de licencias de software Redhat, conforme a bases de licitación</t>
        </is>
      </c>
      <c r="W97" s="5" t="str">
        <f>HYPERLINK("https://www.mercadopublico.cl/Procurement/Modules/RFB/DetailsAcquisition.aspx?idlicitacion=586-52-LP26","descargar bases")</f>
      </c>
    </row>
    <row r="98">
      <c r="A98" s="0" t="inlineStr">
        <is>
          <t xml:space="preserve">3084-31-LE26</t>
        </is>
      </c>
      <c r="B98" s="4" t="inlineStr">
        <is>
          <t xml:space="preserve">SERVICIO REPARACIÓN DE OFICINAS PARA LA DIRECCIÓN DE TELECOMUNICACIONES E INFORMÁTICA DE LA ARMADA.</t>
        </is>
      </c>
      <c r="C98" s="0" t="inlineStr">
        <is>
          <t xml:space="preserve">Publicada</t>
        </is>
      </c>
      <c r="D98" s="0" t="inlineStr">
        <is>
          <t xml:space="preserve">DIRECCION DE ABASTECIMIENTO DE LA ARMADA</t>
        </is>
      </c>
      <c r="E98" s="0" t="inlineStr">
        <is>
          <t xml:space="preserve">Dirección de Telecomunicaciones e Informática de la Armada</t>
        </is>
      </c>
      <c r="F98" s="0" t="inlineStr">
        <is>
          <t xml:space="preserve">Región de Valparaíso </t>
        </is>
      </c>
      <c r="G98" s="0"/>
      <c r="H98" s="2">
        <v>46262.346319</v>
      </c>
      <c r="I98" s="2">
        <v>46287.625694</v>
      </c>
      <c r="J98" s="0">
        <v>21</v>
      </c>
      <c r="K98" s="3">
        <v>10000000.0</v>
      </c>
      <c r="L98" s="0" t="inlineStr">
        <is>
          <t xml:space="preserve">CLP</t>
        </is>
      </c>
      <c r="M98" s="0" t="inlineStr">
        <is>
          <t xml:space="preserve">LE</t>
        </is>
      </c>
      <c r="N98" s="4" t="inlineStr">
        <is>
          <t xml:space="preserve">Servicios profesionales, administrativos y consultorías de gestión empresarial / Servicios de recursos humanos / Servicios de personal temporal</t>
        </is>
      </c>
      <c r="O98" s="4" t="inlineStr">
        <is>
          <t xml:space="preserve">1 Unidad · Mano de obra temporal</t>
        </is>
      </c>
      <c r="P98" s="2"/>
      <c r="Q98" s="2"/>
      <c r="R98" s="0"/>
      <c r="S98" s="0" t="inlineStr">
        <is>
          <t xml:space="preserve">No</t>
        </is>
      </c>
      <c r="T9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98" s="0" t="inlineStr">
        <is>
          <t xml:space="preserve">Karen Arellano</t>
        </is>
      </c>
      <c r="V98" s="4" t="inlineStr">
        <is>
          <t xml:space="preserve">SERVICIO REPARACIÓN DE OFICINAS PARA LA DIRECCIÓN DE TELECOMUNICACIONES E INFORMÁTICA DE LA ARMADA.</t>
        </is>
      </c>
      <c r="W98" s="5" t="str">
        <f>HYPERLINK("https://www.mercadopublico.cl/Procurement/Modules/RFB/DetailsAcquisition.aspx?idlicitacion=3084-31-LE26","descargar bases")</f>
      </c>
    </row>
    <row r="99">
      <c r="A99" s="0" t="inlineStr">
        <is>
          <t xml:space="preserve">837-101-LP26</t>
        </is>
      </c>
      <c r="B99" s="4" t="inlineStr">
        <is>
          <t xml:space="preserve">CDP 477 SERVICIO DE OPERACIÓN SISTEMA DE CONTROL CENTRALIZADO BMS Y SISTEMA DE TELEVIGILANCIA SOFTWARE HIKCENTRAL PROFESSIONAL DE EDIFICIO INSTITUCIONAL SML SANTIAGO</t>
        </is>
      </c>
      <c r="C99" s="0" t="inlineStr">
        <is>
          <t xml:space="preserve">Publicada</t>
        </is>
      </c>
      <c r="D99" s="0" t="inlineStr">
        <is>
          <t xml:space="preserve">SERVICIO MEDICO LEGAL</t>
        </is>
      </c>
      <c r="E99" s="0" t="inlineStr">
        <is>
          <t xml:space="preserve">SERVICIO MEDICO LEGAL</t>
        </is>
      </c>
      <c r="F99" s="0" t="inlineStr">
        <is>
          <t xml:space="preserve">Región Metropolitana de Santiago</t>
        </is>
      </c>
      <c r="G99" s="0"/>
      <c r="H99" s="2">
        <v>46265.419491</v>
      </c>
      <c r="I99" s="2">
        <v>46287.645833</v>
      </c>
      <c r="J99" s="0">
        <v>21</v>
      </c>
      <c r="K99" s="3">
        <v>346885000.0</v>
      </c>
      <c r="L99" s="0" t="inlineStr">
        <is>
          <t xml:space="preserve">CLP</t>
        </is>
      </c>
      <c r="M99" s="0" t="inlineStr">
        <is>
          <t xml:space="preserve">LP</t>
        </is>
      </c>
      <c r="N99"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9" s="4" t="inlineStr">
        <is>
          <t xml:space="preserve">12 Mes · Software de administración · 12 Mes · Sistemas de control de acceso o de seguridad</t>
        </is>
      </c>
      <c r="P99" s="2"/>
      <c r="Q99" s="2"/>
      <c r="R99" s="0" t="inlineStr">
        <is>
          <t xml:space="preserve">12 meses</t>
        </is>
      </c>
      <c r="S99" s="0" t="inlineStr">
        <is>
          <t xml:space="preserve">No</t>
        </is>
      </c>
      <c r="T99" s="4"/>
      <c r="U99" s="0" t="inlineStr">
        <is>
          <t xml:space="preserve">Vicente Muñoz, profesional DLI</t>
        </is>
      </c>
      <c r="V99"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9" s="5" t="str">
        <f>HYPERLINK("https://www.mercadopublico.cl/Procurement/Modules/RFB/DetailsAcquisition.aspx?idlicitacion=837-101-LP26","descargar bases")</f>
      </c>
    </row>
    <row r="100">
      <c r="A100" s="0" t="inlineStr">
        <is>
          <t xml:space="preserve">2200-23-LR26</t>
        </is>
      </c>
      <c r="B100" s="4" t="inlineStr">
        <is>
          <t xml:space="preserve">SERVICIO DE ARRIENDO DE SOFTWARE DE REGISTRO CLÍNICO ELECTRÓNICO RCE ATENCIÓN PRIMARIA - TIC</t>
        </is>
      </c>
      <c r="C100" s="0" t="inlineStr">
        <is>
          <t xml:space="preserve">Publicada</t>
        </is>
      </c>
      <c r="D100" s="0" t="inlineStr">
        <is>
          <t xml:space="preserve">SERVICIO DE SALUD ACONCAGUA</t>
        </is>
      </c>
      <c r="E100" s="0" t="inlineStr">
        <is>
          <t xml:space="preserve">Servicio de Salud Aconcagua</t>
        </is>
      </c>
      <c r="F100" s="0" t="inlineStr">
        <is>
          <t xml:space="preserve">Región de Valparaíso </t>
        </is>
      </c>
      <c r="G100" s="0" t="inlineStr">
        <is>
          <t xml:space="preserve">San Felipe</t>
        </is>
      </c>
      <c r="H100" s="2">
        <v>46259.424259</v>
      </c>
      <c r="I100" s="2">
        <v>46289.625</v>
      </c>
      <c r="J100" s="0">
        <v>23</v>
      </c>
      <c r="K100" s="3"/>
      <c r="L100" s="0" t="inlineStr">
        <is>
          <t xml:space="preserve">CLP</t>
        </is>
      </c>
      <c r="M100" s="0" t="inlineStr">
        <is>
          <t xml:space="preserve">LR</t>
        </is>
      </c>
      <c r="N100" s="4" t="inlineStr">
        <is>
          <t xml:space="preserve">Servicios profesionales, administrativos y consultorías de gestión empresarial / Servicios de recursos humanos / Contratación de personal</t>
        </is>
      </c>
      <c r="O100" s="4" t="inlineStr">
        <is>
          <t xml:space="preserve">1700 Unidad · Desarrolladores de software</t>
        </is>
      </c>
      <c r="P100" s="2"/>
      <c r="Q100" s="2"/>
      <c r="R100" s="0" t="inlineStr">
        <is>
          <t xml:space="preserve">18 meses</t>
        </is>
      </c>
      <c r="S100" s="0" t="inlineStr">
        <is>
          <t xml:space="preserve">No</t>
        </is>
      </c>
      <c r="T100" s="4"/>
      <c r="U100" s="0" t="inlineStr">
        <is>
          <t xml:space="preserve">MASIEL BALBOA GONZALEZ</t>
        </is>
      </c>
      <c r="V10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0" s="5" t="str">
        <f>HYPERLINK("https://www.mercadopublico.cl/Procurement/Modules/RFB/DetailsAcquisition.aspx?idlicitacion=2200-23-LR26","descargar bases")</f>
      </c>
    </row>
    <row r="101">
      <c r="A101" s="0" t="inlineStr">
        <is>
          <t xml:space="preserve">1973-93-LR26</t>
        </is>
      </c>
      <c r="B101" s="4" t="inlineStr">
        <is>
          <t xml:space="preserve">SISTEMA DE INFORMACIÓN DE GESTIÓN ADMINISTRATIVA Y FARMACIA</t>
        </is>
      </c>
      <c r="C101" s="0" t="inlineStr">
        <is>
          <t xml:space="preserve">Publicada</t>
        </is>
      </c>
      <c r="D101" s="0" t="inlineStr">
        <is>
          <t xml:space="preserve">CENTRO DE REFERENCIA DE SALUD DE PENALOLEN CORDILLERA ORIENTE</t>
        </is>
      </c>
      <c r="E101" s="0" t="inlineStr">
        <is>
          <t xml:space="preserve">CRS de Peñalolen Cordillera Oriente</t>
        </is>
      </c>
      <c r="F101" s="0" t="inlineStr">
        <is>
          <t xml:space="preserve">Región Metropolitana de Santiago</t>
        </is>
      </c>
      <c r="G101" s="0" t="inlineStr">
        <is>
          <t xml:space="preserve">Peñalolén</t>
        </is>
      </c>
      <c r="H101" s="2">
        <v>46259.456759</v>
      </c>
      <c r="I101" s="2">
        <v>46289.729167</v>
      </c>
      <c r="J101" s="0">
        <v>23</v>
      </c>
      <c r="K101" s="3">
        <v>414000000.0</v>
      </c>
      <c r="L101" s="0" t="inlineStr">
        <is>
          <t xml:space="preserve">CLP</t>
        </is>
      </c>
      <c r="M101" s="0" t="inlineStr">
        <is>
          <t xml:space="preserve">LR</t>
        </is>
      </c>
      <c r="N101" s="4" t="inlineStr">
        <is>
          <t xml:space="preserve">Tecnologías de la información, telecomunicaciones y radiodifusión / Software / Software de planificación de recursos empresariales (ERP) y contabilidad financiera</t>
        </is>
      </c>
      <c r="O101" s="4" t="inlineStr">
        <is>
          <t xml:space="preserve">1 Global · Software de planificación de recursos empresariales (ERP)</t>
        </is>
      </c>
      <c r="P101" s="2"/>
      <c r="Q101" s="2"/>
      <c r="R101" s="0" t="inlineStr">
        <is>
          <t xml:space="preserve">60 meses</t>
        </is>
      </c>
      <c r="S101" s="0" t="inlineStr">
        <is>
          <t xml:space="preserve">No</t>
        </is>
      </c>
      <c r="T101" s="4"/>
      <c r="U101" s="0" t="inlineStr">
        <is>
          <t xml:space="preserve">JEFE TICS</t>
        </is>
      </c>
      <c r="V101"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1" s="5" t="str">
        <f>HYPERLINK("https://www.mercadopublico.cl/Procurement/Modules/RFB/DetailsAcquisition.aspx?idlicitacion=1973-93-LR26","descargar bases")</f>
      </c>
    </row>
    <row r="102">
      <c r="A102" s="0" t="inlineStr">
        <is>
          <t xml:space="preserve">2239-2-LR26</t>
        </is>
      </c>
      <c r="B102" s="4" t="inlineStr">
        <is>
          <t xml:space="preserve">Convenio Marco Desarrollo de software</t>
        </is>
      </c>
      <c r="C102" s="0" t="inlineStr">
        <is>
          <t xml:space="preserve">Publicada</t>
        </is>
      </c>
      <c r="D102" s="0" t="inlineStr">
        <is>
          <t xml:space="preserve">DIRECCION DE COMPRAS Y CONTRATACION PUBLICA</t>
        </is>
      </c>
      <c r="E102" s="0" t="inlineStr">
        <is>
          <t xml:space="preserve">División de Convenio Marco</t>
        </is>
      </c>
      <c r="F102" s="0" t="inlineStr">
        <is>
          <t xml:space="preserve">Región Metropolitana de Santiago</t>
        </is>
      </c>
      <c r="G102" s="0" t="inlineStr">
        <is>
          <t xml:space="preserve">Santiago</t>
        </is>
      </c>
      <c r="H102" s="2">
        <v>46217.7375</v>
      </c>
      <c r="I102" s="2">
        <v>46290.625</v>
      </c>
      <c r="J102" s="0">
        <v>24</v>
      </c>
      <c r="K102" s="3"/>
      <c r="L102" s="0" t="inlineStr">
        <is>
          <t xml:space="preserve">UTM</t>
        </is>
      </c>
      <c r="M102" s="0" t="inlineStr">
        <is>
          <t xml:space="preserve">LR</t>
        </is>
      </c>
      <c r="N102" s="4" t="inlineStr">
        <is>
          <t xml:space="preserve">Servicios profesionales, administrativos y consultorías de gestión empresarial / Servicios de recursos humanos / Contratación de personal</t>
        </is>
      </c>
      <c r="O102" s="4" t="inlineStr">
        <is>
          <t xml:space="preserve">1 Unidad · Desarrolladores de software</t>
        </is>
      </c>
      <c r="P102" s="2"/>
      <c r="Q102" s="2"/>
      <c r="R102" s="0"/>
      <c r="S102" s="0" t="inlineStr">
        <is>
          <t xml:space="preserve">No</t>
        </is>
      </c>
      <c r="T10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2" s="0" t="inlineStr">
        <is>
          <t xml:space="preserve">Convenio Marco</t>
        </is>
      </c>
      <c r="V102" s="4" t="inlineStr">
        <is>
          <t xml:space="preserve">Convenio Marco para la adquisición de los Servicios de Desarrollo y Mantención de Software, Servicios Profesionales TI y Cloud Computing</t>
        </is>
      </c>
      <c r="W102" s="5" t="str">
        <f>HYPERLINK("https://www.mercadopublico.cl/Procurement/Modules/RFB/DetailsAcquisition.aspx?idlicitacion=2239-2-LR26","descargar bases")</f>
      </c>
    </row>
    <row r="103">
      <c r="A103" s="0" t="inlineStr">
        <is>
          <t xml:space="preserve">1607-13-LR26</t>
        </is>
      </c>
      <c r="B103" s="4" t="inlineStr">
        <is>
          <t xml:space="preserve">servicio SD-WAN LAN telefonía en la nube y enlaces</t>
        </is>
      </c>
      <c r="C103" s="0" t="inlineStr">
        <is>
          <t xml:space="preserve">Publicada</t>
        </is>
      </c>
      <c r="D103" s="0" t="inlineStr">
        <is>
          <t xml:space="preserve">SUPERINTENDENCIA DE SEGURIDAD SOCIAL</t>
        </is>
      </c>
      <c r="E103" s="0" t="inlineStr">
        <is>
          <t xml:space="preserve">Superintendencia de Seguridad Social</t>
        </is>
      </c>
      <c r="F103" s="0" t="inlineStr">
        <is>
          <t xml:space="preserve">Región Metropolitana de Santiago</t>
        </is>
      </c>
      <c r="G103" s="0" t="inlineStr">
        <is>
          <t xml:space="preserve">Santiago Centro</t>
        </is>
      </c>
      <c r="H103" s="2">
        <v>46262.635741</v>
      </c>
      <c r="I103" s="2">
        <v>46293.645833</v>
      </c>
      <c r="J103" s="0">
        <v>27</v>
      </c>
      <c r="K103" s="3">
        <v>450000000.0</v>
      </c>
      <c r="L103" s="0" t="inlineStr">
        <is>
          <t xml:space="preserve">CLP</t>
        </is>
      </c>
      <c r="M103" s="0" t="inlineStr">
        <is>
          <t xml:space="preserve">LR</t>
        </is>
      </c>
      <c r="N103" s="4" t="inlineStr">
        <is>
          <t xml:space="preserve">Servicios basados en ingeniería, ciencias sociales y tecnología de la información / Servicios informáticos / Sistemas de información</t>
        </is>
      </c>
      <c r="O103" s="4" t="inlineStr">
        <is>
          <t xml:space="preserve">1 Unidad · Diseño de redes de comunicación de cobertura amplia (WAN)</t>
        </is>
      </c>
      <c r="P103" s="2"/>
      <c r="Q103" s="2"/>
      <c r="R103" s="0"/>
      <c r="S103" s="0" t="inlineStr">
        <is>
          <t xml:space="preserve">No</t>
        </is>
      </c>
      <c r="T103"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3" s="0" t="inlineStr">
        <is>
          <t xml:space="preserve">Henry Gonzalez</t>
        </is>
      </c>
      <c r="V103"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3" s="5" t="str">
        <f>HYPERLINK("https://www.mercadopublico.cl/Procurement/Modules/RFB/DetailsAcquisition.aspx?idlicitacion=1607-13-LR26","descargar bases")</f>
      </c>
    </row>
    <row r="104">
      <c r="A104" s="0" t="inlineStr">
        <is>
          <t xml:space="preserve">1274285-45-LP26</t>
        </is>
      </c>
      <c r="B104" s="4" t="inlineStr">
        <is>
          <t xml:space="preserve">Software de gestión Droguería Comunal</t>
        </is>
      </c>
      <c r="C104" s="0" t="inlineStr">
        <is>
          <t xml:space="preserve">Publicada</t>
        </is>
      </c>
      <c r="D104" s="0" t="inlineStr">
        <is>
          <t xml:space="preserve">CORPORACION MUNICIPAL DE EDUCACION Y SALUD DE SAN BERNARDO</t>
        </is>
      </c>
      <c r="E104" s="0" t="inlineStr">
        <is>
          <t xml:space="preserve">SALUD</t>
        </is>
      </c>
      <c r="F104" s="0" t="inlineStr">
        <is>
          <t xml:space="preserve">Región Metropolitana de Santiago</t>
        </is>
      </c>
      <c r="G104" s="0"/>
      <c r="H104" s="2">
        <v>46265.493137</v>
      </c>
      <c r="I104" s="2">
        <v>46293.75</v>
      </c>
      <c r="J104" s="0">
        <v>27</v>
      </c>
      <c r="K104" s="3"/>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Unidad · Software de cadena de suministro y logística de planificación de requisitos de materiales</t>
        </is>
      </c>
      <c r="P104" s="2"/>
      <c r="Q104" s="2"/>
      <c r="R104" s="0" t="inlineStr">
        <is>
          <t xml:space="preserve">36 meses</t>
        </is>
      </c>
      <c r="S104" s="0" t="inlineStr">
        <is>
          <t xml:space="preserve">No</t>
        </is>
      </c>
      <c r="T104" s="4"/>
      <c r="U104" s="0" t="inlineStr">
        <is>
          <t xml:space="preserve">Erwin Rodriguez Basulto</t>
        </is>
      </c>
      <c r="V104"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4" s="5" t="str">
        <f>HYPERLINK("https://www.mercadopublico.cl/Procurement/Modules/RFB/DetailsAcquisition.aspx?idlicitacion=1274285-45-LP26","descargar bases")</f>
      </c>
    </row>
    <row r="105">
      <c r="A105" s="0" t="inlineStr">
        <is>
          <t xml:space="preserve">548874-72-LR26</t>
        </is>
      </c>
      <c r="B105" s="4" t="inlineStr">
        <is>
          <t xml:space="preserve">SERV. DE ADMINISTRACION PLATAFORMAS TECNOLOGICAS</t>
        </is>
      </c>
      <c r="C105" s="0" t="inlineStr">
        <is>
          <t xml:space="preserve">Publicada</t>
        </is>
      </c>
      <c r="D105" s="0" t="inlineStr">
        <is>
          <t xml:space="preserve">INSTITUTO DE PREVISION SOCIAL</t>
        </is>
      </c>
      <c r="E105" s="0" t="inlineStr">
        <is>
          <t xml:space="preserve">IPS Oficina Central de Compras</t>
        </is>
      </c>
      <c r="F105" s="0" t="inlineStr">
        <is>
          <t xml:space="preserve">Región Metropolitana de Santiago</t>
        </is>
      </c>
      <c r="G105" s="0" t="inlineStr">
        <is>
          <t xml:space="preserve">Santiago</t>
        </is>
      </c>
      <c r="H105" s="2">
        <v>46258.545255</v>
      </c>
      <c r="I105" s="2">
        <v>46295.625</v>
      </c>
      <c r="J105" s="0">
        <v>29</v>
      </c>
      <c r="K105" s="3">
        <v>24000.0</v>
      </c>
      <c r="L105" s="0" t="inlineStr">
        <is>
          <t xml:space="preserve">CLF</t>
        </is>
      </c>
      <c r="M105" s="0" t="inlineStr">
        <is>
          <t xml:space="preserve">LR</t>
        </is>
      </c>
      <c r="N105" s="4" t="inlineStr">
        <is>
          <t xml:space="preserve">Tecnologías de la información, telecomunicaciones y radiodifusión / Software / Software de consultas y gestión de datos</t>
        </is>
      </c>
      <c r="O105" s="4" t="inlineStr">
        <is>
          <t xml:space="preserve">1 Global · Software del sistema de administración de bases de datos</t>
        </is>
      </c>
      <c r="P105" s="2"/>
      <c r="Q105" s="2"/>
      <c r="R105" s="0" t="inlineStr">
        <is>
          <t xml:space="preserve">12 meses</t>
        </is>
      </c>
      <c r="S105" s="0" t="inlineStr">
        <is>
          <t xml:space="preserve">No</t>
        </is>
      </c>
      <c r="T105" s="4" t="inlineStr">
        <is>
          <t xml:space="preserve">Ver bases administrativas punto 16.</t>
        </is>
      </c>
      <c r="U105" s="0" t="inlineStr">
        <is>
          <t xml:space="preserve">Por Definir</t>
        </is>
      </c>
      <c r="V105" s="4" t="inlineStr">
        <is>
          <t xml:space="preserve">SERVICIO DE ADMINISTRACION, GESTION, CONFIGURACION, RESPALDOS Y
MANTENCION DE LAS PLATAFORMAS TECNOLOGICAS DE IPS– E1O2RT8</t>
        </is>
      </c>
      <c r="W105" s="5" t="str">
        <f>HYPERLINK("https://www.mercadopublico.cl/Procurement/Modules/RFB/DetailsAcquisition.aspx?idlicitacion=548874-72-LR26","descargar bases")</f>
      </c>
    </row>
    <row r="106">
      <c r="A106" s="0" t="inlineStr">
        <is>
          <t xml:space="preserve">548874-74-LR26</t>
        </is>
      </c>
      <c r="B106" s="4" t="inlineStr">
        <is>
          <t xml:space="preserve">SERV DE PLATAFORMA SIEM NUEVA GENERACIÓN SAAS IPS</t>
        </is>
      </c>
      <c r="C106" s="0" t="inlineStr">
        <is>
          <t xml:space="preserve">Publicada</t>
        </is>
      </c>
      <c r="D106" s="0" t="inlineStr">
        <is>
          <t xml:space="preserve">INSTITUTO DE PREVISION SOCIAL</t>
        </is>
      </c>
      <c r="E106" s="0" t="inlineStr">
        <is>
          <t xml:space="preserve">IPS Oficina Central de Compras</t>
        </is>
      </c>
      <c r="F106" s="0" t="inlineStr">
        <is>
          <t xml:space="preserve">Región Metropolitana de Santiago</t>
        </is>
      </c>
      <c r="G106" s="0" t="inlineStr">
        <is>
          <t xml:space="preserve">Santiago</t>
        </is>
      </c>
      <c r="H106" s="2">
        <v>46260.456458</v>
      </c>
      <c r="I106" s="2">
        <v>46297.625</v>
      </c>
      <c r="J106" s="0">
        <v>31</v>
      </c>
      <c r="K106" s="3">
        <v>565250.0</v>
      </c>
      <c r="L106" s="0" t="inlineStr">
        <is>
          <t xml:space="preserve">USD</t>
        </is>
      </c>
      <c r="M106" s="0" t="inlineStr">
        <is>
          <t xml:space="preserve">LR</t>
        </is>
      </c>
      <c r="N106" s="4" t="inlineStr">
        <is>
          <t xml:space="preserve">Tecnologías de la información, telecomunicaciones y radiodifusión / Software / Software de seguridad y protección</t>
        </is>
      </c>
      <c r="O106" s="4" t="inlineStr">
        <is>
          <t xml:space="preserve">1 Global · Software de protección antivirus y de seguridad de transacciones</t>
        </is>
      </c>
      <c r="P106" s="2"/>
      <c r="Q106" s="2"/>
      <c r="R106" s="0" t="inlineStr">
        <is>
          <t xml:space="preserve">12 meses</t>
        </is>
      </c>
      <c r="S106" s="0" t="inlineStr">
        <is>
          <t xml:space="preserve">No</t>
        </is>
      </c>
      <c r="T106" s="4" t="inlineStr">
        <is>
          <t xml:space="preserve">Según punto 16 de las bases</t>
        </is>
      </c>
      <c r="U106" s="0" t="inlineStr">
        <is>
          <t xml:space="preserve">por definir</t>
        </is>
      </c>
      <c r="V106" s="4" t="inlineStr">
        <is>
          <t xml:space="preserve">E102RT8 - SERVICIO DE PLATAFORMA SIEM DE NUEVA GENERACIÓN EN MODALIDAD SAAS PARA EL INSTITUTO DE PREVISIÓN SOCIAL</t>
        </is>
      </c>
      <c r="W106" s="5" t="str">
        <f>HYPERLINK("https://www.mercadopublico.cl/Procurement/Modules/RFB/DetailsAcquisition.aspx?idlicitacion=548874-74-LR26","descargar bases")</f>
      </c>
    </row>
    <row r="107">
      <c r="A107" s="0" t="inlineStr">
        <is>
          <t xml:space="preserve">548874-77-LR26</t>
        </is>
      </c>
      <c r="B107" s="4" t="inlineStr">
        <is>
          <t xml:space="preserve">MANTENCIÓN Y MEJORA SISTEMA CIBERSEGURIDAD NCH ISO</t>
        </is>
      </c>
      <c r="C107" s="0" t="inlineStr">
        <is>
          <t xml:space="preserve">Publicada</t>
        </is>
      </c>
      <c r="D107" s="0" t="inlineStr">
        <is>
          <t xml:space="preserve">INSTITUTO DE PREVISION SOCIAL</t>
        </is>
      </c>
      <c r="E107" s="0" t="inlineStr">
        <is>
          <t xml:space="preserve">IPS Oficina Central de Compras</t>
        </is>
      </c>
      <c r="F107" s="0" t="inlineStr">
        <is>
          <t xml:space="preserve">Región Metropolitana de Santiago</t>
        </is>
      </c>
      <c r="G107" s="0" t="inlineStr">
        <is>
          <t xml:space="preserve">Santiago</t>
        </is>
      </c>
      <c r="H107" s="2">
        <v>46265.660069</v>
      </c>
      <c r="I107" s="2">
        <v>46301.625</v>
      </c>
      <c r="J107" s="0">
        <v>35</v>
      </c>
      <c r="K107" s="3">
        <v>11000.0</v>
      </c>
      <c r="L107" s="0" t="inlineStr">
        <is>
          <t xml:space="preserve">CLF</t>
        </is>
      </c>
      <c r="M107" s="0" t="inlineStr">
        <is>
          <t xml:space="preserve">LR</t>
        </is>
      </c>
      <c r="N107" s="4" t="inlineStr">
        <is>
          <t xml:space="preserve">Tecnologías de la información, telecomunicaciones y radiodifusión / Software / Software de seguridad y protección</t>
        </is>
      </c>
      <c r="O107" s="4" t="inlineStr">
        <is>
          <t xml:space="preserve">1 Global · Software de administración de red privada virtual (VPN) o de seguridad de red</t>
        </is>
      </c>
      <c r="P107" s="2"/>
      <c r="Q107" s="2"/>
      <c r="R107" s="0" t="inlineStr">
        <is>
          <t xml:space="preserve">24 meses</t>
        </is>
      </c>
      <c r="S107" s="0" t="inlineStr">
        <is>
          <t xml:space="preserve">No</t>
        </is>
      </c>
      <c r="T107" s="4" t="inlineStr">
        <is>
          <t xml:space="preserve">Ver bases punto 16</t>
        </is>
      </c>
      <c r="U107" s="0" t="inlineStr">
        <is>
          <t xml:space="preserve">por definir</t>
        </is>
      </c>
      <c r="V107" s="4" t="inlineStr">
        <is>
          <t xml:space="preserve">E1O2RT8 - SERVICIO DE MANTENCIÓN Y MEJORA DEL SISTEMA DE GESTIÓN DE SEGURIDAD DE LA INFORMACIÓN Y CIBERSEGURIDAD INSTITUCIONAL NCH ISOIEC 27001</t>
        </is>
      </c>
      <c r="W107" s="5" t="str">
        <f>HYPERLINK("https://www.mercadopublico.cl/Procurement/Modules/RFB/DetailsAcquisition.aspx?idlicitacion=548874-77-LR26","descargar bases")</f>
      </c>
    </row>
    <row r="108">
      <c r="A108" s="0" t="inlineStr">
        <is>
          <t xml:space="preserve">976-15-O126</t>
        </is>
      </c>
      <c r="B108" s="4" t="inlineStr">
        <is>
          <t xml:space="preserve">Ampliación Plataformas Comercial y General Ad. El Loa</t>
        </is>
      </c>
      <c r="C108" s="0" t="inlineStr">
        <is>
          <t xml:space="preserve">Publicada</t>
        </is>
      </c>
      <c r="D108" s="0" t="inlineStr">
        <is>
          <t xml:space="preserve">MINISTERIO DE OBRAS PUBLICAS DIREC CION GRAL DE OO PP DCYF</t>
        </is>
      </c>
      <c r="E108" s="0" t="inlineStr">
        <is>
          <t xml:space="preserve">Dirección de Aeropuertos - MOPTT</t>
        </is>
      </c>
      <c r="F108" s="0" t="inlineStr">
        <is>
          <t xml:space="preserve">Región de Antofagasta </t>
        </is>
      </c>
      <c r="G108" s="0" t="inlineStr">
        <is>
          <t xml:space="preserve">Santiago</t>
        </is>
      </c>
      <c r="H108" s="2">
        <v>46265.342303</v>
      </c>
      <c r="I108" s="2">
        <v>46304.458333</v>
      </c>
      <c r="J108" s="0">
        <v>38</v>
      </c>
      <c r="K108" s="3"/>
      <c r="L108" s="0" t="inlineStr">
        <is>
          <t xml:space="preserve">CLP</t>
        </is>
      </c>
      <c r="M108" s="0" t="inlineStr">
        <is>
          <t xml:space="preserve">O1</t>
        </is>
      </c>
      <c r="N108" s="4" t="inlineStr">
        <is>
          <t xml:space="preserve">Consultoria / Consultoria / Planificación y Factibilidad</t>
        </is>
      </c>
      <c r="O108" s="4" t="inlineStr">
        <is>
          <t xml:space="preserve">1 Unidad · Licitación Pública de Obra</t>
        </is>
      </c>
      <c r="P108" s="2"/>
      <c r="Q108" s="2"/>
      <c r="R108" s="0"/>
      <c r="S108" s="0" t="inlineStr">
        <is>
          <t xml:space="preserve">No</t>
        </is>
      </c>
      <c r="T108" s="4"/>
      <c r="U108" s="0"/>
      <c r="V108" s="4" t="inlineStr">
        <is>
          <t xml:space="preserve">Esta Dirección necesita llamar a licitación para contratar la obra Ampliación Plataformas Comercial y General Aeródromo El Loa.</t>
        </is>
      </c>
      <c r="W108" s="5" t="str">
        <f>HYPERLINK("https://www.mercadopublico.cl/Procurement/Modules/RFB/DetailsAcquisition.aspx?idlicitacion=976-15-O126","descargar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HYPERLINK("https://www.mercadopublico.cl/Procurement/Modules/RFB/DetailsAcquisition.aspx?idlicitacion=1969-34-LS19","descargar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986278-18-L126</t>
        </is>
      </c>
      <c r="B2" s="4" t="inlineStr">
        <is>
          <t xml:space="preserve">CONTRATO DE SUMINISTRO DE INSUMOS INFORMÁTICOS, AÑO 2026, CFT DE LA REGIÓN DE LA ARAUCANÍA</t>
        </is>
      </c>
      <c r="C2" s="0">
        <v>1</v>
      </c>
      <c r="D2" s="4" t="inlineStr">
        <is>
          <t xml:space="preserve">Tóner</t>
        </is>
      </c>
      <c r="E2" s="4" t="inlineStr">
        <is>
          <t xml:space="preserve">Equipos, accesorios y suministros de oficina / Maquinarias, suministros y accesorios de oficina / Suministros para impresora, fax y fotocopiadora</t>
        </is>
      </c>
      <c r="F2" s="0">
        <v>1.0</v>
      </c>
      <c r="G2" s="0" t="inlineStr">
        <is>
          <t xml:space="preserve">Global</t>
        </is>
      </c>
      <c r="H2"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v>1</v>
      </c>
      <c r="D3" s="4" t="inlineStr">
        <is>
          <t xml:space="preserve">Software de entorno de desarrollo</t>
        </is>
      </c>
      <c r="E3" s="4" t="inlineStr">
        <is>
          <t xml:space="preserve">Tecnologías de la información, telecomunicaciones y radiodifusión / Software / Programas de desarrollo</t>
        </is>
      </c>
      <c r="F3" s="0">
        <v>1.0</v>
      </c>
      <c r="G3" s="0" t="inlineStr">
        <is>
          <t xml:space="preserve">Unidad no definida</t>
        </is>
      </c>
      <c r="H3" s="4" t="inlineStr">
        <is>
          <t xml:space="preserve">CONTRATAR EL DESARROLLO DE UN SISTEMA INFORMÁTICO DE EMISIÓN DE DOCUMENTOS DE COBRO Y GESTIÓN DE COBRANZA, Y POSTERIOR SOPORTE POR UN PERIODO DE 48 MESES.</t>
        </is>
      </c>
    </row>
    <row r="4">
      <c r="A4" s="0" t="inlineStr">
        <is>
          <t xml:space="preserve">2713-159-LE26</t>
        </is>
      </c>
      <c r="B4" s="4" t="inlineStr">
        <is>
          <t xml:space="preserve">DAF-informatica sevicio plataforma documental</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servicio integral en modalidad SaaS para la continuidad, ampliación, migración y soporte técnico de la Plataforma Documental y de Correspondencia,por 48 meses, DAF/Informatica solicitud folio 961</t>
        </is>
      </c>
    </row>
    <row r="5">
      <c r="A5" s="0" t="inlineStr">
        <is>
          <t xml:space="preserve">869591-10-LP26</t>
        </is>
      </c>
      <c r="B5" s="4" t="inlineStr">
        <is>
          <t xml:space="preserve">CONTRATACIÓN DEL SERVICIO DE DISEÑO Y DESARROLLO DEL NUEVO PORTAL API Y CAPA DE DATOS DE NEGOCIO PARA MERCADO PÚBLICO</t>
        </is>
      </c>
      <c r="C5" s="0">
        <v>1</v>
      </c>
      <c r="D5" s="4" t="inlineStr">
        <is>
          <t xml:space="preserve">Desarrolladores de software</t>
        </is>
      </c>
      <c r="E5" s="4" t="inlineStr">
        <is>
          <t xml:space="preserve">Servicios profesionales, administrativos y consultorías de gestión empresarial / Servicios de recursos humanos / Contratación de personal</t>
        </is>
      </c>
      <c r="F5" s="0">
        <v>1.0</v>
      </c>
      <c r="G5" s="0" t="inlineStr">
        <is>
          <t xml:space="preserve">Unidad</t>
        </is>
      </c>
      <c r="H5" s="4" t="inlineStr">
        <is>
          <t xml:space="preserve">CONTRATACIÓN DEL SERVICIO DE DISEÑO Y DESARROLLO DEL NUEVO PORTAL API Y CAPA DE DATOS DE NEGOCIO PARA MERCADO PÚBLICO</t>
        </is>
      </c>
    </row>
    <row r="6">
      <c r="A6" s="0" t="inlineStr">
        <is>
          <t xml:space="preserve">587-37-LE26</t>
        </is>
      </c>
      <c r="B6" s="4" t="inlineStr">
        <is>
          <t xml:space="preserve">SELICO 326-2026. Renovación Software Estadístico</t>
        </is>
      </c>
      <c r="C6" s="0">
        <v>1</v>
      </c>
      <c r="D6" s="4" t="inlineStr">
        <is>
          <t xml:space="preserve">Software de gestión de licencias</t>
        </is>
      </c>
      <c r="E6" s="4" t="inlineStr">
        <is>
          <t xml:space="preserve">Tecnologías de la información, telecomunicaciones y radiodifusión / Software / Software de gestión</t>
        </is>
      </c>
      <c r="F6" s="0">
        <v>1.0</v>
      </c>
      <c r="G6" s="0" t="inlineStr">
        <is>
          <t xml:space="preserve">Global</t>
        </is>
      </c>
      <c r="H6" s="4" t="inlineStr">
        <is>
          <t xml:space="preserve">Renovación de licencias de uso de software estadístico Statistics Smart Pack IBM SPSS (o equivalente), por doce (12) meses.</t>
        </is>
      </c>
    </row>
    <row r="7">
      <c r="A7" s="0" t="inlineStr">
        <is>
          <t xml:space="preserve">1110404-154-LE26</t>
        </is>
      </c>
      <c r="B7" s="4" t="inlineStr">
        <is>
          <t xml:space="preserve">ADQUISICIÓN DE LICENCIAS PERMANENTES DE SOFTWARE FACTORY IO PARA LA ESPECIALIDAD DE ELECTRÓNICA DEL LICEO POLITÉCNICO ARICA SERVICIO LOCAL DE EDUCACIÓN PÚBLICA CHINCHORRO</t>
        </is>
      </c>
      <c r="C7" s="0">
        <v>1</v>
      </c>
      <c r="D7" s="4" t="inlineStr">
        <is>
          <t xml:space="preserve">Software de mapa electrónico</t>
        </is>
      </c>
      <c r="E7" s="4" t="inlineStr">
        <is>
          <t xml:space="preserve">Tecnologías de la información, telecomunicaciones y radiodifusión / Software / Software educativo o de referencia</t>
        </is>
      </c>
      <c r="F7" s="0">
        <v>15.0</v>
      </c>
      <c r="G7" s="0" t="inlineStr">
        <is>
          <t xml:space="preserve">Unidad</t>
        </is>
      </c>
      <c r="H7" s="4" t="inlineStr">
        <is>
          <t xml:space="preserve">ADQUISICIÓN DE LICENCIAS PERMANENTES DE SOFTWARE FACTORY I/O PARA LA ESPECIALIDAD DE ELECTRÓNICA DEL LICEO POLITÉCNICO ARICA, SERVICIO LOCAL DE EDUCACIÓN PÚBLICA CHINCHORRO</t>
        </is>
      </c>
    </row>
    <row r="8">
      <c r="A8" s="0" t="inlineStr">
        <is>
          <t xml:space="preserve">885-74-LP26</t>
        </is>
      </c>
      <c r="B8" s="4" t="inlineStr">
        <is>
          <t xml:space="preserve">Servicio de actualización de software arquitectura y migración de base de datos del Sistema DIP.</t>
        </is>
      </c>
      <c r="C8" s="0">
        <v>1</v>
      </c>
      <c r="D8" s="4" t="inlineStr">
        <is>
          <t xml:space="preserve">Desarrolladores de software</t>
        </is>
      </c>
      <c r="E8" s="4" t="inlineStr">
        <is>
          <t xml:space="preserve">Servicios profesionales, administrativos y consultorías de gestión empresarial / Servicios de recursos humanos / Contratación de personal</t>
        </is>
      </c>
      <c r="F8" s="0">
        <v>1.0</v>
      </c>
      <c r="G8" s="0" t="inlineStr">
        <is>
          <t xml:space="preserve">Unidad</t>
        </is>
      </c>
      <c r="H8" s="4" t="inlineStr">
        <is>
          <t xml:space="preserve">equipo especializado para apoyar a la Contraloría General de la República en la actualización de software, arquitectura y migración de la base de datos del Sistema de Declaraciones de Intereses y Patrimonio — DIP.</t>
        </is>
      </c>
    </row>
    <row r="9">
      <c r="A9" s="0" t="inlineStr">
        <is>
          <t xml:space="preserve">1113265-12-LE26</t>
        </is>
      </c>
      <c r="B9" s="4" t="inlineStr">
        <is>
          <t xml:space="preserve">ADQUISICIÓN E IMPLEMENTACIÓN DE PLATAFORMA</t>
        </is>
      </c>
      <c r="C9" s="0">
        <v>1</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ADQUISICIÓN E IMPLEMENTACIÓN DE PLATAFORMA DE GESTIÓN ESTRATÉGICA DE LA PERMANENCIA ESTUDIANTIL PARA EL CENTRO DE FORMACIÓN TÉCNICA ESTATAL DE LA REGIÓN DE ANTOFAGASTA</t>
        </is>
      </c>
    </row>
    <row r="10">
      <c r="A10" s="0" t="inlineStr">
        <is>
          <t xml:space="preserve">1233623-38-LE26</t>
        </is>
      </c>
      <c r="B10" s="4" t="inlineStr">
        <is>
          <t xml:space="preserve">ADQUISICIÓN DE SOFTWARE AEC COLLECTION 2025</t>
        </is>
      </c>
      <c r="C10" s="0">
        <v>1</v>
      </c>
      <c r="D10" s="4" t="inlineStr">
        <is>
          <t xml:space="preserve">Software de acceso</t>
        </is>
      </c>
      <c r="E10" s="4" t="inlineStr">
        <is>
          <t xml:space="preserve">Tecnologías de la información, telecomunicaciones y radiodifusión / Software / Software para trabajo en redes</t>
        </is>
      </c>
      <c r="F10" s="0">
        <v>1.0</v>
      </c>
      <c r="G10" s="0" t="inlineStr">
        <is>
          <t xml:space="preserve">Global</t>
        </is>
      </c>
      <c r="H10" s="4" t="inlineStr">
        <is>
          <t xml:space="preserve">“ADQUISICIÓN DE SOFTWARE AEC COLLECTION 2026, EQUIVALENTE O SUPERIOR, PARA EL SERVICIO LOCAL DE EDUCACIÓN PÚBLICA LICANCABUR”.</t>
        </is>
      </c>
    </row>
    <row r="11">
      <c r="A11" s="0" t="inlineStr">
        <is>
          <t xml:space="preserve">652-37-LP26</t>
        </is>
      </c>
      <c r="B11" s="4" t="inlineStr">
        <is>
          <t xml:space="preserve">ARRIENDO SERVIDOR INFORMATICO PARA PROGRAMA SISSA.</t>
        </is>
      </c>
      <c r="C11" s="0">
        <v>1</v>
      </c>
      <c r="D11" s="4" t="inlineStr">
        <is>
          <t xml:space="preserve">Servidores</t>
        </is>
      </c>
      <c r="E11" s="4" t="inlineStr">
        <is>
          <t xml:space="preserve">Tecnologías de la información, telecomunicaciones y radiodifusión / Equipos informáticos y accesorios / Computadores</t>
        </is>
      </c>
      <c r="F11" s="0">
        <v>1.0</v>
      </c>
      <c r="G11" s="0" t="inlineStr">
        <is>
          <t xml:space="preserve">Unidad</t>
        </is>
      </c>
      <c r="H11" s="4" t="inlineStr">
        <is>
          <t xml:space="preserve">CONVENIO ARRIENDO SERVIDOR INFORMATICO PARA ELPROGRAMA SISSA POR UN PERIODO DE 36 MESES, SERVICIO DE SALUD ARAUCO PARA EL SERVICIO DE SALUD ARAUCANIA SUR, SEGUN REQUERIMIENTOS TECNICOS ADJUNTOS.</t>
        </is>
      </c>
    </row>
    <row r="12">
      <c r="A12" s="0" t="inlineStr">
        <is>
          <t xml:space="preserve">609-25-LE26</t>
        </is>
      </c>
      <c r="B12" s="4" t="inlineStr">
        <is>
          <t xml:space="preserve">ACTUALIZACIÓN DEL SGSI DE INDAP- CIBERSEGURIDAD</t>
        </is>
      </c>
      <c r="C12" s="0">
        <v>1</v>
      </c>
      <c r="D12" s="4" t="inlineStr">
        <is>
          <t xml:space="preserve">Asesorías Informáticas</t>
        </is>
      </c>
      <c r="E12" s="4" t="inlineStr">
        <is>
          <t xml:space="preserve">Servicios profesionales, administrativos y consultorías de gestión empresarial / Consultorías o asesorías en gestión empresarial / Servicios de consultoría en gestión de empresas</t>
        </is>
      </c>
      <c r="F12" s="0">
        <v>1.0</v>
      </c>
      <c r="G12" s="0" t="inlineStr">
        <is>
          <t xml:space="preserve">Unidad</t>
        </is>
      </c>
      <c r="H12" s="4" t="inlineStr">
        <is>
          <t xml:space="preserve">ACTUALIZACIÓN DEL SGSI
DE INDAP, MODELADO DE PROCESOS, MATRIZ DE RIESGO, IDENTIFICACIÓN E IMPLEMENTACIÓN DE
CONTROLES</t>
        </is>
      </c>
    </row>
    <row r="13">
      <c r="A13" s="0" t="inlineStr">
        <is>
          <t xml:space="preserve">1075956-9-LE26</t>
        </is>
      </c>
      <c r="B13" s="4" t="inlineStr">
        <is>
          <t xml:space="preserve">42 CUPOS - CURSO NUEVA LEY DE PROTECCIÓN DE DATOS PERSONALES: INTRODUCCIÓN Y PRINCIPIOS” SEGÚN BASES DE LICITACIÓN Y ANEXOS QUE SE ADJUNTAN - PRESUPUESTO ESTIMADO  15.000.000. -</t>
        </is>
      </c>
      <c r="C13" s="0">
        <v>1</v>
      </c>
      <c r="D13" s="4" t="inlineStr">
        <is>
          <t xml:space="preserve">Formación, capacitación y entrenamiento de personal</t>
        </is>
      </c>
      <c r="E13" s="4" t="inlineStr">
        <is>
          <t xml:space="preserve">Servicios profesionales, administrativos y consultorías de gestión empresarial / Servicios de recursos humanos / Consultorías para el desarrollo de recursos humanos</t>
        </is>
      </c>
      <c r="F13" s="0">
        <v>42.0</v>
      </c>
      <c r="G13" s="0" t="inlineStr">
        <is>
          <t xml:space="preserve">Unidad</t>
        </is>
      </c>
      <c r="H13" s="4" t="inlineStr">
        <is>
          <t xml:space="preserve">42 CUPOS - CURSO NUEVA LEY DE PROTECCIÓN DE DATOS PERSONALES: INTRODUCCIÓN Y PRINCIPIOS” SEGÚN BASES DE LICITACIÓN Y ANEXOS QUE SE ADJUNTAN - PRESUPUESTO ESTIMADO 15.000.000. -</t>
        </is>
      </c>
    </row>
    <row r="14">
      <c r="A14" s="0" t="inlineStr">
        <is>
          <t xml:space="preserve">1057532-72-LE26</t>
        </is>
      </c>
      <c r="B14" s="4" t="inlineStr">
        <is>
          <t xml:space="preserve">SUSCRIPCIÓN LICENCIAS SOFTWARE CAD ARCHICAD COLLABORATE O EQUIVALENTE PARA EL SERVICIO DE SALUD OSORNO</t>
        </is>
      </c>
      <c r="C14" s="0">
        <v>1</v>
      </c>
      <c r="D14" s="4" t="inlineStr">
        <is>
          <t xml:space="preserve">Software de diseño asistido por computador (CAD)</t>
        </is>
      </c>
      <c r="E14" s="4" t="inlineStr">
        <is>
          <t xml:space="preserve">Tecnologías de la información, telecomunicaciones y radiodifusión / Software / Software específico para la industria</t>
        </is>
      </c>
      <c r="F14" s="0">
        <v>6.0</v>
      </c>
      <c r="G14" s="0" t="inlineStr">
        <is>
          <t xml:space="preserve">Unidad</t>
        </is>
      </c>
      <c r="H14" s="4" t="inlineStr">
        <is>
          <t xml:space="preserve">Licencias de Software CAD (Archicad Collaborate o Equivalente), con suscripción de 12 meses, con pago en 12 cuotas.</t>
        </is>
      </c>
    </row>
    <row r="15">
      <c r="A15" s="0" t="inlineStr">
        <is>
          <t xml:space="preserve">564953-62-LP26</t>
        </is>
      </c>
      <c r="B15" s="4" t="inlineStr">
        <is>
          <t xml:space="preserve">ACTUALIZACIÓN PLATAFORMA ERP PARA LA CORPORACIÓN</t>
        </is>
      </c>
      <c r="C15" s="0">
        <v>1</v>
      </c>
      <c r="D15" s="4" t="inlineStr">
        <is>
          <t xml:space="preserve">Software de planificación de recursos empresariales (ERP)</t>
        </is>
      </c>
      <c r="E15" s="4" t="inlineStr">
        <is>
          <t xml:space="preserve">Tecnologías de la información, telecomunicaciones y radiodifusión / Software / Software de planificación de recursos empresariales (ERP) y contabilidad financiera</t>
        </is>
      </c>
      <c r="F15" s="0">
        <v>1.0</v>
      </c>
      <c r="G15" s="0" t="inlineStr">
        <is>
          <t xml:space="preserve">Unidad</t>
        </is>
      </c>
      <c r="H15" s="4" t="inlineStr">
        <is>
          <t xml:space="preserve">ACTUALIZACIÓN PLATAFORMA ERP
PARA LA CORPORACIÓN DE EDUCACIÓN
Y SALUD DE LAS CONDES.</t>
        </is>
      </c>
    </row>
    <row r="16">
      <c r="A16" s="0" t="inlineStr">
        <is>
          <t xml:space="preserve">3945-20-LE26</t>
        </is>
      </c>
      <c r="B16" s="4" t="inlineStr">
        <is>
          <t xml:space="preserve">ADQUISICION SERVICIO DE SISTEMA INFORMATIVO DE GESTION DOCUMENTAL - MUNICIPALIDAD LOS ALAMOS</t>
        </is>
      </c>
      <c r="C16" s="0">
        <v>1</v>
      </c>
      <c r="D16" s="4" t="inlineStr">
        <is>
          <t xml:space="preserve">Software de sistema operativo</t>
        </is>
      </c>
      <c r="E16" s="4" t="inlineStr">
        <is>
          <t xml:space="preserve">Tecnologías de la información, telecomunicaciones y radiodifusión / Software / Software de entorno operativo</t>
        </is>
      </c>
      <c r="F16" s="0">
        <v>1.0</v>
      </c>
      <c r="G16" s="0" t="inlineStr">
        <is>
          <t xml:space="preserve">Global</t>
        </is>
      </c>
      <c r="H16" s="4" t="inlineStr">
        <is>
          <t xml:space="preserve">Se requiere contratar SERVICIO DE SISTEMA INFORMATICO DE GESTION DOCUMENTAL- MUNICIPALIDAD LOS ALAMOS”,   por un periodo de 36 meses, según Bases Administrativas, técnicas y anexos adjuntos.</t>
        </is>
      </c>
    </row>
    <row r="17">
      <c r="A17" s="0" t="inlineStr">
        <is>
          <t xml:space="preserve">4429-95-LE26</t>
        </is>
      </c>
      <c r="B17" s="4" t="inlineStr">
        <is>
          <t xml:space="preserve">ARRIENDO SOFTWARE FARMACIA Y OPTICA MUNICIPAL</t>
        </is>
      </c>
      <c r="C17" s="0">
        <v>1</v>
      </c>
      <c r="D17" s="4" t="inlineStr">
        <is>
          <t xml:space="preserve">Software de gestión de adquisiciones</t>
        </is>
      </c>
      <c r="E17" s="4" t="inlineStr">
        <is>
          <t xml:space="preserve">Tecnologías de la información, telecomunicaciones y radiodifusión / Software / Software de gestión</t>
        </is>
      </c>
      <c r="F17" s="0">
        <v>1.0</v>
      </c>
      <c r="G17" s="0" t="inlineStr">
        <is>
          <t xml:space="preserve">Unidad</t>
        </is>
      </c>
      <c r="H17" s="4" t="inlineStr">
        <is>
          <t xml:space="preserve">SERVICIO DE ARRIENDO , IMPLEMENTACIÓN PUESTA EN MARCHA Y MANTENCIÓN SOFTWARE EN GESTIÓN Y FARMACIA Y ÓPTICA MUNICIPAL</t>
        </is>
      </c>
    </row>
    <row r="18">
      <c r="A18" s="0" t="inlineStr">
        <is>
          <t xml:space="preserve">4429-96-LE26</t>
        </is>
      </c>
      <c r="B18" s="4" t="inlineStr">
        <is>
          <t xml:space="preserve">SISTEMA INFORMATICO WEB PARA CENTROS DE SALUD</t>
        </is>
      </c>
      <c r="C18" s="0">
        <v>1</v>
      </c>
      <c r="D18" s="4" t="inlineStr">
        <is>
          <t xml:space="preserve">Paquetes de software para oficinas</t>
        </is>
      </c>
      <c r="E18" s="4" t="inlineStr">
        <is>
          <t xml:space="preserve">Tecnologías de la información, telecomunicaciones y radiodifusión / Software / Software de gestión</t>
        </is>
      </c>
      <c r="F18" s="0">
        <v>1.0</v>
      </c>
      <c r="G18" s="0" t="inlineStr">
        <is>
          <t xml:space="preserve">Unidad</t>
        </is>
      </c>
      <c r="H18" s="4" t="inlineStr">
        <is>
          <t xml:space="preserve">SISTEMA INFORMATICO WEB PARA GESTION DE CALIDAD. SEGUN BASES ADMINISTRATIVAS Y TECNICAS ESPECIALES ADJUNTAS.</t>
        </is>
      </c>
    </row>
    <row r="19">
      <c r="A19" s="0" t="inlineStr">
        <is>
          <t xml:space="preserve">1431841-53-LE26</t>
        </is>
      </c>
      <c r="B19" s="4" t="inlineStr">
        <is>
          <t xml:space="preserve">ADQUISICIÓN DE CREDITOS GOOGLE CLOUD PLATFORM</t>
        </is>
      </c>
      <c r="C19" s="0">
        <v>1</v>
      </c>
      <c r="D19" s="4" t="inlineStr">
        <is>
          <t xml:space="preserve">Software de servidor de aplicaciones</t>
        </is>
      </c>
      <c r="E19" s="4" t="inlineStr">
        <is>
          <t xml:space="preserve">Tecnologías de la información, telecomunicaciones y radiodifusión / Software / Software de aplicaciones de red</t>
        </is>
      </c>
      <c r="F19" s="0">
        <v>1.0</v>
      </c>
      <c r="G19" s="0" t="inlineStr">
        <is>
          <t xml:space="preserve">Global</t>
        </is>
      </c>
      <c r="H19" s="4" t="inlineStr">
        <is>
          <t xml:space="preserve">Valor Neto Total de la ADQUISICIÓN DE CRÉDITOS PARA GOOGLE CLOUD PLATFORM (GCP) PARA LA MUNICIPALIDAD DE RECOLETA</t>
        </is>
      </c>
    </row>
    <row r="20">
      <c r="A20" s="0" t="inlineStr">
        <is>
          <t xml:space="preserve">3506-88-LP26</t>
        </is>
      </c>
      <c r="B20" s="4" t="inlineStr">
        <is>
          <t xml:space="preserve">ADQUISICION DE SOFTWARE DE GESTION MUNICIPAL</t>
        </is>
      </c>
      <c r="C20" s="0">
        <v>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ADQUISICION DE SOFTWARE DE GESTION MUNICIPAL</t>
        </is>
      </c>
    </row>
    <row r="21">
      <c r="A21" s="0" t="inlineStr">
        <is>
          <t xml:space="preserve">761391-124-L126</t>
        </is>
      </c>
      <c r="B21" s="4" t="inlineStr">
        <is>
          <t xml:space="preserve">DE/54/GUB/PLATAFORMA DE PREPARACIÓN PARA EL EXAMEN TOEIC LISTENING AND READING</t>
        </is>
      </c>
      <c r="C21" s="0">
        <v>1</v>
      </c>
      <c r="D21" s="4" t="inlineStr">
        <is>
          <t xml:space="preserve">Capacitación a empleados</t>
        </is>
      </c>
      <c r="E21" s="4" t="inlineStr">
        <is>
          <t xml:space="preserve">Educación, formación, entrenamiento y capacitación / Sistemas educativos complementarios / Educación de adultos</t>
        </is>
      </c>
      <c r="F21" s="0">
        <v>13.0</v>
      </c>
      <c r="G21" s="0" t="inlineStr">
        <is>
          <t xml:space="preserve">Unidad</t>
        </is>
      </c>
      <c r="H21" s="4" t="inlineStr">
        <is>
          <t xml:space="preserve">PLATAFORMA DE PREPARACIÓN PARA EL EXAMEN TOEIC LISTENING AND READING</t>
        </is>
      </c>
    </row>
    <row r="22">
      <c r="A22" s="0" t="inlineStr">
        <is>
          <t xml:space="preserve">3477-77-LE26</t>
        </is>
      </c>
      <c r="B22" s="4" t="inlineStr">
        <is>
          <t xml:space="preserve">“INSTALACIÓN DE PUNTOS DE RED EN UDEL” SECCIÓN DE INFORMÁTICA MUNICIPAL</t>
        </is>
      </c>
      <c r="C22" s="0">
        <v>1</v>
      </c>
      <c r="D22" s="4" t="inlineStr">
        <is>
          <t xml:space="preserve">Especialistas temporales en redes computacionales</t>
        </is>
      </c>
      <c r="E22" s="4" t="inlineStr">
        <is>
          <t xml:space="preserve">Servicios profesionales, administrativos y consultorías de gestión empresarial / Servicios de recursos humanos / Servicios de personal temporal</t>
        </is>
      </c>
      <c r="F22" s="0">
        <v>1.0</v>
      </c>
      <c r="G22" s="0" t="inlineStr">
        <is>
          <t xml:space="preserve">Global</t>
        </is>
      </c>
      <c r="H22" s="4" t="inlineStr">
        <is>
          <t xml:space="preserve">SEGUN REQUERIMIENTOS ADJUNTOS</t>
        </is>
      </c>
    </row>
    <row r="23">
      <c r="A23" s="0" t="inlineStr">
        <is>
          <t xml:space="preserve">730566-21-LP26</t>
        </is>
      </c>
      <c r="B23" s="4" t="inlineStr">
        <is>
          <t xml:space="preserve">RENOVACIÓN DE PLATAFORMA WIFI</t>
        </is>
      </c>
      <c r="C23" s="0">
        <v>1</v>
      </c>
      <c r="D23" s="4" t="inlineStr">
        <is>
          <t xml:space="preserve">Dispositivos de acceso de red digital de servicios integrados (RDSI)</t>
        </is>
      </c>
      <c r="E23" s="4" t="inlineStr">
        <is>
          <t xml:space="preserve">Tecnologías de la información, telecomunicaciones y radiodifusión / Equipos, plataformas y accesorios de redes multimedia, voz y datos / Equipos de servicio de red</t>
        </is>
      </c>
      <c r="F23" s="0">
        <v>100.0</v>
      </c>
      <c r="G23" s="0" t="inlineStr">
        <is>
          <t xml:space="preserve">Unidad</t>
        </is>
      </c>
      <c r="H23" s="4" t="inlineStr">
        <is>
          <t xml:space="preserve">access point Tecnología Wi-Fi 6E (802.11ax); Triple radio:( 2.4 GHz, 5 GHz y 6 GHz); Hasta 3.5 Gbps de throughput agregado; Gestión centralizada; Puerto Ethernet multigigabit 5GE; Alimentación PoE+; soporte para WPA3; soporte con 3 años 24/7</t>
        </is>
      </c>
    </row>
    <row r="24">
      <c r="A24" s="0" t="inlineStr">
        <is>
          <t xml:space="preserve">730566-21-LP26</t>
        </is>
      </c>
      <c r="B24" s="4" t="inlineStr">
        <is>
          <t xml:space="preserve">RENOVACIÓN DE PLATAFORMA WIFI</t>
        </is>
      </c>
      <c r="C24" s="0">
        <v>2</v>
      </c>
      <c r="D24" s="4" t="inlineStr">
        <is>
          <t xml:space="preserve">Plataforma de mensajería unificada</t>
        </is>
      </c>
      <c r="E24" s="4" t="inlineStr">
        <is>
          <t xml:space="preserve">Tecnologías de la información, telecomunicaciones y radiodifusión / Equipos, plataformas y accesorios de redes multimedia, voz y datos / Plataformas de mensajería por móvil</t>
        </is>
      </c>
      <c r="F24" s="0">
        <v>1.0</v>
      </c>
      <c r="G24" s="0" t="inlineStr">
        <is>
          <t xml:space="preserve">Unidad</t>
        </is>
      </c>
      <c r="H24"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5">
      <c r="A25" s="0" t="inlineStr">
        <is>
          <t xml:space="preserve">2427-73-LE26</t>
        </is>
      </c>
      <c r="B25" s="4" t="inlineStr">
        <is>
          <t xml:space="preserve">SUMINISTRO DE MARKETING DIGITAL PARA REDES SOCIALES DEL MUNICIPIO DE VALPARAÍSO</t>
        </is>
      </c>
      <c r="C25" s="0">
        <v>1</v>
      </c>
      <c r="D25" s="4" t="inlineStr">
        <is>
          <t xml:space="preserve">Agencias de marketing de ventas, incluidas las impresiones</t>
        </is>
      </c>
      <c r="E25" s="4" t="inlineStr">
        <is>
          <t xml:space="preserve">Servicios profesionales, administrativos y consultorías de gestión empresarial / Servicios para la comercialización y distribución / Ventas y marketing</t>
        </is>
      </c>
      <c r="F25" s="0">
        <v>1.0</v>
      </c>
      <c r="G25" s="0" t="inlineStr">
        <is>
          <t xml:space="preserve">Unidad</t>
        </is>
      </c>
      <c r="H25" s="4" t="inlineStr">
        <is>
          <t xml:space="preserve">SUMINISTRO DE MARKETING DIGITAL PARA REDES SOCIALES DEL MUNICIPIO DE VALPARAÍSO, SEGÚN BASES TÉCNICAS ADJUNTAS.</t>
        </is>
      </c>
    </row>
    <row r="26">
      <c r="A26" s="0" t="inlineStr">
        <is>
          <t xml:space="preserve">2258-146-LP26</t>
        </is>
      </c>
      <c r="B26" s="4" t="inlineStr">
        <is>
          <t xml:space="preserve">AUDIFONOS DIGITAL PAC.GES HIPOACUSIA BILATERAL</t>
        </is>
      </c>
      <c r="C26" s="0">
        <v>1</v>
      </c>
      <c r="D26" s="4" t="inlineStr">
        <is>
          <t xml:space="preserve">Audífonos para personas con discapacidad física</t>
        </is>
      </c>
      <c r="E26" s="4" t="inlineStr">
        <is>
          <t xml:space="preserve">Equipamiento y suministros médicos / Ayuda para personas con discapacidad / Artículos de ayuda para la comunicación de discapacitados</t>
        </is>
      </c>
      <c r="F26" s="0">
        <v>900.0</v>
      </c>
      <c r="G26" s="0" t="inlineStr">
        <is>
          <t xml:space="preserve">Unidad</t>
        </is>
      </c>
      <c r="H26" s="4" t="inlineStr">
        <is>
          <t xml:space="preserve">Audífonos digitales para tratamiento pacientes Ges hipoacusia bilateral, perdida leve a moderada</t>
        </is>
      </c>
    </row>
    <row r="27">
      <c r="A27" s="0" t="inlineStr">
        <is>
          <t xml:space="preserve">2258-146-LP26</t>
        </is>
      </c>
      <c r="B27" s="4" t="inlineStr">
        <is>
          <t xml:space="preserve">AUDIFONOS DIGITAL PAC.GES HIPOACUSIA BILATERAL</t>
        </is>
      </c>
      <c r="C27" s="0">
        <v>2</v>
      </c>
      <c r="D27" s="4" t="inlineStr">
        <is>
          <t xml:space="preserve">Audífonos para personas con discapacidad física</t>
        </is>
      </c>
      <c r="E27" s="4" t="inlineStr">
        <is>
          <t xml:space="preserve">Equipamiento y suministros médicos / Ayuda para personas con discapacidad / Artículos de ayuda para la comunicación de discapacitados</t>
        </is>
      </c>
      <c r="F27" s="0">
        <v>504.0</v>
      </c>
      <c r="G27" s="0" t="inlineStr">
        <is>
          <t xml:space="preserve">Unidad</t>
        </is>
      </c>
      <c r="H27" s="4" t="inlineStr">
        <is>
          <t xml:space="preserve">Audífonos digitales para tratamiento pacientes Ges hipoacusia bilateral, perdida moderada a profunda</t>
        </is>
      </c>
    </row>
    <row r="28">
      <c r="A28" s="0" t="inlineStr">
        <is>
          <t xml:space="preserve">1483311-2-LP26</t>
        </is>
      </c>
      <c r="B28" s="4" t="inlineStr">
        <is>
          <t xml:space="preserve">SERVICIO DE ARRIENDO DE SOFTWARE DE REMUNERACIONES</t>
        </is>
      </c>
      <c r="C28" s="0">
        <v>1</v>
      </c>
      <c r="D28" s="4" t="inlineStr">
        <is>
          <t xml:space="preserve">Software de gestión de recursos humanos</t>
        </is>
      </c>
      <c r="E28" s="4" t="inlineStr">
        <is>
          <t xml:space="preserve">Tecnologías de la información, telecomunicaciones y radiodifusión / Software / Software de gestión</t>
        </is>
      </c>
      <c r="F28" s="0">
        <v>1.0</v>
      </c>
      <c r="G28" s="0" t="inlineStr">
        <is>
          <t xml:space="preserve">Unidad</t>
        </is>
      </c>
      <c r="H28" s="4" t="inlineStr">
        <is>
          <t xml:space="preserve">SERVICIO DE ARRIENDO DE SOFTWARE DE REMUNERACIONES Y GESTIÓN DE PERSONAS P01, SERVICIO LOCAL DE EDUCACIÓN PÚBLICA LOS VIÑEDOS</t>
        </is>
      </c>
    </row>
    <row r="29">
      <c r="A29" s="0" t="inlineStr">
        <is>
          <t xml:space="preserve">1483311-2-LP26</t>
        </is>
      </c>
      <c r="B29" s="4" t="inlineStr">
        <is>
          <t xml:space="preserve">SERVICIO DE ARRIENDO DE SOFTWARE DE REMUNERACIONES</t>
        </is>
      </c>
      <c r="C29" s="0">
        <v>2</v>
      </c>
      <c r="D29" s="4" t="inlineStr">
        <is>
          <t xml:space="preserve">Software de gestión de recursos humanos</t>
        </is>
      </c>
      <c r="E29" s="4" t="inlineStr">
        <is>
          <t xml:space="preserve">Tecnologías de la información, telecomunicaciones y radiodifusión / Software / Software de gestión</t>
        </is>
      </c>
      <c r="F29" s="0">
        <v>1.0</v>
      </c>
      <c r="G29" s="0" t="inlineStr">
        <is>
          <t xml:space="preserve">Unidad</t>
        </is>
      </c>
      <c r="H29" s="4" t="inlineStr">
        <is>
          <t xml:space="preserve">SERVICIO DE ARRIENDO DE SOFTWARE DE REMUNERACIONES Y GESTIÓN DE PERSONAS P02, SERVICIO LOCAL DE EDUCACIÓN PÚBLICA LOS VIÑEDOS</t>
        </is>
      </c>
    </row>
    <row r="30">
      <c r="A30" s="0" t="inlineStr">
        <is>
          <t xml:space="preserve">1422051-25-LE26</t>
        </is>
      </c>
      <c r="B30" s="4" t="inlineStr">
        <is>
          <t xml:space="preserve">Contratación Servicio Plataforma de Gestión RRHH</t>
        </is>
      </c>
      <c r="C30" s="0">
        <v>1</v>
      </c>
      <c r="D30" s="4" t="inlineStr">
        <is>
          <t xml:space="preserve">Software de gestión de recursos humanos</t>
        </is>
      </c>
      <c r="E30" s="4" t="inlineStr">
        <is>
          <t xml:space="preserve">Tecnologías de la información, telecomunicaciones y radiodifusión / Software / Software de gestión</t>
        </is>
      </c>
      <c r="F30" s="0">
        <v>1.0</v>
      </c>
      <c r="G30" s="0" t="inlineStr">
        <is>
          <t xml:space="preserve">Unidad</t>
        </is>
      </c>
      <c r="H30" s="4" t="inlineStr">
        <is>
          <t xml:space="preserve">Software de Gestión para Recursos Humanos.</t>
        </is>
      </c>
    </row>
    <row r="31">
      <c r="A31" s="0" t="inlineStr">
        <is>
          <t xml:space="preserve">727202-69-LE26</t>
        </is>
      </c>
      <c r="B31" s="4" t="inlineStr">
        <is>
          <t xml:space="preserve">ADQUISICIÓN E IMPLEMENTACIÓN DE TÓTEMS</t>
        </is>
      </c>
      <c r="C31" s="0">
        <v>1</v>
      </c>
      <c r="D31" s="4" t="inlineStr">
        <is>
          <t xml:space="preserve">Monitores de pantalla táctil</t>
        </is>
      </c>
      <c r="E31" s="4" t="inlineStr">
        <is>
          <t xml:space="preserve">Tecnologías de la información, telecomunicaciones y radiodifusión / Equipos informáticos y accesorios / Pantallas o monitores de computador</t>
        </is>
      </c>
      <c r="F31" s="0">
        <v>1.0</v>
      </c>
      <c r="G31" s="0" t="inlineStr">
        <is>
          <t xml:space="preserve">Global</t>
        </is>
      </c>
      <c r="H31" s="4" t="inlineStr">
        <is>
          <t xml:space="preserve">ADQUISICIÓN E IMPLEMENTACIÓN DE TÓTEMS INTERACTIVOS, CONFORME A LA DOCUMENTACIÓN ADJUNTA.</t>
        </is>
      </c>
    </row>
    <row r="32">
      <c r="A32" s="0" t="inlineStr">
        <is>
          <t xml:space="preserve">3553-29-LE26</t>
        </is>
      </c>
      <c r="B32" s="4" t="inlineStr">
        <is>
          <t xml:space="preserve">Serv. jurídicos de Ley 21.719 y prot. de datos</t>
        </is>
      </c>
      <c r="C32" s="0">
        <v>1</v>
      </c>
      <c r="D32" s="4" t="inlineStr">
        <is>
          <t xml:space="preserve">Servicios de asistencia legal y judicial</t>
        </is>
      </c>
      <c r="E32" s="4" t="inlineStr">
        <is>
          <t xml:space="preserve">Organizaciones sociales, laborales y clubes / Organizaciones, asociaciones y movimientos cívicos / Organizaciones de beneficencia</t>
        </is>
      </c>
      <c r="F32" s="0">
        <v>1.0</v>
      </c>
      <c r="G32" s="0" t="inlineStr">
        <is>
          <t xml:space="preserve">Unidad</t>
        </is>
      </c>
      <c r="H32"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33">
      <c r="A33" s="0" t="inlineStr">
        <is>
          <t xml:space="preserve">1469-173-L126</t>
        </is>
      </c>
      <c r="B33" s="4" t="inlineStr">
        <is>
          <t xml:space="preserve">Sistema de gestión de Libro de Obras Digital, para PIBV</t>
        </is>
      </c>
      <c r="C33" s="0">
        <v>1</v>
      </c>
      <c r="D33" s="4" t="inlineStr">
        <is>
          <t xml:space="preserve">Software de búsqueda o recuperación de información</t>
        </is>
      </c>
      <c r="E33" s="4" t="inlineStr">
        <is>
          <t xml:space="preserve">Tecnologías de la información, telecomunicaciones y radiodifusión / Software / Software de consultas y gestión de datos</t>
        </is>
      </c>
      <c r="F33" s="0">
        <v>1.0</v>
      </c>
      <c r="G33" s="0" t="inlineStr">
        <is>
          <t xml:space="preserve">Unidad</t>
        </is>
      </c>
      <c r="H33" s="4" t="inlineStr">
        <is>
          <t xml:space="preserve">La Universidad de Talca requiere del servicio de plataforma de Libro de Obra Digital para continuar con el requerimiento del Convenio PIBV, por un periodo de 15 meses.</t>
        </is>
      </c>
    </row>
    <row r="34">
      <c r="A34" s="0" t="inlineStr">
        <is>
          <t xml:space="preserve">869591-9-LR26</t>
        </is>
      </c>
      <c r="B34" s="4" t="inlineStr">
        <is>
          <t xml:space="preserve">CONTRATACIÓN DEL DESARROLLO DE LA PLATAFORMA MODULAR DE COMPRAS NUEVOS MECANISMOS PARA LA DIRECCIÓN DE COMPRAS Y CONTRATACIÓN PÚBLICA.</t>
        </is>
      </c>
      <c r="C34" s="0">
        <v>1</v>
      </c>
      <c r="D34" s="4" t="inlineStr">
        <is>
          <t xml:space="preserve">Desarrolladores de software</t>
        </is>
      </c>
      <c r="E34" s="4" t="inlineStr">
        <is>
          <t xml:space="preserve">Servicios profesionales, administrativos y consultorías de gestión empresarial / Servicios de recursos humanos / Contratación de personal</t>
        </is>
      </c>
      <c r="F34" s="0">
        <v>1.0</v>
      </c>
      <c r="G34" s="0" t="inlineStr">
        <is>
          <t xml:space="preserve">Unidad</t>
        </is>
      </c>
      <c r="H34" s="4" t="inlineStr">
        <is>
          <t xml:space="preserve">CONTRATACIÓN DEL DESARROLLO DE LA PLATAFORMA MODULAR DE COMPRAS (NUEVOS MECANISMOS) PARA LA DIRECCIÓN DE COMPRAS Y CONTRATACIÓN PÚBLICA.</t>
        </is>
      </c>
    </row>
    <row r="35">
      <c r="A35" s="0" t="inlineStr">
        <is>
          <t xml:space="preserve">1641-323-LE26</t>
        </is>
      </c>
      <c r="B35" s="4" t="inlineStr">
        <is>
          <t xml:space="preserve">FMM - SUMINISTRO DE LICENCIA DE SOFTWARE AUTOCAD PARA OBRAS</t>
        </is>
      </c>
      <c r="C35" s="0">
        <v>1</v>
      </c>
      <c r="D35" s="4" t="inlineStr">
        <is>
          <t xml:space="preserve">Software de diseño asistido por computador (CAD)</t>
        </is>
      </c>
      <c r="E35" s="4" t="inlineStr">
        <is>
          <t xml:space="preserve">Tecnologías de la información, telecomunicaciones y radiodifusión / Software / Software específico para la industria</t>
        </is>
      </c>
      <c r="F35" s="0">
        <v>7.0</v>
      </c>
      <c r="G35" s="0" t="inlineStr">
        <is>
          <t xml:space="preserve">Unidad</t>
        </is>
      </c>
      <c r="H35" s="4" t="inlineStr">
        <is>
          <t xml:space="preserve">10-013-004-0155 @ SUMINISTRO DE LICENCIAS DE SOFTWARE AUTOCAD LT</t>
        </is>
      </c>
    </row>
    <row r="36">
      <c r="A36" s="0" t="inlineStr">
        <is>
          <t xml:space="preserve">1641-323-LE26</t>
        </is>
      </c>
      <c r="B36" s="4" t="inlineStr">
        <is>
          <t xml:space="preserve">FMM - SUMINISTRO DE LICENCIA DE SOFTWARE AUTOCAD PARA OBRAS</t>
        </is>
      </c>
      <c r="C36" s="0">
        <v>2</v>
      </c>
      <c r="D36" s="4" t="inlineStr">
        <is>
          <t xml:space="preserve">Software de diseño asistido por computador (CAD)</t>
        </is>
      </c>
      <c r="E36" s="4" t="inlineStr">
        <is>
          <t xml:space="preserve">Tecnologías de la información, telecomunicaciones y radiodifusión / Software / Software específico para la industria</t>
        </is>
      </c>
      <c r="F36" s="0">
        <v>2.0</v>
      </c>
      <c r="G36" s="0" t="inlineStr">
        <is>
          <t xml:space="preserve">Unidad</t>
        </is>
      </c>
      <c r="H36" s="4" t="inlineStr">
        <is>
          <t xml:space="preserve">10-013-004-0156 @ SUMINISTRO DE LICENCIAS DE SOFTWARE AUTOCAD</t>
        </is>
      </c>
    </row>
    <row r="37">
      <c r="A37" s="0" t="inlineStr">
        <is>
          <t xml:space="preserve">3530-19-L126</t>
        </is>
      </c>
      <c r="B37" s="4" t="inlineStr">
        <is>
          <t xml:space="preserve">Adquisición del servicio de mantenimiento y reparación para el reemplazo completo del tablero eléctrico trifásico.</t>
        </is>
      </c>
      <c r="C37" s="0">
        <v>1</v>
      </c>
      <c r="D37" s="4" t="inlineStr">
        <is>
          <t xml:space="preserve">Paneles de control eléctrico para generadores</t>
        </is>
      </c>
      <c r="E37" s="4" t="inlineStr">
        <is>
          <t xml:space="preserve">Maquinaria para generación y distribución de energía / Generación de energía / Equipo para control de producción de energía</t>
        </is>
      </c>
      <c r="F37" s="0">
        <v>1.0</v>
      </c>
      <c r="G37" s="0" t="inlineStr">
        <is>
          <t xml:space="preserve">Unidad</t>
        </is>
      </c>
      <c r="H37" s="4" t="inlineStr">
        <is>
          <t xml:space="preserve">Adquisición del servicio de mantenimiento y reparación para el reemplazo completo del tablero eléctrico trifásico perteneciente al Regimiento N°2 "Maipo".</t>
        </is>
      </c>
    </row>
    <row r="38">
      <c r="A38" s="0" t="inlineStr">
        <is>
          <t xml:space="preserve">1171234-5-LE26</t>
        </is>
      </c>
      <c r="B38" s="4" t="inlineStr">
        <is>
          <t xml:space="preserve">SERVICIOS DE IMPLEMENTACIÓN SOFTWARE CEDOC MNBA</t>
        </is>
      </c>
      <c r="C38" s="0">
        <v>1</v>
      </c>
      <c r="D38" s="4" t="inlineStr">
        <is>
          <t xml:space="preserve">Instalación de sistemas</t>
        </is>
      </c>
      <c r="E38" s="4" t="inlineStr">
        <is>
          <t xml:space="preserve">Servicios basados en ingeniería, ciencias sociales y tecnología de la información / Servicios informáticos / Administración de sistemas</t>
        </is>
      </c>
      <c r="F38" s="0">
        <v>1.0</v>
      </c>
      <c r="G38" s="0" t="inlineStr">
        <is>
          <t xml:space="preserve">Unidad</t>
        </is>
      </c>
      <c r="H38" s="4" t="inlineStr">
        <is>
          <t xml:space="preserve">IMPLEMENTACIÓN DE SOFTWARE CONSERVACIÓN, SISTEMATIZACIÓN Y ACCESO A LOS ACERVOS PATRIMONIALES DEL CENTRO DE DOCUMENTACIÓN ANGÉLICA PÉREZ GERMAIN</t>
        </is>
      </c>
    </row>
    <row r="39">
      <c r="A39" s="0" t="inlineStr">
        <is>
          <t xml:space="preserve">2981-242-LE26</t>
        </is>
      </c>
      <c r="B39" s="4" t="inlineStr">
        <is>
          <t xml:space="preserve">ADQUISICIÓN DE ESTRUCTURA TÓTEM Y LETRAS VOLUMETRICAS DE METAL</t>
        </is>
      </c>
      <c r="C39" s="0">
        <v>1</v>
      </c>
      <c r="D39" s="4" t="inlineStr">
        <is>
          <t xml:space="preserve">Placas metálicas indicadoras del nombre</t>
        </is>
      </c>
      <c r="E39" s="4" t="inlineStr">
        <is>
          <t xml:space="preserve">Productos impresos y publicaciones / Etiquetado y accesorios / Etiquetado</t>
        </is>
      </c>
      <c r="F39" s="0">
        <v>1.0</v>
      </c>
      <c r="G39" s="0" t="inlineStr">
        <is>
          <t xml:space="preserve">Unidad no definida</t>
        </is>
      </c>
      <c r="H39" s="4" t="inlineStr">
        <is>
          <t xml:space="preserve">FABRICACION, INSTALACION Y HABILITACION DE ESTRUCTURA TÓTEM Y LETRAS VOLUMETRICAS PDI, SEGUN ESPECIFICACIONES TECNICAS ADJUNTAS</t>
        </is>
      </c>
    </row>
    <row r="40">
      <c r="A40" s="0" t="inlineStr">
        <is>
          <t xml:space="preserve">3820-25-LE26</t>
        </is>
      </c>
      <c r="B40" s="4" t="inlineStr">
        <is>
          <t xml:space="preserve">ADQUISICION Y RENOVACION DE LICENCIAS DE SOFTWARE</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41">
      <c r="A41" s="0" t="inlineStr">
        <is>
          <t xml:space="preserve">564162-115-L126</t>
        </is>
      </c>
      <c r="B41" s="4" t="inlineStr">
        <is>
          <t xml:space="preserve">Solicitud N°92870 - Bolsas, etiquetas y cajas con impresión digital - CC112 / PS1772</t>
        </is>
      </c>
      <c r="C41" s="0">
        <v>1</v>
      </c>
      <c r="D41" s="4" t="inlineStr">
        <is>
          <t xml:space="preserve">Cajas para empaquetado</t>
        </is>
      </c>
      <c r="E41" s="4" t="inlineStr">
        <is>
          <t xml:space="preserve">Equipamiento para manejo y estiba de materiales / Materiales para envasado / Cajas, bolsas y sacos para envasado</t>
        </is>
      </c>
      <c r="F41" s="0">
        <v>1.0</v>
      </c>
      <c r="G41" s="0" t="inlineStr">
        <is>
          <t xml:space="preserve">Unidad</t>
        </is>
      </c>
      <c r="H41" s="4" t="inlineStr">
        <is>
          <t xml:space="preserve">800 Cajas de cartón y 800 juego tabiques con impresión.</t>
        </is>
      </c>
    </row>
    <row r="42">
      <c r="A42" s="0" t="inlineStr">
        <is>
          <t xml:space="preserve">564162-115-L126</t>
        </is>
      </c>
      <c r="B42" s="4" t="inlineStr">
        <is>
          <t xml:space="preserve">Solicitud N°92870 - Bolsas, etiquetas y cajas con impresión digital - CC112 / PS1772</t>
        </is>
      </c>
      <c r="C42" s="0">
        <v>2</v>
      </c>
      <c r="D42" s="4" t="inlineStr">
        <is>
          <t xml:space="preserve">Cajas para empaquetado</t>
        </is>
      </c>
      <c r="E42" s="4" t="inlineStr">
        <is>
          <t xml:space="preserve">Equipamiento para manejo y estiba de materiales / Materiales para envasado / Cajas, bolsas y sacos para envasado</t>
        </is>
      </c>
      <c r="F42" s="0">
        <v>1.0</v>
      </c>
      <c r="G42" s="0" t="inlineStr">
        <is>
          <t xml:space="preserve">Unidad</t>
        </is>
      </c>
      <c r="H42" s="4" t="inlineStr">
        <is>
          <t xml:space="preserve">850 cajas de cartón y 850 juego tabiques con impresión.</t>
        </is>
      </c>
    </row>
    <row r="43">
      <c r="A43" s="0" t="inlineStr">
        <is>
          <t xml:space="preserve">564162-115-L126</t>
        </is>
      </c>
      <c r="B43" s="4" t="inlineStr">
        <is>
          <t xml:space="preserve">Solicitud N°92870 - Bolsas, etiquetas y cajas con impresión digital - CC112 / PS1772</t>
        </is>
      </c>
      <c r="C43" s="0">
        <v>3</v>
      </c>
      <c r="D43" s="4" t="inlineStr">
        <is>
          <t xml:space="preserve">Papel, bolsas o cajas de regalo</t>
        </is>
      </c>
      <c r="E43" s="4" t="inlineStr">
        <is>
          <t xml:space="preserve">Productos de papel / Productos de papel / Papel fantasía</t>
        </is>
      </c>
      <c r="F43" s="0">
        <v>1.0</v>
      </c>
      <c r="G43" s="0" t="inlineStr">
        <is>
          <t xml:space="preserve">Unidad</t>
        </is>
      </c>
      <c r="H43" s="4" t="inlineStr">
        <is>
          <t xml:space="preserve">Bolsas de papel para botellas. 1.000 unidades.</t>
        </is>
      </c>
    </row>
    <row r="44">
      <c r="A44" s="0" t="inlineStr">
        <is>
          <t xml:space="preserve">564162-115-L126</t>
        </is>
      </c>
      <c r="B44" s="4" t="inlineStr">
        <is>
          <t xml:space="preserve">Solicitud N°92870 - Bolsas, etiquetas y cajas con impresión digital - CC112 / PS1772</t>
        </is>
      </c>
      <c r="C44" s="0">
        <v>4</v>
      </c>
      <c r="D44" s="4" t="inlineStr">
        <is>
          <t xml:space="preserve">Etiquetas autoadhesivas</t>
        </is>
      </c>
      <c r="E44" s="4" t="inlineStr">
        <is>
          <t xml:space="preserve">Productos impresos y publicaciones / Etiquetado y accesorios / Etiquetas</t>
        </is>
      </c>
      <c r="F44" s="0">
        <v>1.0</v>
      </c>
      <c r="G44" s="0" t="inlineStr">
        <is>
          <t xml:space="preserve">Unidad</t>
        </is>
      </c>
      <c r="H44" s="4" t="inlineStr">
        <is>
          <t xml:space="preserve">Etiquetas frontales. 5.081 unidades con impresión digital.
Contraetiquetas. 5.081 unidades con impresión digital.</t>
        </is>
      </c>
    </row>
    <row r="45">
      <c r="A45" s="0" t="inlineStr">
        <is>
          <t xml:space="preserve">564162-115-L126</t>
        </is>
      </c>
      <c r="B45" s="4" t="inlineStr">
        <is>
          <t xml:space="preserve">Solicitud N°92870 - Bolsas, etiquetas y cajas con impresión digital - CC112 / PS1772</t>
        </is>
      </c>
      <c r="C45" s="0">
        <v>5</v>
      </c>
      <c r="D45" s="4" t="inlineStr">
        <is>
          <t xml:space="preserve">Etiquetas autoadhesivas</t>
        </is>
      </c>
      <c r="E45" s="4" t="inlineStr">
        <is>
          <t xml:space="preserve">Productos impresos y publicaciones / Etiquetado y accesorios / Etiquetas</t>
        </is>
      </c>
      <c r="F45" s="0">
        <v>1.0</v>
      </c>
      <c r="G45" s="0" t="inlineStr">
        <is>
          <t xml:space="preserve">Unidad</t>
        </is>
      </c>
      <c r="H45" s="4" t="inlineStr">
        <is>
          <t xml:space="preserve">Etiquetas colgantes para botellas de vino. 5.081 unidades.</t>
        </is>
      </c>
    </row>
    <row r="46">
      <c r="A46" s="0" t="inlineStr">
        <is>
          <t xml:space="preserve">584105-34-LE26</t>
        </is>
      </c>
      <c r="B46" s="4" t="inlineStr">
        <is>
          <t xml:space="preserve">Licitacion licencia de software</t>
        </is>
      </c>
      <c r="C46" s="0">
        <v>1</v>
      </c>
      <c r="D46" s="4" t="inlineStr">
        <is>
          <t xml:space="preserve">Desarrolladores de software</t>
        </is>
      </c>
      <c r="E46" s="4" t="inlineStr">
        <is>
          <t xml:space="preserve">Servicios profesionales, administrativos y consultorías de gestión empresarial / Servicios de recursos humanos / Contratación de personal</t>
        </is>
      </c>
      <c r="F46" s="0">
        <v>1.0</v>
      </c>
      <c r="G46" s="0" t="inlineStr">
        <is>
          <t xml:space="preserve">Unidad</t>
        </is>
      </c>
      <c r="H46" s="4" t="inlineStr">
        <is>
          <t xml:space="preserve">LICITACIÓN PÚBLICA PARA LA “ADQUISICIÓN DE LICENCIA DE SOFTWARE NECESARIO PARA LA PLANIFICACIÓN ENERGÉTICA DE LA SUBSECRETARÍA DE ENERGÍA</t>
        </is>
      </c>
    </row>
    <row r="47">
      <c r="A47" s="0" t="inlineStr">
        <is>
          <t xml:space="preserve">721-29-LP26</t>
        </is>
      </c>
      <c r="B47" s="4" t="inlineStr">
        <is>
          <t xml:space="preserve">Respaldo y recuperación plataforma de servidores</t>
        </is>
      </c>
      <c r="C47" s="0">
        <v>1</v>
      </c>
      <c r="D47" s="4" t="inlineStr">
        <is>
          <t xml:space="preserve">Servidores de acceso</t>
        </is>
      </c>
      <c r="E47" s="4" t="inlineStr">
        <is>
          <t xml:space="preserve">Tecnologías de la información, telecomunicaciones y radiodifusión / Equipos, plataformas y accesorios de redes multimedia, voz y datos / Equipos de servicio de red</t>
        </is>
      </c>
      <c r="F47" s="0">
        <v>24.0</v>
      </c>
      <c r="G47" s="0" t="inlineStr">
        <is>
          <t xml:space="preserve">Unidad</t>
        </is>
      </c>
      <c r="H47" s="4" t="inlineStr">
        <is>
          <t xml:space="preserve">Servicio de respaldo y recuperación de su plataforma de servidores. Ofertar por el VALOR NETO MENSUAL DEL SERVICIO (valor de un mes de servicio) e indicar el detalle en el Anexo N°4 “Oferta Económica y Plazo de Implementación”</t>
        </is>
      </c>
    </row>
    <row r="48">
      <c r="A48" s="0" t="inlineStr">
        <is>
          <t xml:space="preserve">2324-109-LE26</t>
        </is>
      </c>
      <c r="B48" s="4" t="inlineStr">
        <is>
          <t xml:space="preserve">LICITACION PÚBLICA N° 52026 “CONTRATACION DE SOFTWARE CONTROL DE OBRAS Y GESTION DE PROYECTOS PARA LA INSPECCION DE OBRAS MUNICIPALES POR 3 AÑOS”</t>
        </is>
      </c>
      <c r="C48" s="0">
        <v>1</v>
      </c>
      <c r="D48" s="4" t="inlineStr">
        <is>
          <t xml:space="preserve">Programas de gestión de proyectos</t>
        </is>
      </c>
      <c r="E48" s="4" t="inlineStr">
        <is>
          <t xml:space="preserve">Tecnologías de la información, telecomunicaciones y radiodifusión / Software / Software de gestión</t>
        </is>
      </c>
      <c r="F48" s="0">
        <v>1.0</v>
      </c>
      <c r="G48" s="0" t="inlineStr">
        <is>
          <t xml:space="preserve">Global</t>
        </is>
      </c>
      <c r="H48" s="4" t="inlineStr">
        <is>
          <t xml:space="preserve">CONTRATCION DE SISTEMA DE PLATAFORMA CONTROL DE OBRAS Y GESTION PARA LA INSPECCION TECNICA DE OBRAS DE PROYECTOS FISCALIZADOS POR DIRECCION DE OBRAS MUNICIPALES.  (SEGÚN TERMINOS TECNICOS DE REFERENCIA ADJUNTA)</t>
        </is>
      </c>
    </row>
    <row r="49">
      <c r="A49" s="0" t="inlineStr">
        <is>
          <t xml:space="preserve">29-69-LE26</t>
        </is>
      </c>
      <c r="B49" s="4" t="inlineStr">
        <is>
          <t xml:space="preserve">SERVICIO DE TRANSMISIÓN ELECTRÓNICA DE DATOS</t>
        </is>
      </c>
      <c r="C49" s="0">
        <v>1</v>
      </c>
      <c r="D49" s="4" t="inlineStr">
        <is>
          <t xml:space="preserve">Servicios de transmisión de datos de registro</t>
        </is>
      </c>
      <c r="E49" s="4" t="inlineStr">
        <is>
          <t xml:space="preserve">Servicios de perforación de minería, petróleo y gas / Servicios gestión y proceso de datos e información sobre petróleo y gas / Servicios de comunicación de datos del campo petrolífero</t>
        </is>
      </c>
      <c r="F49" s="0">
        <v>1.0</v>
      </c>
      <c r="G49" s="0" t="inlineStr">
        <is>
          <t xml:space="preserve">Unidad</t>
        </is>
      </c>
      <c r="H49" s="4" t="inlineStr">
        <is>
          <t xml:space="preserve">SERVICIO DE TRANSMISIÓN ELECTRÓNICA DE DATOS ENTRE LA FUERZA AÉREA DE CHILE Y EL SERVICIO NACIONAL DE ADUANAS.</t>
        </is>
      </c>
    </row>
    <row r="50">
      <c r="A50" s="0" t="inlineStr">
        <is>
          <t xml:space="preserve">2446-251-LE26</t>
        </is>
      </c>
      <c r="B50" s="4" t="inlineStr">
        <is>
          <t xml:space="preserve">IMPLEMENTACION PLATAFORMA E-LEARNING</t>
        </is>
      </c>
      <c r="C50" s="0">
        <v>1</v>
      </c>
      <c r="D50" s="4" t="inlineStr">
        <is>
          <t xml:space="preserve">E-learning</t>
        </is>
      </c>
      <c r="E50" s="4" t="inlineStr">
        <is>
          <t xml:space="preserve">Educación, formación, entrenamiento y capacitación / Servicios de orientación y tecnología educativa / Tecnología educativa</t>
        </is>
      </c>
      <c r="F50" s="0">
        <v>1.0</v>
      </c>
      <c r="G50" s="0" t="inlineStr">
        <is>
          <t xml:space="preserve">Unidad</t>
        </is>
      </c>
      <c r="H50" s="4" t="inlineStr">
        <is>
          <t xml:space="preserve">PROGRAMA DE IMPLEMENTACIÓN PLATAFORMA E-LEARNING PARA ENSEÑANZA DE IDIOMA INGLÉS, SEGÚN ESPECIFICACIONES TÉCNICAS ADJUNTAS</t>
        </is>
      </c>
    </row>
    <row r="51">
      <c r="A51" s="0" t="inlineStr">
        <is>
          <t xml:space="preserve">2490-81-LP26</t>
        </is>
      </c>
      <c r="B51" s="4" t="inlineStr">
        <is>
          <t xml:space="preserve">“RENOVACIÓN Y ADQUISICIÓN DE SOFTWARE DE LICENCIAS AUTODESK O EQUIVALENTE 2026-2027”</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VALOR NETO TOTAL PARA EL SERVICIO “RENOVACIÓN Y ADQUISICIÓN DE SOFTWARE DE LICENCIAS AUTODESK O EQUIVALENTE 2026-2027”, EN USD, SEGÚN LO OFERTADO EN FORMULARIO N°4.</t>
        </is>
      </c>
    </row>
    <row r="52">
      <c r="A52" s="0" t="inlineStr">
        <is>
          <t xml:space="preserve">1007793-15-LE26</t>
        </is>
      </c>
      <c r="B52" s="4" t="inlineStr">
        <is>
          <t xml:space="preserve">SOLUCIÓN INFORMÁTICA INSTITUCIONAL PARA EL CFT</t>
        </is>
      </c>
      <c r="C52" s="0">
        <v>1</v>
      </c>
      <c r="D52" s="4" t="inlineStr">
        <is>
          <t xml:space="preserve">Software de desarrollo de plataforma Web</t>
        </is>
      </c>
      <c r="E52" s="4" t="inlineStr">
        <is>
          <t xml:space="preserve">Tecnologías de la información, telecomunicaciones y radiodifusión / Software / Programas de desarrollo</t>
        </is>
      </c>
      <c r="F52" s="0">
        <v>1.0</v>
      </c>
      <c r="G52" s="0" t="inlineStr">
        <is>
          <t xml:space="preserve">Unidad</t>
        </is>
      </c>
      <c r="H52" s="4" t="inlineStr">
        <is>
          <t xml:space="preserve">Solución informática para la gestión de iniciativas de Vinculación con el Medio.</t>
        </is>
      </c>
    </row>
    <row r="53">
      <c r="A53" s="0" t="inlineStr">
        <is>
          <t xml:space="preserve">1007793-15-LE26</t>
        </is>
      </c>
      <c r="B53" s="4" t="inlineStr">
        <is>
          <t xml:space="preserve">SOLUCIÓN INFORMÁTICA INSTITUCIONAL PARA EL CFT</t>
        </is>
      </c>
      <c r="C53" s="0">
        <v>2</v>
      </c>
      <c r="D53" s="4" t="inlineStr">
        <is>
          <t xml:space="preserve">Software de desarrollo de plataforma Web</t>
        </is>
      </c>
      <c r="E53" s="4" t="inlineStr">
        <is>
          <t xml:space="preserve">Tecnologías de la información, telecomunicaciones y radiodifusión / Software / Programas de desarrollo</t>
        </is>
      </c>
      <c r="F53" s="0">
        <v>1.0</v>
      </c>
      <c r="G53" s="0" t="inlineStr">
        <is>
          <t xml:space="preserve">Unidad</t>
        </is>
      </c>
      <c r="H53" s="4" t="inlineStr">
        <is>
          <t xml:space="preserve">Implementación y puesta en marcha de la solución</t>
        </is>
      </c>
    </row>
    <row r="54">
      <c r="A54" s="0" t="inlineStr">
        <is>
          <t xml:space="preserve">1007793-15-LE26</t>
        </is>
      </c>
      <c r="B54" s="4" t="inlineStr">
        <is>
          <t xml:space="preserve">SOLUCIÓN INFORMÁTICA INSTITUCIONAL PARA EL CFT</t>
        </is>
      </c>
      <c r="C54" s="0">
        <v>3</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Unidad</t>
        </is>
      </c>
      <c r="H54" s="4" t="inlineStr">
        <is>
          <t xml:space="preserve">Soporte técnico por 24 meses.</t>
        </is>
      </c>
    </row>
    <row r="55">
      <c r="A55" s="0" t="inlineStr">
        <is>
          <t xml:space="preserve">1978-44-LE26</t>
        </is>
      </c>
      <c r="B55" s="4" t="inlineStr">
        <is>
          <t xml:space="preserve">ADQUISICIÓN DE SOLUCIÓN XDR PARA CIBERSEGURIDAD AVANZADA SERVICIO DE SALUD MAULE</t>
        </is>
      </c>
      <c r="C55" s="0">
        <v>1</v>
      </c>
      <c r="D55" s="4" t="inlineStr">
        <is>
          <t xml:space="preserve">Seguridad para computadores, redes e Internet</t>
        </is>
      </c>
      <c r="E55" s="4" t="inlineStr">
        <is>
          <t xml:space="preserve">Servicios basados en ingeniería, ciencias sociales y tecnología de la información / Servicios informáticos / Administración de sistemas</t>
        </is>
      </c>
      <c r="F55" s="0">
        <v>1.0</v>
      </c>
      <c r="G55" s="0" t="inlineStr">
        <is>
          <t xml:space="preserve">Unidad</t>
        </is>
      </c>
      <c r="H55" s="4" t="inlineStr">
        <is>
          <t xml:space="preserve">Suscripción y el licenciamiento de una solución XDR para Servicio de Salud Maule.</t>
        </is>
      </c>
    </row>
    <row r="56">
      <c r="A56" s="0" t="inlineStr">
        <is>
          <t xml:space="preserve">2422-149-L126</t>
        </is>
      </c>
      <c r="B56" s="4" t="inlineStr">
        <is>
          <t xml:space="preserve">SOL. 945841, SERVISIO DE FABRICACION E INSTALACION DE TABLERO PARA BALNEARIO</t>
        </is>
      </c>
      <c r="C56" s="0">
        <v>1</v>
      </c>
      <c r="D56" s="4" t="inlineStr">
        <is>
          <t xml:space="preserve">Servicios de fabricación de calderas para central eléctrica</t>
        </is>
      </c>
      <c r="E56" s="4" t="inlineStr">
        <is>
          <t xml:space="preserve">Servicios de producción y fabricación industrial / Fabricación de maquinarias y equipos de transporte / Fabricación de maquinarias</t>
        </is>
      </c>
      <c r="F56" s="0">
        <v>1.0</v>
      </c>
      <c r="G56" s="0" t="inlineStr">
        <is>
          <t xml:space="preserve">Kit</t>
        </is>
      </c>
      <c r="H56"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57">
      <c r="A57" s="0" t="inlineStr">
        <is>
          <t xml:space="preserve">2548-74-LE26</t>
        </is>
      </c>
      <c r="B57" s="4" t="inlineStr">
        <is>
          <t xml:space="preserve">PROVISIÓN AUDÍFONOS RETROAURICULARES DIGITALES</t>
        </is>
      </c>
      <c r="C57" s="0">
        <v>1</v>
      </c>
      <c r="D57" s="4" t="inlineStr">
        <is>
          <t xml:space="preserve">Audífonos para personas con discapacidad física</t>
        </is>
      </c>
      <c r="E57" s="4" t="inlineStr">
        <is>
          <t xml:space="preserve">Equipamiento y suministros médicos / Ayuda para personas con discapacidad / Artículos de ayuda para la comunicación de discapacitados</t>
        </is>
      </c>
      <c r="F57" s="0">
        <v>1.0</v>
      </c>
      <c r="G57" s="0" t="inlineStr">
        <is>
          <t xml:space="preserve">Unidad</t>
        </is>
      </c>
      <c r="H57" s="4" t="inlineStr">
        <is>
          <t xml:space="preserve">AUDÍFONOS RETROAURICULARES DIGITALES. DE ACUERDO A BASES TÉCNICAS</t>
        </is>
      </c>
    </row>
    <row r="58">
      <c r="A58" s="0" t="inlineStr">
        <is>
          <t xml:space="preserve">3378-51-LP26</t>
        </is>
      </c>
      <c r="B58" s="4" t="inlineStr">
        <is>
          <t xml:space="preserve">SERVICIO DE SOPORTE Y MANTENCIÓN DE SISTEMA Y BASE DE DATOS SAP-HANA BUSINESS ONE PARA EL HMS POR 36 MESES</t>
        </is>
      </c>
      <c r="C58" s="0">
        <v>1</v>
      </c>
      <c r="D58" s="4" t="inlineStr">
        <is>
          <t xml:space="preserve">Mantenimiento y soporte de sistemas propietarios</t>
        </is>
      </c>
      <c r="E58" s="4" t="inlineStr">
        <is>
          <t xml:space="preserve">Servicios basados en ingeniería, ciencias sociales y tecnología de la información / Servicios informáticos / Administración de sistemas</t>
        </is>
      </c>
      <c r="F58" s="0">
        <v>1.0</v>
      </c>
      <c r="G58" s="0" t="inlineStr">
        <is>
          <t xml:space="preserve">Unidad</t>
        </is>
      </c>
      <c r="H58" s="4" t="inlineStr">
        <is>
          <t xml:space="preserve">SOPORTE Y MANTENCION DE SISTEMA Y BASE DE DATOS SAP-HANA BUSINESS ONE</t>
        </is>
      </c>
    </row>
    <row r="59">
      <c r="A59" s="0" t="inlineStr">
        <is>
          <t xml:space="preserve">634-67-LR26</t>
        </is>
      </c>
      <c r="B59" s="4" t="inlineStr">
        <is>
          <t xml:space="preserve">MODERNIZACIÓN DEL SISTEMA ELECTRÓNICO DE SEGURIDAD</t>
        </is>
      </c>
      <c r="C59" s="0">
        <v>1</v>
      </c>
      <c r="D59" s="4" t="inlineStr">
        <is>
          <t xml:space="preserve">Instalación de sistemas de seguridad</t>
        </is>
      </c>
      <c r="E59" s="4" t="inlineStr">
        <is>
          <t xml:space="preserve">Servicios de construcción y mantenimiento / Servicios de atención, mantenimiento y reparaciones de edificios / Servicios eléctricos</t>
        </is>
      </c>
      <c r="F59" s="0">
        <v>1.0</v>
      </c>
      <c r="G59" s="0" t="inlineStr">
        <is>
          <t xml:space="preserve">Unidad</t>
        </is>
      </c>
      <c r="H59" s="4" t="inlineStr">
        <is>
          <t xml:space="preserve">MODERNIZACIÓN DEL SISTEMA ELECTRÓNICO DE SEGURIDAD DEL CENTRO PENITENCIARIO FEMENINO DE ANTOFAGASTA.</t>
        </is>
      </c>
    </row>
    <row r="60">
      <c r="A60" s="0" t="inlineStr">
        <is>
          <t xml:space="preserve">932-22-L126</t>
        </is>
      </c>
      <c r="B60" s="4" t="inlineStr">
        <is>
          <t xml:space="preserve">SERVICIO DE REPARACIÓN DE LUMINARIAS, INSTALACIONES ELECTRICAS Y NORMALIZACIÓN DE TABLERO ELECTRONICO DEL COMPLEJO DEPORTIVO HERMOGENES LIZANA, DEL INSTITUTO NACIONAL DE DEPORTES DE O¨HIGGINS.</t>
        </is>
      </c>
      <c r="C60" s="0">
        <v>1</v>
      </c>
      <c r="D60" s="4" t="inlineStr">
        <is>
          <t xml:space="preserve">Servicio de reparación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61">
      <c r="A61" s="0" t="inlineStr">
        <is>
          <t xml:space="preserve">932-25-LE26</t>
        </is>
      </c>
      <c r="B61" s="4" t="inlineStr">
        <is>
          <t xml:space="preserve">SERVICIO DE MANTENIMIENTO PREVENTIVO Y CORRECTIVO HABITUAL DEL SISTEMA ELÉCTRICO  CORRIENTES DÉBILES E INFRAESTRUCTURA DE DATOS PARA EL CENTRO DEPORTIVO COMUNITARIO  DE  RANCAGUA</t>
        </is>
      </c>
      <c r="C61" s="0">
        <v>1</v>
      </c>
      <c r="D61" s="4" t="inlineStr">
        <is>
          <t xml:space="preserve">Servicio de mantenimiento de equipo de fabricación</t>
        </is>
      </c>
      <c r="E61" s="4" t="inlineStr">
        <is>
          <t xml:space="preserve">Servicios de producción y fabricación industrial / Servicios de apoyo o soporte a la fabricación / Servicios de mantenimiento y reparación de equipo de fabricación</t>
        </is>
      </c>
      <c r="F61" s="0">
        <v>1.0</v>
      </c>
      <c r="G61" s="0" t="inlineStr">
        <is>
          <t xml:space="preserve">Unidad</t>
        </is>
      </c>
      <c r="H6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2">
      <c r="A62" s="0" t="inlineStr">
        <is>
          <t xml:space="preserve">2658-284-L126</t>
        </is>
      </c>
      <c r="B62" s="4" t="inlineStr">
        <is>
          <t xml:space="preserve">Suscripción anual a Plataforma de Inteligencia Artificial avanzada</t>
        </is>
      </c>
      <c r="C62" s="0">
        <v>1</v>
      </c>
      <c r="D62" s="4" t="inlineStr">
        <is>
          <t xml:space="preserve">Software de extracción de datos</t>
        </is>
      </c>
      <c r="E62" s="4" t="inlineStr">
        <is>
          <t xml:space="preserve">Tecnologías de la información, telecomunicaciones y radiodifusión / Software / Software de consultas y gestión de datos</t>
        </is>
      </c>
      <c r="F62" s="0">
        <v>5.0</v>
      </c>
      <c r="G62" s="0" t="inlineStr">
        <is>
          <t xml:space="preserve">Unidad</t>
        </is>
      </c>
      <c r="H62" s="4" t="inlineStr">
        <is>
          <t xml:space="preserve">Suscripción anual (12 meses) a plataforma de inteligencia artificial avanzada - CHATGPT PLUS (OPEN AI), según detalles adjunto en orden de pedido.</t>
        </is>
      </c>
    </row>
    <row r="63">
      <c r="A63" s="0" t="inlineStr">
        <is>
          <t xml:space="preserve">598-16-LE26</t>
        </is>
      </c>
      <c r="B63" s="4" t="inlineStr">
        <is>
          <t xml:space="preserve">SERVICIO DE CAPACITACIÓN EN PROTECCIÓN DE DATOS PERSONALES GOBERNANZA DE DATOS Y CUMPLIMIENTO NORMATIVO</t>
        </is>
      </c>
      <c r="C63" s="0">
        <v>1</v>
      </c>
      <c r="D63" s="4" t="inlineStr">
        <is>
          <t xml:space="preserve">Formación, capacitación y entrenamiento de personal</t>
        </is>
      </c>
      <c r="E63" s="4" t="inlineStr">
        <is>
          <t xml:space="preserve">Servicios profesionales, administrativos y consultorías de gestión empresarial / Servicios de recursos humanos / Consultorías para el desarrollo de recursos humanos</t>
        </is>
      </c>
      <c r="F63" s="0">
        <v>1.0</v>
      </c>
      <c r="G63" s="0" t="inlineStr">
        <is>
          <t xml:space="preserve">Unidad</t>
        </is>
      </c>
      <c r="H63" s="4" t="inlineStr">
        <is>
          <t xml:space="preserve">DIPRECA requiere la contratación de servicios
especializados de capacitación en materias de protección de datos personales, tratamiento de datos, gobernanza de datos y cumplimiento normativo.</t>
        </is>
      </c>
    </row>
    <row r="64">
      <c r="A64" s="0" t="inlineStr">
        <is>
          <t xml:space="preserve">610-16-LP26</t>
        </is>
      </c>
      <c r="B64" s="4" t="inlineStr">
        <is>
          <t xml:space="preserve">Adquisición de productos y servicios destinados a la “Implementación de software para nueva Plataforma de Virtualización”.</t>
        </is>
      </c>
      <c r="C64" s="0">
        <v>1</v>
      </c>
      <c r="D64" s="4" t="inlineStr">
        <is>
          <t xml:space="preserve">Paquetes de software para oficinas</t>
        </is>
      </c>
      <c r="E64" s="4" t="inlineStr">
        <is>
          <t xml:space="preserve">Tecnologías de la información, telecomunicaciones y radiodifusión / Software / Software de gestión</t>
        </is>
      </c>
      <c r="F64" s="0">
        <v>1.0</v>
      </c>
      <c r="G64" s="0" t="inlineStr">
        <is>
          <t xml:space="preserve">Unidad</t>
        </is>
      </c>
      <c r="H64" s="4" t="inlineStr">
        <is>
          <t xml:space="preserve">Adquisición de productos y servicios destinados a la “Implementación de software para nueva Plataforma de Virtualización”.</t>
        </is>
      </c>
    </row>
    <row r="65">
      <c r="A65" s="0" t="inlineStr">
        <is>
          <t xml:space="preserve">2448-122-L126</t>
        </is>
      </c>
      <c r="B65" s="4" t="inlineStr">
        <is>
          <t xml:space="preserve">ADQ. BOLSA DE CREDITOS DE CONSUMO EN NUBE PUBLICA</t>
        </is>
      </c>
      <c r="C65" s="0">
        <v>1</v>
      </c>
      <c r="D65" s="4" t="inlineStr">
        <is>
          <t xml:space="preserve">Software del sistema de administración de bases de datos</t>
        </is>
      </c>
      <c r="E65" s="4" t="inlineStr">
        <is>
          <t xml:space="preserve">Tecnologías de la información, telecomunicaciones y radiodifusión / Software / Software de consultas y gestión de datos</t>
        </is>
      </c>
      <c r="F65" s="0">
        <v>1.0</v>
      </c>
      <c r="G65" s="0" t="inlineStr">
        <is>
          <t xml:space="preserve">Año</t>
        </is>
      </c>
      <c r="H65" s="4" t="inlineStr">
        <is>
          <t xml:space="preserve">Bolsa de Créditos de Consumo en Nube Pública (IaaS/PaaS)</t>
        </is>
      </c>
    </row>
    <row r="66">
      <c r="A66" s="0" t="inlineStr">
        <is>
          <t xml:space="preserve">5586-127-LE26</t>
        </is>
      </c>
      <c r="B66" s="4" t="inlineStr">
        <is>
          <t xml:space="preserve">BC SISTEMA DE ADQUISICIÓN DE DATOS INSTRUMENTACIÓN Y MONITOREO DE ENSAYOS EXPERIMENTALES DE SIMULACIÓN SÍSMICA EN MUROS</t>
        </is>
      </c>
      <c r="C66" s="0">
        <v>1</v>
      </c>
      <c r="D66" s="4" t="inlineStr">
        <is>
          <t xml:space="preserve">Módulos de alarma sísmica</t>
        </is>
      </c>
      <c r="E66" s="4" t="inlineStr">
        <is>
          <t xml:space="preserve">Equipamiento para laboratorios / Instrumentos de medida y experimentación / Instrumentos sismológicos</t>
        </is>
      </c>
      <c r="F66" s="0">
        <v>1.0</v>
      </c>
      <c r="G66" s="0" t="inlineStr">
        <is>
          <t xml:space="preserve">Global</t>
        </is>
      </c>
      <c r="H66" s="4" t="inlineStr">
        <is>
          <t xml:space="preserve">SISTEMA DE ADQUISICIÓN DE DATOS INSTRUMENTACIÓN Y MONITOREO DE ENSAYOS EXPERIMENTALES DE SIMULACIÓN SÍSMICA EN MUROS, DE ACUERDO A DETALLE DOCUMENTO ADJUNTO</t>
        </is>
      </c>
    </row>
    <row r="67">
      <c r="A67" s="0" t="inlineStr">
        <is>
          <t xml:space="preserve">1016-8-LE26</t>
        </is>
      </c>
      <c r="B67" s="4" t="inlineStr">
        <is>
          <t xml:space="preserve">Licencias de inteligencia artificial generativa tipo Claude Team o similar para la Dirección de Planeamiento</t>
        </is>
      </c>
      <c r="C67" s="0">
        <v>1</v>
      </c>
      <c r="D67" s="4" t="inlineStr">
        <is>
          <t xml:space="preserve">Software de sistema experto</t>
        </is>
      </c>
      <c r="E67" s="4" t="inlineStr">
        <is>
          <t xml:space="preserve">Tecnologías de la información, telecomunicaciones y radiodifusión / Software / Software de gestión</t>
        </is>
      </c>
      <c r="F67" s="0">
        <v>1.0</v>
      </c>
      <c r="G67" s="0" t="inlineStr">
        <is>
          <t xml:space="preserve">Unidad</t>
        </is>
      </c>
      <c r="H67" s="4" t="inlineStr">
        <is>
          <t xml:space="preserve">Licencias Premium de IAGen tipo Claude Team o Similar</t>
        </is>
      </c>
    </row>
    <row r="68">
      <c r="A68" s="0" t="inlineStr">
        <is>
          <t xml:space="preserve">1016-8-LE26</t>
        </is>
      </c>
      <c r="B68" s="4" t="inlineStr">
        <is>
          <t xml:space="preserve">Licencias de inteligencia artificial generativa tipo Claude Team o similar para la Dirección de Planeamiento</t>
        </is>
      </c>
      <c r="C68" s="0">
        <v>2</v>
      </c>
      <c r="D68" s="4" t="inlineStr">
        <is>
          <t xml:space="preserve">Software de clasificación o categorización</t>
        </is>
      </c>
      <c r="E68" s="4" t="inlineStr">
        <is>
          <t xml:space="preserve">Tecnologías de la información, telecomunicaciones y radiodifusión / Software / Software de consultas y gestión de datos</t>
        </is>
      </c>
      <c r="F68" s="0">
        <v>1.0</v>
      </c>
      <c r="G68" s="0" t="inlineStr">
        <is>
          <t xml:space="preserve">Unidad</t>
        </is>
      </c>
      <c r="H68" s="4" t="inlineStr">
        <is>
          <t xml:space="preserve">Licencias Standard de IAGen tipo Claude Team o Similar</t>
        </is>
      </c>
    </row>
    <row r="69">
      <c r="A69" s="0" t="inlineStr">
        <is>
          <t xml:space="preserve">542429-7-LE26</t>
        </is>
      </c>
      <c r="B69" s="4" t="inlineStr">
        <is>
          <t xml:space="preserve">“Provisión de licencias de software</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Provisión de licencias de software: Ítem 1: Dameware, por 3 años.</t>
        </is>
      </c>
    </row>
    <row r="70">
      <c r="A70" s="0" t="inlineStr">
        <is>
          <t xml:space="preserve">542429-7-LE26</t>
        </is>
      </c>
      <c r="B70" s="4" t="inlineStr">
        <is>
          <t xml:space="preserve">“Provisión de licencias de software</t>
        </is>
      </c>
      <c r="C70" s="0">
        <v>2</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Provisión de licencias de software: Ítem 2: Log360, por 3 años.</t>
        </is>
      </c>
    </row>
    <row r="71">
      <c r="A71" s="0" t="inlineStr">
        <is>
          <t xml:space="preserve">542429-7-LE26</t>
        </is>
      </c>
      <c r="B71" s="4" t="inlineStr">
        <is>
          <t xml:space="preserve">“Provisión de licencias de software</t>
        </is>
      </c>
      <c r="C71" s="0">
        <v>3</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Provisión de licencias de software: Ítem 3: Microsoft 365 descargable, por 1 año.</t>
        </is>
      </c>
    </row>
    <row r="72">
      <c r="A72" s="0" t="inlineStr">
        <is>
          <t xml:space="preserve">542429-7-LE26</t>
        </is>
      </c>
      <c r="B72" s="4" t="inlineStr">
        <is>
          <t xml:space="preserve">“Provisión de licencias de software</t>
        </is>
      </c>
      <c r="C72" s="0">
        <v>4</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Provisión de licencias de software: Ítem 4: IntelliJ IDEA ultimate, por 1 año.</t>
        </is>
      </c>
    </row>
    <row r="73">
      <c r="A73" s="0" t="inlineStr">
        <is>
          <t xml:space="preserve">1057531-10-L126</t>
        </is>
      </c>
      <c r="B73" s="4" t="inlineStr">
        <is>
          <t xml:space="preserve">Contratación de Convenio Prótesis Fijas con sistema digital CADCAM 2026-2027</t>
        </is>
      </c>
      <c r="C73" s="0">
        <v>1</v>
      </c>
      <c r="D73" s="4" t="inlineStr">
        <is>
          <t xml:space="preserve">Coronas o formas de coronas</t>
        </is>
      </c>
      <c r="E73" s="4" t="inlineStr">
        <is>
          <t xml:space="preserve">Equipamiento y suministros médicos / Equipos y suministros odontológicos / Suministros y equipos de odontología cosmética</t>
        </is>
      </c>
      <c r="F73" s="0">
        <v>15.0</v>
      </c>
      <c r="G73" s="0" t="inlineStr">
        <is>
          <t xml:space="preserve">Unidad no definida</t>
        </is>
      </c>
      <c r="H73" s="4" t="inlineStr">
        <is>
          <t xml:space="preserve">Contratación de servicios de convenio Prótesis Fijas con sistema digital CADCAM, para Beneficiarios del HRN para los años 2026-2027</t>
        </is>
      </c>
    </row>
    <row r="74">
      <c r="A74" s="0" t="inlineStr">
        <is>
          <t xml:space="preserve">1456835-1-LP26</t>
        </is>
      </c>
      <c r="B74" s="4" t="inlineStr">
        <is>
          <t xml:space="preserve">SERVICIO DE ARRIENDO DE SOFTWARE DE GDP Y REMUNERA</t>
        </is>
      </c>
      <c r="C74" s="0">
        <v>1</v>
      </c>
      <c r="D74" s="4" t="inlineStr">
        <is>
          <t xml:space="preserve">Software de gestión de recursos humanos</t>
        </is>
      </c>
      <c r="E74" s="4" t="inlineStr">
        <is>
          <t xml:space="preserve">Tecnologías de la información, telecomunicaciones y radiodifusión / Software / Software de gestión</t>
        </is>
      </c>
      <c r="F74" s="0">
        <v>1.0</v>
      </c>
      <c r="G74" s="0" t="inlineStr">
        <is>
          <t xml:space="preserve">Unidad</t>
        </is>
      </c>
      <c r="H74" s="4" t="inlineStr">
        <is>
          <t xml:space="preserve">SERVICIO DE ARRIENDO DE SOFTWARE DE GESTIÓN DE PERSONAS Y REMUNERACIONES PARA EL SERVICIO LOCAL DE EDUCACIÓN PÚBLICA DEL LITORAL, P01 y P02.</t>
        </is>
      </c>
    </row>
    <row r="75">
      <c r="A75" s="0" t="inlineStr">
        <is>
          <t xml:space="preserve">520149-35-L126</t>
        </is>
      </c>
      <c r="B75" s="4" t="inlineStr">
        <is>
          <t xml:space="preserve">SERVICIO DE INSTALACIÓN, TRASLADO Y REPARACIÓN DE PUNTOS DE DATOS, PARA LOS EDIFICIOS JOSÉ MIGUEL CARRERA Y SEDE DE LA ACADEMIA DIPLOMÁTICA BAJO LA MODALIDAD DE CONTRATO DE SUMINISTRO.</t>
        </is>
      </c>
      <c r="C75" s="0">
        <v>1</v>
      </c>
      <c r="D75" s="4" t="inlineStr">
        <is>
          <t xml:space="preserve">Conjuntos de cableado</t>
        </is>
      </c>
      <c r="E75" s="4" t="inlineStr">
        <is>
          <t xml:space="preserve">Tecnologías de la información, telecomunicaciones y radiodifusión / Componentes para tecnología de la información, difusión o telecomunicaciones / Subconjuntos para dispositivos electrónicos</t>
        </is>
      </c>
      <c r="F75" s="0">
        <v>1.0</v>
      </c>
      <c r="G75" s="0" t="inlineStr">
        <is>
          <t xml:space="preserve">Unidad</t>
        </is>
      </c>
      <c r="H75" s="4" t="inlineStr">
        <is>
          <t xml:space="preserve">Servicio de instalación, traslado y reparación de puntos de datos, conforme las especificaciones técnicas en adelante descritas, para los edificios José Miguel Carrera y sede de la Academia Diplomática</t>
        </is>
      </c>
    </row>
    <row r="76">
      <c r="A76" s="0" t="inlineStr">
        <is>
          <t xml:space="preserve">2793-121-LE26</t>
        </is>
      </c>
      <c r="B76" s="4" t="inlineStr">
        <is>
          <t xml:space="preserve">LICENCIAS DE SOFTWARE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LICENCIAS DE SOFTWARE LECTOR, MODIFICADOR Y CREADOR DE DOCUMENTOS PDF, SEGÚN BASES ADJUNTAS.</t>
        </is>
      </c>
    </row>
    <row r="77">
      <c r="A77" s="0" t="inlineStr">
        <is>
          <t xml:space="preserve">1978-85-LE26</t>
        </is>
      </c>
      <c r="B77" s="4" t="inlineStr">
        <is>
          <t xml:space="preserve">Soporte Acronis Backup Cloud y Acronis Storage</t>
        </is>
      </c>
      <c r="C77" s="0">
        <v>1</v>
      </c>
      <c r="D77" s="4" t="inlineStr">
        <is>
          <t xml:space="preserve">Software de sistema experto</t>
        </is>
      </c>
      <c r="E77" s="4" t="inlineStr">
        <is>
          <t xml:space="preserve">Tecnologías de la información, telecomunicaciones y radiodifusión / Software / Software de gestión</t>
        </is>
      </c>
      <c r="F77" s="0">
        <v>36.0</v>
      </c>
      <c r="G77" s="0" t="inlineStr">
        <is>
          <t xml:space="preserve">Mes</t>
        </is>
      </c>
      <c r="H77" s="4" t="inlineStr">
        <is>
          <t xml:space="preserve">Soporte Acronis Backup Cloud y Acronis Storage</t>
        </is>
      </c>
    </row>
    <row r="78">
      <c r="A78" s="0" t="inlineStr">
        <is>
          <t xml:space="preserve">742475-4-LE26</t>
        </is>
      </c>
      <c r="B78" s="4" t="inlineStr">
        <is>
          <t xml:space="preserve">Adquisición de equipos informáticos para el programa Oficina Local de la Niñez</t>
        </is>
      </c>
      <c r="C78" s="0">
        <v>1</v>
      </c>
      <c r="D78" s="4" t="inlineStr">
        <is>
          <t xml:space="preserve">Notebook, laptop o computador portátil excepto Tablet PC</t>
        </is>
      </c>
      <c r="E78" s="4" t="inlineStr">
        <is>
          <t xml:space="preserve">Tecnologías de la información, telecomunicaciones y radiodifusión / Equipos informáticos y accesorios / Computadores</t>
        </is>
      </c>
      <c r="F78" s="0">
        <v>1.0</v>
      </c>
      <c r="G78" s="0" t="inlineStr">
        <is>
          <t xml:space="preserve">Unidad</t>
        </is>
      </c>
      <c r="H78" s="4" t="inlineStr">
        <is>
          <t xml:space="preserve">ADQUISICIÓN DE EQUIPOS INFORMÁTICOS PARA EL PROGRAMA OFICINA LOCAL DE LA NIÑEZ. DE ACUERDO A BASES TÉCNICAS</t>
        </is>
      </c>
    </row>
    <row r="79">
      <c r="A79" s="0" t="inlineStr">
        <is>
          <t xml:space="preserve">1469-175-L126</t>
        </is>
      </c>
      <c r="B79" s="4" t="inlineStr">
        <is>
          <t xml:space="preserve">TABLERO PARA BOMBA SUMERGIBLE, CAMPUS TALCA, UNIVERSIDAD DE TALCA.</t>
        </is>
      </c>
      <c r="C79" s="0">
        <v>1</v>
      </c>
      <c r="D79" s="4" t="inlineStr">
        <is>
          <t xml:space="preserve">Bombas sumergibles</t>
        </is>
      </c>
      <c r="E79" s="4" t="inlineStr">
        <is>
          <t xml:space="preserve">Equipamiento para el acondicionamiento, distribución y filtrado de fluidos / Bombas y compresores industriales / Bombas</t>
        </is>
      </c>
      <c r="F79" s="0">
        <v>1.0</v>
      </c>
      <c r="G79" s="0" t="inlineStr">
        <is>
          <t xml:space="preserve">Unidad</t>
        </is>
      </c>
      <c r="H79" s="4" t="inlineStr">
        <is>
          <t xml:space="preserve">La Universidad de Talca requiere de los servicios de retiro e instalación de nuevo tablero de control para bomba sumergible.</t>
        </is>
      </c>
    </row>
    <row r="80">
      <c r="A80" s="0" t="inlineStr">
        <is>
          <t xml:space="preserve">1562-52-LE26</t>
        </is>
      </c>
      <c r="B80" s="4" t="inlineStr">
        <is>
          <t xml:space="preserve">ADQUISICIÓN RENOVACIÓN PLATAFORMA ROCSCIENCE</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t>
        </is>
      </c>
      <c r="H80"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81">
      <c r="A81" s="0" t="inlineStr">
        <is>
          <t xml:space="preserve">1057390-48-LP26</t>
        </is>
      </c>
      <c r="B81" s="4" t="inlineStr">
        <is>
          <t xml:space="preserve">CONV. RADIOCOMUNICACIÓN DIGITAL SAMU</t>
        </is>
      </c>
      <c r="C81" s="0">
        <v>1</v>
      </c>
      <c r="D81" s="4" t="inlineStr">
        <is>
          <t xml:space="preserve">Sistemas de radio a pequeña escala</t>
        </is>
      </c>
      <c r="E81" s="4" t="inlineStr">
        <is>
          <t xml:space="preserve">Servicios básicos y de información pública / Telecomunicaciones / Servicios de radio</t>
        </is>
      </c>
      <c r="F81" s="0">
        <v>1.0</v>
      </c>
      <c r="G81" s="0" t="inlineStr">
        <is>
          <t xml:space="preserve">Mes</t>
        </is>
      </c>
      <c r="H81" s="4" t="inlineStr">
        <is>
          <t xml:space="preserve">Prestación mensual de servicio de comunicaciones digitales de voz tipo PTT (Push To Talk) sobre redes de banda ancha, para el SAMU Malleco, dependiente del Servicio de Salud Araucanía Norte. Total Anexo 1 .</t>
        </is>
      </c>
    </row>
    <row r="82">
      <c r="A82" s="0" t="inlineStr">
        <is>
          <t xml:space="preserve">1605-36-LR26</t>
        </is>
      </c>
      <c r="B82" s="4" t="inlineStr">
        <is>
          <t xml:space="preserve">LR-4252 Servicio de Red Datos WAN</t>
        </is>
      </c>
      <c r="C82" s="0">
        <v>1</v>
      </c>
      <c r="D82" s="4" t="inlineStr">
        <is>
          <t xml:space="preserve">Proveedores de servicio de Internet (ISP)</t>
        </is>
      </c>
      <c r="E82" s="4" t="inlineStr">
        <is>
          <t xml:space="preserve">Servicios basados en ingeniería, ciencias sociales y tecnología de la información / Servicios informáticos / Servicios para internet</t>
        </is>
      </c>
      <c r="F82" s="0">
        <v>72.0</v>
      </c>
      <c r="G82" s="0" t="inlineStr">
        <is>
          <t xml:space="preserve">Mes</t>
        </is>
      </c>
      <c r="H82" s="4" t="inlineStr">
        <is>
          <t xml:space="preserve">1. Servicio de conectividad de datos.
2. Infraestructura tipo SD-WAN y LAN
3. Servicio de conectividad inalámbrica Wifi.
4. Servicio de telefonía IP institucional.</t>
        </is>
      </c>
    </row>
    <row r="83">
      <c r="A83" s="0" t="inlineStr">
        <is>
          <t xml:space="preserve">1605-36-LR26</t>
        </is>
      </c>
      <c r="B83" s="4" t="inlineStr">
        <is>
          <t xml:space="preserve">LR-4252 Servicio de Red Datos WAN</t>
        </is>
      </c>
      <c r="C83" s="0">
        <v>2</v>
      </c>
      <c r="D83" s="4" t="inlineStr">
        <is>
          <t xml:space="preserve">Proveedores de servicio de Internet (ISP)</t>
        </is>
      </c>
      <c r="E83" s="4" t="inlineStr">
        <is>
          <t xml:space="preserve">Servicios basados en ingeniería, ciencias sociales y tecnología de la información / Servicios informáticos / Servicios para internet</t>
        </is>
      </c>
      <c r="F83" s="0">
        <v>72.0</v>
      </c>
      <c r="G83" s="0" t="inlineStr">
        <is>
          <t xml:space="preserve">Mes</t>
        </is>
      </c>
      <c r="H83" s="4" t="inlineStr">
        <is>
          <t xml:space="preserve">5. Monitoreo y gestión de las componentes 1 a 4.</t>
        </is>
      </c>
    </row>
    <row r="84">
      <c r="A84" s="0" t="inlineStr">
        <is>
          <t xml:space="preserve">1057501-488-LE26</t>
        </is>
      </c>
      <c r="B84" s="4" t="inlineStr">
        <is>
          <t xml:space="preserve">ARRIENDO MODULOS BODEGA PARA INFORMÁTICA HSR</t>
        </is>
      </c>
      <c r="C84" s="0">
        <v>1</v>
      </c>
      <c r="D84" s="4" t="inlineStr">
        <is>
          <t xml:space="preserve">Construcción de obras civiles</t>
        </is>
      </c>
      <c r="E84" s="4" t="inlineStr">
        <is>
          <t xml:space="preserve">Servicios de construcción y mantenimiento / Construcción de edificios en general / Construcción de obras civiles y infraestructuras</t>
        </is>
      </c>
      <c r="F84" s="0">
        <v>2.0</v>
      </c>
      <c r="G84" s="0" t="inlineStr">
        <is>
          <t xml:space="preserve">Unidad</t>
        </is>
      </c>
      <c r="H84" s="4" t="inlineStr">
        <is>
          <t xml:space="preserve">77-002-004-017-00 ARRIENDO MODULOS BODEGA PARA LA UNIDAD DE
INFORMATICA</t>
        </is>
      </c>
    </row>
    <row r="85">
      <c r="A85" s="0" t="inlineStr">
        <is>
          <t xml:space="preserve">1020-38-LP26</t>
        </is>
      </c>
      <c r="B85" s="4" t="inlineStr">
        <is>
          <t xml:space="preserve">Adquisición de Plataforma Next Generation Firewall</t>
        </is>
      </c>
      <c r="C85" s="0">
        <v>1</v>
      </c>
      <c r="D85" s="4" t="inlineStr">
        <is>
          <t xml:space="preserve">Equipo de seguridad de red de firewall</t>
        </is>
      </c>
      <c r="E85" s="4" t="inlineStr">
        <is>
          <t xml:space="preserve">Tecnologías de la información, telecomunicaciones y radiodifusión / Equipos, plataformas y accesorios de redes multimedia, voz y datos / Equipos de seguridad de red</t>
        </is>
      </c>
      <c r="F85" s="0">
        <v>2.0</v>
      </c>
      <c r="G85" s="0" t="inlineStr">
        <is>
          <t xml:space="preserve">Unidad</t>
        </is>
      </c>
      <c r="H85" s="4" t="inlineStr">
        <is>
          <t xml:space="preserve">Equipos.</t>
        </is>
      </c>
    </row>
    <row r="86">
      <c r="A86" s="0" t="inlineStr">
        <is>
          <t xml:space="preserve">1020-38-LP26</t>
        </is>
      </c>
      <c r="B86" s="4" t="inlineStr">
        <is>
          <t xml:space="preserve">Adquisición de Plataforma Next Generation Firewall</t>
        </is>
      </c>
      <c r="C86" s="0">
        <v>2</v>
      </c>
      <c r="D86" s="4" t="inlineStr">
        <is>
          <t xml:space="preserve">Software de vigilancia de redes</t>
        </is>
      </c>
      <c r="E86" s="4" t="inlineStr">
        <is>
          <t xml:space="preserve">Tecnologías de la información, telecomunicaciones y radiodifusión / Software / Software de administración de redes</t>
        </is>
      </c>
      <c r="F86" s="0">
        <v>1.0</v>
      </c>
      <c r="G86" s="0" t="inlineStr">
        <is>
          <t xml:space="preserve">Unidad</t>
        </is>
      </c>
      <c r="H86" s="4" t="inlineStr">
        <is>
          <t xml:space="preserve">Licenciamiento de software para la Plataforma Next Generation Firewall (NGFW)</t>
        </is>
      </c>
    </row>
    <row r="87">
      <c r="A87" s="0" t="inlineStr">
        <is>
          <t xml:space="preserve">1020-45-LE26</t>
        </is>
      </c>
      <c r="B87" s="4" t="inlineStr">
        <is>
          <t xml:space="preserve">Renovación Licencias Software Solarwinds Dameware</t>
        </is>
      </c>
      <c r="C87" s="0">
        <v>1</v>
      </c>
      <c r="D87" s="4" t="inlineStr">
        <is>
          <t xml:space="preserve">Software de gestión de licencias</t>
        </is>
      </c>
      <c r="E87" s="4" t="inlineStr">
        <is>
          <t xml:space="preserve">Tecnologías de la información, telecomunicaciones y radiodifusión / Software / Software de gestión</t>
        </is>
      </c>
      <c r="F87" s="0">
        <v>60.0</v>
      </c>
      <c r="G87" s="0" t="inlineStr">
        <is>
          <t xml:space="preserve">Unidad</t>
        </is>
      </c>
      <c r="H8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8">
      <c r="A88" s="0" t="inlineStr">
        <is>
          <t xml:space="preserve">1057494-50-LR26</t>
        </is>
      </c>
      <c r="B88" s="4" t="inlineStr">
        <is>
          <t xml:space="preserve">SOFTWARE PARA LA GESTIÓN DE LA UNIDAD DE LABORATOR</t>
        </is>
      </c>
      <c r="C88" s="0">
        <v>1</v>
      </c>
      <c r="D88" s="4" t="inlineStr">
        <is>
          <t xml:space="preserve">Software de sistemas de archivado de película radiográfica médica</t>
        </is>
      </c>
      <c r="E88" s="4" t="inlineStr">
        <is>
          <t xml:space="preserve">Equipamiento y suministros médicos / Productos para imágenes y de medicina nuclear / Artículos para archivar información e imágenes radiológicas</t>
        </is>
      </c>
      <c r="F88" s="0">
        <v>1.0</v>
      </c>
      <c r="G88" s="0" t="inlineStr">
        <is>
          <t xml:space="preserve">Unidad</t>
        </is>
      </c>
      <c r="H88" s="4" t="inlineStr">
        <is>
          <t xml:space="preserve">ARRIENDO DE SOFTWARE PARA LA GESTIÓN DE LA UNIDAD DE LABORATORIO CLÍNICO DEL HOSPITAL DR. EXEQUIEL GONZÁLEZ CORTÉS</t>
        </is>
      </c>
    </row>
    <row r="89">
      <c r="A89" s="0" t="inlineStr">
        <is>
          <t xml:space="preserve">5586-128-LE26</t>
        </is>
      </c>
      <c r="B89" s="4" t="inlineStr">
        <is>
          <t xml:space="preserve">BR CONTRATACIÓN DE PLATAFORMA TECNOLÓGICA TIPO SAAS DE GESTIÓN DIGITAL</t>
        </is>
      </c>
      <c r="C89" s="0">
        <v>1</v>
      </c>
      <c r="D89" s="4" t="inlineStr">
        <is>
          <t xml:space="preserve">Software de administración</t>
        </is>
      </c>
      <c r="E89" s="4" t="inlineStr">
        <is>
          <t xml:space="preserve">Tecnologías de la información, telecomunicaciones y radiodifusión / Software / Software de administración de redes</t>
        </is>
      </c>
      <c r="F89" s="0">
        <v>1.0</v>
      </c>
      <c r="G89" s="0" t="inlineStr">
        <is>
          <t xml:space="preserve">Global</t>
        </is>
      </c>
      <c r="H89" s="4" t="inlineStr">
        <is>
          <t xml:space="preserve">CONTRATACIÓN DE PLATAFORMA TECNOLÓGICA TIPO SAAS DE GESTIÓN DIGITAL, DE ACUERDO A REQUERIMIENTO ADJUNTO</t>
        </is>
      </c>
    </row>
    <row r="90">
      <c r="A90" s="0" t="inlineStr">
        <is>
          <t xml:space="preserve">3671-58-LE26</t>
        </is>
      </c>
      <c r="B90" s="4" t="inlineStr">
        <is>
          <t xml:space="preserve">“HABILITACIÓN DE NUEVAS DEPENDENCIAS DE SEGURIDAD MUNICIPAL E INFORMÁTICA DE LA MUNICIPALIDAD DE CHILLÁN VIEJO”</t>
        </is>
      </c>
      <c r="C90" s="0">
        <v>1</v>
      </c>
      <c r="D90" s="4" t="inlineStr">
        <is>
          <t xml:space="preserve">Construcción de obras civiles</t>
        </is>
      </c>
      <c r="E90" s="4" t="inlineStr">
        <is>
          <t xml:space="preserve">Servicios de construcción y mantenimiento / Construcción de edificios en general / Construcción de obras civiles y infraestructuras</t>
        </is>
      </c>
      <c r="F90" s="0">
        <v>1.0</v>
      </c>
      <c r="G90" s="0" t="inlineStr">
        <is>
          <t xml:space="preserve">Unidad</t>
        </is>
      </c>
      <c r="H90" s="4" t="inlineStr">
        <is>
          <t xml:space="preserve">HABILITACION DE NUEVAS DEPENDENCIAS DE SEGURIDAD MUNICIPAL E INFORMATICA DE LA MUNICIPALIDAD DE CHILLAN VIEJO</t>
        </is>
      </c>
    </row>
    <row r="91">
      <c r="A91" s="0" t="inlineStr">
        <is>
          <t xml:space="preserve">425-39-LR26</t>
        </is>
      </c>
      <c r="B91" s="4" t="inlineStr">
        <is>
          <t xml:space="preserve">ADQUISICIÓN Y RENOVACIÓN DE LICENCIAS DE SOFTWARE PARA EL PODER JUDICIAL</t>
        </is>
      </c>
      <c r="C91" s="0">
        <v>1</v>
      </c>
      <c r="D91" s="4" t="inlineStr">
        <is>
          <t xml:space="preserve">Software de gestión de licencias</t>
        </is>
      </c>
      <c r="E91" s="4" t="inlineStr">
        <is>
          <t xml:space="preserve">Tecnologías de la información, telecomunicaciones y radiodifusión / Software / Software de gestión</t>
        </is>
      </c>
      <c r="F91" s="0">
        <v>12.0</v>
      </c>
      <c r="G91" s="0" t="inlineStr">
        <is>
          <t xml:space="preserve">Unidad</t>
        </is>
      </c>
      <c r="H91" s="4" t="inlineStr">
        <is>
          <t xml:space="preserve">Item 1 Adquisición licencias NETBACKUP ENTERPRISE XPLAT 1 FRONT END TB ONPREM STANDARD, Valor neto según Formulario Económico N°1 (en caso de discrepancia entre el valor y el Formulario Económico N° 1 primará este último)</t>
        </is>
      </c>
    </row>
    <row r="92">
      <c r="A92" s="0" t="inlineStr">
        <is>
          <t xml:space="preserve">425-39-LR26</t>
        </is>
      </c>
      <c r="B92" s="4" t="inlineStr">
        <is>
          <t xml:space="preserve">ADQUISICIÓN Y RENOVACIÓN DE LICENCIAS DE SOFTWARE PARA EL PODER JUDICIAL</t>
        </is>
      </c>
      <c r="C92" s="0">
        <v>2</v>
      </c>
      <c r="D92" s="4" t="inlineStr">
        <is>
          <t xml:space="preserve">Software de gestión de licencias</t>
        </is>
      </c>
      <c r="E92" s="4" t="inlineStr">
        <is>
          <t xml:space="preserve">Tecnologías de la información, telecomunicaciones y radiodifusión / Software / Software de gestión</t>
        </is>
      </c>
      <c r="F92" s="0">
        <v>4480.0</v>
      </c>
      <c r="G92" s="0" t="inlineStr">
        <is>
          <t xml:space="preserve">Unidad</t>
        </is>
      </c>
      <c r="H92" s="4" t="inlineStr">
        <is>
          <t xml:space="preserve">Item 2 Renovación Licencias WAS,Valor neto según Formulario Económico N°1 (en caso de discrepancia entre el valor y el Formulario Económico N° 1 primará este último)</t>
        </is>
      </c>
    </row>
    <row r="93">
      <c r="A93" s="0" t="inlineStr">
        <is>
          <t xml:space="preserve">425-39-LR26</t>
        </is>
      </c>
      <c r="B93" s="4" t="inlineStr">
        <is>
          <t xml:space="preserve">ADQUISICIÓN Y RENOVACIÓN DE LICENCIAS DE SOFTWARE PARA EL PODER JUDICIAL</t>
        </is>
      </c>
      <c r="C93" s="0">
        <v>3</v>
      </c>
      <c r="D93" s="4" t="inlineStr">
        <is>
          <t xml:space="preserve">Software de gestión de licencias</t>
        </is>
      </c>
      <c r="E93" s="4" t="inlineStr">
        <is>
          <t xml:space="preserve">Tecnologías de la información, telecomunicaciones y radiodifusión / Software / Software de gestión</t>
        </is>
      </c>
      <c r="F93" s="0">
        <v>30.0</v>
      </c>
      <c r="G93" s="0" t="inlineStr">
        <is>
          <t xml:space="preserve">Unidad</t>
        </is>
      </c>
      <c r="H93" s="4" t="inlineStr">
        <is>
          <t xml:space="preserve">Item 3 Suscripción Licencias Instana,Valor neto según Formulario Económico N°1 (en caso de discrepancia entre el valor y el Formulario Económico N° 1 primará este último)</t>
        </is>
      </c>
    </row>
    <row r="94">
      <c r="A94" s="0" t="inlineStr">
        <is>
          <t xml:space="preserve">425-39-LR26</t>
        </is>
      </c>
      <c r="B94" s="4" t="inlineStr">
        <is>
          <t xml:space="preserve">ADQUISICIÓN Y RENOVACIÓN DE LICENCIAS DE SOFTWARE PARA EL PODER JUDICIAL</t>
        </is>
      </c>
      <c r="C94" s="0">
        <v>4</v>
      </c>
      <c r="D94" s="4" t="inlineStr">
        <is>
          <t xml:space="preserve">Software de gestión de licencias</t>
        </is>
      </c>
      <c r="E94" s="4" t="inlineStr">
        <is>
          <t xml:space="preserve">Tecnologías de la información, telecomunicaciones y radiodifusión / Software / Software de gestión</t>
        </is>
      </c>
      <c r="F94" s="0">
        <v>74.0</v>
      </c>
      <c r="G94" s="0" t="inlineStr">
        <is>
          <t xml:space="preserve">Unidad</t>
        </is>
      </c>
      <c r="H94" s="4" t="inlineStr">
        <is>
          <t xml:space="preserve">Item 3 Suscripción Licencias Instana, Valor neto según Formulario Económico N°1 (en caso de discrepancia entre el valor y el Formulario Económico N° 1 primará este último)</t>
        </is>
      </c>
    </row>
    <row r="95">
      <c r="A95" s="0" t="inlineStr">
        <is>
          <t xml:space="preserve">425-39-LR26</t>
        </is>
      </c>
      <c r="B95" s="4" t="inlineStr">
        <is>
          <t xml:space="preserve">ADQUISICIÓN Y RENOVACIÓN DE LICENCIAS DE SOFTWARE PARA EL PODER JUDICIAL</t>
        </is>
      </c>
      <c r="C95" s="0">
        <v>5</v>
      </c>
      <c r="D95" s="4" t="inlineStr">
        <is>
          <t xml:space="preserve">Software de gestión de licencias</t>
        </is>
      </c>
      <c r="E95" s="4" t="inlineStr">
        <is>
          <t xml:space="preserve">Tecnologías de la información, telecomunicaciones y radiodifusión / Software / Software de gestión</t>
        </is>
      </c>
      <c r="F95" s="0">
        <v>4.0</v>
      </c>
      <c r="G95" s="0" t="inlineStr">
        <is>
          <t xml:space="preserve">Unidad</t>
        </is>
      </c>
      <c r="H95" s="4" t="inlineStr">
        <is>
          <t xml:space="preserve">Item 4, Suscripción Licencias Red Hat Openshift, Valor neto según Formulario Económico N°1 (en caso de discrepancia entre el valor y el Formulario Económico N° 1 primará este último)</t>
        </is>
      </c>
    </row>
    <row r="96">
      <c r="A96" s="0" t="inlineStr">
        <is>
          <t xml:space="preserve">425-39-LR26</t>
        </is>
      </c>
      <c r="B96" s="4" t="inlineStr">
        <is>
          <t xml:space="preserve">ADQUISICIÓN Y RENOVACIÓN DE LICENCIAS DE SOFTWARE PARA EL PODER JUDICIAL</t>
        </is>
      </c>
      <c r="C96" s="0">
        <v>6</v>
      </c>
      <c r="D96" s="4" t="inlineStr">
        <is>
          <t xml:space="preserve">Software de gestión de licencias</t>
        </is>
      </c>
      <c r="E96" s="4" t="inlineStr">
        <is>
          <t xml:space="preserve">Tecnologías de la información, telecomunicaciones y radiodifusión / Software / Software de gestión</t>
        </is>
      </c>
      <c r="F96" s="0">
        <v>8.0</v>
      </c>
      <c r="G96" s="0" t="inlineStr">
        <is>
          <t xml:space="preserve">Unidad</t>
        </is>
      </c>
      <c r="H96" s="4" t="inlineStr">
        <is>
          <t xml:space="preserve">Item 4, Suscripción Licencias Red Hat Openshift, Valor neto según Formulario Económico N°1 (en caso de discrepancia entre el valor y el Formulario Económico N° 1 primará este último)</t>
        </is>
      </c>
    </row>
    <row r="97">
      <c r="A97" s="0" t="inlineStr">
        <is>
          <t xml:space="preserve">425-39-LR26</t>
        </is>
      </c>
      <c r="B97" s="4" t="inlineStr">
        <is>
          <t xml:space="preserve">ADQUISICIÓN Y RENOVACIÓN DE LICENCIAS DE SOFTWARE PARA EL PODER JUDICIAL</t>
        </is>
      </c>
      <c r="C97" s="0">
        <v>7</v>
      </c>
      <c r="D97" s="4" t="inlineStr">
        <is>
          <t xml:space="preserve">Software de gestión de licencias</t>
        </is>
      </c>
      <c r="E97" s="4" t="inlineStr">
        <is>
          <t xml:space="preserve">Tecnologías de la información, telecomunicaciones y radiodifusión / Software / Software de gestión</t>
        </is>
      </c>
      <c r="F97" s="0">
        <v>19.0</v>
      </c>
      <c r="G97" s="0" t="inlineStr">
        <is>
          <t xml:space="preserve">Unidad</t>
        </is>
      </c>
      <c r="H97" s="4" t="inlineStr">
        <is>
          <t xml:space="preserve">Item 4, Suscripción Licencias Red Hat Openshift, Valor neto según Formulario Económico N°1 (en caso de discrepancia entre el valor y el Formulario Económico N° 1 primará este último)</t>
        </is>
      </c>
    </row>
    <row r="98">
      <c r="A98" s="0" t="inlineStr">
        <is>
          <t xml:space="preserve">425-39-LR26</t>
        </is>
      </c>
      <c r="B98" s="4" t="inlineStr">
        <is>
          <t xml:space="preserve">ADQUISICIÓN Y RENOVACIÓN DE LICENCIAS DE SOFTWARE PARA EL PODER JUDICIAL</t>
        </is>
      </c>
      <c r="C98" s="0">
        <v>8</v>
      </c>
      <c r="D98" s="4" t="inlineStr">
        <is>
          <t xml:space="preserve">Software de gestión de licencias</t>
        </is>
      </c>
      <c r="E98" s="4" t="inlineStr">
        <is>
          <t xml:space="preserve">Tecnologías de la información, telecomunicaciones y radiodifusión / Software / Software de gestión</t>
        </is>
      </c>
      <c r="F98" s="0">
        <v>17.0</v>
      </c>
      <c r="G98" s="0" t="inlineStr">
        <is>
          <t xml:space="preserve">Unidad</t>
        </is>
      </c>
      <c r="H98" s="4" t="inlineStr">
        <is>
          <t xml:space="preserve">Item 4, Suscripción Licencias Red Hat Openshift, Valor neto según Formulario Económico N°1 (en caso de discrepancia entre el valor y el Formulario Económico N° 1 primará este último)</t>
        </is>
      </c>
    </row>
    <row r="99">
      <c r="A99" s="0" t="inlineStr">
        <is>
          <t xml:space="preserve">425-39-LR26</t>
        </is>
      </c>
      <c r="B99" s="4" t="inlineStr">
        <is>
          <t xml:space="preserve">ADQUISICIÓN Y RENOVACIÓN DE LICENCIAS DE SOFTWARE PARA EL PODER JUDICIAL</t>
        </is>
      </c>
      <c r="C99" s="0">
        <v>9</v>
      </c>
      <c r="D99" s="4" t="inlineStr">
        <is>
          <t xml:space="preserve">Software de gestión de licencias</t>
        </is>
      </c>
      <c r="E99" s="4" t="inlineStr">
        <is>
          <t xml:space="preserve">Tecnologías de la información, telecomunicaciones y radiodifusión / Software / Software de gestión</t>
        </is>
      </c>
      <c r="F99" s="0">
        <v>2.0</v>
      </c>
      <c r="G99" s="0" t="inlineStr">
        <is>
          <t xml:space="preserve">Unidad</t>
        </is>
      </c>
      <c r="H99" s="4" t="inlineStr">
        <is>
          <t xml:space="preserve">Item 5 Red Hat Enterprise Linux Server, Standard (Physical or Virtual Nodes) ,Valor neto según Formulario Económico N°1 (en caso de discrepancia entre el valor y el Formulario Económico N° 1 primará este último)</t>
        </is>
      </c>
    </row>
    <row r="100">
      <c r="A100" s="0" t="inlineStr">
        <is>
          <t xml:space="preserve">425-39-LR26</t>
        </is>
      </c>
      <c r="B100" s="4" t="inlineStr">
        <is>
          <t xml:space="preserve">ADQUISICIÓN Y RENOVACIÓN DE LICENCIAS DE SOFTWARE PARA EL PODER JUDICIAL</t>
        </is>
      </c>
      <c r="C100" s="0">
        <v>10</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Item 5 Red Hat Enterprise Linux for Virtual Datacenters, Standard, Valor neto según Formulario Económico N°1 (en caso de discrepancia entre el valor y el Formulario Económico N° 1 primará este último)</t>
        </is>
      </c>
    </row>
    <row r="101">
      <c r="A101" s="0" t="inlineStr">
        <is>
          <t xml:space="preserve">425-39-LR26</t>
        </is>
      </c>
      <c r="B101" s="4" t="inlineStr">
        <is>
          <t xml:space="preserve">ADQUISICIÓN Y RENOVACIÓN DE LICENCIAS DE SOFTWARE PARA EL PODER JUDICIAL</t>
        </is>
      </c>
      <c r="C101" s="0">
        <v>11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Item 5 Red Hat Enterprise Linux for Virtual Datacenters, Standard, Valor neto según Formulario Económico N°1 (en caso de discrepancia entre el valor y el Formulario Económico N° 1 primará este último)</t>
        </is>
      </c>
    </row>
    <row r="102">
      <c r="A102" s="0" t="inlineStr">
        <is>
          <t xml:space="preserve">425-39-LR26</t>
        </is>
      </c>
      <c r="B102" s="4" t="inlineStr">
        <is>
          <t xml:space="preserve">ADQUISICIÓN Y RENOVACIÓN DE LICENCIAS DE SOFTWARE PARA EL PODER JUDICIAL</t>
        </is>
      </c>
      <c r="C102" s="0">
        <v>12</v>
      </c>
      <c r="D102" s="4" t="inlineStr">
        <is>
          <t xml:space="preserve">Software de gestión de licencias</t>
        </is>
      </c>
      <c r="E102" s="4" t="inlineStr">
        <is>
          <t xml:space="preserve">Tecnologías de la información, telecomunicaciones y radiodifusión / Software / Software de gestión</t>
        </is>
      </c>
      <c r="F102" s="0">
        <v>5.0</v>
      </c>
      <c r="G102" s="0" t="inlineStr">
        <is>
          <t xml:space="preserve">Unidad</t>
        </is>
      </c>
      <c r="H102" s="4" t="inlineStr">
        <is>
          <t xml:space="preserve">Item 5 Red Hat Enterprise Linux Server, Standard (Physical or Virtual Nodes), Valor neto según Formulario Económico N°1 (en caso de discrepancia entre el valor y el Formulario Económico N° 1 primará este último)</t>
        </is>
      </c>
    </row>
    <row r="103">
      <c r="A103" s="0" t="inlineStr">
        <is>
          <t xml:space="preserve">425-39-LR26</t>
        </is>
      </c>
      <c r="B103" s="4" t="inlineStr">
        <is>
          <t xml:space="preserve">ADQUISICIÓN Y RENOVACIÓN DE LICENCIAS DE SOFTWARE PARA EL PODER JUDICIAL</t>
        </is>
      </c>
      <c r="C103" s="0">
        <v>13</v>
      </c>
      <c r="D103" s="4" t="inlineStr">
        <is>
          <t xml:space="preserve">Software de gestión de licencias</t>
        </is>
      </c>
      <c r="E103" s="4" t="inlineStr">
        <is>
          <t xml:space="preserve">Tecnologías de la información, telecomunicaciones y radiodifusión / Software / Software de gestión</t>
        </is>
      </c>
      <c r="F103" s="0">
        <v>28.0</v>
      </c>
      <c r="G103" s="0" t="inlineStr">
        <is>
          <t xml:space="preserve">Unidad</t>
        </is>
      </c>
      <c r="H103" s="4" t="inlineStr">
        <is>
          <t xml:space="preserve">Item 6 Suscripción Arquitecture Enginering Collection, Valor neto según Formulario Económico N°1 (en caso de discrepancia entre el valor y el Formulario Económico N° 1 primará este último)</t>
        </is>
      </c>
    </row>
    <row r="104">
      <c r="A104" s="0" t="inlineStr">
        <is>
          <t xml:space="preserve">425-39-LR26</t>
        </is>
      </c>
      <c r="B104" s="4" t="inlineStr">
        <is>
          <t xml:space="preserve">ADQUISICIÓN Y RENOVACIÓN DE LICENCIAS DE SOFTWARE PARA EL PODER JUDICIAL</t>
        </is>
      </c>
      <c r="C104" s="0">
        <v>14</v>
      </c>
      <c r="D104" s="4" t="inlineStr">
        <is>
          <t xml:space="preserve">Software de gestión de licencias</t>
        </is>
      </c>
      <c r="E104" s="4" t="inlineStr">
        <is>
          <t xml:space="preserve">Tecnologías de la información, telecomunicaciones y radiodifusión / Software / Software de gestión</t>
        </is>
      </c>
      <c r="F104" s="0">
        <v>12.0</v>
      </c>
      <c r="G104" s="0" t="inlineStr">
        <is>
          <t xml:space="preserve">Unidad</t>
        </is>
      </c>
      <c r="H104" s="4" t="inlineStr">
        <is>
          <t xml:space="preserve">Item 6 Suscripción Arquitecture Enginering Collection, Valor neto según Formulario Económico N°1 (en caso de discrepancia entre el valor y el Formulario Económico N° 1 primará este último)</t>
        </is>
      </c>
    </row>
    <row r="105">
      <c r="A105" s="0" t="inlineStr">
        <is>
          <t xml:space="preserve">425-39-LR26</t>
        </is>
      </c>
      <c r="B105" s="4" t="inlineStr">
        <is>
          <t xml:space="preserve">ADQUISICIÓN Y RENOVACIÓN DE LICENCIAS DE SOFTWARE PARA EL PODER JUDICIAL</t>
        </is>
      </c>
      <c r="C105" s="0">
        <v>15</v>
      </c>
      <c r="D105" s="4" t="inlineStr">
        <is>
          <t xml:space="preserve">Software de gestión de licencias</t>
        </is>
      </c>
      <c r="E105" s="4" t="inlineStr">
        <is>
          <t xml:space="preserve">Tecnologías de la información, telecomunicaciones y radiodifusión / Software / Software de gestión</t>
        </is>
      </c>
      <c r="F105" s="0">
        <v>4500.0</v>
      </c>
      <c r="G105" s="0" t="inlineStr">
        <is>
          <t xml:space="preserve">Unidad</t>
        </is>
      </c>
      <c r="H105" s="4" t="inlineStr">
        <is>
          <t xml:space="preserve">Ítem 7 Suscripción Licencias Kaspersky, Valor neto según Formulario Económico N°1 (en caso de discrepancia entre el valor y el Formulario Económico N° 1 primará este último)</t>
        </is>
      </c>
    </row>
    <row r="106">
      <c r="A106" s="0" t="inlineStr">
        <is>
          <t xml:space="preserve">4778-14-LP26</t>
        </is>
      </c>
      <c r="B106" s="4" t="inlineStr">
        <is>
          <t xml:space="preserve">SERV. ADMINISTRADO CONTACT CENTER OMNICANAL CON IA</t>
        </is>
      </c>
      <c r="C106" s="0">
        <v>1</v>
      </c>
      <c r="D106" s="4" t="inlineStr">
        <is>
          <t xml:space="preserve">Software para centrales de comunicación digital</t>
        </is>
      </c>
      <c r="E106" s="4" t="inlineStr">
        <is>
          <t xml:space="preserve">Tecnologías de la información, telecomunicaciones y radiodifusión / Software / Software para trabajo en redes</t>
        </is>
      </c>
      <c r="F106" s="0">
        <v>24.0</v>
      </c>
      <c r="G106" s="0" t="inlineStr">
        <is>
          <t xml:space="preserve">Unidad</t>
        </is>
      </c>
      <c r="H106" s="4" t="inlineStr">
        <is>
          <t xml:space="preserve">Servicio Administrado de Contact Center Omnicanal con IA</t>
        </is>
      </c>
    </row>
    <row r="107">
      <c r="A107" s="0" t="inlineStr">
        <is>
          <t xml:space="preserve">2107-142-LE26</t>
        </is>
      </c>
      <c r="B107" s="4" t="inlineStr">
        <is>
          <t xml:space="preserve">ARRIENDO DE TOTEMS AUTOADMINISTRADOS PARA HSC</t>
        </is>
      </c>
      <c r="C107" s="0">
        <v>1</v>
      </c>
      <c r="D107" s="4" t="inlineStr">
        <is>
          <t xml:space="preserve">Servidores de gama alta</t>
        </is>
      </c>
      <c r="E107" s="4" t="inlineStr">
        <is>
          <t xml:space="preserve">Tecnologías de la información, telecomunicaciones y radiodifusión / Equipos informáticos y accesorios / Computadores</t>
        </is>
      </c>
      <c r="F107" s="0">
        <v>36.0</v>
      </c>
      <c r="G107" s="0" t="inlineStr">
        <is>
          <t xml:space="preserve">Mes</t>
        </is>
      </c>
      <c r="H107" s="4" t="inlineStr">
        <is>
          <t xml:space="preserve">SERVICIO MENSUAL DE ARRIENDO DE 3 TOTEMS AUTOADMINISTRADOS SEGUN BASES</t>
        </is>
      </c>
    </row>
    <row r="108">
      <c r="A108" s="0" t="inlineStr">
        <is>
          <t xml:space="preserve">1607-10-LR26</t>
        </is>
      </c>
      <c r="B108" s="4" t="inlineStr">
        <is>
          <t xml:space="preserve">servicio hospedaje soporte mantención plataforma</t>
        </is>
      </c>
      <c r="C108" s="0">
        <v>1</v>
      </c>
      <c r="D108" s="4" t="inlineStr">
        <is>
          <t xml:space="preserve">Desarrolladores de software</t>
        </is>
      </c>
      <c r="E108" s="4" t="inlineStr">
        <is>
          <t xml:space="preserve">Servicios profesionales, administrativos y consultorías de gestión empresarial / Servicios de recursos humanos / Contratación de personal</t>
        </is>
      </c>
      <c r="F108" s="0">
        <v>1.0</v>
      </c>
      <c r="G108" s="0" t="inlineStr">
        <is>
          <t xml:space="preserve">Unidad</t>
        </is>
      </c>
      <c r="H108" s="4" t="inlineStr">
        <is>
          <t xml:space="preserve">servicio hospedaje, soporte, mantención y actualización de la Plataforma Integrada de Asignación Familiar, Subsidio Único Familiar y Regímenes relacionados (PIAS), de la Superintendencia de Seguridad Social.</t>
        </is>
      </c>
    </row>
    <row r="109">
      <c r="A109" s="0" t="inlineStr">
        <is>
          <t xml:space="preserve">2413-20-LE26</t>
        </is>
      </c>
      <c r="B109" s="4" t="inlineStr">
        <is>
          <t xml:space="preserve">SISTEMA DE GESTIÓN DOCUMENTAL</t>
        </is>
      </c>
      <c r="C109" s="0">
        <v>1</v>
      </c>
      <c r="D109" s="4" t="inlineStr">
        <is>
          <t xml:space="preserve">Desarrolladores de software</t>
        </is>
      </c>
      <c r="E109" s="4" t="inlineStr">
        <is>
          <t xml:space="preserve">Servicios profesionales, administrativos y consultorías de gestión empresarial / Servicios de recursos humanos / Contratación de personal</t>
        </is>
      </c>
      <c r="F109" s="0">
        <v>1.0</v>
      </c>
      <c r="G109" s="0" t="inlineStr">
        <is>
          <t xml:space="preserve">Mes</t>
        </is>
      </c>
      <c r="H109" s="4" t="inlineStr">
        <is>
          <t xml:space="preserve">Valor Mensual por el arriendo del “Sistema de Gestión Documental”.</t>
        </is>
      </c>
    </row>
    <row r="110">
      <c r="A110" s="0" t="inlineStr">
        <is>
          <t xml:space="preserve">906973-8-LP26</t>
        </is>
      </c>
      <c r="B110" s="4" t="inlineStr">
        <is>
          <t xml:space="preserve">SISTEMAS INFORMÁTICOS DE GESTIÓN MUNICIPAL</t>
        </is>
      </c>
      <c r="C110" s="0">
        <v>1</v>
      </c>
      <c r="D110" s="4" t="inlineStr">
        <is>
          <t xml:space="preserve">Servicios contables gubernamentales</t>
        </is>
      </c>
      <c r="E110" s="4" t="inlineStr">
        <is>
          <t xml:space="preserve">Organizaciones y consultorías políticas, demográficas, económicas, sociales y de administración pública / Administración y finanzas públicas / Finanzas públicas</t>
        </is>
      </c>
      <c r="F110" s="0">
        <v>36.0</v>
      </c>
      <c r="G110" s="0" t="inlineStr">
        <is>
          <t xml:space="preserve">Mes</t>
        </is>
      </c>
      <c r="H11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1">
      <c r="A111" s="0" t="inlineStr">
        <is>
          <t xml:space="preserve">29-73-LE26</t>
        </is>
      </c>
      <c r="B111" s="4" t="inlineStr">
        <is>
          <t xml:space="preserve">ALR - ADQ. REPUESTOS Y TABLERO ELECT.   GPO. ELECT</t>
        </is>
      </c>
      <c r="C111" s="0">
        <v>1</v>
      </c>
      <c r="D111" s="4" t="inlineStr">
        <is>
          <t xml:space="preserve">Paneles de control eléctrico para generadores</t>
        </is>
      </c>
      <c r="E111" s="4" t="inlineStr">
        <is>
          <t xml:space="preserve">Maquinaria para generación y distribución de energía / Generación de energía / Equipo para control de producción de energía</t>
        </is>
      </c>
      <c r="F111" s="0">
        <v>1.0</v>
      </c>
      <c r="G111" s="0" t="inlineStr">
        <is>
          <t xml:space="preserve">Unidad</t>
        </is>
      </c>
      <c r="H111" s="4" t="inlineStr">
        <is>
          <t xml:space="preserve">ADQUISICIÓN DE 01 TABLERO DE CONTROL N° 5925153.000 CON INSTALACIÓN INCLUIDA, EN LA BASE AÉREA CERRO MORENO S/Nº RUTA A-1, CUIDAD DE ANTOFAGASTA, PARA GRUPO ELECTRÓGENO MARCA CATERPILLAR, MODELO C32 DE 1.000 KVA.</t>
        </is>
      </c>
    </row>
    <row r="112">
      <c r="A112" s="0" t="inlineStr">
        <is>
          <t xml:space="preserve">29-73-LE26</t>
        </is>
      </c>
      <c r="B112" s="4" t="inlineStr">
        <is>
          <t xml:space="preserve">ALR - ADQ. REPUESTOS Y TABLERO ELECT.   GPO. ELECT</t>
        </is>
      </c>
      <c r="C112" s="0">
        <v>2</v>
      </c>
      <c r="D112" s="4" t="inlineStr">
        <is>
          <t xml:space="preserve">Filtros de aceite</t>
        </is>
      </c>
      <c r="E112" s="4" t="inlineStr">
        <is>
          <t xml:space="preserve">Equipamiento para el acondicionamiento, distribución y filtrado de fluidos / Filtros y purificación industrial / Filtros</t>
        </is>
      </c>
      <c r="F112" s="0">
        <v>2.0</v>
      </c>
      <c r="G112" s="0" t="inlineStr">
        <is>
          <t xml:space="preserve">Unidad</t>
        </is>
      </c>
      <c r="H112" s="4" t="inlineStr">
        <is>
          <t xml:space="preserve">FILTROS DE ACEITE LF 3883.</t>
        </is>
      </c>
    </row>
    <row r="113">
      <c r="A113" s="0" t="inlineStr">
        <is>
          <t xml:space="preserve">29-73-LE26</t>
        </is>
      </c>
      <c r="B113" s="4" t="inlineStr">
        <is>
          <t xml:space="preserve">ALR - ADQ. REPUESTOS Y TABLERO ELECT.   GPO. ELECT</t>
        </is>
      </c>
      <c r="C113" s="0">
        <v>3</v>
      </c>
      <c r="D113" s="4" t="inlineStr">
        <is>
          <t xml:space="preserve">Filtros de combustible</t>
        </is>
      </c>
      <c r="E113" s="4" t="inlineStr">
        <is>
          <t xml:space="preserve">Equipamiento para el acondicionamiento, distribución y filtrado de fluidos / Filtros y purificación industrial / Filtros</t>
        </is>
      </c>
      <c r="F113" s="0">
        <v>2.0</v>
      </c>
      <c r="G113" s="0" t="inlineStr">
        <is>
          <t xml:space="preserve">Unidad</t>
        </is>
      </c>
      <c r="H113" s="4" t="inlineStr">
        <is>
          <t xml:space="preserve">FILTROS DE COMBUSTIBLE P552603.</t>
        </is>
      </c>
    </row>
    <row r="114">
      <c r="A114" s="0" t="inlineStr">
        <is>
          <t xml:space="preserve">29-73-LE26</t>
        </is>
      </c>
      <c r="B114" s="4" t="inlineStr">
        <is>
          <t xml:space="preserve">ALR - ADQ. REPUESTOS Y TABLERO ELECT.   GPO. ELECT</t>
        </is>
      </c>
      <c r="C114" s="0">
        <v>4</v>
      </c>
      <c r="D114" s="4" t="inlineStr">
        <is>
          <t xml:space="preserve">Filtros hidráulicos</t>
        </is>
      </c>
      <c r="E114" s="4" t="inlineStr">
        <is>
          <t xml:space="preserve">Equipamiento para el acondicionamiento, distribución y filtrado de fluidos / Filtros y purificación industrial / Filtros</t>
        </is>
      </c>
      <c r="F114" s="0">
        <v>2.0</v>
      </c>
      <c r="G114" s="0" t="inlineStr">
        <is>
          <t xml:space="preserve">Unidad</t>
        </is>
      </c>
      <c r="H114" s="4" t="inlineStr">
        <is>
          <t xml:space="preserve">FILTROS DE REFRIGERANTE WF2074.</t>
        </is>
      </c>
    </row>
    <row r="115">
      <c r="A115" s="0" t="inlineStr">
        <is>
          <t xml:space="preserve">29-73-LE26</t>
        </is>
      </c>
      <c r="B115" s="4" t="inlineStr">
        <is>
          <t xml:space="preserve">ALR - ADQ. REPUESTOS Y TABLERO ELECT.   GPO. ELECT</t>
        </is>
      </c>
      <c r="C115" s="0">
        <v>5</v>
      </c>
      <c r="D115" s="4" t="inlineStr">
        <is>
          <t xml:space="preserve">Filtros de aceite</t>
        </is>
      </c>
      <c r="E115" s="4" t="inlineStr">
        <is>
          <t xml:space="preserve">Equipamiento para el acondicionamiento, distribución y filtrado de fluidos / Filtros y purificación industrial / Filtros</t>
        </is>
      </c>
      <c r="F115" s="0">
        <v>2.0</v>
      </c>
      <c r="G115" s="0" t="inlineStr">
        <is>
          <t xml:space="preserve">Unidad</t>
        </is>
      </c>
      <c r="H115" s="4" t="inlineStr">
        <is>
          <t xml:space="preserve">FILTROS DE ACEITE P558615.</t>
        </is>
      </c>
    </row>
    <row r="116">
      <c r="A116" s="0" t="inlineStr">
        <is>
          <t xml:space="preserve">29-73-LE26</t>
        </is>
      </c>
      <c r="B116" s="4" t="inlineStr">
        <is>
          <t xml:space="preserve">ALR - ADQ. REPUESTOS Y TABLERO ELECT.   GPO. ELECT</t>
        </is>
      </c>
      <c r="C116" s="0">
        <v>6</v>
      </c>
      <c r="D116" s="4" t="inlineStr">
        <is>
          <t xml:space="preserve">Filtros de combustible</t>
        </is>
      </c>
      <c r="E116" s="4" t="inlineStr">
        <is>
          <t xml:space="preserve">Equipamiento para el acondicionamiento, distribución y filtrado de fluidos / Filtros y purificación industrial / Filtros</t>
        </is>
      </c>
      <c r="F116" s="0">
        <v>2.0</v>
      </c>
      <c r="G116" s="0" t="inlineStr">
        <is>
          <t xml:space="preserve">Unidad</t>
        </is>
      </c>
      <c r="H116" s="4" t="inlineStr">
        <is>
          <t xml:space="preserve">FILTROS DE COMBUSTIBLE PRIMARIO FS1280.</t>
        </is>
      </c>
    </row>
    <row r="117">
      <c r="A117" s="0" t="inlineStr">
        <is>
          <t xml:space="preserve">29-73-LE26</t>
        </is>
      </c>
      <c r="B117" s="4" t="inlineStr">
        <is>
          <t xml:space="preserve">ALR - ADQ. REPUESTOS Y TABLERO ELECT.   GPO. ELECT</t>
        </is>
      </c>
      <c r="C117" s="0">
        <v>7</v>
      </c>
      <c r="D117" s="4" t="inlineStr">
        <is>
          <t xml:space="preserve">Filtros de combustible</t>
        </is>
      </c>
      <c r="E117" s="4" t="inlineStr">
        <is>
          <t xml:space="preserve">Equipamiento para el acondicionamiento, distribución y filtrado de fluidos / Filtros y purificación industrial / Filtros</t>
        </is>
      </c>
      <c r="F117" s="0">
        <v>2.0</v>
      </c>
      <c r="G117" s="0" t="inlineStr">
        <is>
          <t xml:space="preserve">Unidad</t>
        </is>
      </c>
      <c r="H117" s="4" t="inlineStr">
        <is>
          <t xml:space="preserve">FILTROS DE COMBUSTIBLE SECUNDARIO FF5052.</t>
        </is>
      </c>
    </row>
    <row r="118">
      <c r="A118" s="0" t="inlineStr">
        <is>
          <t xml:space="preserve">29-73-LE26</t>
        </is>
      </c>
      <c r="B118" s="4" t="inlineStr">
        <is>
          <t xml:space="preserve">ALR - ADQ. REPUESTOS Y TABLERO ELECT.   GPO. ELECT</t>
        </is>
      </c>
      <c r="C118" s="0">
        <v>8</v>
      </c>
      <c r="D118" s="4" t="inlineStr">
        <is>
          <t xml:space="preserve">Baterías para vehículos</t>
        </is>
      </c>
      <c r="E118" s="4" t="inlineStr">
        <is>
          <t xml:space="preserve">Maquinaria para generación y distribución de energía / Transmisión de energía eléctrica, mecánica y cinética / Baterías, pilas y accesorios</t>
        </is>
      </c>
      <c r="F118" s="0">
        <v>2.0</v>
      </c>
      <c r="G118" s="0" t="inlineStr">
        <is>
          <t xml:space="preserve">Unidad</t>
        </is>
      </c>
      <c r="H118" s="4" t="inlineStr">
        <is>
          <t xml:space="preserve">BATERÍAS 12 VOLTS, 100 AMP. 650-700 CCA DE ARRANQUE EN FRIO.</t>
        </is>
      </c>
    </row>
    <row r="119">
      <c r="A119" s="0" t="inlineStr">
        <is>
          <t xml:space="preserve">29-73-LE26</t>
        </is>
      </c>
      <c r="B119" s="4" t="inlineStr">
        <is>
          <t xml:space="preserve">ALR - ADQ. REPUESTOS Y TABLERO ELECT.   GPO. ELECT</t>
        </is>
      </c>
      <c r="C119" s="0">
        <v>9</v>
      </c>
      <c r="D119" s="4" t="inlineStr">
        <is>
          <t xml:space="preserve">Filtros de aceite</t>
        </is>
      </c>
      <c r="E119" s="4" t="inlineStr">
        <is>
          <t xml:space="preserve">Equipamiento para el acondicionamiento, distribución y filtrado de fluidos / Filtros y purificación industrial / Filtros</t>
        </is>
      </c>
      <c r="F119" s="0">
        <v>2.0</v>
      </c>
      <c r="G119" s="0" t="inlineStr">
        <is>
          <t xml:space="preserve">Unidad</t>
        </is>
      </c>
      <c r="H119" s="4" t="inlineStr">
        <is>
          <t xml:space="preserve">FILTROS DE ACEITE CAT 1R-1808.</t>
        </is>
      </c>
    </row>
    <row r="120">
      <c r="A120" s="0" t="inlineStr">
        <is>
          <t xml:space="preserve">29-73-LE26</t>
        </is>
      </c>
      <c r="B120" s="4" t="inlineStr">
        <is>
          <t xml:space="preserve">ALR - ADQ. REPUESTOS Y TABLERO ELECT.   GPO. ELECT</t>
        </is>
      </c>
      <c r="C120" s="0">
        <v>10</v>
      </c>
      <c r="D120" s="4" t="inlineStr">
        <is>
          <t xml:space="preserve">Filtros de combustible</t>
        </is>
      </c>
      <c r="E120" s="4" t="inlineStr">
        <is>
          <t xml:space="preserve">Equipamiento para el acondicionamiento, distribución y filtrado de fluidos / Filtros y purificación industrial / Filtros</t>
        </is>
      </c>
      <c r="F120" s="0">
        <v>2.0</v>
      </c>
      <c r="G120" s="0" t="inlineStr">
        <is>
          <t xml:space="preserve">Unidad</t>
        </is>
      </c>
      <c r="H120" s="4" t="inlineStr">
        <is>
          <t xml:space="preserve">FILTROS DE COMBUSTIBLE BF 7587.</t>
        </is>
      </c>
    </row>
    <row r="121">
      <c r="A121" s="0" t="inlineStr">
        <is>
          <t xml:space="preserve">29-73-LE26</t>
        </is>
      </c>
      <c r="B121" s="4" t="inlineStr">
        <is>
          <t xml:space="preserve">ALR - ADQ. REPUESTOS Y TABLERO ELECT.   GPO. ELECT</t>
        </is>
      </c>
      <c r="C121" s="0">
        <v>11</v>
      </c>
      <c r="D121" s="4" t="inlineStr">
        <is>
          <t xml:space="preserve">Filtros de aire</t>
        </is>
      </c>
      <c r="E121" s="4" t="inlineStr">
        <is>
          <t xml:space="preserve">Equipamiento para el acondicionamiento, distribución y filtrado de fluidos / Filtros y purificación industrial / Filtros</t>
        </is>
      </c>
      <c r="F121" s="0">
        <v>2.0</v>
      </c>
      <c r="G121" s="0" t="inlineStr">
        <is>
          <t xml:space="preserve">Unidad</t>
        </is>
      </c>
      <c r="H121" s="4" t="inlineStr">
        <is>
          <t xml:space="preserve">FILTROS DE AIRE 6L 4714.</t>
        </is>
      </c>
    </row>
    <row r="122">
      <c r="A122" s="0" t="inlineStr">
        <is>
          <t xml:space="preserve">29-73-LE26</t>
        </is>
      </c>
      <c r="B122" s="4" t="inlineStr">
        <is>
          <t xml:space="preserve">ALR - ADQ. REPUESTOS Y TABLERO ELECT.   GPO. ELECT</t>
        </is>
      </c>
      <c r="C122" s="0">
        <v>12</v>
      </c>
      <c r="D122" s="4" t="inlineStr">
        <is>
          <t xml:space="preserve">Baterías para vehículos</t>
        </is>
      </c>
      <c r="E122" s="4" t="inlineStr">
        <is>
          <t xml:space="preserve">Maquinaria para generación y distribución de energía / Transmisión de energía eléctrica, mecánica y cinética / Baterías, pilas y accesorios</t>
        </is>
      </c>
      <c r="F122" s="0">
        <v>2.0</v>
      </c>
      <c r="G122" s="0" t="inlineStr">
        <is>
          <t xml:space="preserve">Unidad</t>
        </is>
      </c>
      <c r="H122" s="4" t="inlineStr">
        <is>
          <t xml:space="preserve">BATERÍAS 12 VOLTS, 150 AMP.</t>
        </is>
      </c>
    </row>
    <row r="123">
      <c r="A123" s="0" t="inlineStr">
        <is>
          <t xml:space="preserve">875-6-LP26</t>
        </is>
      </c>
      <c r="B123" s="4" t="inlineStr">
        <is>
          <t xml:space="preserve">SERVICIO DE MARKETING DIGITAL</t>
        </is>
      </c>
      <c r="C123" s="0">
        <v>1</v>
      </c>
      <c r="D123" s="4" t="inlineStr">
        <is>
          <t xml:space="preserve">Campañas publicitarias o de marketing</t>
        </is>
      </c>
      <c r="E123" s="4" t="inlineStr">
        <is>
          <t xml:space="preserve">Servicios profesionales, administrativos y consultorías de gestión empresarial / Servicios para la comercialización y distribución / Ventas y marketing</t>
        </is>
      </c>
      <c r="F123" s="0">
        <v>1.0</v>
      </c>
      <c r="G123" s="0" t="inlineStr">
        <is>
          <t xml:space="preserve">Unidad</t>
        </is>
      </c>
      <c r="H123" s="4" t="inlineStr">
        <is>
          <t xml:space="preserve">SERVICIO DE MARKETING DIGITAL</t>
        </is>
      </c>
    </row>
    <row r="124">
      <c r="A124" s="0" t="inlineStr">
        <is>
          <t xml:space="preserve">2348-34-LP26</t>
        </is>
      </c>
      <c r="B124" s="4" t="inlineStr">
        <is>
          <t xml:space="preserve">ADQUISICIÓN DE LICENCIAS DE SOFTWARE</t>
        </is>
      </c>
      <c r="C124" s="0">
        <v>1</v>
      </c>
      <c r="D124" s="4" t="inlineStr">
        <is>
          <t xml:space="preserve">Software de sistema operativo</t>
        </is>
      </c>
      <c r="E124" s="4" t="inlineStr">
        <is>
          <t xml:space="preserve">Tecnologías de la información, telecomunicaciones y radiodifusión / Software / Software de entorno operativo</t>
        </is>
      </c>
      <c r="F124" s="0">
        <v>2.0</v>
      </c>
      <c r="G124" s="0" t="inlineStr">
        <is>
          <t xml:space="preserve">Unidad</t>
        </is>
      </c>
      <c r="H124"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25">
      <c r="A125" s="0" t="inlineStr">
        <is>
          <t xml:space="preserve">2348-34-LP26</t>
        </is>
      </c>
      <c r="B125" s="4" t="inlineStr">
        <is>
          <t xml:space="preserve">ADQUISICIÓN DE LICENCIAS DE SOFTWARE</t>
        </is>
      </c>
      <c r="C125" s="0">
        <v>2</v>
      </c>
      <c r="D125" s="4" t="inlineStr">
        <is>
          <t xml:space="preserve">Software de sistema operativo</t>
        </is>
      </c>
      <c r="E125" s="4" t="inlineStr">
        <is>
          <t xml:space="preserve">Tecnologías de la información, telecomunicaciones y radiodifusión / Software / Software de entorno operativo</t>
        </is>
      </c>
      <c r="F125" s="0">
        <v>22.0</v>
      </c>
      <c r="G125" s="0" t="inlineStr">
        <is>
          <t xml:space="preserve">Unidad</t>
        </is>
      </c>
      <c r="H125"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26">
      <c r="A126" s="0" t="inlineStr">
        <is>
          <t xml:space="preserve">2348-34-LP26</t>
        </is>
      </c>
      <c r="B126" s="4" t="inlineStr">
        <is>
          <t xml:space="preserve">ADQUISICIÓN DE LICENCIAS DE SOFTWARE</t>
        </is>
      </c>
      <c r="C126" s="0">
        <v>3</v>
      </c>
      <c r="D126" s="4" t="inlineStr">
        <is>
          <t xml:space="preserve">Software de sistema operativo</t>
        </is>
      </c>
      <c r="E126" s="4" t="inlineStr">
        <is>
          <t xml:space="preserve">Tecnologías de la información, telecomunicaciones y radiodifusión / Software / Software de entorno operativo</t>
        </is>
      </c>
      <c r="F126" s="0">
        <v>5.0</v>
      </c>
      <c r="G126" s="0" t="inlineStr">
        <is>
          <t xml:space="preserve">Unidad</t>
        </is>
      </c>
      <c r="H126"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27">
      <c r="A127" s="0" t="inlineStr">
        <is>
          <t xml:space="preserve">2348-34-LP26</t>
        </is>
      </c>
      <c r="B127" s="4" t="inlineStr">
        <is>
          <t xml:space="preserve">ADQUISICIÓN DE LICENCIAS DE SOFTWARE</t>
        </is>
      </c>
      <c r="C127" s="0">
        <v>4</v>
      </c>
      <c r="D127" s="4" t="inlineStr">
        <is>
          <t xml:space="preserve">Software de sistema operativo</t>
        </is>
      </c>
      <c r="E127" s="4" t="inlineStr">
        <is>
          <t xml:space="preserve">Tecnologías de la información, telecomunicaciones y radiodifusión / Software / Software de entorno operativo</t>
        </is>
      </c>
      <c r="F127" s="0">
        <v>1.0</v>
      </c>
      <c r="G127" s="0" t="inlineStr">
        <is>
          <t xml:space="preserve">Unidad</t>
        </is>
      </c>
      <c r="H127"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28">
      <c r="A128" s="0" t="inlineStr">
        <is>
          <t xml:space="preserve">2348-34-LP26</t>
        </is>
      </c>
      <c r="B128" s="4" t="inlineStr">
        <is>
          <t xml:space="preserve">ADQUISICIÓN DE LICENCIAS DE SOFTWARE</t>
        </is>
      </c>
      <c r="C128" s="0">
        <v>5</v>
      </c>
      <c r="D128" s="4" t="inlineStr">
        <is>
          <t xml:space="preserve">Software de sistema operativo</t>
        </is>
      </c>
      <c r="E128" s="4" t="inlineStr">
        <is>
          <t xml:space="preserve">Tecnologías de la información, telecomunicaciones y radiodifusión / Software / Software de entorno operativo</t>
        </is>
      </c>
      <c r="F128" s="0">
        <v>2.0</v>
      </c>
      <c r="G128" s="0" t="inlineStr">
        <is>
          <t xml:space="preserve">Unidad</t>
        </is>
      </c>
      <c r="H128" s="4" t="inlineStr">
        <is>
          <t xml:space="preserve">ZOOM PRO - Licencias de usuario Pro, hasta 100 Invitados por Videoconferencia, duración llamadas ilimitadas, Agendamiento de Reuniones, Presentaciones en calidad HD - 36 meses de Suscripción.</t>
        </is>
      </c>
    </row>
    <row r="129">
      <c r="A129" s="0" t="inlineStr">
        <is>
          <t xml:space="preserve">2348-34-LP26</t>
        </is>
      </c>
      <c r="B129" s="4" t="inlineStr">
        <is>
          <t xml:space="preserve">ADQUISICIÓN DE LICENCIAS DE SOFTWARE</t>
        </is>
      </c>
      <c r="C129" s="0">
        <v>6</v>
      </c>
      <c r="D129" s="4" t="inlineStr">
        <is>
          <t xml:space="preserve">Software de sistema operativo</t>
        </is>
      </c>
      <c r="E129" s="4" t="inlineStr">
        <is>
          <t xml:space="preserve">Tecnologías de la información, telecomunicaciones y radiodifusión / Software / Software de entorno operativo</t>
        </is>
      </c>
      <c r="F129" s="0">
        <v>1.0</v>
      </c>
      <c r="G129" s="0" t="inlineStr">
        <is>
          <t xml:space="preserve">Unidad</t>
        </is>
      </c>
      <c r="H129" s="4" t="inlineStr">
        <is>
          <t xml:space="preserve">Protocolo DMARC por un periodo de 36 meses, con soporte técnico y con correos emitidos ilimitadamente</t>
        </is>
      </c>
    </row>
    <row r="130">
      <c r="A130" s="0" t="inlineStr">
        <is>
          <t xml:space="preserve">2348-34-LP26</t>
        </is>
      </c>
      <c r="B130" s="4" t="inlineStr">
        <is>
          <t xml:space="preserve">ADQUISICIÓN DE LICENCIAS DE SOFTWARE</t>
        </is>
      </c>
      <c r="C130" s="0">
        <v>7</v>
      </c>
      <c r="D130" s="4" t="inlineStr">
        <is>
          <t xml:space="preserve">Software de sistema operativo</t>
        </is>
      </c>
      <c r="E130" s="4" t="inlineStr">
        <is>
          <t xml:space="preserve">Tecnologías de la información, telecomunicaciones y radiodifusión / Software / Software de entorno operativo</t>
        </is>
      </c>
      <c r="F130" s="0">
        <v>1.0</v>
      </c>
      <c r="G130" s="0" t="inlineStr">
        <is>
          <t xml:space="preserve">Unidad</t>
        </is>
      </c>
      <c r="H130" s="4" t="inlineStr">
        <is>
          <t xml:space="preserve">LICENCIA CLOUD VNNOX, para pantallas HITO 500 AÑOS. LICENCIA POR 36 MESES</t>
        </is>
      </c>
    </row>
    <row r="131">
      <c r="A131" s="0" t="inlineStr">
        <is>
          <t xml:space="preserve">2348-34-LP26</t>
        </is>
      </c>
      <c r="B131" s="4" t="inlineStr">
        <is>
          <t xml:space="preserve">ADQUISICIÓN DE LICENCIAS DE SOFTWARE</t>
        </is>
      </c>
      <c r="C131" s="0">
        <v>8</v>
      </c>
      <c r="D131" s="4" t="inlineStr">
        <is>
          <t xml:space="preserve">Software de sistema operativo</t>
        </is>
      </c>
      <c r="E131" s="4" t="inlineStr">
        <is>
          <t xml:space="preserve">Tecnologías de la información, telecomunicaciones y radiodifusión / Software / Software de entorno operativo</t>
        </is>
      </c>
      <c r="F131" s="0">
        <v>5.0</v>
      </c>
      <c r="G131" s="0" t="inlineStr">
        <is>
          <t xml:space="preserve">Unidad</t>
        </is>
      </c>
      <c r="H131" s="4" t="inlineStr">
        <is>
          <t xml:space="preserve">SQL Server 2025 - 1 User CAL Perpetua</t>
        </is>
      </c>
    </row>
    <row r="132">
      <c r="A132" s="0" t="inlineStr">
        <is>
          <t xml:space="preserve">2348-34-LP26</t>
        </is>
      </c>
      <c r="B132" s="4" t="inlineStr">
        <is>
          <t xml:space="preserve">ADQUISICIÓN DE LICENCIAS DE SOFTWARE</t>
        </is>
      </c>
      <c r="C132" s="0">
        <v>9</v>
      </c>
      <c r="D132" s="4" t="inlineStr">
        <is>
          <t xml:space="preserve">Software de sistema operativo</t>
        </is>
      </c>
      <c r="E132" s="4" t="inlineStr">
        <is>
          <t xml:space="preserve">Tecnologías de la información, telecomunicaciones y radiodifusión / Software / Software de entorno operativo</t>
        </is>
      </c>
      <c r="F132" s="0">
        <v>2.0</v>
      </c>
      <c r="G132" s="0" t="inlineStr">
        <is>
          <t xml:space="preserve">Unidad</t>
        </is>
      </c>
      <c r="H132" s="4" t="inlineStr">
        <is>
          <t xml:space="preserve">SQL Server 2025 Standard Edition Perpetuo</t>
        </is>
      </c>
    </row>
    <row r="133">
      <c r="A133" s="0" t="inlineStr">
        <is>
          <t xml:space="preserve">2348-34-LP26</t>
        </is>
      </c>
      <c r="B133" s="4" t="inlineStr">
        <is>
          <t xml:space="preserve">ADQUISICIÓN DE LICENCIAS DE SOFTWARE</t>
        </is>
      </c>
      <c r="C133" s="0">
        <v>10</v>
      </c>
      <c r="D133" s="4" t="inlineStr">
        <is>
          <t xml:space="preserve">Software de sistema operativo</t>
        </is>
      </c>
      <c r="E133" s="4" t="inlineStr">
        <is>
          <t xml:space="preserve">Tecnologías de la información, telecomunicaciones y radiodifusión / Software / Software de entorno operativo</t>
        </is>
      </c>
      <c r="F133" s="0">
        <v>8.0</v>
      </c>
      <c r="G133" s="0" t="inlineStr">
        <is>
          <t xml:space="preserve">Unidad</t>
        </is>
      </c>
      <c r="H133" s="4" t="inlineStr">
        <is>
          <t xml:space="preserve">SQL Server 2025 Standard Core - License Pack 2 Core Perpetuo</t>
        </is>
      </c>
    </row>
    <row r="134">
      <c r="A134" s="0" t="inlineStr">
        <is>
          <t xml:space="preserve">2445-109-LP26</t>
        </is>
      </c>
      <c r="B134" s="4" t="inlineStr">
        <is>
          <t xml:space="preserve">SERVICIO SOFTWARE GESTIÓN  ASISTENCIA DEPTO. SALUD</t>
        </is>
      </c>
      <c r="C134" s="0">
        <v>1</v>
      </c>
      <c r="D134" s="4" t="inlineStr">
        <is>
          <t xml:space="preserve">Software de gestión de recursos humanos</t>
        </is>
      </c>
      <c r="E134" s="4" t="inlineStr">
        <is>
          <t xml:space="preserve">Tecnologías de la información, telecomunicaciones y radiodifusión / Software / Software de gestión</t>
        </is>
      </c>
      <c r="F134" s="0">
        <v>1.0</v>
      </c>
      <c r="G134" s="0" t="inlineStr">
        <is>
          <t xml:space="preserve">Unidad</t>
        </is>
      </c>
      <c r="H134" s="4" t="inlineStr">
        <is>
          <t xml:space="preserve">SERVICIO DE ARRIENDO, IMPLEMENTACIÓN, MANTENCIÓN Y SOPORTE DE SOFTWARE  CLOUD PARA GESTIÓN DE ASISTENCIA Y TERMINALES BIOMÉTRICOS PARA EL DEPARTAMENTO DE SALUD CURICO, POR UN PERIODO DE 36 MESES</t>
        </is>
      </c>
    </row>
    <row r="135">
      <c r="A135" s="0" t="inlineStr">
        <is>
          <t xml:space="preserve">1020-40-LP26</t>
        </is>
      </c>
      <c r="B135" s="4" t="inlineStr">
        <is>
          <t xml:space="preserve">Serv.Cloud Amazon Web Services AWS o Equivalente</t>
        </is>
      </c>
      <c r="C135" s="0">
        <v>1</v>
      </c>
      <c r="D135" s="4" t="inlineStr">
        <is>
          <t xml:space="preserve">Software del sistema de administración de bases de datos</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PRECIO TOTAL NETO OFERTADO (SIN IVA), según Formulario N°1 "Oferta Económica" (Incluye los señalado en el numeral 5.1.1 de las Bases Administrativas, en archivo adjunto).</t>
        </is>
      </c>
    </row>
    <row r="136">
      <c r="A136" s="0" t="inlineStr">
        <is>
          <t xml:space="preserve">3902-39-LP26</t>
        </is>
      </c>
      <c r="B136" s="4" t="inlineStr">
        <is>
          <t xml:space="preserve">SERVICIO SOFTWARE SISTEMAS DE INFORMACIÓN BULNES.</t>
        </is>
      </c>
      <c r="C136" s="0">
        <v>1</v>
      </c>
      <c r="D136" s="4" t="inlineStr">
        <is>
          <t xml:space="preserve">Paquetes de software para oficinas</t>
        </is>
      </c>
      <c r="E136" s="4" t="inlineStr">
        <is>
          <t xml:space="preserve">Tecnologías de la información, telecomunicaciones y radiodifusión / Software / Software de gestión</t>
        </is>
      </c>
      <c r="F136" s="0">
        <v>1.0</v>
      </c>
      <c r="G136" s="0" t="inlineStr">
        <is>
          <t xml:space="preserve">Global</t>
        </is>
      </c>
      <c r="H13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37">
      <c r="A137" s="0" t="inlineStr">
        <is>
          <t xml:space="preserve">2434-20-LP26</t>
        </is>
      </c>
      <c r="B137" s="4" t="inlineStr">
        <is>
          <t xml:space="preserve">SERV. PLATAFORMA INTEGRAL PARA GESTION MUNICIPAL</t>
        </is>
      </c>
      <c r="C137" s="0">
        <v>1</v>
      </c>
      <c r="D137" s="4" t="inlineStr">
        <is>
          <t xml:space="preserve">Software de interconectividad de plataformas</t>
        </is>
      </c>
      <c r="E137" s="4" t="inlineStr">
        <is>
          <t xml:space="preserve">Tecnologías de la información, telecomunicaciones y radiodifusión / Software / Software para trabajo en redes</t>
        </is>
      </c>
      <c r="F137" s="0">
        <v>1.0</v>
      </c>
      <c r="G137" s="0" t="inlineStr">
        <is>
          <t xml:space="preserve">Global</t>
        </is>
      </c>
      <c r="H137" s="4" t="inlineStr">
        <is>
          <t xml:space="preserve">Servicio de Plataforma Integral de Gestión Municipal y Servicios Digitales, Municipalidad de Estación Central.</t>
        </is>
      </c>
    </row>
    <row r="138">
      <c r="A138" s="0" t="inlineStr">
        <is>
          <t xml:space="preserve">1020-46-LE26</t>
        </is>
      </c>
      <c r="B138" s="4" t="inlineStr">
        <is>
          <t xml:space="preserve">Adq. Sopor. y Actual. Software ServiceTonic MOP.</t>
        </is>
      </c>
      <c r="C138" s="0">
        <v>1</v>
      </c>
      <c r="D138" s="4" t="inlineStr">
        <is>
          <t xml:space="preserve">Software de gestión de licencias</t>
        </is>
      </c>
      <c r="E138" s="4" t="inlineStr">
        <is>
          <t xml:space="preserve">Tecnologías de la información, telecomunicaciones y radiodifusión / Software / Software de gestión</t>
        </is>
      </c>
      <c r="F138" s="0">
        <v>50.0</v>
      </c>
      <c r="G138" s="0" t="inlineStr">
        <is>
          <t xml:space="preserve">Unidad</t>
        </is>
      </c>
      <c r="H138" s="4" t="inlineStr">
        <is>
          <t xml:space="preserve">Soporte y Actualizaciones Software ServiceTonic Licencias en modalidad On-Premise, usuarios nombrados, por 12 meses. Desde el 20 de octubre de 2026, hasta el 19 de Octubre de 2027. VER BASES TÉCNICA, Páginas 28 y 29.</t>
        </is>
      </c>
    </row>
    <row r="139">
      <c r="A139" s="0" t="inlineStr">
        <is>
          <t xml:space="preserve">1133353-43-LR26</t>
        </is>
      </c>
      <c r="B139" s="4" t="inlineStr">
        <is>
          <t xml:space="preserve">ARRIENDO DE SOFTWARE INTEGRAL PARA LA GESTIÓN MUNICIPAL ÁREAS DE SALUD Y MUNICIPAL COMUNA DE RAUCO</t>
        </is>
      </c>
      <c r="C139" s="0">
        <v>1</v>
      </c>
      <c r="D139" s="4" t="inlineStr">
        <is>
          <t xml:space="preserve">Software de administración</t>
        </is>
      </c>
      <c r="E139" s="4" t="inlineStr">
        <is>
          <t xml:space="preserve">Tecnologías de la información, telecomunicaciones y radiodifusión / Software / Software de administración de redes</t>
        </is>
      </c>
      <c r="F139" s="0">
        <v>1.0</v>
      </c>
      <c r="G139" s="0" t="inlineStr">
        <is>
          <t xml:space="preserve">Global</t>
        </is>
      </c>
      <c r="H139" s="4" t="inlineStr">
        <is>
          <t xml:space="preserve">SOFTWARE INTEGRAL PARA LA GESTIÓN MUNICIPAL</t>
        </is>
      </c>
    </row>
    <row r="140">
      <c r="A140" s="0" t="inlineStr">
        <is>
          <t xml:space="preserve">2408-160-LP26</t>
        </is>
      </c>
      <c r="B140" s="4" t="inlineStr">
        <is>
          <t xml:space="preserve">EQUIPOS INFORMÁTICOS PARA DEPENDENCIAS MUNICIPALES</t>
        </is>
      </c>
      <c r="C140" s="0">
        <v>1</v>
      </c>
      <c r="D140" s="4" t="inlineStr">
        <is>
          <t xml:space="preserve">Escáner</t>
        </is>
      </c>
      <c r="E140" s="4" t="inlineStr">
        <is>
          <t xml:space="preserve">Tecnologías de la información, telecomunicaciones y radiodifusión / Equipos informáticos y accesorios / Dispositivos informáticos de entrada de datos</t>
        </is>
      </c>
      <c r="F140" s="0">
        <v>40.0</v>
      </c>
      <c r="G140" s="0" t="inlineStr">
        <is>
          <t xml:space="preserve">Unidad</t>
        </is>
      </c>
      <c r="H140" s="4" t="inlineStr">
        <is>
          <t xml:space="preserve">Se requiere scanner, según bases técnicas adjuntas.</t>
        </is>
      </c>
    </row>
    <row r="141">
      <c r="A141" s="0" t="inlineStr">
        <is>
          <t xml:space="preserve">2408-160-LP26</t>
        </is>
      </c>
      <c r="B141" s="4" t="inlineStr">
        <is>
          <t xml:space="preserve">EQUIPOS INFORMÁTICOS PARA DEPENDENCIAS MUNICIPALES</t>
        </is>
      </c>
      <c r="C141" s="0">
        <v>2</v>
      </c>
      <c r="D141" s="4" t="inlineStr">
        <is>
          <t xml:space="preserve">Impresoras de chorro de tinta</t>
        </is>
      </c>
      <c r="E141" s="4" t="inlineStr">
        <is>
          <t xml:space="preserve">Tecnologías de la información, telecomunicaciones y radiodifusión / Equipos informáticos y accesorios / Impresoras</t>
        </is>
      </c>
      <c r="F141" s="0">
        <v>70.0</v>
      </c>
      <c r="G141" s="0" t="inlineStr">
        <is>
          <t xml:space="preserve">Unidad</t>
        </is>
      </c>
      <c r="H141" s="4" t="inlineStr">
        <is>
          <t xml:space="preserve">Se requiere impresoras, según bases técnicas adjuntas.</t>
        </is>
      </c>
    </row>
    <row r="142">
      <c r="A142" s="0" t="inlineStr">
        <is>
          <t xml:space="preserve">2408-160-LP26</t>
        </is>
      </c>
      <c r="B142" s="4" t="inlineStr">
        <is>
          <t xml:space="preserve">EQUIPOS INFORMÁTICOS PARA DEPENDENCIAS MUNICIPALES</t>
        </is>
      </c>
      <c r="C142" s="0">
        <v>3</v>
      </c>
      <c r="D142" s="4" t="inlineStr">
        <is>
          <t xml:space="preserve">Trazadoras de gráficos</t>
        </is>
      </c>
      <c r="E142" s="4" t="inlineStr">
        <is>
          <t xml:space="preserve">Tecnologías de la información, telecomunicaciones y radiodifusión / Equipos informáticos y accesorios / Impresoras</t>
        </is>
      </c>
      <c r="F142" s="0">
        <v>3.0</v>
      </c>
      <c r="G142" s="0" t="inlineStr">
        <is>
          <t xml:space="preserve">Unidad</t>
        </is>
      </c>
      <c r="H142" s="4" t="inlineStr">
        <is>
          <t xml:space="preserve">Se requiere plóter, según bases técnicas adjuntas.</t>
        </is>
      </c>
    </row>
    <row r="143">
      <c r="A143" s="0" t="inlineStr">
        <is>
          <t xml:space="preserve">2408-160-LP26</t>
        </is>
      </c>
      <c r="B143" s="4" t="inlineStr">
        <is>
          <t xml:space="preserve">EQUIPOS INFORMÁTICOS PARA DEPENDENCIAS MUNICIPALES</t>
        </is>
      </c>
      <c r="C143" s="0">
        <v>4</v>
      </c>
      <c r="D143" s="4" t="inlineStr">
        <is>
          <t xml:space="preserve">Computadores personales</t>
        </is>
      </c>
      <c r="E143" s="4" t="inlineStr">
        <is>
          <t xml:space="preserve">Tecnologías de la información, telecomunicaciones y radiodifusión / Equipos informáticos y accesorios / Computadores</t>
        </is>
      </c>
      <c r="F143" s="0">
        <v>12.0</v>
      </c>
      <c r="G143" s="0" t="inlineStr">
        <is>
          <t xml:space="preserve">Unidad</t>
        </is>
      </c>
      <c r="H143" s="4" t="inlineStr">
        <is>
          <t xml:space="preserve">Se requiere computadores touch, según bases técnicas adjuntas.</t>
        </is>
      </c>
    </row>
    <row r="144">
      <c r="A144" s="0" t="inlineStr">
        <is>
          <t xml:space="preserve">2408-160-LP26</t>
        </is>
      </c>
      <c r="B144" s="4" t="inlineStr">
        <is>
          <t xml:space="preserve">EQUIPOS INFORMÁTICOS PARA DEPENDENCIAS MUNICIPALES</t>
        </is>
      </c>
      <c r="C144" s="0">
        <v>5</v>
      </c>
      <c r="D144" s="4" t="inlineStr">
        <is>
          <t xml:space="preserve">Computadores de escritorio</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Se requiere PC para streaming, según bases técnicas adjuntas.</t>
        </is>
      </c>
    </row>
    <row r="145">
      <c r="A145" s="0" t="inlineStr">
        <is>
          <t xml:space="preserve">2408-160-LP26</t>
        </is>
      </c>
      <c r="B145" s="4" t="inlineStr">
        <is>
          <t xml:space="preserve">EQUIPOS INFORMÁTICOS PARA DEPENDENCIAS MUNICIPALES</t>
        </is>
      </c>
      <c r="C145" s="0">
        <v>6</v>
      </c>
      <c r="D145" s="4" t="inlineStr">
        <is>
          <t xml:space="preserve">Computadores de escritorio</t>
        </is>
      </c>
      <c r="E145" s="4" t="inlineStr">
        <is>
          <t xml:space="preserve">Tecnologías de la información, telecomunicaciones y radiodifusión / Equipos informáticos y accesorios / Computadores</t>
        </is>
      </c>
      <c r="F145" s="0">
        <v>6.0</v>
      </c>
      <c r="G145" s="0" t="inlineStr">
        <is>
          <t xml:space="preserve">Unidad</t>
        </is>
      </c>
      <c r="H145" s="4" t="inlineStr">
        <is>
          <t xml:space="preserve">Se requiere PC, según bases técnicas adjuntas.</t>
        </is>
      </c>
    </row>
    <row r="146">
      <c r="A146" s="0" t="inlineStr">
        <is>
          <t xml:space="preserve">1593-24-LP26</t>
        </is>
      </c>
      <c r="B146" s="4" t="inlineStr">
        <is>
          <t xml:space="preserve">Adquisición instalación plataforma almacenamiento</t>
        </is>
      </c>
      <c r="C146" s="0">
        <v>1</v>
      </c>
      <c r="D146" s="4" t="inlineStr">
        <is>
          <t xml:space="preserve">Almacenamiento de datos</t>
        </is>
      </c>
      <c r="E146" s="4" t="inlineStr">
        <is>
          <t xml:space="preserve">Servicios basados en ingeniería, ciencias sociales y tecnología de la información / Servicios informáticos / Administración de sistemas</t>
        </is>
      </c>
      <c r="F146" s="0">
        <v>1.0</v>
      </c>
      <c r="G146" s="0" t="inlineStr">
        <is>
          <t xml:space="preserve">Unidad</t>
        </is>
      </c>
      <c r="H146" s="4" t="inlineStr">
        <is>
          <t xml:space="preserve">Adquisición e instalación de plataforma de almacenamiento para la Superintendencia de
Servicios Sanitarios.</t>
        </is>
      </c>
    </row>
    <row r="147">
      <c r="A147" s="0" t="inlineStr">
        <is>
          <t xml:space="preserve">2563-34-LR26</t>
        </is>
      </c>
      <c r="B147" s="4" t="inlineStr">
        <is>
          <t xml:space="preserve">EQUIPOS PARA REDES INFORMÁTICAS Y LICENCIAS</t>
        </is>
      </c>
      <c r="C147" s="0">
        <v>1</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10.0</v>
      </c>
      <c r="G147" s="0" t="inlineStr">
        <is>
          <t xml:space="preserve">Unidad</t>
        </is>
      </c>
      <c r="H147" s="4" t="inlineStr">
        <is>
          <t xml:space="preserve">Switch 48G PoE 4SFP+ (equivalente al modelo JL727B) / Control de Acceso</t>
        </is>
      </c>
    </row>
    <row r="148">
      <c r="A148" s="0" t="inlineStr">
        <is>
          <t xml:space="preserve">2563-34-LR26</t>
        </is>
      </c>
      <c r="B148" s="4" t="inlineStr">
        <is>
          <t xml:space="preserve">EQUIPOS PARA REDES INFORMÁTICAS Y LICENCIAS</t>
        </is>
      </c>
      <c r="C148" s="0">
        <v>2</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Switch 48G PoE 4SFP+ (equivalente al modelo JL727B) /Aeroportuarios</t>
        </is>
      </c>
    </row>
    <row r="149">
      <c r="A149" s="0" t="inlineStr">
        <is>
          <t xml:space="preserve">2563-34-LR26</t>
        </is>
      </c>
      <c r="B149" s="4" t="inlineStr">
        <is>
          <t xml:space="preserve">EQUIPOS PARA REDES INFORMÁTICAS Y LICENCIAS</t>
        </is>
      </c>
      <c r="C149" s="0">
        <v>3</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1.0</v>
      </c>
      <c r="G149" s="0" t="inlineStr">
        <is>
          <t xml:space="preserve">Unidad</t>
        </is>
      </c>
      <c r="H149" s="4" t="inlineStr">
        <is>
          <t xml:space="preserve">Switch 24G PoE 4SFP+(equivalente al modelo JL261A) /Aeroportuario</t>
        </is>
      </c>
    </row>
    <row r="150">
      <c r="A150" s="0" t="inlineStr">
        <is>
          <t xml:space="preserve">2563-34-LR26</t>
        </is>
      </c>
      <c r="B150" s="4" t="inlineStr">
        <is>
          <t xml:space="preserve">EQUIPOS PARA REDES INFORMÁTICAS Y LICENCIAS</t>
        </is>
      </c>
      <c r="C150" s="0">
        <v>4</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7.0</v>
      </c>
      <c r="G150" s="0" t="inlineStr">
        <is>
          <t xml:space="preserve">Unidad</t>
        </is>
      </c>
      <c r="H150" s="4" t="inlineStr">
        <is>
          <t xml:space="preserve">Switch 12G PoE 2SFP+ (equivalente al modelo R8Q72A) /Aeroportuario</t>
        </is>
      </c>
    </row>
    <row r="151">
      <c r="A151" s="0" t="inlineStr">
        <is>
          <t xml:space="preserve">2563-34-LR26</t>
        </is>
      </c>
      <c r="B151" s="4" t="inlineStr">
        <is>
          <t xml:space="preserve">EQUIPOS PARA REDES INFORMÁTICAS Y LICENCIAS</t>
        </is>
      </c>
      <c r="C151" s="0">
        <v>5</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4.0</v>
      </c>
      <c r="G151" s="0" t="inlineStr">
        <is>
          <t xml:space="preserve">Unidad</t>
        </is>
      </c>
      <c r="H151" s="4" t="inlineStr">
        <is>
          <t xml:space="preserve">Access Point Desktop (equivalente al modelo R3V46A) /Control de acceso</t>
        </is>
      </c>
    </row>
    <row r="152">
      <c r="A152" s="0" t="inlineStr">
        <is>
          <t xml:space="preserve">2563-34-LR26</t>
        </is>
      </c>
      <c r="B152" s="4" t="inlineStr">
        <is>
          <t xml:space="preserve">EQUIPOS PARA REDES INFORMÁTICAS Y LICENCIAS</t>
        </is>
      </c>
      <c r="C152" s="0">
        <v>6</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20.0</v>
      </c>
      <c r="G152" s="0" t="inlineStr">
        <is>
          <t xml:space="preserve">Unidad</t>
        </is>
      </c>
      <c r="H152" s="4" t="inlineStr">
        <is>
          <t xml:space="preserve">Access Point
(equivalente al modelo JZ336A) /Control de Acceso</t>
        </is>
      </c>
    </row>
    <row r="153">
      <c r="A153" s="0" t="inlineStr">
        <is>
          <t xml:space="preserve">2563-34-LR26</t>
        </is>
      </c>
      <c r="B153" s="4" t="inlineStr">
        <is>
          <t xml:space="preserve">EQUIPOS PARA REDES INFORMÁTICAS Y LICENCIAS</t>
        </is>
      </c>
      <c r="C153" s="0">
        <v>7</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11.0</v>
      </c>
      <c r="G153" s="0" t="inlineStr">
        <is>
          <t xml:space="preserve">Unidad</t>
        </is>
      </c>
      <c r="H153" s="4" t="inlineStr">
        <is>
          <t xml:space="preserve">Access Point
(equivalente al modelo JZ336A) /Aeroportuarios</t>
        </is>
      </c>
    </row>
    <row r="154">
      <c r="A154" s="0" t="inlineStr">
        <is>
          <t xml:space="preserve">2563-34-LR26</t>
        </is>
      </c>
      <c r="B154" s="4" t="inlineStr">
        <is>
          <t xml:space="preserve">EQUIPOS PARA REDES INFORMÁTICAS Y LICENCIAS</t>
        </is>
      </c>
      <c r="C154" s="0">
        <v>8</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6.0</v>
      </c>
      <c r="G154" s="0" t="inlineStr">
        <is>
          <t xml:space="preserve">Unidad</t>
        </is>
      </c>
      <c r="H154" s="4" t="inlineStr">
        <is>
          <t xml:space="preserve">Access Point Exterior
(equivalente al modelo R7T05A) /Control de Acceso</t>
        </is>
      </c>
    </row>
    <row r="155">
      <c r="A155" s="0" t="inlineStr">
        <is>
          <t xml:space="preserve">2563-34-LR26</t>
        </is>
      </c>
      <c r="B155" s="4" t="inlineStr">
        <is>
          <t xml:space="preserve">EQUIPOS PARA REDES INFORMÁTICAS Y LICENCIAS</t>
        </is>
      </c>
      <c r="C155" s="0">
        <v>9</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3.0</v>
      </c>
      <c r="G155" s="0" t="inlineStr">
        <is>
          <t xml:space="preserve">Unidad</t>
        </is>
      </c>
      <c r="H155" s="4" t="inlineStr">
        <is>
          <t xml:space="preserve">Soporte anclaje para riel cielo falso plano 9/16'' Pack 10 unidades. /Aeroportuarios</t>
        </is>
      </c>
    </row>
    <row r="156">
      <c r="A156" s="0" t="inlineStr">
        <is>
          <t xml:space="preserve">2563-34-LR26</t>
        </is>
      </c>
      <c r="B156" s="4" t="inlineStr">
        <is>
          <t xml:space="preserve">EQUIPOS PARA REDES INFORMÁTICAS Y LICENCIAS</t>
        </is>
      </c>
      <c r="C156" s="0">
        <v>10</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superficie sólida Pack 10 unidades. /Aeroportuarios</t>
        </is>
      </c>
    </row>
    <row r="157">
      <c r="A157" s="0" t="inlineStr">
        <is>
          <t xml:space="preserve">2563-34-LR26</t>
        </is>
      </c>
      <c r="B157" s="4" t="inlineStr">
        <is>
          <t xml:space="preserve">EQUIPOS PARA REDES INFORMÁTICAS Y LICENCIAS</t>
        </is>
      </c>
      <c r="C157" s="0">
        <v>11</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10.0</v>
      </c>
      <c r="G157" s="0" t="inlineStr">
        <is>
          <t xml:space="preserve">Unidad</t>
        </is>
      </c>
      <c r="H157" s="4" t="inlineStr">
        <is>
          <t xml:space="preserve">Módulo 10G SFP+ LC LR 10km
(equivalente al modelo J9151E) /Control de Acceso</t>
        </is>
      </c>
    </row>
    <row r="158">
      <c r="A158" s="0" t="inlineStr">
        <is>
          <t xml:space="preserve">2563-34-LR26</t>
        </is>
      </c>
      <c r="B158" s="4" t="inlineStr">
        <is>
          <t xml:space="preserve">EQUIPOS PARA REDES INFORMÁTICAS Y LICENCIAS</t>
        </is>
      </c>
      <c r="C158" s="0">
        <v>12</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FO (SM) 1G SFP LC LX 10km
(equivalente al modelo J4859D) /Control de Acceso</t>
        </is>
      </c>
    </row>
    <row r="159">
      <c r="A159" s="0" t="inlineStr">
        <is>
          <t xml:space="preserve">2563-34-LR26</t>
        </is>
      </c>
      <c r="B159" s="4" t="inlineStr">
        <is>
          <t xml:space="preserve">EQUIPOS PARA REDES INFORMÁTICAS Y LICENCIAS</t>
        </is>
      </c>
      <c r="C159" s="0">
        <v>13</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24.0</v>
      </c>
      <c r="G159" s="0" t="inlineStr">
        <is>
          <t xml:space="preserve">Unidad</t>
        </is>
      </c>
      <c r="H159" s="4" t="inlineStr">
        <is>
          <t xml:space="preserve">Módulo FO (SM) 1G SFP LC LX 10km (equivalente al modelo J4859D) /Aeroportuarios</t>
        </is>
      </c>
    </row>
    <row r="160">
      <c r="A160" s="0" t="inlineStr">
        <is>
          <t xml:space="preserve">2563-34-LR26</t>
        </is>
      </c>
      <c r="B160" s="4" t="inlineStr">
        <is>
          <t xml:space="preserve">EQUIPOS PARA REDES INFORMÁTICAS Y LICENCIAS</t>
        </is>
      </c>
      <c r="C160" s="0">
        <v>14</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1.0</v>
      </c>
      <c r="G160" s="0" t="inlineStr">
        <is>
          <t xml:space="preserve">Unidad</t>
        </is>
      </c>
      <c r="H160" s="4" t="inlineStr">
        <is>
          <t xml:space="preserve">Equipo de protección de enlaces de red frente a ataques DDoS y amenazas avanzadas, actuando directamente en el borde de la red (edge), donde se conectan los enlaces de Internet principal y de respaldo. /Control de Acceso</t>
        </is>
      </c>
    </row>
    <row r="161">
      <c r="A161" s="0" t="inlineStr">
        <is>
          <t xml:space="preserve">2563-34-LR26</t>
        </is>
      </c>
      <c r="B161" s="4" t="inlineStr">
        <is>
          <t xml:space="preserve">EQUIPOS PARA REDES INFORMÁTICAS Y LICENCIAS</t>
        </is>
      </c>
      <c r="C161" s="0">
        <v>15</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Licencia para el funcionamiento del equipo de protección de enlaces de red frente a ataques DDoS y amenazas avanzadas. /Control de Acceso</t>
        </is>
      </c>
    </row>
    <row r="162">
      <c r="A162" s="0" t="inlineStr">
        <is>
          <t xml:space="preserve">1259850-4-LP26</t>
        </is>
      </c>
      <c r="B162" s="4" t="inlineStr">
        <is>
          <t xml:space="preserve">GORE COMPRA DE EQUIPOS INFORMATICOS</t>
        </is>
      </c>
      <c r="C162" s="0">
        <v>1</v>
      </c>
      <c r="D162" s="4" t="inlineStr">
        <is>
          <t xml:space="preserve">Computadores de escritorio</t>
        </is>
      </c>
      <c r="E162" s="4" t="inlineStr">
        <is>
          <t xml:space="preserve">Tecnologías de la información, telecomunicaciones y radiodifusión / Equipos informáticos y accesorios / Computadores</t>
        </is>
      </c>
      <c r="F162" s="0">
        <v>66.0</v>
      </c>
      <c r="G162" s="0" t="inlineStr">
        <is>
          <t xml:space="preserve">Unidad</t>
        </is>
      </c>
      <c r="H162" s="4" t="inlineStr">
        <is>
          <t xml:space="preserve">EQUIPOS INFORMATICOS INTEL CORE I7.
SE ADJUNTA BASES DE LICITACION.</t>
        </is>
      </c>
    </row>
    <row r="163">
      <c r="A163" s="0" t="inlineStr">
        <is>
          <t xml:space="preserve">1259850-4-LP26</t>
        </is>
      </c>
      <c r="B163" s="4" t="inlineStr">
        <is>
          <t xml:space="preserve">GORE COMPRA DE EQUIPOS INFORMATICOS</t>
        </is>
      </c>
      <c r="C163" s="0">
        <v>2</v>
      </c>
      <c r="D163" s="4" t="inlineStr">
        <is>
          <t xml:space="preserve">Impresoras multifunción o multifuncionales</t>
        </is>
      </c>
      <c r="E163" s="4" t="inlineStr">
        <is>
          <t xml:space="preserve">Tecnologías de la información, telecomunicaciones y radiodifusión / Equipos informáticos y accesorios / Impresoras</t>
        </is>
      </c>
      <c r="F163" s="0">
        <v>15.0</v>
      </c>
      <c r="G163" s="0" t="inlineStr">
        <is>
          <t xml:space="preserve">Unidad</t>
        </is>
      </c>
      <c r="H163" s="4" t="inlineStr">
        <is>
          <t xml:space="preserve">IMPRESORA MULTIFUNCIONAL.
SE ADJUNTA BASES DE LICITACION.</t>
        </is>
      </c>
    </row>
    <row r="164">
      <c r="A164" s="0" t="inlineStr">
        <is>
          <t xml:space="preserve">1259850-4-LP26</t>
        </is>
      </c>
      <c r="B164" s="4" t="inlineStr">
        <is>
          <t xml:space="preserve">GORE COMPRA DE EQUIPOS INFORMATICOS</t>
        </is>
      </c>
      <c r="C164" s="0">
        <v>3</v>
      </c>
      <c r="D164" s="4" t="inlineStr">
        <is>
          <t xml:space="preserve">Escáner</t>
        </is>
      </c>
      <c r="E164" s="4" t="inlineStr">
        <is>
          <t xml:space="preserve">Tecnologías de la información, telecomunicaciones y radiodifusión / Equipos informáticos y accesorios / Dispositivos informáticos de entrada de datos</t>
        </is>
      </c>
      <c r="F164" s="0">
        <v>4.0</v>
      </c>
      <c r="G164" s="0" t="inlineStr">
        <is>
          <t xml:space="preserve">Unidad</t>
        </is>
      </c>
      <c r="H164" s="4" t="inlineStr">
        <is>
          <t xml:space="preserve">ESCANER DE ALTO RENDIMIENTO.
SE ADJUNTA ESPECIFICACIONES TECNICAS.</t>
        </is>
      </c>
    </row>
    <row r="165">
      <c r="A165" s="0" t="inlineStr">
        <is>
          <t xml:space="preserve">2069-141-LR26</t>
        </is>
      </c>
      <c r="B165" s="4" t="inlineStr">
        <is>
          <t xml:space="preserve">CGM ADQ. TORRE DE ENDOSCOPIA DIGESTIVA CON IA</t>
        </is>
      </c>
      <c r="C165" s="0">
        <v>1</v>
      </c>
      <c r="D165" s="4" t="inlineStr">
        <is>
          <t xml:space="preserve">Equipo endoscópico o carritos de procedimiento o accesorios</t>
        </is>
      </c>
      <c r="E165" s="4" t="inlineStr">
        <is>
          <t xml:space="preserve">Equipamiento y suministros médicos / Productos quirúrgicos / Equipo endoscópico, accesorios y productos relacionados</t>
        </is>
      </c>
      <c r="F165" s="0">
        <v>2.0</v>
      </c>
      <c r="G165" s="0" t="inlineStr">
        <is>
          <t xml:space="preserve">Unidad</t>
        </is>
      </c>
      <c r="H165" s="4" t="inlineStr">
        <is>
          <t xml:space="preserve">TORRE DE ENDOSCOPIA DIGESTIVA CON INTELIGENCIA ARTIFICIAL</t>
        </is>
      </c>
    </row>
    <row r="166">
      <c r="A166" s="0" t="inlineStr">
        <is>
          <t xml:space="preserve">5531-4-B226</t>
        </is>
      </c>
      <c r="B166" s="4" t="inlineStr">
        <is>
          <t xml:space="preserve">Servicios de publicidad digital para el DII</t>
        </is>
      </c>
      <c r="C166" s="0">
        <v>1</v>
      </c>
      <c r="D166" s="4" t="inlineStr">
        <is>
          <t xml:space="preserve">Campañas publicitarias</t>
        </is>
      </c>
      <c r="E166" s="4" t="inlineStr">
        <is>
          <t xml:space="preserve">Servicios editoriales, de diseño, publicidad, gráficos y artistas / Publicidad / Agencias de publicidad</t>
        </is>
      </c>
      <c r="F166" s="0">
        <v>1.0</v>
      </c>
      <c r="G166" s="0" t="inlineStr">
        <is>
          <t xml:space="preserve">Unidad</t>
        </is>
      </c>
      <c r="H166" s="4" t="inlineStr">
        <is>
          <t xml:space="preserve">Servicios de publicidad digital, para el Departamento de Ingeniería Industrial</t>
        </is>
      </c>
    </row>
    <row r="167">
      <c r="A167" s="0" t="inlineStr">
        <is>
          <t xml:space="preserve">1562-49-LR26</t>
        </is>
      </c>
      <c r="B167" s="4" t="inlineStr">
        <is>
          <t xml:space="preserve">Sistema de monitoreo integral de ciberseguridad</t>
        </is>
      </c>
      <c r="C167" s="0">
        <v>1</v>
      </c>
      <c r="D167" s="4" t="inlineStr">
        <is>
          <t xml:space="preserve">Equipo de seguridad de evaluación de vulnerabilidad</t>
        </is>
      </c>
      <c r="E167" s="4" t="inlineStr">
        <is>
          <t xml:space="preserve">Tecnologías de la información, telecomunicaciones y radiodifusión / Equipos, plataformas y accesorios de redes multimedia, voz y datos / Equipos de seguridad de red</t>
        </is>
      </c>
      <c r="F167" s="0">
        <v>1.0</v>
      </c>
      <c r="G167" s="0" t="inlineStr">
        <is>
          <t xml:space="preserve">Unidad</t>
        </is>
      </c>
      <c r="H16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68">
      <c r="A168" s="0" t="inlineStr">
        <is>
          <t xml:space="preserve">586-52-LP26</t>
        </is>
      </c>
      <c r="B168" s="4" t="inlineStr">
        <is>
          <t xml:space="preserve">Adquisición de licencias de software Redhat</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Adquisición de suscripciones de licencias de software Redhat, conforme a bases de licitación</t>
        </is>
      </c>
    </row>
    <row r="169">
      <c r="A169" s="0" t="inlineStr">
        <is>
          <t xml:space="preserve">3084-31-LE26</t>
        </is>
      </c>
      <c r="B169" s="4" t="inlineStr">
        <is>
          <t xml:space="preserve">SERVICIO REPARACIÓN DE OFICINAS PARA LA DIRECCIÓN DE TELECOMUNICACIONES E INFORMÁTICA DE LA ARMADA.</t>
        </is>
      </c>
      <c r="C169" s="0">
        <v>1</v>
      </c>
      <c r="D169" s="4" t="inlineStr">
        <is>
          <t xml:space="preserve">Mano de obra temporal</t>
        </is>
      </c>
      <c r="E169" s="4" t="inlineStr">
        <is>
          <t xml:space="preserve">Servicios profesionales, administrativos y consultorías de gestión empresarial / Servicios de recursos humanos / Servicios de personal temporal</t>
        </is>
      </c>
      <c r="F169" s="0">
        <v>1.0</v>
      </c>
      <c r="G169" s="0" t="inlineStr">
        <is>
          <t xml:space="preserve">Unidad</t>
        </is>
      </c>
      <c r="H169" s="4" t="inlineStr">
        <is>
          <t xml:space="preserve">Contratación del Servicio de Reparación de Oficinas, de acuerdo a Especificaciones Técnicas.</t>
        </is>
      </c>
    </row>
    <row r="170">
      <c r="A170" s="0" t="inlineStr">
        <is>
          <t xml:space="preserve">837-101-LP26</t>
        </is>
      </c>
      <c r="B170" s="4" t="inlineStr">
        <is>
          <t xml:space="preserve">CDP 477 SERVICIO DE OPERACIÓN SISTEMA DE CONTROL CENTRALIZADO BMS Y SISTEMA DE TELEVIGILANCIA SOFTWARE HIKCENTRAL PROFESSIONAL DE EDIFICIO INSTITUCIONAL SML SANTIAGO</t>
        </is>
      </c>
      <c r="C170" s="0">
        <v>1</v>
      </c>
      <c r="D170" s="4" t="inlineStr">
        <is>
          <t xml:space="preserve">Software de administración</t>
        </is>
      </c>
      <c r="E170" s="4" t="inlineStr">
        <is>
          <t xml:space="preserve">Tecnologías de la información, telecomunicaciones y radiodifusión / Software / Software de administración de redes</t>
        </is>
      </c>
      <c r="F170" s="0">
        <v>12.0</v>
      </c>
      <c r="G170" s="0" t="inlineStr">
        <is>
          <t xml:space="preserve">Mes</t>
        </is>
      </c>
      <c r="H170" s="4" t="inlineStr">
        <is>
          <t xml:space="preserve">SERVICIO DE OPERACIÓN PARA EL SISTEMA DE CONTROL CENTRALIZADO (BMS) SOFTWARE ENTELIWEB</t>
        </is>
      </c>
    </row>
    <row r="171">
      <c r="A171" s="0" t="inlineStr">
        <is>
          <t xml:space="preserve">837-101-LP26</t>
        </is>
      </c>
      <c r="B171" s="4" t="inlineStr">
        <is>
          <t xml:space="preserve">CDP 477 SERVICIO DE OPERACIÓN SISTEMA DE CONTROL CENTRALIZADO BMS Y SISTEMA DE TELEVIGILANCIA SOFTWARE HIKCENTRAL PROFESSIONAL DE EDIFICIO INSTITUCIONAL SML SANTIAGO</t>
        </is>
      </c>
      <c r="C171" s="0">
        <v>2</v>
      </c>
      <c r="D171" s="4" t="inlineStr">
        <is>
          <t xml:space="preserve">Sistemas de control de acceso o de seguridad</t>
        </is>
      </c>
      <c r="E171" s="4" t="inlineStr">
        <is>
          <t xml:space="preserve">Equipos y suministros de defensa, orden público, protección y seguridad / Seguridad, vigilancia y detección / Equipo de vigilancia y detección</t>
        </is>
      </c>
      <c r="F171" s="0">
        <v>12.0</v>
      </c>
      <c r="G171" s="0" t="inlineStr">
        <is>
          <t xml:space="preserve">Mes</t>
        </is>
      </c>
      <c r="H171" s="4" t="inlineStr">
        <is>
          <t xml:space="preserve">SERVICIO DE OPERACIÓN PARA EL SISTEMA DE TELEVIGILANCIA SOFTWARE HIKCENTRAL PROFESSIONAL</t>
        </is>
      </c>
    </row>
    <row r="172">
      <c r="A172" s="0" t="inlineStr">
        <is>
          <t xml:space="preserve">2200-23-LR26</t>
        </is>
      </c>
      <c r="B172" s="4" t="inlineStr">
        <is>
          <t xml:space="preserve">SERVICIO DE ARRIENDO DE SOFTWARE DE REGISTRO CLÍNICO ELECTRÓNICO RCE ATENCIÓN PRIMARIA - TIC</t>
        </is>
      </c>
      <c r="C172" s="0">
        <v>1</v>
      </c>
      <c r="D172" s="4" t="inlineStr">
        <is>
          <t xml:space="preserve">Desarrolladores de software</t>
        </is>
      </c>
      <c r="E172" s="4" t="inlineStr">
        <is>
          <t xml:space="preserve">Servicios profesionales, administrativos y consultorías de gestión empresarial / Servicios de recursos humanos / Contratación de personal</t>
        </is>
      </c>
      <c r="F172" s="0">
        <v>1700.0</v>
      </c>
      <c r="G172" s="0" t="inlineStr">
        <is>
          <t xml:space="preserve">Unidad</t>
        </is>
      </c>
      <c r="H172" s="4" t="inlineStr">
        <is>
          <t xml:space="preserve">SERVICIO DE ARRIENDO DE SOFTWARE DE REGISTRO CLÍNICO ELECTRÓNICO (RCE) ATENCIÓN PRIMARIA - TIC, SE ADJUNTA ESPECIFICACIONES TÉCNICAS, ANEXOS</t>
        </is>
      </c>
    </row>
    <row r="173">
      <c r="A173" s="0" t="inlineStr">
        <is>
          <t xml:space="preserve">1973-93-LR26</t>
        </is>
      </c>
      <c r="B173" s="4" t="inlineStr">
        <is>
          <t xml:space="preserve">SISTEMA DE INFORMACIÓN DE GESTIÓN ADMINISTRATIVA Y FARMACIA</t>
        </is>
      </c>
      <c r="C173" s="0">
        <v>1</v>
      </c>
      <c r="D173" s="4" t="inlineStr">
        <is>
          <t xml:space="preserve">Software de planificación de recursos empresariales (ERP)</t>
        </is>
      </c>
      <c r="E173" s="4" t="inlineStr">
        <is>
          <t xml:space="preserve">Tecnologías de la información, telecomunicaciones y radiodifusión / Software / Software de planificación de recursos empresariales (ERP) y contabilidad financiera</t>
        </is>
      </c>
      <c r="F173" s="0">
        <v>1.0</v>
      </c>
      <c r="G173" s="0" t="inlineStr">
        <is>
          <t xml:space="preserve">Global</t>
        </is>
      </c>
      <c r="H173" s="4" t="inlineStr">
        <is>
          <t xml:space="preserve">TOTAL PROYECTO (Parametrización, implementación y puesta en marcha  / Arriendo, operación, soporte y mantenimiento por el período de 60 meses)</t>
        </is>
      </c>
    </row>
    <row r="174">
      <c r="A174" s="0" t="inlineStr">
        <is>
          <t xml:space="preserve">2239-2-LR26</t>
        </is>
      </c>
      <c r="B174" s="4" t="inlineStr">
        <is>
          <t xml:space="preserve">Convenio Marco Desarrollo de software</t>
        </is>
      </c>
      <c r="C174" s="0">
        <v>1</v>
      </c>
      <c r="D174" s="4" t="inlineStr">
        <is>
          <t xml:space="preserve">Desarrolladores de software</t>
        </is>
      </c>
      <c r="E174" s="4" t="inlineStr">
        <is>
          <t xml:space="preserve">Servicios profesionales, administrativos y consultorías de gestión empresarial / Servicios de recursos humanos / Contratación de personal</t>
        </is>
      </c>
      <c r="F174" s="0">
        <v>1.0</v>
      </c>
      <c r="G174" s="0" t="inlineStr">
        <is>
          <t xml:space="preserve">Unidad</t>
        </is>
      </c>
      <c r="H174" s="4" t="inlineStr">
        <is>
          <t xml:space="preserve">Convenio Marco para la adquisición de los Servicios de Desarrollo y Mantención de Software, Servicios Profesionales TI y Cloud Computing</t>
        </is>
      </c>
    </row>
    <row r="175">
      <c r="A175" s="0" t="inlineStr">
        <is>
          <t xml:space="preserve">1607-13-LR26</t>
        </is>
      </c>
      <c r="B175" s="4" t="inlineStr">
        <is>
          <t xml:space="preserve">servicio SD-WAN LAN telefonía en la nube y enlaces</t>
        </is>
      </c>
      <c r="C175" s="0">
        <v>1</v>
      </c>
      <c r="D175" s="4" t="inlineStr">
        <is>
          <t xml:space="preserve">Diseño de redes de comunicación de cobertura amplia (WAN)</t>
        </is>
      </c>
      <c r="E175" s="4" t="inlineStr">
        <is>
          <t xml:space="preserve">Servicios basados en ingeniería, ciencias sociales y tecnología de la información / Servicios informáticos / Sistemas de información</t>
        </is>
      </c>
      <c r="F175" s="0">
        <v>1.0</v>
      </c>
      <c r="G175" s="0" t="inlineStr">
        <is>
          <t xml:space="preserve">Unidad</t>
        </is>
      </c>
      <c r="H175" s="4" t="inlineStr">
        <is>
          <t xml:space="preserve">servicios SD-WAN, LAN, telefonía en la nube y enlaces internet para la Superintendencia de Seguridad Social.</t>
        </is>
      </c>
    </row>
    <row r="176">
      <c r="A176" s="0" t="inlineStr">
        <is>
          <t xml:space="preserve">1274285-45-LP26</t>
        </is>
      </c>
      <c r="B176" s="4" t="inlineStr">
        <is>
          <t xml:space="preserve">Software de gestión Droguería Comunal</t>
        </is>
      </c>
      <c r="C176" s="0">
        <v>1</v>
      </c>
      <c r="D176" s="4" t="inlineStr">
        <is>
          <t xml:space="preserve">Software de cadena de suministro y logística de planificación de requisitos de materiales</t>
        </is>
      </c>
      <c r="E176" s="4" t="inlineStr">
        <is>
          <t xml:space="preserve">Tecnologías de la información, telecomunicaciones y radiodifusión / Software / Software de gestión</t>
        </is>
      </c>
      <c r="F176" s="0">
        <v>1.0</v>
      </c>
      <c r="G176" s="0" t="inlineStr">
        <is>
          <t xml:space="preserve">Unidad</t>
        </is>
      </c>
      <c r="H176" s="4" t="inlineStr">
        <is>
          <t xml:space="preserve">Software de cadena de suministro para droguería comunal y centros de salud de la corporación municipal de salud de San Bernardo, para las siguientes áreas: recepción, Almacenamiento, Despacho, Inventario y Reportes de gestión</t>
        </is>
      </c>
    </row>
    <row r="177">
      <c r="A177" s="0" t="inlineStr">
        <is>
          <t xml:space="preserve">548874-72-LR26</t>
        </is>
      </c>
      <c r="B177" s="4" t="inlineStr">
        <is>
          <t xml:space="preserve">SERV. DE ADMINISTRACION PLATAFORMAS TECNOLOGICAS</t>
        </is>
      </c>
      <c r="C177" s="0">
        <v>1</v>
      </c>
      <c r="D177" s="4" t="inlineStr">
        <is>
          <t xml:space="preserve">Software del sistema de administración de bases de datos</t>
        </is>
      </c>
      <c r="E177" s="4" t="inlineStr">
        <is>
          <t xml:space="preserve">Tecnologías de la información, telecomunicaciones y radiodifusión / Software / Software de consultas y gestión de datos</t>
        </is>
      </c>
      <c r="F177" s="0">
        <v>1.0</v>
      </c>
      <c r="G177" s="0" t="inlineStr">
        <is>
          <t xml:space="preserve">Global</t>
        </is>
      </c>
      <c r="H177" s="4" t="inlineStr">
        <is>
          <t xml:space="preserve">SERVICIO DE
ADMINISTRACION,
GESTION,
CONFIGURACION,
RESPALDOS Y
MANTENCION DE LAS
PLATAFORMAS
TECNOLOGICAS DE
IPS</t>
        </is>
      </c>
    </row>
    <row r="178">
      <c r="A178" s="0" t="inlineStr">
        <is>
          <t xml:space="preserve">548874-74-LR26</t>
        </is>
      </c>
      <c r="B178" s="4" t="inlineStr">
        <is>
          <t xml:space="preserve">SERV DE PLATAFORMA SIEM NUEVA GENERACIÓN SAAS IPS</t>
        </is>
      </c>
      <c r="C178" s="0">
        <v>1</v>
      </c>
      <c r="D178" s="4" t="inlineStr">
        <is>
          <t xml:space="preserve">Software de protección antivirus y de seguridad de transacciones</t>
        </is>
      </c>
      <c r="E178" s="4" t="inlineStr">
        <is>
          <t xml:space="preserve">Tecnologías de la información, telecomunicaciones y radiodifusión / Software / Software de seguridad y protección</t>
        </is>
      </c>
      <c r="F178" s="0">
        <v>1.0</v>
      </c>
      <c r="G178" s="0" t="inlineStr">
        <is>
          <t xml:space="preserve">Global</t>
        </is>
      </c>
      <c r="H178" s="4" t="inlineStr">
        <is>
          <t xml:space="preserve">SERVICIO DE PLATAFORMA SIEM DE NUEVA GENERACIÓN EN MODALIDAD SAAS PARA EL INSTITUTO DE PREVISIÓN SOCIAL</t>
        </is>
      </c>
    </row>
    <row r="179">
      <c r="A179" s="0" t="inlineStr">
        <is>
          <t xml:space="preserve">548874-77-LR26</t>
        </is>
      </c>
      <c r="B179" s="4" t="inlineStr">
        <is>
          <t xml:space="preserve">MANTENCIÓN Y MEJORA SISTEMA CIBERSEGURIDAD NCH ISO</t>
        </is>
      </c>
      <c r="C179" s="0">
        <v>1</v>
      </c>
      <c r="D179" s="4" t="inlineStr">
        <is>
          <t xml:space="preserve">Software de administración de red privada virtual (VPN) o de seguridad de red</t>
        </is>
      </c>
      <c r="E179" s="4" t="inlineStr">
        <is>
          <t xml:space="preserve">Tecnologías de la información, telecomunicaciones y radiodifusión / Software / Software de seguridad y protección</t>
        </is>
      </c>
      <c r="F179" s="0">
        <v>1.0</v>
      </c>
      <c r="G179" s="0" t="inlineStr">
        <is>
          <t xml:space="preserve">Global</t>
        </is>
      </c>
      <c r="H179" s="4" t="inlineStr">
        <is>
          <t xml:space="preserve">E1O2RT8 - SERVICIO DE MANTENCIÓN Y MEJORA DEL SISTEMA DE GESTIÓN DE SEGURIDAD DE LA INFORMACIÓN Y CIBERSEGURIDAD INSTITUCIONAL NCH ISO/ IEC 27001</t>
        </is>
      </c>
    </row>
    <row r="180">
      <c r="A180" s="0" t="inlineStr">
        <is>
          <t xml:space="preserve">976-15-O126</t>
        </is>
      </c>
      <c r="B180" s="4" t="inlineStr">
        <is>
          <t xml:space="preserve">Ampliación Plataformas Comercial y General Ad. El Loa</t>
        </is>
      </c>
      <c r="C180" s="0">
        <v>1</v>
      </c>
      <c r="D180" s="4" t="inlineStr">
        <is>
          <t xml:space="preserve">Licitación Pública de Obra</t>
        </is>
      </c>
      <c r="E180" s="4" t="inlineStr">
        <is>
          <t xml:space="preserve">Consultoria / Consultoria / Planificación y Factibilidad</t>
        </is>
      </c>
      <c r="F180" s="0">
        <v>1.0</v>
      </c>
      <c r="G180" s="0" t="inlineStr">
        <is>
          <t xml:space="preserve">Unidad</t>
        </is>
      </c>
      <c r="H180" s="4" t="inlineStr">
        <is>
          <t xml:space="preserve">Licitación Pública de Obra</t>
        </is>
      </c>
    </row>
    <row r="181">
      <c r="A181" s="0" t="inlineStr">
        <is>
          <t xml:space="preserve">1969-34-LS19</t>
        </is>
      </c>
      <c r="B181" s="4" t="inlineStr">
        <is>
          <t xml:space="preserve">AUTOMATIZACIÓN PORTÓN ACCESO A LINEA DE FUEGO</t>
        </is>
      </c>
      <c r="C181" s="0">
        <v>1</v>
      </c>
      <c r="D181" s="4" t="inlineStr">
        <is>
          <t xml:space="preserve">Puertas de metal</t>
        </is>
      </c>
      <c r="E181" s="4" t="inlineStr">
        <is>
          <t xml:space="preserve">Artículos para estructuras, obras y construcciones / Puertas, ventanas y vidrios / Puertas</t>
        </is>
      </c>
      <c r="F181" s="0">
        <v>1.0</v>
      </c>
      <c r="G181" s="0" t="inlineStr">
        <is>
          <t xml:space="preserve">Unidad</t>
        </is>
      </c>
      <c r="H181" s="4" t="inlineStr">
        <is>
          <t xml:space="preserve">AUTOMATIZACIÓN DE PORTÓN ACCESO A LINEA DE FUEGO C.P. CONCEPCIÓN</t>
        </is>
      </c>
    </row>
  </sheetData>
  <autoFilter ref="A1:H181"/>
</worksheet>
</file>