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4768-48-LE26</t>
        </is>
      </c>
      <c r="B2" s="4" t="inlineStr">
        <is>
          <t xml:space="preserve">MODIFICACION Y MODERNIZACION SEL SITIO WEB</t>
        </is>
      </c>
      <c r="C2" s="0" t="inlineStr">
        <is>
          <t xml:space="preserve">Publicada</t>
        </is>
      </c>
      <c r="D2" s="0" t="inlineStr">
        <is>
          <t xml:space="preserve">I MUNICIPALIDAD DE LA ESTRELLA</t>
        </is>
      </c>
      <c r="E2" s="0" t="inlineStr">
        <is>
          <t xml:space="preserve">D.A.F</t>
        </is>
      </c>
      <c r="F2" s="0" t="inlineStr">
        <is>
          <t xml:space="preserve">Región del Libertador General Bernardo O´Higgins</t>
        </is>
      </c>
      <c r="G2" s="0" t="inlineStr">
        <is>
          <t xml:space="preserve">La Estrella</t>
        </is>
      </c>
      <c r="H2" s="2">
        <v>46290.536806</v>
      </c>
      <c r="I2" s="2">
        <v>46300.645833</v>
      </c>
      <c r="J2" s="0">
        <v>5</v>
      </c>
      <c r="K2" s="3">
        <v>9000000.0</v>
      </c>
      <c r="L2" s="0" t="inlineStr">
        <is>
          <t xml:space="preserve">CLP</t>
        </is>
      </c>
      <c r="M2" s="0" t="inlineStr">
        <is>
          <t xml:space="preserve">LE</t>
        </is>
      </c>
      <c r="N2" s="4" t="inlineStr">
        <is>
          <t xml:space="preserve">Tecnologías de la información, telecomunicaciones y radiodifusión / Software / Programas de desarrollo</t>
        </is>
      </c>
      <c r="O2" s="4" t="inlineStr">
        <is>
          <t xml:space="preserve">1 Global · Software de desarrollo de plataforma Web</t>
        </is>
      </c>
      <c r="P2" s="2"/>
      <c r="Q2" s="2"/>
      <c r="R2" s="0"/>
      <c r="S2" s="0" t="inlineStr">
        <is>
          <t xml:space="preserve">No</t>
        </is>
      </c>
      <c r="T2" s="4" t="inlineStr">
        <is>
          <t xml:space="preserve">SEGUN LO INDICADO EN LAS BASES DE LICITACION</t>
        </is>
      </c>
      <c r="U2" s="0" t="inlineStr">
        <is>
          <t xml:space="preserve">GUISSEL LUCERO MADRID</t>
        </is>
      </c>
      <c r="V2" s="4" t="inlineStr">
        <is>
          <t xml:space="preserve">Contratar el servicio de diseño, modificación, modernización, desarrollo, implementación, puesta en marcha, capacitación y soporte del sitio web institucional de la Municipalidad de La Estrella.</t>
        </is>
      </c>
      <c r="W2" s="5" t="str">
        <f>HYPERLINK("https://www.mercadopublico.cl/Procurement/Modules/Attachment/ViewAttachment.aspx?enc=O3RT6RCi0vcQXvevlWv9xG7UFsuEo7gIPhUFP7spj8WOj3rCpjAIjiFQHrfYOs4jrlwjopbh4XTALhabWfu1ouWtjmoJXcqsx8Cbv9vz0KmUhMSMv26VT%2bJRq2nBB1f5eW4K7yJV1cE4LZ2H%2fU2beBwCQ8gnoaAzLkL7QkE8znvcevnIAjeJFIlufAi1D4%2b1eDVI4OYFKZQ4CbPRMUl9pFXIBUQWKbEmksSMYicnmA35zmlFm95dl9MjVTJH9AeKV%2bdiyh75Y1Qeb3R8xSu7TZ5O3YwnUZvBEdyYz8BdJuj4TzvX0USyWCQg9fTyAzDD","descargar bases")</f>
      </c>
    </row>
    <row r="3">
      <c r="A3" s="0" t="inlineStr">
        <is>
          <t xml:space="preserve">2378-116-L126</t>
        </is>
      </c>
      <c r="B3" s="4" t="inlineStr">
        <is>
          <t xml:space="preserve">ADQUISICIÓN DE OTROS SOFTWARES MUN DE LA  FLORIDA</t>
        </is>
      </c>
      <c r="C3" s="0" t="inlineStr">
        <is>
          <t xml:space="preserve">Publicada</t>
        </is>
      </c>
      <c r="D3" s="0" t="inlineStr">
        <is>
          <t xml:space="preserve">I MUNICIPALIDAD DE LA FLORIDA</t>
        </is>
      </c>
      <c r="E3" s="0" t="inlineStr">
        <is>
          <t xml:space="preserve">SECRETARIA DE PLANIFICACION</t>
        </is>
      </c>
      <c r="F3" s="0" t="inlineStr">
        <is>
          <t xml:space="preserve">Región Metropolitana de Santiago</t>
        </is>
      </c>
      <c r="G3" s="0" t="inlineStr">
        <is>
          <t xml:space="preserve">La Florida</t>
        </is>
      </c>
      <c r="H3" s="2">
        <v>46295.481539</v>
      </c>
      <c r="I3" s="2">
        <v>46302.5</v>
      </c>
      <c r="J3" s="0">
        <v>7</v>
      </c>
      <c r="K3" s="3">
        <v>1820000.0</v>
      </c>
      <c r="L3" s="0" t="inlineStr">
        <is>
          <t xml:space="preserve">CLP</t>
        </is>
      </c>
      <c r="M3" s="0" t="inlineStr">
        <is>
          <t xml:space="preserve">L1</t>
        </is>
      </c>
      <c r="N3" s="4" t="inlineStr">
        <is>
          <t xml:space="preserve">Tecnologías de la información, telecomunicaciones y radiodifusión / Software / Software de gestión</t>
        </is>
      </c>
      <c r="O3" s="4" t="inlineStr">
        <is>
          <t xml:space="preserve">1 Global · Software de gestión de licencias · 1 Global · Software de gestión de licencias · 1 Global · Software de gestión de licencias</t>
        </is>
      </c>
      <c r="P3" s="2"/>
      <c r="Q3" s="2"/>
      <c r="R3" s="0" t="inlineStr">
        <is>
          <t xml:space="preserve">45 días</t>
        </is>
      </c>
      <c r="S3" s="0" t="inlineStr">
        <is>
          <t xml:space="preserve">No</t>
        </is>
      </c>
      <c r="T3" s="4"/>
      <c r="U3" s="0" t="inlineStr">
        <is>
          <t xml:space="preserve">CRISTIAN VALENZUELA VERGARA</t>
        </is>
      </c>
      <c r="V3" s="4" t="inlineStr">
        <is>
          <t xml:space="preserve">Dicha propuesta tiene por objeto la contratación de la suscripción de licencias de software destinadas al apoyo a la operación institucional, destinadas a fortalecer los procesos internos de la Municipalidad de La Florida, mejorando la productividad de los equipos de trabajo mediante la incorporación de herramientas de software especializadas que apoyen la operación institucional, optimicen los procesos de las distintas unidades municipales y contribuyan a una gestión más eficiente, segura y continua de los servicios tecnológicos.</t>
        </is>
      </c>
      <c r="W3" s="5" t="str">
        <f>HYPERLINK("https://www.mercadopublico.cl/Procurement/Modules/Attachment/ViewAttachment.aspx?enc=e6HupSStZg6iEtoDwkBdHbRpgK90WXv5BgsoEAclpsFbwwSGMttqkio5Z6eUhGX9CSQD4kjl1l%2byM3NJ6JcWz8eTQANrlCdm1IWI9RN%2fYwrZW7xKrQ9WXgUakzhUVoq%2frS%2bSqynqFYUorQwU%2bGPjtlTeqZfIBihLXqL3hJkta%2bQhIRcBiDx%2bVZSg6e2dJobbCQl8xkgee4zWNotW3Gq9vkjpdhuDmk9I1TQtNGxGbqb%2f9bXT7wYGNqWL2uBsMAbIwWT7kbinLsIAUrH%2bpj1AutlzC%2by2tHZr7q1qbYNjSCwHe8XCpmdp9d9wW4pbFmAW","descargar bases")</f>
      </c>
    </row>
    <row r="4">
      <c r="A4" s="0" t="inlineStr">
        <is>
          <t xml:space="preserve">2658-328-L126</t>
        </is>
      </c>
      <c r="B4" s="4" t="inlineStr">
        <is>
          <t xml:space="preserve">SUSCRIPCION ANUAL PLATAFORMA INTELIGENCIUA ARTIFICIAL</t>
        </is>
      </c>
      <c r="C4" s="0" t="inlineStr">
        <is>
          <t xml:space="preserve">Publicada</t>
        </is>
      </c>
      <c r="D4" s="0" t="inlineStr">
        <is>
          <t xml:space="preserve">I MUNICIPALIDAD DE ANCUD</t>
        </is>
      </c>
      <c r="E4" s="0" t="inlineStr">
        <is>
          <t xml:space="preserve">Municipalidad de Ancud</t>
        </is>
      </c>
      <c r="F4" s="0" t="inlineStr">
        <is>
          <t xml:space="preserve">Región Metropolitana de Santiago</t>
        </is>
      </c>
      <c r="G4" s="0" t="inlineStr">
        <is>
          <t xml:space="preserve">Las Condes</t>
        </is>
      </c>
      <c r="H4" s="2">
        <v>46295.444931</v>
      </c>
      <c r="I4" s="2">
        <v>46303.625</v>
      </c>
      <c r="J4" s="0">
        <v>8</v>
      </c>
      <c r="K4" s="3"/>
      <c r="L4" s="0" t="inlineStr">
        <is>
          <t xml:space="preserve">CLP</t>
        </is>
      </c>
      <c r="M4" s="0" t="inlineStr">
        <is>
          <t xml:space="preserve">L1</t>
        </is>
      </c>
      <c r="N4" s="4" t="inlineStr">
        <is>
          <t xml:space="preserve">Productos impresos y publicaciones / Medios impresos / Publicaciones impresas</t>
        </is>
      </c>
      <c r="O4" s="4" t="inlineStr">
        <is>
          <t xml:space="preserve">5 Unidad · Publicaciones periódicas</t>
        </is>
      </c>
      <c r="P4" s="2"/>
      <c r="Q4" s="2"/>
      <c r="R4" s="0"/>
      <c r="S4" s="0" t="inlineStr">
        <is>
          <t xml:space="preserve">No</t>
        </is>
      </c>
      <c r="T4" s="4"/>
      <c r="U4" s="0"/>
      <c r="V4" s="4" t="inlineStr">
        <is>
          <t xml:space="preserve">donde se solicita la Suscripción anual a Plataforma de Inteligencia Artificial avanzada, lo que se utilizará como herramienta de apoyo para la optimización de labores técnicas y administrativas, dependiente de la Dirección de Obras de la I. Municipalidad de Ancud.</t>
        </is>
      </c>
      <c r="W4" s="5" t="str">
        <f>HYPERLINK("https://www.mercadopublico.cl/Procurement/Modules/Attachment/ViewAttachment.aspx?enc=9XGOaL2PCeN2cJFwIrPnhiHlwA3LObiZvSsmCHFyunz5LgcS3ByG4zkOYHBKQ8L%2f1po6ucvbcs1ip2Eb%2bHNIv%2fPU8V2WrCypzI%2fZn%2feVi%2ffoVr3fdLOvCM%2fAboXdQ%2fTQxPiK7LfBm2IK0bBrc66ssy62IGp8J6T0i3UrQEbB0jGQg27wxI1CiVLqqO07xwIjemuD0l0N4lRXwGO26tGS1AJ2nm6V5VkgMr1BPyps9hQbLlTq9l%2fsBzbam4Zktriry%2bkyzy5tnoohxEuSs9UKjZvxOJaYfYkwl8MDO9AoOQDO1FB1qAuceeO8N0ai%2fEy%2f","descargar bases")</f>
      </c>
    </row>
    <row r="5">
      <c r="A5" s="0" t="inlineStr">
        <is>
          <t xml:space="preserve">1224957-63-LE26</t>
        </is>
      </c>
      <c r="B5" s="4" t="inlineStr">
        <is>
          <t xml:space="preserve">INSUMOS INFORMÁTICOS CMDS ÑUÑOA</t>
        </is>
      </c>
      <c r="C5" s="0" t="inlineStr">
        <is>
          <t xml:space="preserve">Publicada</t>
        </is>
      </c>
      <c r="D5" s="0" t="inlineStr">
        <is>
          <t xml:space="preserve">CORP MUNICIPAL DE DESARROLLO SOCIAL DE NUNOA</t>
        </is>
      </c>
      <c r="E5" s="0" t="inlineStr">
        <is>
          <t xml:space="preserve">CMDS Nivel Central</t>
        </is>
      </c>
      <c r="F5" s="0" t="inlineStr">
        <is>
          <t xml:space="preserve">Región Metropolitana de Santiago</t>
        </is>
      </c>
      <c r="G5" s="0" t="inlineStr">
        <is>
          <t xml:space="preserve">Ñuñoa</t>
        </is>
      </c>
      <c r="H5" s="2">
        <v>46295.503831</v>
      </c>
      <c r="I5" s="2">
        <v>46304.5</v>
      </c>
      <c r="J5" s="0">
        <v>9</v>
      </c>
      <c r="K5" s="3">
        <v>24557263.0</v>
      </c>
      <c r="L5" s="0" t="inlineStr">
        <is>
          <t xml:space="preserve">CLP</t>
        </is>
      </c>
      <c r="M5" s="0" t="inlineStr">
        <is>
          <t xml:space="preserve">LE</t>
        </is>
      </c>
      <c r="N5" s="4" t="inlineStr">
        <is>
          <t xml:space="preserve">Herramientas y maquinaria en general / Herramientas manuales / Juegos de herramientas</t>
        </is>
      </c>
      <c r="O5" s="4" t="inlineStr">
        <is>
          <t xml:space="preserve">1 Unidad · Kit de herramienta para computadores</t>
        </is>
      </c>
      <c r="P5" s="2"/>
      <c r="Q5" s="2"/>
      <c r="R5" s="0"/>
      <c r="S5" s="0" t="inlineStr">
        <is>
          <t xml:space="preserve">No</t>
        </is>
      </c>
      <c r="T5" s="4" t="inlineStr">
        <is>
          <t xml:space="preserve">No se permitirá subcontratación.</t>
        </is>
      </c>
      <c r="U5" s="0" t="inlineStr">
        <is>
          <t xml:space="preserve">Julio González</t>
        </is>
      </c>
      <c r="V5" s="4" t="inlineStr">
        <is>
          <t xml:space="preserve">Adquirir insumos, herramientas y repuestos informáticos para el desarrollo de trabajos de soporte, mantención y reparación de computadores, conectividad y redes informáticas.</t>
        </is>
      </c>
      <c r="W5"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6">
      <c r="A6" s="0" t="inlineStr">
        <is>
          <t xml:space="preserve">2332-65-LE26</t>
        </is>
      </c>
      <c r="B6" s="4" t="inlineStr">
        <is>
          <t xml:space="preserve">ADQUISICIÓN DE ORTOPANTOMÓGRAFO DIGITAL Y CBCT 3D PARA EL DEPARTAMENTO DE SALUD MUNICIPAL DE PUERTO MONTT</t>
        </is>
      </c>
      <c r="C6" s="0" t="inlineStr">
        <is>
          <t xml:space="preserve">Publicada</t>
        </is>
      </c>
      <c r="D6" s="0" t="inlineStr">
        <is>
          <t xml:space="preserve">I MUNICIPALIDAD DE PUERTO MONTT</t>
        </is>
      </c>
      <c r="E6" s="0" t="inlineStr">
        <is>
          <t xml:space="preserve">Oficina de Adquisiciones del Departamento de Salud</t>
        </is>
      </c>
      <c r="F6" s="0" t="inlineStr">
        <is>
          <t xml:space="preserve">Región de los Lagos </t>
        </is>
      </c>
      <c r="G6" s="0"/>
      <c r="H6" s="2">
        <v>46294.722396</v>
      </c>
      <c r="I6" s="2">
        <v>46304.583333</v>
      </c>
      <c r="J6" s="0">
        <v>9</v>
      </c>
      <c r="K6" s="3">
        <v>70091000.0</v>
      </c>
      <c r="L6" s="0" t="inlineStr">
        <is>
          <t xml:space="preserve">CLP</t>
        </is>
      </c>
      <c r="M6" s="0" t="inlineStr">
        <is>
          <t xml:space="preserve">LE</t>
        </is>
      </c>
      <c r="N6"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6" s="4" t="inlineStr">
        <is>
          <t xml:space="preserve">1 Unidad · Unidades de Rayos X dentales · 1 Unidad · Computadores de escritorio · 1 Unidad · Fuentes de alimentación continua</t>
        </is>
      </c>
      <c r="P6" s="2"/>
      <c r="Q6" s="2"/>
      <c r="R6" s="0"/>
      <c r="S6" s="0" t="inlineStr">
        <is>
          <t xml:space="preserve">No</t>
        </is>
      </c>
      <c r="T6" s="4"/>
      <c r="U6" s="0" t="inlineStr">
        <is>
          <t xml:space="preserve">Mauro Oyarzun</t>
        </is>
      </c>
      <c r="V6"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6"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7">
      <c r="A7" s="0" t="inlineStr">
        <is>
          <t xml:space="preserve">1488587-36-LE26</t>
        </is>
      </c>
      <c r="B7" s="4" t="inlineStr">
        <is>
          <t xml:space="preserve">Ampliación Laboratorio de Imagen Digital Carrera de Periodismo Campus Andrés Bello de Universidad de La Serena</t>
        </is>
      </c>
      <c r="C7" s="0" t="inlineStr">
        <is>
          <t xml:space="preserve">Publicada</t>
        </is>
      </c>
      <c r="D7" s="0" t="inlineStr">
        <is>
          <t xml:space="preserve">UNIVERSIDAD DE LA SERENA</t>
        </is>
      </c>
      <c r="E7" s="0" t="inlineStr">
        <is>
          <t xml:space="preserve">DIRECCIÓN DE INFRAESTRUCTURA</t>
        </is>
      </c>
      <c r="F7" s="0" t="inlineStr">
        <is>
          <t xml:space="preserve">Región de Coquimbo </t>
        </is>
      </c>
      <c r="G7" s="0"/>
      <c r="H7" s="2">
        <v>46294.568044</v>
      </c>
      <c r="I7" s="2">
        <v>46308.666667</v>
      </c>
      <c r="J7" s="0">
        <v>13</v>
      </c>
      <c r="K7" s="3">
        <v>50000000.0</v>
      </c>
      <c r="L7" s="0" t="inlineStr">
        <is>
          <t xml:space="preserve">CLP</t>
        </is>
      </c>
      <c r="M7" s="0" t="inlineStr">
        <is>
          <t xml:space="preserve">LE</t>
        </is>
      </c>
      <c r="N7" s="4" t="inlineStr">
        <is>
          <t xml:space="preserve">Servicios de construcción y mantenimiento / Construcción de edificios en general / Construcción residencial</t>
        </is>
      </c>
      <c r="O7" s="4" t="inlineStr">
        <is>
          <t xml:space="preserve">1 Global · Construcción de edificios y departamentos</t>
        </is>
      </c>
      <c r="P7" s="2"/>
      <c r="Q7" s="2"/>
      <c r="R7" s="0" t="inlineStr">
        <is>
          <t xml:space="preserve">120 días</t>
        </is>
      </c>
      <c r="S7" s="0" t="inlineStr">
        <is>
          <t xml:space="preserve">No</t>
        </is>
      </c>
      <c r="T7" s="4"/>
      <c r="U7" s="0" t="inlineStr">
        <is>
          <t xml:space="preserve">Luis Alejandro Paz Rivera</t>
        </is>
      </c>
      <c r="V7" s="4" t="inlineStr">
        <is>
          <t xml:space="preserve">Que la Universidad de La Serena requiere contratar los servicios de Ampliación Laboratorio de Imagen Digital, Carrera de Periodismo, Campus Andrés Bello de Universidad de La Serena.</t>
        </is>
      </c>
      <c r="W7"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8">
      <c r="A8" s="0" t="inlineStr">
        <is>
          <t xml:space="preserve">728-13-LE26</t>
        </is>
      </c>
      <c r="B8" s="4" t="inlineStr">
        <is>
          <t xml:space="preserve">Servicio de automatización de Banco de Calibracion</t>
        </is>
      </c>
      <c r="C8" s="0" t="inlineStr">
        <is>
          <t xml:space="preserve">Publicada</t>
        </is>
      </c>
      <c r="D8" s="0" t="inlineStr">
        <is>
          <t xml:space="preserve">INSTITUTO NACIONAL DE HIDRAULICA</t>
        </is>
      </c>
      <c r="E8" s="0" t="inlineStr">
        <is>
          <t xml:space="preserve">Instituto Nacional de Hidráulicas - INH</t>
        </is>
      </c>
      <c r="F8" s="0" t="inlineStr">
        <is>
          <t xml:space="preserve">Región Metropolitana de Santiago</t>
        </is>
      </c>
      <c r="G8" s="0" t="inlineStr">
        <is>
          <t xml:space="preserve">Peñaflor</t>
        </is>
      </c>
      <c r="H8" s="2">
        <v>46294.706412</v>
      </c>
      <c r="I8" s="2">
        <v>46309.583333</v>
      </c>
      <c r="J8" s="0">
        <v>14</v>
      </c>
      <c r="K8" s="3"/>
      <c r="L8" s="0" t="inlineStr">
        <is>
          <t xml:space="preserve">CLP</t>
        </is>
      </c>
      <c r="M8" s="0" t="inlineStr">
        <is>
          <t xml:space="preserve">LE</t>
        </is>
      </c>
      <c r="N8" s="4" t="inlineStr">
        <is>
          <t xml:space="preserve">Maquinaria para fabricación y transformación industrial / Maquinaria y suministros de procesos industriales / Dispositivos de guía, posicionamiento y sujeción</t>
        </is>
      </c>
      <c r="O8" s="4" t="inlineStr">
        <is>
          <t xml:space="preserve">1 Unidad · Artículo de calibración</t>
        </is>
      </c>
      <c r="P8" s="2"/>
      <c r="Q8" s="2"/>
      <c r="R8" s="0"/>
      <c r="S8" s="0" t="inlineStr">
        <is>
          <t xml:space="preserve">No</t>
        </is>
      </c>
      <c r="T8" s="4"/>
      <c r="U8" s="0" t="inlineStr">
        <is>
          <t xml:space="preserve">Jimena Castillo</t>
        </is>
      </c>
      <c r="V8" s="4" t="inlineStr">
        <is>
          <t xml:space="preserve">Se requiere la automatizacion de banco de calibraciones.</t>
        </is>
      </c>
      <c r="W8"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9">
      <c r="A9" s="0" t="inlineStr">
        <is>
          <t xml:space="preserve">1153624-22-LE26</t>
        </is>
      </c>
      <c r="B9" s="4" t="inlineStr">
        <is>
          <t xml:space="preserve">Servicio enlace de datos de internet</t>
        </is>
      </c>
      <c r="C9" s="0" t="inlineStr">
        <is>
          <t xml:space="preserve">Publicada</t>
        </is>
      </c>
      <c r="D9" s="0" t="inlineStr">
        <is>
          <t xml:space="preserve">SUBSECRETARIA DE RELACIONES ECONOMICAS INTERNACIONALES</t>
        </is>
      </c>
      <c r="E9" s="0" t="inlineStr">
        <is>
          <t xml:space="preserve">Departamento Adquisiciones MN</t>
        </is>
      </c>
      <c r="F9" s="0" t="inlineStr">
        <is>
          <t xml:space="preserve">Región Metropolitana de Santiago</t>
        </is>
      </c>
      <c r="G9" s="0" t="inlineStr">
        <is>
          <t xml:space="preserve">Santiago</t>
        </is>
      </c>
      <c r="H9" s="2">
        <v>46295.481829</v>
      </c>
      <c r="I9" s="2">
        <v>46314.625</v>
      </c>
      <c r="J9" s="0">
        <v>19</v>
      </c>
      <c r="K9" s="3"/>
      <c r="L9" s="0" t="inlineStr">
        <is>
          <t xml:space="preserve">CLP</t>
        </is>
      </c>
      <c r="M9" s="0" t="inlineStr">
        <is>
          <t xml:space="preserve">LE</t>
        </is>
      </c>
      <c r="N9" s="4" t="inlineStr">
        <is>
          <t xml:space="preserve">Servicios basados en ingeniería, ciencias sociales y tecnología de la información / Servicios informáticos / Servicios de datos</t>
        </is>
      </c>
      <c r="O9" s="4" t="inlineStr">
        <is>
          <t xml:space="preserve">1 Unidad · Servicios de almacenamiento de datos</t>
        </is>
      </c>
      <c r="P9" s="2"/>
      <c r="Q9" s="2"/>
      <c r="R9" s="0" t="inlineStr">
        <is>
          <t xml:space="preserve">24 meses</t>
        </is>
      </c>
      <c r="S9" s="0" t="inlineStr">
        <is>
          <t xml:space="preserve">No</t>
        </is>
      </c>
      <c r="T9" s="4" t="inlineStr">
        <is>
          <t xml:space="preserve">No permite subcontratación.
El adjudicatario no podrá subcontratar, salvo autorización escrita de la Subsecretaría de Relaciones Económicas Internacionales</t>
        </is>
      </c>
      <c r="U9" s="0" t="inlineStr">
        <is>
          <t xml:space="preserve">Berland Méndez, René</t>
        </is>
      </c>
      <c r="V9" s="4" t="inlineStr">
        <is>
          <t xml:space="preserve">La Subsecretaría de Relaciones Económicas Internacionales invita a participar en el proceso de contratación de Servicios de enlace de datos de internet de la Subsecretaría de Relaciones Económicas Internacionales.</t>
        </is>
      </c>
      <c r="W9"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10">
      <c r="A10" s="0" t="inlineStr">
        <is>
          <t xml:space="preserve">1191449-19-LP26</t>
        </is>
      </c>
      <c r="B10" s="4" t="inlineStr">
        <is>
          <t xml:space="preserve">SERVICIOS  DE ADMINIS DE INFRAES CLOUD Y MANTEN AN</t>
        </is>
      </c>
      <c r="C10" s="0" t="inlineStr">
        <is>
          <t xml:space="preserve">Publicada</t>
        </is>
      </c>
      <c r="D10" s="0" t="inlineStr">
        <is>
          <t xml:space="preserve">SERVICIO NACIONAL DEL PATRIMONIO CULTURAL</t>
        </is>
      </c>
      <c r="E10" s="0" t="inlineStr">
        <is>
          <t xml:space="preserve">SUBDIRECCIÓN ARCHIVO NACIONAL DOS</t>
        </is>
      </c>
      <c r="F10" s="0" t="inlineStr">
        <is>
          <t xml:space="preserve">Región Metropolitana de Santiago</t>
        </is>
      </c>
      <c r="G10" s="0" t="inlineStr">
        <is>
          <t xml:space="preserve">Santiago</t>
        </is>
      </c>
      <c r="H10" s="2">
        <v>46294.62088</v>
      </c>
      <c r="I10" s="2">
        <v>46314.833333</v>
      </c>
      <c r="J10" s="0">
        <v>19</v>
      </c>
      <c r="K10" s="3">
        <v>114470000.0</v>
      </c>
      <c r="L10" s="0" t="inlineStr">
        <is>
          <t xml:space="preserve">CLP</t>
        </is>
      </c>
      <c r="M10" s="0" t="inlineStr">
        <is>
          <t xml:space="preserve">LP</t>
        </is>
      </c>
      <c r="N10" s="4" t="inlineStr">
        <is>
          <t xml:space="preserve">Servicios profesionales, administrativos y consultorías de gestión empresarial / Servicios de recursos humanos / Contratación de personal</t>
        </is>
      </c>
      <c r="O10" s="4" t="inlineStr">
        <is>
          <t xml:space="preserve">1 Unidad · Profesionales · 1 Unidad · Profesionales</t>
        </is>
      </c>
      <c r="P10" s="2"/>
      <c r="Q10" s="2"/>
      <c r="R10" s="0" t="inlineStr">
        <is>
          <t xml:space="preserve">12 meses</t>
        </is>
      </c>
      <c r="S10" s="0" t="inlineStr">
        <is>
          <t xml:space="preserve">No</t>
        </is>
      </c>
      <c r="T10"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10" s="0" t="inlineStr">
        <is>
          <t xml:space="preserve">CONSTANZA ACUÑA CERDA</t>
        </is>
      </c>
      <c r="V10" s="4" t="inlineStr">
        <is>
          <t xml:space="preserve">“SERVICIOS PROFESIONALES DE ADMINISTRACIÓN DE INFRAESTRUCTURA CLOUD Y MANTENCIÓN DE SISTEMAS PARA EL ARCHIVO NACIONAL”.</t>
        </is>
      </c>
      <c r="W10"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11">
      <c r="A11" s="0" t="inlineStr">
        <is>
          <t xml:space="preserve">1409-15-LE26</t>
        </is>
      </c>
      <c r="B11" s="4" t="inlineStr">
        <is>
          <t xml:space="preserve">Servicio arriendo red de datos e internet</t>
        </is>
      </c>
      <c r="C11" s="0" t="inlineStr">
        <is>
          <t xml:space="preserve">Publicada</t>
        </is>
      </c>
      <c r="D11" s="0" t="inlineStr">
        <is>
          <t xml:space="preserve">DIRECCION GENERAL DE AERONAUTICA CIVIL</t>
        </is>
      </c>
      <c r="E11" s="0" t="inlineStr">
        <is>
          <t xml:space="preserve">UNIDAD DE COMPRA PUERTO MONTT</t>
        </is>
      </c>
      <c r="F11" s="0" t="inlineStr">
        <is>
          <t xml:space="preserve">Región de los Lagos </t>
        </is>
      </c>
      <c r="G11" s="0" t="inlineStr">
        <is>
          <t xml:space="preserve">Puerto Montt</t>
        </is>
      </c>
      <c r="H11" s="2">
        <v>46294.686956</v>
      </c>
      <c r="I11" s="2">
        <v>46315.416667</v>
      </c>
      <c r="J11" s="0">
        <v>20</v>
      </c>
      <c r="K11" s="3"/>
      <c r="L11" s="0" t="inlineStr">
        <is>
          <t xml:space="preserve">CLP</t>
        </is>
      </c>
      <c r="M11" s="0" t="inlineStr">
        <is>
          <t xml:space="preserve">LE</t>
        </is>
      </c>
      <c r="N11" s="4" t="inlineStr">
        <is>
          <t xml:space="preserve">Servicios basados en ingeniería, ciencias sociales y tecnología de la información / Servicios informáticos / Servicios para internet</t>
        </is>
      </c>
      <c r="O11" s="4" t="inlineStr">
        <is>
          <t xml:space="preserve">36 Mes · Proveedores de servicio de Internet (ISP)</t>
        </is>
      </c>
      <c r="P11" s="2"/>
      <c r="Q11" s="2"/>
      <c r="R11" s="0" t="inlineStr">
        <is>
          <t xml:space="preserve">36 meses</t>
        </is>
      </c>
      <c r="S11" s="0" t="inlineStr">
        <is>
          <t xml:space="preserve">No</t>
        </is>
      </c>
      <c r="T11" s="4"/>
      <c r="U11" s="0" t="inlineStr">
        <is>
          <t xml:space="preserve">Rocio Marin Chambla</t>
        </is>
      </c>
      <c r="V11" s="4" t="inlineStr">
        <is>
          <t xml:space="preserve">se requiere contratar el servicio de arriendo red de datos e internet para el aeropuerto el Tepual de Puerto Montt, por un periodo de 36 meses.</t>
        </is>
      </c>
      <c r="W11"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sheetData>
  <autoFilter ref="A1:W11"/>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1057500-76-L126</t>
        </is>
      </c>
      <c r="B2" s="4" t="inlineStr">
        <is>
          <t xml:space="preserve">Licencias Suscripción Software</t>
        </is>
      </c>
      <c r="C2" s="0" t="inlineStr">
        <is>
          <t xml:space="preserve">Publicada</t>
        </is>
      </c>
      <c r="D2" s="0" t="inlineStr">
        <is>
          <t xml:space="preserve">SERVICIO DE SALUD METROPOLITANO SUR ORIENTE</t>
        </is>
      </c>
      <c r="E2" s="0" t="inlineStr">
        <is>
          <t xml:space="preserve">Bienes y Servicios</t>
        </is>
      </c>
      <c r="F2" s="0" t="inlineStr">
        <is>
          <t xml:space="preserve">Región Metropolitana de Santiago</t>
        </is>
      </c>
      <c r="G2" s="0" t="inlineStr">
        <is>
          <t xml:space="preserve">Providencia</t>
        </is>
      </c>
      <c r="H2" s="2">
        <v>46289.477396</v>
      </c>
      <c r="I2" s="2">
        <v>46300.625</v>
      </c>
      <c r="J2" s="0">
        <v>5</v>
      </c>
      <c r="K2" s="3">
        <v>5600000.0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30 Unidad · Software de gestión de licencias · 1 Unidad · Software de gestión de licencias</t>
        </is>
      </c>
      <c r="P2" s="2"/>
      <c r="Q2" s="2"/>
      <c r="R2" s="0"/>
      <c r="S2" s="0" t="inlineStr">
        <is>
          <t xml:space="preserve">No</t>
        </is>
      </c>
      <c r="T2" s="4"/>
      <c r="U2" s="0"/>
      <c r="V2" s="4" t="inlineStr">
        <is>
          <t xml:space="preserve">El SSMSO requiere para su área de desarrollo informático los siguientes servicios informáticos: 
•30 licencias Trello
•1 licencia Apple Developer</t>
        </is>
      </c>
      <c r="W2"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3">
      <c r="A3" s="0" t="inlineStr">
        <is>
          <t xml:space="preserve">1084148-18-LE26</t>
        </is>
      </c>
      <c r="B3" s="4" t="inlineStr">
        <is>
          <t xml:space="preserve">“RENOVACIÓN Y ADQUISICIÓN DE LICENCIAS DE SOFTWARE POR 12 MESES PARA EL SERVICIO LOCAL DE EDUCACIÓN PÚBLICA CHINCHORRO”.</t>
        </is>
      </c>
      <c r="C3" s="0" t="inlineStr">
        <is>
          <t xml:space="preserve">Publicada</t>
        </is>
      </c>
      <c r="D3" s="0" t="inlineStr">
        <is>
          <t xml:space="preserve">SERVICIO LOCAL DE EDUCACION DE CHINCHORRO</t>
        </is>
      </c>
      <c r="E3" s="0" t="inlineStr">
        <is>
          <t xml:space="preserve">SLEPCH - Programa 01</t>
        </is>
      </c>
      <c r="F3" s="0" t="inlineStr">
        <is>
          <t xml:space="preserve">Región de Arica y Parinacota</t>
        </is>
      </c>
      <c r="G3" s="0"/>
      <c r="H3" s="2">
        <v>46290.434572</v>
      </c>
      <c r="I3" s="2">
        <v>46300.625</v>
      </c>
      <c r="J3" s="0">
        <v>5</v>
      </c>
      <c r="K3" s="3">
        <v>8332800.0</v>
      </c>
      <c r="L3" s="0" t="inlineStr">
        <is>
          <t xml:space="preserve">CLP</t>
        </is>
      </c>
      <c r="M3" s="0" t="inlineStr">
        <is>
          <t xml:space="preserve">LE</t>
        </is>
      </c>
      <c r="N3" s="4" t="inlineStr">
        <is>
          <t xml:space="preserve">Tecnologías de la información, telecomunicaciones y radiodifusión / Software / Software de gestión, Tecnologías de la información, telecomunicaciones y radiodifusión / Software / Software para trabajo en redes</t>
        </is>
      </c>
      <c r="O3" s="4" t="inlineStr">
        <is>
          <t xml:space="preserve">8 Unidad · Programas de gestión de proyectos · 8 Unidad · Software de sistema experto · 111 Unidad · Software de servidor de comunicaciones</t>
        </is>
      </c>
      <c r="P3" s="2"/>
      <c r="Q3" s="2"/>
      <c r="R3" s="0" t="inlineStr">
        <is>
          <t xml:space="preserve">12 meses</t>
        </is>
      </c>
      <c r="S3" s="0" t="inlineStr">
        <is>
          <t xml:space="preserve">No</t>
        </is>
      </c>
      <c r="T3" s="4" t="inlineStr">
        <is>
          <t xml:space="preserve">Según el punto 10.8 de las Bases Administrativas</t>
        </is>
      </c>
      <c r="U3" s="0" t="inlineStr">
        <is>
          <t xml:space="preserve">KAREEN FUMEY MICHELL</t>
        </is>
      </c>
      <c r="V3" s="4" t="inlineStr">
        <is>
          <t xml:space="preserve">“RENOVACIÓN Y ADQUISICIÓN DE LICENCIAS DE SOFTWARE POR 12 MESES PARA EL SERVICIO LOCAL DE EDUCACIÓN PÚBLICA CHINCHORRO”.</t>
        </is>
      </c>
      <c r="W3" s="5" t="str">
        <f>HYPERLINK("https://www.mercadopublico.cl/Procurement/Modules/Attachment/ViewAttachment.aspx?enc=GgMELnE52Hpj3snaaffc1WZDhi8AL1DPkA7D03WsnpNAag9PawTwwiLn8EjCOoDtU6Bgujd2J%2bGTKodk1hv9dlMw0Z5QM7Chq2jnxJ7%2bvOV84%2b0kFeIbACOu3nc7Q8zwRMbu5l7YNfcN4XgbU3hKB1NEfXk56PKTtpM%2fcvUQm%2bwn2095L89%2fkupONpHi0j8GCpIuN0uODEn3LoxbSvySgb4XjhN1ECko6UDMql7S%2f4wpJCtO25lFaBz%2b%2bHSaNYSz6GCEiRq2D1QZ%2bJaB09fvakKP5EFIFt3216QnV6LFLelOz4VPQp%2bYDZncgPDslkja","descargar bases")</f>
      </c>
    </row>
    <row r="4">
      <c r="A4" s="0" t="inlineStr">
        <is>
          <t xml:space="preserve">1110404-215-L126</t>
        </is>
      </c>
      <c r="B4" s="4" t="inlineStr">
        <is>
          <t xml:space="preserve">PROVISIÓN DE SOFTWARE ASC HORARIOS 2026, PARA ESTABLECIMIENTO EDUCACIONAL ANTONIO VARAS DE LA BARRA, PERTENECIENTE AL SLEP CHINCHORRO, ARICA</t>
        </is>
      </c>
      <c r="C4" s="0" t="inlineStr">
        <is>
          <t xml:space="preserve">Publicada</t>
        </is>
      </c>
      <c r="D4" s="0" t="inlineStr">
        <is>
          <t xml:space="preserve">SERVICIO LOCAL DE EDUCACION DE CHINCHORRO</t>
        </is>
      </c>
      <c r="E4" s="0" t="inlineStr">
        <is>
          <t xml:space="preserve">SLEPCH - EE - Programa 02</t>
        </is>
      </c>
      <c r="F4" s="0" t="inlineStr">
        <is>
          <t xml:space="preserve">Región de Arica y Parinacota</t>
        </is>
      </c>
      <c r="G4" s="0" t="inlineStr">
        <is>
          <t xml:space="preserve">Arica</t>
        </is>
      </c>
      <c r="H4" s="2">
        <v>46293.302083</v>
      </c>
      <c r="I4" s="2">
        <v>46300.625</v>
      </c>
      <c r="J4" s="0">
        <v>5</v>
      </c>
      <c r="K4" s="3"/>
      <c r="L4" s="0" t="inlineStr">
        <is>
          <t xml:space="preserve">CLP</t>
        </is>
      </c>
      <c r="M4" s="0" t="inlineStr">
        <is>
          <t xml:space="preserve">L1</t>
        </is>
      </c>
      <c r="N4" s="4" t="inlineStr">
        <is>
          <t xml:space="preserve">Tecnologías de la información, telecomunicaciones y radiodifusión / Software / Software de administración de redes</t>
        </is>
      </c>
      <c r="O4" s="4" t="inlineStr">
        <is>
          <t xml:space="preserve">1 Unidad · Software de administración</t>
        </is>
      </c>
      <c r="P4" s="2"/>
      <c r="Q4" s="2"/>
      <c r="R4" s="0"/>
      <c r="S4" s="0" t="inlineStr">
        <is>
          <t xml:space="preserve">No</t>
        </is>
      </c>
      <c r="T4" s="4"/>
      <c r="U4" s="0"/>
      <c r="V4" s="4" t="inlineStr">
        <is>
          <t xml:space="preserve">PROVISIÓN DE SOFTWARE ASC HORARIOS 2026, PARA ESTABLECIMIENTO EDUCACIONAL ANTONIO VARAS DE LA BARRA, PERTENECIENTE AL SLEP CHINCHORRO, ARICA</t>
        </is>
      </c>
      <c r="W4" s="5" t="str">
        <f>HYPERLINK("https://www.mercadopublico.cl/Procurement/Modules/Attachment/ViewAttachment.aspx?enc=twPlOLVIu0gxEGPMFVHsMW1SBWoyxz%2bSVg5Ni%2bZBYswQsU751dRAPBiSCxMl1IbHCwkSpfbTELDICn2Yyts%2bxf8ogcwLwoRD71si7hC7O04ElVF9E5XNWasl8TPRQAJNfF8aCnlBFcKPEpYkg5kHhadcp8eebn%2bWa6rP8AIRTvu0uHKKLAtNf0Q5A%2b4F%2bzig4kdrVwbn1QcBxUSZjLNTcnqGe%2b8gxNsdGRFVcL722aEDXMz1%2fNqq%2bGUBeKvWN97cAlIeGUdvF0wAXYxGx31TMFTPST16YDqr%2fXlHdxlFRdv%2bvxOYs4cONIRba263RULQ","descargar bases")</f>
      </c>
    </row>
    <row r="5">
      <c r="A5" s="0" t="inlineStr">
        <is>
          <t xml:space="preserve">2385-56-LE26</t>
        </is>
      </c>
      <c r="B5" s="4" t="inlineStr">
        <is>
          <t xml:space="preserve">ADQUISICIÓN CURSO OFIMÁTICA E INTELIGENCIA ARTIFICIAL</t>
        </is>
      </c>
      <c r="C5" s="0" t="inlineStr">
        <is>
          <t xml:space="preserve">Publicada</t>
        </is>
      </c>
      <c r="D5" s="0" t="inlineStr">
        <is>
          <t xml:space="preserve">I MUNICIPALIDAD DE CALAMA</t>
        </is>
      </c>
      <c r="E5" s="0" t="inlineStr">
        <is>
          <t xml:space="preserve">ADQUISICIONES</t>
        </is>
      </c>
      <c r="F5" s="0" t="inlineStr">
        <is>
          <t xml:space="preserve">Región de Antofagasta </t>
        </is>
      </c>
      <c r="G5" s="0"/>
      <c r="H5" s="2">
        <v>46279.511262</v>
      </c>
      <c r="I5" s="2">
        <v>46300.625</v>
      </c>
      <c r="J5" s="0">
        <v>5</v>
      </c>
      <c r="K5" s="3">
        <v>7500000.0</v>
      </c>
      <c r="L5" s="0" t="inlineStr">
        <is>
          <t xml:space="preserve">CLP</t>
        </is>
      </c>
      <c r="M5" s="0" t="inlineStr">
        <is>
          <t xml:space="preserve">LE</t>
        </is>
      </c>
      <c r="N5" s="4" t="inlineStr">
        <is>
          <t xml:space="preserve">Educación, formación, entrenamiento y capacitación / Sistemas educativos complementarios / Educación de adultos</t>
        </is>
      </c>
      <c r="O5" s="4" t="inlineStr">
        <is>
          <t xml:space="preserve">1 Unidad · Capacitación a empleados · 1 Unidad · Capacitación a empleados · 1 Unidad · Capacitación a empleados · y 1 más</t>
        </is>
      </c>
      <c r="P5" s="2"/>
      <c r="Q5" s="2"/>
      <c r="R5" s="0"/>
      <c r="S5" s="0" t="inlineStr">
        <is>
          <t xml:space="preserve">No</t>
        </is>
      </c>
      <c r="T5" s="4" t="inlineStr">
        <is>
          <t xml:space="preserve">El adjudicatario no podrá ceder ni transferir en forma  alguna, total ni parcialmente, los derechos
y obligaciones que nacen del desarrollo de esta licitación.</t>
        </is>
      </c>
      <c r="U5" s="0" t="inlineStr">
        <is>
          <t xml:space="preserve">Marisol Zurita</t>
        </is>
      </c>
      <c r="V5"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5" s="5" t="str">
        <f>HYPERLINK("https://www.mercadopublico.cl/Procurement/Modules/Attachment/ViewAttachment.aspx?enc=lIRz0FKsE8NBMrv%2fTVI7VGIh4QoPHsCml81UbZdSB6Y4p9uJLgcNEIbDaGr%2fgX5qDLe4V9dnQMvLs3Gk12ygOz85yJbm70BrCxRx0S%2fyqQ621BgBSbmJRSYdjJhFJ4DwwrZIfH%2b3zWKHPA3ba%2bvval2ypjhfsp9BUOgbnFHtKqKuK3h5%2fKRg%2fWdi8liqlq94O1%2bjTc5f6WpP1rfGwTBYtqfh3uNmzhxD40FZ1aZ1v1aGXrcMFaBqcRR3VM7Cii3n0ZLoIkV9Qxk9ilRQbkN3JMQXecXkTzjdWetFQakDzd9LI2qilyLwDsPubFnqurYM","descargar bases")</f>
      </c>
    </row>
    <row r="6">
      <c r="A6" s="0" t="inlineStr">
        <is>
          <t xml:space="preserve">2422-159-L126</t>
        </is>
      </c>
      <c r="B6" s="4" t="inlineStr">
        <is>
          <t xml:space="preserve">SOL. ADQ. 945908 SERV. DE CAPACITACION "GESTION INTEGRAL DEL CAMBIO PARA LA TRANSFORMACION DIGITAL MUNICIPAL</t>
        </is>
      </c>
      <c r="C6" s="0" t="inlineStr">
        <is>
          <t xml:space="preserve">Publicada</t>
        </is>
      </c>
      <c r="D6" s="0" t="inlineStr">
        <is>
          <t xml:space="preserve">I MUNICIPALIDAD DE PUENTE ALTO</t>
        </is>
      </c>
      <c r="E6" s="0" t="inlineStr">
        <is>
          <t xml:space="preserve">I MUNICIPALIDAD DE PUENTE ALTO</t>
        </is>
      </c>
      <c r="F6" s="0" t="inlineStr">
        <is>
          <t xml:space="preserve">Región Metropolitana de Santiago</t>
        </is>
      </c>
      <c r="G6" s="0" t="inlineStr">
        <is>
          <t xml:space="preserve">Puente Alto</t>
        </is>
      </c>
      <c r="H6" s="2">
        <v>46293.553634</v>
      </c>
      <c r="I6" s="2">
        <v>46300.625</v>
      </c>
      <c r="J6" s="0">
        <v>5</v>
      </c>
      <c r="K6" s="3">
        <v>4200000.0</v>
      </c>
      <c r="L6" s="0" t="inlineStr">
        <is>
          <t xml:space="preserve">CLP</t>
        </is>
      </c>
      <c r="M6" s="0" t="inlineStr">
        <is>
          <t xml:space="preserve">L1</t>
        </is>
      </c>
      <c r="N6" s="4" t="inlineStr">
        <is>
          <t xml:space="preserve">Educación, formación, entrenamiento y capacitación / Sistemas educativos complementarios / Educación de adultos</t>
        </is>
      </c>
      <c r="O6" s="4" t="inlineStr">
        <is>
          <t xml:space="preserve">1 Unidad · Capacitación a empleados</t>
        </is>
      </c>
      <c r="P6" s="2"/>
      <c r="Q6" s="2"/>
      <c r="R6" s="0"/>
      <c r="S6" s="0" t="inlineStr">
        <is>
          <t xml:space="preserve">No</t>
        </is>
      </c>
      <c r="T6" s="4"/>
      <c r="U6" s="0"/>
      <c r="V6" s="4" t="inlineStr">
        <is>
          <t xml:space="preserve">SERV. DE CAPACITACION "GESTION INTEGRAL DEL CAMBIO PARA LA TRANSFORMACION DIGITAL MUNICIPAL, PARA 42 FUNCIONARIOS Y FUNCIONARIAS, FORMATO PRESENCIAL EN LAS DEPENDENCIAS MUNICIPALES, DURANTE EL MES DE OCTUBRE 2026</t>
        </is>
      </c>
      <c r="W6" s="5" t="str">
        <f>HYPERLINK("https://www.mercadopublico.cl/Procurement/Modules/Attachment/ViewAttachment.aspx?enc=xGi09qXPH6ZIDQVKtdwy9P9bnRU5w0VaqDQnuAu%2fF1ZH0vD%2b6ThI68Gsg5WZGzgfaB5JdyqPUS7Qw1J3JG8ipyRrgI491pPpgHIv9AEFO8%2fr%2fE6jzqFsmIhF9thmHZKkcgKH0z1RE9EGRbOuVSVGT%2bNnnCc8ZHhhMjvQJPeL5WHv7xM3Ym3yi5yE5O7s1ryXEEH3pKLUKHV%2b2amgWYNNWCzdJF6sd1TqvpA%2bl58liPtQ7kHBM9HS0Re7ZfYKqidK%2fd7KB6Jd1va76bUFKVJK0EIwAur1zFaajqce%2bGGRMigNHL4r8%2bemEDRX3LI7jiok","descargar bases")</f>
      </c>
    </row>
    <row r="7">
      <c r="A7" s="0" t="inlineStr">
        <is>
          <t xml:space="preserve">3510-24-LE26</t>
        </is>
      </c>
      <c r="B7" s="4" t="inlineStr">
        <is>
          <t xml:space="preserve">Adquisición Equipos Tecnológicos y automatización</t>
        </is>
      </c>
      <c r="C7" s="0" t="inlineStr">
        <is>
          <t xml:space="preserve">Publicada</t>
        </is>
      </c>
      <c r="D7" s="0" t="inlineStr">
        <is>
          <t xml:space="preserve">I MUNICIPALIDAD DE CALBUCO</t>
        </is>
      </c>
      <c r="E7" s="0" t="inlineStr">
        <is>
          <t xml:space="preserve">Departamento de Educacion</t>
        </is>
      </c>
      <c r="F7" s="0" t="inlineStr">
        <is>
          <t xml:space="preserve">Región de los Lagos </t>
        </is>
      </c>
      <c r="G7" s="0" t="inlineStr">
        <is>
          <t xml:space="preserve">Calbuco</t>
        </is>
      </c>
      <c r="H7" s="2">
        <v>46290.582118</v>
      </c>
      <c r="I7" s="2">
        <v>46300.625</v>
      </c>
      <c r="J7" s="0">
        <v>5</v>
      </c>
      <c r="K7" s="3">
        <v>38560000.0</v>
      </c>
      <c r="L7" s="0" t="inlineStr">
        <is>
          <t xml:space="preserve">CLP</t>
        </is>
      </c>
      <c r="M7" s="0" t="inlineStr">
        <is>
          <t xml:space="preserve">LE</t>
        </is>
      </c>
      <c r="N7" s="4" t="inlineStr">
        <is>
          <t xml:space="preserve">Artículos eléctricos y de iluminación / Equipamiento y artículos eléctricos / Equipamiento para distribución y transformación eléctrica, Instrumentos musicales, juegos, juguetes, artesanías y materiales educativos / Materiales, artículos y suministros didácticos profesionales y para el desarrollo personal / Materiales de enseñanza de tecnología, Muebles, accesorios, electrodomésticos y productos electrónicos / Equipos y accesorios audiovisuales / Equipos audiovisuales y de electrónica menor, Tecnologías de la información, telecomunicaciones y radiodifusión / Equipos informáticos y accesorios / Computadores, Tecnologías de la información, telecomunicaciones y radiodifusión / Equipos informáticos y accesorios / Pantallas o monitores de computador</t>
        </is>
      </c>
      <c r="O7" s="4" t="inlineStr">
        <is>
          <t xml:space="preserve">2 Unidad · Fuentes de alimentación continua · 1 Unidad · Materiales de enseñanza de robótica · 2 Unidad · Monitores de pantalla táctil · y 2 más</t>
        </is>
      </c>
      <c r="P7" s="2"/>
      <c r="Q7" s="2"/>
      <c r="R7" s="0"/>
      <c r="S7" s="0" t="inlineStr">
        <is>
          <t xml:space="preserve">No</t>
        </is>
      </c>
      <c r="T7" s="4" t="inlineStr">
        <is>
          <t xml:space="preserve">No garantiza el cumplimiento del contrato</t>
        </is>
      </c>
      <c r="U7" s="0" t="inlineStr">
        <is>
          <t xml:space="preserve">Belén Ojeda Parancán</t>
        </is>
      </c>
      <c r="V7" s="4" t="inlineStr">
        <is>
          <t xml:space="preserve">Adquisición de Equipos Tecnológicos y de Automatización para la Especialidad
de Mecánica Automotriz correspondiente al Liceo Politécnico.</t>
        </is>
      </c>
      <c r="W7" s="5" t="str">
        <f>HYPERLINK("https://www.mercadopublico.cl/Procurement/Modules/Attachment/ViewAttachment.aspx?enc=lP2ijRtuahyWIFU0mpOqqHtXpHNPhiPcBgI4fZFaKYaWcv9y9aygdaLdpk9EycjMkAc1bJnfv1eIa294%2faHDMtv7XMt%2bxKBF3%2fiUpu5laiUzNXdFwXG6%2fyhnISPBbAxfB5GDJ3Zo3kc2GaSYkrtsXSiQl%2fe%2b5tAxATsVv8R1zkT%2fh1sIRZOmmg0%2bobZBZXrJNc%2fOCmZ8BVVIYPiOP4EMq%2bYPzAvJBPbHSwhbHGpdC2MFoG9kCFFILyuGM0fs9ITAzlctNBs4xSvR0xlWrc56pThl%2bYGkyyvZK%2fm%2bdyQCOEWGNgREbghdRWvlFttioJfV","descargar bases")</f>
      </c>
    </row>
    <row r="8">
      <c r="A8" s="0" t="inlineStr">
        <is>
          <t xml:space="preserve">3671-70-LE26</t>
        </is>
      </c>
      <c r="B8" s="4" t="inlineStr">
        <is>
          <t xml:space="preserve">“RENOVACIÓN DE LICENCIAS SOFTWARE AUTODESK CIVIL 3D Y REVIT”.</t>
        </is>
      </c>
      <c r="C8" s="0" t="inlineStr">
        <is>
          <t xml:space="preserve">Publicada</t>
        </is>
      </c>
      <c r="D8" s="0" t="inlineStr">
        <is>
          <t xml:space="preserve">ILUSTRE MUNICIPALIDAD DE CHILLAN VIEJO</t>
        </is>
      </c>
      <c r="E8" s="0" t="inlineStr">
        <is>
          <t xml:space="preserve">Secplan</t>
        </is>
      </c>
      <c r="F8" s="0" t="inlineStr">
        <is>
          <t xml:space="preserve">Región del Ñuble</t>
        </is>
      </c>
      <c r="G8" s="0" t="inlineStr">
        <is>
          <t xml:space="preserve">Chillán Viejo</t>
        </is>
      </c>
      <c r="H8" s="2">
        <v>46290.670139</v>
      </c>
      <c r="I8" s="2">
        <v>46300.625</v>
      </c>
      <c r="J8" s="0">
        <v>5</v>
      </c>
      <c r="K8" s="3"/>
      <c r="L8" s="0" t="inlineStr">
        <is>
          <t xml:space="preserve">CLP</t>
        </is>
      </c>
      <c r="M8" s="0" t="inlineStr">
        <is>
          <t xml:space="preserve">LE</t>
        </is>
      </c>
      <c r="N8" s="4" t="inlineStr">
        <is>
          <t xml:space="preserve">Tecnologías de la información, telecomunicaciones y radiodifusión / Software / Programas de desarrollo</t>
        </is>
      </c>
      <c r="O8" s="4" t="inlineStr">
        <is>
          <t xml:space="preserve">1 Unidad · Software de arquitectura del sistema y análisis de requisitos</t>
        </is>
      </c>
      <c r="P8" s="2"/>
      <c r="Q8" s="2"/>
      <c r="R8" s="0" t="inlineStr">
        <is>
          <t xml:space="preserve">12 horas</t>
        </is>
      </c>
      <c r="S8" s="0" t="inlineStr">
        <is>
          <t xml:space="preserve">No</t>
        </is>
      </c>
      <c r="T8" s="4"/>
      <c r="U8" s="0" t="inlineStr">
        <is>
          <t xml:space="preserve">MARIA PAZ VASQUEZ RAMIREZ</t>
        </is>
      </c>
      <c r="V8" s="4" t="inlineStr">
        <is>
          <t xml:space="preserve">La I. Municipalidad de Chillán Viejo llama a Licitación Pública a través del Portal Mercado Público, para adquirir  “Renovación de licencias software”, de acuerdo a las presentes Bases Administrativas y Técnicas. Se pretende obtener la mejor calidad y oportunidad en la prestación de los servicios a un precio conveniente.</t>
        </is>
      </c>
      <c r="W8" s="5" t="str">
        <f>HYPERLINK("https://www.mercadopublico.cl/Procurement/Modules/Attachment/ViewAttachment.aspx?enc=50kbr0qTtNQQsYY7hwP6J3leA2xD15zBZCTH1yWtu%2bPo%2fY8j1GkNDeBwl51Gg8zCCmR7k94ETfcoy6riXBtf3gqMyuF0mooecJiYerxfjNzZ1DMCIl4WAnDdqDkq9tEwJMPC2%2bwFz%2bxfAnC9VPthlhwYWZezhI8G%2bap4zBhC6tGVP294XQ6blZZlRorxL70APjuaQjWyyw9tvBwI7%2bZ5JRZhqHw5P4hL4f2gCYrJTKZLaXuYsIbRoLd6LoUVRQAQhxIt2Ttj%2fbt%2b8PVZiG%2bC56q75ozhRsjQL%2bF0xbY5vrbuB3O2wFA1O%2f1sA73U9aUw","descargar bases")</f>
      </c>
    </row>
    <row r="9">
      <c r="A9" s="0" t="inlineStr">
        <is>
          <t xml:space="preserve">4121-25-LE26</t>
        </is>
      </c>
      <c r="B9" s="4" t="inlineStr">
        <is>
          <t xml:space="preserve">SISTEMA DE GESTION DOCUMENTAL</t>
        </is>
      </c>
      <c r="C9" s="0" t="inlineStr">
        <is>
          <t xml:space="preserve">Publicada</t>
        </is>
      </c>
      <c r="D9" s="0" t="inlineStr">
        <is>
          <t xml:space="preserve">I MUNICIPALIDAD DE NINHUE</t>
        </is>
      </c>
      <c r="E9" s="0" t="inlineStr">
        <is>
          <t xml:space="preserve">Municipalidad De Ninhue-Secretaria Planificacion</t>
        </is>
      </c>
      <c r="F9" s="0" t="inlineStr">
        <is>
          <t xml:space="preserve">Región del Ñuble</t>
        </is>
      </c>
      <c r="G9" s="0" t="inlineStr">
        <is>
          <t xml:space="preserve">Ninhue</t>
        </is>
      </c>
      <c r="H9" s="2">
        <v>46286.504896</v>
      </c>
      <c r="I9" s="2">
        <v>46300.625</v>
      </c>
      <c r="J9" s="0">
        <v>5</v>
      </c>
      <c r="K9" s="3">
        <v>30000000.0</v>
      </c>
      <c r="L9" s="0" t="inlineStr">
        <is>
          <t xml:space="preserve">CLP</t>
        </is>
      </c>
      <c r="M9" s="0" t="inlineStr">
        <is>
          <t xml:space="preserve">LE</t>
        </is>
      </c>
      <c r="N9" s="4" t="inlineStr">
        <is>
          <t xml:space="preserve">Tecnologías de la información, telecomunicaciones y radiodifusión / Software / Programas de desarrollo</t>
        </is>
      </c>
      <c r="O9" s="4" t="inlineStr">
        <is>
          <t xml:space="preserve">1 Unidad · Software de arquitectura del sistema y análisis de requisitos</t>
        </is>
      </c>
      <c r="P9" s="2"/>
      <c r="Q9" s="2"/>
      <c r="R9" s="0" t="inlineStr">
        <is>
          <t xml:space="preserve">26 meses</t>
        </is>
      </c>
      <c r="S9" s="0" t="inlineStr">
        <is>
          <t xml:space="preserve">No</t>
        </is>
      </c>
      <c r="T9"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9" s="0" t="inlineStr">
        <is>
          <t xml:space="preserve">MARIA SOLEDAD RUIZ PINTO</t>
        </is>
      </c>
      <c r="V9"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9" s="5" t="str">
        <f>HYPERLINK("https://www.mercadopublico.cl/Procurement/Modules/Attachment/ViewAttachment.aspx?enc=rQogxmM7vCC4%2fpfk4UgirdsM8VJOfPdGmV3D6tDMENp%2bkK78OyxOWUxHzBLPBxo%2fMFFAN0e732b2KL9AZwY3yfqxb2mFvl%2fl4iJpPe6kWilQl199r%2b2kOKTnngyVZyjQtb6bcBApBvPmtzJ%2fmop1DpDJQcFirKq4wfZ8Cr9I8v0bWvRl5OKtP7IBzFu9hirto9%2fnK0aQqeGqBldvPMszZtkVSJIKlSiCgUkc6N0Z9lyMRPisi5X4qYIW4W%2fSNR%2fCgKKnkt4exSUb32%2fAcM5vWn6JMVC5btwuZGmccBB78qlE6LlOlfMHVoafWpIOtaIO","descargar bases")</f>
      </c>
    </row>
    <row r="10">
      <c r="A10" s="0" t="inlineStr">
        <is>
          <t xml:space="preserve">584105-33-LE26</t>
        </is>
      </c>
      <c r="B10" s="4" t="inlineStr">
        <is>
          <t xml:space="preserve">LICENCIAS DE SOFTWARE</t>
        </is>
      </c>
      <c r="C10" s="0" t="inlineStr">
        <is>
          <t xml:space="preserve">Publicada</t>
        </is>
      </c>
      <c r="D10" s="0" t="inlineStr">
        <is>
          <t xml:space="preserve">SUBSECRETARIA DE ENERGIA</t>
        </is>
      </c>
      <c r="E10" s="0" t="inlineStr">
        <is>
          <t xml:space="preserve">P01</t>
        </is>
      </c>
      <c r="F10" s="0" t="inlineStr">
        <is>
          <t xml:space="preserve">Región Metropolitana de Santiago</t>
        </is>
      </c>
      <c r="G10" s="0" t="inlineStr">
        <is>
          <t xml:space="preserve">Santiago</t>
        </is>
      </c>
      <c r="H10" s="2">
        <v>46290.414329</v>
      </c>
      <c r="I10" s="2">
        <v>46300.625</v>
      </c>
      <c r="J10" s="0">
        <v>5</v>
      </c>
      <c r="K10" s="3"/>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Global · Software de gestión de licencias · 1 Global · Software de gestión de licencias · 1 Global · Software de gestión de licencias</t>
        </is>
      </c>
      <c r="P10" s="2"/>
      <c r="Q10" s="2"/>
      <c r="R10" s="0"/>
      <c r="S10" s="0" t="inlineStr">
        <is>
          <t xml:space="preserve">No</t>
        </is>
      </c>
      <c r="T10" s="4" t="inlineStr">
        <is>
          <t xml:space="preserve">De acuerdo a lo establecido en bases adjuntas</t>
        </is>
      </c>
      <c r="U10" s="0" t="inlineStr">
        <is>
          <t xml:space="preserve">Gonzalo Aravena</t>
        </is>
      </c>
      <c r="V10" s="4" t="inlineStr">
        <is>
          <t xml:space="preserve">Adquirir las licencias de software detalladas en el numeral 3.1 de estas bases técnicas, por un periodo de doce 12 meses contados desde la fecha de su habilitación, con el objeto de que losas funcionariosas puedan hacer uso de estos softwares para el desarrollo de sus funciones y el cumplimiento de los compromisos institucionales.</t>
        </is>
      </c>
      <c r="W10" s="5" t="str">
        <f>HYPERLINK("https://www.mercadopublico.cl/Procurement/Modules/Attachment/ViewAttachment.aspx?enc=vQXPIgs62o6wiSsOBsT3OA45qGOdCZdRnul1fkIFKZDdvqGwDxv81XxIZf%2fLj%2fnAFOayDb7SWa7xNF7ITKIjUAuwMKjtCay3QPEFyydxirsZJfPowO0RDe6YDnRs7MTM7mtK2U4eZzgz4IFntv0pyQ9CKNd%2fN2P45QQC966mek6XWcE7HmN%2fwTAWvGSjsLYeULoq1wcUnZlPVhqoD7R2Q%2bbMgmgB6FkBke7u17h7L7OTMiNFMKSdqDrUmb0hPjYwQkVsgGLZFB2Ckf1sT8Pepstx4NILyIk8t8l20O6EkuKpHz3TRtnbp0ChYrSeXYn4","descargar bases")</f>
      </c>
    </row>
    <row r="11">
      <c r="A11" s="0" t="inlineStr">
        <is>
          <t xml:space="preserve">652-52-LE26</t>
        </is>
      </c>
      <c r="B11" s="4" t="inlineStr">
        <is>
          <t xml:space="preserve">CONVENIO DE SERVICIOS DE RADIODIFUSIÓN Y PLATAFORMAS DIGITALES</t>
        </is>
      </c>
      <c r="C11" s="0" t="inlineStr">
        <is>
          <t xml:space="preserve">Publicada</t>
        </is>
      </c>
      <c r="D11" s="0" t="inlineStr">
        <is>
          <t xml:space="preserve">SERVICIO DE SALUD ARAUCO</t>
        </is>
      </c>
      <c r="E11" s="0" t="inlineStr">
        <is>
          <t xml:space="preserve">SERVICIO DE SALUD ARAUCO</t>
        </is>
      </c>
      <c r="F11" s="0" t="inlineStr">
        <is>
          <t xml:space="preserve">Región del Biobío </t>
        </is>
      </c>
      <c r="G11" s="0" t="inlineStr">
        <is>
          <t xml:space="preserve">Lebu</t>
        </is>
      </c>
      <c r="H11" s="2">
        <v>46289.419687</v>
      </c>
      <c r="I11" s="2">
        <v>46300.625</v>
      </c>
      <c r="J11" s="0">
        <v>5</v>
      </c>
      <c r="K11" s="3"/>
      <c r="L11" s="0" t="inlineStr">
        <is>
          <t xml:space="preserve">CLP</t>
        </is>
      </c>
      <c r="M11" s="0" t="inlineStr">
        <is>
          <t xml:space="preserve">LE</t>
        </is>
      </c>
      <c r="N11" s="4" t="inlineStr">
        <is>
          <t xml:space="preserve">Servicios básicos y de información pública / Telecomunicaciones / Servicios de radio, Servicios editoriales, de diseño, publicidad, gráficos y artistas / Publicidad / Publicidad en medios no impresos</t>
        </is>
      </c>
      <c r="O11" s="4" t="inlineStr">
        <is>
          <t xml:space="preserve">1 Unidad · Estudios o equipos radiales · 1 Unidad · Estudios o equipos radiales · 1 Unidad · Estudios o equipos radiales · y 6 más</t>
        </is>
      </c>
      <c r="P11" s="2"/>
      <c r="Q11" s="2"/>
      <c r="R11" s="0" t="inlineStr">
        <is>
          <t xml:space="preserve">12 meses</t>
        </is>
      </c>
      <c r="S11" s="0" t="inlineStr">
        <is>
          <t xml:space="preserve">No</t>
        </is>
      </c>
      <c r="T11" s="4"/>
      <c r="U11" s="0" t="inlineStr">
        <is>
          <t xml:space="preserve">Fernando Alonso Pardo Santander</t>
        </is>
      </c>
      <c r="V11" s="4" t="inlineStr">
        <is>
          <t xml:space="preserve">La presente tiene como objetivo efectuar un convenio de servicios de radiodifusión y plataformas digitales.</t>
        </is>
      </c>
      <c r="W11"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12">
      <c r="A12" s="0" t="inlineStr">
        <is>
          <t xml:space="preserve">761-22-LE26</t>
        </is>
      </c>
      <c r="B12" s="4" t="inlineStr">
        <is>
          <t xml:space="preserve">LICENCIAMIENTO ADOBE CREATIVE CLOUD E6945-2026</t>
        </is>
      </c>
      <c r="C12" s="0" t="inlineStr">
        <is>
          <t xml:space="preserve">Publicada</t>
        </is>
      </c>
      <c r="D12" s="0" t="inlineStr">
        <is>
          <t xml:space="preserve">SUBSECRETARIA DE DESARROLLO REGIONAL Y ADMINISTRATIVO</t>
        </is>
      </c>
      <c r="E12" s="0" t="inlineStr">
        <is>
          <t xml:space="preserve">Ministerio del Interior - Subsecretaría de Desarrollo Regional</t>
        </is>
      </c>
      <c r="F12" s="0" t="inlineStr">
        <is>
          <t xml:space="preserve">Región Metropolitana de Santiago</t>
        </is>
      </c>
      <c r="G12" s="0" t="inlineStr">
        <is>
          <t xml:space="preserve">Santiago</t>
        </is>
      </c>
      <c r="H12" s="2">
        <v>46286.756968</v>
      </c>
      <c r="I12" s="2">
        <v>46300.625</v>
      </c>
      <c r="J12" s="0">
        <v>5</v>
      </c>
      <c r="K12" s="3">
        <v>10000000.0</v>
      </c>
      <c r="L12" s="0" t="inlineStr">
        <is>
          <t xml:space="preserve">CLP</t>
        </is>
      </c>
      <c r="M12" s="0" t="inlineStr">
        <is>
          <t xml:space="preserve">LE</t>
        </is>
      </c>
      <c r="N12" s="4" t="inlineStr">
        <is>
          <t xml:space="preserve">Tecnologías de la información, telecomunicaciones y radiodifusión / Software / Software de gestión</t>
        </is>
      </c>
      <c r="O12" s="4" t="inlineStr">
        <is>
          <t xml:space="preserve">1 Unidad · Software de gestión de licencias</t>
        </is>
      </c>
      <c r="P12" s="2"/>
      <c r="Q12" s="2"/>
      <c r="R12" s="0" t="inlineStr">
        <is>
          <t xml:space="preserve">12 meses</t>
        </is>
      </c>
      <c r="S12" s="0" t="inlineStr">
        <is>
          <t xml:space="preserve">No</t>
        </is>
      </c>
      <c r="T12" s="4"/>
      <c r="U12" s="0" t="inlineStr">
        <is>
          <t xml:space="preserve">JOSE HORMAZABAL</t>
        </is>
      </c>
      <c r="V12" s="4" t="inlineStr">
        <is>
          <t xml:space="preserve">RENOVACIÓN LICENCIAMIENTO ADOBE CREATIVE CLOUD PARA SUBDERE” E6945-2026</t>
        </is>
      </c>
      <c r="W12" s="5" t="str">
        <f>HYPERLINK("https://www.mercadopublico.cl/Procurement/Modules/Attachment/ViewAttachment.aspx?enc=FyjSUoSifKiVFjEGkpCopL9HS8Fe6pIdCRrsaVYYNGaC2WErGOjJSN8%2fdXsH4oCalcraOe1ktzdw4APSb2pL6mOcvJVKN5iNf0IiTvUxZPi%2bLk%2fOZP3wpGamdLUOFjAj4L%2bM0O92Oo8ck0mQplJImm1o0hCfB7p2wBkVSzYSu6iiTHejmxKnNpIWW2jxtpFcTBCXNJOyktp%2bQ3NoVy7ISyC8jxPaQS4eb%2b8aL%2bG0V%2biI%2fC1h0U%2f2izLR%2blEvqyxRDizULp15j5lQeWATwa9rPLgFuBkNKdfNvPV6qLe7LcuC6QTjgeyhhq6BiS6hgaG8","descargar bases")</f>
      </c>
    </row>
    <row r="13">
      <c r="A13" s="0" t="inlineStr">
        <is>
          <t xml:space="preserve">799512-50-LE26</t>
        </is>
      </c>
      <c r="B13" s="4" t="inlineStr">
        <is>
          <t xml:space="preserve">COMPRA TENSIOMETROS DIGITALES</t>
        </is>
      </c>
      <c r="C13" s="0" t="inlineStr">
        <is>
          <t xml:space="preserve">Publicada</t>
        </is>
      </c>
      <c r="D13" s="0" t="inlineStr">
        <is>
          <t xml:space="preserve">CORP MUNICIPAL DE VALPARAISO PARA EL DESARROLLO SOCIAL</t>
        </is>
      </c>
      <c r="E13" s="0" t="inlineStr">
        <is>
          <t xml:space="preserve">Corporación</t>
        </is>
      </c>
      <c r="F13" s="0" t="inlineStr">
        <is>
          <t xml:space="preserve">Región de Valparaíso </t>
        </is>
      </c>
      <c r="G13" s="0" t="inlineStr">
        <is>
          <t xml:space="preserve">Valparaíso</t>
        </is>
      </c>
      <c r="H13" s="2">
        <v>46286.661273</v>
      </c>
      <c r="I13" s="2">
        <v>46300.625</v>
      </c>
      <c r="J13" s="0">
        <v>5</v>
      </c>
      <c r="K13" s="3"/>
      <c r="L13" s="0" t="inlineStr">
        <is>
          <t xml:space="preserve">CLP</t>
        </is>
      </c>
      <c r="M13" s="0" t="inlineStr">
        <is>
          <t xml:space="preserve">LE</t>
        </is>
      </c>
      <c r="N13" s="4" t="inlineStr">
        <is>
          <t xml:space="preserve">Equipamiento para laboratorios / Instrumentos de medida y experimentación / Instrumentos mecánicos</t>
        </is>
      </c>
      <c r="O13" s="4" t="inlineStr">
        <is>
          <t xml:space="preserve">37 Unidad · Tensiómetros</t>
        </is>
      </c>
      <c r="P13" s="2"/>
      <c r="Q13" s="2"/>
      <c r="R13" s="0"/>
      <c r="S13" s="0" t="inlineStr">
        <is>
          <t xml:space="preserve">No</t>
        </is>
      </c>
      <c r="T13" s="4"/>
      <c r="U13" s="0" t="inlineStr">
        <is>
          <t xml:space="preserve">MARIO DEL CARPIO VARAS</t>
        </is>
      </c>
      <c r="V13" s="4" t="inlineStr">
        <is>
          <t xml:space="preserve">COMPRA TENSIOMETROS DIGITALES</t>
        </is>
      </c>
      <c r="W13" s="5" t="str">
        <f>HYPERLINK("https://www.mercadopublico.cl/Procurement/Modules/Attachment/ViewAttachment.aspx?enc=19KGdFXIMOSHJF7jJgovUfutZf1AOGH04kuK%2fi0DxL00XrBoObPdI5idEDTCDNKhTycylM6Evyk5FTzNkX4160svEMUG%2b3YaAaNUbb1Z0KDPehMRkbGksmDeXaq8jpnXNNqqKzN0LHT%2fUEdQSC94BaTxgavERYxO6ljrBVkLkk63ltBlzBgmhEXZ9r4U4IzapqX%2bNlUdyDw8F5W4%2b1U%2fyRcVNQXULSeY%2bZgVLfWy8hIx09OQaG3WKIE7u7OImLQ3Y2ZdUeq4lXycIxmTPqnyDV15u8PpFeWId8DFnwvzba1vNnvVrf04DcyUX1kpcvBz","descargar bases")</f>
      </c>
    </row>
    <row r="14">
      <c r="A14" s="0" t="inlineStr">
        <is>
          <t xml:space="preserve">5890-11-LP26</t>
        </is>
      </c>
      <c r="B14" s="4" t="inlineStr">
        <is>
          <t xml:space="preserve">PLATAFORMA DE ANALISIS AVANZADO MALWARE PNCO2025</t>
        </is>
      </c>
      <c r="C14" s="0" t="inlineStr">
        <is>
          <t xml:space="preserve">Publicada</t>
        </is>
      </c>
      <c r="D14" s="0" t="inlineStr">
        <is>
          <t xml:space="preserve">POLICIA DE INVESTIGACIONES DE CHILE</t>
        </is>
      </c>
      <c r="E14" s="0" t="inlineStr">
        <is>
          <t xml:space="preserve">JENACO</t>
        </is>
      </c>
      <c r="F14" s="0" t="inlineStr">
        <is>
          <t xml:space="preserve">Región Metropolitana de Santiago</t>
        </is>
      </c>
      <c r="G14" s="0" t="inlineStr">
        <is>
          <t xml:space="preserve">Independencia</t>
        </is>
      </c>
      <c r="H14" s="2">
        <v>46280.537014</v>
      </c>
      <c r="I14" s="2">
        <v>46300.625</v>
      </c>
      <c r="J14" s="0">
        <v>5</v>
      </c>
      <c r="K14" s="3">
        <v>235620000.0</v>
      </c>
      <c r="L14" s="0" t="inlineStr">
        <is>
          <t xml:space="preserve">CLP</t>
        </is>
      </c>
      <c r="M14" s="0" t="inlineStr">
        <is>
          <t xml:space="preserve">LP</t>
        </is>
      </c>
      <c r="N14" s="4" t="inlineStr">
        <is>
          <t xml:space="preserve">Tecnologías de la información, telecomunicaciones y radiodifusión / Componentes para tecnología de la información, difusión o telecomunicaciones / Accesorios de soportes de almacenamiento extraíbles</t>
        </is>
      </c>
      <c r="O14" s="4" t="inlineStr">
        <is>
          <t xml:space="preserve">1 Unidad · Cajas de almacenamientos de diferentes soportes</t>
        </is>
      </c>
      <c r="P14" s="2"/>
      <c r="Q14" s="2"/>
      <c r="R14" s="0"/>
      <c r="S14" s="0" t="inlineStr">
        <is>
          <t xml:space="preserve">No</t>
        </is>
      </c>
      <c r="T14" s="4" t="inlineStr">
        <is>
          <t xml:space="preserve">NO PERMITE SUBCONTRATACIÓN, ARTICULO 53 DE LA RESOLUCIÓN</t>
        </is>
      </c>
      <c r="U14" s="0" t="inlineStr">
        <is>
          <t xml:space="preserve">DIEGO MONTES ISLAS</t>
        </is>
      </c>
      <c r="V14" s="4" t="inlineStr">
        <is>
          <t xml:space="preserve">SEGUN BASES ADMINISTRATIVAS Y ANEXOS ADJUNTOS</t>
        </is>
      </c>
      <c r="W14" s="5" t="str">
        <f>HYPERLINK("https://www.mercadopublico.cl/Procurement/Modules/Attachment/ViewAttachment.aspx?enc=xWBETKbtqzhc31CNC0Luin7cOd32E8cdluJkvg%2bBYnhp%2fhx9jeLteqILcToiPcfYqiqW6ttulA1%2bIKy72XSP5DHMIMLYbCYsIxNZ66DgLRnlz05Vb7FKgPyO%2bs8zn44GlNhmLVfnKA%2bv9BrTzwq9Y%2bZ6cxsPzz7rN2ITOlDVtKToPF6dQSNULdo%2fk8hmieEBG8bOMpUlinGYYs4K%2bE8tQbTL53BHU%2beFhokCqi8PxPDI7CknqX4zVKGCBOKChde8ZQCYIBEe7PWvxYN78DpXVWdkZc5zE2Zw0amZO1lpRyeiyv36JTWi6d%2b6xyCZO%2fr1","descargar bases")</f>
      </c>
    </row>
    <row r="15">
      <c r="A15" s="0" t="inlineStr">
        <is>
          <t xml:space="preserve">869591-12-LP26</t>
        </is>
      </c>
      <c r="B15" s="4" t="inlineStr">
        <is>
          <t xml:space="preserve">CONTRATACIÓN DE PLATAFORMA DE GESTIÓN DOCUMENTAL EXPEDIENTE ELECTRÓNICO Y GESTIÓN DE PROCESOS</t>
        </is>
      </c>
      <c r="C15" s="0" t="inlineStr">
        <is>
          <t xml:space="preserve">Publicada</t>
        </is>
      </c>
      <c r="D15" s="0" t="inlineStr">
        <is>
          <t xml:space="preserve">DIRECCION DE COMPRAS Y CONTRATACION PUBLICA</t>
        </is>
      </c>
      <c r="E15" s="0" t="inlineStr">
        <is>
          <t xml:space="preserve">Calidad del Gasto en las Compras Públicas</t>
        </is>
      </c>
      <c r="F15" s="0" t="inlineStr">
        <is>
          <t xml:space="preserve">Región Metropolitana de Santiago</t>
        </is>
      </c>
      <c r="G15" s="0" t="inlineStr">
        <is>
          <t xml:space="preserve">Santiago Centro</t>
        </is>
      </c>
      <c r="H15" s="2">
        <v>46280.607639</v>
      </c>
      <c r="I15" s="2">
        <v>46300.625</v>
      </c>
      <c r="J15" s="0">
        <v>5</v>
      </c>
      <c r="K15" s="3"/>
      <c r="L15" s="0" t="inlineStr">
        <is>
          <t xml:space="preserve">CLP</t>
        </is>
      </c>
      <c r="M15" s="0" t="inlineStr">
        <is>
          <t xml:space="preserve">LP</t>
        </is>
      </c>
      <c r="N15" s="4" t="inlineStr">
        <is>
          <t xml:space="preserve">Tecnologías de la información, telecomunicaciones y radiodifusión / Software / Software de gestión de contenidos</t>
        </is>
      </c>
      <c r="O15" s="4" t="inlineStr">
        <is>
          <t xml:space="preserve">1 Unidad · Programas de gestión de documentos</t>
        </is>
      </c>
      <c r="P15" s="2"/>
      <c r="Q15" s="2"/>
      <c r="R15" s="0" t="inlineStr">
        <is>
          <t xml:space="preserve">44 meses</t>
        </is>
      </c>
      <c r="S15" s="0" t="inlineStr">
        <is>
          <t xml:space="preserve">No</t>
        </is>
      </c>
      <c r="T15" s="4" t="inlineStr">
        <is>
          <t xml:space="preserve">ver clausula 10 de las bases especiales</t>
        </is>
      </c>
      <c r="U15" s="0" t="inlineStr">
        <is>
          <t xml:space="preserve">Marcela Cabrera</t>
        </is>
      </c>
      <c r="V15" s="4" t="inlineStr">
        <is>
          <t xml:space="preserve">CONTRATACIÓN DE PLATAFORMA DE GESTIÓN DOCUMENTAL, EXPEDIENTE ELECTRÓNICO Y GESTIÓN DE PROCESOS PARA LA DIRECCIÓN DE COMPRAS Y CONTRATACIÓN PÚBLICA</t>
        </is>
      </c>
      <c r="W15" s="5" t="str">
        <f>HYPERLINK("https://www.mercadopublico.cl/Procurement/Modules/Attachment/ViewAttachment.aspx?enc=ztnxUAOiOgiIl4hZCOrGFP7mIfTQta194GbnyEDVdw8qMge1v0KAWK79e%2bK76zuXgmQUFmtbfdza43CCBgTK5DGEu4svXTYdDWDmC0GS56Ud512HT72urcsbfGw3dVyzAgpPj6DhOPAJCaCQ9TBESZXk2%2bZoHELOrbgoUh22QO%2bGmARpAoNZhawSXGJ0tjXEprvV77DfuR4VgzPt7JwORdfqTZyAC2Lg7%2ft4E2zRKAD4Fpo7vSiXbegBj22iz0iw%2fT%2bL2pi54X4Azt%2b0D74CA0MYz9Z0OG42y1PZUk89n7Gbf4Yy%2b0eFJL%2bu%2biNQwsiq","descargar bases")</f>
      </c>
    </row>
    <row r="16">
      <c r="A16" s="0" t="inlineStr">
        <is>
          <t xml:space="preserve">1208129-9-LP26</t>
        </is>
      </c>
      <c r="B16" s="4" t="inlineStr">
        <is>
          <t xml:space="preserve">Giftcards digitales para las FAE de AA.DD del SPE</t>
        </is>
      </c>
      <c r="C16" s="0" t="inlineStr">
        <is>
          <t xml:space="preserve">Publicada</t>
        </is>
      </c>
      <c r="D16" s="0" t="inlineStr">
        <is>
          <t xml:space="preserve">SERVICIO NACIONAL DE PROTECCIÓN ESPECIALIZADA A LA NIÑEZ Y ADOLESCENCI</t>
        </is>
      </c>
      <c r="E16" s="0" t="inlineStr">
        <is>
          <t xml:space="preserve">ADMINISTRACIÓN DIRECTA REGIÓN DEL BIOBÍO</t>
        </is>
      </c>
      <c r="F16" s="0" t="inlineStr">
        <is>
          <t xml:space="preserve">Región del Biobío </t>
        </is>
      </c>
      <c r="G16" s="0" t="inlineStr">
        <is>
          <t xml:space="preserve">Los Angeles</t>
        </is>
      </c>
      <c r="H16" s="2">
        <v>46289.490567</v>
      </c>
      <c r="I16" s="2">
        <v>46300.625694</v>
      </c>
      <c r="J16" s="0">
        <v>5</v>
      </c>
      <c r="K16" s="3">
        <v>352000000.0</v>
      </c>
      <c r="L16" s="0" t="inlineStr">
        <is>
          <t xml:space="preserve">CLP</t>
        </is>
      </c>
      <c r="M16" s="0" t="inlineStr">
        <is>
          <t xml:space="preserve">LP</t>
        </is>
      </c>
      <c r="N16" s="4" t="inlineStr">
        <is>
          <t xml:space="preserve">Servicios profesionales, administrativos y consultorías de gestión empresarial / Servicios de recursos humanos / Consultorías para el desarrollo de recursos humanos</t>
        </is>
      </c>
      <c r="O16" s="4" t="inlineStr">
        <is>
          <t xml:space="preserve">1 Global · Planificación de compensaciones o beneficios · 1 Global · Planificación de compensaciones o beneficios · 1 Global · Planificación de compensaciones o beneficios</t>
        </is>
      </c>
      <c r="P16" s="2"/>
      <c r="Q16" s="2"/>
      <c r="R16" s="0"/>
      <c r="S16" s="0" t="inlineStr">
        <is>
          <t xml:space="preserve">No</t>
        </is>
      </c>
      <c r="T16" s="4"/>
      <c r="U16" s="0" t="inlineStr">
        <is>
          <t xml:space="preserve">Fernando Ariz Carrillo</t>
        </is>
      </c>
      <c r="V16" s="4" t="inlineStr">
        <is>
          <t xml:space="preserve">según lo estipulado en Bases Administrativas, técnicas y sus Anexos para la adquisición de giftcards digitales o váuchers electrónicos para el correcto funcionamiento de los programas FAE de AA.DD del SPE Región del Biobío.</t>
        </is>
      </c>
      <c r="W16"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17">
      <c r="A17" s="0" t="inlineStr">
        <is>
          <t xml:space="preserve">1562-61-LP26</t>
        </is>
      </c>
      <c r="B17" s="4" t="inlineStr">
        <is>
          <t xml:space="preserve">PLATAFORMA DE SEGURIDAD PERIMETRAL</t>
        </is>
      </c>
      <c r="C17" s="0" t="inlineStr">
        <is>
          <t xml:space="preserve">Publicada</t>
        </is>
      </c>
      <c r="D17" s="0" t="inlineStr">
        <is>
          <t xml:space="preserve">SERVICIO NACIONAL DE GEOLOGIA Y MINERIA</t>
        </is>
      </c>
      <c r="E17" s="0" t="inlineStr">
        <is>
          <t xml:space="preserve">Servicio Nacional de Geología y Minería</t>
        </is>
      </c>
      <c r="F17" s="0" t="inlineStr">
        <is>
          <t xml:space="preserve">Región Metropolitana de Santiago</t>
        </is>
      </c>
      <c r="G17" s="0" t="inlineStr">
        <is>
          <t xml:space="preserve">Providencia</t>
        </is>
      </c>
      <c r="H17" s="2">
        <v>46280.450081</v>
      </c>
      <c r="I17" s="2">
        <v>46300.625694</v>
      </c>
      <c r="J17" s="0">
        <v>5</v>
      </c>
      <c r="K17" s="3">
        <v>78172750.0</v>
      </c>
      <c r="L17" s="0" t="inlineStr">
        <is>
          <t xml:space="preserve">CLP</t>
        </is>
      </c>
      <c r="M17" s="0" t="inlineStr">
        <is>
          <t xml:space="preserve">LP</t>
        </is>
      </c>
      <c r="N17"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7" s="4" t="inlineStr">
        <is>
          <t xml:space="preserve">2 Unidad · Mantenimiento y soporte de hardware · 1 Unidad · Software de gestión de licencias · 1 Unidad · Programas de gestión de configuración</t>
        </is>
      </c>
      <c r="P17" s="2"/>
      <c r="Q17" s="2"/>
      <c r="R17" s="0"/>
      <c r="S17" s="0" t="inlineStr">
        <is>
          <t xml:space="preserve">No</t>
        </is>
      </c>
      <c r="T17" s="4"/>
      <c r="U17" s="0" t="inlineStr">
        <is>
          <t xml:space="preserve">GONZALO PALET MUÑOZ</t>
        </is>
      </c>
      <c r="V17"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7" s="5" t="str">
        <f>HYPERLINK("https://www.mercadopublico.cl/Procurement/Modules/Attachment/ViewAttachment.aspx?enc=qtK26GiTMvhj1Qw%2bC68SRLCjTa%2fmWWjNjrGd8FIHViFBV97fiiSkR4ty4JySYraw9OSaayP1SnXeCNMyiPHlY5wkWy91zPHN4iMclRYRKC8dXPNtEh7iPJTuD22DJ0cBqezSGwfW9T6AwwEXD2lHkrBfqqlnPySAU383GajnTVSD26WMc9orE7rWl9n%2f26tDnQUpQMKdb7lYzyWKuKvfuiSfiDmpSWmTOnx1Owu3NsUNcv1OWDqxKcPXNBCcfsTwVvNRPl1Rchp1uOrj2mDkmxgNb%2brNm8qRxhM8gT3e9Ib%2ftSAG7YnfNGMmEjFVLe23","descargar bases")</f>
      </c>
    </row>
    <row r="18">
      <c r="A18" s="0" t="inlineStr">
        <is>
          <t xml:space="preserve">4589-16-LE26</t>
        </is>
      </c>
      <c r="B18" s="4" t="inlineStr">
        <is>
          <t xml:space="preserve">SOPORTE DE MANTENCION Y CAPACITACION PLATAFORMA SIFIM</t>
        </is>
      </c>
      <c r="C18" s="0" t="inlineStr">
        <is>
          <t xml:space="preserve">Publicada</t>
        </is>
      </c>
      <c r="D18" s="0" t="inlineStr">
        <is>
          <t xml:space="preserve">ILUSTRE MUNICIPALIDAD DE TORRES DEL PAIN</t>
        </is>
      </c>
      <c r="E18" s="0" t="inlineStr">
        <is>
          <t xml:space="preserve">adquisiciones</t>
        </is>
      </c>
      <c r="F18" s="0" t="inlineStr">
        <is>
          <t xml:space="preserve">Región de Magallanes y de la Antártica</t>
        </is>
      </c>
      <c r="G18" s="0" t="inlineStr">
        <is>
          <t xml:space="preserve">Torres del Payne</t>
        </is>
      </c>
      <c r="H18" s="2">
        <v>46290.490463</v>
      </c>
      <c r="I18" s="2">
        <v>46300.625694</v>
      </c>
      <c r="J18" s="0">
        <v>5</v>
      </c>
      <c r="K18" s="3"/>
      <c r="L18" s="0" t="inlineStr">
        <is>
          <t xml:space="preserve">CLP</t>
        </is>
      </c>
      <c r="M18" s="0" t="inlineStr">
        <is>
          <t xml:space="preserve">LE</t>
        </is>
      </c>
      <c r="N18" s="4" t="inlineStr">
        <is>
          <t xml:space="preserve">Tecnologías de la información, telecomunicaciones y radiodifusión / Software / Software de planificación de recursos empresariales (ERP) y contabilidad financiera</t>
        </is>
      </c>
      <c r="O18" s="4" t="inlineStr">
        <is>
          <t xml:space="preserve">1 Unidad · Programas de análisis financiero</t>
        </is>
      </c>
      <c r="P18" s="2"/>
      <c r="Q18" s="2"/>
      <c r="R18" s="0" t="inlineStr">
        <is>
          <t xml:space="preserve">12 meses</t>
        </is>
      </c>
      <c r="S18" s="0" t="inlineStr">
        <is>
          <t xml:space="preserve">No</t>
        </is>
      </c>
      <c r="T18" s="4" t="inlineStr">
        <is>
          <t xml:space="preserve">NO APLICA</t>
        </is>
      </c>
      <c r="U18" s="0" t="inlineStr">
        <is>
          <t xml:space="preserve">JOSE MANSILLA GUERRERO</t>
        </is>
      </c>
      <c r="V18" s="4" t="inlineStr">
        <is>
          <t xml:space="preserve">Servicios a contratar para la ejecución del contrato denominado Términos de referencia “Soporte de Mantención y Capacitación de Plataforma SIFIM”, que permita el correcto funcionamiento de los softwares que la componen en la Gestión Municipal y los servicios de Salud”.</t>
        </is>
      </c>
      <c r="W18" s="5" t="str">
        <f>HYPERLINK("https://www.mercadopublico.cl/Procurement/Modules/Attachment/ViewAttachment.aspx?enc=xaDgS2vJc2EC%2fMwghEWGYLLYd5%2bzmk9LFm%2f6FzrIa7x%2bQU6x3PghU8aYD4%2f%2fVQWfAgnPEukD3NvarLhOVpK6gHnAPGs2suabYuBHvBKcpDbbSomMyB1khCysEu%2fJHF281anbYwd3ryMSuH0qtYZNrs6l7fj%2bNMD1vy8a5tqBSemFHLQeTSDONwOokJTW1I0laF5EgIHX8kEWUGpKN5jdB%2b3I2YI%2f%2biGRurNAsxzYMBZr7RDM%2b9rbZ5ZAMjyluwG05ATTm8STY2xNK8xINEZ6wq0v51GBQ16tAjZLUaifwS%2bYlS3E6n%2bxC7ItOaii%2f2om","descargar bases")</f>
      </c>
    </row>
    <row r="19">
      <c r="A19" s="0" t="inlineStr">
        <is>
          <t xml:space="preserve">761391-138-LE26</t>
        </is>
      </c>
      <c r="B19" s="4" t="inlineStr">
        <is>
          <t xml:space="preserve">EE-133-GUB-DAS-SVC. ARRI. EQUIPOS INFORMATICOS</t>
        </is>
      </c>
      <c r="C19" s="0" t="inlineStr">
        <is>
          <t xml:space="preserve">Publicada</t>
        </is>
      </c>
      <c r="D19" s="0" t="inlineStr">
        <is>
          <t xml:space="preserve">FUERZA AEREA DE CHILE COMANDO LOGISTICO</t>
        </is>
      </c>
      <c r="E19" s="0" t="inlineStr">
        <is>
          <t xml:space="preserve">Base Aérea El Bosque</t>
        </is>
      </c>
      <c r="F19" s="0" t="inlineStr">
        <is>
          <t xml:space="preserve">Región Metropolitana de Santiago</t>
        </is>
      </c>
      <c r="G19" s="0" t="inlineStr">
        <is>
          <t xml:space="preserve">El Bosque</t>
        </is>
      </c>
      <c r="H19" s="2">
        <v>46280.692361</v>
      </c>
      <c r="I19" s="2">
        <v>46300.625694</v>
      </c>
      <c r="J19" s="0">
        <v>5</v>
      </c>
      <c r="K19" s="3">
        <v>16333332.0</v>
      </c>
      <c r="L19" s="0" t="inlineStr">
        <is>
          <t xml:space="preserve">CLP</t>
        </is>
      </c>
      <c r="M19" s="0" t="inlineStr">
        <is>
          <t xml:space="preserve">LE</t>
        </is>
      </c>
      <c r="N19" s="4" t="inlineStr">
        <is>
          <t xml:space="preserve">Servicios basados en ingeniería, ciencias sociales y tecnología de la información / Servicios informáticos / Ingeniería en computación e informática</t>
        </is>
      </c>
      <c r="O19" s="4" t="inlineStr">
        <is>
          <t xml:space="preserve">1 Global · Servicios de programación de sistemas operativos</t>
        </is>
      </c>
      <c r="P19" s="2"/>
      <c r="Q19" s="2"/>
      <c r="R19" s="0" t="inlineStr">
        <is>
          <t xml:space="preserve">3 meses</t>
        </is>
      </c>
      <c r="S19" s="0" t="inlineStr">
        <is>
          <t xml:space="preserve">No</t>
        </is>
      </c>
      <c r="T19" s="4" t="inlineStr">
        <is>
          <t xml:space="preserve">EN CONFORMIDAD A LO ESTABLECIDO EN EL PARRAFO I.-NORMAS GENERALES DEL LLAMADO A PROPUESTA, LETRA P DE LAS BASES ADMINISTRATIVAS ADJUNTAS.</t>
        </is>
      </c>
      <c r="U19" s="0" t="inlineStr">
        <is>
          <t xml:space="preserve">RODRIGO INOSTROZA</t>
        </is>
      </c>
      <c r="V19"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19" s="5" t="str">
        <f>HYPERLINK("https://www.mercadopublico.cl/Procurement/Modules/Attachment/ViewAttachment.aspx?enc=tfnU8Mmw6KJyUMph2JPUFH1B6EVi5vm1yiaf1Ye6qD6%2fCfjZ6pmk%2bTT9vFssP1BQNHL%2fztSBmSFrfXL6WAzY400snWQuAt9sIEOpjn7OU8UyhX4ZknLuHXP0xV969ygnsYowvsqYdes4hS883%2bwe5VHhOAF8WFRi3Wq0D2BFsxyWRs%2fam1Gcc7KsfZHGCsOufJlEq88fEIcGGSjYd0pf3PdhRex85%2f2khxzELuNhf5NdgzsdvFxFoR13dHDfU%2fhaE1FR8zSfUTa9MzfPnbbA%2fBkJamn89REUx24KhHV2J%2fRL2WTwUD0%2fFhducY8tUjwe","descargar bases")</f>
      </c>
    </row>
    <row r="20">
      <c r="A20" s="0" t="inlineStr">
        <is>
          <t xml:space="preserve">587-49-LE26</t>
        </is>
      </c>
      <c r="B20" s="4" t="inlineStr">
        <is>
          <t xml:space="preserve">SELICO 198- 2026 SERVICIO DE DIGITALIZACIÓN</t>
        </is>
      </c>
      <c r="C20" s="0" t="inlineStr">
        <is>
          <t xml:space="preserve">Publicada</t>
        </is>
      </c>
      <c r="D20" s="0" t="inlineStr">
        <is>
          <t xml:space="preserve">SUBSECRETARIA DEL MINISTERIO DE LA VIVIENDA Y URBANISMO</t>
        </is>
      </c>
      <c r="E20" s="0" t="inlineStr">
        <is>
          <t xml:space="preserve">Ministerio de Vivienda y Urbanismo(766)</t>
        </is>
      </c>
      <c r="F20" s="0" t="inlineStr">
        <is>
          <t xml:space="preserve">Región Metropolitana de Santiago</t>
        </is>
      </c>
      <c r="G20" s="0"/>
      <c r="H20" s="2">
        <v>46280.397014</v>
      </c>
      <c r="I20" s="2">
        <v>46300.631944</v>
      </c>
      <c r="J20" s="0">
        <v>5</v>
      </c>
      <c r="K20" s="3">
        <v>25000000.0</v>
      </c>
      <c r="L20" s="0" t="inlineStr">
        <is>
          <t xml:space="preserve">CLP</t>
        </is>
      </c>
      <c r="M20" s="0" t="inlineStr">
        <is>
          <t xml:space="preserve">LE</t>
        </is>
      </c>
      <c r="N20" s="4" t="inlineStr">
        <is>
          <t xml:space="preserve">Servicios basados en ingeniería, ciencias sociales y tecnología de la información / Servicios informáticos / Servicios de datos</t>
        </is>
      </c>
      <c r="O20" s="4" t="inlineStr">
        <is>
          <t xml:space="preserve">1 Global · Servicios de digitalización de documentos</t>
        </is>
      </c>
      <c r="P20" s="2"/>
      <c r="Q20" s="2"/>
      <c r="R20" s="0" t="inlineStr">
        <is>
          <t xml:space="preserve">150 días</t>
        </is>
      </c>
      <c r="S20" s="0" t="inlineStr">
        <is>
          <t xml:space="preserve">No</t>
        </is>
      </c>
      <c r="T20" s="4" t="inlineStr">
        <is>
          <t xml:space="preserve">NO PERMITE SUBCONTRATACIÓN VER PUNTO 1.13.5.7. “SUBCONTRATACIÓN” DE LAS BASES ADMINISTRATIVAS.</t>
        </is>
      </c>
      <c r="U20" s="0" t="inlineStr">
        <is>
          <t xml:space="preserve">Jefa de la División Técnica de Estudio</t>
        </is>
      </c>
      <c r="V20" s="4" t="inlineStr">
        <is>
          <t xml:space="preserve">Servicio de digitalización e indexación de documentación del MINVU y de la SEREMI Región Metropolitana.</t>
        </is>
      </c>
      <c r="W20" s="5" t="str">
        <f>HYPERLINK("https://www.mercadopublico.cl/Procurement/Modules/Attachment/ViewAttachment.aspx?enc=NJN6G4qH8GIITxUwY%2b1Y4igw7BQpUBKfastleBBk6w38Yyifamq7i8udRK%2bYb7mDmenFaDLVTRC%2bYR6vaAqAKtH%2f2XmYWFtMv2ChSXaq1PgkcEJNHe%2blnJs4bsIAVcGf8DFwOgkw5HHZ4CHf68UcuD9PqNMkn636va9e%2fEgM44%2fR%2f%2b7SgzHcZFrSln3sBIAvB2n93HI3mMvA1S3Zmw5objnCfeeltMzvLpfQZxqXP0teOMYq%2bKjToc0%2b%2b%2bkehce8B9pnchWAEvrWPkW0UJDzXKNUXPJommGb6%2f%2fgY7zbIMuFkno%2fWt9TbM%2fIyzePbJ%2bL","descargar bases")</f>
      </c>
    </row>
    <row r="21">
      <c r="A21" s="0" t="inlineStr">
        <is>
          <t xml:space="preserve">1057049-332-LR26</t>
        </is>
      </c>
      <c r="B21" s="4" t="inlineStr">
        <is>
          <t xml:space="preserve">JLL BASES SERVICIO DE TURNOS PROFESIONALES PARA DESARROLLO DE SOFTWARE INTERNO DEL HOSPITAL CLÍNICO SAN BORJA ARRIARÁN</t>
        </is>
      </c>
      <c r="C21" s="0" t="inlineStr">
        <is>
          <t xml:space="preserve">Publicada</t>
        </is>
      </c>
      <c r="D21" s="0" t="inlineStr">
        <is>
          <t xml:space="preserve">SERV SALUD METROPOLITANO CENTRAL HOSPITAL CLINICO SAN BORJA ARRIARAN</t>
        </is>
      </c>
      <c r="E21" s="0" t="inlineStr">
        <is>
          <t xml:space="preserve">Bienes y Servicios</t>
        </is>
      </c>
      <c r="F21" s="0" t="inlineStr">
        <is>
          <t xml:space="preserve">Región Metropolitana de Santiago</t>
        </is>
      </c>
      <c r="G21" s="0" t="inlineStr">
        <is>
          <t xml:space="preserve">Santiago</t>
        </is>
      </c>
      <c r="H21" s="2">
        <v>46267.711424</v>
      </c>
      <c r="I21" s="2">
        <v>46300.645833</v>
      </c>
      <c r="J21" s="0">
        <v>5</v>
      </c>
      <c r="K21" s="3">
        <v>819072000.0</v>
      </c>
      <c r="L21" s="0" t="inlineStr">
        <is>
          <t xml:space="preserve">CLP</t>
        </is>
      </c>
      <c r="M21" s="0" t="inlineStr">
        <is>
          <t xml:space="preserve">LR</t>
        </is>
      </c>
      <c r="N21" s="4" t="inlineStr">
        <is>
          <t xml:space="preserve">Servicios profesionales, administrativos y consultorías de gestión empresarial / Servicios de recursos humanos / Servicios de personal temporal</t>
        </is>
      </c>
      <c r="O21" s="4" t="inlineStr">
        <is>
          <t xml:space="preserve">1 Global · Personal técnico temporal</t>
        </is>
      </c>
      <c r="P21" s="2"/>
      <c r="Q21" s="2"/>
      <c r="R21" s="0" t="inlineStr">
        <is>
          <t xml:space="preserve">24 meses</t>
        </is>
      </c>
      <c r="S21" s="0" t="inlineStr">
        <is>
          <t xml:space="preserve">No</t>
        </is>
      </c>
      <c r="T21" s="4"/>
      <c r="U21" s="0" t="inlineStr">
        <is>
          <t xml:space="preserve">JUAN CARLOS LAFONT</t>
        </is>
      </c>
      <c r="V21" s="4" t="inlineStr">
        <is>
          <t xml:space="preserve">CONTRATACION DE TURNOS PROFESIONALES PARA DESARROLLO DE SOFTWARE INTERNO DEL HOSPITAL CLÍNICO SAN BORJA ARRIARÁN</t>
        </is>
      </c>
      <c r="W21"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22">
      <c r="A22" s="0" t="inlineStr">
        <is>
          <t xml:space="preserve">1736-108-LE26</t>
        </is>
      </c>
      <c r="B22" s="4" t="inlineStr">
        <is>
          <t xml:space="preserve">INSUMOS INFORMÁTICOS Y COMPUTACIONALES DISAM</t>
        </is>
      </c>
      <c r="C22" s="0" t="inlineStr">
        <is>
          <t xml:space="preserve">Publicada</t>
        </is>
      </c>
      <c r="D22" s="0" t="inlineStr">
        <is>
          <t xml:space="preserve">I MUNICIPALIDAD DE LA COMUNA DE EL BOSQUE</t>
        </is>
      </c>
      <c r="E22" s="0" t="inlineStr">
        <is>
          <t xml:space="preserve">I MUNICIPALIDAD DE LA COMUNA DE EL BOSQUE</t>
        </is>
      </c>
      <c r="F22" s="0" t="inlineStr">
        <is>
          <t xml:space="preserve">Región Metropolitana de Santiago</t>
        </is>
      </c>
      <c r="G22" s="0" t="inlineStr">
        <is>
          <t xml:space="preserve">El Bosque</t>
        </is>
      </c>
      <c r="H22" s="2">
        <v>46287.488889</v>
      </c>
      <c r="I22" s="2">
        <v>46300.645833</v>
      </c>
      <c r="J22" s="0">
        <v>5</v>
      </c>
      <c r="K22" s="3"/>
      <c r="L22" s="0" t="inlineStr">
        <is>
          <t xml:space="preserve">CLP</t>
        </is>
      </c>
      <c r="M22" s="0" t="inlineStr">
        <is>
          <t xml:space="preserve">LE</t>
        </is>
      </c>
      <c r="N22"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22" s="4" t="inlineStr">
        <is>
          <t xml:space="preserve">1 Unidad · Cable de fibra óptica · 1 Unidad · Memoria flash · 1 Unidad · Cartuchos de tinta · y 1 más</t>
        </is>
      </c>
      <c r="P22" s="2"/>
      <c r="Q22" s="2"/>
      <c r="R22" s="0"/>
      <c r="S22" s="0" t="inlineStr">
        <is>
          <t xml:space="preserve">No</t>
        </is>
      </c>
      <c r="T22" s="4"/>
      <c r="U22" s="0" t="inlineStr">
        <is>
          <t xml:space="preserve">Luis Pincheira Morales</t>
        </is>
      </c>
      <c r="V22"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22" s="5" t="str">
        <f>HYPERLINK("https://www.mercadopublico.cl/Procurement/Modules/Attachment/ViewAttachment.aspx?enc=Saz6QGlArLC3IBySsYuErp2qyZFUDid0%2fompPGHQCBGE3AzRboIet9FCcKgTj9X3QAs%2fQYoirTlGU%2f2mtPRN7a42%2fkyTUFcz5R%2fxoJCMyLfBSveTevcRqUlvYkXHgMvog2fXZ8D60ArNQwjkniDuWXNEy2v2fYpXz3p7fZtSfIFqLGd1m72JGnFGyvMEIVn8F2xtMNg9Sdjir9kFpmPdLjeiGUzaD4ZwRgwO8nwpWlx5JOOQc3vNqZA4MvIGOsQENynXqsbEULbBX%2bhNnZw5xAsUsg%2b9PavluCD89Bepw3CVyMS9Bg19Syrs%2bRWmztNi","descargar bases")</f>
      </c>
    </row>
    <row r="23">
      <c r="A23" s="0" t="inlineStr">
        <is>
          <t xml:space="preserve">4768-48-LE26</t>
        </is>
      </c>
      <c r="B23" s="4" t="inlineStr">
        <is>
          <t xml:space="preserve">MODIFICACION Y MODERNIZACION SEL SITIO WEB</t>
        </is>
      </c>
      <c r="C23" s="0" t="inlineStr">
        <is>
          <t xml:space="preserve">Publicada</t>
        </is>
      </c>
      <c r="D23" s="0" t="inlineStr">
        <is>
          <t xml:space="preserve">I MUNICIPALIDAD DE LA ESTRELLA</t>
        </is>
      </c>
      <c r="E23" s="0" t="inlineStr">
        <is>
          <t xml:space="preserve">D.A.F</t>
        </is>
      </c>
      <c r="F23" s="0" t="inlineStr">
        <is>
          <t xml:space="preserve">Región del Libertador General Bernardo O´Higgins</t>
        </is>
      </c>
      <c r="G23" s="0" t="inlineStr">
        <is>
          <t xml:space="preserve">La Estrella</t>
        </is>
      </c>
      <c r="H23" s="2">
        <v>46290.536806</v>
      </c>
      <c r="I23" s="2">
        <v>46300.645833</v>
      </c>
      <c r="J23" s="0">
        <v>5</v>
      </c>
      <c r="K23" s="3">
        <v>9000000.0</v>
      </c>
      <c r="L23" s="0" t="inlineStr">
        <is>
          <t xml:space="preserve">CLP</t>
        </is>
      </c>
      <c r="M23" s="0" t="inlineStr">
        <is>
          <t xml:space="preserve">LE</t>
        </is>
      </c>
      <c r="N23" s="4" t="inlineStr">
        <is>
          <t xml:space="preserve">Tecnologías de la información, telecomunicaciones y radiodifusión / Software / Programas de desarrollo</t>
        </is>
      </c>
      <c r="O23" s="4" t="inlineStr">
        <is>
          <t xml:space="preserve">1 Global · Software de desarrollo de plataforma Web</t>
        </is>
      </c>
      <c r="P23" s="2"/>
      <c r="Q23" s="2"/>
      <c r="R23" s="0"/>
      <c r="S23" s="0" t="inlineStr">
        <is>
          <t xml:space="preserve">No</t>
        </is>
      </c>
      <c r="T23" s="4" t="inlineStr">
        <is>
          <t xml:space="preserve">SEGUN LO INDICADO EN LAS BASES DE LICITACION</t>
        </is>
      </c>
      <c r="U23" s="0" t="inlineStr">
        <is>
          <t xml:space="preserve">GUISSEL LUCERO MADRID</t>
        </is>
      </c>
      <c r="V23" s="4" t="inlineStr">
        <is>
          <t xml:space="preserve">Contratar el servicio de diseño, modificación, modernización, desarrollo, implementación, puesta en marcha, capacitación y soporte del sitio web institucional de la Municipalidad de La Estrella.</t>
        </is>
      </c>
      <c r="W23" s="5" t="str">
        <f>HYPERLINK("https://www.mercadopublico.cl/Procurement/Modules/Attachment/ViewAttachment.aspx?enc=O3RT6RCi0vcQXvevlWv9xG7UFsuEo7gIPhUFP7spj8WOj3rCpjAIjiFQHrfYOs4jrlwjopbh4XTALhabWfu1ouWtjmoJXcqsx8Cbv9vz0KmUhMSMv26VT%2bJRq2nBB1f5eW4K7yJV1cE4LZ2H%2fU2beBwCQ8gnoaAzLkL7QkE8znvcevnIAjeJFIlufAi1D4%2b1eDVI4OYFKZQ4CbPRMUl9pFXIBUQWKbEmksSMYicnmA35zmlFm95dl9MjVTJH9AeKV%2bdiyh75Y1Qeb3R8xSu7TZ5O3YwnUZvBEdyYz8BdJuj4TzvX0USyWCQg9fTyAzDD","descargar bases")</f>
      </c>
    </row>
    <row r="24">
      <c r="A24" s="0" t="inlineStr">
        <is>
          <t xml:space="preserve">1049-76-LE26</t>
        </is>
      </c>
      <c r="B24" s="4" t="inlineStr">
        <is>
          <t xml:space="preserve">LEVANTAMIENTO DE DATOS SOCIOECONÓMICOS PLANTAS MANUFACTURERAS DE PRODUCTOS PESQUEROS ACUÍCOLAS Y EMPRESAS SALMONERAS</t>
        </is>
      </c>
      <c r="C24" s="0" t="inlineStr">
        <is>
          <t xml:space="preserve">Publicada</t>
        </is>
      </c>
      <c r="D24" s="0" t="inlineStr">
        <is>
          <t xml:space="preserve">INSTITUTO DE FOMENTO PESQUERO</t>
        </is>
      </c>
      <c r="E24" s="0" t="inlineStr">
        <is>
          <t xml:space="preserve">IFOP</t>
        </is>
      </c>
      <c r="F24" s="0" t="inlineStr">
        <is>
          <t xml:space="preserve">Región de Valparaíso </t>
        </is>
      </c>
      <c r="G24" s="0" t="inlineStr">
        <is>
          <t xml:space="preserve">Valparaíso</t>
        </is>
      </c>
      <c r="H24" s="2">
        <v>46290.507269</v>
      </c>
      <c r="I24" s="2">
        <v>46300.666667</v>
      </c>
      <c r="J24" s="0">
        <v>5</v>
      </c>
      <c r="K24" s="3">
        <v>25000000.0</v>
      </c>
      <c r="L24" s="0" t="inlineStr">
        <is>
          <t xml:space="preserve">CLP</t>
        </is>
      </c>
      <c r="M24" s="0" t="inlineStr">
        <is>
          <t xml:space="preserve">LE</t>
        </is>
      </c>
      <c r="N24" s="4" t="inlineStr">
        <is>
          <t xml:space="preserve">Servicios basados en ingeniería, ciencias sociales y tecnología de la información / Estadística / Metodología y análisis estadístico</t>
        </is>
      </c>
      <c r="O24" s="4" t="inlineStr">
        <is>
          <t xml:space="preserve">1 Unidad · Encuestas por muestreo · 1 Unidad · Encuestas por muestreo · 1 Unidad · Encuestas por muestreo</t>
        </is>
      </c>
      <c r="P24" s="2"/>
      <c r="Q24" s="2"/>
      <c r="R24" s="0" t="inlineStr">
        <is>
          <t xml:space="preserve">16 semanas</t>
        </is>
      </c>
      <c r="S24" s="0" t="inlineStr">
        <is>
          <t xml:space="preserve">No</t>
        </is>
      </c>
      <c r="T24" s="4"/>
      <c r="U24" s="0" t="inlineStr">
        <is>
          <t xml:space="preserve">Johanna Rojas Rojo</t>
        </is>
      </c>
      <c r="V24" s="4" t="inlineStr">
        <is>
          <t xml:space="preserve">El Monitoreo Económico debe levantar datos de empleo y operación de las plantas pesqueras de las regiones de Atacama, Coquimbo, Metropolitana, Valparaíso y de las empresas salmoneras de las regiones de Los Lagos, Aysén y Magallanes. Y para eso necesita personas que tengan la experiencia y el conocimiento del sector a cabalidad. 
El número total de plantas por región es el siguiente, los cuales se dividirán en 3 zonas: 
-Zona1: Atacama y Coquimbo. 52 y 62 plantas de proceso
-Zona 2: Valparaíso y Metropolitana de Santiago. 34 y 22 plantas de proceso
-Zona 3: Los Lagos, Aysen y Magallanes. 62 empresas salmoneras</t>
        </is>
      </c>
      <c r="W24" s="5" t="str">
        <f>HYPERLINK("https://www.mercadopublico.cl/Procurement/Modules/Attachment/ViewAttachment.aspx?enc=J1glaGCt334zRPq31pFXJlWfIt6%2f0ewJx3tUP%2bJ4vCsVY3gGuHYW3HVR9PfDufGPP662JatqAxOR8pOQ7q3IiXdZao30D44De4R2ZBcykOuBkCJ8rzgq7BfUifDkNkb7O6UsjBupX8bfN0nEpH4yEj9nVwyrRvHAWbxPpRJ%2fw64f99113ItVZdCFIbT32xbRZAkagedstMOAzEnpO7aCjFMZsFM7l0qKc1Gl%2fGeMZvcc5Eh1Rh%2frCimTERGIYfyVpZka6%2fvnpyIu8WZtxI%2bQp9aAnsAZYyY2Yh9AnsB0q5q97kAXjkEn57B5KIIW4J1c","descargar bases")</f>
      </c>
    </row>
    <row r="25">
      <c r="A25" s="0" t="inlineStr">
        <is>
          <t xml:space="preserve">463-5-LE26</t>
        </is>
      </c>
      <c r="B25" s="4" t="inlineStr">
        <is>
          <t xml:space="preserve">SERVICIO DE SOFTWARE DE GESTIÓN DE PERSONAS</t>
        </is>
      </c>
      <c r="C25" s="0" t="inlineStr">
        <is>
          <t xml:space="preserve">Publicada</t>
        </is>
      </c>
      <c r="D25" s="0" t="inlineStr">
        <is>
          <t xml:space="preserve">CENTRO DE INFORMACION DE RECURSOS NATURALES</t>
        </is>
      </c>
      <c r="E25" s="0" t="inlineStr">
        <is>
          <t xml:space="preserve">C.I.R.N.</t>
        </is>
      </c>
      <c r="F25" s="0" t="inlineStr">
        <is>
          <t xml:space="preserve">Región Metropolitana de Santiago</t>
        </is>
      </c>
      <c r="G25" s="0" t="inlineStr">
        <is>
          <t xml:space="preserve">Santiago</t>
        </is>
      </c>
      <c r="H25" s="2">
        <v>46290.727338</v>
      </c>
      <c r="I25" s="2">
        <v>46300.666667</v>
      </c>
      <c r="J25" s="0">
        <v>5</v>
      </c>
      <c r="K25" s="3">
        <v>560.0</v>
      </c>
      <c r="L25" s="0" t="inlineStr">
        <is>
          <t xml:space="preserve">CLF</t>
        </is>
      </c>
      <c r="M25" s="0" t="inlineStr">
        <is>
          <t xml:space="preserve">LE</t>
        </is>
      </c>
      <c r="N25" s="4" t="inlineStr">
        <is>
          <t xml:space="preserve">Tecnologías de la información, telecomunicaciones y radiodifusión / Software / Software de gestión</t>
        </is>
      </c>
      <c r="O25" s="4" t="inlineStr">
        <is>
          <t xml:space="preserve">1 Unidad · Software de gestión de recursos humanos</t>
        </is>
      </c>
      <c r="P25" s="2"/>
      <c r="Q25" s="2"/>
      <c r="R25" s="0"/>
      <c r="S25" s="0" t="inlineStr">
        <is>
          <t xml:space="preserve">No</t>
        </is>
      </c>
      <c r="T25" s="4" t="inlineStr">
        <is>
          <t xml:space="preserve">ARTÍCULO 21°: CESIÓN DE DERECHOS Y SUBCONTRATACIÓN 
El adjudicatario no podrá ceder ni transferir en forma alguna, total ni parcialmente 
los derechos y obligaciones que nacen de la presente licitación, y en especial los 
31 
que se establezcan en el</t>
        </is>
      </c>
      <c r="U25" s="0" t="inlineStr">
        <is>
          <t xml:space="preserve">Tomislav Vucina</t>
        </is>
      </c>
      <c r="V25" s="4" t="inlineStr">
        <is>
          <t xml:space="preserve">SERVICIO DE SOFTWARE DE GESTIÓN DE PERSONAS PARA CIREN</t>
        </is>
      </c>
      <c r="W25" s="5" t="str">
        <f>HYPERLINK("https://www.mercadopublico.cl/Procurement/Modules/Attachment/ViewAttachment.aspx?enc=6v8UIk4Fev2sgfXIs76gTLMaxoKxOaP56ZxdqZlQHA4GgGg3R0oAVZIG3ZgVtjUMTtrFhk2S2mzmNpMIgFdFMIYNeZypBeqtQOMC1AvF3NDscpZGi3xXSL8e4D3GZ9gmleUTjuevE6qts1q6pzO5yaDbejw%2f5SzkeiwxbvJTwqbYXsdAkj6c1eFVcgri9uNtib4TwRr5XAUKq56mfHM9BAys4QZP99bKzzuAXFMrAwcQvNrfRmobA8kUtbfElq%2fGAu4%2fKLMzNWX9r%2bF5U5nShpXE5PxSF0fQOpi8xnIrTVigWOngotPIcgkEEXzFyBfV","descargar bases")</f>
      </c>
    </row>
    <row r="26">
      <c r="A26" s="0" t="inlineStr">
        <is>
          <t xml:space="preserve">696217-2-LP26</t>
        </is>
      </c>
      <c r="B26" s="4" t="inlineStr">
        <is>
          <t xml:space="preserve">Servicio de Digitalizacion de Carpetas</t>
        </is>
      </c>
      <c r="C26" s="0" t="inlineStr">
        <is>
          <t xml:space="preserve">Publicada</t>
        </is>
      </c>
      <c r="D26" s="0" t="inlineStr">
        <is>
          <t xml:space="preserve">MINISTERIO PUBLICO</t>
        </is>
      </c>
      <c r="E26" s="0" t="inlineStr">
        <is>
          <t xml:space="preserve">FR TARAPACA</t>
        </is>
      </c>
      <c r="F26" s="0" t="inlineStr">
        <is>
          <t xml:space="preserve">Región de Tarapacá  </t>
        </is>
      </c>
      <c r="G26" s="0" t="inlineStr">
        <is>
          <t xml:space="preserve">Pozo Almonte</t>
        </is>
      </c>
      <c r="H26" s="2">
        <v>46288.745961</v>
      </c>
      <c r="I26" s="2">
        <v>46300.666667</v>
      </c>
      <c r="J26" s="0">
        <v>5</v>
      </c>
      <c r="K26" s="3">
        <v>150000000.0</v>
      </c>
      <c r="L26" s="0" t="inlineStr">
        <is>
          <t xml:space="preserve">CLP</t>
        </is>
      </c>
      <c r="M26" s="0" t="inlineStr">
        <is>
          <t xml:space="preserve">LP</t>
        </is>
      </c>
      <c r="N26" s="4" t="inlineStr">
        <is>
          <t xml:space="preserve">Servicios basados en ingeniería, ciencias sociales y tecnología de la información / Servicios informáticos / Servicios de datos</t>
        </is>
      </c>
      <c r="O26" s="4" t="inlineStr">
        <is>
          <t xml:space="preserve">1 Unidad · Servicios de digitalización de documentos</t>
        </is>
      </c>
      <c r="P26" s="2"/>
      <c r="Q26" s="2"/>
      <c r="R26" s="0"/>
      <c r="S26" s="0" t="inlineStr">
        <is>
          <t xml:space="preserve">No</t>
        </is>
      </c>
      <c r="T26"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26" s="0" t="inlineStr">
        <is>
          <t xml:space="preserve">Cristian Olmedo Gamboa</t>
        </is>
      </c>
      <c r="V26"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26"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27">
      <c r="A27" s="0" t="inlineStr">
        <is>
          <t xml:space="preserve">948354-137-LP26</t>
        </is>
      </c>
      <c r="B27" s="4" t="inlineStr">
        <is>
          <t xml:space="preserve">LA ADQUISICIÓN DE EQUIPO DE RAYOS X ARCO C CON FLUOROSCOPIA DIGITAL PARA EL HOSPITAL DIPRECA</t>
        </is>
      </c>
      <c r="C27" s="0" t="inlineStr">
        <is>
          <t xml:space="preserve">Publicada</t>
        </is>
      </c>
      <c r="D27" s="0" t="inlineStr">
        <is>
          <t xml:space="preserve">FONDO HOSPITAL DE LA DIRECCION DE PREVISION DE CARABINEROS DE CHILE</t>
        </is>
      </c>
      <c r="E27" s="0" t="inlineStr">
        <is>
          <t xml:space="preserve">Unidad de Compra de Bienes y Servicios</t>
        </is>
      </c>
      <c r="F27" s="0" t="inlineStr">
        <is>
          <t xml:space="preserve">Región Metropolitana de Santiago</t>
        </is>
      </c>
      <c r="G27" s="0" t="inlineStr">
        <is>
          <t xml:space="preserve">Las Condes</t>
        </is>
      </c>
      <c r="H27" s="2">
        <v>46280.439745</v>
      </c>
      <c r="I27" s="2">
        <v>46300.666667</v>
      </c>
      <c r="J27" s="0">
        <v>5</v>
      </c>
      <c r="K27" s="3">
        <v>235000000.0</v>
      </c>
      <c r="L27" s="0" t="inlineStr">
        <is>
          <t xml:space="preserve">CLP</t>
        </is>
      </c>
      <c r="M27" s="0" t="inlineStr">
        <is>
          <t xml:space="preserve">LP</t>
        </is>
      </c>
      <c r="N27" s="4" t="inlineStr">
        <is>
          <t xml:space="preserve">Equipamiento para laboratorios / Instrumentos de medida y experimentación / Equipo de examen no invasivo</t>
        </is>
      </c>
      <c r="O27" s="4" t="inlineStr">
        <is>
          <t xml:space="preserve">1 Unidad · Equipo de examen por rayos X</t>
        </is>
      </c>
      <c r="P27" s="2"/>
      <c r="Q27" s="2"/>
      <c r="R27" s="0"/>
      <c r="S27" s="0" t="inlineStr">
        <is>
          <t xml:space="preserve">No</t>
        </is>
      </c>
      <c r="T27" s="4"/>
      <c r="U27" s="0" t="inlineStr">
        <is>
          <t xml:space="preserve">Rodrigo Arriagada</t>
        </is>
      </c>
      <c r="V27"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27" s="5" t="str">
        <f>HYPERLINK("https://www.mercadopublico.cl/Procurement/Modules/Attachment/ViewAttachment.aspx?enc=45dRXwehtSYaYnewYPvWGExq0QBvPcL0T%2bjDUsija%2fOXHRat%2b7csNaF%2bYIgYBBMikvjH%2bDzeItoOYwt5U8dqxGz2WowJ9IRwVTv%2f6KOVNwtMosXokXJchrtuNTUEQRAPKY%2bHdpN3FlDkevZYDFi4vfxxlxGtIhjBoAN1XtaVI5EEp5xb3%2bOg%2b0G2zJZAP8E56B8X1KfpN3KX%2fR4Bd6XfdMZcquXoO0Ba185FoPU94fUGo%2baZqe8lS5yTytvtZOUok%2fVPapUCVVgcDjJVGW07rPLzVeJYkyJA6LdUTB0Qz42KKmUz%2br1xXp9U59qVEcu1","descargar bases")</f>
      </c>
    </row>
    <row r="28">
      <c r="A28" s="0" t="inlineStr">
        <is>
          <t xml:space="preserve">885-85-LE26</t>
        </is>
      </c>
      <c r="B28" s="4" t="inlineStr">
        <is>
          <t xml:space="preserve">Adquisición de licencias de software Acrobat Pro DC for teams ALL MP MLA Team para la Contraloría General de la República.</t>
        </is>
      </c>
      <c r="C28" s="0" t="inlineStr">
        <is>
          <t xml:space="preserve">Publicada</t>
        </is>
      </c>
      <c r="D28" s="0" t="inlineStr">
        <is>
          <t xml:space="preserve">CONTRALORIA GENERAL DE LA REPUBLICA</t>
        </is>
      </c>
      <c r="E28" s="0" t="inlineStr">
        <is>
          <t xml:space="preserve">Contraloría General de la República</t>
        </is>
      </c>
      <c r="F28" s="0" t="inlineStr">
        <is>
          <t xml:space="preserve">Región Metropolitana de Santiago</t>
        </is>
      </c>
      <c r="G28" s="0"/>
      <c r="H28" s="2">
        <v>46280.66125</v>
      </c>
      <c r="I28" s="2">
        <v>46300.666667</v>
      </c>
      <c r="J28" s="0">
        <v>5</v>
      </c>
      <c r="K28" s="3">
        <v>11000000.0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50 Unidad · Software de gestión de licencias</t>
        </is>
      </c>
      <c r="P28" s="2"/>
      <c r="Q28" s="2"/>
      <c r="R28" s="0" t="inlineStr">
        <is>
          <t xml:space="preserve">12 meses</t>
        </is>
      </c>
      <c r="S28" s="0" t="inlineStr">
        <is>
          <t xml:space="preserve">No</t>
        </is>
      </c>
      <c r="T28" s="4"/>
      <c r="U28" s="0" t="inlineStr">
        <is>
          <t xml:space="preserve">Irma del Carmen Garcés Ramírez</t>
        </is>
      </c>
      <c r="V28" s="4" t="inlineStr">
        <is>
          <t xml:space="preserve">La Contraloría General de la República llama a presentar ofertas para la adquisición de 50 (cincuenta) licencias de software Acrobat Pro-DC for teams ALL MP MLA Team Licensing por un período de 12 meses.</t>
        </is>
      </c>
      <c r="W28" s="5" t="str">
        <f>HYPERLINK("https://www.mercadopublico.cl/Procurement/Modules/Attachment/ViewAttachment.aspx?enc=Es1FpGyNxeB%2bV74pMc7nrbVH3NCB0ANsmAuCfLjj%2fslKyGy7%2bZTKh49%2bZFMucj5pE8%2fUpqzK%2fKoa7iskj6zcNzHnJaWFo%2fag2e1JGpLo0C%2ftP7s65Yj5EWz0h60BBB7I%2frqJA3kPJSDyfsZkx9M1GMpofswuCgxT27FsH7BxbwKd9OgWrNh8bipGeq1fGV5ITKW2bg3MPQoOf5IBZUU9l7a7Ka5fB2ZiwDZtsdTMTeJh1p1uWSKoX2Imjj4kGbG3NHPBIEV5E%2fURCOPaDfoSl1786P6XI6j52cFxeTjftFSs%2fDg330i2AYl30nmStGlK","descargar bases")</f>
      </c>
    </row>
    <row r="29">
      <c r="A29" s="0" t="inlineStr">
        <is>
          <t xml:space="preserve">1456836-4-LP26</t>
        </is>
      </c>
      <c r="B29" s="4" t="inlineStr">
        <is>
          <t xml:space="preserve">Software de Gestión de Personas y Remuneraciones</t>
        </is>
      </c>
      <c r="C29" s="0" t="inlineStr">
        <is>
          <t xml:space="preserve">Publicada</t>
        </is>
      </c>
      <c r="D29" s="0" t="inlineStr">
        <is>
          <t xml:space="preserve">SERVICIO LOCAL DE EDUCACIÓN PÚBLICA HANGA ROA</t>
        </is>
      </c>
      <c r="E29" s="0" t="inlineStr">
        <is>
          <t xml:space="preserve">SERVICIO LOCAL DE EDUCACIÓN PÚBLICA HANGA ROA</t>
        </is>
      </c>
      <c r="F29" s="0" t="inlineStr">
        <is>
          <t xml:space="preserve">Región de Valparaíso </t>
        </is>
      </c>
      <c r="G29" s="0" t="inlineStr">
        <is>
          <t xml:space="preserve">Isla De Pascua</t>
        </is>
      </c>
      <c r="H29" s="2">
        <v>46279.858738</v>
      </c>
      <c r="I29" s="2">
        <v>46300.708333</v>
      </c>
      <c r="J29" s="0">
        <v>5</v>
      </c>
      <c r="K29" s="3"/>
      <c r="L29" s="0" t="inlineStr">
        <is>
          <t xml:space="preserve">CLP</t>
        </is>
      </c>
      <c r="M29" s="0" t="inlineStr">
        <is>
          <t xml:space="preserve">LP</t>
        </is>
      </c>
      <c r="N29" s="4" t="inlineStr">
        <is>
          <t xml:space="preserve">Tecnologías de la información, telecomunicaciones y radiodifusión / Software / Software de gestión</t>
        </is>
      </c>
      <c r="O29" s="4" t="inlineStr">
        <is>
          <t xml:space="preserve">1 Global · Software de gestión de recursos humanos · 1 Global · Software de gestión de recursos humanos</t>
        </is>
      </c>
      <c r="P29" s="2"/>
      <c r="Q29" s="2"/>
      <c r="R29" s="0" t="inlineStr">
        <is>
          <t xml:space="preserve">24 meses</t>
        </is>
      </c>
      <c r="S29" s="0" t="inlineStr">
        <is>
          <t xml:space="preserve">No</t>
        </is>
      </c>
      <c r="T29" s="4" t="inlineStr">
        <is>
          <t xml:space="preserve">De acuerdo con el numeral 13.1 de las bases, el adjudicatario no podrá subcontratar los servicios de que trata esta licitación.</t>
        </is>
      </c>
      <c r="U29" s="0" t="inlineStr">
        <is>
          <t xml:space="preserve">Merahi Hito Solar</t>
        </is>
      </c>
      <c r="V29" s="4" t="inlineStr">
        <is>
          <t xml:space="preserve">Servicio de arriendo de Software de Gestión de Personas y Remuneraciones para el Servicio Local de Educación Pública Hanga Roa.</t>
        </is>
      </c>
      <c r="W29" s="5" t="str">
        <f>HYPERLINK("https://www.mercadopublico.cl/Procurement/Modules/Attachment/ViewAttachment.aspx?enc=NoQsEedruXfYdDwwHrt9Jg8xYCIhM0fxWtn7eVkwItdsmYITEsrVT1thjl0IogsHReYqJVX6CdDIbEfv7KMFUr5E9YoA3gwsUhctJQcvIVqwSkg9ZeJMPGZcSk1OuLid4Dmgl4CJUs6nhgHPW%2fOI4VU4o0xOVnakcISYPgAMHY34Ld%2fpWztpSkW4pr7lre8vWj5p0OWJG1LaX01%2fet3IHOnionwzSNaqNDFx92N%2bpHpWJCBrWlTqPlAzfOnOJcgbe5JrwjPJSyWu3y0uusklF%2bfJgUOpXFsDEA51VpfB6ctPBUGoL67xfW1rTgYQInN%2f","descargar bases")</f>
      </c>
    </row>
    <row r="30">
      <c r="A30" s="0" t="inlineStr">
        <is>
          <t xml:space="preserve">3666-12-LE26</t>
        </is>
      </c>
      <c r="B30" s="4" t="inlineStr">
        <is>
          <t xml:space="preserve">GESTION DOCUMENTAL Y DIGITAL MUNICIPALIDAD TILTIL</t>
        </is>
      </c>
      <c r="C30" s="0" t="inlineStr">
        <is>
          <t xml:space="preserve">Publicada</t>
        </is>
      </c>
      <c r="D30" s="0" t="inlineStr">
        <is>
          <t xml:space="preserve">I MUNICIPALIDAD DE TIL TIL</t>
        </is>
      </c>
      <c r="E30" s="0" t="inlineStr">
        <is>
          <t xml:space="preserve">Secretaria Comunal Planificacion</t>
        </is>
      </c>
      <c r="F30" s="0" t="inlineStr">
        <is>
          <t xml:space="preserve">Región Metropolitana de Santiago</t>
        </is>
      </c>
      <c r="G30" s="0" t="inlineStr">
        <is>
          <t xml:space="preserve">Til Til</t>
        </is>
      </c>
      <c r="H30" s="2">
        <v>46275.561111</v>
      </c>
      <c r="I30" s="2">
        <v>46300.708333</v>
      </c>
      <c r="J30" s="0">
        <v>5</v>
      </c>
      <c r="K30" s="3">
        <v>58000000.0</v>
      </c>
      <c r="L30" s="0" t="inlineStr">
        <is>
          <t xml:space="preserve">CLP</t>
        </is>
      </c>
      <c r="M30" s="0" t="inlineStr">
        <is>
          <t xml:space="preserve">LE</t>
        </is>
      </c>
      <c r="N30" s="4" t="inlineStr">
        <is>
          <t xml:space="preserve">Tecnologías de la información, telecomunicaciones y radiodifusión / Software / Software de gestión de contenidos</t>
        </is>
      </c>
      <c r="O30" s="4" t="inlineStr">
        <is>
          <t xml:space="preserve">1 Unidad · Programas de gestión de documentos</t>
        </is>
      </c>
      <c r="P30" s="2"/>
      <c r="Q30" s="2"/>
      <c r="R30" s="0" t="inlineStr">
        <is>
          <t xml:space="preserve">24 meses</t>
        </is>
      </c>
      <c r="S30" s="0" t="inlineStr">
        <is>
          <t xml:space="preserve">No</t>
        </is>
      </c>
      <c r="T30" s="4"/>
      <c r="U30" s="0" t="inlineStr">
        <is>
          <t xml:space="preserve">Diego Caballero Tapia</t>
        </is>
      </c>
      <c r="V30"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30" s="5" t="str">
        <f>HYPERLINK("https://www.mercadopublico.cl/Procurement/Modules/Attachment/ViewAttachment.aspx?enc=EOBagJ4YMK5vxUFcM8Wp2I6V1tui91esmE5mPK%2bhFrA2qgA0UKj%2frepOwU3KLncZmkEBf%2fGhJ30sWtcSucDCEkYFL6szQnnXpmuLK8H7MQQ5xFBLbQ%2beR7bBfce63c74l8uAet9Py026YeDB7ck%2f04GB6qMPlWHhcT%2fEozympeXZofL4dv0rjPup%2fO9P9VE3XqgO%2f9NXFd9IUlRPLOt4TDOtDYuwYaWesg19o8vAfg7fyEFSwpPnstb0TylyjQT8XTU5hJDNfC2yWPVOCwHN%2f5AT6Nq6%2f688DJWN8LcunzIFPmKb7PHva%2fO9dxq6scPc","descargar bases")</f>
      </c>
    </row>
    <row r="31">
      <c r="A31" s="0" t="inlineStr">
        <is>
          <t xml:space="preserve">1663-148-LE26</t>
        </is>
      </c>
      <c r="B31" s="4" t="inlineStr">
        <is>
          <t xml:space="preserve">CARROS INFORMATICOS CLINICOS</t>
        </is>
      </c>
      <c r="C31" s="0" t="inlineStr">
        <is>
          <t xml:space="preserve">Publicada</t>
        </is>
      </c>
      <c r="D31" s="0" t="inlineStr">
        <is>
          <t xml:space="preserve">SERVICIO DE SALUD CHILOE</t>
        </is>
      </c>
      <c r="E31" s="0" t="inlineStr">
        <is>
          <t xml:space="preserve">Hospital de Quellón</t>
        </is>
      </c>
      <c r="F31" s="0" t="inlineStr">
        <is>
          <t xml:space="preserve">Región de los Lagos </t>
        </is>
      </c>
      <c r="G31" s="0"/>
      <c r="H31" s="2">
        <v>46288.409525</v>
      </c>
      <c r="I31" s="2">
        <v>46300.708333</v>
      </c>
      <c r="J31" s="0">
        <v>5</v>
      </c>
      <c r="K31" s="3"/>
      <c r="L31" s="0" t="inlineStr">
        <is>
          <t xml:space="preserve">CLP</t>
        </is>
      </c>
      <c r="M31" s="0" t="inlineStr">
        <is>
          <t xml:space="preserve">LE</t>
        </is>
      </c>
      <c r="N31" s="4" t="inlineStr">
        <is>
          <t xml:space="preserve">Artículos de fabricación y producción / Artículos de ferretería / Accesorios de Ferretería</t>
        </is>
      </c>
      <c r="O31" s="4" t="inlineStr">
        <is>
          <t xml:space="preserve">7 Unidad · Estantes de montaje</t>
        </is>
      </c>
      <c r="P31" s="2"/>
      <c r="Q31" s="2"/>
      <c r="R31" s="0"/>
      <c r="S31" s="0" t="inlineStr">
        <is>
          <t xml:space="preserve">No</t>
        </is>
      </c>
      <c r="T31" s="4"/>
      <c r="U31" s="0" t="inlineStr">
        <is>
          <t xml:space="preserve">CARLOS CORTEZ ALVAREZ</t>
        </is>
      </c>
      <c r="V31" s="4" t="inlineStr">
        <is>
          <t xml:space="preserve">EL HOSPITAL DE QUELLON REQUIERE LA COMPRA DE CARROS INFORMATICOS PARA USO EN AREAS CLINICAS EN LA ATENCION DE PACIENTES</t>
        </is>
      </c>
      <c r="W31" s="5" t="str">
        <f>HYPERLINK("https://www.mercadopublico.cl/Procurement/Modules/Attachment/ViewAttachment.aspx?enc=R7eCpYvqmz1mzRSWsT1rvZprz07ptkrhT2WG%2finDy8eB7VA8XWN%2b8q9uXnle2s6qjV5bgleQUvPX1wD%2f3Ql2g7gnZmlggPVyzk52ntRgUhrR%2bc9FGbOzzP2ayNZjpeLpk50uxQLPiyUS7JSkFEvxQ0qK28L4lwc9FWTTDQfTRvIQsh6CD2m86m%2fIljmITQllRgAE%2bEf5xQmS9V1OC9KeqEw89mEnwo5p01jgeljyT%2bxcF9kGSVl1k6rhbt1vL9nWAqJGFQENbcowUF6iuKqUPJTI5BbJxufjnhvToiQ639n4sSqJk%2b%2f4mkDykPfuZYco","descargar bases")</f>
      </c>
    </row>
    <row r="32">
      <c r="A32" s="0" t="inlineStr">
        <is>
          <t xml:space="preserve">1013353-38-LE26</t>
        </is>
      </c>
      <c r="B32" s="4" t="inlineStr">
        <is>
          <t xml:space="preserve">Normalización y soporte de la infra. de Red Datos.</t>
        </is>
      </c>
      <c r="C32" s="0" t="inlineStr">
        <is>
          <t xml:space="preserve">Publicada</t>
        </is>
      </c>
      <c r="D32" s="0" t="inlineStr">
        <is>
          <t xml:space="preserve">SERVICIO LOCAL DE EDUCACION LAS BARRANCAS</t>
        </is>
      </c>
      <c r="E32" s="0" t="inlineStr">
        <is>
          <t xml:space="preserve">SERVICIO EDUCATIVO PROGRAMA 2</t>
        </is>
      </c>
      <c r="F32" s="0" t="inlineStr">
        <is>
          <t xml:space="preserve">Región Metropolitana de Santiago</t>
        </is>
      </c>
      <c r="G32" s="0" t="inlineStr">
        <is>
          <t xml:space="preserve">Pudahuel</t>
        </is>
      </c>
      <c r="H32" s="2">
        <v>46290.506887</v>
      </c>
      <c r="I32" s="2">
        <v>46300.75</v>
      </c>
      <c r="J32" s="0">
        <v>5</v>
      </c>
      <c r="K32" s="3"/>
      <c r="L32" s="0" t="inlineStr">
        <is>
          <t xml:space="preserve">CLP</t>
        </is>
      </c>
      <c r="M32" s="0" t="inlineStr">
        <is>
          <t xml:space="preserve">LE</t>
        </is>
      </c>
      <c r="N32" s="4" t="inlineStr">
        <is>
          <t xml:space="preserve">Servicios basados en ingeniería, ciencias sociales y tecnología de la información / Servicios informáticos / Administración de sistemas</t>
        </is>
      </c>
      <c r="O32" s="4" t="inlineStr">
        <is>
          <t xml:space="preserve">1 Unidad · Soporte y mantenimiento de red de área local (LAN)</t>
        </is>
      </c>
      <c r="P32" s="2"/>
      <c r="Q32" s="2"/>
      <c r="R32" s="0"/>
      <c r="S32" s="0" t="inlineStr">
        <is>
          <t xml:space="preserve">No</t>
        </is>
      </c>
      <c r="T32" s="4"/>
      <c r="U32" s="0" t="inlineStr">
        <is>
          <t xml:space="preserve">Unidad de Tecnologías de la Información</t>
        </is>
      </c>
      <c r="V3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backbone de fibra óptica, equipamiento activo de red, red inalámbrica, configuración y relación de pruebas y puesta en marcha, junto con el servicio de garantía de los trabajos realizados por un período de 12 meses desde la fecha de recepción de los mismos.</t>
        </is>
      </c>
      <c r="W32" s="5" t="str">
        <f>HYPERLINK("https://www.mercadopublico.cl/Procurement/Modules/Attachment/ViewAttachment.aspx?enc=SIy%2bP7OedjVGv4puisypgYnYf572O3Cs1IHNRjjVziAe6hwWWJ%2fo1NK51HEN2xX%2bLgtOctEnQWGGHNiyD%2bbDJ9QOJtStXdyRM8yW7j7p42LeSNvs7AnH7dOLpQlYiFr5Oukg3IGx4Tc024WUejhYRYmbsILhT7m69GHZ32ek9glX0QnAxKQlLf0rstKwNNztQxZ%2bcd84VZxrymcxcALknZTYc50CSejkh%2bsu3TtcXoXgseReloLJU89Rx7iykIEd7%2fQPqYzPmxKyJURStcp3v0U6%2fUA3zg%2bXLjswqO6jUHj84uSMiJoi3ViNdwgx%2bMBY","descargar bases")</f>
      </c>
    </row>
    <row r="33">
      <c r="A33" s="0" t="inlineStr">
        <is>
          <t xml:space="preserve">612-37-LE26</t>
        </is>
      </c>
      <c r="B33" s="4" t="inlineStr">
        <is>
          <t xml:space="preserve">Adquisición registradores de datos con sensores</t>
        </is>
      </c>
      <c r="C33" s="0" t="inlineStr">
        <is>
          <t xml:space="preserve">Publicada</t>
        </is>
      </c>
      <c r="D33" s="0" t="inlineStr">
        <is>
          <t xml:space="preserve">SERVICIO AGRICOLA Y GANADERO</t>
        </is>
      </c>
      <c r="E33" s="0" t="inlineStr">
        <is>
          <t xml:space="preserve">Servicio Agricola y Ganadero (SAG central)</t>
        </is>
      </c>
      <c r="F33" s="0" t="inlineStr">
        <is>
          <t xml:space="preserve">Región Metropolitana de Santiago</t>
        </is>
      </c>
      <c r="G33" s="0" t="inlineStr">
        <is>
          <t xml:space="preserve">Santiago</t>
        </is>
      </c>
      <c r="H33" s="2">
        <v>46290.696192</v>
      </c>
      <c r="I33" s="2">
        <v>46300.833333</v>
      </c>
      <c r="J33" s="0">
        <v>5</v>
      </c>
      <c r="K33" s="3">
        <v>69000000.0</v>
      </c>
      <c r="L33" s="0" t="inlineStr">
        <is>
          <t xml:space="preserve">CLP</t>
        </is>
      </c>
      <c r="M33" s="0" t="inlineStr">
        <is>
          <t xml:space="preserve">LE</t>
        </is>
      </c>
      <c r="N33" s="4" t="inlineStr">
        <is>
          <t xml:space="preserve">Tecnologías de la información, telecomunicaciones y radiodifusión / Componentes para tecnología de la información, difusión o telecomunicaciones / Módulos, interfaces, procesadores y placas de sistema</t>
        </is>
      </c>
      <c r="O33" s="4" t="inlineStr">
        <is>
          <t xml:space="preserve">42 Unidad · Dispositivo de sincronización de paquetes de datos de red</t>
        </is>
      </c>
      <c r="P33" s="2"/>
      <c r="Q33" s="2"/>
      <c r="R33" s="0" t="inlineStr">
        <is>
          <t xml:space="preserve">12 meses</t>
        </is>
      </c>
      <c r="S33" s="0" t="inlineStr">
        <is>
          <t xml:space="preserve">No</t>
        </is>
      </c>
      <c r="T33" s="4"/>
      <c r="U33" s="0" t="inlineStr">
        <is>
          <t xml:space="preserve">Victoria Hernández</t>
        </is>
      </c>
      <c r="V33" s="4" t="inlineStr">
        <is>
          <t xml:space="preserve">Uno de los requerimientos fundamentales para este departamento es contar con tecnología de punta como el uso de sensores de temperatura de aire, humedad, suelo y viento con transmisión de datos que permitan obtener información precisa en áreas específicas donde se requiera calcular el tiempo térmico acumulado grados-día, y zonas de dispersión como estrategia de erradicación de focos de mosca de la fruta.</t>
        </is>
      </c>
      <c r="W33" s="5" t="str">
        <f>HYPERLINK("https://www.mercadopublico.cl/Procurement/Modules/Attachment/ViewAttachment.aspx?enc=6MFGMQhnONlH4J%2fx91yxw3P%2fJzLew3UjtC%2fbKFBDo8o1MvS9eua6Ku6UJqkeOXarNLtLLyhqw1%2bOk1iv1mmizKJh8yXXDlg4jZXfuGp02RRt8POV1SBXR%2fqGEH6vPHbU%2b0oK1HR50ipItKBK6Rfa2GTaoYxZK4JS0c9mwTbBB%2b6gHwi4XalKyOfw8lUm2gy7BJcZ%2fMDqjLgPOmNCPGjw51Tkior93%2bsVI3kbowdluBdUkjIr87XdFq4TtS%2byoM2ajDRCOPJZ3dmt9OkiL4tJGUoE9JnNGy1O2si8VMoYD%2fQHIaSsNC4FNX%2bzYliUeqc3","descargar bases")</f>
      </c>
    </row>
    <row r="34">
      <c r="A34" s="0" t="inlineStr">
        <is>
          <t xml:space="preserve">5586-148-LE26</t>
        </is>
      </c>
      <c r="B34" s="4" t="inlineStr">
        <is>
          <t xml:space="preserve">JG ADQUISICIÓN E IMPLEMENTACIÓN DE SOFTWARE DE GESTIÓN CLÍNICA ADMINISTRATIVA FINANCIERA Y CONTACT CENTER CON INTELIGENCIA ARTIFICIAL</t>
        </is>
      </c>
      <c r="C34" s="0" t="inlineStr">
        <is>
          <t xml:space="preserve">Publicada</t>
        </is>
      </c>
      <c r="D34" s="0" t="inlineStr">
        <is>
          <t xml:space="preserve">UNIVERSIDAD DE LA FRONTERA</t>
        </is>
      </c>
      <c r="E34" s="0" t="inlineStr">
        <is>
          <t xml:space="preserve">Universidad de la Frontera</t>
        </is>
      </c>
      <c r="F34" s="0" t="inlineStr">
        <is>
          <t xml:space="preserve">Región de la Araucanía </t>
        </is>
      </c>
      <c r="G34" s="0" t="inlineStr">
        <is>
          <t xml:space="preserve">Temuco</t>
        </is>
      </c>
      <c r="H34" s="2">
        <v>46288.725208</v>
      </c>
      <c r="I34" s="2">
        <v>46301.375</v>
      </c>
      <c r="J34" s="0">
        <v>6</v>
      </c>
      <c r="K34" s="3">
        <v>9500000.0</v>
      </c>
      <c r="L34" s="0" t="inlineStr">
        <is>
          <t xml:space="preserve">CLP</t>
        </is>
      </c>
      <c r="M34" s="0" t="inlineStr">
        <is>
          <t xml:space="preserve">LE</t>
        </is>
      </c>
      <c r="N34" s="4" t="inlineStr">
        <is>
          <t xml:space="preserve">Tecnologías de la información, telecomunicaciones y radiodifusión / Software / Software de aplicaciones de red</t>
        </is>
      </c>
      <c r="O34" s="4" t="inlineStr">
        <is>
          <t xml:space="preserve">1 Global · Software de servidor de aplicaciones</t>
        </is>
      </c>
      <c r="P34" s="2"/>
      <c r="Q34" s="2"/>
      <c r="R34" s="0" t="inlineStr">
        <is>
          <t xml:space="preserve">12 meses</t>
        </is>
      </c>
      <c r="S34" s="0" t="inlineStr">
        <is>
          <t xml:space="preserve">No</t>
        </is>
      </c>
      <c r="T34" s="4"/>
      <c r="U34" s="0" t="inlineStr">
        <is>
          <t xml:space="preserve">RAUL VEGA GALLEGOS</t>
        </is>
      </c>
      <c r="V34" s="4" t="inlineStr">
        <is>
          <t xml:space="preserve">ADQUISICIÓN E IMPLEMENTACIÓN DE SOFTWARE DE GESTIÓN CLÍNICA, ADMINISTRATIVA, FINANCIERA Y CONTACT CENTER CON INTELIGENCIA ARTIFICIAL.</t>
        </is>
      </c>
      <c r="W34"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35">
      <c r="A35" s="0" t="inlineStr">
        <is>
          <t xml:space="preserve">1810-5-L126</t>
        </is>
      </c>
      <c r="B35" s="4" t="inlineStr">
        <is>
          <t xml:space="preserve">SERVICIO DE PLAN DE DATOS PARA ENCUESTA ENE</t>
        </is>
      </c>
      <c r="C35" s="0" t="inlineStr">
        <is>
          <t xml:space="preserve">Publicada</t>
        </is>
      </c>
      <c r="D35" s="0" t="inlineStr">
        <is>
          <t xml:space="preserve">INSTITUTO NACIONAL DE ESTADISTICAS</t>
        </is>
      </c>
      <c r="E35" s="0" t="inlineStr">
        <is>
          <t xml:space="preserve">INE -  X Región</t>
        </is>
      </c>
      <c r="F35" s="0" t="inlineStr">
        <is>
          <t xml:space="preserve">Región de los Lagos </t>
        </is>
      </c>
      <c r="G35" s="0" t="inlineStr">
        <is>
          <t xml:space="preserve">Puerto Montt</t>
        </is>
      </c>
      <c r="H35" s="2">
        <v>46290.628692</v>
      </c>
      <c r="I35" s="2">
        <v>46301.625</v>
      </c>
      <c r="J35" s="0">
        <v>6</v>
      </c>
      <c r="K35" s="3">
        <v>1276800.0</v>
      </c>
      <c r="L35" s="0" t="inlineStr">
        <is>
          <t xml:space="preserve">CLP</t>
        </is>
      </c>
      <c r="M35" s="0" t="inlineStr">
        <is>
          <t xml:space="preserve">L1</t>
        </is>
      </c>
      <c r="N35" s="4" t="inlineStr">
        <is>
          <t xml:space="preserve">Tecnologías de la información, telecomunicaciones y radiodifusión / Software / Software de intercambio de información</t>
        </is>
      </c>
      <c r="O35" s="4" t="inlineStr">
        <is>
          <t xml:space="preserve">19 Unidad · Software de servicios de Internet por móvil</t>
        </is>
      </c>
      <c r="P35" s="2"/>
      <c r="Q35" s="2"/>
      <c r="R35" s="0"/>
      <c r="S35" s="0" t="inlineStr">
        <is>
          <t xml:space="preserve">No</t>
        </is>
      </c>
      <c r="T35" s="4"/>
      <c r="U35" s="0"/>
      <c r="V35" s="4" t="inlineStr">
        <is>
          <t xml:space="preserve">El Instituto Nacional de Estadísticas es un servicio público funcionalmente descentralizado, encargado de generar las estadísticas oficiales del país y de articular el Sistema Estadístico Nacional. En este contexto, se hace necesario contratar un servicio de planes de telefonía y datos móviles por un periodo de 12 meses, que permita asegurar la continuidad operativa del trabajo en terreno.</t>
        </is>
      </c>
      <c r="W35" s="5" t="str">
        <f>HYPERLINK("https://www.mercadopublico.cl/Procurement/Modules/Attachment/ViewAttachment.aspx?enc=3TQc4OqUCbDAIjkiegEp2uUxnWQvVvfYvBdKuW66nLAGjaWW0Clz0RrU8UQYWfhg2xrfXod8fPZxvTJKChnNKpGs5Sgcz%2bd7SMXxXBDFEuL53MbnhP64FTT5CcAR3tJWWZhntUKvKwO2l6LMNcdfFJlX%2fqyCteFiMJyUhppUn%2bA9Z3Pq7CixkUxJELRdgEoL%2bYuoY3o7aOhs1i9m1OMpRoLT4b2FdoTjqkvqt5RN%2bJPLT7rxp1ELyjfEK%2f0ISVYIvXekyaPRakJ%2fz4oJpIVtW0%2fVw1b21bN4hSswWT3%2bvHmkZHRW84%2f7IPkMN0%2bCpa%2fb","descargar bases")</f>
      </c>
    </row>
    <row r="36">
      <c r="A36" s="0" t="inlineStr">
        <is>
          <t xml:space="preserve">2448-137-L126</t>
        </is>
      </c>
      <c r="B36" s="4" t="inlineStr">
        <is>
          <t xml:space="preserve">CUPOS PARA CURSO - TALLER DE DATOS USANDO IA</t>
        </is>
      </c>
      <c r="C36" s="0" t="inlineStr">
        <is>
          <t xml:space="preserve">Publicada</t>
        </is>
      </c>
      <c r="D36" s="0" t="inlineStr">
        <is>
          <t xml:space="preserve">I MUNICIPALIDAD DE COQUIMBO</t>
        </is>
      </c>
      <c r="E36" s="0" t="inlineStr">
        <is>
          <t xml:space="preserve">Departamento de Salud</t>
        </is>
      </c>
      <c r="F36" s="0" t="inlineStr">
        <is>
          <t xml:space="preserve">Región de Coquimbo </t>
        </is>
      </c>
      <c r="G36" s="0" t="inlineStr">
        <is>
          <t xml:space="preserve">Coquimbo</t>
        </is>
      </c>
      <c r="H36" s="2">
        <v>46293.52735</v>
      </c>
      <c r="I36" s="2">
        <v>46301.625</v>
      </c>
      <c r="J36" s="0">
        <v>6</v>
      </c>
      <c r="K36" s="3">
        <v>5000000.0</v>
      </c>
      <c r="L36" s="0" t="inlineStr">
        <is>
          <t xml:space="preserve">CLP</t>
        </is>
      </c>
      <c r="M36" s="0" t="inlineStr">
        <is>
          <t xml:space="preserve">L1</t>
        </is>
      </c>
      <c r="N36" s="4" t="inlineStr">
        <is>
          <t xml:space="preserve">Educación, formación, entrenamiento y capacitación / Sistemas educativos complementarios / Educación de adultos</t>
        </is>
      </c>
      <c r="O36" s="4" t="inlineStr">
        <is>
          <t xml:space="preserve">40 Unidad · Capacitación a empleados</t>
        </is>
      </c>
      <c r="P36" s="2"/>
      <c r="Q36" s="2"/>
      <c r="R36" s="0"/>
      <c r="S36" s="0" t="inlineStr">
        <is>
          <t xml:space="preserve">No</t>
        </is>
      </c>
      <c r="T36" s="4"/>
      <c r="U36" s="0"/>
      <c r="V36" s="4" t="inlineStr">
        <is>
          <t xml:space="preserve">CUPOS PARA CURSO - TALLER DE DATOS USANDO IA</t>
        </is>
      </c>
      <c r="W36" s="5" t="str">
        <f>HYPERLINK("https://www.mercadopublico.cl/Procurement/Modules/Attachment/ViewAttachment.aspx?enc=DsdZTT8uEfHf%2bnTq0q8r7kIQdG%2fOieSJcQjI4MG0R307TZvmTXO%2bFeqBZ1rPHGptRohQ%2bgEiLWlDpBd%2foJ3t70UhAIQCk04ktLhYY6pFISKN2xp5Zj%2fh66DH5r7L9rjOpawpPPw4CO3JrOiqPQyU54JJ%2bPxD%2fcgdnjfk3kShColcLHgemlqpbHlnxOXF6yMJLwVzj3cZ9r4soBHPioJoaQ7mQp%2fvSDsnNZUoMpoK1yD3v0Tnolt2oqZ6uJWTFchYp2dHn6KM7Dr9W10seC1zu2Wp90KO5BWi5hJpEhAfW1MFnhzQe9JgzUH7kYhXrY4a","descargar bases")</f>
      </c>
    </row>
    <row r="37">
      <c r="A37" s="0" t="inlineStr">
        <is>
          <t xml:space="preserve">2981-270-LE26</t>
        </is>
      </c>
      <c r="B37" s="4" t="inlineStr">
        <is>
          <t xml:space="preserve">ADQUISICIÓN DE 100 GPS TRACKER CON PLATAFORMA INTEGRADA GEOESPACIAL Y DE TRAZABILIDAD Y SU RESPECTIVO EQUIPAMIENTO EJECUCIÓN DEL PLAN CALLE SIN VIOLENCIA</t>
        </is>
      </c>
      <c r="C37" s="0" t="inlineStr">
        <is>
          <t xml:space="preserve">Publicada</t>
        </is>
      </c>
      <c r="D37" s="0" t="inlineStr">
        <is>
          <t xml:space="preserve">POLICIA DE INVESTIGACIONES DE CHILE</t>
        </is>
      </c>
      <c r="E37" s="0" t="inlineStr">
        <is>
          <t xml:space="preserve">DEPARTAMENTO ADMINISTRATIVO</t>
        </is>
      </c>
      <c r="F37" s="0" t="inlineStr">
        <is>
          <t xml:space="preserve">Región Metropolitana de Santiago</t>
        </is>
      </c>
      <c r="G37" s="0" t="inlineStr">
        <is>
          <t xml:space="preserve">Santiago Centro</t>
        </is>
      </c>
      <c r="H37" s="2">
        <v>46289.418947</v>
      </c>
      <c r="I37" s="2">
        <v>46301.625</v>
      </c>
      <c r="J37" s="0">
        <v>6</v>
      </c>
      <c r="K37" s="3">
        <v>26036596.0</v>
      </c>
      <c r="L37" s="0" t="inlineStr">
        <is>
          <t xml:space="preserve">CLP</t>
        </is>
      </c>
      <c r="M37" s="0" t="inlineStr">
        <is>
          <t xml:space="preserve">LE</t>
        </is>
      </c>
      <c r="N37" s="4" t="inlineStr">
        <is>
          <t xml:space="preserve">Muebles, accesorios, electrodomésticos y productos electrónicos / Equipos y accesorios audiovisuales / Equipos audiovisuales y de electrónica menor</t>
        </is>
      </c>
      <c r="O37" s="4" t="inlineStr">
        <is>
          <t xml:space="preserve">100 Unidad · Receptores GPS</t>
        </is>
      </c>
      <c r="P37" s="2"/>
      <c r="Q37" s="2"/>
      <c r="R37" s="0"/>
      <c r="S37" s="0" t="inlineStr">
        <is>
          <t xml:space="preserve">No</t>
        </is>
      </c>
      <c r="T37" s="4" t="inlineStr">
        <is>
          <t xml:space="preserve">SEGÚN ART. 51 DE RESOLEX N°794 DE 23.SEP.026, DEPADM</t>
        </is>
      </c>
      <c r="U37" s="0" t="inlineStr">
        <is>
          <t xml:space="preserve">DAYANA MORI GONZALEZ</t>
        </is>
      </c>
      <c r="V37" s="4" t="inlineStr">
        <is>
          <t xml:space="preserve">ADQUISICIÓN DE 100 GPS TRACKER CON PLATAFORMA INTEGRADA GEOESPACIAL Y DE TRAZABILIDAD Y SU RESPECTIVO EQUIPAMIENTO EJECUCIÓN DEL PLAN CALLE SIN VIOLENCIA</t>
        </is>
      </c>
      <c r="W37"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38">
      <c r="A38" s="0" t="inlineStr">
        <is>
          <t xml:space="preserve">548874-77-LR26</t>
        </is>
      </c>
      <c r="B38" s="4" t="inlineStr">
        <is>
          <t xml:space="preserve">MANTENCIÓN Y MEJORA SISTEMA CIBERSEGURIDAD NCH ISO</t>
        </is>
      </c>
      <c r="C38" s="0" t="inlineStr">
        <is>
          <t xml:space="preserve">Publicada</t>
        </is>
      </c>
      <c r="D38" s="0" t="inlineStr">
        <is>
          <t xml:space="preserve">INSTITUTO DE PREVISION SOCIAL</t>
        </is>
      </c>
      <c r="E38" s="0" t="inlineStr">
        <is>
          <t xml:space="preserve">IPS Oficina Central de Compras</t>
        </is>
      </c>
      <c r="F38" s="0" t="inlineStr">
        <is>
          <t xml:space="preserve">Región Metropolitana de Santiago</t>
        </is>
      </c>
      <c r="G38" s="0" t="inlineStr">
        <is>
          <t xml:space="preserve">Santiago</t>
        </is>
      </c>
      <c r="H38" s="2">
        <v>46265.660069</v>
      </c>
      <c r="I38" s="2">
        <v>46301.625</v>
      </c>
      <c r="J38" s="0">
        <v>6</v>
      </c>
      <c r="K38" s="3">
        <v>11000.0</v>
      </c>
      <c r="L38" s="0" t="inlineStr">
        <is>
          <t xml:space="preserve">CLF</t>
        </is>
      </c>
      <c r="M38" s="0" t="inlineStr">
        <is>
          <t xml:space="preserve">LR</t>
        </is>
      </c>
      <c r="N38" s="4" t="inlineStr">
        <is>
          <t xml:space="preserve">Tecnologías de la información, telecomunicaciones y radiodifusión / Software / Software de seguridad y protección</t>
        </is>
      </c>
      <c r="O38" s="4" t="inlineStr">
        <is>
          <t xml:space="preserve">1 Global · Software de administración de red privada virtual (VPN) o de seguridad de red</t>
        </is>
      </c>
      <c r="P38" s="2"/>
      <c r="Q38" s="2"/>
      <c r="R38" s="0" t="inlineStr">
        <is>
          <t xml:space="preserve">24 meses</t>
        </is>
      </c>
      <c r="S38" s="0" t="inlineStr">
        <is>
          <t xml:space="preserve">No</t>
        </is>
      </c>
      <c r="T38" s="4" t="inlineStr">
        <is>
          <t xml:space="preserve">Ver bases punto 16</t>
        </is>
      </c>
      <c r="U38" s="0" t="inlineStr">
        <is>
          <t xml:space="preserve">por definir</t>
        </is>
      </c>
      <c r="V38" s="4" t="inlineStr">
        <is>
          <t xml:space="preserve">E1O2RT8 - SERVICIO DE MANTENCIÓN Y MEJORA DEL SISTEMA DE GESTIÓN DE SEGURIDAD DE LA INFORMACIÓN Y CIBERSEGURIDAD INSTITUCIONAL NCH ISOIEC 27001</t>
        </is>
      </c>
      <c r="W38" s="5" t="str">
        <f>HYPERLINK("https://www.mercadopublico.cl/Procurement/Modules/Attachment/ViewAttachment.aspx?enc=ZbCrvwiGYlsd%2fd8zk3DoC7%2bQk47m6Tqk2dituoqsEwyhxJ8G4BWVXLxAOywO3FBxZVbe%2fx%2bpOz%2fju5JhKl%2fhgJn9PA1uPfZ0flesQX29metWKP4KjLkty6Wk0ojXvKiEHO8tPloDxb5bB94k9MMIb5gbf%2fwkU83Ld1SCgXpBQjBnsXty%2b1t0u28GrkvjlJlGanLD4pT0oONMtVYttDwBctuHXtomOQhWgjSSX%2fUDpwx44VODi3HbuKH2iNOjZHFefkYBJoetou9iwXpKr1lZ15bAE9AQtfswDVyxmTDVy4XYCvC3BaKMX%2f5dH7eNka%2bn","descargar bases")</f>
      </c>
    </row>
    <row r="39">
      <c r="A39" s="0" t="inlineStr">
        <is>
          <t xml:space="preserve">2080-309-LE26</t>
        </is>
      </c>
      <c r="B39" s="4" t="inlineStr">
        <is>
          <t xml:space="preserve">COMPRA ROLLOS PAPEL IMPRESORA TOTEM</t>
        </is>
      </c>
      <c r="C39" s="0" t="inlineStr">
        <is>
          <t xml:space="preserve">Publicada</t>
        </is>
      </c>
      <c r="D39" s="0" t="inlineStr">
        <is>
          <t xml:space="preserve">SERVICIO DE SALUD DEL LIBERTADOR B O'HIGGINS HOSPITAL REG RANCAGUA</t>
        </is>
      </c>
      <c r="E39" s="0" t="inlineStr">
        <is>
          <t xml:space="preserve">Hospital Regional Rancagua - HRR</t>
        </is>
      </c>
      <c r="F39" s="0" t="inlineStr">
        <is>
          <t xml:space="preserve">Región del Libertador General Bernardo O´Higgins</t>
        </is>
      </c>
      <c r="G39" s="0" t="inlineStr">
        <is>
          <t xml:space="preserve">Rancagua</t>
        </is>
      </c>
      <c r="H39" s="2">
        <v>46287.658183</v>
      </c>
      <c r="I39" s="2">
        <v>46301.625</v>
      </c>
      <c r="J39" s="0">
        <v>6</v>
      </c>
      <c r="K39" s="3"/>
      <c r="L39" s="0" t="inlineStr">
        <is>
          <t xml:space="preserve">CLP</t>
        </is>
      </c>
      <c r="M39" s="0" t="inlineStr">
        <is>
          <t xml:space="preserve">LE</t>
        </is>
      </c>
      <c r="N39" s="4" t="inlineStr">
        <is>
          <t xml:space="preserve">Productos de papel / Productos de papel / Papel de imprenta y escritura</t>
        </is>
      </c>
      <c r="O39" s="4" t="inlineStr">
        <is>
          <t xml:space="preserve">21432 Unidad · Rollos para télex</t>
        </is>
      </c>
      <c r="P39" s="2"/>
      <c r="Q39" s="2"/>
      <c r="R39" s="0" t="inlineStr">
        <is>
          <t xml:space="preserve">24 meses</t>
        </is>
      </c>
      <c r="S39" s="0" t="inlineStr">
        <is>
          <t xml:space="preserve">No</t>
        </is>
      </c>
      <c r="T39" s="4"/>
      <c r="U39" s="0" t="inlineStr">
        <is>
          <t xml:space="preserve">CAROLINA PEÑA PADILLA</t>
        </is>
      </c>
      <c r="V39" s="4" t="inlineStr">
        <is>
          <t xml:space="preserve">El objeto de esta Licitación es contar con una adecuada provisión de “COMPRA ROLLOS PAPEL IMPRESORA TOTEM” para el Hospital Dr. Franco Ravera Zunino, durante la vigencia del proceso.</t>
        </is>
      </c>
      <c r="W39" s="5" t="str">
        <f>HYPERLINK("https://www.mercadopublico.cl/Procurement/Modules/Attachment/ViewAttachment.aspx?enc=oxaNdzFtWXDumPE0HI0q2RBM1OnW9d49V5ndlE1NmsQHHzD0DuYw8NoBGrSVg0EF3dNPzpsS8BCmhVBeQAl8dlbqjtEt9ecu1bJ91NLYSVA40QANeIXTnWjL7NpEMN0Hv8LVP%2ba9BggjqgMszoDjnO2oIflvAPHeCGDwMGHjMfsV15L%2b48kEmT%2fX7tN7aQUOWOCW2SXvolyfGHdD9KLmbTeDCNsBp%2bElzFTPNwR5MJpjnW8hMZZ0EE2eHNYy4G0DMLQDE8nIzuoLmpatQqXg7ElIWKKmOHA97q6o5dAiiRKzjsXNjgafjCPHd5bNiMHn","descargar bases")</f>
      </c>
    </row>
    <row r="40">
      <c r="A40" s="0" t="inlineStr">
        <is>
          <t xml:space="preserve">875-10-LE26</t>
        </is>
      </c>
      <c r="B40" s="4" t="inlineStr">
        <is>
          <t xml:space="preserve">SERV. DE INFORMACIÓN DE REMUNERACIONES PLATAFORMA</t>
        </is>
      </c>
      <c r="C40" s="0" t="inlineStr">
        <is>
          <t xml:space="preserve">Publicada</t>
        </is>
      </c>
      <c r="D40" s="0" t="inlineStr">
        <is>
          <t xml:space="preserve">AGENCIA DE PROMOCION DE LA INVERSION EXTRANJERA</t>
        </is>
      </c>
      <c r="E40" s="0" t="inlineStr">
        <is>
          <t xml:space="preserve">Agencia de Promoción de la Inversión Extranjera</t>
        </is>
      </c>
      <c r="F40" s="0" t="inlineStr">
        <is>
          <t xml:space="preserve">Región Metropolitana de Santiago</t>
        </is>
      </c>
      <c r="G40" s="0" t="inlineStr">
        <is>
          <t xml:space="preserve">Santiago</t>
        </is>
      </c>
      <c r="H40" s="2">
        <v>46287.665706</v>
      </c>
      <c r="I40" s="2">
        <v>46301.625</v>
      </c>
      <c r="J40" s="0">
        <v>6</v>
      </c>
      <c r="K40" s="3">
        <v>300.0</v>
      </c>
      <c r="L40" s="0" t="inlineStr">
        <is>
          <t xml:space="preserve">CLF</t>
        </is>
      </c>
      <c r="M40" s="0" t="inlineStr">
        <is>
          <t xml:space="preserve">LE</t>
        </is>
      </c>
      <c r="N40" s="4" t="inlineStr">
        <is>
          <t xml:space="preserve">Productos impresos y publicaciones / Medios impresos / Publicaciones impresas</t>
        </is>
      </c>
      <c r="O40" s="4" t="inlineStr">
        <is>
          <t xml:space="preserve">1 Unidad · Publicaciones periódicas</t>
        </is>
      </c>
      <c r="P40" s="2"/>
      <c r="Q40" s="2"/>
      <c r="R40" s="0" t="inlineStr">
        <is>
          <t xml:space="preserve">12 meses</t>
        </is>
      </c>
      <c r="S40" s="0" t="inlineStr">
        <is>
          <t xml:space="preserve">No</t>
        </is>
      </c>
      <c r="T40" s="4"/>
      <c r="U40" s="0" t="inlineStr">
        <is>
          <t xml:space="preserve">Ana Karina Duarte</t>
        </is>
      </c>
      <c r="V40" s="4" t="inlineStr">
        <is>
          <t xml:space="preserve">Servicio de información de remuneraciones y prácticas de compensación mediante plataforma tecnológica para InvestChile, por un período de 12 meses.</t>
        </is>
      </c>
      <c r="W40" s="5" t="str">
        <f>HYPERLINK("https://www.mercadopublico.cl/Procurement/Modules/Attachment/ViewAttachment.aspx?enc=ExrroszF4%2bnvEu8%2fFj1lKCM7jqQiMQWaC0f12ySXxkji6ZW3l52nMQn%2bcY59NkPLhF1KGZ5tVHdlItjCQRuJuQ30CycqkIJktKTKHPxsXa0ZZSW4QQPoEQVOMmCnnYIpEWdzIKLaHWttxJwSLVzmKVkqyrBABbpM4g7PzVd0MJWyA75WeKe9BvFDxHSwEcnG5ibhWckD8ZSuz%2f%2f5%2fokVqPyzKeagxyuloX6atI%2f0tEDMc6ffwB2E4E7Ai2AP8EDGWByYrtLQv32HfKHqy21mqZ6ITwZULo8f2pKzU5MT30FEdtknhAtqIG6RNXXnqtNl","descargar bases")</f>
      </c>
    </row>
    <row r="41">
      <c r="A41" s="0" t="inlineStr">
        <is>
          <t xml:space="preserve">1754-51-LE26</t>
        </is>
      </c>
      <c r="B41" s="4" t="inlineStr">
        <is>
          <t xml:space="preserve">EQUIPOS E INSUMOS INFORMATICOS Y CÁMARAS DE SEGURIDAD</t>
        </is>
      </c>
      <c r="C41" s="0" t="inlineStr">
        <is>
          <t xml:space="preserve">Publicada</t>
        </is>
      </c>
      <c r="D41" s="0" t="inlineStr">
        <is>
          <t xml:space="preserve">Departamento de Salud Parral</t>
        </is>
      </c>
      <c r="E41" s="0" t="inlineStr">
        <is>
          <t xml:space="preserve">Departamento de Salud Parral</t>
        </is>
      </c>
      <c r="F41" s="0" t="inlineStr">
        <is>
          <t xml:space="preserve">Región del Maule </t>
        </is>
      </c>
      <c r="G41" s="0" t="inlineStr">
        <is>
          <t xml:space="preserve">Parral</t>
        </is>
      </c>
      <c r="H41" s="2">
        <v>46293.672731</v>
      </c>
      <c r="I41" s="2">
        <v>46301.625694</v>
      </c>
      <c r="J41" s="0">
        <v>6</v>
      </c>
      <c r="K41" s="3">
        <v>28000000.0</v>
      </c>
      <c r="L41" s="0" t="inlineStr">
        <is>
          <t xml:space="preserve">CLP</t>
        </is>
      </c>
      <c r="M41" s="0" t="inlineStr">
        <is>
          <t xml:space="preserve">LE</t>
        </is>
      </c>
      <c r="N41" s="4" t="inlineStr">
        <is>
          <t xml:space="preserve">Equipos y suministros de defensa, orden público, protección y seguridad / Seguridad, vigilancia y detección / Equipo de vigilancia y detección, Herramientas y maquinaria en general / Herramientas manuales / Juegos de herramientas, Maquinaria para generación y distribución de energía / Alambres y cables eléctricos y electrónicos / Cables eléctricos y accesorios, Productos químicos industriales / Colorantes / Compuestos de colores y dispersiones, Tecnologías de la información, telecomunicaciones y radiodifusión / Componentes para tecnología de la información, difusión o telecomunicaciones / Componentes de gabinete, rack o chasis, Tecnologías de la información, telecomunicaciones y radiodifusión / Equipos informáticos y accesorios / Computadores</t>
        </is>
      </c>
      <c r="O41" s="4" t="inlineStr">
        <is>
          <t xml:space="preserve">1 Kit · Kit de herramienta para computadores · 1 Kit · Computadores de escritorio · 1 Kit · Cable de redes · y 3 más</t>
        </is>
      </c>
      <c r="P41" s="2"/>
      <c r="Q41" s="2"/>
      <c r="R41" s="0" t="inlineStr">
        <is>
          <t xml:space="preserve">12 meses</t>
        </is>
      </c>
      <c r="S41" s="0" t="inlineStr">
        <is>
          <t xml:space="preserve">No</t>
        </is>
      </c>
      <c r="T41" s="4"/>
      <c r="U41" s="0" t="inlineStr">
        <is>
          <t xml:space="preserve">MARIO GAJARDO NAVARRETE</t>
        </is>
      </c>
      <c r="V41" s="4" t="inlineStr">
        <is>
          <t xml:space="preserve">El Departamento de Salud de la Ilustre Municipalidad de Parral requiere licitar la adquisición de equipos e insumos informáticos y cámaras de seguridad, conforme a lo detallado en los presentes Términos de Referencia, con el propósito de garantizar el adecuado funcionamiento del Departamento de Salud y de los distintos establecimientos de salud de la comuna. Lo anterior tiene como finalidad asegurar la continuidad y calidad de las prestaciones otorgadas a la comunidad</t>
        </is>
      </c>
      <c r="W41" s="5" t="str">
        <f>HYPERLINK("https://www.mercadopublico.cl/Procurement/Modules/Attachment/ViewAttachment.aspx?enc=McKEdlp9c6gAWGOICJQHWd4mWOlmIxZzATSlFdMZuU7aUWYlwcRGEuAhiWPqSv8eXJhPHowJpSPQwhtiWoU0oHgeDA69i0GGp8kwO1I7oPipSfiBB0ScLQAwDUeAmrT9khLCS53Pegm4sg9lkCUVIyo1x%2baDQ2CFZrPtltfcgXxRX5LJLm1GuCfRSFg2d9gJfahC8C2yyOcgM6DGcQMAHezYAcCmN%2f5uNi4BpAnIKFdaIIZjg7sccD5HU9bVDcBbsULHmfRHyk95clI3SYsyArte3pycchDiAV5DFO5kD7p8U2f7dDOJ1sUTShmP5HO4","descargar bases")</f>
      </c>
    </row>
    <row r="42">
      <c r="A42" s="0" t="inlineStr">
        <is>
          <t xml:space="preserve">425-67-LE26</t>
        </is>
      </c>
      <c r="B42" s="4" t="inlineStr">
        <is>
          <t xml:space="preserve">Software de seguridad extendida y Ciberdefensa</t>
        </is>
      </c>
      <c r="C42" s="0" t="inlineStr">
        <is>
          <t xml:space="preserve">Publicada</t>
        </is>
      </c>
      <c r="D42" s="0" t="inlineStr">
        <is>
          <t xml:space="preserve">CORP ADMINISTRATIVA DEL PODER JUDICIAL</t>
        </is>
      </c>
      <c r="E42" s="0" t="inlineStr">
        <is>
          <t xml:space="preserve">Servicios</t>
        </is>
      </c>
      <c r="F42" s="0" t="inlineStr">
        <is>
          <t xml:space="preserve">Región Metropolitana de Santiago</t>
        </is>
      </c>
      <c r="G42" s="0" t="inlineStr">
        <is>
          <t xml:space="preserve">Santiago Centro</t>
        </is>
      </c>
      <c r="H42" s="2">
        <v>46289.705463</v>
      </c>
      <c r="I42" s="2">
        <v>46301.666667</v>
      </c>
      <c r="J42" s="0">
        <v>6</v>
      </c>
      <c r="K42" s="3"/>
      <c r="L42" s="0" t="inlineStr">
        <is>
          <t xml:space="preserve">USD</t>
        </is>
      </c>
      <c r="M42" s="0" t="inlineStr">
        <is>
          <t xml:space="preserve">LE</t>
        </is>
      </c>
      <c r="N42" s="4" t="inlineStr">
        <is>
          <t xml:space="preserve">Tecnologías de la información, telecomunicaciones y radiodifusión / Software / Software de seguridad y protección</t>
        </is>
      </c>
      <c r="O42" s="4" t="inlineStr">
        <is>
          <t xml:space="preserve">1 Unidad · Software de equipos de red privada virtual (VPN) o de seguridad de red</t>
        </is>
      </c>
      <c r="P42" s="2"/>
      <c r="Q42" s="2"/>
      <c r="R42" s="0" t="inlineStr">
        <is>
          <t xml:space="preserve">12 meses</t>
        </is>
      </c>
      <c r="S42" s="0" t="inlineStr">
        <is>
          <t xml:space="preserve">No</t>
        </is>
      </c>
      <c r="T42" s="4"/>
      <c r="U42" s="0" t="inlineStr">
        <is>
          <t xml:space="preserve">Jorge Quezada</t>
        </is>
      </c>
      <c r="V42"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42"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43">
      <c r="A43" s="0" t="inlineStr">
        <is>
          <t xml:space="preserve">1051173-13-LP26</t>
        </is>
      </c>
      <c r="B43" s="4" t="inlineStr">
        <is>
          <t xml:space="preserve">SERVICIO DE INFRAESTRUCTURA EN LA NUBE</t>
        </is>
      </c>
      <c r="C43" s="0" t="inlineStr">
        <is>
          <t xml:space="preserve">Publicada</t>
        </is>
      </c>
      <c r="D43" s="0" t="inlineStr">
        <is>
          <t xml:space="preserve">MINISTERIO SECRETARIA GENERAL DE LA PRESIDENCIA DE LA REPUBLICA</t>
        </is>
      </c>
      <c r="E43" s="0" t="inlineStr">
        <is>
          <t xml:space="preserve">Ministerio Secretaria General de la Presidencia</t>
        </is>
      </c>
      <c r="F43" s="0" t="inlineStr">
        <is>
          <t xml:space="preserve">Región Metropolitana de Santiago</t>
        </is>
      </c>
      <c r="G43" s="0" t="inlineStr">
        <is>
          <t xml:space="preserve">Santiago</t>
        </is>
      </c>
      <c r="H43" s="2">
        <v>46280.539583</v>
      </c>
      <c r="I43" s="2">
        <v>46301.729167</v>
      </c>
      <c r="J43" s="0">
        <v>6</v>
      </c>
      <c r="K43" s="3"/>
      <c r="L43" s="0" t="inlineStr">
        <is>
          <t xml:space="preserve">CLP</t>
        </is>
      </c>
      <c r="M43" s="0" t="inlineStr">
        <is>
          <t xml:space="preserve">LP</t>
        </is>
      </c>
      <c r="N43" s="4" t="inlineStr">
        <is>
          <t xml:space="preserve">Servicios basados en ingeniería, ciencias sociales y tecnología de la información / Servicios informáticos / Servicios de datos</t>
        </is>
      </c>
      <c r="O43" s="4" t="inlineStr">
        <is>
          <t xml:space="preserve">1 Unidad no definida · Centro de servicios de datos</t>
        </is>
      </c>
      <c r="P43" s="2"/>
      <c r="Q43" s="2"/>
      <c r="R43" s="0" t="inlineStr">
        <is>
          <t xml:space="preserve">14 meses</t>
        </is>
      </c>
      <c r="S43" s="0" t="inlineStr">
        <is>
          <t xml:space="preserve">No</t>
        </is>
      </c>
      <c r="T43" s="4" t="inlineStr">
        <is>
          <t xml:space="preserve">Atendida la naturaleza de la contratación, no se admitirá la subcontratación.</t>
        </is>
      </c>
      <c r="U43" s="0" t="inlineStr">
        <is>
          <t xml:space="preserve">Jorge Romero Vargas</t>
        </is>
      </c>
      <c r="V43"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43" s="5" t="str">
        <f>HYPERLINK("https://www.mercadopublico.cl/Procurement/Modules/Attachment/ViewAttachment.aspx?enc=rElX799eDS1XJa0WexZ1OMSsDbpx5pxDHeAs3%2feWyxoztYL86pUpbacUCP1UBC4eL3JBmtROTOESRocL07CKPKI8kR2HjegFL6ShXU2flCth5sgzXwbIR8zRE%2fFGuaFyiWF3XjHL4231CPMvUKxlGXDxmhF3yYMHpiGgNmGJJI9vHWu61rOQvUa%2bWeBmzrZp012Mg3ZGRPWfxMAxaaxiP6FFt0iYSzXbNsjCBLu%2bYTQePktIsOEtCiIHsY0cXMvhDENy2QcjQx1JWXXE49eGQ6oUUzYwstRW9r8T4VX0Q0oFUqepzXWcRRZOLyY58jdP","descargar bases")</f>
      </c>
    </row>
    <row r="44">
      <c r="A44" s="0" t="inlineStr">
        <is>
          <t xml:space="preserve">4024-29-LE26</t>
        </is>
      </c>
      <c r="B44" s="4" t="inlineStr">
        <is>
          <t xml:space="preserve">Modernización del Gimnasio Municipal Héctor Aqueveque Aránguiz”</t>
        </is>
      </c>
      <c r="C44" s="0" t="inlineStr">
        <is>
          <t xml:space="preserve">Publicada</t>
        </is>
      </c>
      <c r="D44" s="0" t="inlineStr">
        <is>
          <t xml:space="preserve">ILUSTRE MUNICIPALIDAD DE SAN CARLOS</t>
        </is>
      </c>
      <c r="E44" s="0" t="inlineStr">
        <is>
          <t xml:space="preserve">CONTRATACION DE OBRAS, PROYECTOS Y CONCESIONES </t>
        </is>
      </c>
      <c r="F44" s="0" t="inlineStr">
        <is>
          <t xml:space="preserve">Región del Ñuble</t>
        </is>
      </c>
      <c r="G44" s="0" t="inlineStr">
        <is>
          <t xml:space="preserve">San Carlos</t>
        </is>
      </c>
      <c r="H44" s="2">
        <v>46279.717176</v>
      </c>
      <c r="I44" s="2">
        <v>46301.83125</v>
      </c>
      <c r="J44" s="0">
        <v>6</v>
      </c>
      <c r="K44" s="3">
        <v>35706840.0</v>
      </c>
      <c r="L44" s="0" t="inlineStr">
        <is>
          <t xml:space="preserve">CLP</t>
        </is>
      </c>
      <c r="M44" s="0" t="inlineStr">
        <is>
          <t xml:space="preserve">LE</t>
        </is>
      </c>
      <c r="N44" s="4" t="inlineStr">
        <is>
          <t xml:space="preserve">Artículos para estructuras, obras y construcciones / Pavimento para carreteras y caminos / Asfaltos</t>
        </is>
      </c>
      <c r="O44" s="4" t="inlineStr">
        <is>
          <t xml:space="preserve">1 Unidad · Asfalto</t>
        </is>
      </c>
      <c r="P44" s="2"/>
      <c r="Q44" s="2"/>
      <c r="R44" s="0" t="inlineStr">
        <is>
          <t xml:space="preserve">70 días</t>
        </is>
      </c>
      <c r="S44" s="0" t="inlineStr">
        <is>
          <t xml:space="preserve">No</t>
        </is>
      </c>
      <c r="T44" s="4"/>
      <c r="U44" s="0" t="inlineStr">
        <is>
          <t xml:space="preserve">FRANCISCO CONTRERAS SALINAS</t>
        </is>
      </c>
      <c r="V44"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44" s="5" t="str">
        <f>HYPERLINK("https://www.mercadopublico.cl/Procurement/Modules/Attachment/ViewAttachment.aspx?enc=WnNjKU03JFYe%2b%2f0SAFV4hGDxvZsHCHqV4gXj057wfZE%2fDm96dAl%2fJLtcQhsznzm5nFAggMw%2bVdgBZGSMbr8QZzMqnnNQO%2fvcGNV8ANucHhMUYBknsNX1x0eSv0YVjxe3VXvcwQdhP8RjcnJDUC40%2f%2b%2b%2bIDzzTtZRw5gdMLcu348mBJysC%2bIzycJxvVLGzZrVSKQM6BWx1sUJM336PRygxWCI%2f%2fXVKAsbvh3H6uG7y%2bSwLRQLSdiOpJzcl3ZQrVXnff9XkNejoXB8cdd6%2ftPGcI3hLNLXnJUWMLEV%2bc2flLbMBOmVJUYxwV8iu5Z5B21g","descargar bases")</f>
      </c>
    </row>
    <row r="45">
      <c r="A45" s="0" t="inlineStr">
        <is>
          <t xml:space="preserve">1562-63-LP26</t>
        </is>
      </c>
      <c r="B45" s="4" t="inlineStr">
        <is>
          <t xml:space="preserve">ELABORACIÓN DE LA PLATAFORMA PÚBLICA MINERA</t>
        </is>
      </c>
      <c r="C45" s="0" t="inlineStr">
        <is>
          <t xml:space="preserve">Publicada</t>
        </is>
      </c>
      <c r="D45" s="0" t="inlineStr">
        <is>
          <t xml:space="preserve">SERVICIO NACIONAL DE GEOLOGIA Y MINERIA</t>
        </is>
      </c>
      <c r="E45" s="0" t="inlineStr">
        <is>
          <t xml:space="preserve">Servicio Nacional de Geología y Minería</t>
        </is>
      </c>
      <c r="F45" s="0" t="inlineStr">
        <is>
          <t xml:space="preserve">Región Metropolitana de Santiago</t>
        </is>
      </c>
      <c r="G45" s="0" t="inlineStr">
        <is>
          <t xml:space="preserve">Providencia</t>
        </is>
      </c>
      <c r="H45" s="2">
        <v>46281.707639</v>
      </c>
      <c r="I45" s="2">
        <v>46302.5</v>
      </c>
      <c r="J45" s="0">
        <v>7</v>
      </c>
      <c r="K45" s="3">
        <v>165000000.0</v>
      </c>
      <c r="L45" s="0" t="inlineStr">
        <is>
          <t xml:space="preserve">CLP</t>
        </is>
      </c>
      <c r="M45" s="0" t="inlineStr">
        <is>
          <t xml:space="preserve">LP</t>
        </is>
      </c>
      <c r="N45" s="4" t="inlineStr">
        <is>
          <t xml:space="preserve">Tecnologías de la información, telecomunicaciones y radiodifusión / Software / Programas de desarrollo</t>
        </is>
      </c>
      <c r="O45" s="4" t="inlineStr">
        <is>
          <t xml:space="preserve">1 Global · Software de desarrollo de plataforma Web</t>
        </is>
      </c>
      <c r="P45" s="2"/>
      <c r="Q45" s="2"/>
      <c r="R45" s="0" t="inlineStr">
        <is>
          <t xml:space="preserve">2 meses</t>
        </is>
      </c>
      <c r="S45" s="0" t="inlineStr">
        <is>
          <t xml:space="preserve">No</t>
        </is>
      </c>
      <c r="T45" s="4"/>
      <c r="U45" s="0" t="inlineStr">
        <is>
          <t xml:space="preserve">PHILIPE CARLIER PIZZULIC</t>
        </is>
      </c>
      <c r="V45"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45"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46">
      <c r="A46" s="0" t="inlineStr">
        <is>
          <t xml:space="preserve">2378-116-L126</t>
        </is>
      </c>
      <c r="B46" s="4" t="inlineStr">
        <is>
          <t xml:space="preserve">ADQUISICIÓN DE OTROS SOFTWARES MUN DE LA  FLORIDA</t>
        </is>
      </c>
      <c r="C46" s="0" t="inlineStr">
        <is>
          <t xml:space="preserve">Publicada</t>
        </is>
      </c>
      <c r="D46" s="0" t="inlineStr">
        <is>
          <t xml:space="preserve">I MUNICIPALIDAD DE LA FLORIDA</t>
        </is>
      </c>
      <c r="E46" s="0" t="inlineStr">
        <is>
          <t xml:space="preserve">SECRETARIA DE PLANIFICACION</t>
        </is>
      </c>
      <c r="F46" s="0" t="inlineStr">
        <is>
          <t xml:space="preserve">Región Metropolitana de Santiago</t>
        </is>
      </c>
      <c r="G46" s="0" t="inlineStr">
        <is>
          <t xml:space="preserve">La Florida</t>
        </is>
      </c>
      <c r="H46" s="2">
        <v>46295.481539</v>
      </c>
      <c r="I46" s="2">
        <v>46302.5</v>
      </c>
      <c r="J46" s="0">
        <v>7</v>
      </c>
      <c r="K46" s="3">
        <v>1820000.0</v>
      </c>
      <c r="L46" s="0" t="inlineStr">
        <is>
          <t xml:space="preserve">CLP</t>
        </is>
      </c>
      <c r="M46" s="0" t="inlineStr">
        <is>
          <t xml:space="preserve">L1</t>
        </is>
      </c>
      <c r="N46" s="4" t="inlineStr">
        <is>
          <t xml:space="preserve">Tecnologías de la información, telecomunicaciones y radiodifusión / Software / Software de gestión</t>
        </is>
      </c>
      <c r="O46" s="4" t="inlineStr">
        <is>
          <t xml:space="preserve">1 Global · Software de gestión de licencias · 1 Global · Software de gestión de licencias · 1 Global · Software de gestión de licencias</t>
        </is>
      </c>
      <c r="P46" s="2"/>
      <c r="Q46" s="2"/>
      <c r="R46" s="0" t="inlineStr">
        <is>
          <t xml:space="preserve">45 días</t>
        </is>
      </c>
      <c r="S46" s="0" t="inlineStr">
        <is>
          <t xml:space="preserve">No</t>
        </is>
      </c>
      <c r="T46" s="4"/>
      <c r="U46" s="0" t="inlineStr">
        <is>
          <t xml:space="preserve">CRISTIAN VALENZUELA VERGARA</t>
        </is>
      </c>
      <c r="V46" s="4" t="inlineStr">
        <is>
          <t xml:space="preserve">Dicha propuesta tiene por objeto la contratación de la suscripción de licencias de software destinadas al apoyo a la operación institucional, destinadas a fortalecer los procesos internos de la Municipalidad de La Florida, mejorando la productividad de los equipos de trabajo mediante la incorporación de herramientas de software especializadas que apoyen la operación institucional, optimicen los procesos de las distintas unidades municipales y contribuyan a una gestión más eficiente, segura y continua de los servicios tecnológicos.</t>
        </is>
      </c>
      <c r="W46" s="5" t="str">
        <f>HYPERLINK("https://www.mercadopublico.cl/Procurement/Modules/Attachment/ViewAttachment.aspx?enc=e6HupSStZg6iEtoDwkBdHbRpgK90WXv5BgsoEAclpsFbwwSGMttqkio5Z6eUhGX9CSQD4kjl1l%2byM3NJ6JcWz8eTQANrlCdm1IWI9RN%2fYwrZW7xKrQ9WXgUakzhUVoq%2frS%2bSqynqFYUorQwU%2bGPjtlTeqZfIBihLXqL3hJkta%2bQhIRcBiDx%2bVZSg6e2dJobbCQl8xkgee4zWNotW3Gq9vkjpdhuDmk9I1TQtNGxGbqb%2f9bXT7wYGNqWL2uBsMAbIwWT7kbinLsIAUrH%2bpj1AutlzC%2by2tHZr7q1qbYNjSCwHe8XCpmdp9d9wW4pbFmAW","descargar bases")</f>
      </c>
    </row>
    <row r="47">
      <c r="A47" s="0" t="inlineStr">
        <is>
          <t xml:space="preserve">4112-27-LE26</t>
        </is>
      </c>
      <c r="B47" s="4" t="inlineStr">
        <is>
          <t xml:space="preserve">“ADQUISICIÓN DE LICENCIAS DE SOFTWARE”</t>
        </is>
      </c>
      <c r="C47" s="0" t="inlineStr">
        <is>
          <t xml:space="preserve">Publicada</t>
        </is>
      </c>
      <c r="D47" s="0" t="inlineStr">
        <is>
          <t xml:space="preserve">I MUNICIPALIDAD DE CURACAUTIN</t>
        </is>
      </c>
      <c r="E47" s="0" t="inlineStr">
        <is>
          <t xml:space="preserve">DIRECCION DE FINANZAS</t>
        </is>
      </c>
      <c r="F47" s="0" t="inlineStr">
        <is>
          <t xml:space="preserve">Región de la Araucanía </t>
        </is>
      </c>
      <c r="G47" s="0"/>
      <c r="H47" s="2">
        <v>46282.473183</v>
      </c>
      <c r="I47" s="2">
        <v>46302.645833</v>
      </c>
      <c r="J47" s="0">
        <v>7</v>
      </c>
      <c r="K47" s="3"/>
      <c r="L47" s="0" t="inlineStr">
        <is>
          <t xml:space="preserve">CLP</t>
        </is>
      </c>
      <c r="M47" s="0" t="inlineStr">
        <is>
          <t xml:space="preserve">LE</t>
        </is>
      </c>
      <c r="N47"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47" s="4" t="inlineStr">
        <is>
          <t xml:space="preserve">1 Unidad · Diseño por computador · 1 Unidad · Software de gestión de licencias · 1 Unidad · Software de video conferencia</t>
        </is>
      </c>
      <c r="P47" s="2"/>
      <c r="Q47" s="2"/>
      <c r="R47" s="0"/>
      <c r="S47" s="0" t="inlineStr">
        <is>
          <t xml:space="preserve">No</t>
        </is>
      </c>
      <c r="T47" s="4"/>
      <c r="U47" s="0" t="inlineStr">
        <is>
          <t xml:space="preserve">FELIPE OBREQUE</t>
        </is>
      </c>
      <c r="V47"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47"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48">
      <c r="A48" s="0" t="inlineStr">
        <is>
          <t xml:space="preserve">1002-84-LP26</t>
        </is>
      </c>
      <c r="B48" s="4" t="inlineStr">
        <is>
          <t xml:space="preserve">ADQUISICION DE TABLERO DE MADERA PRESERVADA CON HERRAJE</t>
        </is>
      </c>
      <c r="C48" s="0" t="inlineStr">
        <is>
          <t xml:space="preserve">Publicada</t>
        </is>
      </c>
      <c r="D48" s="0" t="inlineStr">
        <is>
          <t xml:space="preserve">MINISTERIO DE OBRAS PUBLICAS DIREC CION GRAL DE OO PP DCYF</t>
        </is>
      </c>
      <c r="E48" s="0" t="inlineStr">
        <is>
          <t xml:space="preserve">Dirección de Vialidad - X Región - Dirección Regional</t>
        </is>
      </c>
      <c r="F48" s="0" t="inlineStr">
        <is>
          <t xml:space="preserve">Región de los Lagos </t>
        </is>
      </c>
      <c r="G48" s="0" t="inlineStr">
        <is>
          <t xml:space="preserve">Puerto Montt</t>
        </is>
      </c>
      <c r="H48" s="2">
        <v>46287.611759</v>
      </c>
      <c r="I48" s="2">
        <v>46303.583333</v>
      </c>
      <c r="J48" s="0">
        <v>8</v>
      </c>
      <c r="K48" s="3"/>
      <c r="L48" s="0" t="inlineStr">
        <is>
          <t xml:space="preserve">CLP</t>
        </is>
      </c>
      <c r="M48" s="0" t="inlineStr">
        <is>
          <t xml:space="preserve">LP</t>
        </is>
      </c>
      <c r="N48" s="4" t="inlineStr">
        <is>
          <t xml:space="preserve">Artículos para estructuras, obras y construcciones / Materiales estructurales básicos / Productos estructurales</t>
        </is>
      </c>
      <c r="O48" s="4" t="inlineStr">
        <is>
          <t xml:space="preserve">1 Unidad · Vigas de madera</t>
        </is>
      </c>
      <c r="P48" s="2"/>
      <c r="Q48" s="2"/>
      <c r="R48" s="0"/>
      <c r="S48" s="0" t="inlineStr">
        <is>
          <t xml:space="preserve">No</t>
        </is>
      </c>
      <c r="T48" s="4" t="inlineStr">
        <is>
          <t xml:space="preserve">La Empresa adjudicada no puede traspasar a Terceros la responsabilidad del suministro de los productos ofertados.</t>
        </is>
      </c>
      <c r="U48" s="0" t="inlineStr">
        <is>
          <t xml:space="preserve">FERNANDA NUÑEZ JORQUERA</t>
        </is>
      </c>
      <c r="V48" s="4" t="inlineStr">
        <is>
          <t xml:space="preserve">Destinado a la reposición del tablero del puente Maicolpue, ubicado en el Sector Maicolpue, comuna de San Juan de la Costa, provincia de Osorno</t>
        </is>
      </c>
      <c r="W48" s="5" t="str">
        <f>HYPERLINK("https://www.mercadopublico.cl/Procurement/Modules/Attachment/ViewAttachment.aspx?enc=Hm370HO6Sr%2bpMA%2bhPaKiCYM77dQHnp0FCh8TlFkiS4NSBCb0s5sWcLDANOI3ric4eWgvfXXtgb8P3z7JxgGdCNE0n0G6BDzECQ1UeLzkjOzgYNe89JGwut0u22i%2fKuOEhB0nNWFqOV%2fHlc5oVRLf%2fREhy7Xuutb8eCXofMVH%2b7w55dFc%2f8KRhpw5g9VdUdDEycoivZ8oySUIRJ0BGd%2f6%2fDLrSjH4IgiLwBmphIRJ7HMmcTEtqjvsR%2f2kRb2LCNoLrzsdjB31sKPKqlMGFouGnwnCZCOFrNdkmeXNA6jRT8tQuiVE6%2fCMqbfRK%2fc0zeFQ","descargar bases")</f>
      </c>
    </row>
    <row r="49">
      <c r="A49" s="0" t="inlineStr">
        <is>
          <t xml:space="preserve">2410-119-L126</t>
        </is>
      </c>
      <c r="B49" s="4" t="inlineStr">
        <is>
          <t xml:space="preserve">ADQUISICION DE TERMOMETRO HIGROMETRO DIGITAL</t>
        </is>
      </c>
      <c r="C49" s="0" t="inlineStr">
        <is>
          <t xml:space="preserve">Publicada</t>
        </is>
      </c>
      <c r="D49" s="0" t="inlineStr">
        <is>
          <t xml:space="preserve">I MUNICIPALIDAD DE LOS ANGELES</t>
        </is>
      </c>
      <c r="E49" s="0" t="inlineStr">
        <is>
          <t xml:space="preserve">MUNICIPALIDAD DE LOS ANGELES - SALUD</t>
        </is>
      </c>
      <c r="F49" s="0" t="inlineStr">
        <is>
          <t xml:space="preserve">Región del Biobío </t>
        </is>
      </c>
      <c r="G49" s="0" t="inlineStr">
        <is>
          <t xml:space="preserve">Los Angeles</t>
        </is>
      </c>
      <c r="H49" s="2">
        <v>46293.716898</v>
      </c>
      <c r="I49" s="2">
        <v>46303.625</v>
      </c>
      <c r="J49" s="0">
        <v>8</v>
      </c>
      <c r="K49" s="3">
        <v>1520000.0</v>
      </c>
      <c r="L49" s="0" t="inlineStr">
        <is>
          <t xml:space="preserve">CLP</t>
        </is>
      </c>
      <c r="M49" s="0" t="inlineStr">
        <is>
          <t xml:space="preserve">L1</t>
        </is>
      </c>
      <c r="N49" s="4" t="inlineStr">
        <is>
          <t xml:space="preserve">Equipamiento para laboratorios / Instrumentos de medida y experimentación / Instrumentos de medición de humedad</t>
        </is>
      </c>
      <c r="O49" s="4" t="inlineStr">
        <is>
          <t xml:space="preserve">76 Unidad · Higrómetros</t>
        </is>
      </c>
      <c r="P49" s="2"/>
      <c r="Q49" s="2"/>
      <c r="R49" s="0"/>
      <c r="S49" s="0" t="inlineStr">
        <is>
          <t xml:space="preserve">No</t>
        </is>
      </c>
      <c r="T49" s="4"/>
      <c r="U49" s="0"/>
      <c r="V49" s="4" t="inlineStr">
        <is>
          <t xml:space="preserve">Se requiere adquirir termómetro higrómetro digital para el monitoreo y medición de temperatura y humedad, en areas clínicas, bodegas de insumos clínicos, unidad de farmacia y vacunatorio de los 7 CESFAM de la comuna de Los Angeles.</t>
        </is>
      </c>
      <c r="W49" s="5" t="str">
        <f>HYPERLINK("https://www.mercadopublico.cl/Procurement/Modules/Attachment/ViewAttachment.aspx?enc=MprYV0PBCo%2b4R25bDoYcFjweoqJeucCWmadB38jRFcRExi%2bVfTRmTmdeu%2bHWQ%2bCL2iSCc%2fkMILxfnHR4TmudJCpek7jNLIA0X1hojooNkXTuNHoGXv8yCOqoHgylrLmUgDT1uKhmTn0tHidlxw%2f5%2frKNpe6zMMf55EoCH1%2b3At4EQ3CCdkHsN%2fzg9wUkDQOSkQqae%2fNO0R7%2fu2K99OyywDCYwPYOXXR%2fO7isM40x7fxEKhZ%2bkqGtgvVulGDqfJJ%2fa8hsfqtTEBL%2fajxRxUQeWtBsUdrnDdg74qOD6Kf3mKKgyJkSjgGdC%2bdYpoXTZwA2","descargar bases")</f>
      </c>
    </row>
    <row r="50">
      <c r="A50" s="0" t="inlineStr">
        <is>
          <t xml:space="preserve">5394-22-LE26</t>
        </is>
      </c>
      <c r="B50" s="4" t="inlineStr">
        <is>
          <t xml:space="preserve">SERVICIO DE CONSULTORÍA DE CIBERSEGURIDAD UMAG</t>
        </is>
      </c>
      <c r="C50" s="0" t="inlineStr">
        <is>
          <t xml:space="preserve">Publicada</t>
        </is>
      </c>
      <c r="D50" s="0" t="inlineStr">
        <is>
          <t xml:space="preserve">UNIVERSIDAD DE MAGALLANES</t>
        </is>
      </c>
      <c r="E50" s="0" t="inlineStr">
        <is>
          <t xml:space="preserve">PROYECTOS CON TERCEROS (D/583)</t>
        </is>
      </c>
      <c r="F50" s="0" t="inlineStr">
        <is>
          <t xml:space="preserve">Región de Magallanes y de la Antártica</t>
        </is>
      </c>
      <c r="G50" s="0" t="inlineStr">
        <is>
          <t xml:space="preserve">Punta Arenas</t>
        </is>
      </c>
      <c r="H50" s="2">
        <v>46274.672222</v>
      </c>
      <c r="I50" s="2">
        <v>46303.625</v>
      </c>
      <c r="J50" s="0">
        <v>8</v>
      </c>
      <c r="K50" s="3">
        <v>20000000.0</v>
      </c>
      <c r="L50" s="0" t="inlineStr">
        <is>
          <t xml:space="preserve">CLP</t>
        </is>
      </c>
      <c r="M50" s="0" t="inlineStr">
        <is>
          <t xml:space="preserve">LE</t>
        </is>
      </c>
      <c r="N50" s="4" t="inlineStr">
        <is>
          <t xml:space="preserve">Servicios profesionales, administrativos y consultorías de gestión empresarial / Consultorías o asesorías en gestión empresarial / Servicios de consultoría en gestión de empresas</t>
        </is>
      </c>
      <c r="O50" s="4" t="inlineStr">
        <is>
          <t xml:space="preserve">1 Global · Asesorías Informáticas</t>
        </is>
      </c>
      <c r="P50" s="2"/>
      <c r="Q50" s="2"/>
      <c r="R50" s="0" t="inlineStr">
        <is>
          <t xml:space="preserve">12 semanas</t>
        </is>
      </c>
      <c r="S50" s="0" t="inlineStr">
        <is>
          <t xml:space="preserve">No</t>
        </is>
      </c>
      <c r="T50" s="4" t="inlineStr">
        <is>
          <t xml:space="preserve">9. SUBCONTRATACION
Por la naturaleza de los servicios, no se permite la subcontratación en la presente licitación.</t>
        </is>
      </c>
      <c r="U50" s="0" t="inlineStr">
        <is>
          <t xml:space="preserve">UNIDAD ABASTECIMIENTO</t>
        </is>
      </c>
      <c r="V50"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50"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51">
      <c r="A51" s="0" t="inlineStr">
        <is>
          <t xml:space="preserve">2658-328-L126</t>
        </is>
      </c>
      <c r="B51" s="4" t="inlineStr">
        <is>
          <t xml:space="preserve">SUSCRIPCION ANUAL PLATAFORMA INTELIGENCIUA ARTIFICIAL</t>
        </is>
      </c>
      <c r="C51" s="0" t="inlineStr">
        <is>
          <t xml:space="preserve">Publicada</t>
        </is>
      </c>
      <c r="D51" s="0" t="inlineStr">
        <is>
          <t xml:space="preserve">I MUNICIPALIDAD DE ANCUD</t>
        </is>
      </c>
      <c r="E51" s="0" t="inlineStr">
        <is>
          <t xml:space="preserve">Municipalidad de Ancud</t>
        </is>
      </c>
      <c r="F51" s="0" t="inlineStr">
        <is>
          <t xml:space="preserve">Región Metropolitana de Santiago</t>
        </is>
      </c>
      <c r="G51" s="0" t="inlineStr">
        <is>
          <t xml:space="preserve">Las Condes</t>
        </is>
      </c>
      <c r="H51" s="2">
        <v>46295.444931</v>
      </c>
      <c r="I51" s="2">
        <v>46303.625</v>
      </c>
      <c r="J51" s="0">
        <v>8</v>
      </c>
      <c r="K51" s="3"/>
      <c r="L51" s="0" t="inlineStr">
        <is>
          <t xml:space="preserve">CLP</t>
        </is>
      </c>
      <c r="M51" s="0" t="inlineStr">
        <is>
          <t xml:space="preserve">L1</t>
        </is>
      </c>
      <c r="N51" s="4" t="inlineStr">
        <is>
          <t xml:space="preserve">Productos impresos y publicaciones / Medios impresos / Publicaciones impresas</t>
        </is>
      </c>
      <c r="O51" s="4" t="inlineStr">
        <is>
          <t xml:space="preserve">5 Unidad · Publicaciones periódicas</t>
        </is>
      </c>
      <c r="P51" s="2"/>
      <c r="Q51" s="2"/>
      <c r="R51" s="0"/>
      <c r="S51" s="0" t="inlineStr">
        <is>
          <t xml:space="preserve">No</t>
        </is>
      </c>
      <c r="T51" s="4"/>
      <c r="U51" s="0"/>
      <c r="V51" s="4" t="inlineStr">
        <is>
          <t xml:space="preserve">donde se solicita la Suscripción anual a Plataforma de Inteligencia Artificial avanzada, lo que se utilizará como herramienta de apoyo para la optimización de labores técnicas y administrativas, dependiente de la Dirección de Obras de la I. Municipalidad de Ancud.</t>
        </is>
      </c>
      <c r="W51" s="5" t="str">
        <f>HYPERLINK("https://www.mercadopublico.cl/Procurement/Modules/Attachment/ViewAttachment.aspx?enc=9XGOaL2PCeN2cJFwIrPnhiHlwA3LObiZvSsmCHFyunz5LgcS3ByG4zkOYHBKQ8L%2f1po6ucvbcs1ip2Eb%2bHNIv%2fPU8V2WrCypzI%2fZn%2feVi%2ffoVr3fdLOvCM%2fAboXdQ%2fTQxPiK7LfBm2IK0bBrc66ssy62IGp8J6T0i3UrQEbB0jGQg27wxI1CiVLqqO07xwIjemuD0l0N4lRXwGO26tGS1AJ2nm6V5VkgMr1BPyps9hQbLlTq9l%2fsBzbam4Zktriry%2bkyzy5tnoohxEuSs9UKjZvxOJaYfYkwl8MDO9AoOQDO1FB1qAuceeO8N0ai%2fEy%2f","descargar bases")</f>
      </c>
    </row>
    <row r="52">
      <c r="A52" s="0" t="inlineStr">
        <is>
          <t xml:space="preserve">1605-36-LR26</t>
        </is>
      </c>
      <c r="B52" s="4" t="inlineStr">
        <is>
          <t xml:space="preserve">LR-4252 Servicio de Red Datos WAN</t>
        </is>
      </c>
      <c r="C52" s="0" t="inlineStr">
        <is>
          <t xml:space="preserve">Publicada</t>
        </is>
      </c>
      <c r="D52" s="0" t="inlineStr">
        <is>
          <t xml:space="preserve">SERVICIO DE IMPUESTOS INTERNOS DIRECCION</t>
        </is>
      </c>
      <c r="E52" s="0" t="inlineStr">
        <is>
          <t xml:space="preserve">SII Dirección Nacional</t>
        </is>
      </c>
      <c r="F52" s="0" t="inlineStr">
        <is>
          <t xml:space="preserve">Región Metropolitana de Santiago</t>
        </is>
      </c>
      <c r="G52" s="0" t="inlineStr">
        <is>
          <t xml:space="preserve">Santiago</t>
        </is>
      </c>
      <c r="H52" s="2">
        <v>46195.661111</v>
      </c>
      <c r="I52" s="2">
        <v>46303.666667</v>
      </c>
      <c r="J52" s="0">
        <v>8</v>
      </c>
      <c r="K52" s="3">
        <v>232851.0</v>
      </c>
      <c r="L52" s="0" t="inlineStr">
        <is>
          <t xml:space="preserve">CLF</t>
        </is>
      </c>
      <c r="M52" s="0" t="inlineStr">
        <is>
          <t xml:space="preserve">LR</t>
        </is>
      </c>
      <c r="N52" s="4" t="inlineStr">
        <is>
          <t xml:space="preserve">Servicios basados en ingeniería, ciencias sociales y tecnología de la información / Servicios informáticos / Servicios para internet</t>
        </is>
      </c>
      <c r="O52" s="4" t="inlineStr">
        <is>
          <t xml:space="preserve">72 Mes · Proveedores de servicio de Internet (ISP) · 72 Mes · Proveedores de servicio de Internet (ISP)</t>
        </is>
      </c>
      <c r="P52" s="2"/>
      <c r="Q52" s="2"/>
      <c r="R52" s="0" t="inlineStr">
        <is>
          <t xml:space="preserve">72 meses</t>
        </is>
      </c>
      <c r="S52" s="0" t="inlineStr">
        <is>
          <t xml:space="preserve">No</t>
        </is>
      </c>
      <c r="T52" s="4"/>
      <c r="U52" s="0" t="inlineStr">
        <is>
          <t xml:space="preserve">Luis Venegas</t>
        </is>
      </c>
      <c r="V5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52" s="5" t="str">
        <f>HYPERLINK("https://www.mercadopublico.cl/Procurement/Modules/Attachment/ViewAttachment.aspx?enc=Ro3FcIEnSwUngTMloX81XQ0Fh2lLX2%2fdNPHjv4%2bP51FhQDZl3fJFAy7g1Y6bdgHaf51lSfDZb8GOvLU8vA6wzGBD%2f%2fAWJC6WzvFJWKg1xe9LZxKLTPtund82mMh7j5wUet4SDd5miVaNtLhk0VzrME65CuPptdT0mA05K%2fzlwsM%2fhz%2brNrUfiVf9HRV86x4s6%2f51onGQyPn4bxfI8p9GTRDEgXakLFdxAfnnFhuiNI2IqzMTFslYz9JzORaTO4RkWDRu3WuMBV4cRizSQOtHOA0hEIS5wInnXTD7BYVJ%2b%2bq8szRVWuccgltBX2mo8OMr","descargar bases")</f>
      </c>
    </row>
    <row r="53">
      <c r="A53" s="0" t="inlineStr">
        <is>
          <t xml:space="preserve">1051173-14-LE26</t>
        </is>
      </c>
      <c r="B53" s="4" t="inlineStr">
        <is>
          <t xml:space="preserve">SERVICIO DE ENLACE DE DATOS DE RESPALDO</t>
        </is>
      </c>
      <c r="C53" s="0" t="inlineStr">
        <is>
          <t xml:space="preserve">Publicada</t>
        </is>
      </c>
      <c r="D53" s="0" t="inlineStr">
        <is>
          <t xml:space="preserve">MINISTERIO SECRETARIA GENERAL DE LA PRESIDENCIA DE LA REPUBLICA</t>
        </is>
      </c>
      <c r="E53" s="0" t="inlineStr">
        <is>
          <t xml:space="preserve">Ministerio Secretaria General de la Presidencia</t>
        </is>
      </c>
      <c r="F53" s="0" t="inlineStr">
        <is>
          <t xml:space="preserve">Región Metropolitana de Santiago</t>
        </is>
      </c>
      <c r="G53" s="0" t="inlineStr">
        <is>
          <t xml:space="preserve">Santiago</t>
        </is>
      </c>
      <c r="H53" s="2">
        <v>46287.63625</v>
      </c>
      <c r="I53" s="2">
        <v>46303.729167</v>
      </c>
      <c r="J53" s="0">
        <v>8</v>
      </c>
      <c r="K53" s="3"/>
      <c r="L53" s="0" t="inlineStr">
        <is>
          <t xml:space="preserve">CLF</t>
        </is>
      </c>
      <c r="M53" s="0" t="inlineStr">
        <is>
          <t xml:space="preserve">LE</t>
        </is>
      </c>
      <c r="N53" s="4" t="inlineStr">
        <is>
          <t xml:space="preserve">Tecnologías de la información, telecomunicaciones y radiodifusión / Equipos, plataformas y accesorios de redes multimedia, voz y datos / Equipos de servicio de red</t>
        </is>
      </c>
      <c r="O53" s="4" t="inlineStr">
        <is>
          <t xml:space="preserve">1 Unidad no definida · Unidades de servicio de datos o canales de red</t>
        </is>
      </c>
      <c r="P53" s="2"/>
      <c r="Q53" s="2"/>
      <c r="R53" s="0" t="inlineStr">
        <is>
          <t xml:space="preserve">27 meses</t>
        </is>
      </c>
      <c r="S53" s="0" t="inlineStr">
        <is>
          <t xml:space="preserve">No</t>
        </is>
      </c>
      <c r="T53" s="4" t="inlineStr">
        <is>
          <t xml:space="preserve">El proveedor adjudicado no podrá subcontratar totalmente los servicios licitados.
No obstante, previa autorización del Ministerio, el proveedor adjudicado podrá concertar con terceros la subcontratación parcial del contrato.</t>
        </is>
      </c>
      <c r="U53" s="0" t="inlineStr">
        <is>
          <t xml:space="preserve">Jorge Romero Vargas</t>
        </is>
      </c>
      <c r="V53"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53" s="5" t="str">
        <f>HYPERLINK("https://www.mercadopublico.cl/Procurement/Modules/Attachment/ViewAttachment.aspx?enc=iinSBxi9hgqyzIPMICl1hPbieqeSrahcKtJpv4JD0dTW3cwRzWlB8c3xytwerh1yppWEWdUr4S2ENcCBsOBaIlId7gAHsyPTPLmRY5QGb2qyIUFoDKeKH8BJyY7A8RpYBGcRr%2b6aVQ74pui0GN6KALCJX%2b22V9VCpm9CmUbAZwneuaXQKhmUT7XTWO5be%2bfPSEc7xQ07yaseofJynowWQWMQV%2fCtFWCYiwpaNpWzS74jcpDRK%2fEWKzwumWrOF9QBTkGDvNCjj8e3KJrf%2bTIN%2fAdyHP9GeICcbXs%2fPOG66ddyhPKAdcZWzew84rcPxtbz","descargar bases")</f>
      </c>
    </row>
    <row r="54">
      <c r="A54" s="0" t="inlineStr">
        <is>
          <t xml:space="preserve">5684-13-LE26</t>
        </is>
      </c>
      <c r="B54" s="4" t="inlineStr">
        <is>
          <t xml:space="preserve">Licencia de Software Cámaras de Vigilancia</t>
        </is>
      </c>
      <c r="C54" s="0" t="inlineStr">
        <is>
          <t xml:space="preserve">Publicada</t>
        </is>
      </c>
      <c r="D54" s="0" t="inlineStr">
        <is>
          <t xml:space="preserve">UNIVERSIDAD DE CHILE</t>
        </is>
      </c>
      <c r="E54" s="0" t="inlineStr">
        <is>
          <t xml:space="preserve">FCFM Campus Facultad</t>
        </is>
      </c>
      <c r="F54" s="0" t="inlineStr">
        <is>
          <t xml:space="preserve">Región Metropolitana de Santiago</t>
        </is>
      </c>
      <c r="G54" s="0" t="inlineStr">
        <is>
          <t xml:space="preserve">Santiago</t>
        </is>
      </c>
      <c r="H54" s="2">
        <v>46293.72294</v>
      </c>
      <c r="I54" s="2">
        <v>46303.75</v>
      </c>
      <c r="J54" s="0">
        <v>8</v>
      </c>
      <c r="K54" s="3"/>
      <c r="L54" s="0" t="inlineStr">
        <is>
          <t xml:space="preserve">USD</t>
        </is>
      </c>
      <c r="M54" s="0" t="inlineStr">
        <is>
          <t xml:space="preserve">LE</t>
        </is>
      </c>
      <c r="N54" s="4" t="inlineStr">
        <is>
          <t xml:space="preserve">Tecnologías de la información, telecomunicaciones y radiodifusión / Software / Software específico para la industria</t>
        </is>
      </c>
      <c r="O54" s="4" t="inlineStr">
        <is>
          <t xml:space="preserve">250 Unidad · Software de compatibilidad</t>
        </is>
      </c>
      <c r="P54" s="2"/>
      <c r="Q54" s="2"/>
      <c r="R54" s="0"/>
      <c r="S54" s="0" t="inlineStr">
        <is>
          <t xml:space="preserve">No</t>
        </is>
      </c>
      <c r="T54" s="4" t="inlineStr">
        <is>
          <t xml:space="preserve">Dado las características del contrato, no estará permitida la subcontratación.</t>
        </is>
      </c>
      <c r="U54" s="0" t="inlineStr">
        <is>
          <t xml:space="preserve">Sergio Miranda</t>
        </is>
      </c>
      <c r="V54" s="4" t="inlineStr">
        <is>
          <t xml:space="preserve">La FCFM de la Universidad de Chile, convoca a licitación pública para la adquisición de licencias de software ISS SecurOS Enterprise o su equivalente técnico o superior, con el objeto de actualizar el software actual y habilitar las cámaras de vigilancia ya existentes en las dependencias.</t>
        </is>
      </c>
      <c r="W54" s="5" t="str">
        <f>HYPERLINK("https://www.mercadopublico.cl/Procurement/Modules/Attachment/ViewAttachment.aspx?enc=wkEANKT6AGUeQsyaCzuzB6Wls%2bEnIkgpY7bTLSZr04CswlBiXHNQzf75SYlz2nCfuUvUtXf2HTW051NHc2CA8ajqq%2fTzuAvNnSwQQ278iJ4fEmwV6r1z3a73dNcDEQMKcfYg8fO9g2wsdbjg76sWY8We8i9Bs5cN5bNIkKjwead3CxQUxce5BAvJXijwup%2fZOyZa9jHeqYx6l%2fS56t%2fz0mPJCvYhf6NnuPCKB8SjyUYRifzfWOPumLrHF5Hd6H31D7CC3BNvCXv%2fgkthS2zESjM0tcKg7Fl%2bvrH1PUNO7SZuAiXIWCJm4YYVvVzuDDvk","descargar bases")</f>
      </c>
    </row>
    <row r="55">
      <c r="A55" s="0" t="inlineStr">
        <is>
          <t xml:space="preserve">2013-13-LE26</t>
        </is>
      </c>
      <c r="B55" s="4" t="inlineStr">
        <is>
          <t xml:space="preserve">SERVICIO DE GESTIÓN DE PUBLICIDAD DIGITAL Y GENERA</t>
        </is>
      </c>
      <c r="C55" s="0" t="inlineStr">
        <is>
          <t xml:space="preserve">Publicada</t>
        </is>
      </c>
      <c r="D55" s="0" t="inlineStr">
        <is>
          <t xml:space="preserve">UNIVERSIDAD ARTURO PRAT</t>
        </is>
      </c>
      <c r="E55" s="0" t="inlineStr">
        <is>
          <t xml:space="preserve">UNIVERSIDAD ARTURO PRAT SEDE IQUIQUE</t>
        </is>
      </c>
      <c r="F55" s="0" t="inlineStr">
        <is>
          <t xml:space="preserve">Región de Tarapacá  </t>
        </is>
      </c>
      <c r="G55" s="0" t="inlineStr">
        <is>
          <t xml:space="preserve">Iquique</t>
        </is>
      </c>
      <c r="H55" s="2">
        <v>46293.538935</v>
      </c>
      <c r="I55" s="2">
        <v>46303.791667</v>
      </c>
      <c r="J55" s="0">
        <v>8</v>
      </c>
      <c r="K55" s="3">
        <v>15000000.0</v>
      </c>
      <c r="L55" s="0" t="inlineStr">
        <is>
          <t xml:space="preserve">CLP</t>
        </is>
      </c>
      <c r="M55" s="0" t="inlineStr">
        <is>
          <t xml:space="preserve">LE</t>
        </is>
      </c>
      <c r="N55" s="4" t="inlineStr">
        <is>
          <t xml:space="preserve">Servicios editoriales, de diseño, publicidad, gráficos y artistas / Publicidad / Publicidad en medios no impresos</t>
        </is>
      </c>
      <c r="O55" s="4" t="inlineStr">
        <is>
          <t xml:space="preserve">1 Unidad · Publicidad en Internet</t>
        </is>
      </c>
      <c r="P55" s="2"/>
      <c r="Q55" s="2"/>
      <c r="R55" s="0"/>
      <c r="S55" s="0" t="inlineStr">
        <is>
          <t xml:space="preserve">No</t>
        </is>
      </c>
      <c r="T55" s="4" t="inlineStr">
        <is>
          <t xml:space="preserve">No se permitirá la subcontratación de los servicios objeto de la presente licitación. El proveedor adjudicado deberá ejecutar directamente las prestaciones contratadas y será responsable de su íntegro y oportuno cumplimiento.</t>
        </is>
      </c>
      <c r="U55" s="0" t="inlineStr">
        <is>
          <t xml:space="preserve">Loreto Valenzuela Zepeda</t>
        </is>
      </c>
      <c r="V55" s="4" t="inlineStr">
        <is>
          <t xml:space="preserve">Contratar un servicio especializado de gestión de publicidad digital y generación de leads para apoyar el proceso de Admisión UNAP 2027, mediante la planificación, ejecución, seguimiento y optimización de campañas digitales, incluyendo la gestión e integración de los leads generados con el CRM institucional.</t>
        </is>
      </c>
      <c r="W55" s="5" t="str">
        <f>HYPERLINK("https://www.mercadopublico.cl/Procurement/Modules/Attachment/ViewAttachment.aspx?enc=IbdVoh99HK9z44JWNCLn7I3Q3uJnFg%2beKwaBFKj2%2f0e6%2fKHneUgygOdx1JWtSR79%2b95%2bnwp%2fdeMa1AgKoWAstYx4v%2bqqwl0N5wKn7tDiba7pmJwQJAwgs6lwxuKatQKUiU7OBhwlKniHMk%2bzG5LHvLSZwRnHRjZDqibq9kC8xQtldAIHf40rigecvqxEuS0c%2f1yEn%2fqk6AYpoeUx6qPFrpQqw58ywsZXBzPi1kB8dohOAwKQpr0v5WqEJUYG3q7ll4U5YLE0Kf1hPJNtBC3mbuLAvMSxyr4uOIAkX7VzE6rYqbP3xLWVjZjoEjE2dH7s","descargar bases")</f>
      </c>
    </row>
    <row r="56">
      <c r="A56" s="0" t="inlineStr">
        <is>
          <t xml:space="preserve">1224957-63-LE26</t>
        </is>
      </c>
      <c r="B56" s="4" t="inlineStr">
        <is>
          <t xml:space="preserve">INSUMOS INFORMÁTICOS CMDS ÑUÑOA</t>
        </is>
      </c>
      <c r="C56" s="0" t="inlineStr">
        <is>
          <t xml:space="preserve">Publicada</t>
        </is>
      </c>
      <c r="D56" s="0" t="inlineStr">
        <is>
          <t xml:space="preserve">CORP MUNICIPAL DE DESARROLLO SOCIAL DE NUNOA</t>
        </is>
      </c>
      <c r="E56" s="0" t="inlineStr">
        <is>
          <t xml:space="preserve">CMDS Nivel Central</t>
        </is>
      </c>
      <c r="F56" s="0" t="inlineStr">
        <is>
          <t xml:space="preserve">Región Metropolitana de Santiago</t>
        </is>
      </c>
      <c r="G56" s="0" t="inlineStr">
        <is>
          <t xml:space="preserve">Ñuñoa</t>
        </is>
      </c>
      <c r="H56" s="2">
        <v>46295.503831</v>
      </c>
      <c r="I56" s="2">
        <v>46304.5</v>
      </c>
      <c r="J56" s="0">
        <v>9</v>
      </c>
      <c r="K56" s="3">
        <v>24557263.0</v>
      </c>
      <c r="L56" s="0" t="inlineStr">
        <is>
          <t xml:space="preserve">CLP</t>
        </is>
      </c>
      <c r="M56" s="0" t="inlineStr">
        <is>
          <t xml:space="preserve">LE</t>
        </is>
      </c>
      <c r="N56" s="4" t="inlineStr">
        <is>
          <t xml:space="preserve">Herramientas y maquinaria en general / Herramientas manuales / Juegos de herramientas</t>
        </is>
      </c>
      <c r="O56" s="4" t="inlineStr">
        <is>
          <t xml:space="preserve">1 Unidad · Kit de herramienta para computadores</t>
        </is>
      </c>
      <c r="P56" s="2"/>
      <c r="Q56" s="2"/>
      <c r="R56" s="0"/>
      <c r="S56" s="0" t="inlineStr">
        <is>
          <t xml:space="preserve">No</t>
        </is>
      </c>
      <c r="T56" s="4" t="inlineStr">
        <is>
          <t xml:space="preserve">No se permitirá subcontratación.</t>
        </is>
      </c>
      <c r="U56" s="0" t="inlineStr">
        <is>
          <t xml:space="preserve">Julio González</t>
        </is>
      </c>
      <c r="V56" s="4" t="inlineStr">
        <is>
          <t xml:space="preserve">Adquirir insumos, herramientas y repuestos informáticos para el desarrollo de trabajos de soporte, mantención y reparación de computadores, conectividad y redes informáticas.</t>
        </is>
      </c>
      <c r="W56" s="5" t="str">
        <f>HYPERLINK("https://www.mercadopublico.cl/Procurement/Modules/Attachment/ViewAttachment.aspx?enc=EbHqvW%2fSEwnN1CUcd0kR0zDDov%2f9dmu9Q2G2kanUCsqektgt5qDHVDjPc0%2fReptOgOX4DID6wezG%2f7%2bUSz7SYjcsvSuAV4pyun9B2DPeXNYGS%2fHEbIfVfQFSNMiNu1%2fxkZia%2flyHwrfVhC5o3THEGo%2f0%2bDAjt6xcU8B4NtxP2r1%2fbL3O8euCAO%2fk8zowJYe%2fz4C%2fh0se95L1Wr5adUVxvjVywivi2G4WVkRw%2bx997B7gmetPE5r4rdnE2vWi1dAwClHsxh3jPvqvsjMV4bc%2fKIB3sqY7xoTcLrB19oHujQ9%2bT%2fDTRGw1lzOcWg0zy6rw","descargar bases")</f>
      </c>
    </row>
    <row r="57">
      <c r="A57" s="0" t="inlineStr">
        <is>
          <t xml:space="preserve">2735-167-LE26</t>
        </is>
      </c>
      <c r="B57" s="4" t="inlineStr">
        <is>
          <t xml:space="preserve">ENLACE DE DATOS FARELLONES MUN. LO BARNECHEA</t>
        </is>
      </c>
      <c r="C57" s="0" t="inlineStr">
        <is>
          <t xml:space="preserve">Publicada</t>
        </is>
      </c>
      <c r="D57" s="0" t="inlineStr">
        <is>
          <t xml:space="preserve">I MUNICIPALIDAD LO BARNECHEA</t>
        </is>
      </c>
      <c r="E57" s="0" t="inlineStr">
        <is>
          <t xml:space="preserve">Municipalidad de lo Barnechea - Adquisiciones - Consistorial</t>
        </is>
      </c>
      <c r="F57" s="0" t="inlineStr">
        <is>
          <t xml:space="preserve">Región Metropolitana de Santiago</t>
        </is>
      </c>
      <c r="G57" s="0" t="inlineStr">
        <is>
          <t xml:space="preserve">Lo Barnechea</t>
        </is>
      </c>
      <c r="H57" s="2">
        <v>46293.738657</v>
      </c>
      <c r="I57" s="2">
        <v>46304.520833</v>
      </c>
      <c r="J57" s="0">
        <v>9</v>
      </c>
      <c r="K57" s="3"/>
      <c r="L57" s="0" t="inlineStr">
        <is>
          <t xml:space="preserve">CLF</t>
        </is>
      </c>
      <c r="M57" s="0" t="inlineStr">
        <is>
          <t xml:space="preserve">LE</t>
        </is>
      </c>
      <c r="N57" s="4" t="inlineStr">
        <is>
          <t xml:space="preserve">Tecnologías de la información, telecomunicaciones y radiodifusión / Equipos, plataformas y accesorios de redes multimedia, voz y datos / Equipos de telefonía</t>
        </is>
      </c>
      <c r="O57" s="4" t="inlineStr">
        <is>
          <t xml:space="preserve">1 Unidad · Equipo de interconexión digital (DCX) de banda estrecha o banda ancha</t>
        </is>
      </c>
      <c r="P57" s="2"/>
      <c r="Q57" s="2"/>
      <c r="R57" s="0" t="inlineStr">
        <is>
          <t xml:space="preserve">12 meses</t>
        </is>
      </c>
      <c r="S57" s="0" t="inlineStr">
        <is>
          <t xml:space="preserve">No</t>
        </is>
      </c>
      <c r="T57" s="4" t="inlineStr">
        <is>
          <t xml:space="preserve">De conformidad con el numeral 11.5 de las bases administrativas</t>
        </is>
      </c>
      <c r="U57" s="0" t="inlineStr">
        <is>
          <t xml:space="preserve">Javier Salgado Pezoa</t>
        </is>
      </c>
      <c r="V57" s="4" t="inlineStr">
        <is>
          <t xml:space="preserve">En conformidad con lo previsto en el numeral 1 de las bases técnicas, la Municipalidad requiere contar con conectividad de datos robusta y eficiente entre el Centro Cívico y las dependencias municipales ubicadas en Farellones, que permita compartir los servicios de red que utiliza la municipalidad para la gestión Municipal. El objeto de la contratación es contar con un servicio integral de provisión, instalación, configuración, operación y mantenimiento de enlaces de datos microondas punto a punto o fibra óptica con un mínimo de 100mbps en ambas opciones, destinados a interconectar las dependencias de la Municipalidad de Lo Barnechea en Farellones con su red principal. Este servicio busca garantizar la continuidad operacional de los servicios críticos municipales internet, datos y telefonía IP, asegurando estándares de calidad y rendimiento específicos de la red.
El contratista deberá proveer los enlaces requeridos, junto con los equipos de comunicación necesarios que permitan la transmisión y recepción de datos de manera fluida y sin pérdida de paquetes, entre las distintas dependencias municipales emplazadas en Farellones y el datacenter institucional que se encuentra ubicado </t>
        </is>
      </c>
      <c r="W57" s="5" t="str">
        <f>HYPERLINK("https://www.mercadopublico.cl/Procurement/Modules/Attachment/ViewAttachment.aspx?enc=XE%2bWAlcaK44PjzhnX7%2bNLhTYQNj42PbRPXZB6Y3srJih3gGbBSOGHlEPRqKqADSAiohUg7iy154qaQwJT3nQ37VKd1lo7AG3rLTYKQV1LKGx5igdQ5hfRn%2fo1r2I9xe6MUF10sOP9XUlJivEE%2fWHwlnSJUvPHKCTFZGD8uLnuB%2bmW89pIw0DrAUACpFi2jdszmgFdt1AK6469Dm%2fLSnhXlyEZeMZTccgm4v8PZjTK3unDhSwQuyjEk31d1o%2bhUFUc8H%2fGP4WgZRRl9pvHbSf1j9eMLs%2fcr1UTtX6vEB8wmx6TOBXDRaMR6a7pK9rdp7x","descargar bases")</f>
      </c>
    </row>
    <row r="58">
      <c r="A58" s="0" t="inlineStr">
        <is>
          <t xml:space="preserve">1138297-11-LE26</t>
        </is>
      </c>
      <c r="B58" s="4" t="inlineStr">
        <is>
          <t xml:space="preserve">Servicios de implementación integral para el diseño y producción de material promocional y la optimización del sitio web del Catálogo Digital de las Industrias Creativas de la Región de Atacama</t>
        </is>
      </c>
      <c r="C58" s="0" t="inlineStr">
        <is>
          <t xml:space="preserve">Publicada</t>
        </is>
      </c>
      <c r="D58" s="0" t="inlineStr">
        <is>
          <t xml:space="preserve">DIRECCION GENERAL DE PROMOCION DE EXPORTACIONES</t>
        </is>
      </c>
      <c r="E58" s="0" t="inlineStr">
        <is>
          <t xml:space="preserve">MN FONDO DE TERCEROS</t>
        </is>
      </c>
      <c r="F58" s="0" t="inlineStr">
        <is>
          <t xml:space="preserve">Región de Atacama </t>
        </is>
      </c>
      <c r="G58" s="0" t="inlineStr">
        <is>
          <t xml:space="preserve">Santiago Centro</t>
        </is>
      </c>
      <c r="H58" s="2">
        <v>46293.748565</v>
      </c>
      <c r="I58" s="2">
        <v>46304.541667</v>
      </c>
      <c r="J58" s="0">
        <v>9</v>
      </c>
      <c r="K58" s="3">
        <v>21000000.0</v>
      </c>
      <c r="L58" s="0" t="inlineStr">
        <is>
          <t xml:space="preserve">CLP</t>
        </is>
      </c>
      <c r="M58" s="0" t="inlineStr">
        <is>
          <t xml:space="preserve">LE</t>
        </is>
      </c>
      <c r="N58" s="4" t="inlineStr">
        <is>
          <t xml:space="preserve">Servicios editoriales, de diseño, publicidad, gráficos y artistas / Diseño gráfico / Diseño</t>
        </is>
      </c>
      <c r="O58" s="4" t="inlineStr">
        <is>
          <t xml:space="preserve">1 Unidad · Diseño gráfico</t>
        </is>
      </c>
      <c r="P58" s="2"/>
      <c r="Q58" s="2"/>
      <c r="R58" s="0" t="inlineStr">
        <is>
          <t xml:space="preserve">2 meses</t>
        </is>
      </c>
      <c r="S58" s="0" t="inlineStr">
        <is>
          <t xml:space="preserve">No</t>
        </is>
      </c>
      <c r="T58" s="4" t="inlineStr">
        <is>
          <t xml:space="preserve">El adjudicatario no podrá subcontratar, salvo autorización escrita de ProChile.</t>
        </is>
      </c>
      <c r="U58" s="0" t="inlineStr">
        <is>
          <t xml:space="preserve">Pradenas, Claudia</t>
        </is>
      </c>
      <c r="V58" s="4" t="inlineStr">
        <is>
          <t xml:space="preserve">ProChile invita a participar en el proceso de contratación para los servicios de implementación integral para el diseño y producción de material promocional y la optimización del sitio web del Catálogo Digital de las Industrias Creativas de la Región de Atacama, con el objeto de fortalecer la difusión y el posicionamiento del sector de las industrias creativas, incrementando la visibilidad y consolidando la gestión comercial de las empresas de la región, con el fin de mejorar su competitividad y apoyar el desarrollo de sus estrategias de internacionalización. “E1O2RT9”</t>
        </is>
      </c>
      <c r="W58" s="5" t="str">
        <f>HYPERLINK("https://www.mercadopublico.cl/Procurement/Modules/Attachment/ViewAttachment.aspx?enc=VTKTIV9P2NkaXSXPQSu1RlvO2%2bPGF%2bqS8Bod%2bttys7AvRXRk9EY1ySMURVB2yjZaUCZZcKvLYKSv1b%2b%2bdatuPO5n2z9ZWtIgckTBRepGg2fX0HNLW827a9L7Nme0TrTlR%2f1NeUWxYruIiNe%2bQvnlP8ghX%2fT4M%2bXl1zFySzXvTuvCk%2bzty804nUy%2f0RwbuvbFQkwabBVY6zMbzEYiUeuoi7O4CLcIXxLPuyjy5lEsm5g%2bKrtzSW3WLh9N3lwaMZf4ilkJFbcODM57YTuPJN%2fz9NrD6WXuIJ7SRq2HdQo%2bCWK2Eu853d64ZseYGvX8bNF%2f","descargar bases")</f>
      </c>
    </row>
    <row r="59">
      <c r="A59" s="0" t="inlineStr">
        <is>
          <t xml:space="preserve">2332-65-LE26</t>
        </is>
      </c>
      <c r="B59" s="4" t="inlineStr">
        <is>
          <t xml:space="preserve">ADQUISICIÓN DE ORTOPANTOMÓGRAFO DIGITAL Y CBCT 3D PARA EL DEPARTAMENTO DE SALUD MUNICIPAL DE PUERTO MONTT</t>
        </is>
      </c>
      <c r="C59" s="0" t="inlineStr">
        <is>
          <t xml:space="preserve">Publicada</t>
        </is>
      </c>
      <c r="D59" s="0" t="inlineStr">
        <is>
          <t xml:space="preserve">I MUNICIPALIDAD DE PUERTO MONTT</t>
        </is>
      </c>
      <c r="E59" s="0" t="inlineStr">
        <is>
          <t xml:space="preserve">Oficina de Adquisiciones del Departamento de Salud</t>
        </is>
      </c>
      <c r="F59" s="0" t="inlineStr">
        <is>
          <t xml:space="preserve">Región de los Lagos </t>
        </is>
      </c>
      <c r="G59" s="0"/>
      <c r="H59" s="2">
        <v>46294.722396</v>
      </c>
      <c r="I59" s="2">
        <v>46304.583333</v>
      </c>
      <c r="J59" s="0">
        <v>9</v>
      </c>
      <c r="K59" s="3">
        <v>70091000.0</v>
      </c>
      <c r="L59" s="0" t="inlineStr">
        <is>
          <t xml:space="preserve">CLP</t>
        </is>
      </c>
      <c r="M59" s="0" t="inlineStr">
        <is>
          <t xml:space="preserve">LE</t>
        </is>
      </c>
      <c r="N59" s="4" t="inlineStr">
        <is>
          <t xml:space="preserve">Artículos eléctricos y de iluminación / Equipamiento y artículos eléctricos / Equipamiento para distribución y transformación eléctrica, Equipamiento y suministros médicos / Equipos y suministros odontológicos / Equipo y suministros para imágenes dentales, Tecnologías de la información, telecomunicaciones y radiodifusión / Equipos informáticos y accesorios / Computadores</t>
        </is>
      </c>
      <c r="O59" s="4" t="inlineStr">
        <is>
          <t xml:space="preserve">1 Unidad · Unidades de Rayos X dentales · 1 Unidad · Computadores de escritorio · 1 Unidad · Fuentes de alimentación continua</t>
        </is>
      </c>
      <c r="P59" s="2"/>
      <c r="Q59" s="2"/>
      <c r="R59" s="0"/>
      <c r="S59" s="0" t="inlineStr">
        <is>
          <t xml:space="preserve">No</t>
        </is>
      </c>
      <c r="T59" s="4"/>
      <c r="U59" s="0" t="inlineStr">
        <is>
          <t xml:space="preserve">Mauro Oyarzun</t>
        </is>
      </c>
      <c r="V59" s="4" t="inlineStr">
        <is>
          <t xml:space="preserve">El Departamento de Salud Municipal de Puerto Montt, dentro de su estrategia de compras, tiene definido la “ADQUISICIÓN DE ORTOPANTOMÓGRAFO DIGITAL Y CBCT 3D PARA EL DEPARTAMENTO DE SALUD MUNICIPAL DE PUERTO MONTT”. Destinados a cubrir los requerimientos del Departamento de Salud Municipal y preservar la continuidad de las atenciones dentales a la comunidad de Puerto Montt.
Todas las líneas se evaluarán de manera global y se adjudicarán a un solo proveedor, asegurando el suministro total del servicio.</t>
        </is>
      </c>
      <c r="W59" s="5" t="str">
        <f>HYPERLINK("https://www.mercadopublico.cl/Procurement/Modules/Attachment/ViewAttachment.aspx?enc=lbxEfAAZDgP64soU%2f1AdHFEx22OQmILCooRqgP9DHIXMzzauR1C3T72h0yWM6fj%2fIA8j99lfyLhmxNhMtgiWZbV1lZ9gl03IuI9JSRudXXbUgiwgD9MOE5chH9bFPP2%2ftOxy3LMZG92AuRDW22A1deTycc4YP6%2bp9%2f5ylfabvzgTztE8FQodkonEYZZ1h5%2fPsLXJsqlM%2f9KgIe%2f3W%2fCEQczS%2bniA5hdg%2bl%2faqPikC4b8QryP7WX0dK91NKvHrWCdFTIqPBJ75VierNGRyAYDV6wk1GcctTzAY5AFxEUXr0FdR7je3VvZOzTJmHdic7xX","descargar bases")</f>
      </c>
    </row>
    <row r="60">
      <c r="A60" s="0" t="inlineStr">
        <is>
          <t xml:space="preserve">1020-38-LP26</t>
        </is>
      </c>
      <c r="B60" s="4" t="inlineStr">
        <is>
          <t xml:space="preserve">Adquisición de Plataforma Next Generation Firewall</t>
        </is>
      </c>
      <c r="C60" s="0" t="inlineStr">
        <is>
          <t xml:space="preserve">Publicada</t>
        </is>
      </c>
      <c r="D60" s="0" t="inlineStr">
        <is>
          <t xml:space="preserve">MINISTERIO DE OBRAS PUBLICAS DIREC CION GRAL DE OO PP DCYF</t>
        </is>
      </c>
      <c r="E60" s="0" t="inlineStr">
        <is>
          <t xml:space="preserve">MOP Subsecretaría </t>
        </is>
      </c>
      <c r="F60" s="0" t="inlineStr">
        <is>
          <t xml:space="preserve">Región Metropolitana de Santiago</t>
        </is>
      </c>
      <c r="G60" s="0"/>
      <c r="H60" s="2">
        <v>46252.442361</v>
      </c>
      <c r="I60" s="2">
        <v>46304.625</v>
      </c>
      <c r="J60" s="0">
        <v>9</v>
      </c>
      <c r="K60" s="3">
        <v>240000000.0</v>
      </c>
      <c r="L60" s="0" t="inlineStr">
        <is>
          <t xml:space="preserve">CLP</t>
        </is>
      </c>
      <c r="M60" s="0" t="inlineStr">
        <is>
          <t xml:space="preserve">LP</t>
        </is>
      </c>
      <c r="N6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0" s="4" t="inlineStr">
        <is>
          <t xml:space="preserve">2 Unidad · Equipo de seguridad de red de firewall · 1 Unidad · Software de vigilancia de redes</t>
        </is>
      </c>
      <c r="P60" s="2"/>
      <c r="Q60" s="2"/>
      <c r="R60" s="0" t="inlineStr">
        <is>
          <t xml:space="preserve">16 meses</t>
        </is>
      </c>
      <c r="S60" s="0" t="inlineStr">
        <is>
          <t xml:space="preserve">No</t>
        </is>
      </c>
      <c r="T60" s="4" t="inlineStr">
        <is>
          <t xml:space="preserve">Conforme al punto 10.5 de las Bases Administrativas, el oferente adjudicado no podrá subcontratar los servicios derivados de la ejecución del Contrato</t>
        </is>
      </c>
      <c r="U60" s="0" t="inlineStr">
        <is>
          <t xml:space="preserve">Francisco Borques</t>
        </is>
      </c>
      <c r="V6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0" s="5" t="str">
        <f>HYPERLINK("https://www.mercadopublico.cl/Procurement/Modules/Attachment/ViewAttachment.aspx?enc=RDipLN67hXU%2fxB3FrRoNkObNzgG1pZ32%2b1SvQ6j5UIh6fdQand5cWoogHgDlgdtdeqV20WX%2bfWkGR0PSPKTmSrce2JUwNRpIQlLlG59YXA2LDoIUMGiJPd8K%2bt1SiTZdeTSXoggLX2dLbl0jeQcip7T9G5%2bQ8ZJUymP%2bvNwMMW1gwUyXFYpcU72XWb0O9Kn61Fuztv4Z1ecyl5OvhcagQuuBzN6kCAOE3niSTLk3R9RoY%2bGwXD6dNJC%2bobbnJYgKu6UCIJyKF3JX9WR%2fJxdU6jh7LhXC5MVt7NeqH7yzZbi1drzv3lsOF%2bXihagDzF5H","descargar bases")</f>
      </c>
    </row>
    <row r="61">
      <c r="A61" s="0" t="inlineStr">
        <is>
          <t xml:space="preserve">1057532-82-LE26</t>
        </is>
      </c>
      <c r="B61" s="4" t="inlineStr">
        <is>
          <t xml:space="preserve">ADQ. TENSIOMETROS DIGITALES C SET BRAZALETES</t>
        </is>
      </c>
      <c r="C61" s="0" t="inlineStr">
        <is>
          <t xml:space="preserve">Publicada</t>
        </is>
      </c>
      <c r="D61" s="0" t="inlineStr">
        <is>
          <t xml:space="preserve">SERVICIO DE SALUD OSORNO</t>
        </is>
      </c>
      <c r="E61" s="0" t="inlineStr">
        <is>
          <t xml:space="preserve">Bienes y Servicios</t>
        </is>
      </c>
      <c r="F61" s="0" t="inlineStr">
        <is>
          <t xml:space="preserve">Región de los Lagos </t>
        </is>
      </c>
      <c r="G61" s="0" t="inlineStr">
        <is>
          <t xml:space="preserve">Osorno</t>
        </is>
      </c>
      <c r="H61" s="2">
        <v>46294.395266</v>
      </c>
      <c r="I61" s="2">
        <v>46304.625</v>
      </c>
      <c r="J61" s="0">
        <v>9</v>
      </c>
      <c r="K61" s="3">
        <v>10000000.0</v>
      </c>
      <c r="L61" s="0" t="inlineStr">
        <is>
          <t xml:space="preserve">CLP</t>
        </is>
      </c>
      <c r="M61" s="0" t="inlineStr">
        <is>
          <t xml:space="preserve">LE</t>
        </is>
      </c>
      <c r="N61" s="4" t="inlineStr">
        <is>
          <t xml:space="preserve">Equipamiento y suministros médicos / Productos para exámenes y control de pacientes / Unidades de presión sanguínea y productos relacionados</t>
        </is>
      </c>
      <c r="O61" s="4" t="inlineStr">
        <is>
          <t xml:space="preserve">1 Unidad · Unidades electrónicas de presión sanguínea</t>
        </is>
      </c>
      <c r="P61" s="2"/>
      <c r="Q61" s="2"/>
      <c r="R61" s="0"/>
      <c r="S61" s="0" t="inlineStr">
        <is>
          <t xml:space="preserve">No</t>
        </is>
      </c>
      <c r="T61" s="4" t="inlineStr">
        <is>
          <t xml:space="preserve">DE ACUERDO A NUMERAL 7.7 DE LAS BASES ADJUNTAS</t>
        </is>
      </c>
      <c r="U61" s="0" t="inlineStr">
        <is>
          <t xml:space="preserve">CONSUELO CORDOVA</t>
        </is>
      </c>
      <c r="V61" s="4" t="inlineStr">
        <is>
          <t xml:space="preserve">Tensiómetros Digitales con Set de Brazaletes Pediátrico, AdolescenteAdulto pequeño, Adulto Medio, Adulto GrandeObeso</t>
        </is>
      </c>
      <c r="W61" s="5" t="str">
        <f>HYPERLINK("https://www.mercadopublico.cl/Procurement/Modules/Attachment/ViewAttachment.aspx?enc=%2fATxeSbqkvPWxiOFUWLxq%2fhGWr3uX7eb10rgtdMKpdvmQwQN9gRU0MvkF1Og16xSSFe%2b%2fGvp3PXR1vmSBDWPe%2frydJhRo9UL5NaOz4jv6BP7XWgS35lIoJPQMGsqcoDJebOXPilVEsCDhjjfKEWYuQU2cNFHI8uIvxRfjQzS50XoNPdzwFZg4yLhB8nAnmxEzb0wnMXXvpgBk%2bDn85rAs2%2bsNk79Cf%2b2R%2bRawRDXbyXxG%2fO9yANSA49A51rwiSeZjZB7dzcZ5OeCIGHXHSAiJCEMLRYOEl989akxu%2fkc228YkBkfHX6U5%2bbuDDktHtKv","descargar bases")</f>
      </c>
    </row>
    <row r="62">
      <c r="A62" s="0" t="inlineStr">
        <is>
          <t xml:space="preserve">2239-2-LR26</t>
        </is>
      </c>
      <c r="B62" s="4" t="inlineStr">
        <is>
          <t xml:space="preserve">Convenio Marco Desarrollo de software</t>
        </is>
      </c>
      <c r="C62" s="0" t="inlineStr">
        <is>
          <t xml:space="preserve">Publicada</t>
        </is>
      </c>
      <c r="D62" s="0" t="inlineStr">
        <is>
          <t xml:space="preserve">DIRECCION DE COMPRAS Y CONTRATACION PUBLICA</t>
        </is>
      </c>
      <c r="E62" s="0" t="inlineStr">
        <is>
          <t xml:space="preserve">División de Convenio Marco</t>
        </is>
      </c>
      <c r="F62" s="0" t="inlineStr">
        <is>
          <t xml:space="preserve">Región Metropolitana de Santiago</t>
        </is>
      </c>
      <c r="G62" s="0" t="inlineStr">
        <is>
          <t xml:space="preserve">Santiago</t>
        </is>
      </c>
      <c r="H62" s="2">
        <v>46217.7375</v>
      </c>
      <c r="I62" s="2">
        <v>46304.625</v>
      </c>
      <c r="J62" s="0">
        <v>9</v>
      </c>
      <c r="K62" s="3"/>
      <c r="L62" s="0" t="inlineStr">
        <is>
          <t xml:space="preserve">CLF</t>
        </is>
      </c>
      <c r="M62" s="0" t="inlineStr">
        <is>
          <t xml:space="preserve">LR</t>
        </is>
      </c>
      <c r="N62" s="4" t="inlineStr">
        <is>
          <t xml:space="preserve">Servicios profesionales, administrativos y consultorías de gestión empresarial / Servicios de recursos humanos / Contratación de personal</t>
        </is>
      </c>
      <c r="O62" s="4" t="inlineStr">
        <is>
          <t xml:space="preserve">1 Unidad · Desarrolladores de software</t>
        </is>
      </c>
      <c r="P62" s="2"/>
      <c r="Q62" s="2"/>
      <c r="R62" s="0"/>
      <c r="S62" s="0" t="inlineStr">
        <is>
          <t xml:space="preserve">No</t>
        </is>
      </c>
      <c r="T62"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62" s="0" t="inlineStr">
        <is>
          <t xml:space="preserve">Convenio Marco</t>
        </is>
      </c>
      <c r="V62" s="4" t="inlineStr">
        <is>
          <t xml:space="preserve">Convenio Marco para la adquisición de los Servicios de Desarrollo y Mantención de Software, Servicios Profesionales TI y Cloud Computing</t>
        </is>
      </c>
      <c r="W62"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63">
      <c r="A63" s="0" t="inlineStr">
        <is>
          <t xml:space="preserve">3928-62-LE26</t>
        </is>
      </c>
      <c r="B63" s="4" t="inlineStr">
        <is>
          <t xml:space="preserve">ADQUISICION DE SOFTWARE Y EQUIPAMIENTO TECNOLOGICO PARA ESCUELA DE CAHUIL</t>
        </is>
      </c>
      <c r="C63" s="0" t="inlineStr">
        <is>
          <t xml:space="preserve">Publicada</t>
        </is>
      </c>
      <c r="D63" s="0" t="inlineStr">
        <is>
          <t xml:space="preserve">ILUSTRE MUNICIPALIDAD DE PICHILEMU</t>
        </is>
      </c>
      <c r="E63" s="0" t="inlineStr">
        <is>
          <t xml:space="preserve">Educación Municipal</t>
        </is>
      </c>
      <c r="F63" s="0" t="inlineStr">
        <is>
          <t xml:space="preserve">Región del Libertador General Bernardo O´Higgins</t>
        </is>
      </c>
      <c r="G63" s="0" t="inlineStr">
        <is>
          <t xml:space="preserve">Pichilemu</t>
        </is>
      </c>
      <c r="H63" s="2">
        <v>46290.638773</v>
      </c>
      <c r="I63" s="2">
        <v>46304.666667</v>
      </c>
      <c r="J63" s="0">
        <v>9</v>
      </c>
      <c r="K63" s="3">
        <v>9100000.0</v>
      </c>
      <c r="L63" s="0" t="inlineStr">
        <is>
          <t xml:space="preserve">CLP</t>
        </is>
      </c>
      <c r="M63" s="0" t="inlineStr">
        <is>
          <t xml:space="preserve">LE</t>
        </is>
      </c>
      <c r="N63" s="4" t="inlineStr">
        <is>
          <t xml:space="preserve">Maquinaria para fabricación y transformación industrial / Maquinaria y suministros de procesos industriales / Maquinaria para la industria farmacéutica, Tecnologías de la información, telecomunicaciones y radiodifusión / Software / Software de ocio o juegos de computador</t>
        </is>
      </c>
      <c r="O63" s="4" t="inlineStr">
        <is>
          <t xml:space="preserve">1 Global · Contadores de tabletas · 1 Global · Software doméstico</t>
        </is>
      </c>
      <c r="P63" s="2"/>
      <c r="Q63" s="2"/>
      <c r="R63" s="0"/>
      <c r="S63" s="0" t="inlineStr">
        <is>
          <t xml:space="preserve">No</t>
        </is>
      </c>
      <c r="T63" s="4"/>
      <c r="U63" s="0" t="inlineStr">
        <is>
          <t xml:space="preserve">MERYS TAPIA LATORRES</t>
        </is>
      </c>
      <c r="V63" s="4" t="inlineStr">
        <is>
          <t xml:space="preserve">ADQUISICION DE SOFTWARE Y EQUIPAMIENTO TECNOLOGICO PARA ESCUELA DE CAHUIL
DECRETO N° 2628 DEL 15.09.2026
FONDOS LEY SEP ESCUELA DECAHUIL</t>
        </is>
      </c>
      <c r="W63" s="5" t="str">
        <f>HYPERLINK("https://www.mercadopublico.cl/Procurement/Modules/Attachment/ViewAttachment.aspx?enc=llnK%2fgb8CFJuA088I65oNc6NDePAwenwetQuM2%2fVWIfaDwp0ViULgbZiZeN%2fDaASG7Kwrn0qnul5nD1blu7Bu0MR%2bzzgH5%2baymcg7tIf3KiX50RQUjO2jULVe%2bzUZEtJp%2fs%2f7RBfLE3vpJI2RjZUBKWK0FeWaS2T0mDTdDSocfa%2fmRcsgqtbPgNnm3LwTynuZVxH9Zcv27npEpjUDZ5MQM7ArN0ExXtu0SY%2flcxKnOkL18tbgu1SQ7lkb3c415aYNrsRCT5d%2f3uU9VGPclmE2gVGCv2CFaKXBFomBYkiC7M384AmUtDDZLiDim%2fow9fV","descargar bases")</f>
      </c>
    </row>
    <row r="64">
      <c r="A64" s="0" t="inlineStr">
        <is>
          <t xml:space="preserve">610-19-LE26</t>
        </is>
      </c>
      <c r="B64" s="4" t="inlineStr">
        <is>
          <t xml:space="preserve">Base de datos Plexos del Sistema Eléctrico Nacional</t>
        </is>
      </c>
      <c r="C64" s="0" t="inlineStr">
        <is>
          <t xml:space="preserve">Publicada</t>
        </is>
      </c>
      <c r="D64" s="0" t="inlineStr">
        <is>
          <t xml:space="preserve">Comisión Nacional de Energía</t>
        </is>
      </c>
      <c r="E64" s="0" t="inlineStr">
        <is>
          <t xml:space="preserve">Comisión Nacional de Energía</t>
        </is>
      </c>
      <c r="F64" s="0" t="inlineStr">
        <is>
          <t xml:space="preserve">Región Metropolitana de Santiago</t>
        </is>
      </c>
      <c r="G64" s="0" t="inlineStr">
        <is>
          <t xml:space="preserve">Santiago Centro</t>
        </is>
      </c>
      <c r="H64" s="2">
        <v>46287.700972</v>
      </c>
      <c r="I64" s="2">
        <v>46304.666667</v>
      </c>
      <c r="J64" s="0">
        <v>9</v>
      </c>
      <c r="K64" s="3">
        <v>50000000.0</v>
      </c>
      <c r="L64" s="0" t="inlineStr">
        <is>
          <t xml:space="preserve">CLP</t>
        </is>
      </c>
      <c r="M64" s="0" t="inlineStr">
        <is>
          <t xml:space="preserve">LE</t>
        </is>
      </c>
      <c r="N64" s="4" t="inlineStr">
        <is>
          <t xml:space="preserve">Servicios basados en ingeniería, ciencias sociales y tecnología de la información / Servicios profesionales de ingeniería / Ingeniería eléctrica y electrónica</t>
        </is>
      </c>
      <c r="O64" s="4" t="inlineStr">
        <is>
          <t xml:space="preserve">1 Unidad · Ingeniería eléctrica</t>
        </is>
      </c>
      <c r="P64" s="2"/>
      <c r="Q64" s="2"/>
      <c r="R64" s="0" t="inlineStr">
        <is>
          <t xml:space="preserve">360 días</t>
        </is>
      </c>
      <c r="S64" s="0" t="inlineStr">
        <is>
          <t xml:space="preserve">No</t>
        </is>
      </c>
      <c r="T64" s="4" t="inlineStr">
        <is>
          <t xml:space="preserve">De acuerdo a lo establecido en Bases de Licitación adjuntas.</t>
        </is>
      </c>
      <c r="U64" s="0" t="inlineStr">
        <is>
          <t xml:space="preserve">Esteban Robles Quiroga</t>
        </is>
      </c>
      <c r="V64"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64" s="5" t="str">
        <f>HYPERLINK("https://www.mercadopublico.cl/Procurement/Modules/Attachment/ViewAttachment.aspx?enc=ozVARICcNq%2f1Ahes9IrQn6rqF4LunTpZ%2bZ14bt9TFCzrD8b8bUTc0KuWEz2QQFy3vRoYn5WtFkRhhTxox%2fhzcd5o4%2fampRM0s0wLgBQLvAPWg7U03IR93Y7baUtAslUz37sWK7VaWf3aigSW4LS%2fT%2bN%2bbDhsirkzNOs7%2f9z2PFQ3ApKNLpEIDqaANdT9X%2bws7pTqi24VddcS%2bklO08x0gdyNHrIUy2LAAxBe%2fksB1YMzkc5%2bYeJG%2fXkTDDt4t2hCP2sAG74G9sQuoW%2beydZkTInbadPI5pLLkOFdd30QAaouFUUYqtReBJ2%2f%2bS1xVxok","descargar bases")</f>
      </c>
    </row>
    <row r="65">
      <c r="A65" s="0" t="inlineStr">
        <is>
          <t xml:space="preserve">3073-53-LE26</t>
        </is>
      </c>
      <c r="B65" s="4" t="inlineStr">
        <is>
          <t xml:space="preserve">Adq. licencias informáticas.Completar Formularios</t>
        </is>
      </c>
      <c r="C65" s="0" t="inlineStr">
        <is>
          <t xml:space="preserve">Publicada</t>
        </is>
      </c>
      <c r="D65" s="0" t="inlineStr">
        <is>
          <t xml:space="preserve">DIRECCION DE ABASTECIMIENTO DE LA ARMADA</t>
        </is>
      </c>
      <c r="E65" s="0" t="inlineStr">
        <is>
          <t xml:space="preserve">SERVICIO HIDROGRAFICO Y OCEANOGRAFICO</t>
        </is>
      </c>
      <c r="F65" s="0" t="inlineStr">
        <is>
          <t xml:space="preserve">Región de Valparaíso </t>
        </is>
      </c>
      <c r="G65" s="0"/>
      <c r="H65" s="2">
        <v>46294.467847</v>
      </c>
      <c r="I65" s="2">
        <v>46304.833333</v>
      </c>
      <c r="J65" s="0">
        <v>9</v>
      </c>
      <c r="K65" s="3">
        <v>15500000.0</v>
      </c>
      <c r="L65" s="0" t="inlineStr">
        <is>
          <t xml:space="preserve">CLP</t>
        </is>
      </c>
      <c r="M65" s="0" t="inlineStr">
        <is>
          <t xml:space="preserve">LE</t>
        </is>
      </c>
      <c r="N65" s="4" t="inlineStr">
        <is>
          <t xml:space="preserve">Tecnologías de la información, telecomunicaciones y radiodifusión / Software / Software de gestión</t>
        </is>
      </c>
      <c r="O65" s="4" t="inlineStr">
        <is>
          <t xml:space="preserve">10 Unidad · Software de gestión de licencias</t>
        </is>
      </c>
      <c r="P65" s="2"/>
      <c r="Q65" s="2"/>
      <c r="R65" s="0"/>
      <c r="S65" s="0" t="inlineStr">
        <is>
          <t xml:space="preserve">No</t>
        </is>
      </c>
      <c r="T65" s="4" t="inlineStr">
        <is>
          <t xml:space="preserve">Según Bases de Licitación.</t>
        </is>
      </c>
      <c r="U65" s="0" t="inlineStr">
        <is>
          <t xml:space="preserve">Javier Fernández Oyarzún</t>
        </is>
      </c>
      <c r="V65" s="4" t="inlineStr">
        <is>
          <t xml:space="preserve">El Servicio Hidrográfico y Oceanográfico de la Armada, requiere adquirir 10 licencias informáticas. Completar los 7 formularios.</t>
        </is>
      </c>
      <c r="W65" s="5" t="str">
        <f>HYPERLINK("https://www.mercadopublico.cl/Procurement/Modules/Attachment/ViewAttachment.aspx?enc=%2f2cbqQhZgd9N5wJxB6GmcFrep6%2bPduf1iyEb3tlbPypsHMhDY4caMLHIq9PCNgPgAWlDspgsPi5vmruyrd6vE8dek654GtgQD4EMkUR%2fdf%2bx80rhMPAl1m%2bki1kqTAOyWGF7qqJ7Rmt9zG5RTyDi9c9TULHiA7WPR1C4Z%2bAUQbH3yTe9y5BRx%2bhGAD9B0IdCzUcNqJftgTcZInoqMc9%2fixjLgfrJpqO5x7ctflM3hH%2f4%2f%2b008DUzvgcJk1jEcLS%2ftw39ngTCAgcGp%2bMANeTa%2fy2t0pslBlQ74AJMvz27xuJxWPR9JUbqnpI%2fr%2b93sAcG","descargar bases")</f>
      </c>
    </row>
    <row r="66">
      <c r="A66" s="0" t="inlineStr">
        <is>
          <t xml:space="preserve">1020-40-LP26</t>
        </is>
      </c>
      <c r="B66" s="4" t="inlineStr">
        <is>
          <t xml:space="preserve">Serv.Cloud Amazon Web Services AWS o Equivalente</t>
        </is>
      </c>
      <c r="C66" s="0" t="inlineStr">
        <is>
          <t xml:space="preserve">Publicada</t>
        </is>
      </c>
      <c r="D66" s="0" t="inlineStr">
        <is>
          <t xml:space="preserve">MINISTERIO DE OBRAS PUBLICAS DIREC CION GRAL DE OO PP DCYF</t>
        </is>
      </c>
      <c r="E66" s="0" t="inlineStr">
        <is>
          <t xml:space="preserve">MOP Subsecretaría </t>
        </is>
      </c>
      <c r="F66" s="0" t="inlineStr">
        <is>
          <t xml:space="preserve">Región Metropolitana de Santiago</t>
        </is>
      </c>
      <c r="G66" s="0"/>
      <c r="H66" s="2">
        <v>46254.652083</v>
      </c>
      <c r="I66" s="2">
        <v>46308.625694</v>
      </c>
      <c r="J66" s="0">
        <v>13</v>
      </c>
      <c r="K66" s="3">
        <v>295121.0</v>
      </c>
      <c r="L66" s="0" t="inlineStr">
        <is>
          <t xml:space="preserve">USD</t>
        </is>
      </c>
      <c r="M66" s="0" t="inlineStr">
        <is>
          <t xml:space="preserve">LP</t>
        </is>
      </c>
      <c r="N66" s="4" t="inlineStr">
        <is>
          <t xml:space="preserve">Tecnologías de la información, telecomunicaciones y radiodifusión / Software / Software de consultas y gestión de datos</t>
        </is>
      </c>
      <c r="O66" s="4" t="inlineStr">
        <is>
          <t xml:space="preserve">1 Unidad · Software del sistema de administración de bases de datos</t>
        </is>
      </c>
      <c r="P66" s="2"/>
      <c r="Q66" s="2"/>
      <c r="R66" s="0" t="inlineStr">
        <is>
          <t xml:space="preserve">36 meses</t>
        </is>
      </c>
      <c r="S66" s="0" t="inlineStr">
        <is>
          <t xml:space="preserve">No</t>
        </is>
      </c>
      <c r="T66" s="4" t="inlineStr">
        <is>
          <t xml:space="preserve">Ver numeral 10.5 de las Bases Administrativas, en archivo adjunto.</t>
        </is>
      </c>
      <c r="U66" s="0" t="inlineStr">
        <is>
          <t xml:space="preserve">Carmen Gloria Ponce Pérez</t>
        </is>
      </c>
      <c r="V66"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66"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67">
      <c r="A67" s="0" t="inlineStr">
        <is>
          <t xml:space="preserve">1239966-13-LP26</t>
        </is>
      </c>
      <c r="B67" s="4" t="inlineStr">
        <is>
          <t xml:space="preserve">CONVENIO AGL EQUIPAMIENTO TECNOLÓGICO E INFORMÁTIC</t>
        </is>
      </c>
      <c r="C67" s="0" t="inlineStr">
        <is>
          <t xml:space="preserve">Publicada</t>
        </is>
      </c>
      <c r="D67" s="0" t="inlineStr">
        <is>
          <t xml:space="preserve">Corporación de Ecuación, Salud y Menores de Puerto Natales</t>
        </is>
      </c>
      <c r="E67" s="0" t="inlineStr">
        <is>
          <t xml:space="preserve">CESFAM JUAN LOZIC PEREZ</t>
        </is>
      </c>
      <c r="F67" s="0" t="inlineStr">
        <is>
          <t xml:space="preserve">Región de Magallanes y de la Antártica</t>
        </is>
      </c>
      <c r="G67" s="0" t="inlineStr">
        <is>
          <t xml:space="preserve">Puerto Natales</t>
        </is>
      </c>
      <c r="H67" s="2">
        <v>46293.632037</v>
      </c>
      <c r="I67" s="2">
        <v>46308.625694</v>
      </c>
      <c r="J67" s="0">
        <v>13</v>
      </c>
      <c r="K67" s="3"/>
      <c r="L67" s="0" t="inlineStr">
        <is>
          <t xml:space="preserve">CLP</t>
        </is>
      </c>
      <c r="M67" s="0" t="inlineStr">
        <is>
          <t xml:space="preserve">LP</t>
        </is>
      </c>
      <c r="N67" s="4" t="inlineStr">
        <is>
          <t xml:space="preserve">Tecnologías de la información, telecomunicaciones y radiodifusión / Equipos informáticos y accesorios / Computadores</t>
        </is>
      </c>
      <c r="O67" s="4" t="inlineStr">
        <is>
          <t xml:space="preserve">1 Unidad · Computadores personales</t>
        </is>
      </c>
      <c r="P67" s="2"/>
      <c r="Q67" s="2"/>
      <c r="R67" s="0"/>
      <c r="S67" s="0" t="inlineStr">
        <is>
          <t xml:space="preserve">No</t>
        </is>
      </c>
      <c r="T67" s="4"/>
      <c r="U67" s="0" t="inlineStr">
        <is>
          <t xml:space="preserve">Daniela Vega Blasquez</t>
        </is>
      </c>
      <c r="V67" s="4" t="inlineStr">
        <is>
          <t xml:space="preserve">Se requiere adquirir los productos del convenio al Programa de Apoyo a la Gestión a Nivel Local en Atención Primaria de Salud, para el Cesfam Dr. Juan E. Lozic Pérez, ubicado en Javiera Carrera N°1430, de la Ciudad de Puerto Natales</t>
        </is>
      </c>
      <c r="W67" s="5" t="str">
        <f>HYPERLINK("https://www.mercadopublico.cl/Procurement/Modules/Attachment/ViewAttachment.aspx?enc=dvAwF6Y%2fp6yeXDUuhbCMYfjZCqrdcUyucsG21V8HBxn%2bn%2fRgCpWrjK1hDQ4XIbiIFrmts59JVcNaxDXRZCQy4LE0%2baPgMJ6YJm%2fuPG%2bWuB0KBMH%2bIFnOkvaxgALzlRzg%2bP9hccFSRwpMD0ENpOXR0lLU6in560pBUlCpr45DRC7vd3MKIZArEWJRA0ADSqP43lvFDPl4SuLR%2fxDYIcS9nlhxAODUYbhzXFhEjVyA7kRqkjQDz18hjeKtrjW9SNLv8Xo8rUt049R2pGDcnM9mniuSkprUkyKbTZQOSiDCcoy1zgvUKeLk0au7GQfYPgZF","descargar bases")</f>
      </c>
    </row>
    <row r="68">
      <c r="A68" s="0" t="inlineStr">
        <is>
          <t xml:space="preserve">2445-124-LP26</t>
        </is>
      </c>
      <c r="B68" s="4" t="inlineStr">
        <is>
          <t xml:space="preserve">SERVICIO DE TELEFONIA FIJA IP Y PLATAFORMA IVR</t>
        </is>
      </c>
      <c r="C68" s="0" t="inlineStr">
        <is>
          <t xml:space="preserve">Publicada</t>
        </is>
      </c>
      <c r="D68" s="0" t="inlineStr">
        <is>
          <t xml:space="preserve">I MUNICIPALIDAD DE CURICO</t>
        </is>
      </c>
      <c r="E68" s="0" t="inlineStr">
        <is>
          <t xml:space="preserve">Salud - Adquisiciones</t>
        </is>
      </c>
      <c r="F68" s="0" t="inlineStr">
        <is>
          <t xml:space="preserve">Región del Maule </t>
        </is>
      </c>
      <c r="G68" s="0" t="inlineStr">
        <is>
          <t xml:space="preserve">Curicó</t>
        </is>
      </c>
      <c r="H68" s="2">
        <v>46286.707014</v>
      </c>
      <c r="I68" s="2">
        <v>46308.625694</v>
      </c>
      <c r="J68" s="0">
        <v>13</v>
      </c>
      <c r="K68" s="3"/>
      <c r="L68" s="0" t="inlineStr">
        <is>
          <t xml:space="preserve">CLP</t>
        </is>
      </c>
      <c r="M68" s="0" t="inlineStr">
        <is>
          <t xml:space="preserve">LP</t>
        </is>
      </c>
      <c r="N68" s="4" t="inlineStr">
        <is>
          <t xml:space="preserve">Servicios profesionales, administrativos y consultorías de gestión empresarial / Servicios de recursos humanos / Servicios de personal temporal</t>
        </is>
      </c>
      <c r="O68" s="4" t="inlineStr">
        <is>
          <t xml:space="preserve">1 Unidad · Mano de obra temporal</t>
        </is>
      </c>
      <c r="P68" s="2"/>
      <c r="Q68" s="2"/>
      <c r="R68" s="0" t="inlineStr">
        <is>
          <t xml:space="preserve">48 meses</t>
        </is>
      </c>
      <c r="S68" s="0" t="inlineStr">
        <is>
          <t xml:space="preserve">No</t>
        </is>
      </c>
      <c r="T68" s="4" t="inlineStr">
        <is>
          <t xml:space="preserve">.</t>
        </is>
      </c>
      <c r="U68" s="0" t="inlineStr">
        <is>
          <t xml:space="preserve">ENRIQUE IBARRA</t>
        </is>
      </c>
      <c r="V68" s="4" t="inlineStr">
        <is>
          <t xml:space="preserve">LA NECESIDAD DE CONTRATAR EL SERVICIO DE TELEFONIA FIJA IP Y PLATAFORMA IVR PARA EL DEPARTAMENTO DE SALUD DE CURICO POR 48 MESES. SE REALIZARA VISITA A TERRENO OBLIGATORIA EL DÍA VIERNES 25 A LAS 11:30 EN CARMEN 925</t>
        </is>
      </c>
      <c r="W68" s="5" t="str">
        <f>HYPERLINK("https://www.mercadopublico.cl/Procurement/Modules/Attachment/ViewAttachment.aspx?enc=Pui3HzE9%2b4k7BTqrsgyN98KQq2AcBe4rtwYr5m7yXNeVVwsAhkxmwJNHwJYQaXEfjS%2bx0SXwpYMhqSPuAS%2bly%2fDuACNvN8ENKIqa7n6iM3cvzaFJQBVzM5LsbnCmOI3Y5%2b1%2fqHV8yu4bQWer5dYsOFh6%2bPDO6wtRfULez9ueE0D%2fkMNv54SI8aKTOnWnNCxvz5xNYVdQ1mMpPzm8J%2fCDr%2bcBGNH1wPeyjUD%2b1gztq6UUzO%2bueca7QSam5OsLf5PfjeVWBPaP4mhE4CkuYcSgV8wMFBFZ3K6YTdWRgmeFp2%2f9iJqB3JjbwRlDec1kl9sr","descargar bases")</f>
      </c>
    </row>
    <row r="69">
      <c r="A69" s="0" t="inlineStr">
        <is>
          <t xml:space="preserve">29-81-LP26</t>
        </is>
      </c>
      <c r="B69" s="4" t="inlineStr">
        <is>
          <t xml:space="preserve">AGF - PLATAFORMA INGLES</t>
        </is>
      </c>
      <c r="C69" s="0" t="inlineStr">
        <is>
          <t xml:space="preserve">Publicada</t>
        </is>
      </c>
      <c r="D69" s="0" t="inlineStr">
        <is>
          <t xml:space="preserve">FUERZA AEREA DE CHILE COMANDO LOGISTICO</t>
        </is>
      </c>
      <c r="E69" s="0" t="inlineStr">
        <is>
          <t xml:space="preserve">Comando Logístico</t>
        </is>
      </c>
      <c r="F69" s="0" t="inlineStr">
        <is>
          <t xml:space="preserve">Región Metropolitana de Santiago</t>
        </is>
      </c>
      <c r="G69" s="0" t="inlineStr">
        <is>
          <t xml:space="preserve">El Bosque</t>
        </is>
      </c>
      <c r="H69" s="2">
        <v>46276.548981</v>
      </c>
      <c r="I69" s="2">
        <v>46308.625694</v>
      </c>
      <c r="J69" s="0">
        <v>13</v>
      </c>
      <c r="K69" s="3"/>
      <c r="L69" s="0" t="inlineStr">
        <is>
          <t xml:space="preserve">USD</t>
        </is>
      </c>
      <c r="M69" s="0" t="inlineStr">
        <is>
          <t xml:space="preserve">LP</t>
        </is>
      </c>
      <c r="N69" s="4" t="inlineStr">
        <is>
          <t xml:space="preserve">Educación, formación, entrenamiento y capacitación / Sistemas educativos complementarios / Escuelas de idiomas</t>
        </is>
      </c>
      <c r="O69" s="4" t="inlineStr">
        <is>
          <t xml:space="preserve">1 Global · Enseñanza conversacional de idiomas extranjeros</t>
        </is>
      </c>
      <c r="P69" s="2"/>
      <c r="Q69" s="2"/>
      <c r="R69" s="0"/>
      <c r="S69" s="0" t="inlineStr">
        <is>
          <t xml:space="preserve">No</t>
        </is>
      </c>
      <c r="T69" s="4"/>
      <c r="U69" s="0" t="inlineStr">
        <is>
          <t xml:space="preserve">PAULO ARELLANO WOLFF</t>
        </is>
      </c>
      <c r="V69" s="4" t="inlineStr">
        <is>
          <t xml:space="preserve">CONTRATACIÓN DE SERVICIO DE PLATAFORMA INTEGRAL DE CAPACITACIÓN EN IDIOMA INGLÉS MODALIDAD E-LEARNING CON TUTORIA</t>
        </is>
      </c>
      <c r="W69" s="5" t="str">
        <f>HYPERLINK("https://www.mercadopublico.cl/Procurement/Modules/Attachment/ViewAttachment.aspx?enc=FnSMvOaJ1HgssAobrfBW86L23vavPMDC3O4V2XMR40iqiUUFWr4sT1xJJe1F55eljOOONoPBv3%2bWyd49UdWBP3SImK%2fT4P%2f1bLsEKcPQAQxVqSELhEeXg5Sl4z3nOD%2fuZHqTBeFxCqFkvUHsRnacR5qATBWLg53%2b3GL0JWP9z290BJjB6rT8vrXlZ29PD0nPU0DIT17EGje6Fb%2f0rrlLFjE7v2MOfbLr2u51%2fIRi%2fu7bsHEEMv%2bWvZIg6%2fA5kixPB01Liav5rwpQ8KoI2j9ps%2f747URNYTSmqMd%2bRQ4fzW8yIoU%2bIKV8icWEI%2f301YKp","descargar bases")</f>
      </c>
    </row>
    <row r="70">
      <c r="A70" s="0" t="inlineStr">
        <is>
          <t xml:space="preserve">3447-145-LR26</t>
        </is>
      </c>
      <c r="B70" s="4" t="inlineStr">
        <is>
          <t xml:space="preserve">Adquisición e Implementación Plataforma Integral</t>
        </is>
      </c>
      <c r="C70" s="0" t="inlineStr">
        <is>
          <t xml:space="preserve">Publicada</t>
        </is>
      </c>
      <c r="D70" s="0" t="inlineStr">
        <is>
          <t xml:space="preserve">MUNICIPALIDAD DE ALTO HOSPICIO</t>
        </is>
      </c>
      <c r="E70" s="0" t="inlineStr">
        <is>
          <t xml:space="preserve">Direccion de Administracion y Finanzas</t>
        </is>
      </c>
      <c r="F70" s="0" t="inlineStr">
        <is>
          <t xml:space="preserve">Región de Tarapacá  </t>
        </is>
      </c>
      <c r="G70" s="0" t="inlineStr">
        <is>
          <t xml:space="preserve">Alto Hospicio</t>
        </is>
      </c>
      <c r="H70" s="2">
        <v>46276.643669</v>
      </c>
      <c r="I70" s="2">
        <v>46308.625694</v>
      </c>
      <c r="J70" s="0">
        <v>13</v>
      </c>
      <c r="K70" s="3"/>
      <c r="L70" s="0" t="inlineStr">
        <is>
          <t xml:space="preserve">CLP</t>
        </is>
      </c>
      <c r="M70" s="0" t="inlineStr">
        <is>
          <t xml:space="preserve">LR</t>
        </is>
      </c>
      <c r="N70" s="4" t="inlineStr">
        <is>
          <t xml:space="preserve">Servicios basados en ingeniería, ciencias sociales y tecnología de la información / Servicios informáticos / Ingeniería en computación e informática</t>
        </is>
      </c>
      <c r="O70" s="4" t="inlineStr">
        <is>
          <t xml:space="preserve">1 Global · Servicios de programación de sistemas operativos</t>
        </is>
      </c>
      <c r="P70" s="2"/>
      <c r="Q70" s="2"/>
      <c r="R70" s="0" t="inlineStr">
        <is>
          <t xml:space="preserve">24 meses</t>
        </is>
      </c>
      <c r="S70" s="0" t="inlineStr">
        <is>
          <t xml:space="preserve">No</t>
        </is>
      </c>
      <c r="T70" s="4"/>
      <c r="U70" s="0" t="inlineStr">
        <is>
          <t xml:space="preserve">JAIME AROS BINIMELIS</t>
        </is>
      </c>
      <c r="V70"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70" s="5" t="str">
        <f>HYPERLINK("https://www.mercadopublico.cl/Procurement/Modules/Attachment/ViewAttachment.aspx?enc=m8C3x0SCETrsQcK7f%2fTpLGgEksvyGsjNIpO%2b%2bbzI3iqCf9sC2STBCSodqCzjftvvRaJVGmlrA%2fXZJt2Wc7IJ%2fflLsK8W7RggAnsoAz2ZBeNL9BUq7%2fUbrztymUpgvePBt3ODRgj%2bzRdXtiTg8GogDchCgiuRV79JbYDsiS%2bRJIQbzXZLX1Y1kmFiioRXP6DdqWPtbuyfViUP2tGlG2GmP9%2fTrj5FMX3TJPlLENgjnkWxSBpMZ4h0zkfrUgzxVqFqGQ4%2b1uavtyXakt6BJJCvGdgy9SoKvX%2bcDAmjv6U06PmrcHCGd3ObQgX3%2bBYRi4s6","descargar bases")</f>
      </c>
    </row>
    <row r="71">
      <c r="A71" s="0" t="inlineStr">
        <is>
          <t xml:space="preserve">4246-9-LE26</t>
        </is>
      </c>
      <c r="B71" s="4" t="inlineStr">
        <is>
          <t xml:space="preserve">Licencias de software EDB Enterprise</t>
        </is>
      </c>
      <c r="C71" s="0" t="inlineStr">
        <is>
          <t xml:space="preserve">Publicada</t>
        </is>
      </c>
      <c r="D71" s="0" t="inlineStr">
        <is>
          <t xml:space="preserve">SUPERINTENDENCIA DE CASINOS DE JUEGO</t>
        </is>
      </c>
      <c r="E71" s="0" t="inlineStr">
        <is>
          <t xml:space="preserve">Superintendencia de Casinos de Juego</t>
        </is>
      </c>
      <c r="F71" s="0" t="inlineStr">
        <is>
          <t xml:space="preserve">Región Metropolitana de Santiago</t>
        </is>
      </c>
      <c r="G71" s="0" t="inlineStr">
        <is>
          <t xml:space="preserve">Santiago</t>
        </is>
      </c>
      <c r="H71" s="2">
        <v>46293.44537</v>
      </c>
      <c r="I71" s="2">
        <v>46308.625694</v>
      </c>
      <c r="J71" s="0">
        <v>13</v>
      </c>
      <c r="K71" s="3">
        <v>31000.0</v>
      </c>
      <c r="L71" s="0" t="inlineStr">
        <is>
          <t xml:space="preserve">USD</t>
        </is>
      </c>
      <c r="M71" s="0" t="inlineStr">
        <is>
          <t xml:space="preserve">LE</t>
        </is>
      </c>
      <c r="N71" s="4" t="inlineStr">
        <is>
          <t xml:space="preserve">Tecnologías de la información, telecomunicaciones y radiodifusión / Software / Software de consultas y gestión de datos</t>
        </is>
      </c>
      <c r="O71" s="4" t="inlineStr">
        <is>
          <t xml:space="preserve">1 Unidad · Software de administración de bases de datos orientado a objetos</t>
        </is>
      </c>
      <c r="P71" s="2"/>
      <c r="Q71" s="2"/>
      <c r="R71" s="0"/>
      <c r="S71" s="0" t="inlineStr">
        <is>
          <t xml:space="preserve">No</t>
        </is>
      </c>
      <c r="T71" s="4"/>
      <c r="U71" s="0" t="inlineStr">
        <is>
          <t xml:space="preserve">Alejandro Ledezma</t>
        </is>
      </c>
      <c r="V71" s="4" t="inlineStr">
        <is>
          <t xml:space="preserve">Adquisición de 4 EDB Enterprise Plan Production Support 1 Year Subscription y 10 EDB Enterprise Plan Basic Support 1 Year Subscription. 
Según bases de licitación aprobadas por Resolución Exenta N°945 adjunta</t>
        </is>
      </c>
      <c r="W71" s="5" t="str">
        <f>HYPERLINK("https://www.mercadopublico.cl/Procurement/Modules/Attachment/ViewAttachment.aspx?enc=QafcWHBXoP07yGNEyHUUnIlsD8S%2f0zgao3ca2nU%2b0Z9cZlm5tPZpnuRs0b3CvebFYZFIHY7Z7cQ1EutZXEWgQ6LqYvwQgLfbRyTPfR08V3yJNcNbo5%2fDuLpdvm6jUiOrKmo30tui%2bRMmPROP%2fr0TDcNkwwoiWeeaqtyaYaVSP4u6SRZpswMRx7NDazTxE04eZdglceiUfeBHvPQQPs71jhBVfyJWLkDhcbh%2fhzoKKrwx%2fyV7LnEgpfqvdkVBWL7go0yXNYSTkCo19ERiWWZErfWJ%2bCAVuH3umcSJA6b5BrsY0Fckk3dQSiC5BPccy2Bg","descargar bases")</f>
      </c>
    </row>
    <row r="72">
      <c r="A72" s="0" t="inlineStr">
        <is>
          <t xml:space="preserve">5482-101-LR26</t>
        </is>
      </c>
      <c r="B72" s="4" t="inlineStr">
        <is>
          <t xml:space="preserve">Plataforma IA para video y seguridad urbana</t>
        </is>
      </c>
      <c r="C72" s="0" t="inlineStr">
        <is>
          <t xml:space="preserve">Publicada</t>
        </is>
      </c>
      <c r="D72" s="0" t="inlineStr">
        <is>
          <t xml:space="preserve">I MUNICIPALIDAD DE NUNOA</t>
        </is>
      </c>
      <c r="E72" s="0" t="inlineStr">
        <is>
          <t xml:space="preserve">SECPLANUNOA</t>
        </is>
      </c>
      <c r="F72" s="0" t="inlineStr">
        <is>
          <t xml:space="preserve">Región Metropolitana de Santiago</t>
        </is>
      </c>
      <c r="G72" s="0" t="inlineStr">
        <is>
          <t xml:space="preserve">Ñuñoa</t>
        </is>
      </c>
      <c r="H72" s="2">
        <v>46275.73022</v>
      </c>
      <c r="I72" s="2">
        <v>46308.625694</v>
      </c>
      <c r="J72" s="0">
        <v>13</v>
      </c>
      <c r="K72" s="3"/>
      <c r="L72" s="0" t="inlineStr">
        <is>
          <t xml:space="preserve">CLF</t>
        </is>
      </c>
      <c r="M72" s="0" t="inlineStr">
        <is>
          <t xml:space="preserve">LR</t>
        </is>
      </c>
      <c r="N72" s="4" t="inlineStr">
        <is>
          <t xml:space="preserve">Tecnologías de la información, telecomunicaciones y radiodifusión / Software / Programas de desarrollo</t>
        </is>
      </c>
      <c r="O72" s="4" t="inlineStr">
        <is>
          <t xml:space="preserve">1 Global · Software de desarrollo de plataforma Web · 26 Mes · Software de desarrollo de plataforma Web</t>
        </is>
      </c>
      <c r="P72" s="2"/>
      <c r="Q72" s="2"/>
      <c r="R72" s="0" t="inlineStr">
        <is>
          <t xml:space="preserve">26 meses</t>
        </is>
      </c>
      <c r="S72" s="0" t="inlineStr">
        <is>
          <t xml:space="preserve">No</t>
        </is>
      </c>
      <c r="T72" s="4"/>
      <c r="U72" s="0" t="inlineStr">
        <is>
          <t xml:space="preserve">Katherinne Ayala</t>
        </is>
      </c>
      <c r="V72"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72"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73">
      <c r="A73" s="0" t="inlineStr">
        <is>
          <t xml:space="preserve">4449-30-LP26</t>
        </is>
      </c>
      <c r="B73" s="4" t="inlineStr">
        <is>
          <t xml:space="preserve">Adquisición de libros a perpetuida para BP Digital</t>
        </is>
      </c>
      <c r="C73" s="0" t="inlineStr">
        <is>
          <t xml:space="preserve">Publicada</t>
        </is>
      </c>
      <c r="D73" s="0" t="inlineStr">
        <is>
          <t xml:space="preserve">SERVICIO NACIONAL DEL PATRIMONIO CULTURAL</t>
        </is>
      </c>
      <c r="E73" s="0" t="inlineStr">
        <is>
          <t xml:space="preserve">SUBDIRECCIÓN DE BIBLIOTECAS PÚBLICAS</t>
        </is>
      </c>
      <c r="F73" s="0" t="inlineStr">
        <is>
          <t xml:space="preserve">Región Metropolitana de Santiago</t>
        </is>
      </c>
      <c r="G73" s="0" t="inlineStr">
        <is>
          <t xml:space="preserve">Santiago Centro</t>
        </is>
      </c>
      <c r="H73" s="2">
        <v>46287.715394</v>
      </c>
      <c r="I73" s="2">
        <v>46308.628472</v>
      </c>
      <c r="J73" s="0">
        <v>13</v>
      </c>
      <c r="K73" s="3">
        <v>73000000.0</v>
      </c>
      <c r="L73" s="0" t="inlineStr">
        <is>
          <t xml:space="preserve">CLP</t>
        </is>
      </c>
      <c r="M73" s="0" t="inlineStr">
        <is>
          <t xml:space="preserve">LP</t>
        </is>
      </c>
      <c r="N73" s="4" t="inlineStr">
        <is>
          <t xml:space="preserve">Productos impresos y publicaciones / Material electrónico de referencia / Publicaciones electrónicas y música</t>
        </is>
      </c>
      <c r="O73" s="4" t="inlineStr">
        <is>
          <t xml:space="preserve">3 Unidad · Libros en casetes o CD · 3 Unidad · Libros en casetes o CD · 3 Unidad · Libros en casetes o CD · y 577 más</t>
        </is>
      </c>
      <c r="P73" s="2"/>
      <c r="Q73" s="2"/>
      <c r="R73" s="0"/>
      <c r="S73" s="0" t="inlineStr">
        <is>
          <t xml:space="preserve">No</t>
        </is>
      </c>
      <c r="T73" s="4"/>
      <c r="U73" s="0" t="inlineStr">
        <is>
          <t xml:space="preserve">Salvador Young</t>
        </is>
      </c>
      <c r="V73" s="4" t="inlineStr">
        <is>
          <t xml:space="preserve">ADQUISICIÓN DE MATERIAL BIBLIOGRÁFICO BAJO LICENCIA A PERPETUIDAD PARA BIBLIOTECA PÚBLICA DIGITAL”</t>
        </is>
      </c>
      <c r="W73" s="5" t="str">
        <f>HYPERLINK("https://www.mercadopublico.cl/Procurement/Modules/Attachment/ViewAttachment.aspx?enc=DMUd8gVM6mhSqpzqAX2SvFkRXl41LYW8QYyAdw1hhIVSlnzOQlrugezrNi6qP%2f%2bLFRTneZ5%2ftdy%2f26GGsvpLF2mxgpk%2bK%2bTl8MHdqxBO7CsmQiFsQAmkcN9mnH1S1VMBxhzFD%2fL0XMPcgqBRgz083n0lzqLmAmJAg22DguFDRwm87hUyhhk22elloPVRC1nObyjwuxU%2fJ3mpTPlYzAzAdYLq74b97%2bzisqw1VfroOrQaBNmWwIaI9fjXhHbPlCxdU4MJwew%2foTTEBBGhGlDLCyibCRpgc8tjrMs6Hc013NnOEQrJf8QI3REccY4Fkar3","descargar bases")</f>
      </c>
    </row>
    <row r="74">
      <c r="A74" s="0" t="inlineStr">
        <is>
          <t xml:space="preserve">5420-22-LP26</t>
        </is>
      </c>
      <c r="B74" s="4" t="inlineStr">
        <is>
          <t xml:space="preserve">Arriendo de enlace de voz y datos</t>
        </is>
      </c>
      <c r="C74" s="0" t="inlineStr">
        <is>
          <t xml:space="preserve">Publicada</t>
        </is>
      </c>
      <c r="D74" s="0" t="inlineStr">
        <is>
          <t xml:space="preserve">GOBIERNO REGIONAL DE ARICA-PARINACOTA</t>
        </is>
      </c>
      <c r="E74" s="0" t="inlineStr">
        <is>
          <t xml:space="preserve">Gobierno Regional de Arica y Parinacota</t>
        </is>
      </c>
      <c r="F74" s="0" t="inlineStr">
        <is>
          <t xml:space="preserve">Región de Arica y Parinacota</t>
        </is>
      </c>
      <c r="G74" s="0" t="inlineStr">
        <is>
          <t xml:space="preserve">Arica</t>
        </is>
      </c>
      <c r="H74" s="2">
        <v>46286.430567</v>
      </c>
      <c r="I74" s="2">
        <v>46308.645833</v>
      </c>
      <c r="J74" s="0">
        <v>13</v>
      </c>
      <c r="K74" s="3"/>
      <c r="L74" s="0" t="inlineStr">
        <is>
          <t xml:space="preserve">CLP</t>
        </is>
      </c>
      <c r="M74" s="0" t="inlineStr">
        <is>
          <t xml:space="preserve">LP</t>
        </is>
      </c>
      <c r="N74" s="4" t="inlineStr">
        <is>
          <t xml:space="preserve">Servicios basados en ingeniería, ciencias sociales y tecnología de la información / Servicios informáticos / Servicios para internet</t>
        </is>
      </c>
      <c r="O74" s="4" t="inlineStr">
        <is>
          <t xml:space="preserve">1 Unidad · Proveedores de servicio de Internet (ISP)</t>
        </is>
      </c>
      <c r="P74" s="2"/>
      <c r="Q74" s="2"/>
      <c r="R74" s="0"/>
      <c r="S74" s="0" t="inlineStr">
        <is>
          <t xml:space="preserve">No</t>
        </is>
      </c>
      <c r="T74" s="4"/>
      <c r="U74" s="0" t="inlineStr">
        <is>
          <t xml:space="preserve">Omar Sepulveda Vasquez</t>
        </is>
      </c>
      <c r="V74" s="4" t="inlineStr">
        <is>
          <t xml:space="preserve">Poseer un enlace de voz y datos para las dependencias del Gobierno Regional de Arica y Parinacota y Consejo Regional de Arica y Parinacota</t>
        </is>
      </c>
      <c r="W74" s="5" t="str">
        <f>HYPERLINK("https://www.mercadopublico.cl/Procurement/Modules/Attachment/ViewAttachment.aspx?enc=Cg%2fKBVPhI5c4EFAG5bRoNhRjicPNwJUCgcuNDweUyy7%2bJksf6v5OKxx51FfwuxSHjtevYtSU9dqHoSgLwjd81kHHV6ASgk0f70rbvCNAaOTRGZIoye8gyA%2fqvwvYaqLtxMorGW766h%2bbSjH%2fLe9XtQHkFzilvs1eEz0Otb3bWXRw1CRafpC8Xr2dZCmj%2fY%2fXsi8RRzipZ94zm3iEy5YTyFHRu1r75twewUTLKiwGtgVeQLhPj%2fNIrTlhzuzdMckZFW0pucbat5p1TebCai3a084To7kzVHWdlqUK02Q16ggviA5BoTUqQ9j86F9hg6kN","descargar bases")</f>
      </c>
    </row>
    <row r="75">
      <c r="A75" s="0" t="inlineStr">
        <is>
          <t xml:space="preserve">906973-10-LP26</t>
        </is>
      </c>
      <c r="B75" s="4" t="inlineStr">
        <is>
          <t xml:space="preserve">SEGUNDO LLAMADO SISTEMAS INFORMÁTICOS DE GESTIÓN MUNICIPAL</t>
        </is>
      </c>
      <c r="C75" s="0" t="inlineStr">
        <is>
          <t xml:space="preserve">Publicada</t>
        </is>
      </c>
      <c r="D75" s="0" t="inlineStr">
        <is>
          <t xml:space="preserve">I MUNICIPALIDAD DE VICHUQUEN</t>
        </is>
      </c>
      <c r="E75" s="0" t="inlineStr">
        <is>
          <t xml:space="preserve">SECPLAC</t>
        </is>
      </c>
      <c r="F75" s="0" t="inlineStr">
        <is>
          <t xml:space="preserve">Región del Maule </t>
        </is>
      </c>
      <c r="G75" s="0" t="inlineStr">
        <is>
          <t xml:space="preserve">Vichuquén</t>
        </is>
      </c>
      <c r="H75" s="2">
        <v>46288.632222</v>
      </c>
      <c r="I75" s="2">
        <v>46308.645833</v>
      </c>
      <c r="J75" s="0">
        <v>13</v>
      </c>
      <c r="K75" s="3"/>
      <c r="L75" s="0" t="inlineStr">
        <is>
          <t xml:space="preserve">CLP</t>
        </is>
      </c>
      <c r="M75" s="0" t="inlineStr">
        <is>
          <t xml:space="preserve">LP</t>
        </is>
      </c>
      <c r="N75" s="4" t="inlineStr">
        <is>
          <t xml:space="preserve">Organizaciones y consultorías políticas, demográficas, económicas, sociales y de administración pública / Administración y finanzas públicas / Finanzas públicas</t>
        </is>
      </c>
      <c r="O75" s="4" t="inlineStr">
        <is>
          <t xml:space="preserve">36 Mes · Servicios contables gubernamentales</t>
        </is>
      </c>
      <c r="P75" s="2"/>
      <c r="Q75" s="2"/>
      <c r="R75" s="0"/>
      <c r="S75" s="0" t="inlineStr">
        <is>
          <t xml:space="preserve">No</t>
        </is>
      </c>
      <c r="T75" s="4"/>
      <c r="U75" s="0" t="inlineStr">
        <is>
          <t xml:space="preserve">Ariel Munoz Vasquez</t>
        </is>
      </c>
      <c r="V75"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75"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76">
      <c r="A76" s="0" t="inlineStr">
        <is>
          <t xml:space="preserve">591-26-LP26</t>
        </is>
      </c>
      <c r="B76" s="4" t="inlineStr">
        <is>
          <t xml:space="preserve">PLATAFORMA DE OBSERVABILIDAD AVANZADA MULTICLOUD PARA FONASA.</t>
        </is>
      </c>
      <c r="C76" s="0" t="inlineStr">
        <is>
          <t xml:space="preserve">Publicada</t>
        </is>
      </c>
      <c r="D76" s="0" t="inlineStr">
        <is>
          <t xml:space="preserve">FONDO NACIONAL DE SALUD</t>
        </is>
      </c>
      <c r="E76" s="0" t="inlineStr">
        <is>
          <t xml:space="preserve">FONASA, Nivel Central</t>
        </is>
      </c>
      <c r="F76" s="0" t="inlineStr">
        <is>
          <t xml:space="preserve">Región Metropolitana de Santiago</t>
        </is>
      </c>
      <c r="G76" s="0"/>
      <c r="H76" s="2">
        <v>46275.725</v>
      </c>
      <c r="I76" s="2">
        <v>46308.666667</v>
      </c>
      <c r="J76" s="0">
        <v>13</v>
      </c>
      <c r="K76" s="3"/>
      <c r="L76" s="0" t="inlineStr">
        <is>
          <t xml:space="preserve">CLP</t>
        </is>
      </c>
      <c r="M76" s="0" t="inlineStr">
        <is>
          <t xml:space="preserve">LP</t>
        </is>
      </c>
      <c r="N76" s="4" t="inlineStr">
        <is>
          <t xml:space="preserve">Tecnologías de la información, telecomunicaciones y radiodifusión / Software / Software de gestión</t>
        </is>
      </c>
      <c r="O76" s="4" t="inlineStr">
        <is>
          <t xml:space="preserve">1 Unidad · Software de gestión de licencias</t>
        </is>
      </c>
      <c r="P76" s="2"/>
      <c r="Q76" s="2"/>
      <c r="R76" s="0" t="inlineStr">
        <is>
          <t xml:space="preserve">15 meses</t>
        </is>
      </c>
      <c r="S76" s="0" t="inlineStr">
        <is>
          <t xml:space="preserve">No</t>
        </is>
      </c>
      <c r="T76" s="4"/>
      <c r="U76" s="0" t="inlineStr">
        <is>
          <t xml:space="preserve">Marcelo Gonzalez</t>
        </is>
      </c>
      <c r="V76" s="4" t="inlineStr">
        <is>
          <t xml:space="preserve">El Oferente para la provisión de una plataforma de observabilidad SaaS y la prestación de servicios profesionales especializados para su configuración, despliegue multicloud y transferencia tecnológica</t>
        </is>
      </c>
      <c r="W76" s="5" t="str">
        <f>HYPERLINK("https://www.mercadopublico.cl/Procurement/Modules/Attachment/ViewAttachment.aspx?enc=g23gndmDNWaLZ%2bOvYeTfPF8f%2f4F%2fUNUflRUVbufMCJLe8CXEpXDGUoo04bD7YijxIHN%2b0cK7yzd8JReIFIUADy8kGc9A%2fztiLGnSNm50irt3cSgLcn50DwvRFYX%2bhH5ovXzBDRygkdjB2NtDZ42FMC2kVffuLIQhdb5KZ7JVWy13YapKlm6U6Q2ahWV1tfM7KMF%2b2%2fKzlcdSsdN2qhiKZUE117llhDHbNcol3OhKmr9xtHVmeuK9gWMaXo1ZGKAfv0nlvX2nin41O6B%2frxnKYCGPy%2bYunqtmKGYIBDOGsFXij1Yd4gQ9I9KbcgqzXtY1","descargar bases")</f>
      </c>
    </row>
    <row r="77">
      <c r="A77" s="0" t="inlineStr">
        <is>
          <t xml:space="preserve">1488587-36-LE26</t>
        </is>
      </c>
      <c r="B77" s="4" t="inlineStr">
        <is>
          <t xml:space="preserve">Ampliación Laboratorio de Imagen Digital Carrera de Periodismo Campus Andrés Bello de Universidad de La Serena</t>
        </is>
      </c>
      <c r="C77" s="0" t="inlineStr">
        <is>
          <t xml:space="preserve">Publicada</t>
        </is>
      </c>
      <c r="D77" s="0" t="inlineStr">
        <is>
          <t xml:space="preserve">UNIVERSIDAD DE LA SERENA</t>
        </is>
      </c>
      <c r="E77" s="0" t="inlineStr">
        <is>
          <t xml:space="preserve">DIRECCIÓN DE INFRAESTRUCTURA</t>
        </is>
      </c>
      <c r="F77" s="0" t="inlineStr">
        <is>
          <t xml:space="preserve">Región de Coquimbo </t>
        </is>
      </c>
      <c r="G77" s="0"/>
      <c r="H77" s="2">
        <v>46294.568044</v>
      </c>
      <c r="I77" s="2">
        <v>46308.666667</v>
      </c>
      <c r="J77" s="0">
        <v>13</v>
      </c>
      <c r="K77" s="3">
        <v>50000000.0</v>
      </c>
      <c r="L77" s="0" t="inlineStr">
        <is>
          <t xml:space="preserve">CLP</t>
        </is>
      </c>
      <c r="M77" s="0" t="inlineStr">
        <is>
          <t xml:space="preserve">LE</t>
        </is>
      </c>
      <c r="N77" s="4" t="inlineStr">
        <is>
          <t xml:space="preserve">Servicios de construcción y mantenimiento / Construcción de edificios en general / Construcción residencial</t>
        </is>
      </c>
      <c r="O77" s="4" t="inlineStr">
        <is>
          <t xml:space="preserve">1 Global · Construcción de edificios y departamentos</t>
        </is>
      </c>
      <c r="P77" s="2"/>
      <c r="Q77" s="2"/>
      <c r="R77" s="0" t="inlineStr">
        <is>
          <t xml:space="preserve">120 días</t>
        </is>
      </c>
      <c r="S77" s="0" t="inlineStr">
        <is>
          <t xml:space="preserve">No</t>
        </is>
      </c>
      <c r="T77" s="4"/>
      <c r="U77" s="0" t="inlineStr">
        <is>
          <t xml:space="preserve">Luis Alejandro Paz Rivera</t>
        </is>
      </c>
      <c r="V77" s="4" t="inlineStr">
        <is>
          <t xml:space="preserve">Que la Universidad de La Serena requiere contratar los servicios de Ampliación Laboratorio de Imagen Digital, Carrera de Periodismo, Campus Andrés Bello de Universidad de La Serena.</t>
        </is>
      </c>
      <c r="W77" s="5" t="str">
        <f>HYPERLINK("https://www.mercadopublico.cl/Procurement/Modules/Attachment/ViewAttachment.aspx?enc=5iDr57SFBp1abcB3trocIB8t9X9QAuUaOlVa7nvW7iEc%2f8HlCx1%2b7DUS3TfDD%2bCNbcY3Y2pAFkMy6omu4NJN0hbj%2f4CgXyZWF6fWWM4gqwrsCUXSWsGAYZRWOB1dXeinzIhSLNRzkJX6gx5a1%2fOWgww07KWC%2bmEJDJNmKLqh6Gua8TyT2SFpB5GHXo%2f5fZAF8b1P27R4UzL%2bv113bIJAzHZAUsRsuOO8yp4y6FbnQFH7dVrB9RWwLh3Y5wny2NU665bTDlJH5XE3KH8kzZCOl2yeTQb1vDzr7I1jQZYZ8oX%2bR1K5GTLwYDI2gH5vxqiR","descargar bases")</f>
      </c>
    </row>
    <row r="78">
      <c r="A78" s="0" t="inlineStr">
        <is>
          <t xml:space="preserve">599-37-LP26</t>
        </is>
      </c>
      <c r="B78" s="4" t="inlineStr">
        <is>
          <t xml:space="preserve">ADQUISICIÓN DE SOFTWARE COMPRAS Y PAGOS 36 MESES</t>
        </is>
      </c>
      <c r="C78" s="0" t="inlineStr">
        <is>
          <t xml:space="preserve">Publicada</t>
        </is>
      </c>
      <c r="D78" s="0" t="inlineStr">
        <is>
          <t xml:space="preserve">JUNTA NACIONAL DE JARDINES         INFANTILES</t>
        </is>
      </c>
      <c r="E78" s="0" t="inlineStr">
        <is>
          <t xml:space="preserve">JUNTA NACIONAL DE JARDINES         INFANTILES</t>
        </is>
      </c>
      <c r="F78" s="0" t="inlineStr">
        <is>
          <t xml:space="preserve">Región Metropolitana de Santiago</t>
        </is>
      </c>
      <c r="G78" s="0" t="inlineStr">
        <is>
          <t xml:space="preserve">Santiago</t>
        </is>
      </c>
      <c r="H78" s="2">
        <v>46288.761505</v>
      </c>
      <c r="I78" s="2">
        <v>46308.75</v>
      </c>
      <c r="J78" s="0">
        <v>13</v>
      </c>
      <c r="K78" s="3"/>
      <c r="L78" s="0" t="inlineStr">
        <is>
          <t xml:space="preserve">CLP</t>
        </is>
      </c>
      <c r="M78" s="0" t="inlineStr">
        <is>
          <t xml:space="preserve">LP</t>
        </is>
      </c>
      <c r="N78" s="4" t="inlineStr">
        <is>
          <t xml:space="preserve">Tecnologías de la información, telecomunicaciones y radiodifusión / Software / Software de gestión</t>
        </is>
      </c>
      <c r="O78" s="4" t="inlineStr">
        <is>
          <t xml:space="preserve">1 Unidad · Software de gestión de adquisiciones</t>
        </is>
      </c>
      <c r="P78" s="2"/>
      <c r="Q78" s="2"/>
      <c r="R78" s="0" t="inlineStr">
        <is>
          <t xml:space="preserve">36 meses</t>
        </is>
      </c>
      <c r="S78" s="0" t="inlineStr">
        <is>
          <t xml:space="preserve">No</t>
        </is>
      </c>
      <c r="T78" s="4"/>
      <c r="U78" s="0" t="inlineStr">
        <is>
          <t xml:space="preserve">Oficina de Gestión de Contratos</t>
        </is>
      </c>
      <c r="V78"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78"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79">
      <c r="A79" s="0" t="inlineStr">
        <is>
          <t xml:space="preserve">568658-71-LE26</t>
        </is>
      </c>
      <c r="B79" s="4" t="inlineStr">
        <is>
          <t xml:space="preserve">SOFTWARE DE GESTIÓN PARA FARMACIAS Y OPTICAS</t>
        </is>
      </c>
      <c r="C79" s="0" t="inlineStr">
        <is>
          <t xml:space="preserve">Publicada</t>
        </is>
      </c>
      <c r="D79" s="0" t="inlineStr">
        <is>
          <t xml:space="preserve">CORPORACION MUNICIPAL VINA DEL MAR PARA EL DESARROLLO SOCIAL</t>
        </is>
      </c>
      <c r="E79" s="0" t="inlineStr">
        <is>
          <t xml:space="preserve">CORPORACION MUNICIPAL VINA DEL MAR PARA EL DESARRO</t>
        </is>
      </c>
      <c r="F79" s="0" t="inlineStr">
        <is>
          <t xml:space="preserve">Región de Valparaíso </t>
        </is>
      </c>
      <c r="G79" s="0" t="inlineStr">
        <is>
          <t xml:space="preserve">Viña del Mar</t>
        </is>
      </c>
      <c r="H79" s="2">
        <v>46293.681412</v>
      </c>
      <c r="I79" s="2">
        <v>46309.375</v>
      </c>
      <c r="J79" s="0">
        <v>14</v>
      </c>
      <c r="K79" s="3">
        <v>35112264.0</v>
      </c>
      <c r="L79" s="0" t="inlineStr">
        <is>
          <t xml:space="preserve">CLP</t>
        </is>
      </c>
      <c r="M79" s="0" t="inlineStr">
        <is>
          <t xml:space="preserve">LE</t>
        </is>
      </c>
      <c r="N79" s="4" t="inlineStr">
        <is>
          <t xml:space="preserve">Tecnologías de la información, telecomunicaciones y radiodifusión / Software / Software de consultas y gestión de datos</t>
        </is>
      </c>
      <c r="O79" s="4" t="inlineStr">
        <is>
          <t xml:space="preserve">1 Unidad · Software de administración de metadatos</t>
        </is>
      </c>
      <c r="P79" s="2"/>
      <c r="Q79" s="2"/>
      <c r="R79" s="0" t="inlineStr">
        <is>
          <t xml:space="preserve">36 meses</t>
        </is>
      </c>
      <c r="S79" s="0" t="inlineStr">
        <is>
          <t xml:space="preserve">No</t>
        </is>
      </c>
      <c r="T79" s="4"/>
      <c r="U79" s="0" t="inlineStr">
        <is>
          <t xml:space="preserve">Jean Baptiste Pujos</t>
        </is>
      </c>
      <c r="V79" s="4" t="inlineStr">
        <is>
          <t xml:space="preserve">Las presentes Bases Administrativas tienen por objeto regular el llamado a propuesta pública denominada “CONTRATACIÓN DE UNA SOLUCIÓN INTEGRAL DE SOFTWARE DE GESTIÓN PARA FARMACIAS MUNICIPALES Y ÓPTICA MUNICIPAL” Esta licitación es de carácter público y tiene por objeto la contratación de un sistema informático para gestionar Farmacias Municipales y la Óptica Municipal.</t>
        </is>
      </c>
      <c r="W79" s="5" t="str">
        <f>HYPERLINK("https://www.mercadopublico.cl/Procurement/Modules/Attachment/ViewAttachment.aspx?enc=5jldGaNOf0cymKVuOQhoSUJOeX5kyvzj0MRsin0z6APwr1xMZvp6%2bso43avgaDL%2b5Q1FkuMoGJAC0YghFn1Bmfc5IUOQaNHfpJkDmA8YeE6ba33lu%2beRnwFocsR%2bEDK7mW0tzhkkLwh7c1CvAqzyWBOnLfyFnNjHMZAOiZyMJ3RLtOSN6K5OyTQrSqlmapHTWbSRN9ssLZ%2bPEJVa5GZNusDZNyroptOHVBHPqGZ9yHIMZV%2fbJKC3hqPcMLZlnjGu8iZfuCeTg7oSYVmZmDss4QuPyQ7w9xTe37Ubt630q0XtYsLDwUfOI6DPq6Z34flv","descargar bases")</f>
      </c>
    </row>
    <row r="80">
      <c r="A80" s="0" t="inlineStr">
        <is>
          <t xml:space="preserve">728-13-LE26</t>
        </is>
      </c>
      <c r="B80" s="4" t="inlineStr">
        <is>
          <t xml:space="preserve">Servicio de automatización de Banco de Calibracion</t>
        </is>
      </c>
      <c r="C80" s="0" t="inlineStr">
        <is>
          <t xml:space="preserve">Publicada</t>
        </is>
      </c>
      <c r="D80" s="0" t="inlineStr">
        <is>
          <t xml:space="preserve">INSTITUTO NACIONAL DE HIDRAULICA</t>
        </is>
      </c>
      <c r="E80" s="0" t="inlineStr">
        <is>
          <t xml:space="preserve">Instituto Nacional de Hidráulicas - INH</t>
        </is>
      </c>
      <c r="F80" s="0" t="inlineStr">
        <is>
          <t xml:space="preserve">Región Metropolitana de Santiago</t>
        </is>
      </c>
      <c r="G80" s="0" t="inlineStr">
        <is>
          <t xml:space="preserve">Peñaflor</t>
        </is>
      </c>
      <c r="H80" s="2">
        <v>46294.706412</v>
      </c>
      <c r="I80" s="2">
        <v>46309.583333</v>
      </c>
      <c r="J80" s="0">
        <v>14</v>
      </c>
      <c r="K80" s="3"/>
      <c r="L80" s="0" t="inlineStr">
        <is>
          <t xml:space="preserve">CLP</t>
        </is>
      </c>
      <c r="M80" s="0" t="inlineStr">
        <is>
          <t xml:space="preserve">LE</t>
        </is>
      </c>
      <c r="N80" s="4" t="inlineStr">
        <is>
          <t xml:space="preserve">Maquinaria para fabricación y transformación industrial / Maquinaria y suministros de procesos industriales / Dispositivos de guía, posicionamiento y sujeción</t>
        </is>
      </c>
      <c r="O80" s="4" t="inlineStr">
        <is>
          <t xml:space="preserve">1 Unidad · Artículo de calibración</t>
        </is>
      </c>
      <c r="P80" s="2"/>
      <c r="Q80" s="2"/>
      <c r="R80" s="0"/>
      <c r="S80" s="0" t="inlineStr">
        <is>
          <t xml:space="preserve">No</t>
        </is>
      </c>
      <c r="T80" s="4"/>
      <c r="U80" s="0" t="inlineStr">
        <is>
          <t xml:space="preserve">Jimena Castillo</t>
        </is>
      </c>
      <c r="V80" s="4" t="inlineStr">
        <is>
          <t xml:space="preserve">Se requiere la automatizacion de banco de calibraciones.</t>
        </is>
      </c>
      <c r="W80" s="5" t="str">
        <f>HYPERLINK("https://www.mercadopublico.cl/Procurement/Modules/Attachment/ViewAttachment.aspx?enc=3L4iCZZu7SWBdvVvq5hafb4ye5UNXICzQzjZGh3q%2bK6wA7ZovyqRK8rf5u%2fgOVwwJQa5w%2f9pNYWvIcUHForC1zGJrNK69aqMyq7M3E%2fbNFAOAufyaEH63ESegs40r7FVZprkHOf2oiQhZDvR2ke04OL0SwwQtuZ9V3OUWR%2bqAiqXa6%2bqsNZxSvsEzYFF1ECbbx94Zx4xKYl5OFfLJkllKmGTFOMFT4JK6uOlYAHhC3xz%2fQFAOQQUOZBvABISoy81BgDa4mYGuO9cqMyHmMIaSYosyfBQons6IuoakJ%2fEeprYCLTF4IEzyaFOKEGa69uR","descargar bases")</f>
      </c>
    </row>
    <row r="81">
      <c r="A81" s="0" t="inlineStr">
        <is>
          <t xml:space="preserve">2107-153-LP26</t>
        </is>
      </c>
      <c r="B81" s="4" t="inlineStr">
        <is>
          <t xml:space="preserve">ARRIENDO DE INFRAESTRUCTURA FÍSICA ENTERPRISE PARA PLATAFORMA TECNOLÓGICA INSTITUCIONAL</t>
        </is>
      </c>
      <c r="C81" s="0" t="inlineStr">
        <is>
          <t xml:space="preserve">Publicada</t>
        </is>
      </c>
      <c r="D81" s="0" t="inlineStr">
        <is>
          <t xml:space="preserve">SERVICIO DE SALUD HOSPITAL DE SANTA CRUZ</t>
        </is>
      </c>
      <c r="E81" s="0" t="inlineStr">
        <is>
          <t xml:space="preserve">Hospital de Santa Cruz</t>
        </is>
      </c>
      <c r="F81" s="0" t="inlineStr">
        <is>
          <t xml:space="preserve">Región del Libertador General Bernardo O´Higgins</t>
        </is>
      </c>
      <c r="G81" s="0"/>
      <c r="H81" s="2">
        <v>46287.719167</v>
      </c>
      <c r="I81" s="2">
        <v>46309.645139</v>
      </c>
      <c r="J81" s="0">
        <v>14</v>
      </c>
      <c r="K81" s="3"/>
      <c r="L81" s="0" t="inlineStr">
        <is>
          <t xml:space="preserve">CLP</t>
        </is>
      </c>
      <c r="M81" s="0" t="inlineStr">
        <is>
          <t xml:space="preserve">LP</t>
        </is>
      </c>
      <c r="N81" s="4" t="inlineStr">
        <is>
          <t xml:space="preserve">Tecnologías de la información, telecomunicaciones y radiodifusión / Componentes para tecnología de la información, difusión o telecomunicaciones / Subconjuntos para dispositivos electrónicos</t>
        </is>
      </c>
      <c r="O81" s="4" t="inlineStr">
        <is>
          <t xml:space="preserve">1 Unidad · Componentes de dispositivo de entrada o unidad de almacenamiento</t>
        </is>
      </c>
      <c r="P81" s="2"/>
      <c r="Q81" s="2"/>
      <c r="R81" s="0" t="inlineStr">
        <is>
          <t xml:space="preserve">36 meses</t>
        </is>
      </c>
      <c r="S81" s="0" t="inlineStr">
        <is>
          <t xml:space="preserve">No</t>
        </is>
      </c>
      <c r="T81" s="4"/>
      <c r="U81" s="0" t="inlineStr">
        <is>
          <t xml:space="preserve">Nicolas Salgado</t>
        </is>
      </c>
      <c r="V81" s="4" t="inlineStr">
        <is>
          <t xml:space="preserve">la contratación permitirá mantener la continuidad operacional de los servicios institucionales, disminuyendo riesgos tecnológicos y asegurando la disponibilidad permanente de la información clínica y administrativa</t>
        </is>
      </c>
      <c r="W81" s="5" t="str">
        <f>HYPERLINK("https://www.mercadopublico.cl/Procurement/Modules/Attachment/ViewAttachment.aspx?enc=Y6KLno3qm%2fweVb1vee5xIIm37f5D2vWIAoaQdmRarqy7U40HtM7H39A6d26Ahq0%2fbp6eWiY8O0MrLZMsePZNeukedaUoXSK1ES8G4LauucIMwLk%2f6fcwOno%2frTH5UbpQJW3mYDYw2A0PH%2f5tIqC8jyHtlJdJRv19rh7aY7VdwJzOj%2fTmh92q20MX9CTEMSYXt77%2fHq1aIWqhAlJE%2f4KlZTqFnDJbDVkuRGSJgiDSUwuoEzVOpMABkOlBl%2bM8q3jnL5x7kPUc4xuVkL2VRtsaxGoX%2bdjyFUJxrdXGc733i11hriJtXDE0RgnEf9557Rgs","descargar bases")</f>
      </c>
    </row>
    <row r="82">
      <c r="A82" s="0" t="inlineStr">
        <is>
          <t xml:space="preserve">2760-118-LR26</t>
        </is>
      </c>
      <c r="B82" s="4" t="inlineStr">
        <is>
          <t xml:space="preserve">SERVICIOS DE TELECOMUNICACIONES Y OTROS SERVICIOS INFORMÁTICOS PARA LA MUNICIPALIDAD DE CORONEL</t>
        </is>
      </c>
      <c r="C82" s="0" t="inlineStr">
        <is>
          <t xml:space="preserve">Publicada</t>
        </is>
      </c>
      <c r="D82" s="0" t="inlineStr">
        <is>
          <t xml:space="preserve">I MUNICIPALIDAD DE CORONEL</t>
        </is>
      </c>
      <c r="E82" s="0" t="inlineStr">
        <is>
          <t xml:space="preserve">SECRETARIA COMUNAL DE PLANIFICACION</t>
        </is>
      </c>
      <c r="F82" s="0" t="inlineStr">
        <is>
          <t xml:space="preserve">Región del Biobío </t>
        </is>
      </c>
      <c r="G82" s="0" t="inlineStr">
        <is>
          <t xml:space="preserve">Coronel</t>
        </is>
      </c>
      <c r="H82" s="2">
        <v>46279.810671</v>
      </c>
      <c r="I82" s="2">
        <v>46310.625</v>
      </c>
      <c r="J82" s="0">
        <v>15</v>
      </c>
      <c r="K82" s="3">
        <v>540000000.0</v>
      </c>
      <c r="L82" s="0" t="inlineStr">
        <is>
          <t xml:space="preserve">CLP</t>
        </is>
      </c>
      <c r="M82" s="0" t="inlineStr">
        <is>
          <t xml:space="preserve">LR</t>
        </is>
      </c>
      <c r="N82" s="4" t="inlineStr">
        <is>
          <t xml:space="preserve">Servicios basados en ingeniería, ciencias sociales y tecnología de la información / Servicios informáticos / Administración de sistemas</t>
        </is>
      </c>
      <c r="O82" s="4" t="inlineStr">
        <is>
          <t xml:space="preserve">1 Global · Soporte y mantenimiento de red de área local (LAN)</t>
        </is>
      </c>
      <c r="P82" s="2"/>
      <c r="Q82" s="2"/>
      <c r="R82" s="0" t="inlineStr">
        <is>
          <t xml:space="preserve">60 meses</t>
        </is>
      </c>
      <c r="S82" s="0" t="inlineStr">
        <is>
          <t xml:space="preserve">No</t>
        </is>
      </c>
      <c r="T82" s="4"/>
      <c r="U82" s="0" t="inlineStr">
        <is>
          <t xml:space="preserve">RODRIGO HENRIQUEZ ARANEDA</t>
        </is>
      </c>
      <c r="V82" s="4" t="inlineStr">
        <is>
          <t xml:space="preserve">SERVICIOS DE TELECOMUNICACIONES Y OTROS SERVICIOS INFORMÁTICOS PARA LA MUNICIPALIDAD DE CORONEL</t>
        </is>
      </c>
      <c r="W82" s="5" t="str">
        <f>HYPERLINK("https://www.mercadopublico.cl/Procurement/Modules/Attachment/ViewAttachment.aspx?enc=TqzQjHFm59hXM%2frw1EMFeTZlTh87jAu%2f5Cbcv7sISX0cDsinQ6ybgq5wroNfLPAh8FKHblDpG6bI0vROCvLdVRUkq9raezL4JWbYxHYFDGKWhAwExW8bjxEcpEgKN6GueyklaXKIpOazNr5kThWrHY4fxVrQfchcm1%2bDn8AbyLfTbjyg44fxyxPn6FGqWrq%2fN0CAD1gCEjuqcwOwILa0SejlivlUY2LPyS4abTb3tw6605ij0I8Dznr4vwuJECmNijW8CKuDW0jlxXhoa7iOXNLp%2fQcYF0DQoK1bxYFbYnXJCL6qcylSHxSsKt8aEJce","descargar bases")</f>
      </c>
    </row>
    <row r="83">
      <c r="A83" s="0" t="inlineStr">
        <is>
          <t xml:space="preserve">548874-78-LR26</t>
        </is>
      </c>
      <c r="B83" s="4" t="inlineStr">
        <is>
          <t xml:space="preserve">SERVICIO DE LICENCIAS CLOUD SUCCESSFACTORS</t>
        </is>
      </c>
      <c r="C83" s="0" t="inlineStr">
        <is>
          <t xml:space="preserve">Publicada</t>
        </is>
      </c>
      <c r="D83" s="0" t="inlineStr">
        <is>
          <t xml:space="preserve">INSTITUTO DE PREVISION SOCIAL</t>
        </is>
      </c>
      <c r="E83" s="0" t="inlineStr">
        <is>
          <t xml:space="preserve">IPS Oficina Central de Compras</t>
        </is>
      </c>
      <c r="F83" s="0" t="inlineStr">
        <is>
          <t xml:space="preserve">Región Metropolitana de Santiago</t>
        </is>
      </c>
      <c r="G83" s="0" t="inlineStr">
        <is>
          <t xml:space="preserve">Santiago</t>
        </is>
      </c>
      <c r="H83" s="2">
        <v>46272.683935</v>
      </c>
      <c r="I83" s="2">
        <v>46310.625</v>
      </c>
      <c r="J83" s="0">
        <v>15</v>
      </c>
      <c r="K83" s="3">
        <v>606192000.0</v>
      </c>
      <c r="L83" s="0" t="inlineStr">
        <is>
          <t xml:space="preserve">CLP</t>
        </is>
      </c>
      <c r="M83" s="0" t="inlineStr">
        <is>
          <t xml:space="preserve">LR</t>
        </is>
      </c>
      <c r="N83" s="4" t="inlineStr">
        <is>
          <t xml:space="preserve">Tecnologías de la información, telecomunicaciones y radiodifusión / Software / Software de gestión</t>
        </is>
      </c>
      <c r="O83" s="4" t="inlineStr">
        <is>
          <t xml:space="preserve">1 Global · Software de gestión de licencias</t>
        </is>
      </c>
      <c r="P83" s="2"/>
      <c r="Q83" s="2"/>
      <c r="R83" s="0" t="inlineStr">
        <is>
          <t xml:space="preserve">12 meses</t>
        </is>
      </c>
      <c r="S83" s="0" t="inlineStr">
        <is>
          <t xml:space="preserve">No</t>
        </is>
      </c>
      <c r="T83" s="4" t="inlineStr">
        <is>
          <t xml:space="preserve">Ver bases administrativas punto 16.</t>
        </is>
      </c>
      <c r="U83" s="0" t="inlineStr">
        <is>
          <t xml:space="preserve">Por Definir</t>
        </is>
      </c>
      <c r="V83" s="4" t="inlineStr">
        <is>
          <t xml:space="preserve">SERVICIO DE LICENCIAS CLOUD SUCCESSFACTORS EN MODALIDAD SAAS  E1O2RT8.</t>
        </is>
      </c>
      <c r="W83" s="5" t="str">
        <f>HYPERLINK("https://www.mercadopublico.cl/Procurement/Modules/Attachment/ViewAttachment.aspx?enc=qw8qM2UJR6krtbW766SFu%2fLPpt%2bEdjlPlvPKNXLRctdS5iZMTB5nFpK89AfZE%2fZZBgHi9oq1MYsuhJejuvyUWj%2f9oI5M6YKtxYHgsasukDIF%2f4Nr%2fII49vbIvIZL5y62ybox0D5tR2bSzHLehQbpoo2lXksmeIdijRCzzXEgZxJyHVb3qIolqcrBiF8Mx3JgKVexoph1z1s7bRZqGqTxs2bq4oZJ8PKmxhQ51vUUlA5SnaHD0rCAxocYszAypQaL2%2fu6E2RQI9t4XGhGjHMDPMy51kn7Uz1QWcP8L7jWm6Ij2XOaY9hYbWkXbzoQZ4rN","descargar bases")</f>
      </c>
    </row>
    <row r="84">
      <c r="A84" s="0" t="inlineStr">
        <is>
          <t xml:space="preserve">1305532-14-LP26</t>
        </is>
      </c>
      <c r="B84" s="4" t="inlineStr">
        <is>
          <t xml:space="preserve">VALORIZACION ACTIVO FIJO Y SOFTWARE INVENTARIO</t>
        </is>
      </c>
      <c r="C84" s="0" t="inlineStr">
        <is>
          <t xml:space="preserve">Publicada</t>
        </is>
      </c>
      <c r="D84" s="0" t="inlineStr">
        <is>
          <t xml:space="preserve">SERVICIO LOCAL DE EDUCACIÓN PÚBLICA DEL ELQUI</t>
        </is>
      </c>
      <c r="E84" s="0" t="inlineStr">
        <is>
          <t xml:space="preserve">COMPRAS Y LICITACIONES</t>
        </is>
      </c>
      <c r="F84" s="0" t="inlineStr">
        <is>
          <t xml:space="preserve">Región de Coquimbo </t>
        </is>
      </c>
      <c r="G84" s="0" t="inlineStr">
        <is>
          <t xml:space="preserve">La Serena</t>
        </is>
      </c>
      <c r="H84" s="2">
        <v>46288.674861</v>
      </c>
      <c r="I84" s="2">
        <v>46310.645833</v>
      </c>
      <c r="J84" s="0">
        <v>15</v>
      </c>
      <c r="K84" s="3">
        <v>138000000.0</v>
      </c>
      <c r="L84" s="0" t="inlineStr">
        <is>
          <t xml:space="preserve">CLP</t>
        </is>
      </c>
      <c r="M84" s="0" t="inlineStr">
        <is>
          <t xml:space="preserve">LP</t>
        </is>
      </c>
      <c r="N84" s="4" t="inlineStr">
        <is>
          <t xml:space="preserve">Servicios financieros, pensiones y seguros / Contabilidad y auditorías / Servicios contables</t>
        </is>
      </c>
      <c r="O84" s="4" t="inlineStr">
        <is>
          <t xml:space="preserve">1 Unidad · Contabilidad de inventario</t>
        </is>
      </c>
      <c r="P84" s="2"/>
      <c r="Q84" s="2"/>
      <c r="R84" s="0" t="inlineStr">
        <is>
          <t xml:space="preserve">24 meses</t>
        </is>
      </c>
      <c r="S84" s="0" t="inlineStr">
        <is>
          <t xml:space="preserve">No</t>
        </is>
      </c>
      <c r="T84" s="4"/>
      <c r="U84" s="0" t="inlineStr">
        <is>
          <t xml:space="preserve">Francisca Pérez García</t>
        </is>
      </c>
      <c r="V84"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84"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85">
      <c r="A85" s="0" t="inlineStr">
        <is>
          <t xml:space="preserve">1305532-16-LP26</t>
        </is>
      </c>
      <c r="B85" s="4" t="inlineStr">
        <is>
          <t xml:space="preserve">LICENCIAMIENTO SOFTWARE CONCILIACIONES BANCARIAS</t>
        </is>
      </c>
      <c r="C85" s="0" t="inlineStr">
        <is>
          <t xml:space="preserve">Publicada</t>
        </is>
      </c>
      <c r="D85" s="0" t="inlineStr">
        <is>
          <t xml:space="preserve">SERVICIO LOCAL DE EDUCACIÓN PÚBLICA DEL ELQUI</t>
        </is>
      </c>
      <c r="E85" s="0" t="inlineStr">
        <is>
          <t xml:space="preserve">COMPRAS Y LICITACIONES</t>
        </is>
      </c>
      <c r="F85" s="0" t="inlineStr">
        <is>
          <t xml:space="preserve">Región de Coquimbo </t>
        </is>
      </c>
      <c r="G85" s="0" t="inlineStr">
        <is>
          <t xml:space="preserve">La Serena</t>
        </is>
      </c>
      <c r="H85" s="2">
        <v>46289.534722</v>
      </c>
      <c r="I85" s="2">
        <v>46310.645833</v>
      </c>
      <c r="J85" s="0">
        <v>15</v>
      </c>
      <c r="K85" s="3">
        <v>72000000.0</v>
      </c>
      <c r="L85" s="0" t="inlineStr">
        <is>
          <t xml:space="preserve">CLP</t>
        </is>
      </c>
      <c r="M85" s="0" t="inlineStr">
        <is>
          <t xml:space="preserve">LP</t>
        </is>
      </c>
      <c r="N85" s="4" t="inlineStr">
        <is>
          <t xml:space="preserve">Tecnologías de la información, telecomunicaciones y radiodifusión / Software / Software de planificación de recursos empresariales (ERP) y contabilidad financiera</t>
        </is>
      </c>
      <c r="O85" s="4" t="inlineStr">
        <is>
          <t xml:space="preserve">1 Unidad · Programas de contabilidad</t>
        </is>
      </c>
      <c r="P85" s="2"/>
      <c r="Q85" s="2"/>
      <c r="R85" s="0" t="inlineStr">
        <is>
          <t xml:space="preserve">36 meses</t>
        </is>
      </c>
      <c r="S85" s="0" t="inlineStr">
        <is>
          <t xml:space="preserve">No</t>
        </is>
      </c>
      <c r="T8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85" s="0" t="inlineStr">
        <is>
          <t xml:space="preserve">Francisca Pérez García</t>
        </is>
      </c>
      <c r="V85"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85"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86">
      <c r="A86" s="0" t="inlineStr">
        <is>
          <t xml:space="preserve">2403-72-LP26</t>
        </is>
      </c>
      <c r="B86" s="4" t="inlineStr">
        <is>
          <t xml:space="preserve">Servicios Cloud</t>
        </is>
      </c>
      <c r="C86" s="0" t="inlineStr">
        <is>
          <t xml:space="preserve">Publicada</t>
        </is>
      </c>
      <c r="D86" s="0" t="inlineStr">
        <is>
          <t xml:space="preserve">I MUNICIPALIDAD DE PENALOLEN</t>
        </is>
      </c>
      <c r="E86" s="0" t="inlineStr">
        <is>
          <t xml:space="preserve">I.MUNICIPALIDAD DE PEÑALOLEN</t>
        </is>
      </c>
      <c r="F86" s="0" t="inlineStr">
        <is>
          <t xml:space="preserve">Región Metropolitana de Santiago</t>
        </is>
      </c>
      <c r="G86" s="0" t="inlineStr">
        <is>
          <t xml:space="preserve">Peñalolén</t>
        </is>
      </c>
      <c r="H86" s="2">
        <v>46288.529942</v>
      </c>
      <c r="I86" s="2">
        <v>46310.645833</v>
      </c>
      <c r="J86" s="0">
        <v>15</v>
      </c>
      <c r="K86" s="3">
        <v>320000.0</v>
      </c>
      <c r="L86" s="0" t="inlineStr">
        <is>
          <t xml:space="preserve">USD</t>
        </is>
      </c>
      <c r="M86" s="0" t="inlineStr">
        <is>
          <t xml:space="preserve">LP</t>
        </is>
      </c>
      <c r="N86" s="4" t="inlineStr">
        <is>
          <t xml:space="preserve">Servicios basados en ingeniería, ciencias sociales y tecnología de la información / Servicios informáticos / Servicios de datos</t>
        </is>
      </c>
      <c r="O86" s="4" t="inlineStr">
        <is>
          <t xml:space="preserve">1 Global · Centro de servicios de datos</t>
        </is>
      </c>
      <c r="P86" s="2"/>
      <c r="Q86" s="2"/>
      <c r="R86" s="0" t="inlineStr">
        <is>
          <t xml:space="preserve">49 meses</t>
        </is>
      </c>
      <c r="S86" s="0" t="inlineStr">
        <is>
          <t xml:space="preserve">No</t>
        </is>
      </c>
      <c r="T86" s="4" t="inlineStr">
        <is>
          <t xml:space="preserve">Según Bases de Licitación</t>
        </is>
      </c>
      <c r="U86" s="0" t="inlineStr">
        <is>
          <t xml:space="preserve">Matías Allende</t>
        </is>
      </c>
      <c r="V86"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86"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87">
      <c r="A87" s="0" t="inlineStr">
        <is>
          <t xml:space="preserve">608-197-LR26</t>
        </is>
      </c>
      <c r="B87" s="4" t="inlineStr">
        <is>
          <t xml:space="preserve">SERVICIO DE OPERACIÓN MANTENIMIENTO Y ACTUALIZACIÓN DE PLATAFORMAS TECNOLÓGICAS DE LA SALA DE CONTROL CENTRALIZADO DEL HOSPITAL DR. GUSTAVO FRICKE</t>
        </is>
      </c>
      <c r="C87" s="0" t="inlineStr">
        <is>
          <t xml:space="preserve">Publicada</t>
        </is>
      </c>
      <c r="D87" s="0" t="inlineStr">
        <is>
          <t xml:space="preserve">HOSPITAL DR GUSTAVO FRICKE DE VINA DEL MAR</t>
        </is>
      </c>
      <c r="E87" s="0" t="inlineStr">
        <is>
          <t xml:space="preserve">Hospital Dr. Gustavo Fricke</t>
        </is>
      </c>
      <c r="F87" s="0" t="inlineStr">
        <is>
          <t xml:space="preserve">Región de Valparaíso </t>
        </is>
      </c>
      <c r="G87" s="0"/>
      <c r="H87" s="2">
        <v>46279.505</v>
      </c>
      <c r="I87" s="2">
        <v>46310.686806</v>
      </c>
      <c r="J87" s="0">
        <v>15</v>
      </c>
      <c r="K87" s="3">
        <v>675433201.0</v>
      </c>
      <c r="L87" s="0" t="inlineStr">
        <is>
          <t xml:space="preserve">CLP</t>
        </is>
      </c>
      <c r="M87" s="0" t="inlineStr">
        <is>
          <t xml:space="preserve">LR</t>
        </is>
      </c>
      <c r="N87" s="4" t="inlineStr">
        <is>
          <t xml:space="preserve">Servicios basados en ingeniería, ciencias sociales y tecnología de la información / Servicios informáticos / Ingeniería en computación e informática</t>
        </is>
      </c>
      <c r="O87" s="4" t="inlineStr">
        <is>
          <t xml:space="preserve">1 Unidad · Integración de sistemas</t>
        </is>
      </c>
      <c r="P87" s="2"/>
      <c r="Q87" s="2"/>
      <c r="R87" s="0" t="inlineStr">
        <is>
          <t xml:space="preserve">17 meses</t>
        </is>
      </c>
      <c r="S87" s="0" t="inlineStr">
        <is>
          <t xml:space="preserve">No</t>
        </is>
      </c>
      <c r="T87" s="4"/>
      <c r="U87" s="0" t="inlineStr">
        <is>
          <t xml:space="preserve">SE DEFINIRÁ AL MOMENTO DE ADJUDICAR PROCESO</t>
        </is>
      </c>
      <c r="V87" s="4" t="inlineStr">
        <is>
          <t xml:space="preserve">Que la unidad de control centralizado integra plataformas tecnológicas y de comunicación complejas que
permiten el monitoreo constante y reacción inmediata ante incidentes y respuesta en tiempo real frente a
emergencias.</t>
        </is>
      </c>
      <c r="W87" s="5" t="str">
        <f>HYPERLINK("https://www.mercadopublico.cl/Procurement/Modules/Attachment/ViewAttachment.aspx?enc=IdUZDBqXGGg1WPECQhvmApoZ9JvjaOAC1NgxSN5w7c3%2b4DqPBz%2fMd2YsA2Tki8ahY7JN%2f3uXYqQei5OFsEAyLM6ih6xu8%2fBgVNc5KaGf%2fojKmXnPgzSej%2bNk%2fiSj9gKVWQpVs2wGKSxWnpxBQ3xVQP382FtC2p2FdUWmzxHRu8ubB8X7zPI%2fTMsxE7hUW3QItaNwuk0wpuVrgVwL19wun0leKf2IzSrdgQaJRygiE%2bPW9P4lFEwpTxKXLBzL%2bBoOWUN7wwLHg8NMlxmI6gnXLfUg7lkI5K%2fTVwwYZuozpVRGifLauf3T1bq6%2f%2f3dEYgM","descargar bases")</f>
      </c>
    </row>
    <row r="88">
      <c r="A88" s="0" t="inlineStr">
        <is>
          <t xml:space="preserve">1643-91-LP26</t>
        </is>
      </c>
      <c r="B88" s="4" t="inlineStr">
        <is>
          <t xml:space="preserve">SISTEMA INFORMÁTICO ERP</t>
        </is>
      </c>
      <c r="C88" s="0" t="inlineStr">
        <is>
          <t xml:space="preserve">Publicada</t>
        </is>
      </c>
      <c r="D88" s="0" t="inlineStr">
        <is>
          <t xml:space="preserve">SERVICIO NACIONAL DE SALUD HOSPITAL DE T</t>
        </is>
      </c>
      <c r="E88" s="0" t="inlineStr">
        <is>
          <t xml:space="preserve">Hospital de Talagante</t>
        </is>
      </c>
      <c r="F88" s="0" t="inlineStr">
        <is>
          <t xml:space="preserve">Región Metropolitana de Santiago</t>
        </is>
      </c>
      <c r="G88" s="0" t="inlineStr">
        <is>
          <t xml:space="preserve">Talagante</t>
        </is>
      </c>
      <c r="H88" s="2">
        <v>46290.5386</v>
      </c>
      <c r="I88" s="2">
        <v>46310.708333</v>
      </c>
      <c r="J88" s="0">
        <v>15</v>
      </c>
      <c r="K88" s="3">
        <v>320000000.0</v>
      </c>
      <c r="L88" s="0" t="inlineStr">
        <is>
          <t xml:space="preserve">CLP</t>
        </is>
      </c>
      <c r="M88" s="0" t="inlineStr">
        <is>
          <t xml:space="preserve">LP</t>
        </is>
      </c>
      <c r="N88" s="4" t="inlineStr">
        <is>
          <t xml:space="preserve">Tecnologías de la información, telecomunicaciones y radiodifusión / Software / Software de planificación de recursos empresariales (ERP) y contabilidad financiera</t>
        </is>
      </c>
      <c r="O88" s="4" t="inlineStr">
        <is>
          <t xml:space="preserve">1 Unidad · Software de planificación de recursos empresariales (ERP)</t>
        </is>
      </c>
      <c r="P88" s="2"/>
      <c r="Q88" s="2"/>
      <c r="R88" s="0" t="inlineStr">
        <is>
          <t xml:space="preserve">24 meses</t>
        </is>
      </c>
      <c r="S88" s="0" t="inlineStr">
        <is>
          <t xml:space="preserve">No</t>
        </is>
      </c>
      <c r="T88" s="4"/>
      <c r="U88" s="0" t="inlineStr">
        <is>
          <t xml:space="preserve">Paulina Montenegro Aguilera</t>
        </is>
      </c>
      <c r="V88" s="4" t="inlineStr">
        <is>
          <t xml:space="preserve">EL HOSPITAL DE TALAGANTE REQUIERE LA CONTRATACIÓN DEL SERVICIO DE IMPLEMENTACIÓN, MIGRACIÓN, PUESTA EN MARCHA Y EJECUCIÓN DE UN SISTEMA INFORMÁTICO DE GESTIÓN ERP POR 24 MESES.</t>
        </is>
      </c>
      <c r="W88" s="5" t="str">
        <f>HYPERLINK("https://www.mercadopublico.cl/Procurement/Modules/Attachment/ViewAttachment.aspx?enc=x9KuAy%2fO1Eu7dLoOn5cmk14DuKrHs8WscPB8pxmTF2r9HalRU9U%2fpQ%2bMhie7O8ACosS5HglgHhsLyv996PLZ1%2bouuhJxqDIV2zzs9975eVjqOg79TaSVTcor3MM8Xv5Pq%2b5bRMgOKVr5NaBV7c61TF%2bbeI0oZNwKFNCFPlTzdGHd%2bqkbU3qW7ReVnBQ6suNv1VQgc9Y6r%2f6H48LXu6D6j4kounWUBjAOfD1t%2bxEsPJWtLqrILMSRkh5ZNy9nqjV%2bp3v6gJlKY3glhTK3gA0hhEl%2fHFfWOSIAGczaGek7VgsmZRKjGXiyBM4KnGtZRHwM","descargar bases")</f>
      </c>
    </row>
    <row r="89">
      <c r="A89" s="0" t="inlineStr">
        <is>
          <t xml:space="preserve">2852-59-LP26</t>
        </is>
      </c>
      <c r="B89" s="4" t="inlineStr">
        <is>
          <t xml:space="preserve">ADQUISICION DE LICENCIAS DE SOFTWARE</t>
        </is>
      </c>
      <c r="C89" s="0" t="inlineStr">
        <is>
          <t xml:space="preserve">Publicada</t>
        </is>
      </c>
      <c r="D89" s="0" t="inlineStr">
        <is>
          <t xml:space="preserve">I MUNICIPALIDAD DE PUERTO VARAS</t>
        </is>
      </c>
      <c r="E89" s="0" t="inlineStr">
        <is>
          <t xml:space="preserve">Adquisiciones Municipalidad</t>
        </is>
      </c>
      <c r="F89" s="0" t="inlineStr">
        <is>
          <t xml:space="preserve">Región de los Lagos </t>
        </is>
      </c>
      <c r="G89" s="0" t="inlineStr">
        <is>
          <t xml:space="preserve">Puerto Varas</t>
        </is>
      </c>
      <c r="H89" s="2">
        <v>46290.736354</v>
      </c>
      <c r="I89" s="2">
        <v>46310.829167</v>
      </c>
      <c r="J89" s="0">
        <v>15</v>
      </c>
      <c r="K89" s="3"/>
      <c r="L89" s="0" t="inlineStr">
        <is>
          <t xml:space="preserve">CLP</t>
        </is>
      </c>
      <c r="M89" s="0" t="inlineStr">
        <is>
          <t xml:space="preserve">LP</t>
        </is>
      </c>
      <c r="N89" s="4" t="inlineStr">
        <is>
          <t xml:space="preserve">Tecnologías de la información, telecomunicaciones y radiodifusión / Software / Software de consultas y gestión de datos, Tecnologías de la información, telecomunicaciones y radiodifusión / Software / Software de gestión, Tecnologías de la información, telecomunicaciones y radiodifusión / Software / Software de planificación de recursos empresariales (ERP) y contabilidad financiera</t>
        </is>
      </c>
      <c r="O89" s="4" t="inlineStr">
        <is>
          <t xml:space="preserve">1 Unidad · Software de gestión de licencias · 1 Unidad · Software de gestión de licencias · 1 Unidad · Software de gestión de licencias · y 8 más</t>
        </is>
      </c>
      <c r="P89" s="2"/>
      <c r="Q89" s="2"/>
      <c r="R89" s="0"/>
      <c r="S89" s="0" t="inlineStr">
        <is>
          <t xml:space="preserve">No</t>
        </is>
      </c>
      <c r="T89" s="4"/>
      <c r="U89" s="0" t="inlineStr">
        <is>
          <t xml:space="preserve">Segundo Garcés Leuquen</t>
        </is>
      </c>
      <c r="V89" s="4" t="inlineStr">
        <is>
          <t xml:space="preserve">La presente licitación pública tiene por objeto adquirir, licencias de software para distintos departamentos municipales que nos asegure un alto estándar de calidad, eficiencia y nos asegure la continuidad de todos los servicios, integridad, de acuerdo con los requerimientos y las condiciones establecidas en las presentes Bases Administrativas, Requerimientos Técnicos y anexos que forman parte de ellas y las aclaraciones que se hicieren a éstos. El sistema de contratación será licitado en propuesta Pública y publicada en el portal www.mercadopublico.cl.</t>
        </is>
      </c>
      <c r="W89" s="5" t="str">
        <f>HYPERLINK("https://www.mercadopublico.cl/Procurement/Modules/Attachment/ViewAttachment.aspx?enc=bBBKtgG3%2fVC2mEToj%2buSaQk4C6rAMmsxUywEdGsfwZGVi8QaLyryRiRKGAMtYBsBG5obxDUWnApQClaEP7mmfbVphemVrXuDHeNWxbPQ5JCYgyfk05PIEDn0OP77prkYGwCVp5HyARork%2bJTkmXa9eIEdidWVXhJxy3QeebGPEeLowS%2bkkqfz9KAHv4KQNRfGhVk2cs%2bQr2Hif3WFe9KLdJ%2frcS1NOY2cQbXQUNoPHKh8dhr2apWvmD5qbD0fw7Xk%2fFCJO7kai%2bu8ggvRYbjRdo%2f%2bk5KCdxh4Xvxfa9XoYAAJlOR4mQ2PD3fIHpqA5fx","descargar bases")</f>
      </c>
    </row>
    <row r="90">
      <c r="A90" s="0" t="inlineStr">
        <is>
          <t xml:space="preserve">4459-23-LP26</t>
        </is>
      </c>
      <c r="B90" s="4" t="inlineStr">
        <is>
          <t xml:space="preserve">Plataforma de Sistemas Informáticos de Gestión Municipal para la Ilustre Municipalidad de Pichilemu</t>
        </is>
      </c>
      <c r="C90" s="0" t="inlineStr">
        <is>
          <t xml:space="preserve">Publicada</t>
        </is>
      </c>
      <c r="D90" s="0" t="inlineStr">
        <is>
          <t xml:space="preserve">ILUSTRE MUNICIPALIDAD DE PICHILEMU</t>
        </is>
      </c>
      <c r="E90" s="0" t="inlineStr">
        <is>
          <t xml:space="preserve">Departamento de Proyectos</t>
        </is>
      </c>
      <c r="F90" s="0" t="inlineStr">
        <is>
          <t xml:space="preserve">Región del Libertador General Bernardo O´Higgins</t>
        </is>
      </c>
      <c r="G90" s="0" t="inlineStr">
        <is>
          <t xml:space="preserve">Pichilemu</t>
        </is>
      </c>
      <c r="H90" s="2">
        <v>46290.508056</v>
      </c>
      <c r="I90" s="2">
        <v>46311.625</v>
      </c>
      <c r="J90" s="0">
        <v>16</v>
      </c>
      <c r="K90" s="3">
        <v>265216200.0</v>
      </c>
      <c r="L90" s="0" t="inlineStr">
        <is>
          <t xml:space="preserve">CLP</t>
        </is>
      </c>
      <c r="M90" s="0" t="inlineStr">
        <is>
          <t xml:space="preserve">LP</t>
        </is>
      </c>
      <c r="N90" s="4" t="inlineStr">
        <is>
          <t xml:space="preserve">Tecnologías de la información, telecomunicaciones y radiodifusión / Software / Software de administración de redes</t>
        </is>
      </c>
      <c r="O90" s="4" t="inlineStr">
        <is>
          <t xml:space="preserve">1 Unidad · Software de mejora de sistemas operativos de redes</t>
        </is>
      </c>
      <c r="P90" s="2"/>
      <c r="Q90" s="2"/>
      <c r="R90" s="0"/>
      <c r="S90" s="0" t="inlineStr">
        <is>
          <t xml:space="preserve">No</t>
        </is>
      </c>
      <c r="T90" s="4"/>
      <c r="U90" s="0" t="inlineStr">
        <is>
          <t xml:space="preserve">Isabel Riquelme Gonzalez</t>
        </is>
      </c>
      <c r="V90"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90" s="5" t="str">
        <f>HYPERLINK("https://www.mercadopublico.cl/Procurement/Modules/Attachment/ViewAttachment.aspx?enc=xrj98ry5gwCWqC1xhdFDNe58p4IoJLdYymGa3fZeL%2fEsX7hZVUie7eMZ3deVw46gdA%2bBR7WPdomjKsYBzicqAkTtKoOu3d7SvljMSPf2ag9DgwBlaChbVuBXPniVGdu2gghoGdwPiVy9yHmkZRH8ZGyeDaVJpFs89RC28fNl4Dt0LLLpJuJjoZ%2fk76G%2f0qaSpKl%2bBha7dcOjobUI28BQJvgH9PUchM497UBp5eKvVhnxXHhtV4910MeO%2fEaP3wGVfq5K%2brcLJD9EH6EDZ6LcYQjyjRD3qihgMokVp9mSXtnCi%2bMUhWm%2bhvjG0t8YOtnI","descargar bases")</f>
      </c>
    </row>
    <row r="91">
      <c r="A91" s="0" t="inlineStr">
        <is>
          <t xml:space="preserve">948354-139-LR26</t>
        </is>
      </c>
      <c r="B91" s="4" t="inlineStr">
        <is>
          <t xml:space="preserve">CONTRATACIÓN DE SERVICIO DE SOFTWARE DE RECURSOS HUMANOS PARA EL HOSPITAL DIPRECA</t>
        </is>
      </c>
      <c r="C91" s="0" t="inlineStr">
        <is>
          <t xml:space="preserve">Publicada</t>
        </is>
      </c>
      <c r="D91" s="0" t="inlineStr">
        <is>
          <t xml:space="preserve">FONDO HOSPITAL DE LA DIRECCION DE PREVISION DE CARABINEROS DE CHILE</t>
        </is>
      </c>
      <c r="E91" s="0" t="inlineStr">
        <is>
          <t xml:space="preserve">Unidad de Compra de Bienes y Servicios</t>
        </is>
      </c>
      <c r="F91" s="0" t="inlineStr">
        <is>
          <t xml:space="preserve">Región Metropolitana de Santiago</t>
        </is>
      </c>
      <c r="G91" s="0" t="inlineStr">
        <is>
          <t xml:space="preserve">Las Condes</t>
        </is>
      </c>
      <c r="H91" s="2">
        <v>46281.643044</v>
      </c>
      <c r="I91" s="2">
        <v>46311.666667</v>
      </c>
      <c r="J91" s="0">
        <v>16</v>
      </c>
      <c r="K91" s="3">
        <v>450000000.0</v>
      </c>
      <c r="L91" s="0" t="inlineStr">
        <is>
          <t xml:space="preserve">CLP</t>
        </is>
      </c>
      <c r="M91" s="0" t="inlineStr">
        <is>
          <t xml:space="preserve">LR</t>
        </is>
      </c>
      <c r="N91" s="4" t="inlineStr">
        <is>
          <t xml:space="preserve">Tecnologías de la información, telecomunicaciones y radiodifusión / Software / Software de gestión</t>
        </is>
      </c>
      <c r="O91" s="4" t="inlineStr">
        <is>
          <t xml:space="preserve">1 Unidad · Software de gestión de recursos humanos</t>
        </is>
      </c>
      <c r="P91" s="2"/>
      <c r="Q91" s="2"/>
      <c r="R91" s="0" t="inlineStr">
        <is>
          <t xml:space="preserve">36 meses</t>
        </is>
      </c>
      <c r="S91" s="0" t="inlineStr">
        <is>
          <t xml:space="preserve">No</t>
        </is>
      </c>
      <c r="T91" s="4"/>
      <c r="U91" s="0" t="inlineStr">
        <is>
          <t xml:space="preserve">Patricio Salinas</t>
        </is>
      </c>
      <c r="V9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91"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92">
      <c r="A92" s="0" t="inlineStr">
        <is>
          <t xml:space="preserve">2563-43-LP26</t>
        </is>
      </c>
      <c r="B92" s="4" t="inlineStr">
        <is>
          <t xml:space="preserve">Adquisición de cámaras IA y radares de seguridad</t>
        </is>
      </c>
      <c r="C92" s="0" t="inlineStr">
        <is>
          <t xml:space="preserve">Publicada</t>
        </is>
      </c>
      <c r="D92" s="0" t="inlineStr">
        <is>
          <t xml:space="preserve">DIRECCION GENERAL DE AERONAUTICA CIVIL</t>
        </is>
      </c>
      <c r="E92" s="0" t="inlineStr">
        <is>
          <t xml:space="preserve">UNIDAD DE COMPRA CONTRATOS NACIONALES</t>
        </is>
      </c>
      <c r="F92" s="0" t="inlineStr">
        <is>
          <t xml:space="preserve">Región Metropolitana de Santiago</t>
        </is>
      </c>
      <c r="G92" s="0" t="inlineStr">
        <is>
          <t xml:space="preserve">Providencia</t>
        </is>
      </c>
      <c r="H92" s="2">
        <v>46293.5386</v>
      </c>
      <c r="I92" s="2">
        <v>46314.625</v>
      </c>
      <c r="J92" s="0">
        <v>19</v>
      </c>
      <c r="K92" s="3">
        <v>192000000.0</v>
      </c>
      <c r="L92" s="0" t="inlineStr">
        <is>
          <t xml:space="preserve">CLP</t>
        </is>
      </c>
      <c r="M92" s="0" t="inlineStr">
        <is>
          <t xml:space="preserve">LP</t>
        </is>
      </c>
      <c r="N92" s="4" t="inlineStr">
        <is>
          <t xml:space="preserve">Equipos y suministros de defensa, orden público, protección y seguridad / Seguridad, vigilancia y detección / Equipo de vigilancia y detección</t>
        </is>
      </c>
      <c r="O92" s="4" t="inlineStr">
        <is>
          <t xml:space="preserve">2 Unidad · Cámaras de seguridad · 2 Unidad · Cámaras de seguridad · 1 Unidad · Cámaras de seguridad · y 13 más</t>
        </is>
      </c>
      <c r="P92" s="2"/>
      <c r="Q92" s="2"/>
      <c r="R92" s="0"/>
      <c r="S92" s="0" t="inlineStr">
        <is>
          <t xml:space="preserve">No</t>
        </is>
      </c>
      <c r="T92" s="4"/>
      <c r="U92" s="0" t="inlineStr">
        <is>
          <t xml:space="preserve">Javier Pacheco</t>
        </is>
      </c>
      <c r="V92"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92" s="5" t="str">
        <f>HYPERLINK("https://www.mercadopublico.cl/Procurement/Modules/Attachment/ViewAttachment.aspx?enc=L2%2b2YP9roU3%2baiPPOM1FzIHCFFi2fXoyUNTWoXhNHHbMOOw0dXusQ9V7lIjoxpbzbLKwLNQ1wL8uql8r5eKVBd71fg7Tiz9emsKHZc9bxDNhVnnMdwYiuE71b%2fkGrgNpzXes2zhYULi1WECp%2fyAB%2bFmnzHsN5sq3kgbeQIk024tlQkFlSVeLfEh4SDHq3RTVtmCApxq2bSbEML%2biB%2bxCbU41nHYT%2fX8d3jsodnV%2brUnc5esJRS0muiZOxmhphE8D5CURGuoBgPwVKIyjYrSbHWYlqX0i1gyNWT01p2WmTs%2bGkPkP3IspK8bHMFlegges","descargar bases")</f>
      </c>
    </row>
    <row r="93">
      <c r="A93" s="0" t="inlineStr">
        <is>
          <t xml:space="preserve">514862-125-LR26</t>
        </is>
      </c>
      <c r="B93" s="4" t="inlineStr">
        <is>
          <t xml:space="preserve">10032938 PLATAFORMA DE AGENDAMIENTO TELECONSULTAS</t>
        </is>
      </c>
      <c r="C93" s="0" t="inlineStr">
        <is>
          <t xml:space="preserve">Publicada</t>
        </is>
      </c>
      <c r="D93" s="0" t="inlineStr">
        <is>
          <t xml:space="preserve">CORPORACION MUNICIPAL DE PENALOLEN PARA EL DESARROLO SOCIAL CORMUP</t>
        </is>
      </c>
      <c r="E93" s="0" t="inlineStr">
        <is>
          <t xml:space="preserve">CORPORACION MUNICIPAL DE PENALOLEN PARA EL DESARRO</t>
        </is>
      </c>
      <c r="F93" s="0" t="inlineStr">
        <is>
          <t xml:space="preserve">Región Metropolitana de Santiago</t>
        </is>
      </c>
      <c r="G93" s="0" t="inlineStr">
        <is>
          <t xml:space="preserve">Peñalolén</t>
        </is>
      </c>
      <c r="H93" s="2">
        <v>46281.559005</v>
      </c>
      <c r="I93" s="2">
        <v>46314.625</v>
      </c>
      <c r="J93" s="0">
        <v>19</v>
      </c>
      <c r="K93" s="3">
        <v>408000000.0</v>
      </c>
      <c r="L93" s="0" t="inlineStr">
        <is>
          <t xml:space="preserve">CLP</t>
        </is>
      </c>
      <c r="M93" s="0" t="inlineStr">
        <is>
          <t xml:space="preserve">LR</t>
        </is>
      </c>
      <c r="N93" s="4" t="inlineStr">
        <is>
          <t xml:space="preserve">Servicios basados en ingeniería, ciencias sociales y tecnología de la información / Servicios informáticos / Servicios de datos</t>
        </is>
      </c>
      <c r="O93" s="4" t="inlineStr">
        <is>
          <t xml:space="preserve">1 Unidad · Servicios de transformación de datos</t>
        </is>
      </c>
      <c r="P93" s="2"/>
      <c r="Q93" s="2"/>
      <c r="R93" s="0"/>
      <c r="S93" s="0" t="inlineStr">
        <is>
          <t xml:space="preserve">No</t>
        </is>
      </c>
      <c r="T93" s="4" t="inlineStr">
        <is>
          <t xml:space="preserve">SEGUN BASES ADJUNTAS</t>
        </is>
      </c>
      <c r="U93" s="0" t="inlineStr">
        <is>
          <t xml:space="preserve">DANILA SEGUEL</t>
        </is>
      </c>
      <c r="V93" s="4" t="inlineStr">
        <is>
          <t xml:space="preserve">SEGUN BASES ADJUNTAS</t>
        </is>
      </c>
      <c r="W93"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94">
      <c r="A94" s="0" t="inlineStr">
        <is>
          <t xml:space="preserve">1153624-22-LE26</t>
        </is>
      </c>
      <c r="B94" s="4" t="inlineStr">
        <is>
          <t xml:space="preserve">Servicio enlace de datos de internet</t>
        </is>
      </c>
      <c r="C94" s="0" t="inlineStr">
        <is>
          <t xml:space="preserve">Publicada</t>
        </is>
      </c>
      <c r="D94" s="0" t="inlineStr">
        <is>
          <t xml:space="preserve">SUBSECRETARIA DE RELACIONES ECONOMICAS INTERNACIONALES</t>
        </is>
      </c>
      <c r="E94" s="0" t="inlineStr">
        <is>
          <t xml:space="preserve">Departamento Adquisiciones MN</t>
        </is>
      </c>
      <c r="F94" s="0" t="inlineStr">
        <is>
          <t xml:space="preserve">Región Metropolitana de Santiago</t>
        </is>
      </c>
      <c r="G94" s="0" t="inlineStr">
        <is>
          <t xml:space="preserve">Santiago</t>
        </is>
      </c>
      <c r="H94" s="2">
        <v>46295.481829</v>
      </c>
      <c r="I94" s="2">
        <v>46314.625</v>
      </c>
      <c r="J94" s="0">
        <v>19</v>
      </c>
      <c r="K94" s="3"/>
      <c r="L94" s="0" t="inlineStr">
        <is>
          <t xml:space="preserve">CLP</t>
        </is>
      </c>
      <c r="M94" s="0" t="inlineStr">
        <is>
          <t xml:space="preserve">LE</t>
        </is>
      </c>
      <c r="N94" s="4" t="inlineStr">
        <is>
          <t xml:space="preserve">Servicios basados en ingeniería, ciencias sociales y tecnología de la información / Servicios informáticos / Servicios de datos</t>
        </is>
      </c>
      <c r="O94" s="4" t="inlineStr">
        <is>
          <t xml:space="preserve">1 Unidad · Servicios de almacenamiento de datos</t>
        </is>
      </c>
      <c r="P94" s="2"/>
      <c r="Q94" s="2"/>
      <c r="R94" s="0" t="inlineStr">
        <is>
          <t xml:space="preserve">24 meses</t>
        </is>
      </c>
      <c r="S94" s="0" t="inlineStr">
        <is>
          <t xml:space="preserve">No</t>
        </is>
      </c>
      <c r="T94" s="4" t="inlineStr">
        <is>
          <t xml:space="preserve">No permite subcontratación.
El adjudicatario no podrá subcontratar, salvo autorización escrita de la Subsecretaría de Relaciones Económicas Internacionales</t>
        </is>
      </c>
      <c r="U94" s="0" t="inlineStr">
        <is>
          <t xml:space="preserve">Berland Méndez, René</t>
        </is>
      </c>
      <c r="V94" s="4" t="inlineStr">
        <is>
          <t xml:space="preserve">La Subsecretaría de Relaciones Económicas Internacionales invita a participar en el proceso de contratación de Servicios de enlace de datos de internet de la Subsecretaría de Relaciones Económicas Internacionales.</t>
        </is>
      </c>
      <c r="W94" s="5" t="str">
        <f>HYPERLINK("https://www.mercadopublico.cl/Procurement/Modules/Attachment/ViewAttachment.aspx?enc=JBbjEpwx99z1RayMpPF2yjT8vxMIWPuZ244wigHqPJMeQ2nAC4CMUx2GAAUfvL5HM4C9zcAetBfa9BG4PfogLmPcsPlry8Di36fVZmRI0BSsoNFDYy3TkPep7T8hj4vO%2fongkSJY9QK8fCsxd4YB9Q36j7m7t2a0R14wNrKsue%2fWn5PXLXDL5t6eBtT63mbWzJsALMTH6CDgbCUpSd0IlkbdWhsJCgLiStEf2Gc%2bCzHsx2x%2fOsp45Coczt4khWOIQIzs0XU4s94LI9GhYQRGX94LVy%2fjobl0knvyEa0FbrIuOJOFFk%2fbzmtDfqnpIXpZ","descargar bases")</f>
      </c>
    </row>
    <row r="95">
      <c r="A95" s="0" t="inlineStr">
        <is>
          <t xml:space="preserve">425-65-LR26</t>
        </is>
      </c>
      <c r="B95" s="4" t="inlineStr">
        <is>
          <t xml:space="preserve">Renovación de licencias y servicio de administración de software Falcon Crowdstrike EDR para el Poder Judicial</t>
        </is>
      </c>
      <c r="C95" s="0" t="inlineStr">
        <is>
          <t xml:space="preserve">Publicada</t>
        </is>
      </c>
      <c r="D95" s="0" t="inlineStr">
        <is>
          <t xml:space="preserve">CORP ADMINISTRATIVA DEL PODER JUDICIAL</t>
        </is>
      </c>
      <c r="E95" s="0" t="inlineStr">
        <is>
          <t xml:space="preserve">Servicios</t>
        </is>
      </c>
      <c r="F95" s="0" t="inlineStr">
        <is>
          <t xml:space="preserve">Región Metropolitana de Santiago</t>
        </is>
      </c>
      <c r="G95" s="0" t="inlineStr">
        <is>
          <t xml:space="preserve">Santiago Centro</t>
        </is>
      </c>
      <c r="H95" s="2">
        <v>46282.49713</v>
      </c>
      <c r="I95" s="2">
        <v>46314.666667</v>
      </c>
      <c r="J95" s="0">
        <v>19</v>
      </c>
      <c r="K95" s="3"/>
      <c r="L95" s="0" t="inlineStr">
        <is>
          <t xml:space="preserve">USD</t>
        </is>
      </c>
      <c r="M95" s="0" t="inlineStr">
        <is>
          <t xml:space="preserve">LR</t>
        </is>
      </c>
      <c r="N95" s="4" t="inlineStr">
        <is>
          <t xml:space="preserve">Tecnologías de la información, telecomunicaciones y radiodifusión / Software / Software de gestión</t>
        </is>
      </c>
      <c r="O95" s="4" t="inlineStr">
        <is>
          <t xml:space="preserve">1 Global · Software de gestión de licencias · 1 Global · Software de gestión de licencias · 1 Global · Software de gestión de licencias · y 2 más</t>
        </is>
      </c>
      <c r="P95" s="2"/>
      <c r="Q95" s="2"/>
      <c r="R95" s="0" t="inlineStr">
        <is>
          <t xml:space="preserve">12 meses</t>
        </is>
      </c>
      <c r="S95" s="0" t="inlineStr">
        <is>
          <t xml:space="preserve">No</t>
        </is>
      </c>
      <c r="T95" s="4" t="inlineStr">
        <is>
          <t xml:space="preserve">De acuerdo al numeral 15 de las bases administrativas especiales</t>
        </is>
      </c>
      <c r="U95" s="0" t="inlineStr">
        <is>
          <t xml:space="preserve">Jorge Quezada</t>
        </is>
      </c>
      <c r="V95" s="4" t="inlineStr">
        <is>
          <t xml:space="preserve">Renovación de licencias y servicio de administración de software Falcon Crowdstrike EDR para el Poder Judicial</t>
        </is>
      </c>
      <c r="W95"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96">
      <c r="A96" s="0" t="inlineStr">
        <is>
          <t xml:space="preserve">1191449-19-LP26</t>
        </is>
      </c>
      <c r="B96" s="4" t="inlineStr">
        <is>
          <t xml:space="preserve">SERVICIOS  DE ADMINIS DE INFRAES CLOUD Y MANTEN AN</t>
        </is>
      </c>
      <c r="C96" s="0" t="inlineStr">
        <is>
          <t xml:space="preserve">Publicada</t>
        </is>
      </c>
      <c r="D96" s="0" t="inlineStr">
        <is>
          <t xml:space="preserve">SERVICIO NACIONAL DEL PATRIMONIO CULTURAL</t>
        </is>
      </c>
      <c r="E96" s="0" t="inlineStr">
        <is>
          <t xml:space="preserve">SUBDIRECCIÓN ARCHIVO NACIONAL DOS</t>
        </is>
      </c>
      <c r="F96" s="0" t="inlineStr">
        <is>
          <t xml:space="preserve">Región Metropolitana de Santiago</t>
        </is>
      </c>
      <c r="G96" s="0" t="inlineStr">
        <is>
          <t xml:space="preserve">Santiago</t>
        </is>
      </c>
      <c r="H96" s="2">
        <v>46294.62088</v>
      </c>
      <c r="I96" s="2">
        <v>46314.833333</v>
      </c>
      <c r="J96" s="0">
        <v>19</v>
      </c>
      <c r="K96" s="3">
        <v>114470000.0</v>
      </c>
      <c r="L96" s="0" t="inlineStr">
        <is>
          <t xml:space="preserve">CLP</t>
        </is>
      </c>
      <c r="M96" s="0" t="inlineStr">
        <is>
          <t xml:space="preserve">LP</t>
        </is>
      </c>
      <c r="N96" s="4" t="inlineStr">
        <is>
          <t xml:space="preserve">Servicios profesionales, administrativos y consultorías de gestión empresarial / Servicios de recursos humanos / Contratación de personal</t>
        </is>
      </c>
      <c r="O96" s="4" t="inlineStr">
        <is>
          <t xml:space="preserve">1 Unidad · Profesionales · 1 Unidad · Profesionales</t>
        </is>
      </c>
      <c r="P96" s="2"/>
      <c r="Q96" s="2"/>
      <c r="R96" s="0" t="inlineStr">
        <is>
          <t xml:space="preserve">12 meses</t>
        </is>
      </c>
      <c r="S96" s="0" t="inlineStr">
        <is>
          <t xml:space="preserve">No</t>
        </is>
      </c>
      <c r="T96"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96" s="0" t="inlineStr">
        <is>
          <t xml:space="preserve">CONSTANZA ACUÑA CERDA</t>
        </is>
      </c>
      <c r="V96" s="4" t="inlineStr">
        <is>
          <t xml:space="preserve">“SERVICIOS PROFESIONALES DE ADMINISTRACIÓN DE INFRAESTRUCTURA CLOUD Y MANTENCIÓN DE SISTEMAS PARA EL ARCHIVO NACIONAL”.</t>
        </is>
      </c>
      <c r="W96" s="5" t="str">
        <f>HYPERLINK("https://www.mercadopublico.cl/Procurement/Modules/Attachment/ViewAttachment.aspx?enc=NA4huPeKq7VmIyPr3ub1gLrtj1g0W9eYILh7C0vLosV80KIISbGJeEXQ%2fvkRYzTGRxkeokITQprfpz0JKNJUcRZgXAgGJhLJdk1mMUyH5kRJWMhokoC5ECB5QVtGUgY3zK2DbmKizKHEhIjGZCv%2ffQzmwFl%2bYV%2fXnBNVKpwV2nmUQirim4IvtEzlh%2fF7IxLPldZKeC5wfyKo2QBGzudJCr5P8u3UN0BM2OUGZ4D6xvJWDtpc0xaoWCyBMbvqumbHOb7ymJegK0tv64rDgznRN9LzAVcQKj1RGoje7TU9P05HqIirfHZeJGD%2brpI0legV","descargar bases")</f>
      </c>
    </row>
    <row r="97">
      <c r="A97" s="0" t="inlineStr">
        <is>
          <t xml:space="preserve">1409-15-LE26</t>
        </is>
      </c>
      <c r="B97" s="4" t="inlineStr">
        <is>
          <t xml:space="preserve">Servicio arriendo red de datos e internet</t>
        </is>
      </c>
      <c r="C97" s="0" t="inlineStr">
        <is>
          <t xml:space="preserve">Publicada</t>
        </is>
      </c>
      <c r="D97" s="0" t="inlineStr">
        <is>
          <t xml:space="preserve">DIRECCION GENERAL DE AERONAUTICA CIVIL</t>
        </is>
      </c>
      <c r="E97" s="0" t="inlineStr">
        <is>
          <t xml:space="preserve">UNIDAD DE COMPRA PUERTO MONTT</t>
        </is>
      </c>
      <c r="F97" s="0" t="inlineStr">
        <is>
          <t xml:space="preserve">Región de los Lagos </t>
        </is>
      </c>
      <c r="G97" s="0" t="inlineStr">
        <is>
          <t xml:space="preserve">Puerto Montt</t>
        </is>
      </c>
      <c r="H97" s="2">
        <v>46294.686956</v>
      </c>
      <c r="I97" s="2">
        <v>46315.416667</v>
      </c>
      <c r="J97" s="0">
        <v>20</v>
      </c>
      <c r="K97" s="3"/>
      <c r="L97" s="0" t="inlineStr">
        <is>
          <t xml:space="preserve">CLP</t>
        </is>
      </c>
      <c r="M97" s="0" t="inlineStr">
        <is>
          <t xml:space="preserve">LE</t>
        </is>
      </c>
      <c r="N97" s="4" t="inlineStr">
        <is>
          <t xml:space="preserve">Servicios basados en ingeniería, ciencias sociales y tecnología de la información / Servicios informáticos / Servicios para internet</t>
        </is>
      </c>
      <c r="O97" s="4" t="inlineStr">
        <is>
          <t xml:space="preserve">36 Mes · Proveedores de servicio de Internet (ISP)</t>
        </is>
      </c>
      <c r="P97" s="2"/>
      <c r="Q97" s="2"/>
      <c r="R97" s="0" t="inlineStr">
        <is>
          <t xml:space="preserve">36 meses</t>
        </is>
      </c>
      <c r="S97" s="0" t="inlineStr">
        <is>
          <t xml:space="preserve">No</t>
        </is>
      </c>
      <c r="T97" s="4"/>
      <c r="U97" s="0" t="inlineStr">
        <is>
          <t xml:space="preserve">Rocio Marin Chambla</t>
        </is>
      </c>
      <c r="V97" s="4" t="inlineStr">
        <is>
          <t xml:space="preserve">se requiere contratar el servicio de arriendo red de datos e internet para el aeropuerto el Tepual de Puerto Montt, por un periodo de 36 meses.</t>
        </is>
      </c>
      <c r="W97" s="5" t="str">
        <f>HYPERLINK("https://www.mercadopublico.cl/Procurement/Modules/Attachment/ViewAttachment.aspx?enc=%2fwmkcHANFOzcIkTl6VviMAhaM4J6lp9GPTPl06fSFczuitGwAxeAhs%2bBpV7bUvSAyaEYOVizi%2bYaholctIfNYKZ3srKkN0V%2bTNM2NjWsgsVPPIqXj2dfOGg8RQoQQwXZZHXFRCVu%2fG%2fwNx2wpuWQqlAFnzsJV%2fxEdXnYVS2m7X6XeWVXZIDP724qAPgDVvYFYUNfYcZgYP6fjgncmOgb5NDG7Lxr8uHJBE%2bwxAxJ6DEKAn4030eSWAlWJoG%2buAO5p84zDvatEO5Vg0%2fut9wrHasbBdc%2bARLGnYirZUKWDMnltQqglxV6U40qCi46f85K","descargar bases")</f>
      </c>
    </row>
    <row r="98">
      <c r="A98" s="0" t="inlineStr">
        <is>
          <t xml:space="preserve">4160-15-LP26</t>
        </is>
      </c>
      <c r="B98" s="4" t="inlineStr">
        <is>
          <t xml:space="preserve">SERV MANTENIMIENTO TRANSMISION DE DATOS CAMARAS</t>
        </is>
      </c>
      <c r="C98" s="0" t="inlineStr">
        <is>
          <t xml:space="preserve">Publicada</t>
        </is>
      </c>
      <c r="D98" s="0" t="inlineStr">
        <is>
          <t xml:space="preserve">MUNICIPALIDAD DE HUALPEN</t>
        </is>
      </c>
      <c r="E98" s="0" t="inlineStr">
        <is>
          <t xml:space="preserve">Secplan</t>
        </is>
      </c>
      <c r="F98" s="0" t="inlineStr">
        <is>
          <t xml:space="preserve">Región del Biobío </t>
        </is>
      </c>
      <c r="G98" s="0" t="inlineStr">
        <is>
          <t xml:space="preserve">Hualpén</t>
        </is>
      </c>
      <c r="H98" s="2">
        <v>46293.499931</v>
      </c>
      <c r="I98" s="2">
        <v>46315.583333</v>
      </c>
      <c r="J98" s="0">
        <v>20</v>
      </c>
      <c r="K98" s="3"/>
      <c r="L98" s="0" t="inlineStr">
        <is>
          <t xml:space="preserve">CLF</t>
        </is>
      </c>
      <c r="M98" s="0" t="inlineStr">
        <is>
          <t xml:space="preserve">LP</t>
        </is>
      </c>
      <c r="N98" s="4" t="inlineStr">
        <is>
          <t xml:space="preserve">Equipos y suministros de defensa, orden público, protección y seguridad / Seguridad, vigilancia y detección / Equipo de vigilancia y detección</t>
        </is>
      </c>
      <c r="O98" s="4" t="inlineStr">
        <is>
          <t xml:space="preserve">48 Mes · Cámaras de seguridad</t>
        </is>
      </c>
      <c r="P98" s="2"/>
      <c r="Q98" s="2"/>
      <c r="R98" s="0" t="inlineStr">
        <is>
          <t xml:space="preserve">48 meses</t>
        </is>
      </c>
      <c r="S98" s="0" t="inlineStr">
        <is>
          <t xml:space="preserve">No</t>
        </is>
      </c>
      <c r="T98" s="4"/>
      <c r="U98" s="0" t="inlineStr">
        <is>
          <t xml:space="preserve">RENE IBAÑEZ RETAMAL</t>
        </is>
      </c>
      <c r="V98" s="4" t="inlineStr">
        <is>
          <t xml:space="preserve">contratación del “SERVICIO DE MANTENIMIENTO, TRANSMISION DE DATOS CAMARAS DE TELEVIGILANCIA HUALPÉN”, para lo cual se deberá considerar un plazo de prestación del servicio de 48 meses corridos.</t>
        </is>
      </c>
      <c r="W98" s="5" t="str">
        <f>HYPERLINK("https://www.mercadopublico.cl/Procurement/Modules/Attachment/ViewAttachment.aspx?enc=w6ES3TaAYhMxI6O9CPXipLyeUhBVDL4vTtrBQilM9%2b%2fBMaZWud05AIBIU3gnKaxBkgoH%2bNZ%2bJVy%2biBoVI7wGucLexXsC9QorQj6NxevqJ37aK5MJo%2ftudefqdtZ3JSEIB6ftJzH46ZFkRni5pioN0NSk893%2fNPLgi5p%2fyCvzPkY5ay167gbYeMw6nMWqYcJwgTiHb%2bUsnzynkwqy%2fa%2bEWVwHsQZEd89y39J5O5rf0NCkqGjxYFjgLT%2bRguoiT7mAEq6GR%2bAaRFFjDIeDuQwYaF%2fLp%2ffjq%2fDaJ%2fi%2b%2fFr%2f0x%2bK1kU5glhjLiNT8HjWYyZ1","descargar bases")</f>
      </c>
    </row>
    <row r="99">
      <c r="A99" s="0" t="inlineStr">
        <is>
          <t xml:space="preserve">1461054-45-LP26</t>
        </is>
      </c>
      <c r="B99" s="4" t="inlineStr">
        <is>
          <t xml:space="preserve">PLATAFORMA DE GESTIÓN EDUCACIONAL PARA 77 E.E</t>
        </is>
      </c>
      <c r="C99" s="0" t="inlineStr">
        <is>
          <t xml:space="preserve">Publicada</t>
        </is>
      </c>
      <c r="D99" s="0" t="inlineStr">
        <is>
          <t xml:space="preserve">SERVICIO LOCAL DE EDUCACIÓN PÚBLICA DEL ELQUI</t>
        </is>
      </c>
      <c r="E99" s="0" t="inlineStr">
        <is>
          <t xml:space="preserve">P02 Establecimientos Educacionales</t>
        </is>
      </c>
      <c r="F99" s="0" t="inlineStr">
        <is>
          <t xml:space="preserve">Región de Coquimbo </t>
        </is>
      </c>
      <c r="G99" s="0" t="inlineStr">
        <is>
          <t xml:space="preserve">La Serena</t>
        </is>
      </c>
      <c r="H99" s="2">
        <v>46288.639294</v>
      </c>
      <c r="I99" s="2">
        <v>46315.645833</v>
      </c>
      <c r="J99" s="0">
        <v>20</v>
      </c>
      <c r="K99" s="3">
        <v>290234736.0</v>
      </c>
      <c r="L99" s="0" t="inlineStr">
        <is>
          <t xml:space="preserve">CLP</t>
        </is>
      </c>
      <c r="M99" s="0" t="inlineStr">
        <is>
          <t xml:space="preserve">LP</t>
        </is>
      </c>
      <c r="N99" s="4" t="inlineStr">
        <is>
          <t xml:space="preserve">Tecnologías de la información, telecomunicaciones y radiodifusión / Software / Software de consultas y gestión de datos</t>
        </is>
      </c>
      <c r="O99" s="4" t="inlineStr">
        <is>
          <t xml:space="preserve">1 Unidad · Software del sistema de administración de bases de datos</t>
        </is>
      </c>
      <c r="P99" s="2"/>
      <c r="Q99" s="2"/>
      <c r="R99" s="0" t="inlineStr">
        <is>
          <t xml:space="preserve">36 meses</t>
        </is>
      </c>
      <c r="S99" s="0" t="inlineStr">
        <is>
          <t xml:space="preserve">No</t>
        </is>
      </c>
      <c r="T99"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99" s="0" t="inlineStr">
        <is>
          <t xml:space="preserve">Francisca Pérez García</t>
        </is>
      </c>
      <c r="V99"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99"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00">
      <c r="A100" s="0" t="inlineStr">
        <is>
          <t xml:space="preserve">605-17-LP26</t>
        </is>
      </c>
      <c r="B100" s="4" t="inlineStr">
        <is>
          <t xml:space="preserve">TELEFONÍA FIJA Y RED PRIVADA DE DATOS</t>
        </is>
      </c>
      <c r="C100" s="0" t="inlineStr">
        <is>
          <t xml:space="preserve">Publicada</t>
        </is>
      </c>
      <c r="D100" s="0" t="inlineStr">
        <is>
          <t xml:space="preserve">Consejo de Defensa del Estado</t>
        </is>
      </c>
      <c r="E100" s="0" t="inlineStr">
        <is>
          <t xml:space="preserve">Consejo de Defensa del Estado</t>
        </is>
      </c>
      <c r="F100" s="0" t="inlineStr">
        <is>
          <t xml:space="preserve">Región Metropolitana de Santiago</t>
        </is>
      </c>
      <c r="G100" s="0" t="inlineStr">
        <is>
          <t xml:space="preserve">Santiago</t>
        </is>
      </c>
      <c r="H100" s="2">
        <v>46267.455012</v>
      </c>
      <c r="I100" s="2">
        <v>46317.625</v>
      </c>
      <c r="J100" s="0">
        <v>22</v>
      </c>
      <c r="K100" s="3">
        <v>8500.0</v>
      </c>
      <c r="L100" s="0" t="inlineStr">
        <is>
          <t xml:space="preserve">CLF</t>
        </is>
      </c>
      <c r="M100" s="0" t="inlineStr">
        <is>
          <t xml:space="preserve">LP</t>
        </is>
      </c>
      <c r="N100" s="4" t="inlineStr">
        <is>
          <t xml:space="preserve">Servicios básicos y de información pública / Telecomunicaciones / Telefonía local y de larga distancia</t>
        </is>
      </c>
      <c r="O100" s="4" t="inlineStr">
        <is>
          <t xml:space="preserve">1 Unidad · Servicio telefónico local · 1 Unidad · Servicio de comunicación IP</t>
        </is>
      </c>
      <c r="P100" s="2"/>
      <c r="Q100" s="2"/>
      <c r="R100" s="0" t="inlineStr">
        <is>
          <t xml:space="preserve">24 meses</t>
        </is>
      </c>
      <c r="S100" s="0" t="inlineStr">
        <is>
          <t xml:space="preserve">No</t>
        </is>
      </c>
      <c r="T10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00" s="0" t="inlineStr">
        <is>
          <t xml:space="preserve">IVANHOE AGUIRRE RIVERA</t>
        </is>
      </c>
      <c r="V10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00"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01">
      <c r="A101" s="0" t="inlineStr">
        <is>
          <t xml:space="preserve">948354-140-LR26</t>
        </is>
      </c>
      <c r="B101" s="4" t="inlineStr">
        <is>
          <t xml:space="preserve">CONTRATACIÓN DE UNA SOLUCIÓN INTEGRAL RIS-PACS INCLUYENDO LA PROVISIÓN DE SERVICIOS SOFTWARE HARDWARE E INFRAESTRUCTURA TECNOLÓGICA PARA EL SERVICIO DE IMAGENOLOGÍA DEL HOSPITAL DIPRECA</t>
        </is>
      </c>
      <c r="C101" s="0" t="inlineStr">
        <is>
          <t xml:space="preserve">Publicada</t>
        </is>
      </c>
      <c r="D101" s="0" t="inlineStr">
        <is>
          <t xml:space="preserve">FONDO HOSPITAL DE LA DIRECCION DE PREVISION DE CARABINEROS DE CHILE</t>
        </is>
      </c>
      <c r="E101" s="0" t="inlineStr">
        <is>
          <t xml:space="preserve">Unidad de Compra de Bienes y Servicios</t>
        </is>
      </c>
      <c r="F101" s="0" t="inlineStr">
        <is>
          <t xml:space="preserve">Región Metropolitana de Santiago</t>
        </is>
      </c>
      <c r="G101" s="0" t="inlineStr">
        <is>
          <t xml:space="preserve">Las Condes</t>
        </is>
      </c>
      <c r="H101" s="2">
        <v>46287.400255</v>
      </c>
      <c r="I101" s="2">
        <v>46317.666667</v>
      </c>
      <c r="J101" s="0">
        <v>22</v>
      </c>
      <c r="K101" s="3">
        <v>3310000000.0</v>
      </c>
      <c r="L101" s="0" t="inlineStr">
        <is>
          <t xml:space="preserve">CLP</t>
        </is>
      </c>
      <c r="M101" s="0" t="inlineStr">
        <is>
          <t xml:space="preserve">LR</t>
        </is>
      </c>
      <c r="N101" s="4" t="inlineStr">
        <is>
          <t xml:space="preserve">Equipamiento y suministros médicos / Productos para imágenes y de medicina nuclear / Artículos para archivar información e imágenes radiológicas</t>
        </is>
      </c>
      <c r="O101" s="4" t="inlineStr">
        <is>
          <t xml:space="preserve">60 Mes · Sistemas informatizados de archivado de imágenes (PACS) médicos</t>
        </is>
      </c>
      <c r="P101" s="2"/>
      <c r="Q101" s="2"/>
      <c r="R101" s="0" t="inlineStr">
        <is>
          <t xml:space="preserve">60 meses</t>
        </is>
      </c>
      <c r="S101" s="0" t="inlineStr">
        <is>
          <t xml:space="preserve">No</t>
        </is>
      </c>
      <c r="T101" s="4"/>
      <c r="U101" s="0" t="inlineStr">
        <is>
          <t xml:space="preserve">Dra. Constanza Damm Araneda</t>
        </is>
      </c>
      <c r="V101"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01" s="5" t="str">
        <f>HYPERLINK("https://www.mercadopublico.cl/Procurement/Modules/Attachment/ViewAttachment.aspx?enc=TGmcnIhTnKJ62PzFyaPnI9I7o8S6dMGZQzYB%2b4c5kvIjPD0aAjlWwCwEIvSoInyBSwrr9a%2frUGdHDQq%2fneQ6Qm1mDBRykOw2Ti%2f8a7EArutXFoXQ1aSH7xmB4LvWFX7cuSX%2fMQypTGHs7ugLzDjPrRgPVA5usK%2b0PWLHwht060cPDCpj5pMoth06gQu5ilZy4CFsb4%2b5LBH2GikYnMZoLbwr8I8JS4ImurMesB1CxlaM%2fxPjhbB0pSrlYABi5i%2brGPAkqsdc1TeUi1PWiVqAhIww%2bSX9mn28U6wfPCR63vOWdkBKpKJNmGcSJQ0TNQ%2fb","descargar bases")</f>
      </c>
    </row>
    <row r="102">
      <c r="A102" s="0" t="inlineStr">
        <is>
          <t xml:space="preserve">976-18-O126</t>
        </is>
      </c>
      <c r="B102" s="4" t="inlineStr">
        <is>
          <t xml:space="preserve">ATIF Ampliación Plataformas Comercial y General Ad. El Loa</t>
        </is>
      </c>
      <c r="C102" s="0" t="inlineStr">
        <is>
          <t xml:space="preserve">Publicada</t>
        </is>
      </c>
      <c r="D102" s="0" t="inlineStr">
        <is>
          <t xml:space="preserve">MINISTERIO DE OBRAS PUBLICAS DIREC CION GRAL DE OO PP DCYF</t>
        </is>
      </c>
      <c r="E102" s="0" t="inlineStr">
        <is>
          <t xml:space="preserve">Dirección de Aeropuertos - MOPTT</t>
        </is>
      </c>
      <c r="F102" s="0" t="inlineStr">
        <is>
          <t xml:space="preserve">Región de Antofagasta </t>
        </is>
      </c>
      <c r="G102" s="0" t="inlineStr">
        <is>
          <t xml:space="preserve">Santiago</t>
        </is>
      </c>
      <c r="H102" s="2">
        <v>46290.38147</v>
      </c>
      <c r="I102" s="2">
        <v>46318.416667</v>
      </c>
      <c r="J102" s="0">
        <v>23</v>
      </c>
      <c r="K102" s="3"/>
      <c r="L102" s="0" t="inlineStr">
        <is>
          <t xml:space="preserve">CLP</t>
        </is>
      </c>
      <c r="M102" s="0" t="inlineStr">
        <is>
          <t xml:space="preserve">O1</t>
        </is>
      </c>
      <c r="N102" s="4" t="inlineStr">
        <is>
          <t xml:space="preserve">Consultoria / Consultoria / Planificación y Factibilidad</t>
        </is>
      </c>
      <c r="O102" s="4" t="inlineStr">
        <is>
          <t xml:space="preserve">1 Unidad · Licitación Pública de Consultoria</t>
        </is>
      </c>
      <c r="P102" s="2"/>
      <c r="Q102" s="2"/>
      <c r="R102" s="0"/>
      <c r="S102" s="0" t="inlineStr">
        <is>
          <t xml:space="preserve">No</t>
        </is>
      </c>
      <c r="T102" s="4"/>
      <c r="U102" s="0"/>
      <c r="V102" s="4" t="inlineStr">
        <is>
          <t xml:space="preserve">ESTA DIRECCIÓN NECESITA CONTRATAR ASESORÍA TECNICA DE INSPECCIÓN FISCAL PARA EL CONTRATO DE OBRA AMPLICACION PLATAFORMAS COMERCIAL Y GENERAL AERÓDROMO EL LOA</t>
        </is>
      </c>
      <c r="W102"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03">
      <c r="A103" s="0" t="inlineStr">
        <is>
          <t xml:space="preserve">976-15-O126</t>
        </is>
      </c>
      <c r="B103" s="4" t="inlineStr">
        <is>
          <t xml:space="preserve">Ampliación Plataformas Comercial y General Ad. El Loa</t>
        </is>
      </c>
      <c r="C103" s="0" t="inlineStr">
        <is>
          <t xml:space="preserve">Publicada</t>
        </is>
      </c>
      <c r="D103" s="0" t="inlineStr">
        <is>
          <t xml:space="preserve">MINISTERIO DE OBRAS PUBLICAS DIREC CION GRAL DE OO PP DCYF</t>
        </is>
      </c>
      <c r="E103" s="0" t="inlineStr">
        <is>
          <t xml:space="preserve">Dirección de Aeropuertos - MOPTT</t>
        </is>
      </c>
      <c r="F103" s="0" t="inlineStr">
        <is>
          <t xml:space="preserve">Región de Antofagasta </t>
        </is>
      </c>
      <c r="G103" s="0" t="inlineStr">
        <is>
          <t xml:space="preserve">Santiago</t>
        </is>
      </c>
      <c r="H103" s="2">
        <v>46265.341667</v>
      </c>
      <c r="I103" s="2">
        <v>46318.458333</v>
      </c>
      <c r="J103" s="0">
        <v>23</v>
      </c>
      <c r="K103" s="3"/>
      <c r="L103" s="0" t="inlineStr">
        <is>
          <t xml:space="preserve">CLP</t>
        </is>
      </c>
      <c r="M103" s="0" t="inlineStr">
        <is>
          <t xml:space="preserve">O1</t>
        </is>
      </c>
      <c r="N103" s="4" t="inlineStr">
        <is>
          <t xml:space="preserve">Consultoria / Consultoria / Planificación y Factibilidad</t>
        </is>
      </c>
      <c r="O103" s="4" t="inlineStr">
        <is>
          <t xml:space="preserve">1 Unidad · Licitación Pública de Obra</t>
        </is>
      </c>
      <c r="P103" s="2"/>
      <c r="Q103" s="2"/>
      <c r="R103" s="0"/>
      <c r="S103" s="0" t="inlineStr">
        <is>
          <t xml:space="preserve">No</t>
        </is>
      </c>
      <c r="T103" s="4"/>
      <c r="U103" s="0"/>
      <c r="V103" s="4" t="inlineStr">
        <is>
          <t xml:space="preserve">Esta Dirección necesita llamar a licitación para contratar la obra Ampliación Plataformas Comercial y General Aeródromo El Loa.</t>
        </is>
      </c>
      <c r="W103" s="5" t="str">
        <f>HYPERLINK("https://www.mercadopublico.cl/Procurement/Modules/Attachment/ViewAttachment.aspx?enc=7Xv5KlJ%2b2YQNFBBxooES7aejOpkVHva%2bY5KKWbaX1XFFl%2fgp7GMUkoVroLDj8DhHbv3LG1TERJYupIdlcLFaqb7jycFF7Td9mGJ6bcI1XZD1vl2hss2rP37LB%2b9V8wo4TCppvSDrEM5njstqXweSz3XAHuAyXi0cnV20mM3ozMhlyCzUoFSBM8FefykYuzW0S4i2vWWGKBSTK87IT0ObKzeVawARzmaUbNUYZksBO3TTq%2fZpXx5af8gKmGNtmYtoxqoKzQcjqz2nrP1kAL9LpbTfCUWZjkcyLQGAiOYLkEcWWYhb35lSKiI12pr8Ly3p","descargar bases")</f>
      </c>
    </row>
    <row r="104">
      <c r="A104" s="0" t="inlineStr">
        <is>
          <t xml:space="preserve">2667-71-LR26</t>
        </is>
      </c>
      <c r="B104" s="4" t="inlineStr">
        <is>
          <t xml:space="preserve">ARRIENDO SOPORTE Y MANTENCIÓN DE CENTRAL TELEFONICA IP TELEFONOS IP Y PLATAFORMA DE CONTACT CENTER</t>
        </is>
      </c>
      <c r="C104" s="0" t="inlineStr">
        <is>
          <t xml:space="preserve">Publicada</t>
        </is>
      </c>
      <c r="D104" s="0" t="inlineStr">
        <is>
          <t xml:space="preserve">I MUNICIPALIDAD DE VITACURA</t>
        </is>
      </c>
      <c r="E104" s="0" t="inlineStr">
        <is>
          <t xml:space="preserve">SECPLA</t>
        </is>
      </c>
      <c r="F104" s="0" t="inlineStr">
        <is>
          <t xml:space="preserve">Región Metropolitana de Santiago</t>
        </is>
      </c>
      <c r="G104" s="0" t="inlineStr">
        <is>
          <t xml:space="preserve">Vitacura</t>
        </is>
      </c>
      <c r="H104" s="2">
        <v>46282.54353</v>
      </c>
      <c r="I104" s="2">
        <v>46318.625</v>
      </c>
      <c r="J104" s="0">
        <v>23</v>
      </c>
      <c r="K104" s="3"/>
      <c r="L104" s="0" t="inlineStr">
        <is>
          <t xml:space="preserve">CLF</t>
        </is>
      </c>
      <c r="M104" s="0" t="inlineStr">
        <is>
          <t xml:space="preserve">LR</t>
        </is>
      </c>
      <c r="N104" s="4" t="inlineStr">
        <is>
          <t xml:space="preserve">Equipos y suministros de defensa, orden público, protección y seguridad / Seguridad, vigilancia y detección / Equipo de vigilancia y detección</t>
        </is>
      </c>
      <c r="O104" s="4" t="inlineStr">
        <is>
          <t xml:space="preserve">1 Global · Sistemas de alarma</t>
        </is>
      </c>
      <c r="P104" s="2"/>
      <c r="Q104" s="2"/>
      <c r="R104" s="0" t="inlineStr">
        <is>
          <t xml:space="preserve">48 meses</t>
        </is>
      </c>
      <c r="S104" s="0" t="inlineStr">
        <is>
          <t xml:space="preserve">No</t>
        </is>
      </c>
      <c r="T104" s="4"/>
      <c r="U104" s="0" t="inlineStr">
        <is>
          <t xml:space="preserve">Gonzalo Fuentes Osses</t>
        </is>
      </c>
      <c r="V104"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04"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05">
      <c r="A105" s="0" t="inlineStr">
        <is>
          <t xml:space="preserve">2342-36-LR26</t>
        </is>
      </c>
      <c r="B105" s="4" t="inlineStr">
        <is>
          <t xml:space="preserve">CONCESIÓN DE ESTACIONAMIENTOS EN CALLES DE LA ZONA CENTRO DE LA COMUNA DE SAN BERNARDO APLICANDO SISTEMA DE CONTROL DE TIEMPO DE USO CAPTADORES DE DATOS</t>
        </is>
      </c>
      <c r="C105" s="0" t="inlineStr">
        <is>
          <t xml:space="preserve">Publicada</t>
        </is>
      </c>
      <c r="D105" s="0" t="inlineStr">
        <is>
          <t xml:space="preserve">I MUNICIPALIDAD DE SAN BERNARDO</t>
        </is>
      </c>
      <c r="E105" s="0" t="inlineStr">
        <is>
          <t xml:space="preserve">SECRETARIA COMUNAL DE PLANIFICACION</t>
        </is>
      </c>
      <c r="F105" s="0" t="inlineStr">
        <is>
          <t xml:space="preserve">Región Metropolitana de Santiago</t>
        </is>
      </c>
      <c r="G105" s="0" t="inlineStr">
        <is>
          <t xml:space="preserve">San Bernardo</t>
        </is>
      </c>
      <c r="H105" s="2">
        <v>46289.68978</v>
      </c>
      <c r="I105" s="2">
        <v>46321.625694</v>
      </c>
      <c r="J105" s="0">
        <v>26</v>
      </c>
      <c r="K105" s="3"/>
      <c r="L105" s="0" t="inlineStr">
        <is>
          <t xml:space="preserve">UTM</t>
        </is>
      </c>
      <c r="M105" s="0" t="inlineStr">
        <is>
          <t xml:space="preserve">LR</t>
        </is>
      </c>
      <c r="N105" s="4" t="inlineStr">
        <is>
          <t xml:space="preserve">Servicios de transporte, almacenaje y correo / Servicios de mantención o reparaciones de transportes / Combustible para vehículos de transporte, estacionamiento y otros servicios de apoyo</t>
        </is>
      </c>
      <c r="O105" s="4" t="inlineStr">
        <is>
          <t xml:space="preserve">1 Unidad · Estacionamientos</t>
        </is>
      </c>
      <c r="P105" s="2"/>
      <c r="Q105" s="2"/>
      <c r="R105" s="0" t="inlineStr">
        <is>
          <t xml:space="preserve">36 meses</t>
        </is>
      </c>
      <c r="S105" s="0" t="inlineStr">
        <is>
          <t xml:space="preserve">No</t>
        </is>
      </c>
      <c r="T105" s="4"/>
      <c r="U105" s="0" t="inlineStr">
        <is>
          <t xml:space="preserve">JUAN CARLOS CABRERA CAMPOS</t>
        </is>
      </c>
      <c r="V105" s="4" t="inlineStr">
        <is>
          <t xml:space="preserve">CONCESIÓN DE ESTACIONAMIENTOS EN CALLES DE LA ZONA CENTRO DE LA COMUNA DE SAN BERNARDO, APLICANDO SISTEMA DE CONTROL DE TIEMPO DE USO CAPTADORES DE DATOS</t>
        </is>
      </c>
      <c r="W105"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06">
      <c r="A106" s="0" t="inlineStr">
        <is>
          <t xml:space="preserve">2403-73-LR26</t>
        </is>
      </c>
      <c r="B106" s="4" t="inlineStr">
        <is>
          <t xml:space="preserve">Servicios de conectividad telecomunicaciones operación de infraestructura y gestión de ciberseguridad.</t>
        </is>
      </c>
      <c r="C106" s="0" t="inlineStr">
        <is>
          <t xml:space="preserve">Publicada</t>
        </is>
      </c>
      <c r="D106" s="0" t="inlineStr">
        <is>
          <t xml:space="preserve">I MUNICIPALIDAD DE PENALOLEN</t>
        </is>
      </c>
      <c r="E106" s="0" t="inlineStr">
        <is>
          <t xml:space="preserve">I.MUNICIPALIDAD DE PEÑALOLEN</t>
        </is>
      </c>
      <c r="F106" s="0" t="inlineStr">
        <is>
          <t xml:space="preserve">Región Metropolitana de Santiago</t>
        </is>
      </c>
      <c r="G106" s="0" t="inlineStr">
        <is>
          <t xml:space="preserve">Peñalolén</t>
        </is>
      </c>
      <c r="H106" s="2">
        <v>46288.605347</v>
      </c>
      <c r="I106" s="2">
        <v>46321.645833</v>
      </c>
      <c r="J106" s="0">
        <v>26</v>
      </c>
      <c r="K106" s="3">
        <v>1910656000.0</v>
      </c>
      <c r="L106" s="0" t="inlineStr">
        <is>
          <t xml:space="preserve">CLP</t>
        </is>
      </c>
      <c r="M106" s="0" t="inlineStr">
        <is>
          <t xml:space="preserve">LR</t>
        </is>
      </c>
      <c r="N106" s="4" t="inlineStr">
        <is>
          <t xml:space="preserve">Servicios de construcción y mantenimiento / Servicios de atención, mantenimiento y reparaciones de edificios / Servicios eléctricos</t>
        </is>
      </c>
      <c r="O106" s="4" t="inlineStr">
        <is>
          <t xml:space="preserve">1 Global · Instalación de sistemas de seguridad</t>
        </is>
      </c>
      <c r="P106" s="2"/>
      <c r="Q106" s="2"/>
      <c r="R106" s="0" t="inlineStr">
        <is>
          <t xml:space="preserve">51 meses</t>
        </is>
      </c>
      <c r="S106" s="0" t="inlineStr">
        <is>
          <t xml:space="preserve">No</t>
        </is>
      </c>
      <c r="T106" s="4" t="inlineStr">
        <is>
          <t xml:space="preserve">Previa autorización de la inspección técnica, y siempre que no supere el 30% del precio total de la contratación.</t>
        </is>
      </c>
      <c r="U106" s="0" t="inlineStr">
        <is>
          <t xml:space="preserve">Matías Allende Contreras</t>
        </is>
      </c>
      <c r="V106"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06"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07">
      <c r="A107" s="0" t="inlineStr">
        <is>
          <t xml:space="preserve">1969-34-LS19</t>
        </is>
      </c>
      <c r="B107" s="4" t="inlineStr">
        <is>
          <t xml:space="preserve">AUTOMATIZACIÓN PORTÓN ACCESO A LINEA DE FUEGO</t>
        </is>
      </c>
      <c r="C107" s="0" t="inlineStr">
        <is>
          <t xml:space="preserve">Publicada</t>
        </is>
      </c>
      <c r="D107" s="0" t="inlineStr">
        <is>
          <t xml:space="preserve">DIRECCION GENERAL DE GENDARMERIA DE CHIL</t>
        </is>
      </c>
      <c r="E107" s="0" t="inlineStr">
        <is>
          <t xml:space="preserve">Región del Bio Bío</t>
        </is>
      </c>
      <c r="F107" s="0" t="inlineStr">
        <is>
          <t xml:space="preserve">Región del Biobío </t>
        </is>
      </c>
      <c r="G107" s="0" t="inlineStr">
        <is>
          <t xml:space="preserve">Concepción</t>
        </is>
      </c>
      <c r="H107" s="2">
        <v>43588.74809</v>
      </c>
      <c r="I107" s="2"/>
      <c r="J107" s="0"/>
      <c r="K107" s="3"/>
      <c r="L107" s="0" t="inlineStr">
        <is>
          <t xml:space="preserve">CLP</t>
        </is>
      </c>
      <c r="M107" s="0" t="inlineStr">
        <is>
          <t xml:space="preserve">LS</t>
        </is>
      </c>
      <c r="N107" s="4" t="inlineStr">
        <is>
          <t xml:space="preserve">Artículos para estructuras, obras y construcciones / Puertas, ventanas y vidrios / Puertas</t>
        </is>
      </c>
      <c r="O107" s="4" t="inlineStr">
        <is>
          <t xml:space="preserve">1 Unidad · Puertas de metal</t>
        </is>
      </c>
      <c r="P107" s="2"/>
      <c r="Q107" s="2"/>
      <c r="R107" s="0"/>
      <c r="S107" s="0" t="inlineStr">
        <is>
          <t xml:space="preserve">No</t>
        </is>
      </c>
      <c r="T107" s="4"/>
      <c r="U107" s="0" t="inlineStr">
        <is>
          <t xml:space="preserve">Héctor Polma Lillo</t>
        </is>
      </c>
      <c r="V107" s="4" t="inlineStr">
        <is>
          <t xml:space="preserve">AUTOMATIZACIÓN DE PORTÓN ACCESO A LINEA DE FUEGO C.P. CONCEPCIÓN</t>
        </is>
      </c>
      <c r="W107" s="5" t="str">
        <f>HYPERLINK("https://www.mercadopublico.cl/Procurement/Modules/Attachment/ViewAttachment.aspx?enc=FX7r%2bpJXngRl6VHtU14Z8o2U3Y6qsVwcCmN8laSE%2fdxbIX0n0t5lhk5wOaCpR0j7sh67eah148uKNqxeOKyn441GUvNpQHGm%2bg3404OnKy5HTmO3fzHAjhd0jvrfHgamjRZ%2bGnsEHvrc88LWzMyMF%2fwEalvxu3xxd10VvqMMCL2BTr%2forCDwpugZzQh85i0szZTBkR6qUFNVwqVox%2fZoWY0pKp4hD1ldhWQUZBe7AbDcep9cgAqsD0NUkjsuSR7pVcGnqOn6ocPlDYdZbk2ZlYdtF%2b%2fHDwwdgw1oMyJLBpBQqN5In7tXzTQ1rlTMpisa","descargar bases")</f>
      </c>
    </row>
  </sheetData>
  <autoFilter ref="A1:W107"/>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1057500-76-L126</t>
        </is>
      </c>
      <c r="B2" s="4" t="inlineStr">
        <is>
          <t xml:space="preserve">Licencias Suscripción Software</t>
        </is>
      </c>
      <c r="C2" s="0">
        <v>1</v>
      </c>
      <c r="D2" s="4" t="inlineStr">
        <is>
          <t xml:space="preserve">Software de gestión de licencias</t>
        </is>
      </c>
      <c r="E2" s="4" t="inlineStr">
        <is>
          <t xml:space="preserve">Tecnologías de la información, telecomunicaciones y radiodifusión / Software / Software de gestión</t>
        </is>
      </c>
      <c r="F2" s="0">
        <v>30.0</v>
      </c>
      <c r="G2" s="0" t="inlineStr">
        <is>
          <t xml:space="preserve">Unidad</t>
        </is>
      </c>
      <c r="H2" s="4" t="inlineStr">
        <is>
          <t xml:space="preserve">Licencias Trello Premium 
(30 licencias)</t>
        </is>
      </c>
    </row>
    <row r="3">
      <c r="A3" s="0" t="inlineStr">
        <is>
          <t xml:space="preserve">1057500-76-L126</t>
        </is>
      </c>
      <c r="B3" s="4" t="inlineStr">
        <is>
          <t xml:space="preserve">Licencias Suscripción Software</t>
        </is>
      </c>
      <c r="C3" s="0">
        <v>2</v>
      </c>
      <c r="D3" s="4" t="inlineStr">
        <is>
          <t xml:space="preserve">Software de gestión de licencias</t>
        </is>
      </c>
      <c r="E3" s="4" t="inlineStr">
        <is>
          <t xml:space="preserve">Tecnologías de la información, telecomunicaciones y radiodifusión / Software / Software de gestión</t>
        </is>
      </c>
      <c r="F3" s="0">
        <v>1.0</v>
      </c>
      <c r="G3" s="0" t="inlineStr">
        <is>
          <t xml:space="preserve">Unidad</t>
        </is>
      </c>
      <c r="H3" s="4" t="inlineStr">
        <is>
          <t xml:space="preserve">Licencia Apple Developer Program, período anual (1 licencia).</t>
        </is>
      </c>
    </row>
    <row r="4">
      <c r="A4" s="0" t="inlineStr">
        <is>
          <t xml:space="preserve">1084148-18-LE26</t>
        </is>
      </c>
      <c r="B4" s="4" t="inlineStr">
        <is>
          <t xml:space="preserve">“RENOVACIÓN Y ADQUISICIÓN DE LICENCIAS DE SOFTWARE POR 12 MESES PARA EL SERVICIO LOCAL DE EDUCACIÓN PÚBLICA CHINCHORRO”.</t>
        </is>
      </c>
      <c r="C4" s="0">
        <v>1</v>
      </c>
      <c r="D4" s="4" t="inlineStr">
        <is>
          <t xml:space="preserve">Programas de gestión de proyectos</t>
        </is>
      </c>
      <c r="E4" s="4" t="inlineStr">
        <is>
          <t xml:space="preserve">Tecnologías de la información, telecomunicaciones y radiodifusión / Software / Software de gestión</t>
        </is>
      </c>
      <c r="F4" s="0">
        <v>8.0</v>
      </c>
      <c r="G4" s="0" t="inlineStr">
        <is>
          <t xml:space="preserve">Unidad</t>
        </is>
      </c>
      <c r="H4" s="4" t="inlineStr">
        <is>
          <t xml:space="preserve">Autodesk AutoCAD LT Single User (12 meses) - Según bases de licitación</t>
        </is>
      </c>
    </row>
    <row r="5">
      <c r="A5" s="0" t="inlineStr">
        <is>
          <t xml:space="preserve">1084148-18-LE26</t>
        </is>
      </c>
      <c r="B5" s="4" t="inlineStr">
        <is>
          <t xml:space="preserve">“RENOVACIÓN Y ADQUISICIÓN DE LICENCIAS DE SOFTWARE POR 12 MESES PARA EL SERVICIO LOCAL DE EDUCACIÓN PÚBLICA CHINCHORRO”.</t>
        </is>
      </c>
      <c r="C5" s="0">
        <v>2</v>
      </c>
      <c r="D5" s="4" t="inlineStr">
        <is>
          <t xml:space="preserve">Software de sistema experto</t>
        </is>
      </c>
      <c r="E5" s="4" t="inlineStr">
        <is>
          <t xml:space="preserve">Tecnologías de la información, telecomunicaciones y radiodifusión / Software / Software de gestión</t>
        </is>
      </c>
      <c r="F5" s="0">
        <v>8.0</v>
      </c>
      <c r="G5" s="0" t="inlineStr">
        <is>
          <t xml:space="preserve">Unidad</t>
        </is>
      </c>
      <c r="H5" s="4" t="inlineStr">
        <is>
          <t xml:space="preserve">Microsoft Power BI Pro for Faculty (12 meses) - Según bases de licitación</t>
        </is>
      </c>
    </row>
    <row r="6">
      <c r="A6" s="0" t="inlineStr">
        <is>
          <t xml:space="preserve">1084148-18-LE26</t>
        </is>
      </c>
      <c r="B6" s="4" t="inlineStr">
        <is>
          <t xml:space="preserve">“RENOVACIÓN Y ADQUISICIÓN DE LICENCIAS DE SOFTWARE POR 12 MESES PARA EL SERVICIO LOCAL DE EDUCACIÓN PÚBLICA CHINCHORRO”.</t>
        </is>
      </c>
      <c r="C6" s="0">
        <v>3</v>
      </c>
      <c r="D6" s="4" t="inlineStr">
        <is>
          <t xml:space="preserve">Software de servidor de comunicaciones</t>
        </is>
      </c>
      <c r="E6" s="4" t="inlineStr">
        <is>
          <t xml:space="preserve">Tecnologías de la información, telecomunicaciones y radiodifusión / Software / Software para trabajo en redes</t>
        </is>
      </c>
      <c r="F6" s="0">
        <v>111.0</v>
      </c>
      <c r="G6" s="0" t="inlineStr">
        <is>
          <t xml:space="preserve">Unidad</t>
        </is>
      </c>
      <c r="H6" s="4" t="inlineStr">
        <is>
          <t xml:space="preserve">Microsoft Office 365 A3 for Faculty (12 meses)-Según bases de licitación</t>
        </is>
      </c>
    </row>
    <row r="7">
      <c r="A7" s="0" t="inlineStr">
        <is>
          <t xml:space="preserve">1110404-215-L126</t>
        </is>
      </c>
      <c r="B7" s="4" t="inlineStr">
        <is>
          <t xml:space="preserve">PROVISIÓN DE SOFTWARE ASC HORARIOS 2026, PARA ESTABLECIMIENTO EDUCACIONAL ANTONIO VARAS DE LA BARRA, PERTENECIENTE AL SLEP CHINCHORRO, ARICA</t>
        </is>
      </c>
      <c r="C7" s="0">
        <v>1</v>
      </c>
      <c r="D7" s="4" t="inlineStr">
        <is>
          <t xml:space="preserve">Software de administración</t>
        </is>
      </c>
      <c r="E7" s="4" t="inlineStr">
        <is>
          <t xml:space="preserve">Tecnologías de la información, telecomunicaciones y radiodifusión / Software / Software de administración de redes</t>
        </is>
      </c>
      <c r="F7" s="0">
        <v>1.0</v>
      </c>
      <c r="G7" s="0" t="inlineStr">
        <is>
          <t xml:space="preserve">Unidad</t>
        </is>
      </c>
      <c r="H7" s="4" t="inlineStr">
        <is>
          <t xml:space="preserve">PROVISIÓN DE SOFTWARE ASC HORARIOS 2026, PARA ESTABLECIMIENTO EDUCACIONAL ANTONIO VARAS DE LA BARRA, PERTENECIENTE AL SLEP CHINCHORRO, ARICA</t>
        </is>
      </c>
    </row>
    <row r="8">
      <c r="A8" s="0" t="inlineStr">
        <is>
          <t xml:space="preserve">2385-56-LE26</t>
        </is>
      </c>
      <c r="B8" s="4" t="inlineStr">
        <is>
          <t xml:space="preserve">ADQUISICIÓN CURSO OFIMÁTICA E INTELIGENCIA ARTIFICIAL</t>
        </is>
      </c>
      <c r="C8" s="0">
        <v>1</v>
      </c>
      <c r="D8" s="4" t="inlineStr">
        <is>
          <t xml:space="preserve">Capacitación a empleados</t>
        </is>
      </c>
      <c r="E8" s="4" t="inlineStr">
        <is>
          <t xml:space="preserve">Educación, formación, entrenamiento y capacitación / Sistemas educativos complementarios / Educación de adultos</t>
        </is>
      </c>
      <c r="F8" s="0">
        <v>1.0</v>
      </c>
      <c r="G8" s="0" t="inlineStr">
        <is>
          <t xml:space="preserve">Unidad</t>
        </is>
      </c>
      <c r="H8" s="4" t="inlineStr">
        <is>
          <t xml:space="preserve">Módulo 1: Microsoft Word (Avanzado) 8 HORAS. Ver detalle en Bases Técnicas.</t>
        </is>
      </c>
    </row>
    <row r="9">
      <c r="A9" s="0" t="inlineStr">
        <is>
          <t xml:space="preserve">2385-56-LE26</t>
        </is>
      </c>
      <c r="B9" s="4" t="inlineStr">
        <is>
          <t xml:space="preserve">ADQUISICIÓN CURSO OFIMÁTICA E INTELIGENCIA ARTIFICIAL</t>
        </is>
      </c>
      <c r="C9" s="0">
        <v>2</v>
      </c>
      <c r="D9" s="4" t="inlineStr">
        <is>
          <t xml:space="preserve">Capacitación a empleados</t>
        </is>
      </c>
      <c r="E9" s="4" t="inlineStr">
        <is>
          <t xml:space="preserve">Educación, formación, entrenamiento y capacitación / Sistemas educativos complementarios / Educación de adultos</t>
        </is>
      </c>
      <c r="F9" s="0">
        <v>1.0</v>
      </c>
      <c r="G9" s="0" t="inlineStr">
        <is>
          <t xml:space="preserve">Unidad</t>
        </is>
      </c>
      <c r="H9" s="4" t="inlineStr">
        <is>
          <t xml:space="preserve">Módulo 2: Microsoft Excel (Básico a Intermedio) 8 HORAS. Ver detalle en Bases Técnicas.</t>
        </is>
      </c>
    </row>
    <row r="10">
      <c r="A10" s="0" t="inlineStr">
        <is>
          <t xml:space="preserve">2385-56-LE26</t>
        </is>
      </c>
      <c r="B10" s="4" t="inlineStr">
        <is>
          <t xml:space="preserve">ADQUISICIÓN CURSO OFIMÁTICA E INTELIGENCIA ARTIFICIAL</t>
        </is>
      </c>
      <c r="C10" s="0">
        <v>3</v>
      </c>
      <c r="D10" s="4" t="inlineStr">
        <is>
          <t xml:space="preserve">Capacitación a empleados</t>
        </is>
      </c>
      <c r="E10" s="4" t="inlineStr">
        <is>
          <t xml:space="preserve">Educación, formación, entrenamiento y capacitación / Sistemas educativos complementarios / Educación de adultos</t>
        </is>
      </c>
      <c r="F10" s="0">
        <v>1.0</v>
      </c>
      <c r="G10" s="0" t="inlineStr">
        <is>
          <t xml:space="preserve">Unidad</t>
        </is>
      </c>
      <c r="H10" s="4" t="inlineStr">
        <is>
          <t xml:space="preserve">Módulo 3: Aplicaciones de Google 8 HORAS. Ver detalle en Bases Técnicas.</t>
        </is>
      </c>
    </row>
    <row r="11">
      <c r="A11" s="0" t="inlineStr">
        <is>
          <t xml:space="preserve">2385-56-LE26</t>
        </is>
      </c>
      <c r="B11" s="4" t="inlineStr">
        <is>
          <t xml:space="preserve">ADQUISICIÓN CURSO OFIMÁTICA E INTELIGENCIA ARTIFICIAL</t>
        </is>
      </c>
      <c r="C11" s="0">
        <v>4</v>
      </c>
      <c r="D11" s="4" t="inlineStr">
        <is>
          <t xml:space="preserve">Capacitación a empleados</t>
        </is>
      </c>
      <c r="E11" s="4" t="inlineStr">
        <is>
          <t xml:space="preserve">Educación, formación, entrenamiento y capacitación / Sistemas educativos complementarios / Educación de adultos</t>
        </is>
      </c>
      <c r="F11" s="0">
        <v>1.0</v>
      </c>
      <c r="G11" s="0" t="inlineStr">
        <is>
          <t xml:space="preserve">Unidad</t>
        </is>
      </c>
      <c r="H11" s="4" t="inlineStr">
        <is>
          <t xml:space="preserve">Módulo 4: IA Aplicada a la Gestión 8 HORAS. Ver detalle en Bases Técnicas.</t>
        </is>
      </c>
    </row>
    <row r="12">
      <c r="A12" s="0" t="inlineStr">
        <is>
          <t xml:space="preserve">2422-159-L126</t>
        </is>
      </c>
      <c r="B12" s="4" t="inlineStr">
        <is>
          <t xml:space="preserve">SOL. ADQ. 945908 SERV. DE CAPACITACION "GESTION INTEGRAL DEL CAMBIO PARA LA TRANSFORMACION DIGITAL MUNICIPAL</t>
        </is>
      </c>
      <c r="C12" s="0">
        <v>1</v>
      </c>
      <c r="D12" s="4" t="inlineStr">
        <is>
          <t xml:space="preserve">Capacitación a empleados</t>
        </is>
      </c>
      <c r="E12" s="4" t="inlineStr">
        <is>
          <t xml:space="preserve">Educación, formación, entrenamiento y capacitación / Sistemas educativos complementarios / Educación de adultos</t>
        </is>
      </c>
      <c r="F12" s="0">
        <v>1.0</v>
      </c>
      <c r="G12" s="0" t="inlineStr">
        <is>
          <t xml:space="preserve">Unidad</t>
        </is>
      </c>
      <c r="H12" s="4" t="inlineStr">
        <is>
          <t xml:space="preserve">SERV. DE CAPACITACION "GESTION INTEGRAL DEL CAMBIO PARA LA TRANSFORMACION DIGITAL MUNICIPAL, PARA 42 FUNCIONARIOS Y FUNCIONARIAS, FORMATO PRESENCIAL EN LAS DEPENDENCIAS MUNICIPALES, DURANTE EL MES DE OCTUBRE 2026</t>
        </is>
      </c>
    </row>
    <row r="13">
      <c r="A13" s="0" t="inlineStr">
        <is>
          <t xml:space="preserve">3510-24-LE26</t>
        </is>
      </c>
      <c r="B13" s="4" t="inlineStr">
        <is>
          <t xml:space="preserve">Adquisición Equipos Tecnológicos y automatización</t>
        </is>
      </c>
      <c r="C13" s="0">
        <v>1</v>
      </c>
      <c r="D13" s="4" t="inlineStr">
        <is>
          <t xml:space="preserve">Fuentes de alimentación continua</t>
        </is>
      </c>
      <c r="E13" s="4" t="inlineStr">
        <is>
          <t xml:space="preserve">Artículos eléctricos y de iluminación / Equipamiento y artículos eléctricos / Equipamiento para distribución y transformación eléctrica</t>
        </is>
      </c>
      <c r="F13" s="0">
        <v>2.0</v>
      </c>
      <c r="G13" s="0" t="inlineStr">
        <is>
          <t xml:space="preserve">Unidad</t>
        </is>
      </c>
      <c r="H13" s="4" t="inlineStr">
        <is>
          <t xml:space="preserve">FUENTE PODER LABORATORIO EQUIVALENTE A KUAIKU 30V/10A</t>
        </is>
      </c>
    </row>
    <row r="14">
      <c r="A14" s="0" t="inlineStr">
        <is>
          <t xml:space="preserve">3510-24-LE26</t>
        </is>
      </c>
      <c r="B14" s="4" t="inlineStr">
        <is>
          <t xml:space="preserve">Adquisición Equipos Tecnológicos y automatización</t>
        </is>
      </c>
      <c r="C14" s="0">
        <v>2</v>
      </c>
      <c r="D14" s="4" t="inlineStr">
        <is>
          <t xml:space="preserve">Materiales de enseñanza de robótica</t>
        </is>
      </c>
      <c r="E14" s="4" t="inlineStr">
        <is>
          <t xml:space="preserve">Instrumentos musicales, juegos, juguetes, artesanías y materiales educativos / Materiales, artículos y suministros didácticos profesionales y para el desarrollo personal / Materiales de enseñanza de tecnología</t>
        </is>
      </c>
      <c r="F14" s="0">
        <v>1.0</v>
      </c>
      <c r="G14" s="0" t="inlineStr">
        <is>
          <t xml:space="preserve">Unidad</t>
        </is>
      </c>
      <c r="H14" s="4" t="inlineStr">
        <is>
          <t xml:space="preserve">BRAZO ROBÓTICO - M5-CN + KIT DE IA EQUIVALENTE A MECHAM</t>
        </is>
      </c>
    </row>
    <row r="15">
      <c r="A15" s="0" t="inlineStr">
        <is>
          <t xml:space="preserve">3510-24-LE26</t>
        </is>
      </c>
      <c r="B15" s="4" t="inlineStr">
        <is>
          <t xml:space="preserve">Adquisición Equipos Tecnológicos y automatización</t>
        </is>
      </c>
      <c r="C15" s="0">
        <v>3</v>
      </c>
      <c r="D15" s="4" t="inlineStr">
        <is>
          <t xml:space="preserve">Monitores de pantalla táctil</t>
        </is>
      </c>
      <c r="E15" s="4" t="inlineStr">
        <is>
          <t xml:space="preserve">Tecnologías de la información, telecomunicaciones y radiodifusión / Equipos informáticos y accesorios / Pantallas o monitores de computador</t>
        </is>
      </c>
      <c r="F15" s="0">
        <v>2.0</v>
      </c>
      <c r="G15" s="0" t="inlineStr">
        <is>
          <t xml:space="preserve">Unidad</t>
        </is>
      </c>
      <c r="H15" s="4" t="inlineStr">
        <is>
          <t xml:space="preserve">PIZARRA INTERACTIVA SEGUN ESPECIFICACIONES INDICADAS EN LAS BASES ADJUNTAS</t>
        </is>
      </c>
    </row>
    <row r="16">
      <c r="A16" s="0" t="inlineStr">
        <is>
          <t xml:space="preserve">3510-24-LE26</t>
        </is>
      </c>
      <c r="B16" s="4" t="inlineStr">
        <is>
          <t xml:space="preserve">Adquisición Equipos Tecnológicos y automatización</t>
        </is>
      </c>
      <c r="C16" s="0">
        <v>4</v>
      </c>
      <c r="D16" s="4" t="inlineStr">
        <is>
          <t xml:space="preserve">Notebook, laptop o computador portátil excepto Tablet PC</t>
        </is>
      </c>
      <c r="E16" s="4" t="inlineStr">
        <is>
          <t xml:space="preserve">Tecnologías de la información, telecomunicaciones y radiodifusión / Equipos informáticos y accesorios / Computadores</t>
        </is>
      </c>
      <c r="F16" s="0">
        <v>20.0</v>
      </c>
      <c r="G16" s="0" t="inlineStr">
        <is>
          <t xml:space="preserve">Unidad</t>
        </is>
      </c>
      <c r="H16" s="4" t="inlineStr">
        <is>
          <t xml:space="preserve">NOTEBOOK i5 RAM512 ALMACENAMIENTO C/CARRO EQUIVALENTE A LENOVO</t>
        </is>
      </c>
    </row>
    <row r="17">
      <c r="A17" s="0" t="inlineStr">
        <is>
          <t xml:space="preserve">3510-24-LE26</t>
        </is>
      </c>
      <c r="B17" s="4" t="inlineStr">
        <is>
          <t xml:space="preserve">Adquisición Equipos Tecnológicos y automatización</t>
        </is>
      </c>
      <c r="C17" s="0">
        <v>5</v>
      </c>
      <c r="D17" s="4" t="inlineStr">
        <is>
          <t xml:space="preserve">Televisores convencionales, de plasma y LCD</t>
        </is>
      </c>
      <c r="E17" s="4" t="inlineStr">
        <is>
          <t xml:space="preserve">Muebles, accesorios, electrodomésticos y productos electrónicos / Equipos y accesorios audiovisuales / Equipos audiovisuales y de electrónica menor</t>
        </is>
      </c>
      <c r="F17" s="0">
        <v>2.0</v>
      </c>
      <c r="G17" s="0" t="inlineStr">
        <is>
          <t xml:space="preserve">Unidad</t>
        </is>
      </c>
      <c r="H17" s="4" t="inlineStr">
        <is>
          <t xml:space="preserve">TV LED 65" CRYSTAL UHD 4K SMART TV 2025 EQUIVALENTE A SAMSUNG
C/ATRIL C/RUEDAS</t>
        </is>
      </c>
    </row>
    <row r="18">
      <c r="A18" s="0" t="inlineStr">
        <is>
          <t xml:space="preserve">3671-70-LE26</t>
        </is>
      </c>
      <c r="B18" s="4" t="inlineStr">
        <is>
          <t xml:space="preserve">“RENOVACIÓN DE LICENCIAS SOFTWARE AUTODESK CIVIL 3D Y REVIT”.</t>
        </is>
      </c>
      <c r="C18" s="0">
        <v>1</v>
      </c>
      <c r="D18" s="4" t="inlineStr">
        <is>
          <t xml:space="preserve">Software de arquitectura del sistema y análisis de requisitos</t>
        </is>
      </c>
      <c r="E18" s="4" t="inlineStr">
        <is>
          <t xml:space="preserve">Tecnologías de la información, telecomunicaciones y radiodifusión / Software / Programas de desarrollo</t>
        </is>
      </c>
      <c r="F18" s="0">
        <v>1.0</v>
      </c>
      <c r="G18" s="0" t="inlineStr">
        <is>
          <t xml:space="preserve">Unidad</t>
        </is>
      </c>
      <c r="H18" s="4" t="inlineStr">
        <is>
          <t xml:space="preserve">licencias software Autodesk civil 3D y Revit. Según términos técnicos y administrativos adjuntos.</t>
        </is>
      </c>
    </row>
    <row r="19">
      <c r="A19" s="0" t="inlineStr">
        <is>
          <t xml:space="preserve">4121-25-LE26</t>
        </is>
      </c>
      <c r="B19" s="4" t="inlineStr">
        <is>
          <t xml:space="preserve">SISTEMA DE GESTION DOCUMENTAL</t>
        </is>
      </c>
      <c r="C19" s="0">
        <v>1</v>
      </c>
      <c r="D19" s="4" t="inlineStr">
        <is>
          <t xml:space="preserve">Software de arquitectura del sistema y análisis de requisitos</t>
        </is>
      </c>
      <c r="E19" s="4" t="inlineStr">
        <is>
          <t xml:space="preserve">Tecnologías de la información, telecomunicaciones y radiodifusión / Software / Programas de desarrollo</t>
        </is>
      </c>
      <c r="F19" s="0">
        <v>1.0</v>
      </c>
      <c r="G19" s="0" t="inlineStr">
        <is>
          <t xml:space="preserve">Unidad</t>
        </is>
      </c>
      <c r="H19" s="4" t="inlineStr">
        <is>
          <t xml:space="preserve">Se requiere contratar un servicio de sistema de gestión documental para la municipalidad de Ninhue. Ver detalle en las especificaciones técnicas adjuntas a la presente licitación.</t>
        </is>
      </c>
    </row>
    <row r="20">
      <c r="A20" s="0" t="inlineStr">
        <is>
          <t xml:space="preserve">584105-33-LE26</t>
        </is>
      </c>
      <c r="B20" s="4" t="inlineStr">
        <is>
          <t xml:space="preserve">LICENCIAS DE SOFTWARE</t>
        </is>
      </c>
      <c r="C20" s="0">
        <v>1</v>
      </c>
      <c r="D20" s="4" t="inlineStr">
        <is>
          <t xml:space="preserve">Software de gestión de licencias</t>
        </is>
      </c>
      <c r="E20" s="4" t="inlineStr">
        <is>
          <t xml:space="preserve">Tecnologías de la información, telecomunicaciones y radiodifusión / Software / Software de gestión</t>
        </is>
      </c>
      <c r="F20" s="0">
        <v>1.0</v>
      </c>
      <c r="G20" s="0" t="inlineStr">
        <is>
          <t xml:space="preserve">Global</t>
        </is>
      </c>
      <c r="H20" s="4" t="inlineStr">
        <is>
          <t xml:space="preserve">Licencias del software de diseño asistido (CAD) o equivalente</t>
        </is>
      </c>
    </row>
    <row r="21">
      <c r="A21" s="0" t="inlineStr">
        <is>
          <t xml:space="preserve">584105-33-LE26</t>
        </is>
      </c>
      <c r="B21" s="4" t="inlineStr">
        <is>
          <t xml:space="preserve">LICENCIAS DE SOFTWARE</t>
        </is>
      </c>
      <c r="C21" s="0">
        <v>2</v>
      </c>
      <c r="D21" s="4" t="inlineStr">
        <is>
          <t xml:space="preserve">Software de gestión de licencias</t>
        </is>
      </c>
      <c r="E21" s="4" t="inlineStr">
        <is>
          <t xml:space="preserve">Tecnologías de la información, telecomunicaciones y radiodifusión / Software / Software de gestión</t>
        </is>
      </c>
      <c r="F21" s="0">
        <v>1.0</v>
      </c>
      <c r="G21" s="0" t="inlineStr">
        <is>
          <t xml:space="preserve">Global</t>
        </is>
      </c>
      <c r="H21" s="4" t="inlineStr">
        <is>
          <t xml:space="preserve">Licencias Adobe Creative Cloud for all apps o equivalente</t>
        </is>
      </c>
    </row>
    <row r="22">
      <c r="A22" s="0" t="inlineStr">
        <is>
          <t xml:space="preserve">584105-33-LE26</t>
        </is>
      </c>
      <c r="B22" s="4" t="inlineStr">
        <is>
          <t xml:space="preserve">LICENCIAS DE SOFTWARE</t>
        </is>
      </c>
      <c r="C22" s="0">
        <v>3</v>
      </c>
      <c r="D22" s="4" t="inlineStr">
        <is>
          <t xml:space="preserve">Software de gestión de licencias</t>
        </is>
      </c>
      <c r="E22" s="4" t="inlineStr">
        <is>
          <t xml:space="preserve">Tecnologías de la información, telecomunicaciones y radiodifusión / Software / Software de gestión</t>
        </is>
      </c>
      <c r="F22" s="0">
        <v>1.0</v>
      </c>
      <c r="G22" s="0" t="inlineStr">
        <is>
          <t xml:space="preserve">Global</t>
        </is>
      </c>
      <c r="H22" s="4" t="inlineStr">
        <is>
          <t xml:space="preserve">Licencias Zoom o equivalente</t>
        </is>
      </c>
    </row>
    <row r="23">
      <c r="A23" s="0" t="inlineStr">
        <is>
          <t xml:space="preserve">652-52-LE26</t>
        </is>
      </c>
      <c r="B23" s="4" t="inlineStr">
        <is>
          <t xml:space="preserve">CONVENIO DE SERVICIOS DE RADIODIFUSIÓN Y PLATAFORMAS DIGITALES</t>
        </is>
      </c>
      <c r="C23" s="0">
        <v>1</v>
      </c>
      <c r="D23" s="4" t="inlineStr">
        <is>
          <t xml:space="preserve">Estudios o equipos radiales</t>
        </is>
      </c>
      <c r="E23" s="4" t="inlineStr">
        <is>
          <t xml:space="preserve">Servicios básicos y de información pública / Telecomunicaciones / Servicios de radio</t>
        </is>
      </c>
      <c r="F23" s="0">
        <v>1.0</v>
      </c>
      <c r="G23" s="0" t="inlineStr">
        <is>
          <t xml:space="preserve">Unidad</t>
        </is>
      </c>
      <c r="H23" s="4" t="inlineStr">
        <is>
          <t xml:space="preserve">CONVENIO RADIAL COMUNA ARAUCO</t>
        </is>
      </c>
    </row>
    <row r="24">
      <c r="A24" s="0" t="inlineStr">
        <is>
          <t xml:space="preserve">652-52-LE26</t>
        </is>
      </c>
      <c r="B24" s="4" t="inlineStr">
        <is>
          <t xml:space="preserve">CONVENIO DE SERVICIOS DE RADIODIFUSIÓN Y PLATAFORMAS DIGITALES</t>
        </is>
      </c>
      <c r="C24" s="0">
        <v>2</v>
      </c>
      <c r="D24" s="4" t="inlineStr">
        <is>
          <t xml:space="preserve">Estudios o equipos radiales</t>
        </is>
      </c>
      <c r="E24" s="4" t="inlineStr">
        <is>
          <t xml:space="preserve">Servicios básicos y de información pública / Telecomunicaciones / Servicios de radio</t>
        </is>
      </c>
      <c r="F24" s="0">
        <v>1.0</v>
      </c>
      <c r="G24" s="0" t="inlineStr">
        <is>
          <t xml:space="preserve">Unidad</t>
        </is>
      </c>
      <c r="H24" s="4" t="inlineStr">
        <is>
          <t xml:space="preserve">CONVENIO RADIAL COMUNA CURANILAHUE</t>
        </is>
      </c>
    </row>
    <row r="25">
      <c r="A25" s="0" t="inlineStr">
        <is>
          <t xml:space="preserve">652-52-LE26</t>
        </is>
      </c>
      <c r="B25" s="4" t="inlineStr">
        <is>
          <t xml:space="preserve">CONVENIO DE SERVICIOS DE RADIODIFUSIÓN Y PLATAFORMAS DIGITALES</t>
        </is>
      </c>
      <c r="C25" s="0">
        <v>3</v>
      </c>
      <c r="D25" s="4" t="inlineStr">
        <is>
          <t xml:space="preserve">Estudios o equipos radiales</t>
        </is>
      </c>
      <c r="E25" s="4" t="inlineStr">
        <is>
          <t xml:space="preserve">Servicios básicos y de información pública / Telecomunicaciones / Servicios de radio</t>
        </is>
      </c>
      <c r="F25" s="0">
        <v>1.0</v>
      </c>
      <c r="G25" s="0" t="inlineStr">
        <is>
          <t xml:space="preserve">Unidad</t>
        </is>
      </c>
      <c r="H25" s="4" t="inlineStr">
        <is>
          <t xml:space="preserve">CONVENIO RADIAL COMUNA LEBU/LOS ÁLAMOS</t>
        </is>
      </c>
    </row>
    <row r="26">
      <c r="A26" s="0" t="inlineStr">
        <is>
          <t xml:space="preserve">652-52-LE26</t>
        </is>
      </c>
      <c r="B26" s="4" t="inlineStr">
        <is>
          <t xml:space="preserve">CONVENIO DE SERVICIOS DE RADIODIFUSIÓN Y PLATAFORMAS DIGITALES</t>
        </is>
      </c>
      <c r="C26" s="0">
        <v>4</v>
      </c>
      <c r="D26" s="4" t="inlineStr">
        <is>
          <t xml:space="preserve">Estudios o equipos radiales</t>
        </is>
      </c>
      <c r="E26" s="4" t="inlineStr">
        <is>
          <t xml:space="preserve">Servicios básicos y de información pública / Telecomunicaciones / Servicios de radio</t>
        </is>
      </c>
      <c r="F26" s="0">
        <v>1.0</v>
      </c>
      <c r="G26" s="0" t="inlineStr">
        <is>
          <t xml:space="preserve">Unidad</t>
        </is>
      </c>
      <c r="H26" s="4" t="inlineStr">
        <is>
          <t xml:space="preserve">CONVENIO RADIAL COMUNA DE CAÑETE/TIRUA</t>
        </is>
      </c>
    </row>
    <row r="27">
      <c r="A27" s="0" t="inlineStr">
        <is>
          <t xml:space="preserve">652-52-LE26</t>
        </is>
      </c>
      <c r="B27" s="4" t="inlineStr">
        <is>
          <t xml:space="preserve">CONVENIO DE SERVICIOS DE RADIODIFUSIÓN Y PLATAFORMAS DIGITALES</t>
        </is>
      </c>
      <c r="C27" s="0">
        <v>5</v>
      </c>
      <c r="D27" s="4" t="inlineStr">
        <is>
          <t xml:space="preserve">Estudios o equipos radiales</t>
        </is>
      </c>
      <c r="E27" s="4" t="inlineStr">
        <is>
          <t xml:space="preserve">Servicios básicos y de información pública / Telecomunicaciones / Servicios de radio</t>
        </is>
      </c>
      <c r="F27" s="0">
        <v>1.0</v>
      </c>
      <c r="G27" s="0" t="inlineStr">
        <is>
          <t xml:space="preserve">Unidad</t>
        </is>
      </c>
      <c r="H27" s="4" t="inlineStr">
        <is>
          <t xml:space="preserve">CONVENIO RADIAL COMUNA CONTULMO</t>
        </is>
      </c>
    </row>
    <row r="28">
      <c r="A28" s="0" t="inlineStr">
        <is>
          <t xml:space="preserve">652-52-LE26</t>
        </is>
      </c>
      <c r="B28" s="4" t="inlineStr">
        <is>
          <t xml:space="preserve">CONVENIO DE SERVICIOS DE RADIODIFUSIÓN Y PLATAFORMAS DIGITALES</t>
        </is>
      </c>
      <c r="C28" s="0">
        <v>6</v>
      </c>
      <c r="D28" s="4" t="inlineStr">
        <is>
          <t xml:space="preserve">Publicidad en Internet</t>
        </is>
      </c>
      <c r="E28" s="4" t="inlineStr">
        <is>
          <t xml:space="preserve">Servicios editoriales, de diseño, publicidad, gráficos y artistas / Publicidad / Publicidad en medios no impresos</t>
        </is>
      </c>
      <c r="F28" s="0">
        <v>1.0</v>
      </c>
      <c r="G28" s="0" t="inlineStr">
        <is>
          <t xml:space="preserve">Unidad</t>
        </is>
      </c>
      <c r="H28" s="4" t="inlineStr">
        <is>
          <t xml:space="preserve">CONVENIO PLATAFORMA DIGITAL COMUNA DE ARAUCO</t>
        </is>
      </c>
    </row>
    <row r="29">
      <c r="A29" s="0" t="inlineStr">
        <is>
          <t xml:space="preserve">652-52-LE26</t>
        </is>
      </c>
      <c r="B29" s="4" t="inlineStr">
        <is>
          <t xml:space="preserve">CONVENIO DE SERVICIOS DE RADIODIFUSIÓN Y PLATAFORMAS DIGITALES</t>
        </is>
      </c>
      <c r="C29" s="0">
        <v>7</v>
      </c>
      <c r="D29" s="4" t="inlineStr">
        <is>
          <t xml:space="preserve">Publicidad en Internet</t>
        </is>
      </c>
      <c r="E29" s="4" t="inlineStr">
        <is>
          <t xml:space="preserve">Servicios editoriales, de diseño, publicidad, gráficos y artistas / Publicidad / Publicidad en medios no impresos</t>
        </is>
      </c>
      <c r="F29" s="0">
        <v>1.0</v>
      </c>
      <c r="G29" s="0" t="inlineStr">
        <is>
          <t xml:space="preserve">Unidad</t>
        </is>
      </c>
      <c r="H29" s="4" t="inlineStr">
        <is>
          <t xml:space="preserve">CONVENIO PLATAFORMA DIGITAL COMUNA DE CURANILAHUE</t>
        </is>
      </c>
    </row>
    <row r="30">
      <c r="A30" s="0" t="inlineStr">
        <is>
          <t xml:space="preserve">652-52-LE26</t>
        </is>
      </c>
      <c r="B30" s="4" t="inlineStr">
        <is>
          <t xml:space="preserve">CONVENIO DE SERVICIOS DE RADIODIFUSIÓN Y PLATAFORMAS DIGITALES</t>
        </is>
      </c>
      <c r="C30" s="0">
        <v>8</v>
      </c>
      <c r="D30" s="4" t="inlineStr">
        <is>
          <t xml:space="preserve">Publicidad en Internet</t>
        </is>
      </c>
      <c r="E30" s="4" t="inlineStr">
        <is>
          <t xml:space="preserve">Servicios editoriales, de diseño, publicidad, gráficos y artistas / Publicidad / Publicidad en medios no impresos</t>
        </is>
      </c>
      <c r="F30" s="0">
        <v>1.0</v>
      </c>
      <c r="G30" s="0" t="inlineStr">
        <is>
          <t xml:space="preserve">Unidad</t>
        </is>
      </c>
      <c r="H30" s="4" t="inlineStr">
        <is>
          <t xml:space="preserve">CONVENIO PLATAFORMA DIGITAL COMUNA DE LEBU/LOS ALAMOS</t>
        </is>
      </c>
    </row>
    <row r="31">
      <c r="A31" s="0" t="inlineStr">
        <is>
          <t xml:space="preserve">652-52-LE26</t>
        </is>
      </c>
      <c r="B31" s="4" t="inlineStr">
        <is>
          <t xml:space="preserve">CONVENIO DE SERVICIOS DE RADIODIFUSIÓN Y PLATAFORMAS DIGITALES</t>
        </is>
      </c>
      <c r="C31" s="0">
        <v>9</v>
      </c>
      <c r="D31" s="4" t="inlineStr">
        <is>
          <t xml:space="preserve">Publicidad en Internet</t>
        </is>
      </c>
      <c r="E31" s="4" t="inlineStr">
        <is>
          <t xml:space="preserve">Servicios editoriales, de diseño, publicidad, gráficos y artistas / Publicidad / Publicidad en medios no impresos</t>
        </is>
      </c>
      <c r="F31" s="0">
        <v>1.0</v>
      </c>
      <c r="G31" s="0" t="inlineStr">
        <is>
          <t xml:space="preserve">Unidad</t>
        </is>
      </c>
      <c r="H31" s="4" t="inlineStr">
        <is>
          <t xml:space="preserve">CONVENIO PLATAFORMA DIGITAL COMUNA DE CAÑETE/TIRUA</t>
        </is>
      </c>
    </row>
    <row r="32">
      <c r="A32" s="0" t="inlineStr">
        <is>
          <t xml:space="preserve">761-22-LE26</t>
        </is>
      </c>
      <c r="B32" s="4" t="inlineStr">
        <is>
          <t xml:space="preserve">LICENCIAMIENTO ADOBE CREATIVE CLOUD E6945-2026</t>
        </is>
      </c>
      <c r="C32" s="0">
        <v>1</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Unidad</t>
        </is>
      </c>
      <c r="H32" s="4" t="inlineStr">
        <is>
          <t xml:space="preserve">SERVICIO DE “RENOVACIÓN LICENCIAMIENTO ADOBE CREATIVE CLOUD PARA SUBDERE” E6945/2026</t>
        </is>
      </c>
    </row>
    <row r="33">
      <c r="A33" s="0" t="inlineStr">
        <is>
          <t xml:space="preserve">799512-50-LE26</t>
        </is>
      </c>
      <c r="B33" s="4" t="inlineStr">
        <is>
          <t xml:space="preserve">COMPRA TENSIOMETROS DIGITALES</t>
        </is>
      </c>
      <c r="C33" s="0">
        <v>1</v>
      </c>
      <c r="D33" s="4" t="inlineStr">
        <is>
          <t xml:space="preserve">Tensiómetros</t>
        </is>
      </c>
      <c r="E33" s="4" t="inlineStr">
        <is>
          <t xml:space="preserve">Equipamiento para laboratorios / Instrumentos de medida y experimentación / Instrumentos mecánicos</t>
        </is>
      </c>
      <c r="F33" s="0">
        <v>37.0</v>
      </c>
      <c r="G33" s="0" t="inlineStr">
        <is>
          <t xml:space="preserve">Unidad</t>
        </is>
      </c>
      <c r="H33" s="4" t="inlineStr">
        <is>
          <t xml:space="preserve">PROBP 2000 TENSIOMETRO DIGITAL CON FUENTE DE PODER (2000-P)</t>
        </is>
      </c>
    </row>
    <row r="34">
      <c r="A34" s="0" t="inlineStr">
        <is>
          <t xml:space="preserve">5890-11-LP26</t>
        </is>
      </c>
      <c r="B34" s="4" t="inlineStr">
        <is>
          <t xml:space="preserve">PLATAFORMA DE ANALISIS AVANZADO MALWARE PNCO2025</t>
        </is>
      </c>
      <c r="C34" s="0">
        <v>1</v>
      </c>
      <c r="D34" s="4" t="inlineStr">
        <is>
          <t xml:space="preserve">Cajas de almacenamientos de diferentes soportes</t>
        </is>
      </c>
      <c r="E34" s="4" t="inlineStr">
        <is>
          <t xml:space="preserve">Tecnologías de la información, telecomunicaciones y radiodifusión / Componentes para tecnología de la información, difusión o telecomunicaciones / Accesorios de soportes de almacenamiento extraíbles</t>
        </is>
      </c>
      <c r="F34" s="0">
        <v>1.0</v>
      </c>
      <c r="G34" s="0" t="inlineStr">
        <is>
          <t xml:space="preserve">Unidad</t>
        </is>
      </c>
      <c r="H34" s="4" t="inlineStr">
        <is>
          <t xml:space="preserve">SEGUN BASES ADMINISTRAIVAS Y ANEXOS ADJUNTOS</t>
        </is>
      </c>
    </row>
    <row r="35">
      <c r="A35" s="0" t="inlineStr">
        <is>
          <t xml:space="preserve">869591-12-LP26</t>
        </is>
      </c>
      <c r="B35" s="4" t="inlineStr">
        <is>
          <t xml:space="preserve">CONTRATACIÓN DE PLATAFORMA DE GESTIÓN DOCUMENTAL EXPEDIENTE ELECTRÓNICO Y GESTIÓN DE PROCESOS</t>
        </is>
      </c>
      <c r="C35" s="0">
        <v>1</v>
      </c>
      <c r="D35" s="4" t="inlineStr">
        <is>
          <t xml:space="preserve">Programas de gestión de documentos</t>
        </is>
      </c>
      <c r="E35" s="4" t="inlineStr">
        <is>
          <t xml:space="preserve">Tecnologías de la información, telecomunicaciones y radiodifusión / Software / Software de gestión de contenidos</t>
        </is>
      </c>
      <c r="F35" s="0">
        <v>1.0</v>
      </c>
      <c r="G35" s="0" t="inlineStr">
        <is>
          <t xml:space="preserve">Unidad</t>
        </is>
      </c>
      <c r="H35" s="4" t="inlineStr">
        <is>
          <t xml:space="preserve">CONTRATACIÓN DE PLATAFORMA DE GESTIÓN DOCUMENTAL, EXPEDIENTE ELECTRÓNICO Y GESTIÓN DE PROCESOS PARA LA DIRECCIÓN DE COMPRAS Y CONTRATACIÓN PÚBLICA</t>
        </is>
      </c>
    </row>
    <row r="36">
      <c r="A36" s="0" t="inlineStr">
        <is>
          <t xml:space="preserve">1208129-9-LP26</t>
        </is>
      </c>
      <c r="B36" s="4" t="inlineStr">
        <is>
          <t xml:space="preserve">Giftcards digitales para las FAE de AA.DD del SPE</t>
        </is>
      </c>
      <c r="C36" s="0">
        <v>1</v>
      </c>
      <c r="D36" s="4" t="inlineStr">
        <is>
          <t xml:space="preserve">Planificación de compensaciones o beneficios</t>
        </is>
      </c>
      <c r="E36" s="4" t="inlineStr">
        <is>
          <t xml:space="preserve">Servicios profesionales, administrativos y consultorías de gestión empresarial / Servicios de recursos humanos / Consultorías para el desarrollo de recursos humanos</t>
        </is>
      </c>
      <c r="F36" s="0">
        <v>1.0</v>
      </c>
      <c r="G36" s="0" t="inlineStr">
        <is>
          <t xml:space="preserve">Global</t>
        </is>
      </c>
      <c r="H36" s="4" t="inlineStr">
        <is>
          <t xml:space="preserve">Adquisición de giftcards digitales o váuchers electrónicos de alimentos para Pogramas FAE de AADD del SPE Biobío, según lo requerido en Bases Técnicas</t>
        </is>
      </c>
    </row>
    <row r="37">
      <c r="A37" s="0" t="inlineStr">
        <is>
          <t xml:space="preserve">1208129-9-LP26</t>
        </is>
      </c>
      <c r="B37" s="4" t="inlineStr">
        <is>
          <t xml:space="preserve">Giftcards digitales para las FAE de AA.DD del SPE</t>
        </is>
      </c>
      <c r="C37" s="0">
        <v>2</v>
      </c>
      <c r="D37" s="4" t="inlineStr">
        <is>
          <t xml:space="preserve">Planificación de compensaciones o beneficios</t>
        </is>
      </c>
      <c r="E37" s="4" t="inlineStr">
        <is>
          <t xml:space="preserve">Servicios profesionales, administrativos y consultorías de gestión empresarial / Servicios de recursos humanos / Consultorías para el desarrollo de recursos humanos</t>
        </is>
      </c>
      <c r="F37" s="0">
        <v>1.0</v>
      </c>
      <c r="G37" s="0" t="inlineStr">
        <is>
          <t xml:space="preserve">Global</t>
        </is>
      </c>
      <c r="H37" s="4" t="inlineStr">
        <is>
          <t xml:space="preserve">Adquisición de giftcards digitales o váuchers electrónicos de aseo e higiene personal para Pogramas FAE de AADD del SPE Biobío, según lo requerido en Bases Técnicas</t>
        </is>
      </c>
    </row>
    <row r="38">
      <c r="A38" s="0" t="inlineStr">
        <is>
          <t xml:space="preserve">1208129-9-LP26</t>
        </is>
      </c>
      <c r="B38" s="4" t="inlineStr">
        <is>
          <t xml:space="preserve">Giftcards digitales para las FAE de AA.DD del SPE</t>
        </is>
      </c>
      <c r="C38" s="0">
        <v>3</v>
      </c>
      <c r="D38" s="4" t="inlineStr">
        <is>
          <t xml:space="preserve">Planificación de compensaciones o beneficios</t>
        </is>
      </c>
      <c r="E38" s="4" t="inlineStr">
        <is>
          <t xml:space="preserve">Servicios profesionales, administrativos y consultorías de gestión empresarial / Servicios de recursos humanos / Consultorías para el desarrollo de recursos humanos</t>
        </is>
      </c>
      <c r="F38" s="0">
        <v>1.0</v>
      </c>
      <c r="G38" s="0" t="inlineStr">
        <is>
          <t xml:space="preserve">Global</t>
        </is>
      </c>
      <c r="H38" s="4" t="inlineStr">
        <is>
          <t xml:space="preserve">Adquisición de giftcards digitales o váuchers electrónicos de vestuario y calzado para Pogramas FAE de AADD del SPE Biobío, según lo requerido en Bases Técnicas</t>
        </is>
      </c>
    </row>
    <row r="39">
      <c r="A39" s="0" t="inlineStr">
        <is>
          <t xml:space="preserve">1562-61-LP26</t>
        </is>
      </c>
      <c r="B39" s="4" t="inlineStr">
        <is>
          <t xml:space="preserve">PLATAFORMA DE SEGURIDAD PERIMETRAL</t>
        </is>
      </c>
      <c r="C39" s="0">
        <v>1</v>
      </c>
      <c r="D39" s="4" t="inlineStr">
        <is>
          <t xml:space="preserve">Mantenimiento y soporte de hardware</t>
        </is>
      </c>
      <c r="E39" s="4" t="inlineStr">
        <is>
          <t xml:space="preserve">Servicios basados en ingeniería, ciencias sociales y tecnología de la información / Servicios informáticos / Administración de sistemas</t>
        </is>
      </c>
      <c r="F39" s="0">
        <v>2.0</v>
      </c>
      <c r="G39" s="0" t="inlineStr">
        <is>
          <t xml:space="preserve">Unidad</t>
        </is>
      </c>
      <c r="H39"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40">
      <c r="A40" s="0" t="inlineStr">
        <is>
          <t xml:space="preserve">1562-61-LP26</t>
        </is>
      </c>
      <c r="B40" s="4" t="inlineStr">
        <is>
          <t xml:space="preserve">PLATAFORMA DE SEGURIDAD PERIMETRAL</t>
        </is>
      </c>
      <c r="C40" s="0">
        <v>2</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t>
        </is>
      </c>
      <c r="H40"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41">
      <c r="A41" s="0" t="inlineStr">
        <is>
          <t xml:space="preserve">1562-61-LP26</t>
        </is>
      </c>
      <c r="B41" s="4" t="inlineStr">
        <is>
          <t xml:space="preserve">PLATAFORMA DE SEGURIDAD PERIMETRAL</t>
        </is>
      </c>
      <c r="C41" s="0">
        <v>3</v>
      </c>
      <c r="D41" s="4" t="inlineStr">
        <is>
          <t xml:space="preserve">Programas de gestión de configuración</t>
        </is>
      </c>
      <c r="E41" s="4" t="inlineStr">
        <is>
          <t xml:space="preserve">Tecnologías de la información, telecomunicaciones y radiodifusión / Software / Programas de desarrollo</t>
        </is>
      </c>
      <c r="F41" s="0">
        <v>1.0</v>
      </c>
      <c r="G41" s="0" t="inlineStr">
        <is>
          <t xml:space="preserve">Unidad</t>
        </is>
      </c>
      <c r="H41"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42">
      <c r="A42" s="0" t="inlineStr">
        <is>
          <t xml:space="preserve">4589-16-LE26</t>
        </is>
      </c>
      <c r="B42" s="4" t="inlineStr">
        <is>
          <t xml:space="preserve">SOPORTE DE MANTENCION Y CAPACITACION PLATAFORMA SIFIM</t>
        </is>
      </c>
      <c r="C42" s="0">
        <v>1</v>
      </c>
      <c r="D42" s="4" t="inlineStr">
        <is>
          <t xml:space="preserve">Programas de análisis financiero</t>
        </is>
      </c>
      <c r="E42" s="4" t="inlineStr">
        <is>
          <t xml:space="preserve">Tecnologías de la información, telecomunicaciones y radiodifusión / Software / Software de planificación de recursos empresariales (ERP) y contabilidad financiera</t>
        </is>
      </c>
      <c r="F42" s="0">
        <v>1.0</v>
      </c>
      <c r="G42" s="0" t="inlineStr">
        <is>
          <t xml:space="preserve">Unidad</t>
        </is>
      </c>
      <c r="H42"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43">
      <c r="A43" s="0" t="inlineStr">
        <is>
          <t xml:space="preserve">761391-138-LE26</t>
        </is>
      </c>
      <c r="B43" s="4" t="inlineStr">
        <is>
          <t xml:space="preserve">EE-133-GUB-DAS-SVC. ARRI. EQUIPOS INFORMATICOS</t>
        </is>
      </c>
      <c r="C43" s="0">
        <v>1</v>
      </c>
      <c r="D43" s="4" t="inlineStr">
        <is>
          <t xml:space="preserve">Servicios de programación de sistemas operativos</t>
        </is>
      </c>
      <c r="E43" s="4" t="inlineStr">
        <is>
          <t xml:space="preserve">Servicios basados en ingeniería, ciencias sociales y tecnología de la información / Servicios informáticos / Ingeniería en computación e informática</t>
        </is>
      </c>
      <c r="F43" s="0">
        <v>1.0</v>
      </c>
      <c r="G43" s="0" t="inlineStr">
        <is>
          <t xml:space="preserve">Global</t>
        </is>
      </c>
      <c r="H43"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44">
      <c r="A44" s="0" t="inlineStr">
        <is>
          <t xml:space="preserve">587-49-LE26</t>
        </is>
      </c>
      <c r="B44" s="4" t="inlineStr">
        <is>
          <t xml:space="preserve">SELICO 198- 2026 SERVICIO DE DIGITALIZACIÓN</t>
        </is>
      </c>
      <c r="C44" s="0">
        <v>1</v>
      </c>
      <c r="D44" s="4" t="inlineStr">
        <is>
          <t xml:space="preserve">Servicios de digitalización de documentos</t>
        </is>
      </c>
      <c r="E44" s="4" t="inlineStr">
        <is>
          <t xml:space="preserve">Servicios basados en ingeniería, ciencias sociales y tecnología de la información / Servicios informáticos / Servicios de datos</t>
        </is>
      </c>
      <c r="F44" s="0">
        <v>1.0</v>
      </c>
      <c r="G44" s="0" t="inlineStr">
        <is>
          <t xml:space="preserve">Global</t>
        </is>
      </c>
      <c r="H44" s="4" t="inlineStr">
        <is>
          <t xml:space="preserve">Servicio de digitalización e indexación de documentación del MINVU y de la SEREMI Región Metropolitana.</t>
        </is>
      </c>
    </row>
    <row r="45">
      <c r="A45" s="0" t="inlineStr">
        <is>
          <t xml:space="preserve">1057049-332-LR26</t>
        </is>
      </c>
      <c r="B45" s="4" t="inlineStr">
        <is>
          <t xml:space="preserve">JLL BASES SERVICIO DE TURNOS PROFESIONALES PARA DESARROLLO DE SOFTWARE INTERNO DEL HOSPITAL CLÍNICO SAN BORJA ARRIARÁN</t>
        </is>
      </c>
      <c r="C45" s="0">
        <v>1</v>
      </c>
      <c r="D45" s="4" t="inlineStr">
        <is>
          <t xml:space="preserve">Personal técnico temporal</t>
        </is>
      </c>
      <c r="E45" s="4" t="inlineStr">
        <is>
          <t xml:space="preserve">Servicios profesionales, administrativos y consultorías de gestión empresarial / Servicios de recursos humanos / Servicios de personal temporal</t>
        </is>
      </c>
      <c r="F45" s="0">
        <v>1.0</v>
      </c>
      <c r="G45" s="0" t="inlineStr">
        <is>
          <t xml:space="preserve">Global</t>
        </is>
      </c>
      <c r="H45" s="4" t="inlineStr">
        <is>
          <t xml:space="preserve">COD. 704-0022 CONTRATACION DE SERVICIO DE TURNOS PROFESIONALES PARA DESARROLLO DE SOFTWARE INTERNO DEL HOSPITAL CLINICO SAN BORJA ARRIARAN POR 24 MESES</t>
        </is>
      </c>
    </row>
    <row r="46">
      <c r="A46" s="0" t="inlineStr">
        <is>
          <t xml:space="preserve">1736-108-LE26</t>
        </is>
      </c>
      <c r="B46" s="4" t="inlineStr">
        <is>
          <t xml:space="preserve">INSUMOS INFORMÁTICOS Y COMPUTACIONALES DISAM</t>
        </is>
      </c>
      <c r="C46" s="0">
        <v>1</v>
      </c>
      <c r="D46" s="4" t="inlineStr">
        <is>
          <t xml:space="preserve">Cable de fibra óptica</t>
        </is>
      </c>
      <c r="E46" s="4" t="inlineStr">
        <is>
          <t xml:space="preserve">Maquinaria para generación y distribución de energía / Alambres y cables eléctricos y electrónicos / Cables eléctricos y accesorios</t>
        </is>
      </c>
      <c r="F46" s="0">
        <v>1.0</v>
      </c>
      <c r="G46" s="0" t="inlineStr">
        <is>
          <t xml:space="preserve">Unidad</t>
        </is>
      </c>
      <c r="H46" s="4" t="inlineStr">
        <is>
          <t xml:space="preserve">DECRETO ALCALDICIO Nº 03363/2026 28. ESPECIFICACIONES TÉCNICAS LÍNEA 1: CONECTIVIDAD Y CABLEADO ESTRUCTURADO</t>
        </is>
      </c>
    </row>
    <row r="47">
      <c r="A47" s="0" t="inlineStr">
        <is>
          <t xml:space="preserve">1736-108-LE26</t>
        </is>
      </c>
      <c r="B47" s="4" t="inlineStr">
        <is>
          <t xml:space="preserve">INSUMOS INFORMÁTICOS Y COMPUTACIONALES DISAM</t>
        </is>
      </c>
      <c r="C47" s="0">
        <v>2</v>
      </c>
      <c r="D47" s="4" t="inlineStr">
        <is>
          <t xml:space="preserve">Memoria flash</t>
        </is>
      </c>
      <c r="E47" s="4" t="inlineStr">
        <is>
          <t xml:space="preserve">Artículos de electrónica / Circuitos electrónicos / Circuitos integrados, memorias y microprocesadores</t>
        </is>
      </c>
      <c r="F47" s="0">
        <v>1.0</v>
      </c>
      <c r="G47" s="0" t="inlineStr">
        <is>
          <t xml:space="preserve">Unidad</t>
        </is>
      </c>
      <c r="H47" s="4" t="inlineStr">
        <is>
          <t xml:space="preserve">DECRETO ALCALDICIO Nº 03363/2026 28. ESPECIFICACIONES TÉCNICAS LÍNEA 2: ALMACENAMIENTO Y COMPONENTES INTERNOS</t>
        </is>
      </c>
    </row>
    <row r="48">
      <c r="A48" s="0" t="inlineStr">
        <is>
          <t xml:space="preserve">1736-108-LE26</t>
        </is>
      </c>
      <c r="B48" s="4" t="inlineStr">
        <is>
          <t xml:space="preserve">INSUMOS INFORMÁTICOS Y COMPUTACIONALES DISAM</t>
        </is>
      </c>
      <c r="C48" s="0">
        <v>3</v>
      </c>
      <c r="D48" s="4" t="inlineStr">
        <is>
          <t xml:space="preserve">Cartuchos de tinta</t>
        </is>
      </c>
      <c r="E48" s="4" t="inlineStr">
        <is>
          <t xml:space="preserve">Equipos, accesorios y suministros de oficina / Maquinarias, suministros y accesorios de oficina / Suministros para impresora, fax y fotocopiadora</t>
        </is>
      </c>
      <c r="F48" s="0">
        <v>1.0</v>
      </c>
      <c r="G48" s="0" t="inlineStr">
        <is>
          <t xml:space="preserve">Unidad</t>
        </is>
      </c>
      <c r="H48" s="4" t="inlineStr">
        <is>
          <t xml:space="preserve">DECRETO ALCALDICIO Nº 03363/2026 28. ESPECIFICACIONES TÉCNICAS LÍNEA 3: SUMINISTROS DE IMPRESIÓN Y ROTULACIÓN</t>
        </is>
      </c>
    </row>
    <row r="49">
      <c r="A49" s="0" t="inlineStr">
        <is>
          <t xml:space="preserve">1736-108-LE26</t>
        </is>
      </c>
      <c r="B49" s="4" t="inlineStr">
        <is>
          <t xml:space="preserve">INSUMOS INFORMÁTICOS Y COMPUTACIONALES DISAM</t>
        </is>
      </c>
      <c r="C49" s="0">
        <v>4</v>
      </c>
      <c r="D49" s="4" t="inlineStr">
        <is>
          <t xml:space="preserve">Cristales de filtro</t>
        </is>
      </c>
      <c r="E49" s="4" t="inlineStr">
        <is>
          <t xml:space="preserve">Artículos de fabricación y producción / Óptica industrial / Cristales ópticos industriales</t>
        </is>
      </c>
      <c r="F49" s="0">
        <v>1.0</v>
      </c>
      <c r="G49" s="0" t="inlineStr">
        <is>
          <t xml:space="preserve">Unidad</t>
        </is>
      </c>
      <c r="H49" s="4" t="inlineStr">
        <is>
          <t xml:space="preserve">DECRETO ALCALDICIO Nº 03363/2026 28. ESPECIFICACIONES TÉCNICAS LÍNEA 4: MEDIOS ÓPTICOS Y SOLUCIONES CLÍNICAS</t>
        </is>
      </c>
    </row>
    <row r="50">
      <c r="A50" s="0" t="inlineStr">
        <is>
          <t xml:space="preserve">4768-48-LE26</t>
        </is>
      </c>
      <c r="B50" s="4" t="inlineStr">
        <is>
          <t xml:space="preserve">MODIFICACION Y MODERNIZACION SEL SITIO WEB</t>
        </is>
      </c>
      <c r="C50" s="0">
        <v>1</v>
      </c>
      <c r="D50" s="4" t="inlineStr">
        <is>
          <t xml:space="preserve">Software de desarrollo de plataforma Web</t>
        </is>
      </c>
      <c r="E50" s="4" t="inlineStr">
        <is>
          <t xml:space="preserve">Tecnologías de la información, telecomunicaciones y radiodifusión / Software / Programas de desarrollo</t>
        </is>
      </c>
      <c r="F50" s="0">
        <v>1.0</v>
      </c>
      <c r="G50" s="0" t="inlineStr">
        <is>
          <t xml:space="preserve">Global</t>
        </is>
      </c>
      <c r="H50" s="4" t="inlineStr">
        <is>
          <t xml:space="preserve">SERVICIO DE MODIFICACION Y MODERNIZACION DEL SITIO WEB INSTITUCIONAL DE LA MUNICIPALIDAD DE LA ESTRELLA</t>
        </is>
      </c>
    </row>
    <row r="51">
      <c r="A51" s="0" t="inlineStr">
        <is>
          <t xml:space="preserve">1049-76-LE26</t>
        </is>
      </c>
      <c r="B51" s="4" t="inlineStr">
        <is>
          <t xml:space="preserve">LEVANTAMIENTO DE DATOS SOCIOECONÓMICOS PLANTAS MANUFACTURERAS DE PRODUCTOS PESQUEROS ACUÍCOLAS Y EMPRESAS SALMONERAS</t>
        </is>
      </c>
      <c r="C51" s="0">
        <v>1</v>
      </c>
      <c r="D51" s="4" t="inlineStr">
        <is>
          <t xml:space="preserve">Encuestas por muestreo</t>
        </is>
      </c>
      <c r="E51" s="4" t="inlineStr">
        <is>
          <t xml:space="preserve">Servicios basados en ingeniería, ciencias sociales y tecnología de la información / Estadística / Metodología y análisis estadístico</t>
        </is>
      </c>
      <c r="F51" s="0">
        <v>1.0</v>
      </c>
      <c r="G51" s="0" t="inlineStr">
        <is>
          <t xml:space="preserve">Unidad</t>
        </is>
      </c>
      <c r="H51" s="4" t="inlineStr">
        <is>
          <t xml:space="preserve">SERVICIO DE LEVANTAMIENTO DE DATOS SOCIOECONÓMICOS PLANTAS MANUFACTURERAS DE PRODUCTOS PESQUEROS ATACAMA Y COQUIMBO</t>
        </is>
      </c>
    </row>
    <row r="52">
      <c r="A52" s="0" t="inlineStr">
        <is>
          <t xml:space="preserve">1049-76-LE26</t>
        </is>
      </c>
      <c r="B52" s="4" t="inlineStr">
        <is>
          <t xml:space="preserve">LEVANTAMIENTO DE DATOS SOCIOECONÓMICOS PLANTAS MANUFACTURERAS DE PRODUCTOS PESQUEROS ACUÍCOLAS Y EMPRESAS SALMONERAS</t>
        </is>
      </c>
      <c r="C52" s="0">
        <v>2</v>
      </c>
      <c r="D52" s="4" t="inlineStr">
        <is>
          <t xml:space="preserve">Encuestas por muestreo</t>
        </is>
      </c>
      <c r="E52" s="4" t="inlineStr">
        <is>
          <t xml:space="preserve">Servicios basados en ingeniería, ciencias sociales y tecnología de la información / Estadística / Metodología y análisis estadístico</t>
        </is>
      </c>
      <c r="F52" s="0">
        <v>1.0</v>
      </c>
      <c r="G52" s="0" t="inlineStr">
        <is>
          <t xml:space="preserve">Unidad</t>
        </is>
      </c>
      <c r="H52" s="4" t="inlineStr">
        <is>
          <t xml:space="preserve">SERVICIO DE LEVANTAMIENTO DE DATOS SOCIOECONÓMICOS PLANTAS MANUFACTURERAS DE PRODUCTOS PESQUEROS VALPARAISO Y METROPOLITANA</t>
        </is>
      </c>
    </row>
    <row r="53">
      <c r="A53" s="0" t="inlineStr">
        <is>
          <t xml:space="preserve">1049-76-LE26</t>
        </is>
      </c>
      <c r="B53" s="4" t="inlineStr">
        <is>
          <t xml:space="preserve">LEVANTAMIENTO DE DATOS SOCIOECONÓMICOS PLANTAS MANUFACTURERAS DE PRODUCTOS PESQUEROS ACUÍCOLAS Y EMPRESAS SALMONERAS</t>
        </is>
      </c>
      <c r="C53" s="0">
        <v>3</v>
      </c>
      <c r="D53" s="4" t="inlineStr">
        <is>
          <t xml:space="preserve">Encuestas por muestreo</t>
        </is>
      </c>
      <c r="E53" s="4" t="inlineStr">
        <is>
          <t xml:space="preserve">Servicios basados en ingeniería, ciencias sociales y tecnología de la información / Estadística / Metodología y análisis estadístico</t>
        </is>
      </c>
      <c r="F53" s="0">
        <v>1.0</v>
      </c>
      <c r="G53" s="0" t="inlineStr">
        <is>
          <t xml:space="preserve">Unidad</t>
        </is>
      </c>
      <c r="H53" s="4" t="inlineStr">
        <is>
          <t xml:space="preserve">SERVICIO DE LEVANTAMIENTO DE DATOS SOCIOECONÓMICOS PLANTAS DE PRODUCTOS PESQUEROS, ACUÍCOLAS Y EMPRESAS SALMONERAS LOS LAGOS, AYSÉN Y MAGALLANES</t>
        </is>
      </c>
    </row>
    <row r="54">
      <c r="A54" s="0" t="inlineStr">
        <is>
          <t xml:space="preserve">463-5-LE26</t>
        </is>
      </c>
      <c r="B54" s="4" t="inlineStr">
        <is>
          <t xml:space="preserve">SERVICIO DE SOFTWARE DE GESTIÓN DE PERSONAS</t>
        </is>
      </c>
      <c r="C54" s="0">
        <v>1</v>
      </c>
      <c r="D54" s="4" t="inlineStr">
        <is>
          <t xml:space="preserve">Software de gestión de recursos humanos</t>
        </is>
      </c>
      <c r="E54" s="4" t="inlineStr">
        <is>
          <t xml:space="preserve">Tecnologías de la información, telecomunicaciones y radiodifusión / Software / Software de gestión</t>
        </is>
      </c>
      <c r="F54" s="0">
        <v>1.0</v>
      </c>
      <c r="G54" s="0" t="inlineStr">
        <is>
          <t xml:space="preserve">Unidad</t>
        </is>
      </c>
      <c r="H54" s="4" t="inlineStr">
        <is>
          <t xml:space="preserve">SERVICIO DE SOFTWARE DE GESTIÓN DE PERSONAS PARA CIREN</t>
        </is>
      </c>
    </row>
    <row r="55">
      <c r="A55" s="0" t="inlineStr">
        <is>
          <t xml:space="preserve">696217-2-LP26</t>
        </is>
      </c>
      <c r="B55" s="4" t="inlineStr">
        <is>
          <t xml:space="preserve">Servicio de Digitalizacion de Carpetas</t>
        </is>
      </c>
      <c r="C55" s="0">
        <v>1</v>
      </c>
      <c r="D55" s="4" t="inlineStr">
        <is>
          <t xml:space="preserve">Servicios de digitalización de documentos</t>
        </is>
      </c>
      <c r="E55" s="4" t="inlineStr">
        <is>
          <t xml:space="preserve">Servicios basados en ingeniería, ciencias sociales y tecnología de la información / Servicios informáticos / Servicios de datos</t>
        </is>
      </c>
      <c r="F55" s="0">
        <v>1.0</v>
      </c>
      <c r="G55" s="0" t="inlineStr">
        <is>
          <t xml:space="preserve">Unidad</t>
        </is>
      </c>
      <c r="H55"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56">
      <c r="A56" s="0" t="inlineStr">
        <is>
          <t xml:space="preserve">948354-137-LP26</t>
        </is>
      </c>
      <c r="B56" s="4" t="inlineStr">
        <is>
          <t xml:space="preserve">LA ADQUISICIÓN DE EQUIPO DE RAYOS X ARCO C CON FLUOROSCOPIA DIGITAL PARA EL HOSPITAL DIPRECA</t>
        </is>
      </c>
      <c r="C56" s="0">
        <v>1</v>
      </c>
      <c r="D56" s="4" t="inlineStr">
        <is>
          <t xml:space="preserve">Equipo de examen por rayos X</t>
        </is>
      </c>
      <c r="E56" s="4" t="inlineStr">
        <is>
          <t xml:space="preserve">Equipamiento para laboratorios / Instrumentos de medida y experimentación / Equipo de examen no invasivo</t>
        </is>
      </c>
      <c r="F56" s="0">
        <v>1.0</v>
      </c>
      <c r="G56" s="0" t="inlineStr">
        <is>
          <t xml:space="preserve">Unidad</t>
        </is>
      </c>
      <c r="H56" s="4" t="inlineStr">
        <is>
          <t xml:space="preserve">EQUIPO DE RAYOS X ARCO C, CON FLUOROSCOPIA DIGITAL.</t>
        </is>
      </c>
    </row>
    <row r="57">
      <c r="A57" s="0" t="inlineStr">
        <is>
          <t xml:space="preserve">885-85-LE26</t>
        </is>
      </c>
      <c r="B57" s="4" t="inlineStr">
        <is>
          <t xml:space="preserve">Adquisición de licencias de software Acrobat Pro DC for teams ALL MP MLA Team para la Contraloría General de la República.</t>
        </is>
      </c>
      <c r="C57" s="0">
        <v>1</v>
      </c>
      <c r="D57" s="4" t="inlineStr">
        <is>
          <t xml:space="preserve">Software de gestión de licencias</t>
        </is>
      </c>
      <c r="E57" s="4" t="inlineStr">
        <is>
          <t xml:space="preserve">Tecnologías de la información, telecomunicaciones y radiodifusión / Software / Software de gestión</t>
        </is>
      </c>
      <c r="F57" s="0">
        <v>50.0</v>
      </c>
      <c r="G57" s="0" t="inlineStr">
        <is>
          <t xml:space="preserve">Unidad</t>
        </is>
      </c>
      <c r="H57" s="4" t="inlineStr">
        <is>
          <t xml:space="preserve">Licencias del software Acrobat Pro DC for teams ALL MP MLA Team</t>
        </is>
      </c>
    </row>
    <row r="58">
      <c r="A58" s="0" t="inlineStr">
        <is>
          <t xml:space="preserve">1456836-4-LP26</t>
        </is>
      </c>
      <c r="B58" s="4" t="inlineStr">
        <is>
          <t xml:space="preserve">Software de Gestión de Personas y Remuneraciones</t>
        </is>
      </c>
      <c r="C58" s="0">
        <v>1</v>
      </c>
      <c r="D58" s="4" t="inlineStr">
        <is>
          <t xml:space="preserve">Software de gestión de recursos humanos</t>
        </is>
      </c>
      <c r="E58" s="4" t="inlineStr">
        <is>
          <t xml:space="preserve">Tecnologías de la información, telecomunicaciones y radiodifusión / Software / Software de gestión</t>
        </is>
      </c>
      <c r="F58" s="0">
        <v>1.0</v>
      </c>
      <c r="G58" s="0" t="inlineStr">
        <is>
          <t xml:space="preserve">Global</t>
        </is>
      </c>
      <c r="H58" s="4" t="inlineStr">
        <is>
          <t xml:space="preserve">Servicio de arriendo de Software de Gestión de Personas y Remuneraciones para el Servicio Local de Educación Pública Hanga Roa.</t>
        </is>
      </c>
    </row>
    <row r="59">
      <c r="A59" s="0" t="inlineStr">
        <is>
          <t xml:space="preserve">1456836-4-LP26</t>
        </is>
      </c>
      <c r="B59" s="4" t="inlineStr">
        <is>
          <t xml:space="preserve">Software de Gestión de Personas y Remuneraciones</t>
        </is>
      </c>
      <c r="C59" s="0">
        <v>2</v>
      </c>
      <c r="D59" s="4" t="inlineStr">
        <is>
          <t xml:space="preserve">Software de gestión de recursos humanos</t>
        </is>
      </c>
      <c r="E59" s="4" t="inlineStr">
        <is>
          <t xml:space="preserve">Tecnologías de la información, telecomunicaciones y radiodifusión / Software / Software de gestión</t>
        </is>
      </c>
      <c r="F59" s="0">
        <v>1.0</v>
      </c>
      <c r="G59" s="0" t="inlineStr">
        <is>
          <t xml:space="preserve">Global</t>
        </is>
      </c>
      <c r="H59" s="4" t="inlineStr">
        <is>
          <t xml:space="preserve">Servicio de arriendo de Software de Gestión de Personas y Remuneraciones para el Servicio Local de Educación Pública Hanga Roa.</t>
        </is>
      </c>
    </row>
    <row r="60">
      <c r="A60" s="0" t="inlineStr">
        <is>
          <t xml:space="preserve">3666-12-LE26</t>
        </is>
      </c>
      <c r="B60" s="4" t="inlineStr">
        <is>
          <t xml:space="preserve">GESTION DOCUMENTAL Y DIGITAL MUNICIPALIDAD TILTIL</t>
        </is>
      </c>
      <c r="C60" s="0">
        <v>1</v>
      </c>
      <c r="D60" s="4" t="inlineStr">
        <is>
          <t xml:space="preserve">Programas de gestión de documentos</t>
        </is>
      </c>
      <c r="E60" s="4" t="inlineStr">
        <is>
          <t xml:space="preserve">Tecnologías de la información, telecomunicaciones y radiodifusión / Software / Software de gestión de contenidos</t>
        </is>
      </c>
      <c r="F60" s="0">
        <v>1.0</v>
      </c>
      <c r="G60" s="0" t="inlineStr">
        <is>
          <t xml:space="preserve">Unidad</t>
        </is>
      </c>
      <c r="H60"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61">
      <c r="A61" s="0" t="inlineStr">
        <is>
          <t xml:space="preserve">1663-148-LE26</t>
        </is>
      </c>
      <c r="B61" s="4" t="inlineStr">
        <is>
          <t xml:space="preserve">CARROS INFORMATICOS CLINICOS</t>
        </is>
      </c>
      <c r="C61" s="0">
        <v>1</v>
      </c>
      <c r="D61" s="4" t="inlineStr">
        <is>
          <t xml:space="preserve">Estantes de montaje</t>
        </is>
      </c>
      <c r="E61" s="4" t="inlineStr">
        <is>
          <t xml:space="preserve">Artículos de fabricación y producción / Artículos de ferretería / Accesorios de Ferretería</t>
        </is>
      </c>
      <c r="F61" s="0">
        <v>7.0</v>
      </c>
      <c r="G61" s="0" t="inlineStr">
        <is>
          <t xml:space="preserve">Unidad</t>
        </is>
      </c>
      <c r="H61" s="4" t="inlineStr">
        <is>
          <t xml:space="preserve">CARROS INFORMATICOS CLINICOS PORTA NOTEBOOK (VER ESPECIFICACIONES TECNICAS EN BASES TECNICAS)</t>
        </is>
      </c>
    </row>
    <row r="62">
      <c r="A62" s="0" t="inlineStr">
        <is>
          <t xml:space="preserve">1013353-38-LE26</t>
        </is>
      </c>
      <c r="B62" s="4" t="inlineStr">
        <is>
          <t xml:space="preserve">Normalización y soporte de la infra. de Red Datos.</t>
        </is>
      </c>
      <c r="C62" s="0">
        <v>1</v>
      </c>
      <c r="D62" s="4" t="inlineStr">
        <is>
          <t xml:space="preserve">Soporte y mantenimiento de red de área local (LAN)</t>
        </is>
      </c>
      <c r="E62" s="4" t="inlineStr">
        <is>
          <t xml:space="preserve">Servicios basados en ingeniería, ciencias sociales y tecnología de la información / Servicios informáticos / Administración de sistemas</t>
        </is>
      </c>
      <c r="F62" s="0">
        <v>1.0</v>
      </c>
      <c r="G62" s="0" t="inlineStr">
        <is>
          <t xml:space="preserve">Unidad</t>
        </is>
      </c>
      <c r="H62" s="4" t="inlineStr">
        <is>
          <t xml:space="preserve">El Servicio Local de Educación Pública de Barrancas requiere contratar el servicio de normalización de la infraestructura de red de datos del Complejo Educacional Pedro Prado, con el fin de restituir y mejorar su conectividad mediante la instalación de ba</t>
        </is>
      </c>
    </row>
    <row r="63">
      <c r="A63" s="0" t="inlineStr">
        <is>
          <t xml:space="preserve">612-37-LE26</t>
        </is>
      </c>
      <c r="B63" s="4" t="inlineStr">
        <is>
          <t xml:space="preserve">Adquisición registradores de datos con sensores</t>
        </is>
      </c>
      <c r="C63" s="0">
        <v>1</v>
      </c>
      <c r="D63" s="4" t="inlineStr">
        <is>
          <t xml:space="preserve">Dispositivo de sincronización de paquetes de datos de red</t>
        </is>
      </c>
      <c r="E63" s="4" t="inlineStr">
        <is>
          <t xml:space="preserve">Tecnologías de la información, telecomunicaciones y radiodifusión / Componentes para tecnología de la información, difusión o telecomunicaciones / Módulos, interfaces, procesadores y placas de sistema</t>
        </is>
      </c>
      <c r="F63" s="0">
        <v>42.0</v>
      </c>
      <c r="G63" s="0" t="inlineStr">
        <is>
          <t xml:space="preserve">Unidad</t>
        </is>
      </c>
      <c r="H63" s="4" t="inlineStr">
        <is>
          <t xml:space="preserve">registradores de datos y accesorios con curso de capacitación, sensores inteligentes de velocidad y dirección del viento, sensores de temperatura / humedad relativa y sensores inteligentes de temperatura (suelo)</t>
        </is>
      </c>
    </row>
    <row r="64">
      <c r="A64" s="0" t="inlineStr">
        <is>
          <t xml:space="preserve">5586-148-LE26</t>
        </is>
      </c>
      <c r="B64" s="4" t="inlineStr">
        <is>
          <t xml:space="preserve">JG ADQUISICIÓN E IMPLEMENTACIÓN DE SOFTWARE DE GESTIÓN CLÍNICA ADMINISTRATIVA FINANCIERA Y CONTACT CENTER CON INTELIGENCIA ARTIFICIAL</t>
        </is>
      </c>
      <c r="C64" s="0">
        <v>1</v>
      </c>
      <c r="D64" s="4" t="inlineStr">
        <is>
          <t xml:space="preserve">Software de servidor de aplicaciones</t>
        </is>
      </c>
      <c r="E64" s="4" t="inlineStr">
        <is>
          <t xml:space="preserve">Tecnologías de la información, telecomunicaciones y radiodifusión / Software / Software de aplicaciones de red</t>
        </is>
      </c>
      <c r="F64" s="0">
        <v>1.0</v>
      </c>
      <c r="G64" s="0" t="inlineStr">
        <is>
          <t xml:space="preserve">Global</t>
        </is>
      </c>
      <c r="H64" s="4" t="inlineStr">
        <is>
          <t xml:space="preserve">ADQUISICIÓN E IMPLEMENTACIÓN DE SOFTWARE DE GESTIÓN CLÍNICA, ADMINISTRATIVA, FINANCIERA Y CONTACT CENTER CON INTELIGENCIA ARTIFICIAL.</t>
        </is>
      </c>
    </row>
    <row r="65">
      <c r="A65" s="0" t="inlineStr">
        <is>
          <t xml:space="preserve">1810-5-L126</t>
        </is>
      </c>
      <c r="B65" s="4" t="inlineStr">
        <is>
          <t xml:space="preserve">SERVICIO DE PLAN DE DATOS PARA ENCUESTA ENE</t>
        </is>
      </c>
      <c r="C65" s="0">
        <v>1</v>
      </c>
      <c r="D65" s="4" t="inlineStr">
        <is>
          <t xml:space="preserve">Software de servicios de Internet por móvil</t>
        </is>
      </c>
      <c r="E65" s="4" t="inlineStr">
        <is>
          <t xml:space="preserve">Tecnologías de la información, telecomunicaciones y radiodifusión / Software / Software de intercambio de información</t>
        </is>
      </c>
      <c r="F65" s="0">
        <v>19.0</v>
      </c>
      <c r="G65" s="0" t="inlineStr">
        <is>
          <t xml:space="preserve">Unidad</t>
        </is>
      </c>
      <c r="H65" s="4" t="inlineStr">
        <is>
          <t xml:space="preserve">SERVICIO DE PLAN DE DATOS PARA ENCUESTA ENE</t>
        </is>
      </c>
    </row>
    <row r="66">
      <c r="A66" s="0" t="inlineStr">
        <is>
          <t xml:space="preserve">2448-137-L126</t>
        </is>
      </c>
      <c r="B66" s="4" t="inlineStr">
        <is>
          <t xml:space="preserve">CUPOS PARA CURSO - TALLER DE DATOS USANDO IA</t>
        </is>
      </c>
      <c r="C66" s="0">
        <v>1</v>
      </c>
      <c r="D66" s="4" t="inlineStr">
        <is>
          <t xml:space="preserve">Capacitación a empleados</t>
        </is>
      </c>
      <c r="E66" s="4" t="inlineStr">
        <is>
          <t xml:space="preserve">Educación, formación, entrenamiento y capacitación / Sistemas educativos complementarios / Educación de adultos</t>
        </is>
      </c>
      <c r="F66" s="0">
        <v>40.0</v>
      </c>
      <c r="G66" s="0" t="inlineStr">
        <is>
          <t xml:space="preserve">Unidad</t>
        </is>
      </c>
      <c r="H66" s="4" t="inlineStr">
        <is>
          <t xml:space="preserve">CUPOS PARA CURSO - TALLER RELACIONADO CON ESTRATEGIAS DE ANALISIS DE DATOS USANDO IA. SEGUN CARACTERISTICAS TECNICAS ADJUNTAS.</t>
        </is>
      </c>
    </row>
    <row r="67">
      <c r="A67" s="0" t="inlineStr">
        <is>
          <t xml:space="preserve">2981-270-LE26</t>
        </is>
      </c>
      <c r="B67" s="4" t="inlineStr">
        <is>
          <t xml:space="preserve">ADQUISICIÓN DE 100 GPS TRACKER CON PLATAFORMA INTEGRADA GEOESPACIAL Y DE TRAZABILIDAD Y SU RESPECTIVO EQUIPAMIENTO EJECUCIÓN DEL PLAN CALLE SIN VIOLENCIA</t>
        </is>
      </c>
      <c r="C67" s="0">
        <v>1</v>
      </c>
      <c r="D67" s="4" t="inlineStr">
        <is>
          <t xml:space="preserve">Receptores GPS</t>
        </is>
      </c>
      <c r="E67" s="4" t="inlineStr">
        <is>
          <t xml:space="preserve">Muebles, accesorios, electrodomésticos y productos electrónicos / Equipos y accesorios audiovisuales / Equipos audiovisuales y de electrónica menor</t>
        </is>
      </c>
      <c r="F67" s="0">
        <v>100.0</v>
      </c>
      <c r="G67" s="0" t="inlineStr">
        <is>
          <t xml:space="preserve">Unidad</t>
        </is>
      </c>
      <c r="H67"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68">
      <c r="A68" s="0" t="inlineStr">
        <is>
          <t xml:space="preserve">548874-77-LR26</t>
        </is>
      </c>
      <c r="B68" s="4" t="inlineStr">
        <is>
          <t xml:space="preserve">MANTENCIÓN Y MEJORA SISTEMA CIBERSEGURIDAD NCH ISO</t>
        </is>
      </c>
      <c r="C68" s="0">
        <v>1</v>
      </c>
      <c r="D68" s="4" t="inlineStr">
        <is>
          <t xml:space="preserve">Software de administración de red privada virtual (VPN) o de seguridad de red</t>
        </is>
      </c>
      <c r="E68" s="4" t="inlineStr">
        <is>
          <t xml:space="preserve">Tecnologías de la información, telecomunicaciones y radiodifusión / Software / Software de seguridad y protección</t>
        </is>
      </c>
      <c r="F68" s="0">
        <v>1.0</v>
      </c>
      <c r="G68" s="0" t="inlineStr">
        <is>
          <t xml:space="preserve">Global</t>
        </is>
      </c>
      <c r="H68" s="4" t="inlineStr">
        <is>
          <t xml:space="preserve">E1O2RT8 - SERVICIO DE MANTENCIÓN Y MEJORA DEL SISTEMA DE GESTIÓN DE SEGURIDAD DE LA INFORMACIÓN Y CIBERSEGURIDAD INSTITUCIONAL NCH ISO/ IEC 27001</t>
        </is>
      </c>
    </row>
    <row r="69">
      <c r="A69" s="0" t="inlineStr">
        <is>
          <t xml:space="preserve">2080-309-LE26</t>
        </is>
      </c>
      <c r="B69" s="4" t="inlineStr">
        <is>
          <t xml:space="preserve">COMPRA ROLLOS PAPEL IMPRESORA TOTEM</t>
        </is>
      </c>
      <c r="C69" s="0">
        <v>1</v>
      </c>
      <c r="D69" s="4" t="inlineStr">
        <is>
          <t xml:space="preserve">Rollos para télex</t>
        </is>
      </c>
      <c r="E69" s="4" t="inlineStr">
        <is>
          <t xml:space="preserve">Productos de papel / Productos de papel / Papel de imprenta y escritura</t>
        </is>
      </c>
      <c r="F69" s="0">
        <v>21432.0</v>
      </c>
      <c r="G69" s="0" t="inlineStr">
        <is>
          <t xml:space="preserve">Unidad</t>
        </is>
      </c>
      <c r="H69" s="4" t="inlineStr">
        <is>
          <t xml:space="preserve">1OFI-0683 PAPEL IMPRESORA TOTEM. ROLLO TÉRMICO 80 X 40 MM, BLANCO, DIÁMETRO TUBO INTERNO 12 A 13 MM- MUESTRAS: 01 UNIDAD POR OFERENTE.ROLLOS21432</t>
        </is>
      </c>
    </row>
    <row r="70">
      <c r="A70" s="0" t="inlineStr">
        <is>
          <t xml:space="preserve">875-10-LE26</t>
        </is>
      </c>
      <c r="B70" s="4" t="inlineStr">
        <is>
          <t xml:space="preserve">SERV. DE INFORMACIÓN DE REMUNERACIONES PLATAFORMA</t>
        </is>
      </c>
      <c r="C70" s="0">
        <v>1</v>
      </c>
      <c r="D70" s="4" t="inlineStr">
        <is>
          <t xml:space="preserve">Publicaciones periódicas</t>
        </is>
      </c>
      <c r="E70" s="4" t="inlineStr">
        <is>
          <t xml:space="preserve">Productos impresos y publicaciones / Medios impresos / Publicaciones impresas</t>
        </is>
      </c>
      <c r="F70" s="0">
        <v>1.0</v>
      </c>
      <c r="G70" s="0" t="inlineStr">
        <is>
          <t xml:space="preserve">Unidad</t>
        </is>
      </c>
      <c r="H70" s="4" t="inlineStr">
        <is>
          <t xml:space="preserve">SERV. DE INFORMACIÓN DE REMUNERACIONES PLATAFORMA</t>
        </is>
      </c>
    </row>
    <row r="71">
      <c r="A71" s="0" t="inlineStr">
        <is>
          <t xml:space="preserve">1754-51-LE26</t>
        </is>
      </c>
      <c r="B71" s="4" t="inlineStr">
        <is>
          <t xml:space="preserve">EQUIPOS E INSUMOS INFORMATICOS Y CÁMARAS DE SEGURIDAD</t>
        </is>
      </c>
      <c r="C71" s="0">
        <v>1</v>
      </c>
      <c r="D71" s="4" t="inlineStr">
        <is>
          <t xml:space="preserve">Kit de herramienta para computadores</t>
        </is>
      </c>
      <c r="E71" s="4" t="inlineStr">
        <is>
          <t xml:space="preserve">Herramientas y maquinaria en general / Herramientas manuales / Juegos de herramientas</t>
        </is>
      </c>
      <c r="F71" s="0">
        <v>1.0</v>
      </c>
      <c r="G71" s="0" t="inlineStr">
        <is>
          <t xml:space="preserve">Kit</t>
        </is>
      </c>
      <c r="H71" s="4" t="inlineStr">
        <is>
          <t xml:space="preserve">LINEA 1: HERRAMIENTAS E INSUMOS PARA REPARACIONES Y FABRICACIÓN, SEGÚN BASES ADMINISTRATIVAS, TERMINOS DE REFERENCIA Y DEMÁS DOCUMENTACIÓN ADJUNTA QUE REGIRAN EN EL PROCESO</t>
        </is>
      </c>
    </row>
    <row r="72">
      <c r="A72" s="0" t="inlineStr">
        <is>
          <t xml:space="preserve">1754-51-LE26</t>
        </is>
      </c>
      <c r="B72" s="4" t="inlineStr">
        <is>
          <t xml:space="preserve">EQUIPOS E INSUMOS INFORMATICOS Y CÁMARAS DE SEGURIDAD</t>
        </is>
      </c>
      <c r="C72" s="0">
        <v>2</v>
      </c>
      <c r="D72" s="4" t="inlineStr">
        <is>
          <t xml:space="preserve">Computadores de escritorio</t>
        </is>
      </c>
      <c r="E72" s="4" t="inlineStr">
        <is>
          <t xml:space="preserve">Tecnologías de la información, telecomunicaciones y radiodifusión / Equipos informáticos y accesorios / Computadores</t>
        </is>
      </c>
      <c r="F72" s="0">
        <v>1.0</v>
      </c>
      <c r="G72" s="0" t="inlineStr">
        <is>
          <t xml:space="preserve">Kit</t>
        </is>
      </c>
      <c r="H72" s="4" t="inlineStr">
        <is>
          <t xml:space="preserve">LINEA 2: EQUIPOS INFORMATICOS Y OTROS, SEGÚN BASES ADMINISTRATIVAS, TERMINOS DE REFERENCIA Y DEMÁS DOCUMENTACIÓN ADJUNTA QUE REGIRAN EN EL PROCESO</t>
        </is>
      </c>
    </row>
    <row r="73">
      <c r="A73" s="0" t="inlineStr">
        <is>
          <t xml:space="preserve">1754-51-LE26</t>
        </is>
      </c>
      <c r="B73" s="4" t="inlineStr">
        <is>
          <t xml:space="preserve">EQUIPOS E INSUMOS INFORMATICOS Y CÁMARAS DE SEGURIDAD</t>
        </is>
      </c>
      <c r="C73" s="0">
        <v>3</v>
      </c>
      <c r="D73" s="4" t="inlineStr">
        <is>
          <t xml:space="preserve">Cable de redes</t>
        </is>
      </c>
      <c r="E73" s="4" t="inlineStr">
        <is>
          <t xml:space="preserve">Maquinaria para generación y distribución de energía / Alambres y cables eléctricos y electrónicos / Cables eléctricos y accesorios</t>
        </is>
      </c>
      <c r="F73" s="0">
        <v>1.0</v>
      </c>
      <c r="G73" s="0" t="inlineStr">
        <is>
          <t xml:space="preserve">Kit</t>
        </is>
      </c>
      <c r="H73" s="4" t="inlineStr">
        <is>
          <t xml:space="preserve">LINEA 3: MATERIALES PARA CABLEADO, SEGÚN BASES ADMINISTRATIVAS, TERMINOS DE REFERENCIA Y DEMÁS DOCUMENTACIÓN ADJUNTA QUE REGIRAN EN EL PROCESO</t>
        </is>
      </c>
    </row>
    <row r="74">
      <c r="A74" s="0" t="inlineStr">
        <is>
          <t xml:space="preserve">1754-51-LE26</t>
        </is>
      </c>
      <c r="B74" s="4" t="inlineStr">
        <is>
          <t xml:space="preserve">EQUIPOS E INSUMOS INFORMATICOS Y CÁMARAS DE SEGURIDAD</t>
        </is>
      </c>
      <c r="C74" s="0">
        <v>4</v>
      </c>
      <c r="D74" s="4" t="inlineStr">
        <is>
          <t xml:space="preserve">Tintas</t>
        </is>
      </c>
      <c r="E74" s="4" t="inlineStr">
        <is>
          <t xml:space="preserve">Productos químicos industriales / Colorantes / Compuestos de colores y dispersiones</t>
        </is>
      </c>
      <c r="F74" s="0">
        <v>1.0</v>
      </c>
      <c r="G74" s="0" t="inlineStr">
        <is>
          <t xml:space="preserve">Kit</t>
        </is>
      </c>
      <c r="H74" s="4" t="inlineStr">
        <is>
          <t xml:space="preserve">LINEA 4: INSUMOS INFORMÁTICOS OFICINA, SEGÚN BASES ADMINISTRATIVAS, TERMINOS DE REFERENCIA Y DEMÁS DOCUMENTACIÓN ADJUNTA QUE REGIRAN EN EL PROCESO</t>
        </is>
      </c>
    </row>
    <row r="75">
      <c r="A75" s="0" t="inlineStr">
        <is>
          <t xml:space="preserve">1754-51-LE26</t>
        </is>
      </c>
      <c r="B75" s="4" t="inlineStr">
        <is>
          <t xml:space="preserve">EQUIPOS E INSUMOS INFORMATICOS Y CÁMARAS DE SEGURIDAD</t>
        </is>
      </c>
      <c r="C75" s="0">
        <v>5</v>
      </c>
      <c r="D75" s="4" t="inlineStr">
        <is>
          <t xml:space="preserve">Cámaras de seguridad</t>
        </is>
      </c>
      <c r="E75" s="4" t="inlineStr">
        <is>
          <t xml:space="preserve">Equipos y suministros de defensa, orden público, protección y seguridad / Seguridad, vigilancia y detección / Equipo de vigilancia y detección</t>
        </is>
      </c>
      <c r="F75" s="0">
        <v>1.0</v>
      </c>
      <c r="G75" s="0" t="inlineStr">
        <is>
          <t xml:space="preserve">Kit</t>
        </is>
      </c>
      <c r="H75" s="4" t="inlineStr">
        <is>
          <t xml:space="preserve">LINEA 5: CAMARAS DE VIGILANCIA, SEGÚN BASES ADMINISTRATIVAS, TERMINOS DE REFERENCIA Y DEMÁS DOCUMENTACIÓN ADJUNTA QUE REGIRAN EN EL PROCESO</t>
        </is>
      </c>
    </row>
    <row r="76">
      <c r="A76" s="0" t="inlineStr">
        <is>
          <t xml:space="preserve">1754-51-LE26</t>
        </is>
      </c>
      <c r="B76" s="4" t="inlineStr">
        <is>
          <t xml:space="preserve">EQUIPOS E INSUMOS INFORMATICOS Y CÁMARAS DE SEGURIDAD</t>
        </is>
      </c>
      <c r="C76" s="0">
        <v>6</v>
      </c>
      <c r="D76" s="4" t="inlineStr">
        <is>
          <t xml:space="preserve">Gabinete, rack, chasis o bastidores para equipos de red</t>
        </is>
      </c>
      <c r="E76" s="4" t="inlineStr">
        <is>
          <t xml:space="preserve">Tecnologías de la información, telecomunicaciones y radiodifusión / Componentes para tecnología de la información, difusión o telecomunicaciones / Componentes de gabinete, rack o chasis</t>
        </is>
      </c>
      <c r="F76" s="0">
        <v>1.0</v>
      </c>
      <c r="G76" s="0" t="inlineStr">
        <is>
          <t xml:space="preserve">Kit</t>
        </is>
      </c>
      <c r="H76" s="4" t="inlineStr">
        <is>
          <t xml:space="preserve">LINEA 6: ACCESORIOS Y EQUIPAMIENTO PARA RACK, SEGÚN BASES ADMINISTRATIVAS, TERMINOS DE REFERENCIA Y DEMÁS DOCUMENTACIÓN ADJUNTA QUE REGIRAN EN EL PROCESO</t>
        </is>
      </c>
    </row>
    <row r="77">
      <c r="A77" s="0" t="inlineStr">
        <is>
          <t xml:space="preserve">425-67-LE26</t>
        </is>
      </c>
      <c r="B77" s="4" t="inlineStr">
        <is>
          <t xml:space="preserve">Software de seguridad extendida y Ciberdefensa</t>
        </is>
      </c>
      <c r="C77" s="0">
        <v>1</v>
      </c>
      <c r="D77" s="4" t="inlineStr">
        <is>
          <t xml:space="preserve">Software de equipos de red privada virtual (VPN) o de seguridad de red</t>
        </is>
      </c>
      <c r="E77" s="4" t="inlineStr">
        <is>
          <t xml:space="preserve">Tecnologías de la información, telecomunicaciones y radiodifusión / Software / Software de seguridad y protección</t>
        </is>
      </c>
      <c r="F77" s="0">
        <v>1.0</v>
      </c>
      <c r="G77" s="0" t="inlineStr">
        <is>
          <t xml:space="preserve">Unidad</t>
        </is>
      </c>
      <c r="H77" s="4" t="inlineStr">
        <is>
          <t xml:space="preserve">Software de seguridad extendida y protección de cadena de suministros para la Ciberdefensa de Poder Judicial Ingresar valor total neto según formulario económico N°1</t>
        </is>
      </c>
    </row>
    <row r="78">
      <c r="A78" s="0" t="inlineStr">
        <is>
          <t xml:space="preserve">1051173-13-LP26</t>
        </is>
      </c>
      <c r="B78" s="4" t="inlineStr">
        <is>
          <t xml:space="preserve">SERVICIO DE INFRAESTRUCTURA EN LA NUBE</t>
        </is>
      </c>
      <c r="C78" s="0">
        <v>1</v>
      </c>
      <c r="D78" s="4" t="inlineStr">
        <is>
          <t xml:space="preserve">Centro de servicios de datos</t>
        </is>
      </c>
      <c r="E78" s="4" t="inlineStr">
        <is>
          <t xml:space="preserve">Servicios basados en ingeniería, ciencias sociales y tecnología de la información / Servicios informáticos / Servicios de datos</t>
        </is>
      </c>
      <c r="F78" s="0">
        <v>1.0</v>
      </c>
      <c r="G78" s="0" t="inlineStr">
        <is>
          <t xml:space="preserve">Unidad no definida</t>
        </is>
      </c>
      <c r="H78" s="4" t="inlineStr">
        <is>
          <t xml:space="preserve">Servicio de infraestructura en la nube para el Ministerio Secretaría General de la Presidencia</t>
        </is>
      </c>
    </row>
    <row r="79">
      <c r="A79" s="0" t="inlineStr">
        <is>
          <t xml:space="preserve">4024-29-LE26</t>
        </is>
      </c>
      <c r="B79" s="4" t="inlineStr">
        <is>
          <t xml:space="preserve">Modernización del Gimnasio Municipal Héctor Aqueveque Aránguiz”</t>
        </is>
      </c>
      <c r="C79" s="0">
        <v>1</v>
      </c>
      <c r="D79" s="4" t="inlineStr">
        <is>
          <t xml:space="preserve">Asfalto</t>
        </is>
      </c>
      <c r="E79" s="4" t="inlineStr">
        <is>
          <t xml:space="preserve">Artículos para estructuras, obras y construcciones / Pavimento para carreteras y caminos / Asfaltos</t>
        </is>
      </c>
      <c r="F79" s="0">
        <v>1.0</v>
      </c>
      <c r="G79" s="0" t="inlineStr">
        <is>
          <t xml:space="preserve">Unidad</t>
        </is>
      </c>
      <c r="H79" s="4" t="inlineStr">
        <is>
          <t xml:space="preserve">La Municipalidad de San Carlos llama a presentar ofertas en la licitación pública denominada MODERNIZACIÓN DEL
GIMNASIO MUNICIPAL HÉCTOR AQUEVEQUE ARÁNGUIZ</t>
        </is>
      </c>
    </row>
    <row r="80">
      <c r="A80" s="0" t="inlineStr">
        <is>
          <t xml:space="preserve">1562-63-LP26</t>
        </is>
      </c>
      <c r="B80" s="4" t="inlineStr">
        <is>
          <t xml:space="preserve">ELABORACIÓN DE LA PLATAFORMA PÚBLICA MINERA</t>
        </is>
      </c>
      <c r="C80" s="0">
        <v>1</v>
      </c>
      <c r="D80" s="4" t="inlineStr">
        <is>
          <t xml:space="preserve">Software de desarrollo de plataforma Web</t>
        </is>
      </c>
      <c r="E80" s="4" t="inlineStr">
        <is>
          <t xml:space="preserve">Tecnologías de la información, telecomunicaciones y radiodifusión / Software / Programas de desarrollo</t>
        </is>
      </c>
      <c r="F80" s="0">
        <v>1.0</v>
      </c>
      <c r="G80" s="0" t="inlineStr">
        <is>
          <t xml:space="preserve">Global</t>
        </is>
      </c>
      <c r="H80" s="4" t="inlineStr">
        <is>
          <t xml:space="preserve">Para la contratación del servicio de especializado de elaboración de la Plataforma Pública Minera, de Sernageomin</t>
        </is>
      </c>
    </row>
    <row r="81">
      <c r="A81" s="0" t="inlineStr">
        <is>
          <t xml:space="preserve">2378-116-L126</t>
        </is>
      </c>
      <c r="B81" s="4" t="inlineStr">
        <is>
          <t xml:space="preserve">ADQUISICIÓN DE OTROS SOFTWARES MUN DE LA  FLORIDA</t>
        </is>
      </c>
      <c r="C81" s="0">
        <v>1</v>
      </c>
      <c r="D81" s="4" t="inlineStr">
        <is>
          <t xml:space="preserve">Software de gestión de licencias</t>
        </is>
      </c>
      <c r="E81" s="4" t="inlineStr">
        <is>
          <t xml:space="preserve">Tecnologías de la información, telecomunicaciones y radiodifusión / Software / Software de gestión</t>
        </is>
      </c>
      <c r="F81" s="0">
        <v>1.0</v>
      </c>
      <c r="G81" s="0" t="inlineStr">
        <is>
          <t xml:space="preserve">Global</t>
        </is>
      </c>
      <c r="H81" s="4" t="inlineStr">
        <is>
          <t xml:space="preserve">LÍNEA “A”: ADQUISICIÓN DE LICENCIAS EQUIVALENTE O SIMILAR TIPO ABBYY FINEREADER PDF STANDARD.</t>
        </is>
      </c>
    </row>
    <row r="82">
      <c r="A82" s="0" t="inlineStr">
        <is>
          <t xml:space="preserve">2378-116-L126</t>
        </is>
      </c>
      <c r="B82" s="4" t="inlineStr">
        <is>
          <t xml:space="preserve">ADQUISICIÓN DE OTROS SOFTWARES MUN DE LA  FLORIDA</t>
        </is>
      </c>
      <c r="C82" s="0">
        <v>2</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Global</t>
        </is>
      </c>
      <c r="H82" s="4" t="inlineStr">
        <is>
          <t xml:space="preserve">LÍNEA “B”: ADQUISICIÓN DE LICENCIAS EQUIVALENTE O SIMILAR TIPO POWER BI PRO.</t>
        </is>
      </c>
    </row>
    <row r="83">
      <c r="A83" s="0" t="inlineStr">
        <is>
          <t xml:space="preserve">2378-116-L126</t>
        </is>
      </c>
      <c r="B83" s="4" t="inlineStr">
        <is>
          <t xml:space="preserve">ADQUISICIÓN DE OTROS SOFTWARES MUN DE LA  FLORIDA</t>
        </is>
      </c>
      <c r="C83" s="0">
        <v>3</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Global</t>
        </is>
      </c>
      <c r="H83" s="4" t="inlineStr">
        <is>
          <t xml:space="preserve">LÍNEA “C”: ADQUISICIÓN DE LICENCIA PARA SCANNER LAUNCH X-431 PAD VII, PARA CAMIONES Y MAQUINARIA.</t>
        </is>
      </c>
    </row>
    <row r="84">
      <c r="A84" s="0" t="inlineStr">
        <is>
          <t xml:space="preserve">4112-27-LE26</t>
        </is>
      </c>
      <c r="B84" s="4" t="inlineStr">
        <is>
          <t xml:space="preserve">“ADQUISICIÓN DE LICENCIAS DE SOFTWARE”</t>
        </is>
      </c>
      <c r="C84" s="0">
        <v>1</v>
      </c>
      <c r="D84" s="4" t="inlineStr">
        <is>
          <t xml:space="preserve">Diseño por computador</t>
        </is>
      </c>
      <c r="E84" s="4" t="inlineStr">
        <is>
          <t xml:space="preserve">Servicios editoriales, de diseño, publicidad, gráficos y artistas / Diseño gráfico / Diseño</t>
        </is>
      </c>
      <c r="F84" s="0">
        <v>1.0</v>
      </c>
      <c r="G84" s="0" t="inlineStr">
        <is>
          <t xml:space="preserve">Unidad</t>
        </is>
      </c>
      <c r="H84" s="4" t="inlineStr">
        <is>
          <t xml:space="preserve">LÍNEA 1: PROGRAMAS DE ARQUITECTURA, DISEÑO Y EDICIÓN</t>
        </is>
      </c>
    </row>
    <row r="85">
      <c r="A85" s="0" t="inlineStr">
        <is>
          <t xml:space="preserve">4112-27-LE26</t>
        </is>
      </c>
      <c r="B85" s="4" t="inlineStr">
        <is>
          <t xml:space="preserve">“ADQUISICIÓN DE LICENCIAS DE SOFTWARE”</t>
        </is>
      </c>
      <c r="C85" s="0">
        <v>2</v>
      </c>
      <c r="D85" s="4" t="inlineStr">
        <is>
          <t xml:space="preserve">Software de gestión de licencias</t>
        </is>
      </c>
      <c r="E85" s="4" t="inlineStr">
        <is>
          <t xml:space="preserve">Tecnologías de la información, telecomunicaciones y radiodifusión / Software / Software de gestión</t>
        </is>
      </c>
      <c r="F85" s="0">
        <v>1.0</v>
      </c>
      <c r="G85" s="0" t="inlineStr">
        <is>
          <t xml:space="preserve">Unidad</t>
        </is>
      </c>
      <c r="H85" s="4" t="inlineStr">
        <is>
          <t xml:space="preserve">LÍNEA 2: PROGRAMAS OFIMÁTICOS</t>
        </is>
      </c>
    </row>
    <row r="86">
      <c r="A86" s="0" t="inlineStr">
        <is>
          <t xml:space="preserve">4112-27-LE26</t>
        </is>
      </c>
      <c r="B86" s="4" t="inlineStr">
        <is>
          <t xml:space="preserve">“ADQUISICIÓN DE LICENCIAS DE SOFTWARE”</t>
        </is>
      </c>
      <c r="C86" s="0">
        <v>3</v>
      </c>
      <c r="D86" s="4" t="inlineStr">
        <is>
          <t xml:space="preserve">Software de video conferencia</t>
        </is>
      </c>
      <c r="E86" s="4" t="inlineStr">
        <is>
          <t xml:space="preserve">Tecnologías de la información, telecomunicaciones y radiodifusión / Software / Software de intercambio de información</t>
        </is>
      </c>
      <c r="F86" s="0">
        <v>1.0</v>
      </c>
      <c r="G86" s="0" t="inlineStr">
        <is>
          <t xml:space="preserve">Unidad</t>
        </is>
      </c>
      <c r="H86" s="4" t="inlineStr">
        <is>
          <t xml:space="preserve">LÍNEA 3: PROGRAMAS DE TRANSMISIÓN EN VIVO</t>
        </is>
      </c>
    </row>
    <row r="87">
      <c r="A87" s="0" t="inlineStr">
        <is>
          <t xml:space="preserve">1002-84-LP26</t>
        </is>
      </c>
      <c r="B87" s="4" t="inlineStr">
        <is>
          <t xml:space="preserve">ADQUISICION DE TABLERO DE MADERA PRESERVADA CON HERRAJE</t>
        </is>
      </c>
      <c r="C87" s="0">
        <v>1</v>
      </c>
      <c r="D87" s="4" t="inlineStr">
        <is>
          <t xml:space="preserve">Vigas de madera</t>
        </is>
      </c>
      <c r="E87" s="4" t="inlineStr">
        <is>
          <t xml:space="preserve">Artículos para estructuras, obras y construcciones / Materiales estructurales básicos / Productos estructurales</t>
        </is>
      </c>
      <c r="F87" s="0">
        <v>1.0</v>
      </c>
      <c r="G87" s="0" t="inlineStr">
        <is>
          <t xml:space="preserve">Unidad</t>
        </is>
      </c>
      <c r="H87" s="4" t="inlineStr">
        <is>
          <t xml:space="preserve">adquisición de un tablero de madera preservada, con su herraje segun solicitado en bases tecnicas</t>
        </is>
      </c>
    </row>
    <row r="88">
      <c r="A88" s="0" t="inlineStr">
        <is>
          <t xml:space="preserve">2410-119-L126</t>
        </is>
      </c>
      <c r="B88" s="4" t="inlineStr">
        <is>
          <t xml:space="preserve">ADQUISICION DE TERMOMETRO HIGROMETRO DIGITAL</t>
        </is>
      </c>
      <c r="C88" s="0">
        <v>1</v>
      </c>
      <c r="D88" s="4" t="inlineStr">
        <is>
          <t xml:space="preserve">Higrómetros</t>
        </is>
      </c>
      <c r="E88" s="4" t="inlineStr">
        <is>
          <t xml:space="preserve">Equipamiento para laboratorios / Instrumentos de medida y experimentación / Instrumentos de medición de humedad</t>
        </is>
      </c>
      <c r="F88" s="0">
        <v>76.0</v>
      </c>
      <c r="G88" s="0" t="inlineStr">
        <is>
          <t xml:space="preserve">Unidad</t>
        </is>
      </c>
      <c r="H88" s="4" t="inlineStr">
        <is>
          <t xml:space="preserve">Termómetro higrómetro digital.  Según lo señalado en bases tecnicas adjuntas.</t>
        </is>
      </c>
    </row>
    <row r="89">
      <c r="A89" s="0" t="inlineStr">
        <is>
          <t xml:space="preserve">5394-22-LE26</t>
        </is>
      </c>
      <c r="B89" s="4" t="inlineStr">
        <is>
          <t xml:space="preserve">SERVICIO DE CONSULTORÍA DE CIBERSEGURIDAD UMAG</t>
        </is>
      </c>
      <c r="C89" s="0">
        <v>1</v>
      </c>
      <c r="D89" s="4" t="inlineStr">
        <is>
          <t xml:space="preserve">Asesorías Informáticas</t>
        </is>
      </c>
      <c r="E89" s="4" t="inlineStr">
        <is>
          <t xml:space="preserve">Servicios profesionales, administrativos y consultorías de gestión empresarial / Consultorías o asesorías en gestión empresarial / Servicios de consultoría en gestión de empresas</t>
        </is>
      </c>
      <c r="F89" s="0">
        <v>1.0</v>
      </c>
      <c r="G89" s="0" t="inlineStr">
        <is>
          <t xml:space="preserve">Global</t>
        </is>
      </c>
      <c r="H89" s="4" t="inlineStr">
        <is>
          <t xml:space="preserve">LINEA GLOBAL: CONTRATACIÓN DE SERVICIOS DE CONSULTORÍA DE CIBERSEGURIDAD PARA EL FORTALECIMIENTO DE LA GESTIÓN ADMINISTRATIVA Y TRANSFORMACION DIGITAL INSTITUCIONAL DE LA UNIVERSIDAD DE MAGALLANES.</t>
        </is>
      </c>
    </row>
    <row r="90">
      <c r="A90" s="0" t="inlineStr">
        <is>
          <t xml:space="preserve">2658-328-L126</t>
        </is>
      </c>
      <c r="B90" s="4" t="inlineStr">
        <is>
          <t xml:space="preserve">SUSCRIPCION ANUAL PLATAFORMA INTELIGENCIUA ARTIFICIAL</t>
        </is>
      </c>
      <c r="C90" s="0">
        <v>1</v>
      </c>
      <c r="D90" s="4" t="inlineStr">
        <is>
          <t xml:space="preserve">Publicaciones periódicas</t>
        </is>
      </c>
      <c r="E90" s="4" t="inlineStr">
        <is>
          <t xml:space="preserve">Productos impresos y publicaciones / Medios impresos / Publicaciones impresas</t>
        </is>
      </c>
      <c r="F90" s="0">
        <v>5.0</v>
      </c>
      <c r="G90" s="0" t="inlineStr">
        <is>
          <t xml:space="preserve">Unidad</t>
        </is>
      </c>
      <c r="H90" s="4" t="inlineStr">
        <is>
          <t xml:space="preserve">Suscripción anual (12 meses) a plataforma de inteligencia artificial avanzada  
CHATGPT PLUS (OPEN AI), según detalles adjuntos en orden de pedido.</t>
        </is>
      </c>
    </row>
    <row r="91">
      <c r="A91" s="0" t="inlineStr">
        <is>
          <t xml:space="preserve">1605-36-LR26</t>
        </is>
      </c>
      <c r="B91" s="4" t="inlineStr">
        <is>
          <t xml:space="preserve">LR-4252 Servicio de Red Datos WAN</t>
        </is>
      </c>
      <c r="C91" s="0">
        <v>1</v>
      </c>
      <c r="D91" s="4" t="inlineStr">
        <is>
          <t xml:space="preserve">Proveedores de servicio de Internet (ISP)</t>
        </is>
      </c>
      <c r="E91" s="4" t="inlineStr">
        <is>
          <t xml:space="preserve">Servicios basados en ingeniería, ciencias sociales y tecnología de la información / Servicios informáticos / Servicios para internet</t>
        </is>
      </c>
      <c r="F91" s="0">
        <v>72.0</v>
      </c>
      <c r="G91" s="0" t="inlineStr">
        <is>
          <t xml:space="preserve">Mes</t>
        </is>
      </c>
      <c r="H91" s="4" t="inlineStr">
        <is>
          <t xml:space="preserve">1. Servicio de conectividad de datos.
2. Infraestructura tipo SD-WAN y LAN
3. Servicio de conectividad inalámbrica Wifi.
4. Servicio de telefonía IP institucional.</t>
        </is>
      </c>
    </row>
    <row r="92">
      <c r="A92" s="0" t="inlineStr">
        <is>
          <t xml:space="preserve">1605-36-LR26</t>
        </is>
      </c>
      <c r="B92" s="4" t="inlineStr">
        <is>
          <t xml:space="preserve">LR-4252 Servicio de Red Datos WAN</t>
        </is>
      </c>
      <c r="C92" s="0">
        <v>2</v>
      </c>
      <c r="D92" s="4" t="inlineStr">
        <is>
          <t xml:space="preserve">Proveedores de servicio de Internet (ISP)</t>
        </is>
      </c>
      <c r="E92" s="4" t="inlineStr">
        <is>
          <t xml:space="preserve">Servicios basados en ingeniería, ciencias sociales y tecnología de la información / Servicios informáticos / Servicios para internet</t>
        </is>
      </c>
      <c r="F92" s="0">
        <v>72.0</v>
      </c>
      <c r="G92" s="0" t="inlineStr">
        <is>
          <t xml:space="preserve">Mes</t>
        </is>
      </c>
      <c r="H92" s="4" t="inlineStr">
        <is>
          <t xml:space="preserve">5. Monitoreo y gestión de las componentes 1 a 4.</t>
        </is>
      </c>
    </row>
    <row r="93">
      <c r="A93" s="0" t="inlineStr">
        <is>
          <t xml:space="preserve">1051173-14-LE26</t>
        </is>
      </c>
      <c r="B93" s="4" t="inlineStr">
        <is>
          <t xml:space="preserve">SERVICIO DE ENLACE DE DATOS DE RESPALDO</t>
        </is>
      </c>
      <c r="C93" s="0">
        <v>1</v>
      </c>
      <c r="D93" s="4" t="inlineStr">
        <is>
          <t xml:space="preserve">Unidades de servicio de datos o canales de red</t>
        </is>
      </c>
      <c r="E93" s="4" t="inlineStr">
        <is>
          <t xml:space="preserve">Tecnologías de la información, telecomunicaciones y radiodifusión / Equipos, plataformas y accesorios de redes multimedia, voz y datos / Equipos de servicio de red</t>
        </is>
      </c>
      <c r="F93" s="0">
        <v>1.0</v>
      </c>
      <c r="G93" s="0" t="inlineStr">
        <is>
          <t xml:space="preserve">Unidad no definida</t>
        </is>
      </c>
      <c r="H93" s="4" t="inlineStr">
        <is>
          <t xml:space="preserve">SERVICIO DE ENLACE DE DATOS DE RESPALDO PARA EL MINISTERIO SECRETARÍA GENERAL DE LA PRESIDENCIA</t>
        </is>
      </c>
    </row>
    <row r="94">
      <c r="A94" s="0" t="inlineStr">
        <is>
          <t xml:space="preserve">5684-13-LE26</t>
        </is>
      </c>
      <c r="B94" s="4" t="inlineStr">
        <is>
          <t xml:space="preserve">Licencia de Software Cámaras de Vigilancia</t>
        </is>
      </c>
      <c r="C94" s="0">
        <v>1</v>
      </c>
      <c r="D94" s="4" t="inlineStr">
        <is>
          <t xml:space="preserve">Software de compatibilidad</t>
        </is>
      </c>
      <c r="E94" s="4" t="inlineStr">
        <is>
          <t xml:space="preserve">Tecnologías de la información, telecomunicaciones y radiodifusión / Software / Software específico para la industria</t>
        </is>
      </c>
      <c r="F94" s="0">
        <v>250.0</v>
      </c>
      <c r="G94" s="0" t="inlineStr">
        <is>
          <t xml:space="preserve">Unidad</t>
        </is>
      </c>
      <c r="H94" s="4" t="inlineStr">
        <is>
          <t xml:space="preserve">Adquisición de Software para habilitación de cámaras de vigilancia.</t>
        </is>
      </c>
    </row>
    <row r="95">
      <c r="A95" s="0" t="inlineStr">
        <is>
          <t xml:space="preserve">2013-13-LE26</t>
        </is>
      </c>
      <c r="B95" s="4" t="inlineStr">
        <is>
          <t xml:space="preserve">SERVICIO DE GESTIÓN DE PUBLICIDAD DIGITAL Y GENERA</t>
        </is>
      </c>
      <c r="C95" s="0">
        <v>1</v>
      </c>
      <c r="D95" s="4" t="inlineStr">
        <is>
          <t xml:space="preserve">Publicidad en Internet</t>
        </is>
      </c>
      <c r="E95" s="4" t="inlineStr">
        <is>
          <t xml:space="preserve">Servicios editoriales, de diseño, publicidad, gráficos y artistas / Publicidad / Publicidad en medios no impresos</t>
        </is>
      </c>
      <c r="F95" s="0">
        <v>1.0</v>
      </c>
      <c r="G95" s="0" t="inlineStr">
        <is>
          <t xml:space="preserve">Unidad</t>
        </is>
      </c>
      <c r="H95" s="4" t="inlineStr">
        <is>
          <t xml:space="preserve">SERVICIO DE GESTIÓN DE PUBLICIDAD DIGITAL Y GENERACIÓN DE LEADS PARA ADMISIÓN UNAP 2027</t>
        </is>
      </c>
    </row>
    <row r="96">
      <c r="A96" s="0" t="inlineStr">
        <is>
          <t xml:space="preserve">1224957-63-LE26</t>
        </is>
      </c>
      <c r="B96" s="4" t="inlineStr">
        <is>
          <t xml:space="preserve">INSUMOS INFORMÁTICOS CMDS ÑUÑOA</t>
        </is>
      </c>
      <c r="C96" s="0">
        <v>1</v>
      </c>
      <c r="D96" s="4" t="inlineStr">
        <is>
          <t xml:space="preserve">Kit de herramienta para computadores</t>
        </is>
      </c>
      <c r="E96" s="4" t="inlineStr">
        <is>
          <t xml:space="preserve">Herramientas y maquinaria en general / Herramientas manuales / Juegos de herramientas</t>
        </is>
      </c>
      <c r="F96" s="0">
        <v>1.0</v>
      </c>
      <c r="G96" s="0" t="inlineStr">
        <is>
          <t xml:space="preserve">Unidad</t>
        </is>
      </c>
      <c r="H96" s="4"/>
    </row>
    <row r="97">
      <c r="A97" s="0" t="inlineStr">
        <is>
          <t xml:space="preserve">2735-167-LE26</t>
        </is>
      </c>
      <c r="B97" s="4" t="inlineStr">
        <is>
          <t xml:space="preserve">ENLACE DE DATOS FARELLONES MUN. LO BARNECHEA</t>
        </is>
      </c>
      <c r="C97" s="0">
        <v>1</v>
      </c>
      <c r="D97" s="4" t="inlineStr">
        <is>
          <t xml:space="preserve">Equipo de interconexión digital (DCX) de banda estrecha o banda ancha</t>
        </is>
      </c>
      <c r="E97" s="4" t="inlineStr">
        <is>
          <t xml:space="preserve">Tecnologías de la información, telecomunicaciones y radiodifusión / Equipos, plataformas y accesorios de redes multimedia, voz y datos / Equipos de telefonía</t>
        </is>
      </c>
      <c r="F97" s="0">
        <v>1.0</v>
      </c>
      <c r="G97" s="0" t="inlineStr">
        <is>
          <t xml:space="preserve">Unidad</t>
        </is>
      </c>
      <c r="H97" s="4" t="inlineStr">
        <is>
          <t xml:space="preserve">SERVICIO PARA LA PROVISIÓN DE ENLACE DE DATOS MICROONDAS PUNTO A PUNTO PARA DEPENDENCIAS DE LA MUNICIPALIDAD DE LO BARNECHEA EN FARELLONES</t>
        </is>
      </c>
    </row>
    <row r="98">
      <c r="A98" s="0" t="inlineStr">
        <is>
          <t xml:space="preserve">1138297-11-LE26</t>
        </is>
      </c>
      <c r="B98" s="4" t="inlineStr">
        <is>
          <t xml:space="preserve">Servicios de implementación integral para el diseño y producción de material promocional y la optimización del sitio web del Catálogo Digital de las Industrias Creativas de la Región de Atacama</t>
        </is>
      </c>
      <c r="C98" s="0">
        <v>1</v>
      </c>
      <c r="D98" s="4" t="inlineStr">
        <is>
          <t xml:space="preserve">Diseño gráfico</t>
        </is>
      </c>
      <c r="E98" s="4" t="inlineStr">
        <is>
          <t xml:space="preserve">Servicios editoriales, de diseño, publicidad, gráficos y artistas / Diseño gráfico / Diseño</t>
        </is>
      </c>
      <c r="F98" s="0">
        <v>1.0</v>
      </c>
      <c r="G98" s="0" t="inlineStr">
        <is>
          <t xml:space="preserve">Unidad</t>
        </is>
      </c>
      <c r="H98" s="4" t="inlineStr">
        <is>
          <t xml:space="preserve">Servicios de implementación integral para el diseño y producción de material promocional y la optimización del sitio web del Catálogo Digital de las Industrias Creativas de la Región de Atacama</t>
        </is>
      </c>
    </row>
    <row r="99">
      <c r="A99" s="0" t="inlineStr">
        <is>
          <t xml:space="preserve">2332-65-LE26</t>
        </is>
      </c>
      <c r="B99" s="4" t="inlineStr">
        <is>
          <t xml:space="preserve">ADQUISICIÓN DE ORTOPANTOMÓGRAFO DIGITAL Y CBCT 3D PARA EL DEPARTAMENTO DE SALUD MUNICIPAL DE PUERTO MONTT</t>
        </is>
      </c>
      <c r="C99" s="0">
        <v>1</v>
      </c>
      <c r="D99" s="4" t="inlineStr">
        <is>
          <t xml:space="preserve">Unidades de Rayos X dentales</t>
        </is>
      </c>
      <c r="E99" s="4" t="inlineStr">
        <is>
          <t xml:space="preserve">Equipamiento y suministros médicos / Equipos y suministros odontológicos / Equipo y suministros para imágenes dentales</t>
        </is>
      </c>
      <c r="F99" s="0">
        <v>1.0</v>
      </c>
      <c r="G99" s="0" t="inlineStr">
        <is>
          <t xml:space="preserve">Unidad</t>
        </is>
      </c>
      <c r="H99" s="4" t="inlineStr">
        <is>
          <t xml:space="preserve">ORTOPANTOMÓGRAFO DIGITAL Y CBCT 3D, INCLUYE ACCESORIOS. SEGÚN BASES TÉCNICAS ADJUNTAS.</t>
        </is>
      </c>
    </row>
    <row r="100">
      <c r="A100" s="0" t="inlineStr">
        <is>
          <t xml:space="preserve">2332-65-LE26</t>
        </is>
      </c>
      <c r="B100" s="4" t="inlineStr">
        <is>
          <t xml:space="preserve">ADQUISICIÓN DE ORTOPANTOMÓGRAFO DIGITAL Y CBCT 3D PARA EL DEPARTAMENTO DE SALUD MUNICIPAL DE PUERTO MONTT</t>
        </is>
      </c>
      <c r="C100" s="0">
        <v>2</v>
      </c>
      <c r="D100" s="4" t="inlineStr">
        <is>
          <t xml:space="preserve">Computadores de escritorio</t>
        </is>
      </c>
      <c r="E100" s="4" t="inlineStr">
        <is>
          <t xml:space="preserve">Tecnologías de la información, telecomunicaciones y radiodifusión / Equipos informáticos y accesorios / Computadores</t>
        </is>
      </c>
      <c r="F100" s="0">
        <v>1.0</v>
      </c>
      <c r="G100" s="0" t="inlineStr">
        <is>
          <t xml:space="preserve">Unidad</t>
        </is>
      </c>
      <c r="H100" s="4" t="inlineStr">
        <is>
          <t xml:space="preserve">PC. SEGÚN BASES TÉCNICAS ADJUNTAS.</t>
        </is>
      </c>
    </row>
    <row r="101">
      <c r="A101" s="0" t="inlineStr">
        <is>
          <t xml:space="preserve">2332-65-LE26</t>
        </is>
      </c>
      <c r="B101" s="4" t="inlineStr">
        <is>
          <t xml:space="preserve">ADQUISICIÓN DE ORTOPANTOMÓGRAFO DIGITAL Y CBCT 3D PARA EL DEPARTAMENTO DE SALUD MUNICIPAL DE PUERTO MONTT</t>
        </is>
      </c>
      <c r="C101" s="0">
        <v>3</v>
      </c>
      <c r="D101" s="4" t="inlineStr">
        <is>
          <t xml:space="preserve">Fuentes de alimentación continua</t>
        </is>
      </c>
      <c r="E101" s="4" t="inlineStr">
        <is>
          <t xml:space="preserve">Artículos eléctricos y de iluminación / Equipamiento y artículos eléctricos / Equipamiento para distribución y transformación eléctrica</t>
        </is>
      </c>
      <c r="F101" s="0">
        <v>1.0</v>
      </c>
      <c r="G101" s="0" t="inlineStr">
        <is>
          <t xml:space="preserve">Unidad</t>
        </is>
      </c>
      <c r="H101" s="4" t="inlineStr">
        <is>
          <t xml:space="preserve">UPS. SEGÚN BASES TÉCNICAS ADJUNTAS.</t>
        </is>
      </c>
    </row>
    <row r="102">
      <c r="A102" s="0" t="inlineStr">
        <is>
          <t xml:space="preserve">1020-38-LP26</t>
        </is>
      </c>
      <c r="B102" s="4" t="inlineStr">
        <is>
          <t xml:space="preserve">Adquisición de Plataforma Next Generation Firewall</t>
        </is>
      </c>
      <c r="C102" s="0">
        <v>1</v>
      </c>
      <c r="D102" s="4" t="inlineStr">
        <is>
          <t xml:space="preserve">Equipo de seguridad de red de firewall</t>
        </is>
      </c>
      <c r="E102" s="4" t="inlineStr">
        <is>
          <t xml:space="preserve">Tecnologías de la información, telecomunicaciones y radiodifusión / Equipos, plataformas y accesorios de redes multimedia, voz y datos / Equipos de seguridad de red</t>
        </is>
      </c>
      <c r="F102" s="0">
        <v>2.0</v>
      </c>
      <c r="G102" s="0" t="inlineStr">
        <is>
          <t xml:space="preserve">Unidad</t>
        </is>
      </c>
      <c r="H102" s="4" t="inlineStr">
        <is>
          <t xml:space="preserve">Equipos.</t>
        </is>
      </c>
    </row>
    <row r="103">
      <c r="A103" s="0" t="inlineStr">
        <is>
          <t xml:space="preserve">1020-38-LP26</t>
        </is>
      </c>
      <c r="B103" s="4" t="inlineStr">
        <is>
          <t xml:space="preserve">Adquisición de Plataforma Next Generation Firewall</t>
        </is>
      </c>
      <c r="C103" s="0">
        <v>2</v>
      </c>
      <c r="D103" s="4" t="inlineStr">
        <is>
          <t xml:space="preserve">Software de vigilancia de redes</t>
        </is>
      </c>
      <c r="E103" s="4" t="inlineStr">
        <is>
          <t xml:space="preserve">Tecnologías de la información, telecomunicaciones y radiodifusión / Software / Software de administración de redes</t>
        </is>
      </c>
      <c r="F103" s="0">
        <v>1.0</v>
      </c>
      <c r="G103" s="0" t="inlineStr">
        <is>
          <t xml:space="preserve">Unidad</t>
        </is>
      </c>
      <c r="H103" s="4" t="inlineStr">
        <is>
          <t xml:space="preserve">Licenciamiento de software para la Plataforma Next Generation Firewall (NGFW)</t>
        </is>
      </c>
    </row>
    <row r="104">
      <c r="A104" s="0" t="inlineStr">
        <is>
          <t xml:space="preserve">1057532-82-LE26</t>
        </is>
      </c>
      <c r="B104" s="4" t="inlineStr">
        <is>
          <t xml:space="preserve">ADQ. TENSIOMETROS DIGITALES C SET BRAZALETES</t>
        </is>
      </c>
      <c r="C104" s="0">
        <v>1</v>
      </c>
      <c r="D104" s="4" t="inlineStr">
        <is>
          <t xml:space="preserve">Unidades electrónicas de presión sanguínea</t>
        </is>
      </c>
      <c r="E104" s="4" t="inlineStr">
        <is>
          <t xml:space="preserve">Equipamiento y suministros médicos / Productos para exámenes y control de pacientes / Unidades de presión sanguínea y productos relacionados</t>
        </is>
      </c>
      <c r="F104" s="0">
        <v>1.0</v>
      </c>
      <c r="G104" s="0" t="inlineStr">
        <is>
          <t xml:space="preserve">Unidad</t>
        </is>
      </c>
      <c r="H104" s="4" t="inlineStr">
        <is>
          <t xml:space="preserve">Tensiómetro Digital con Set de Brazaletes (Pediátrico, Adolescente/Adulto pequeño, Adulto Medio, Adulto Grande/Obeso)</t>
        </is>
      </c>
    </row>
    <row r="105">
      <c r="A105" s="0" t="inlineStr">
        <is>
          <t xml:space="preserve">2239-2-LR26</t>
        </is>
      </c>
      <c r="B105" s="4" t="inlineStr">
        <is>
          <t xml:space="preserve">Convenio Marco Desarrollo de software</t>
        </is>
      </c>
      <c r="C105" s="0">
        <v>1</v>
      </c>
      <c r="D105" s="4" t="inlineStr">
        <is>
          <t xml:space="preserve">Desarrolladores de software</t>
        </is>
      </c>
      <c r="E105" s="4" t="inlineStr">
        <is>
          <t xml:space="preserve">Servicios profesionales, administrativos y consultorías de gestión empresarial / Servicios de recursos humanos / Contratación de personal</t>
        </is>
      </c>
      <c r="F105" s="0">
        <v>1.0</v>
      </c>
      <c r="G105" s="0" t="inlineStr">
        <is>
          <t xml:space="preserve">Unidad</t>
        </is>
      </c>
      <c r="H105" s="4" t="inlineStr">
        <is>
          <t xml:space="preserve">Convenio Marco para la adquisición de los Servicios de Desarrollo y Mantención de Software, Servicios Profesionales TI y Cloud Computing</t>
        </is>
      </c>
    </row>
    <row r="106">
      <c r="A106" s="0" t="inlineStr">
        <is>
          <t xml:space="preserve">3928-62-LE26</t>
        </is>
      </c>
      <c r="B106" s="4" t="inlineStr">
        <is>
          <t xml:space="preserve">ADQUISICION DE SOFTWARE Y EQUIPAMIENTO TECNOLOGICO PARA ESCUELA DE CAHUIL</t>
        </is>
      </c>
      <c r="C106" s="0">
        <v>1</v>
      </c>
      <c r="D106" s="4" t="inlineStr">
        <is>
          <t xml:space="preserve">Contadores de tabletas</t>
        </is>
      </c>
      <c r="E106" s="4" t="inlineStr">
        <is>
          <t xml:space="preserve">Maquinaria para fabricación y transformación industrial / Maquinaria y suministros de procesos industriales / Maquinaria para la industria farmacéutica</t>
        </is>
      </c>
      <c r="F106" s="0">
        <v>1.0</v>
      </c>
      <c r="G106" s="0" t="inlineStr">
        <is>
          <t xml:space="preserve">Global</t>
        </is>
      </c>
      <c r="H106" s="4" t="inlineStr">
        <is>
          <t xml:space="preserve">MALETA CONTENEDORA PARA TABLET, LINEA 2.
VER DETALLE EN BASES ADMINISTATIVAS Y ESPECIFICACIONES TECNICAS ADJUNTAS</t>
        </is>
      </c>
    </row>
    <row r="107">
      <c r="A107" s="0" t="inlineStr">
        <is>
          <t xml:space="preserve">3928-62-LE26</t>
        </is>
      </c>
      <c r="B107" s="4" t="inlineStr">
        <is>
          <t xml:space="preserve">ADQUISICION DE SOFTWARE Y EQUIPAMIENTO TECNOLOGICO PARA ESCUELA DE CAHUIL</t>
        </is>
      </c>
      <c r="C107" s="0">
        <v>2</v>
      </c>
      <c r="D107" s="4" t="inlineStr">
        <is>
          <t xml:space="preserve">Software doméstico</t>
        </is>
      </c>
      <c r="E107" s="4" t="inlineStr">
        <is>
          <t xml:space="preserve">Tecnologías de la información, telecomunicaciones y radiodifusión / Software / Software de ocio o juegos de computador</t>
        </is>
      </c>
      <c r="F107" s="0">
        <v>1.0</v>
      </c>
      <c r="G107" s="0" t="inlineStr">
        <is>
          <t xml:space="preserve">Global</t>
        </is>
      </c>
      <c r="H107" s="4" t="inlineStr">
        <is>
          <t xml:space="preserve">SOFTWARE DE ADMINISTRACION Y CONTROL PARA TABLETS CON OS ANDROID, LICENCIA PERPETUA, CLASDRIVE O SIMILAR. LINEA 1.
REVISAR DETALLES TECNICOS EN LAS ADMINISTRATIVAS Y ESPECIFICACIONALES TECNICAS ADJUNTAS</t>
        </is>
      </c>
    </row>
    <row r="108">
      <c r="A108" s="0" t="inlineStr">
        <is>
          <t xml:space="preserve">610-19-LE26</t>
        </is>
      </c>
      <c r="B108" s="4" t="inlineStr">
        <is>
          <t xml:space="preserve">Base de datos Plexos del Sistema Eléctrico Nacional</t>
        </is>
      </c>
      <c r="C108" s="0">
        <v>1</v>
      </c>
      <c r="D108" s="4" t="inlineStr">
        <is>
          <t xml:space="preserve">Ingeniería eléctrica</t>
        </is>
      </c>
      <c r="E108" s="4" t="inlineStr">
        <is>
          <t xml:space="preserve">Servicios basados en ingeniería, ciencias sociales y tecnología de la información / Servicios profesionales de ingeniería / Ingeniería eléctrica y electrónica</t>
        </is>
      </c>
      <c r="F108" s="0">
        <v>1.0</v>
      </c>
      <c r="G108" s="0" t="inlineStr">
        <is>
          <t xml:space="preserve">Unidad</t>
        </is>
      </c>
      <c r="H108" s="4" t="inlineStr">
        <is>
          <t xml:space="preserve">Base de datos Plexos del Sistema Eléctrico Nacional.</t>
        </is>
      </c>
    </row>
    <row r="109">
      <c r="A109" s="0" t="inlineStr">
        <is>
          <t xml:space="preserve">3073-53-LE26</t>
        </is>
      </c>
      <c r="B109" s="4" t="inlineStr">
        <is>
          <t xml:space="preserve">Adq. licencias informáticas.Completar Formularios</t>
        </is>
      </c>
      <c r="C109" s="0">
        <v>1</v>
      </c>
      <c r="D109" s="4" t="inlineStr">
        <is>
          <t xml:space="preserve">Software de gestión de licencias</t>
        </is>
      </c>
      <c r="E109" s="4" t="inlineStr">
        <is>
          <t xml:space="preserve">Tecnologías de la información, telecomunicaciones y radiodifusión / Software / Software de gestión</t>
        </is>
      </c>
      <c r="F109" s="0">
        <v>10.0</v>
      </c>
      <c r="G109" s="0" t="inlineStr">
        <is>
          <t xml:space="preserve">Unidad</t>
        </is>
      </c>
      <c r="H109" s="4" t="inlineStr">
        <is>
          <t xml:space="preserve">Licencias Microsoft Windows Standar 2025. (Las licencias deberán ser accesibles desde el centro de administración de licencias de Microsoft y asignadas al "Tenant" del S.H.O.A.), Completar los 7 formularios.</t>
        </is>
      </c>
    </row>
    <row r="110">
      <c r="A110" s="0" t="inlineStr">
        <is>
          <t xml:space="preserve">1020-40-LP26</t>
        </is>
      </c>
      <c r="B110" s="4" t="inlineStr">
        <is>
          <t xml:space="preserve">Serv.Cloud Amazon Web Services AWS o Equivalente</t>
        </is>
      </c>
      <c r="C110" s="0">
        <v>1</v>
      </c>
      <c r="D110" s="4" t="inlineStr">
        <is>
          <t xml:space="preserve">Software del sistema de administración de bases de datos</t>
        </is>
      </c>
      <c r="E110" s="4" t="inlineStr">
        <is>
          <t xml:space="preserve">Tecnologías de la información, telecomunicaciones y radiodifusión / Software / Software de consultas y gestión de datos</t>
        </is>
      </c>
      <c r="F110" s="0">
        <v>1.0</v>
      </c>
      <c r="G110" s="0" t="inlineStr">
        <is>
          <t xml:space="preserve">Unidad</t>
        </is>
      </c>
      <c r="H110" s="4" t="inlineStr">
        <is>
          <t xml:space="preserve">PRECIO TOTAL NETO OFERTADO (SIN IVA), según Formulario N°1 "Oferta Económica" (Incluye los señalado en el numeral 5.1.1 de las Bases Administrativas, en archivo adjunto).</t>
        </is>
      </c>
    </row>
    <row r="111">
      <c r="A111" s="0" t="inlineStr">
        <is>
          <t xml:space="preserve">1239966-13-LP26</t>
        </is>
      </c>
      <c r="B111" s="4" t="inlineStr">
        <is>
          <t xml:space="preserve">CONVENIO AGL EQUIPAMIENTO TECNOLÓGICO E INFORMÁTIC</t>
        </is>
      </c>
      <c r="C111" s="0">
        <v>1</v>
      </c>
      <c r="D111" s="4" t="inlineStr">
        <is>
          <t xml:space="preserve">Computadores personales</t>
        </is>
      </c>
      <c r="E111" s="4" t="inlineStr">
        <is>
          <t xml:space="preserve">Tecnologías de la información, telecomunicaciones y radiodifusión / Equipos informáticos y accesorios / Computadores</t>
        </is>
      </c>
      <c r="F111" s="0">
        <v>1.0</v>
      </c>
      <c r="G111" s="0" t="inlineStr">
        <is>
          <t xml:space="preserve">Unidad</t>
        </is>
      </c>
      <c r="H111" s="4" t="inlineStr">
        <is>
          <t xml:space="preserve">CONVENIO AGL EQUIPAMIENTO TECNOLÓGICO E INFORMÁTICO</t>
        </is>
      </c>
    </row>
    <row r="112">
      <c r="A112" s="0" t="inlineStr">
        <is>
          <t xml:space="preserve">2445-124-LP26</t>
        </is>
      </c>
      <c r="B112" s="4" t="inlineStr">
        <is>
          <t xml:space="preserve">SERVICIO DE TELEFONIA FIJA IP Y PLATAFORMA IVR</t>
        </is>
      </c>
      <c r="C112" s="0">
        <v>1</v>
      </c>
      <c r="D112" s="4" t="inlineStr">
        <is>
          <t xml:space="preserve">Mano de obra temporal</t>
        </is>
      </c>
      <c r="E112" s="4" t="inlineStr">
        <is>
          <t xml:space="preserve">Servicios profesionales, administrativos y consultorías de gestión empresarial / Servicios de recursos humanos / Servicios de personal temporal</t>
        </is>
      </c>
      <c r="F112" s="0">
        <v>1.0</v>
      </c>
      <c r="G112" s="0" t="inlineStr">
        <is>
          <t xml:space="preserve">Unidad</t>
        </is>
      </c>
      <c r="H112" s="4" t="inlineStr">
        <is>
          <t xml:space="preserve">SERVICIO DE TELEFONIA FIJA IP Y PLATAFORMA IVR PARA EL DEPTO DE SALUD POR 48 MESES</t>
        </is>
      </c>
    </row>
    <row r="113">
      <c r="A113" s="0" t="inlineStr">
        <is>
          <t xml:space="preserve">29-81-LP26</t>
        </is>
      </c>
      <c r="B113" s="4" t="inlineStr">
        <is>
          <t xml:space="preserve">AGF - PLATAFORMA INGLES</t>
        </is>
      </c>
      <c r="C113" s="0">
        <v>1</v>
      </c>
      <c r="D113" s="4" t="inlineStr">
        <is>
          <t xml:space="preserve">Enseñanza conversacional de idiomas extranjeros</t>
        </is>
      </c>
      <c r="E113" s="4" t="inlineStr">
        <is>
          <t xml:space="preserve">Educación, formación, entrenamiento y capacitación / Sistemas educativos complementarios / Escuelas de idiomas</t>
        </is>
      </c>
      <c r="F113" s="0">
        <v>1.0</v>
      </c>
      <c r="G113" s="0" t="inlineStr">
        <is>
          <t xml:space="preserve">Global</t>
        </is>
      </c>
      <c r="H113" s="4" t="inlineStr">
        <is>
          <t xml:space="preserve">CONTRATACIÓN DE SERVICIO DE PLATAFORMA INTEGRAL DE CAPACITACIÓN EN IDIOMA INGLÉS (MODALIDAD E-LEARNING CON TUTORIA)</t>
        </is>
      </c>
    </row>
    <row r="114">
      <c r="A114" s="0" t="inlineStr">
        <is>
          <t xml:space="preserve">3447-145-LR26</t>
        </is>
      </c>
      <c r="B114" s="4" t="inlineStr">
        <is>
          <t xml:space="preserve">Adquisición e Implementación Plataforma Integral</t>
        </is>
      </c>
      <c r="C114" s="0">
        <v>1</v>
      </c>
      <c r="D114" s="4" t="inlineStr">
        <is>
          <t xml:space="preserve">Servicios de programación de sistemas operativos</t>
        </is>
      </c>
      <c r="E114" s="4" t="inlineStr">
        <is>
          <t xml:space="preserve">Servicios basados en ingeniería, ciencias sociales y tecnología de la información / Servicios informáticos / Ingeniería en computación e informática</t>
        </is>
      </c>
      <c r="F114" s="0">
        <v>1.0</v>
      </c>
      <c r="G114" s="0" t="inlineStr">
        <is>
          <t xml:space="preserve">Global</t>
        </is>
      </c>
      <c r="H114" s="4" t="inlineStr">
        <is>
          <t xml:space="preserve">Adquisición e Implementación de Plataforma Integral de Gestión Municipal y Servicios Traspasados para la Municipalidad de Alto Hospicio. (INGRESAR VALOR TOTAL NETO)</t>
        </is>
      </c>
    </row>
    <row r="115">
      <c r="A115" s="0" t="inlineStr">
        <is>
          <t xml:space="preserve">4246-9-LE26</t>
        </is>
      </c>
      <c r="B115" s="4" t="inlineStr">
        <is>
          <t xml:space="preserve">Licencias de software EDB Enterprise</t>
        </is>
      </c>
      <c r="C115" s="0">
        <v>1</v>
      </c>
      <c r="D115" s="4" t="inlineStr">
        <is>
          <t xml:space="preserve">Software de administración de bases de datos orientado a objetos</t>
        </is>
      </c>
      <c r="E115" s="4" t="inlineStr">
        <is>
          <t xml:space="preserve">Tecnologías de la información, telecomunicaciones y radiodifusión / Software / Software de consultas y gestión de datos</t>
        </is>
      </c>
      <c r="F115" s="0">
        <v>1.0</v>
      </c>
      <c r="G115" s="0" t="inlineStr">
        <is>
          <t xml:space="preserve">Unidad</t>
        </is>
      </c>
      <c r="H115" s="4" t="inlineStr">
        <is>
          <t xml:space="preserve">4 EDB Enterprise Plan Production Support 1 Year Subscription y 10 EDB Enterprise Plan Basic Support 1 Year Subscription. Según bases de licitación aprobadas por Resolución Exenta N°945 adjunta</t>
        </is>
      </c>
    </row>
    <row r="116">
      <c r="A116" s="0" t="inlineStr">
        <is>
          <t xml:space="preserve">5482-101-LR26</t>
        </is>
      </c>
      <c r="B116" s="4" t="inlineStr">
        <is>
          <t xml:space="preserve">Plataforma IA para video y seguridad urbana</t>
        </is>
      </c>
      <c r="C116" s="0">
        <v>1</v>
      </c>
      <c r="D116" s="4" t="inlineStr">
        <is>
          <t xml:space="preserve">Software de desarrollo de plataforma Web</t>
        </is>
      </c>
      <c r="E116" s="4" t="inlineStr">
        <is>
          <t xml:space="preserve">Tecnologías de la información, telecomunicaciones y radiodifusión / Software / Programas de desarrollo</t>
        </is>
      </c>
      <c r="F116" s="0">
        <v>1.0</v>
      </c>
      <c r="G116" s="0" t="inlineStr">
        <is>
          <t xml:space="preserve">Global</t>
        </is>
      </c>
      <c r="H116" s="4" t="inlineStr">
        <is>
          <t xml:space="preserve">Setup o configuración inicial del servicio e instalación</t>
        </is>
      </c>
    </row>
    <row r="117">
      <c r="A117" s="0" t="inlineStr">
        <is>
          <t xml:space="preserve">5482-101-LR26</t>
        </is>
      </c>
      <c r="B117" s="4" t="inlineStr">
        <is>
          <t xml:space="preserve">Plataforma IA para video y seguridad urbana</t>
        </is>
      </c>
      <c r="C117" s="0">
        <v>2</v>
      </c>
      <c r="D117" s="4" t="inlineStr">
        <is>
          <t xml:space="preserve">Software de desarrollo de plataforma Web</t>
        </is>
      </c>
      <c r="E117" s="4" t="inlineStr">
        <is>
          <t xml:space="preserve">Tecnologías de la información, telecomunicaciones y radiodifusión / Software / Programas de desarrollo</t>
        </is>
      </c>
      <c r="F117" s="0">
        <v>26.0</v>
      </c>
      <c r="G117" s="0" t="inlineStr">
        <is>
          <t xml:space="preserve">Mes</t>
        </is>
      </c>
      <c r="H117" s="4" t="inlineStr">
        <is>
          <t xml:space="preserve">Servicio mensual (Operación)</t>
        </is>
      </c>
    </row>
    <row r="118">
      <c r="A118" s="0" t="inlineStr">
        <is>
          <t xml:space="preserve">4449-30-LP26</t>
        </is>
      </c>
      <c r="B118" s="4" t="inlineStr">
        <is>
          <t xml:space="preserve">Adquisición de libros a perpetuida para BP Digital</t>
        </is>
      </c>
      <c r="C118" s="0">
        <v>1</v>
      </c>
      <c r="D118" s="4" t="inlineStr">
        <is>
          <t xml:space="preserve">Libros en casetes o CD</t>
        </is>
      </c>
      <c r="E118" s="4" t="inlineStr">
        <is>
          <t xml:space="preserve">Productos impresos y publicaciones / Material electrónico de referencia / Publicaciones electrónicas y música</t>
        </is>
      </c>
      <c r="F118" s="0">
        <v>3.0</v>
      </c>
      <c r="G118" s="0" t="inlineStr">
        <is>
          <t xml:space="preserve">Unidad</t>
        </is>
      </c>
      <c r="H118" s="4" t="inlineStr">
        <is>
          <t xml:space="preserve">Nazi Literature in the AmericasRoberto Bolaño 9781250450661</t>
        </is>
      </c>
    </row>
    <row r="119">
      <c r="A119" s="0" t="inlineStr">
        <is>
          <t xml:space="preserve">4449-30-LP26</t>
        </is>
      </c>
      <c r="B119" s="4" t="inlineStr">
        <is>
          <t xml:space="preserve">Adquisición de libros a perpetuida para BP Digital</t>
        </is>
      </c>
      <c r="C119" s="0">
        <v>2</v>
      </c>
      <c r="D119" s="4" t="inlineStr">
        <is>
          <t xml:space="preserve">Libros en casetes o CD</t>
        </is>
      </c>
      <c r="E119" s="4" t="inlineStr">
        <is>
          <t xml:space="preserve">Productos impresos y publicaciones / Material electrónico de referencia / Publicaciones electrónicas y música</t>
        </is>
      </c>
      <c r="F119" s="0">
        <v>3.0</v>
      </c>
      <c r="G119" s="0" t="inlineStr">
        <is>
          <t xml:space="preserve">Unidad</t>
        </is>
      </c>
      <c r="H119" s="4" t="inlineStr">
        <is>
          <t xml:space="preserve">Distant StarRoberto BolañoMacmillan Audio9781250450630</t>
        </is>
      </c>
    </row>
    <row r="120">
      <c r="A120" s="0" t="inlineStr">
        <is>
          <t xml:space="preserve">4449-30-LP26</t>
        </is>
      </c>
      <c r="B120" s="4" t="inlineStr">
        <is>
          <t xml:space="preserve">Adquisición de libros a perpetuida para BP Digital</t>
        </is>
      </c>
      <c r="C120" s="0">
        <v>3</v>
      </c>
      <c r="D120" s="4" t="inlineStr">
        <is>
          <t xml:space="preserve">Libros en casetes o CD</t>
        </is>
      </c>
      <c r="E120" s="4" t="inlineStr">
        <is>
          <t xml:space="preserve">Productos impresos y publicaciones / Material electrónico de referencia / Publicaciones electrónicas y música</t>
        </is>
      </c>
      <c r="F120" s="0">
        <v>3.0</v>
      </c>
      <c r="G120" s="0" t="inlineStr">
        <is>
          <t xml:space="preserve">Unidad</t>
        </is>
      </c>
      <c r="H120" s="4" t="inlineStr">
        <is>
          <t xml:space="preserve">El amor en los tiempos del cóleraPenguin Random House Grupo Editorial9788439737919</t>
        </is>
      </c>
    </row>
    <row r="121">
      <c r="A121" s="0" t="inlineStr">
        <is>
          <t xml:space="preserve">4449-30-LP26</t>
        </is>
      </c>
      <c r="B121" s="4" t="inlineStr">
        <is>
          <t xml:space="preserve">Adquisición de libros a perpetuida para BP Digital</t>
        </is>
      </c>
      <c r="C121" s="0">
        <v>4</v>
      </c>
      <c r="D121" s="4" t="inlineStr">
        <is>
          <t xml:space="preserve">Libros en casetes o CD</t>
        </is>
      </c>
      <c r="E121" s="4" t="inlineStr">
        <is>
          <t xml:space="preserve">Productos impresos y publicaciones / Material electrónico de referencia / Publicaciones electrónicas y música</t>
        </is>
      </c>
      <c r="F121" s="0">
        <v>5.0</v>
      </c>
      <c r="G121" s="0" t="inlineStr">
        <is>
          <t xml:space="preserve">Unidad</t>
        </is>
      </c>
      <c r="H121" s="4" t="inlineStr">
        <is>
          <t xml:space="preserve">Toda culpa es un misterioLa Pollera Ediciones9789569203985</t>
        </is>
      </c>
    </row>
    <row r="122">
      <c r="A122" s="0" t="inlineStr">
        <is>
          <t xml:space="preserve">4449-30-LP26</t>
        </is>
      </c>
      <c r="B122" s="4" t="inlineStr">
        <is>
          <t xml:space="preserve">Adquisición de libros a perpetuida para BP Digital</t>
        </is>
      </c>
      <c r="C122" s="0">
        <v>5</v>
      </c>
      <c r="D122" s="4" t="inlineStr">
        <is>
          <t xml:space="preserve">Libros en casetes o CD</t>
        </is>
      </c>
      <c r="E122" s="4" t="inlineStr">
        <is>
          <t xml:space="preserve">Productos impresos y publicaciones / Material electrónico de referencia / Publicaciones electrónicas y música</t>
        </is>
      </c>
      <c r="F122" s="0">
        <v>3.0</v>
      </c>
      <c r="G122" s="0" t="inlineStr">
        <is>
          <t xml:space="preserve">Unidad</t>
        </is>
      </c>
      <c r="H122" s="4" t="inlineStr">
        <is>
          <t xml:space="preserve">Pastoral americanaPenguin Random House Grupo Editorial9788439735489</t>
        </is>
      </c>
    </row>
    <row r="123">
      <c r="A123" s="0" t="inlineStr">
        <is>
          <t xml:space="preserve">4449-30-LP26</t>
        </is>
      </c>
      <c r="B123" s="4" t="inlineStr">
        <is>
          <t xml:space="preserve">Adquisición de libros a perpetuida para BP Digital</t>
        </is>
      </c>
      <c r="C123" s="0">
        <v>6</v>
      </c>
      <c r="D123" s="4" t="inlineStr">
        <is>
          <t xml:space="preserve">Libros en casetes o CD</t>
        </is>
      </c>
      <c r="E123" s="4" t="inlineStr">
        <is>
          <t xml:space="preserve">Productos impresos y publicaciones / Material electrónico de referencia / Publicaciones electrónicas y música</t>
        </is>
      </c>
      <c r="F123" s="0">
        <v>5.0</v>
      </c>
      <c r="G123" s="0" t="inlineStr">
        <is>
          <t xml:space="preserve">Unidad</t>
        </is>
      </c>
      <c r="H123" s="4" t="inlineStr">
        <is>
          <t xml:space="preserve">BonsaiPenguin Random House9780593588543</t>
        </is>
      </c>
    </row>
    <row r="124">
      <c r="A124" s="0" t="inlineStr">
        <is>
          <t xml:space="preserve">4449-30-LP26</t>
        </is>
      </c>
      <c r="B124" s="4" t="inlineStr">
        <is>
          <t xml:space="preserve">Adquisición de libros a perpetuida para BP Digital</t>
        </is>
      </c>
      <c r="C124" s="0">
        <v>7</v>
      </c>
      <c r="D124" s="4" t="inlineStr">
        <is>
          <t xml:space="preserve">Libros en casetes o CD</t>
        </is>
      </c>
      <c r="E124" s="4" t="inlineStr">
        <is>
          <t xml:space="preserve">Productos impresos y publicaciones / Material electrónico de referencia / Publicaciones electrónicas y música</t>
        </is>
      </c>
      <c r="F124" s="0">
        <v>3.0</v>
      </c>
      <c r="G124" s="0" t="inlineStr">
        <is>
          <t xml:space="preserve">Unidad</t>
        </is>
      </c>
      <c r="H124" s="4" t="inlineStr">
        <is>
          <t xml:space="preserve">Last Supper of Queer Apostles, APenguin Random House9780593791899</t>
        </is>
      </c>
    </row>
    <row r="125">
      <c r="A125" s="0" t="inlineStr">
        <is>
          <t xml:space="preserve">4449-30-LP26</t>
        </is>
      </c>
      <c r="B125" s="4" t="inlineStr">
        <is>
          <t xml:space="preserve">Adquisición de libros a perpetuida para BP Digital</t>
        </is>
      </c>
      <c r="C125" s="0">
        <v>8</v>
      </c>
      <c r="D125" s="4" t="inlineStr">
        <is>
          <t xml:space="preserve">Libros en casetes o CD</t>
        </is>
      </c>
      <c r="E125" s="4" t="inlineStr">
        <is>
          <t xml:space="preserve">Productos impresos y publicaciones / Material electrónico de referencia / Publicaciones electrónicas y música</t>
        </is>
      </c>
      <c r="F125" s="0">
        <v>4.0</v>
      </c>
      <c r="G125" s="0" t="inlineStr">
        <is>
          <t xml:space="preserve">Unidad</t>
        </is>
      </c>
      <c r="H125" s="4" t="inlineStr">
        <is>
          <t xml:space="preserve">El olor de la guayabaPenguin Random House Grupo Editorial9788439741398</t>
        </is>
      </c>
    </row>
    <row r="126">
      <c r="A126" s="0" t="inlineStr">
        <is>
          <t xml:space="preserve">4449-30-LP26</t>
        </is>
      </c>
      <c r="B126" s="4" t="inlineStr">
        <is>
          <t xml:space="preserve">Adquisición de libros a perpetuida para BP Digital</t>
        </is>
      </c>
      <c r="C126" s="0">
        <v>9</v>
      </c>
      <c r="D126" s="4" t="inlineStr">
        <is>
          <t xml:space="preserve">Libros en casetes o CD</t>
        </is>
      </c>
      <c r="E126" s="4" t="inlineStr">
        <is>
          <t xml:space="preserve">Productos impresos y publicaciones / Material electrónico de referencia / Publicaciones electrónicas y música</t>
        </is>
      </c>
      <c r="F126" s="0">
        <v>3.0</v>
      </c>
      <c r="G126" s="0" t="inlineStr">
        <is>
          <t xml:space="preserve">Unidad</t>
        </is>
      </c>
      <c r="H126" s="4" t="inlineStr">
        <is>
          <t xml:space="preserve">El Tercer ReichPenguin Random House Grupo Editorial9788420438641</t>
        </is>
      </c>
    </row>
    <row r="127">
      <c r="A127" s="0" t="inlineStr">
        <is>
          <t xml:space="preserve">4449-30-LP26</t>
        </is>
      </c>
      <c r="B127" s="4" t="inlineStr">
        <is>
          <t xml:space="preserve">Adquisición de libros a perpetuida para BP Digital</t>
        </is>
      </c>
      <c r="C127" s="0">
        <v>10</v>
      </c>
      <c r="D127" s="4" t="inlineStr">
        <is>
          <t xml:space="preserve">Libros en casetes o CD</t>
        </is>
      </c>
      <c r="E127" s="4" t="inlineStr">
        <is>
          <t xml:space="preserve">Productos impresos y publicaciones / Material electrónico de referencia / Publicaciones electrónicas y música</t>
        </is>
      </c>
      <c r="F127" s="0">
        <v>3.0</v>
      </c>
      <c r="G127" s="0" t="inlineStr">
        <is>
          <t xml:space="preserve">Unidad</t>
        </is>
      </c>
      <c r="H127" s="4" t="inlineStr">
        <is>
          <t xml:space="preserve">No está solo (Colomba y Dante 1)Penguin Random House Grupo Editorial9788420439921</t>
        </is>
      </c>
    </row>
    <row r="128">
      <c r="A128" s="0" t="inlineStr">
        <is>
          <t xml:space="preserve">4449-30-LP26</t>
        </is>
      </c>
      <c r="B128" s="4" t="inlineStr">
        <is>
          <t xml:space="preserve">Adquisición de libros a perpetuida para BP Digital</t>
        </is>
      </c>
      <c r="C128" s="0">
        <v>11</v>
      </c>
      <c r="D128" s="4" t="inlineStr">
        <is>
          <t xml:space="preserve">Libros en casetes o CD</t>
        </is>
      </c>
      <c r="E128" s="4" t="inlineStr">
        <is>
          <t xml:space="preserve">Productos impresos y publicaciones / Material electrónico de referencia / Publicaciones electrónicas y música</t>
        </is>
      </c>
      <c r="F128" s="0">
        <v>3.0</v>
      </c>
      <c r="G128" s="0" t="inlineStr">
        <is>
          <t xml:space="preserve">Unidad</t>
        </is>
      </c>
      <c r="H128" s="4" t="inlineStr">
        <is>
          <t xml:space="preserve">Tu rostro mañana. 1 Fiebre y lanzaPenguin Random House Grupo Editorial9788420454900</t>
        </is>
      </c>
    </row>
    <row r="129">
      <c r="A129" s="0" t="inlineStr">
        <is>
          <t xml:space="preserve">4449-30-LP26</t>
        </is>
      </c>
      <c r="B129" s="4" t="inlineStr">
        <is>
          <t xml:space="preserve">Adquisición de libros a perpetuida para BP Digital</t>
        </is>
      </c>
      <c r="C129" s="0">
        <v>12</v>
      </c>
      <c r="D129" s="4" t="inlineStr">
        <is>
          <t xml:space="preserve">Libros en casetes o CD</t>
        </is>
      </c>
      <c r="E129" s="4" t="inlineStr">
        <is>
          <t xml:space="preserve">Productos impresos y publicaciones / Material electrónico de referencia / Publicaciones electrónicas y música</t>
        </is>
      </c>
      <c r="F129" s="0">
        <v>4.0</v>
      </c>
      <c r="G129" s="0" t="inlineStr">
        <is>
          <t xml:space="preserve">Unidad</t>
        </is>
      </c>
      <c r="H129" s="4" t="inlineStr">
        <is>
          <t xml:space="preserve">Zombi: Guía de supervivenciaPenguin Random House Grupo Editorial9788466375795</t>
        </is>
      </c>
    </row>
    <row r="130">
      <c r="A130" s="0" t="inlineStr">
        <is>
          <t xml:space="preserve">4449-30-LP26</t>
        </is>
      </c>
      <c r="B130" s="4" t="inlineStr">
        <is>
          <t xml:space="preserve">Adquisición de libros a perpetuida para BP Digital</t>
        </is>
      </c>
      <c r="C130" s="0">
        <v>13</v>
      </c>
      <c r="D130" s="4" t="inlineStr">
        <is>
          <t xml:space="preserve">Libros en casetes o CD</t>
        </is>
      </c>
      <c r="E130" s="4" t="inlineStr">
        <is>
          <t xml:space="preserve">Productos impresos y publicaciones / Material electrónico de referencia / Publicaciones electrónicas y música</t>
        </is>
      </c>
      <c r="F130" s="0">
        <v>5.0</v>
      </c>
      <c r="G130" s="0" t="inlineStr">
        <is>
          <t xml:space="preserve">Unidad</t>
        </is>
      </c>
      <c r="H130" s="4" t="inlineStr">
        <is>
          <t xml:space="preserve">La ninfa de porcelanaPenguin Random House Grupo Editorial9788401019753</t>
        </is>
      </c>
    </row>
    <row r="131">
      <c r="A131" s="0" t="inlineStr">
        <is>
          <t xml:space="preserve">4449-30-LP26</t>
        </is>
      </c>
      <c r="B131" s="4" t="inlineStr">
        <is>
          <t xml:space="preserve">Adquisición de libros a perpetuida para BP Digital</t>
        </is>
      </c>
      <c r="C131" s="0">
        <v>14</v>
      </c>
      <c r="D131" s="4" t="inlineStr">
        <is>
          <t xml:space="preserve">Libros en casetes o CD</t>
        </is>
      </c>
      <c r="E131" s="4" t="inlineStr">
        <is>
          <t xml:space="preserve">Productos impresos y publicaciones / Material electrónico de referencia / Publicaciones electrónicas y música</t>
        </is>
      </c>
      <c r="F131" s="0">
        <v>3.0</v>
      </c>
      <c r="G131" s="0" t="inlineStr">
        <is>
          <t xml:space="preserve">Unidad</t>
        </is>
      </c>
      <c r="H131" s="4" t="inlineStr">
        <is>
          <t xml:space="preserve">Apocalípticos e integradosPenguin Random House Grupo Editorial9788426423948</t>
        </is>
      </c>
    </row>
    <row r="132">
      <c r="A132" s="0" t="inlineStr">
        <is>
          <t xml:space="preserve">4449-30-LP26</t>
        </is>
      </c>
      <c r="B132" s="4" t="inlineStr">
        <is>
          <t xml:space="preserve">Adquisición de libros a perpetuida para BP Digital</t>
        </is>
      </c>
      <c r="C132" s="0">
        <v>15</v>
      </c>
      <c r="D132" s="4" t="inlineStr">
        <is>
          <t xml:space="preserve">Libros en casetes o CD</t>
        </is>
      </c>
      <c r="E132" s="4" t="inlineStr">
        <is>
          <t xml:space="preserve">Productos impresos y publicaciones / Material electrónico de referencia / Publicaciones electrónicas y música</t>
        </is>
      </c>
      <c r="F132" s="0">
        <v>4.0</v>
      </c>
      <c r="G132" s="0" t="inlineStr">
        <is>
          <t xml:space="preserve">Unidad</t>
        </is>
      </c>
      <c r="H132" s="4" t="inlineStr">
        <is>
          <t xml:space="preserve">Veterano de tres guerras - Parte 1Penguin Random House Grupo Editorial9789566056492</t>
        </is>
      </c>
    </row>
    <row r="133">
      <c r="A133" s="0" t="inlineStr">
        <is>
          <t xml:space="preserve">5420-22-LP26</t>
        </is>
      </c>
      <c r="B133" s="4" t="inlineStr">
        <is>
          <t xml:space="preserve">Arriendo de enlace de voz y datos</t>
        </is>
      </c>
      <c r="C133" s="0">
        <v>1</v>
      </c>
      <c r="D133" s="4" t="inlineStr">
        <is>
          <t xml:space="preserve">Proveedores de servicio de Internet (ISP)</t>
        </is>
      </c>
      <c r="E133" s="4" t="inlineStr">
        <is>
          <t xml:space="preserve">Servicios basados en ingeniería, ciencias sociales y tecnología de la información / Servicios informáticos / Servicios para internet</t>
        </is>
      </c>
      <c r="F133" s="0">
        <v>1.0</v>
      </c>
      <c r="G133" s="0" t="inlineStr">
        <is>
          <t xml:space="preserve">Unidad</t>
        </is>
      </c>
      <c r="H133" s="4" t="inlineStr">
        <is>
          <t xml:space="preserve">Arriendo de Enlace de Datos y Solución en la Nube de Voz para Dependencias del Gobierno Regional y Consejo Regional de Arica y Parinacota</t>
        </is>
      </c>
    </row>
    <row r="134">
      <c r="A134" s="0" t="inlineStr">
        <is>
          <t xml:space="preserve">906973-10-LP26</t>
        </is>
      </c>
      <c r="B134" s="4" t="inlineStr">
        <is>
          <t xml:space="preserve">SEGUNDO LLAMADO SISTEMAS INFORMÁTICOS DE GESTIÓN MUNICIPAL</t>
        </is>
      </c>
      <c r="C134" s="0">
        <v>1</v>
      </c>
      <c r="D134" s="4" t="inlineStr">
        <is>
          <t xml:space="preserve">Servicios contables gubernamentales</t>
        </is>
      </c>
      <c r="E134" s="4" t="inlineStr">
        <is>
          <t xml:space="preserve">Organizaciones y consultorías políticas, demográficas, económicas, sociales y de administración pública / Administración y finanzas públicas / Finanzas públicas</t>
        </is>
      </c>
      <c r="F134" s="0">
        <v>36.0</v>
      </c>
      <c r="G134" s="0" t="inlineStr">
        <is>
          <t xml:space="preserve">Mes</t>
        </is>
      </c>
      <c r="H134"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135">
      <c r="A135" s="0" t="inlineStr">
        <is>
          <t xml:space="preserve">591-26-LP26</t>
        </is>
      </c>
      <c r="B135" s="4" t="inlineStr">
        <is>
          <t xml:space="preserve">PLATAFORMA DE OBSERVABILIDAD AVANZADA MULTICLOUD PARA FONASA.</t>
        </is>
      </c>
      <c r="C135" s="0">
        <v>1</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36">
      <c r="A136" s="0" t="inlineStr">
        <is>
          <t xml:space="preserve">1488587-36-LE26</t>
        </is>
      </c>
      <c r="B136" s="4" t="inlineStr">
        <is>
          <t xml:space="preserve">Ampliación Laboratorio de Imagen Digital Carrera de Periodismo Campus Andrés Bello de Universidad de La Serena</t>
        </is>
      </c>
      <c r="C136" s="0">
        <v>1</v>
      </c>
      <c r="D136" s="4" t="inlineStr">
        <is>
          <t xml:space="preserve">Construcción de edificios y departamentos</t>
        </is>
      </c>
      <c r="E136" s="4" t="inlineStr">
        <is>
          <t xml:space="preserve">Servicios de construcción y mantenimiento / Construcción de edificios en general / Construcción residencial</t>
        </is>
      </c>
      <c r="F136" s="0">
        <v>1.0</v>
      </c>
      <c r="G136" s="0" t="inlineStr">
        <is>
          <t xml:space="preserve">Global</t>
        </is>
      </c>
      <c r="H136" s="4" t="inlineStr">
        <is>
          <t xml:space="preserve">Ampliación Laboratorio de Imagen Digital Carrera de Periodismo Campus Andrés Bello de Universidad de La Serena</t>
        </is>
      </c>
    </row>
    <row r="137">
      <c r="A137" s="0" t="inlineStr">
        <is>
          <t xml:space="preserve">599-37-LP26</t>
        </is>
      </c>
      <c r="B137" s="4" t="inlineStr">
        <is>
          <t xml:space="preserve">ADQUISICIÓN DE SOFTWARE COMPRAS Y PAGOS 36 MESES</t>
        </is>
      </c>
      <c r="C137" s="0">
        <v>1</v>
      </c>
      <c r="D137" s="4" t="inlineStr">
        <is>
          <t xml:space="preserve">Software de gestión de adquisiciones</t>
        </is>
      </c>
      <c r="E137" s="4" t="inlineStr">
        <is>
          <t xml:space="preserve">Tecnologías de la información, telecomunicaciones y radiodifusión / Software / Software de gestión</t>
        </is>
      </c>
      <c r="F137" s="0">
        <v>1.0</v>
      </c>
      <c r="G137" s="0" t="inlineStr">
        <is>
          <t xml:space="preserve">Unidad</t>
        </is>
      </c>
      <c r="H137" s="4" t="inlineStr">
        <is>
          <t xml:space="preserve">ADQUISICIÓN DE UN SOFTWARE DE COMPRAS Y PAGOS A PROVEEDORES POR 36 MESES</t>
        </is>
      </c>
    </row>
    <row r="138">
      <c r="A138" s="0" t="inlineStr">
        <is>
          <t xml:space="preserve">568658-71-LE26</t>
        </is>
      </c>
      <c r="B138" s="4" t="inlineStr">
        <is>
          <t xml:space="preserve">SOFTWARE DE GESTIÓN PARA FARMACIAS Y OPTICAS</t>
        </is>
      </c>
      <c r="C138" s="0">
        <v>1</v>
      </c>
      <c r="D138" s="4" t="inlineStr">
        <is>
          <t xml:space="preserve">Software de administración de metadatos</t>
        </is>
      </c>
      <c r="E138" s="4" t="inlineStr">
        <is>
          <t xml:space="preserve">Tecnologías de la información, telecomunicaciones y radiodifusión / Software / Software de consultas y gestión de datos</t>
        </is>
      </c>
      <c r="F138" s="0">
        <v>1.0</v>
      </c>
      <c r="G138" s="0" t="inlineStr">
        <is>
          <t xml:space="preserve">Unidad</t>
        </is>
      </c>
      <c r="H138" s="4"/>
    </row>
    <row r="139">
      <c r="A139" s="0" t="inlineStr">
        <is>
          <t xml:space="preserve">728-13-LE26</t>
        </is>
      </c>
      <c r="B139" s="4" t="inlineStr">
        <is>
          <t xml:space="preserve">Servicio de automatización de Banco de Calibracion</t>
        </is>
      </c>
      <c r="C139" s="0">
        <v>1</v>
      </c>
      <c r="D139" s="4" t="inlineStr">
        <is>
          <t xml:space="preserve">Artículo de calibración</t>
        </is>
      </c>
      <c r="E139" s="4" t="inlineStr">
        <is>
          <t xml:space="preserve">Maquinaria para fabricación y transformación industrial / Maquinaria y suministros de procesos industriales / Dispositivos de guía, posicionamiento y sujeción</t>
        </is>
      </c>
      <c r="F139" s="0">
        <v>1.0</v>
      </c>
      <c r="G139" s="0" t="inlineStr">
        <is>
          <t xml:space="preserve">Unidad</t>
        </is>
      </c>
      <c r="H139" s="4" t="inlineStr">
        <is>
          <t xml:space="preserve">Servicio de Automatización de Banco de Calibraciones (ver adjunto)</t>
        </is>
      </c>
    </row>
    <row r="140">
      <c r="A140" s="0" t="inlineStr">
        <is>
          <t xml:space="preserve">2107-153-LP26</t>
        </is>
      </c>
      <c r="B140" s="4" t="inlineStr">
        <is>
          <t xml:space="preserve">ARRIENDO DE INFRAESTRUCTURA FÍSICA ENTERPRISE PARA PLATAFORMA TECNOLÓGICA INSTITUCIONAL</t>
        </is>
      </c>
      <c r="C140" s="0">
        <v>1</v>
      </c>
      <c r="D140" s="4" t="inlineStr">
        <is>
          <t xml:space="preserve">Componentes de dispositivo de entrada o unidad de almacenamiento</t>
        </is>
      </c>
      <c r="E140" s="4" t="inlineStr">
        <is>
          <t xml:space="preserve">Tecnologías de la información, telecomunicaciones y radiodifusión / Componentes para tecnología de la información, difusión o telecomunicaciones / Subconjuntos para dispositivos electrónicos</t>
        </is>
      </c>
      <c r="F140" s="0">
        <v>1.0</v>
      </c>
      <c r="G140" s="0" t="inlineStr">
        <is>
          <t xml:space="preserve">Unidad</t>
        </is>
      </c>
      <c r="H140" s="4" t="inlineStr">
        <is>
          <t xml:space="preserve">ARRIENDO DE INFRAESTRUCTURA FÍSICA ENTERPRISE PARA PLATAFORMA TECNOLÓGICA INSTITUCIONAL (según bases)</t>
        </is>
      </c>
    </row>
    <row r="141">
      <c r="A141" s="0" t="inlineStr">
        <is>
          <t xml:space="preserve">2760-118-LR26</t>
        </is>
      </c>
      <c r="B141" s="4" t="inlineStr">
        <is>
          <t xml:space="preserve">SERVICIOS DE TELECOMUNICACIONES Y OTROS SERVICIOS INFORMÁTICOS PARA LA MUNICIPALIDAD DE CORONEL</t>
        </is>
      </c>
      <c r="C141" s="0">
        <v>1</v>
      </c>
      <c r="D141" s="4" t="inlineStr">
        <is>
          <t xml:space="preserve">Soporte y mantenimiento de red de área local (LAN)</t>
        </is>
      </c>
      <c r="E141" s="4" t="inlineStr">
        <is>
          <t xml:space="preserve">Servicios basados en ingeniería, ciencias sociales y tecnología de la información / Servicios informáticos / Administración de sistemas</t>
        </is>
      </c>
      <c r="F141" s="0">
        <v>1.0</v>
      </c>
      <c r="G141" s="0" t="inlineStr">
        <is>
          <t xml:space="preserve">Global</t>
        </is>
      </c>
      <c r="H141" s="4" t="inlineStr">
        <is>
          <t xml:space="preserve">Servicios de Telecomunicaciones y Otros Servicios Informáticos para la Municipalidad de Coronel</t>
        </is>
      </c>
    </row>
    <row r="142">
      <c r="A142" s="0" t="inlineStr">
        <is>
          <t xml:space="preserve">548874-78-LR26</t>
        </is>
      </c>
      <c r="B142" s="4" t="inlineStr">
        <is>
          <t xml:space="preserve">SERVICIO DE LICENCIAS CLOUD SUCCESSFACTORS</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Global</t>
        </is>
      </c>
      <c r="H142" s="4" t="inlineStr">
        <is>
          <t xml:space="preserve">SERVICIO DE LICENCIAS CLOUD SUCCESSFACTORS
EN MODALIDAD SAAS.</t>
        </is>
      </c>
    </row>
    <row r="143">
      <c r="A143" s="0" t="inlineStr">
        <is>
          <t xml:space="preserve">1305532-14-LP26</t>
        </is>
      </c>
      <c r="B143" s="4" t="inlineStr">
        <is>
          <t xml:space="preserve">VALORIZACION ACTIVO FIJO Y SOFTWARE INVENTARIO</t>
        </is>
      </c>
      <c r="C143" s="0">
        <v>1</v>
      </c>
      <c r="D143" s="4" t="inlineStr">
        <is>
          <t xml:space="preserve">Contabilidad de inventario</t>
        </is>
      </c>
      <c r="E143" s="4" t="inlineStr">
        <is>
          <t xml:space="preserve">Servicios financieros, pensiones y seguros / Contabilidad y auditorías / Servicios contables</t>
        </is>
      </c>
      <c r="F143" s="0">
        <v>1.0</v>
      </c>
      <c r="G143" s="0" t="inlineStr">
        <is>
          <t xml:space="preserve">Unidad</t>
        </is>
      </c>
      <c r="H143" s="4" t="inlineStr">
        <is>
          <t xml:space="preserve">SERVICIO DE LEVANTAMIENTO, VALORIZACIÓN DE ACTIVO FIJO Y PLATAFORMA DE GESTION DE INVENTARIO PARA EL SLEP ELQUI</t>
        </is>
      </c>
    </row>
    <row r="144">
      <c r="A144" s="0" t="inlineStr">
        <is>
          <t xml:space="preserve">1305532-16-LP26</t>
        </is>
      </c>
      <c r="B144" s="4" t="inlineStr">
        <is>
          <t xml:space="preserve">LICENCIAMIENTO SOFTWARE CONCILIACIONES BANCARIAS</t>
        </is>
      </c>
      <c r="C144" s="0">
        <v>1</v>
      </c>
      <c r="D144" s="4" t="inlineStr">
        <is>
          <t xml:space="preserve">Programas de contabilidad</t>
        </is>
      </c>
      <c r="E144" s="4" t="inlineStr">
        <is>
          <t xml:space="preserve">Tecnologías de la información, telecomunicaciones y radiodifusión / Software / Software de planificación de recursos empresariales (ERP) y contabilidad financiera</t>
        </is>
      </c>
      <c r="F144" s="0">
        <v>1.0</v>
      </c>
      <c r="G144" s="0" t="inlineStr">
        <is>
          <t xml:space="preserve">Unidad</t>
        </is>
      </c>
      <c r="H144" s="4" t="inlineStr">
        <is>
          <t xml:space="preserve">LICENCIAMIENTO SOFTWARE O SISTEMA DE CONCILIACIONES BANCARIAS PARA EL SERVICIO LOCAL DE EDUCACIÓN PÚBLICA ELQUI</t>
        </is>
      </c>
    </row>
    <row r="145">
      <c r="A145" s="0" t="inlineStr">
        <is>
          <t xml:space="preserve">2403-72-LP26</t>
        </is>
      </c>
      <c r="B145" s="4" t="inlineStr">
        <is>
          <t xml:space="preserve">Servicios Cloud</t>
        </is>
      </c>
      <c r="C145" s="0">
        <v>1</v>
      </c>
      <c r="D145" s="4" t="inlineStr">
        <is>
          <t xml:space="preserve">Centro de servicios de datos</t>
        </is>
      </c>
      <c r="E145" s="4" t="inlineStr">
        <is>
          <t xml:space="preserve">Servicios basados en ingeniería, ciencias sociales y tecnología de la información / Servicios informáticos / Servicios de datos</t>
        </is>
      </c>
      <c r="F145" s="0">
        <v>1.0</v>
      </c>
      <c r="G145" s="0" t="inlineStr">
        <is>
          <t xml:space="preserve">Global</t>
        </is>
      </c>
      <c r="H145" s="4" t="inlineStr">
        <is>
          <t xml:space="preserve">Servicios cloud, según bases de licitación</t>
        </is>
      </c>
    </row>
    <row r="146">
      <c r="A146" s="0" t="inlineStr">
        <is>
          <t xml:space="preserve">608-197-LR26</t>
        </is>
      </c>
      <c r="B146" s="4" t="inlineStr">
        <is>
          <t xml:space="preserve">SERVICIO DE OPERACIÓN MANTENIMIENTO Y ACTUALIZACIÓN DE PLATAFORMAS TECNOLÓGICAS DE LA SALA DE CONTROL CENTRALIZADO DEL HOSPITAL DR. GUSTAVO FRICKE</t>
        </is>
      </c>
      <c r="C146" s="0">
        <v>1</v>
      </c>
      <c r="D146" s="4" t="inlineStr">
        <is>
          <t xml:space="preserve">Integración de sistemas</t>
        </is>
      </c>
      <c r="E146" s="4" t="inlineStr">
        <is>
          <t xml:space="preserve">Servicios basados en ingeniería, ciencias sociales y tecnología de la información / Servicios informáticos / Ingeniería en computación e informática</t>
        </is>
      </c>
      <c r="F146" s="0">
        <v>1.0</v>
      </c>
      <c r="G146" s="0" t="inlineStr">
        <is>
          <t xml:space="preserve">Unidad</t>
        </is>
      </c>
      <c r="H146" s="4" t="inlineStr">
        <is>
          <t xml:space="preserve">SERVICIO
DE OPERACIÓN, MANTENIMIENTO Y ACTUALIZACIÓN
DE PLATAFORMAS TECNOLÓGICAS DE LA SALA DE
CONTROL CENTRALIZADO DEL HOSPITAL DR.
GUSTAVO FRICKE (favor desglosar valores en anexo económico N°6)</t>
        </is>
      </c>
    </row>
    <row r="147">
      <c r="A147" s="0" t="inlineStr">
        <is>
          <t xml:space="preserve">1643-91-LP26</t>
        </is>
      </c>
      <c r="B147" s="4" t="inlineStr">
        <is>
          <t xml:space="preserve">SISTEMA INFORMÁTICO ERP</t>
        </is>
      </c>
      <c r="C147" s="0">
        <v>1</v>
      </c>
      <c r="D147" s="4" t="inlineStr">
        <is>
          <t xml:space="preserve">Software de planificación de recursos empresariales (ERP)</t>
        </is>
      </c>
      <c r="E147" s="4" t="inlineStr">
        <is>
          <t xml:space="preserve">Tecnologías de la información, telecomunicaciones y radiodifusión / Software / Software de planificación de recursos empresariales (ERP) y contabilidad financiera</t>
        </is>
      </c>
      <c r="F147" s="0">
        <v>1.0</v>
      </c>
      <c r="G147" s="0" t="inlineStr">
        <is>
          <t xml:space="preserve">Unidad</t>
        </is>
      </c>
      <c r="H147" s="4" t="inlineStr">
        <is>
          <t xml:space="preserve">CONTRATACIÓN DE SISTEMA INFORMÁTICO (ERP)</t>
        </is>
      </c>
    </row>
    <row r="148">
      <c r="A148" s="0" t="inlineStr">
        <is>
          <t xml:space="preserve">2852-59-LP26</t>
        </is>
      </c>
      <c r="B148" s="4" t="inlineStr">
        <is>
          <t xml:space="preserve">ADQUISICION DE LICENCIAS DE SOFTWARE</t>
        </is>
      </c>
      <c r="C148" s="0">
        <v>1</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L1:Software CAD Profesional</t>
        </is>
      </c>
    </row>
    <row r="149">
      <c r="A149" s="0" t="inlineStr">
        <is>
          <t xml:space="preserve">2852-59-LP26</t>
        </is>
      </c>
      <c r="B149" s="4" t="inlineStr">
        <is>
          <t xml:space="preserve">ADQUISICION DE LICENCIAS DE SOFTWARE</t>
        </is>
      </c>
      <c r="C149" s="0">
        <v>2</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L2:Software de Producción Digital</t>
        </is>
      </c>
    </row>
    <row r="150">
      <c r="A150" s="0" t="inlineStr">
        <is>
          <t xml:space="preserve">2852-59-LP26</t>
        </is>
      </c>
      <c r="B150" s="4" t="inlineStr">
        <is>
          <t xml:space="preserve">ADQUISICION DE LICENCIAS DE SOFTWARE</t>
        </is>
      </c>
      <c r="C150" s="0">
        <v>3</v>
      </c>
      <c r="D150" s="4" t="inlineStr">
        <is>
          <t xml:space="preserve">Software de gestión de licencias</t>
        </is>
      </c>
      <c r="E150" s="4" t="inlineStr">
        <is>
          <t xml:space="preserve">Tecnologías de la información, telecomunicaciones y radiodifusión / Software / Software de gestión</t>
        </is>
      </c>
      <c r="F150" s="0">
        <v>1.0</v>
      </c>
      <c r="G150" s="0" t="inlineStr">
        <is>
          <t xml:space="preserve">Unidad</t>
        </is>
      </c>
      <c r="H150" s="4" t="inlineStr">
        <is>
          <t xml:space="preserve">L3:Software de BIM Multidisciplinario</t>
        </is>
      </c>
    </row>
    <row r="151">
      <c r="A151" s="0" t="inlineStr">
        <is>
          <t xml:space="preserve">2852-59-LP26</t>
        </is>
      </c>
      <c r="B151" s="4" t="inlineStr">
        <is>
          <t xml:space="preserve">ADQUISICION DE LICENCIAS DE SOFTWARE</t>
        </is>
      </c>
      <c r="C151" s="0">
        <v>4</v>
      </c>
      <c r="D151" s="4" t="inlineStr">
        <is>
          <t xml:space="preserve">Software de gestión de licencias</t>
        </is>
      </c>
      <c r="E151" s="4" t="inlineStr">
        <is>
          <t xml:space="preserve">Tecnologías de la información, telecomunicaciones y radiodifusión / Software / Software de gestión</t>
        </is>
      </c>
      <c r="F151" s="0">
        <v>1.0</v>
      </c>
      <c r="G151" s="0" t="inlineStr">
        <is>
          <t xml:space="preserve">Unidad</t>
        </is>
      </c>
      <c r="H151" s="4" t="inlineStr">
        <is>
          <t xml:space="preserve">L4:Software de Modelado 3D</t>
        </is>
      </c>
    </row>
    <row r="152">
      <c r="A152" s="0" t="inlineStr">
        <is>
          <t xml:space="preserve">2852-59-LP26</t>
        </is>
      </c>
      <c r="B152" s="4" t="inlineStr">
        <is>
          <t xml:space="preserve">ADQUISICION DE LICENCIAS DE SOFTWARE</t>
        </is>
      </c>
      <c r="C152" s="0">
        <v>5</v>
      </c>
      <c r="D152" s="4" t="inlineStr">
        <is>
          <t xml:space="preserve">Software de gestión de licencias</t>
        </is>
      </c>
      <c r="E152" s="4" t="inlineStr">
        <is>
          <t xml:space="preserve">Tecnologías de la información, telecomunicaciones y radiodifusión / Software / Software de gestión</t>
        </is>
      </c>
      <c r="F152" s="0">
        <v>1.0</v>
      </c>
      <c r="G152" s="0" t="inlineStr">
        <is>
          <t xml:space="preserve">Unidad</t>
        </is>
      </c>
      <c r="H152" s="4" t="inlineStr">
        <is>
          <t xml:space="preserve">L5:Software para Video Institucional</t>
        </is>
      </c>
    </row>
    <row r="153">
      <c r="A153" s="0" t="inlineStr">
        <is>
          <t xml:space="preserve">2852-59-LP26</t>
        </is>
      </c>
      <c r="B153" s="4" t="inlineStr">
        <is>
          <t xml:space="preserve">ADQUISICION DE LICENCIAS DE SOFTWARE</t>
        </is>
      </c>
      <c r="C153" s="0">
        <v>6</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L6:Software de BIM Arquitectura</t>
        </is>
      </c>
    </row>
    <row r="154">
      <c r="A154" s="0" t="inlineStr">
        <is>
          <t xml:space="preserve">2852-59-LP26</t>
        </is>
      </c>
      <c r="B154" s="4" t="inlineStr">
        <is>
          <t xml:space="preserve">ADQUISICION DE LICENCIAS DE SOFTWARE</t>
        </is>
      </c>
      <c r="C154" s="0">
        <v>7</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t>
        </is>
      </c>
      <c r="H154" s="4" t="inlineStr">
        <is>
          <t xml:space="preserve">L7:Software de Gestión de Redes Sociales</t>
        </is>
      </c>
    </row>
    <row r="155">
      <c r="A155" s="0" t="inlineStr">
        <is>
          <t xml:space="preserve">2852-59-LP26</t>
        </is>
      </c>
      <c r="B155" s="4" t="inlineStr">
        <is>
          <t xml:space="preserve">ADQUISICION DE LICENCIAS DE SOFTWARE</t>
        </is>
      </c>
      <c r="C155" s="0">
        <v>8</v>
      </c>
      <c r="D155" s="4" t="inlineStr">
        <is>
          <t xml:space="preserve">Software de gestión de adquisiciones</t>
        </is>
      </c>
      <c r="E155" s="4" t="inlineStr">
        <is>
          <t xml:space="preserve">Tecnologías de la información, telecomunicaciones y radiodifusión / Software / Software de gestión</t>
        </is>
      </c>
      <c r="F155" s="0">
        <v>1.0</v>
      </c>
      <c r="G155" s="0" t="inlineStr">
        <is>
          <t xml:space="preserve">Unidad</t>
        </is>
      </c>
      <c r="H155" s="4" t="inlineStr">
        <is>
          <t xml:space="preserve">L8:Software de Inteligencia Artificial</t>
        </is>
      </c>
    </row>
    <row r="156">
      <c r="A156" s="0" t="inlineStr">
        <is>
          <t xml:space="preserve">2852-59-LP26</t>
        </is>
      </c>
      <c r="B156" s="4" t="inlineStr">
        <is>
          <t xml:space="preserve">ADQUISICION DE LICENCIAS DE SOFTWARE</t>
        </is>
      </c>
      <c r="C156" s="0">
        <v>9</v>
      </c>
      <c r="D156" s="4" t="inlineStr">
        <is>
          <t xml:space="preserve">Software de gestión de recursos humanos</t>
        </is>
      </c>
      <c r="E156" s="4" t="inlineStr">
        <is>
          <t xml:space="preserve">Tecnologías de la información, telecomunicaciones y radiodifusión / Software / Software de gestión</t>
        </is>
      </c>
      <c r="F156" s="0">
        <v>1.0</v>
      </c>
      <c r="G156" s="0" t="inlineStr">
        <is>
          <t xml:space="preserve">Unidad</t>
        </is>
      </c>
      <c r="H156" s="4" t="inlineStr">
        <is>
          <t xml:space="preserve">L9:Software Antivirus</t>
        </is>
      </c>
    </row>
    <row r="157">
      <c r="A157" s="0" t="inlineStr">
        <is>
          <t xml:space="preserve">2852-59-LP26</t>
        </is>
      </c>
      <c r="B157" s="4" t="inlineStr">
        <is>
          <t xml:space="preserve">ADQUISICION DE LICENCIAS DE SOFTWARE</t>
        </is>
      </c>
      <c r="C157" s="0">
        <v>10</v>
      </c>
      <c r="D157" s="4" t="inlineStr">
        <is>
          <t xml:space="preserve">Software de contabilidad temporal</t>
        </is>
      </c>
      <c r="E157" s="4" t="inlineStr">
        <is>
          <t xml:space="preserve">Tecnologías de la información, telecomunicaciones y radiodifusión / Software / Software de planificación de recursos empresariales (ERP) y contabilidad financiera</t>
        </is>
      </c>
      <c r="F157" s="0">
        <v>1.0</v>
      </c>
      <c r="G157" s="0" t="inlineStr">
        <is>
          <t xml:space="preserve">Unidad</t>
        </is>
      </c>
      <c r="H157" s="4" t="inlineStr">
        <is>
          <t xml:space="preserve">L10:Software de gestión de Videocámaras</t>
        </is>
      </c>
    </row>
    <row r="158">
      <c r="A158" s="0" t="inlineStr">
        <is>
          <t xml:space="preserve">2852-59-LP26</t>
        </is>
      </c>
      <c r="B158" s="4" t="inlineStr">
        <is>
          <t xml:space="preserve">ADQUISICION DE LICENCIAS DE SOFTWARE</t>
        </is>
      </c>
      <c r="C158" s="0">
        <v>11</v>
      </c>
      <c r="D158" s="4" t="inlineStr">
        <is>
          <t xml:space="preserve">Software de gestión de relaciones con el cliente (CRM)</t>
        </is>
      </c>
      <c r="E158" s="4" t="inlineStr">
        <is>
          <t xml:space="preserve">Tecnologías de la información, telecomunicaciones y radiodifusión / Software / Software de consultas y gestión de datos</t>
        </is>
      </c>
      <c r="F158" s="0">
        <v>1.0</v>
      </c>
      <c r="G158" s="0" t="inlineStr">
        <is>
          <t xml:space="preserve">Unidad</t>
        </is>
      </c>
      <c r="H158" s="4" t="inlineStr">
        <is>
          <t xml:space="preserve">L11:Software de Fotogrametría</t>
        </is>
      </c>
    </row>
    <row r="159">
      <c r="A159" s="0" t="inlineStr">
        <is>
          <t xml:space="preserve">4459-23-LP26</t>
        </is>
      </c>
      <c r="B159" s="4" t="inlineStr">
        <is>
          <t xml:space="preserve">Plataforma de Sistemas Informáticos de Gestión Municipal para la Ilustre Municipalidad de Pichilemu</t>
        </is>
      </c>
      <c r="C159" s="0">
        <v>1</v>
      </c>
      <c r="D159" s="4" t="inlineStr">
        <is>
          <t xml:space="preserve">Software de mejora de sistemas operativos de redes</t>
        </is>
      </c>
      <c r="E159" s="4" t="inlineStr">
        <is>
          <t xml:space="preserve">Tecnologías de la información, telecomunicaciones y radiodifusión / Software / Software de administración de redes</t>
        </is>
      </c>
      <c r="F159" s="0">
        <v>1.0</v>
      </c>
      <c r="G159" s="0" t="inlineStr">
        <is>
          <t xml:space="preserve">Unidad</t>
        </is>
      </c>
      <c r="H159"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160">
      <c r="A160" s="0" t="inlineStr">
        <is>
          <t xml:space="preserve">948354-139-LR26</t>
        </is>
      </c>
      <c r="B160" s="4" t="inlineStr">
        <is>
          <t xml:space="preserve">CONTRATACIÓN DE SERVICIO DE SOFTWARE DE RECURSOS HUMANOS PARA EL HOSPITAL DIPRECA</t>
        </is>
      </c>
      <c r="C160" s="0">
        <v>1</v>
      </c>
      <c r="D160" s="4" t="inlineStr">
        <is>
          <t xml:space="preserve">Software de gestión de recursos humanos</t>
        </is>
      </c>
      <c r="E160" s="4" t="inlineStr">
        <is>
          <t xml:space="preserve">Tecnologías de la información, telecomunicaciones y radiodifusión / Software / Software de gestión</t>
        </is>
      </c>
      <c r="F160" s="0">
        <v>1.0</v>
      </c>
      <c r="G160" s="0" t="inlineStr">
        <is>
          <t xml:space="preserve">Unidad</t>
        </is>
      </c>
      <c r="H160" s="4" t="inlineStr">
        <is>
          <t xml:space="preserve">CONTRATACIÓN DE SERVICIO DE SOFTWARE DE RECURSOS HUMANOS</t>
        </is>
      </c>
    </row>
    <row r="161">
      <c r="A161" s="0" t="inlineStr">
        <is>
          <t xml:space="preserve">2563-43-LP26</t>
        </is>
      </c>
      <c r="B161" s="4" t="inlineStr">
        <is>
          <t xml:space="preserve">Adquisición de cámaras IA y radares de seguridad</t>
        </is>
      </c>
      <c r="C161" s="0">
        <v>1</v>
      </c>
      <c r="D161" s="4" t="inlineStr">
        <is>
          <t xml:space="preserve">Cámaras de seguridad</t>
        </is>
      </c>
      <c r="E161" s="4" t="inlineStr">
        <is>
          <t xml:space="preserve">Equipos y suministros de defensa, orden público, protección y seguridad / Seguridad, vigilancia y detección / Equipo de vigilancia y detección</t>
        </is>
      </c>
      <c r="F161" s="0">
        <v>2.0</v>
      </c>
      <c r="G161" s="0" t="inlineStr">
        <is>
          <t xml:space="preserve">Unidad</t>
        </is>
      </c>
      <c r="H161"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162">
      <c r="A162" s="0" t="inlineStr">
        <is>
          <t xml:space="preserve">2563-43-LP26</t>
        </is>
      </c>
      <c r="B162" s="4" t="inlineStr">
        <is>
          <t xml:space="preserve">Adquisición de cámaras IA y radares de seguridad</t>
        </is>
      </c>
      <c r="C162" s="0">
        <v>2</v>
      </c>
      <c r="D162" s="4" t="inlineStr">
        <is>
          <t xml:space="preserve">Cámaras de seguridad</t>
        </is>
      </c>
      <c r="E162" s="4" t="inlineStr">
        <is>
          <t xml:space="preserve">Equipos y suministros de defensa, orden público, protección y seguridad / Seguridad, vigilancia y detección / Equipo de vigilancia y detección</t>
        </is>
      </c>
      <c r="F162" s="0">
        <v>2.0</v>
      </c>
      <c r="G162" s="0" t="inlineStr">
        <is>
          <t xml:space="preserve">Unidad</t>
        </is>
      </c>
      <c r="H162"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163">
      <c r="A163" s="0" t="inlineStr">
        <is>
          <t xml:space="preserve">2563-43-LP26</t>
        </is>
      </c>
      <c r="B163" s="4" t="inlineStr">
        <is>
          <t xml:space="preserve">Adquisición de cámaras IA y radares de seguridad</t>
        </is>
      </c>
      <c r="C163" s="0">
        <v>3</v>
      </c>
      <c r="D163" s="4" t="inlineStr">
        <is>
          <t xml:space="preserve">Cámaras de seguridad</t>
        </is>
      </c>
      <c r="E163" s="4" t="inlineStr">
        <is>
          <t xml:space="preserve">Equipos y suministros de defensa, orden público, protección y seguridad / Seguridad, vigilancia y detección / Equipo de vigilancia y detección</t>
        </is>
      </c>
      <c r="F163" s="0">
        <v>1.0</v>
      </c>
      <c r="G163" s="0" t="inlineStr">
        <is>
          <t xml:space="preserve">Unidad</t>
        </is>
      </c>
      <c r="H163" s="4" t="inlineStr">
        <is>
          <t xml:space="preserve">ítem 2: Servidor de gestión de video.</t>
        </is>
      </c>
    </row>
    <row r="164">
      <c r="A164" s="0" t="inlineStr">
        <is>
          <t xml:space="preserve">2563-43-LP26</t>
        </is>
      </c>
      <c r="B164" s="4" t="inlineStr">
        <is>
          <t xml:space="preserve">Adquisición de cámaras IA y radares de seguridad</t>
        </is>
      </c>
      <c r="C164" s="0">
        <v>4</v>
      </c>
      <c r="D164" s="4" t="inlineStr">
        <is>
          <t xml:space="preserve">Cámaras de seguridad</t>
        </is>
      </c>
      <c r="E164" s="4" t="inlineStr">
        <is>
          <t xml:space="preserve">Equipos y suministros de defensa, orden público, protección y seguridad / Seguridad, vigilancia y detección / Equipo de vigilancia y detección</t>
        </is>
      </c>
      <c r="F164" s="0">
        <v>2.0</v>
      </c>
      <c r="G164" s="0" t="inlineStr">
        <is>
          <t xml:space="preserve">Unidad</t>
        </is>
      </c>
      <c r="H164"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165">
      <c r="A165" s="0" t="inlineStr">
        <is>
          <t xml:space="preserve">2563-43-LP26</t>
        </is>
      </c>
      <c r="B165" s="4" t="inlineStr">
        <is>
          <t xml:space="preserve">Adquisición de cámaras IA y radares de seguridad</t>
        </is>
      </c>
      <c r="C165" s="0">
        <v>5</v>
      </c>
      <c r="D165" s="4" t="inlineStr">
        <is>
          <t xml:space="preserve">Cámaras de seguridad</t>
        </is>
      </c>
      <c r="E165" s="4" t="inlineStr">
        <is>
          <t xml:space="preserve">Equipos y suministros de defensa, orden público, protección y seguridad / Seguridad, vigilancia y detección / Equipo de vigilancia y detección</t>
        </is>
      </c>
      <c r="F165" s="0">
        <v>2.0</v>
      </c>
      <c r="G165" s="0" t="inlineStr">
        <is>
          <t xml:space="preserve">Unidad</t>
        </is>
      </c>
      <c r="H165"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166">
      <c r="A166" s="0" t="inlineStr">
        <is>
          <t xml:space="preserve">2563-43-LP26</t>
        </is>
      </c>
      <c r="B166" s="4" t="inlineStr">
        <is>
          <t xml:space="preserve">Adquisición de cámaras IA y radares de seguridad</t>
        </is>
      </c>
      <c r="C166" s="0">
        <v>6</v>
      </c>
      <c r="D166" s="4" t="inlineStr">
        <is>
          <t xml:space="preserve">Cámaras de seguridad</t>
        </is>
      </c>
      <c r="E166" s="4" t="inlineStr">
        <is>
          <t xml:space="preserve">Equipos y suministros de defensa, orden público, protección y seguridad / Seguridad, vigilancia y detección / Equipo de vigilancia y detección</t>
        </is>
      </c>
      <c r="F166" s="0">
        <v>6.0</v>
      </c>
      <c r="G166" s="0" t="inlineStr">
        <is>
          <t xml:space="preserve">Unidad</t>
        </is>
      </c>
      <c r="H166"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167">
      <c r="A167" s="0" t="inlineStr">
        <is>
          <t xml:space="preserve">2563-43-LP26</t>
        </is>
      </c>
      <c r="B167" s="4" t="inlineStr">
        <is>
          <t xml:space="preserve">Adquisición de cámaras IA y radares de seguridad</t>
        </is>
      </c>
      <c r="C167" s="0">
        <v>7</v>
      </c>
      <c r="D167" s="4" t="inlineStr">
        <is>
          <t xml:space="preserve">Cámaras de seguridad</t>
        </is>
      </c>
      <c r="E167" s="4" t="inlineStr">
        <is>
          <t xml:space="preserve">Equipos y suministros de defensa, orden público, protección y seguridad / Seguridad, vigilancia y detección / Equipo de vigilancia y detección</t>
        </is>
      </c>
      <c r="F167" s="0">
        <v>6.0</v>
      </c>
      <c r="G167" s="0" t="inlineStr">
        <is>
          <t xml:space="preserve">Unidad</t>
        </is>
      </c>
      <c r="H167"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68">
      <c r="A168" s="0" t="inlineStr">
        <is>
          <t xml:space="preserve">2563-43-LP26</t>
        </is>
      </c>
      <c r="B168" s="4" t="inlineStr">
        <is>
          <t xml:space="preserve">Adquisición de cámaras IA y radares de seguridad</t>
        </is>
      </c>
      <c r="C168" s="0">
        <v>8</v>
      </c>
      <c r="D168" s="4" t="inlineStr">
        <is>
          <t xml:space="preserve">Cámaras de seguridad</t>
        </is>
      </c>
      <c r="E168" s="4" t="inlineStr">
        <is>
          <t xml:space="preserve">Equipos y suministros de defensa, orden público, protección y seguridad / Seguridad, vigilancia y detección / Equipo de vigilancia y detección</t>
        </is>
      </c>
      <c r="F168" s="0">
        <v>1.0</v>
      </c>
      <c r="G168" s="0" t="inlineStr">
        <is>
          <t xml:space="preserve">Unidad</t>
        </is>
      </c>
      <c r="H168"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69">
      <c r="A169" s="0" t="inlineStr">
        <is>
          <t xml:space="preserve">2563-43-LP26</t>
        </is>
      </c>
      <c r="B169" s="4" t="inlineStr">
        <is>
          <t xml:space="preserve">Adquisición de cámaras IA y radares de seguridad</t>
        </is>
      </c>
      <c r="C169" s="0">
        <v>9</v>
      </c>
      <c r="D169" s="4" t="inlineStr">
        <is>
          <t xml:space="preserve">Cámaras de seguridad</t>
        </is>
      </c>
      <c r="E169" s="4" t="inlineStr">
        <is>
          <t xml:space="preserve">Equipos y suministros de defensa, orden público, protección y seguridad / Seguridad, vigilancia y detección / Equipo de vigilancia y detección</t>
        </is>
      </c>
      <c r="F169" s="0">
        <v>8.0</v>
      </c>
      <c r="G169" s="0" t="inlineStr">
        <is>
          <t xml:space="preserve">Unidad</t>
        </is>
      </c>
      <c r="H169"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70">
      <c r="A170" s="0" t="inlineStr">
        <is>
          <t xml:space="preserve">2563-43-LP26</t>
        </is>
      </c>
      <c r="B170" s="4" t="inlineStr">
        <is>
          <t xml:space="preserve">Adquisición de cámaras IA y radares de seguridad</t>
        </is>
      </c>
      <c r="C170" s="0">
        <v>10</v>
      </c>
      <c r="D170" s="4" t="inlineStr">
        <is>
          <t xml:space="preserve">Cámaras de seguridad</t>
        </is>
      </c>
      <c r="E170" s="4" t="inlineStr">
        <is>
          <t xml:space="preserve">Equipos y suministros de defensa, orden público, protección y seguridad / Seguridad, vigilancia y detección / Equipo de vigilancia y detección</t>
        </is>
      </c>
      <c r="F170" s="0">
        <v>1.0</v>
      </c>
      <c r="G170" s="0" t="inlineStr">
        <is>
          <t xml:space="preserve">Unidad</t>
        </is>
      </c>
      <c r="H170"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71">
      <c r="A171" s="0" t="inlineStr">
        <is>
          <t xml:space="preserve">2563-43-LP26</t>
        </is>
      </c>
      <c r="B171" s="4" t="inlineStr">
        <is>
          <t xml:space="preserve">Adquisición de cámaras IA y radares de seguridad</t>
        </is>
      </c>
      <c r="C171" s="0">
        <v>11</v>
      </c>
      <c r="D171" s="4" t="inlineStr">
        <is>
          <t xml:space="preserve">Cámaras de seguridad</t>
        </is>
      </c>
      <c r="E171" s="4" t="inlineStr">
        <is>
          <t xml:space="preserve">Equipos y suministros de defensa, orden público, protección y seguridad / Seguridad, vigilancia y detección / Equipo de vigilancia y detección</t>
        </is>
      </c>
      <c r="F171" s="0">
        <v>1.0</v>
      </c>
      <c r="G171" s="0" t="inlineStr">
        <is>
          <t xml:space="preserve">Unidad</t>
        </is>
      </c>
      <c r="H171"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72">
      <c r="A172" s="0" t="inlineStr">
        <is>
          <t xml:space="preserve">2563-43-LP26</t>
        </is>
      </c>
      <c r="B172" s="4" t="inlineStr">
        <is>
          <t xml:space="preserve">Adquisición de cámaras IA y radares de seguridad</t>
        </is>
      </c>
      <c r="C172" s="0">
        <v>12</v>
      </c>
      <c r="D172" s="4" t="inlineStr">
        <is>
          <t xml:space="preserve">Cámaras de seguridad</t>
        </is>
      </c>
      <c r="E172" s="4" t="inlineStr">
        <is>
          <t xml:space="preserve">Equipos y suministros de defensa, orden público, protección y seguridad / Seguridad, vigilancia y detección / Equipo de vigilancia y detección</t>
        </is>
      </c>
      <c r="F172" s="0">
        <v>2.0</v>
      </c>
      <c r="G172" s="0" t="inlineStr">
        <is>
          <t xml:space="preserve">Unidad</t>
        </is>
      </c>
      <c r="H172"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73">
      <c r="A173" s="0" t="inlineStr">
        <is>
          <t xml:space="preserve">2563-43-LP26</t>
        </is>
      </c>
      <c r="B173" s="4" t="inlineStr">
        <is>
          <t xml:space="preserve">Adquisición de cámaras IA y radares de seguridad</t>
        </is>
      </c>
      <c r="C173" s="0">
        <v>13</v>
      </c>
      <c r="D173" s="4" t="inlineStr">
        <is>
          <t xml:space="preserve">Cámaras de seguridad</t>
        </is>
      </c>
      <c r="E173" s="4" t="inlineStr">
        <is>
          <t xml:space="preserve">Equipos y suministros de defensa, orden público, protección y seguridad / Seguridad, vigilancia y detección / Equipo de vigilancia y detección</t>
        </is>
      </c>
      <c r="F173" s="0">
        <v>2.0</v>
      </c>
      <c r="G173" s="0" t="inlineStr">
        <is>
          <t xml:space="preserve">Unidad</t>
        </is>
      </c>
      <c r="H173"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74">
      <c r="A174" s="0" t="inlineStr">
        <is>
          <t xml:space="preserve">2563-43-LP26</t>
        </is>
      </c>
      <c r="B174" s="4" t="inlineStr">
        <is>
          <t xml:space="preserve">Adquisición de cámaras IA y radares de seguridad</t>
        </is>
      </c>
      <c r="C174" s="0">
        <v>14</v>
      </c>
      <c r="D174" s="4" t="inlineStr">
        <is>
          <t xml:space="preserve">Cámaras de seguridad</t>
        </is>
      </c>
      <c r="E174" s="4" t="inlineStr">
        <is>
          <t xml:space="preserve">Equipos y suministros de defensa, orden público, protección y seguridad / Seguridad, vigilancia y detección / Equipo de vigilancia y detección</t>
        </is>
      </c>
      <c r="F174" s="0">
        <v>2.0</v>
      </c>
      <c r="G174" s="0" t="inlineStr">
        <is>
          <t xml:space="preserve">Unidad</t>
        </is>
      </c>
      <c r="H174"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75">
      <c r="A175" s="0" t="inlineStr">
        <is>
          <t xml:space="preserve">2563-43-LP26</t>
        </is>
      </c>
      <c r="B175" s="4" t="inlineStr">
        <is>
          <t xml:space="preserve">Adquisición de cámaras IA y radares de seguridad</t>
        </is>
      </c>
      <c r="C175" s="0">
        <v>15</v>
      </c>
      <c r="D175" s="4" t="inlineStr">
        <is>
          <t xml:space="preserve">Cámaras de seguridad</t>
        </is>
      </c>
      <c r="E175" s="4" t="inlineStr">
        <is>
          <t xml:space="preserve">Equipos y suministros de defensa, orden público, protección y seguridad / Seguridad, vigilancia y detección / Equipo de vigilancia y detección</t>
        </is>
      </c>
      <c r="F175" s="0">
        <v>1.0</v>
      </c>
      <c r="G175" s="0" t="inlineStr">
        <is>
          <t xml:space="preserve">Unidad</t>
        </is>
      </c>
      <c r="H175"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76">
      <c r="A176" s="0" t="inlineStr">
        <is>
          <t xml:space="preserve">514862-125-LR26</t>
        </is>
      </c>
      <c r="B176" s="4" t="inlineStr">
        <is>
          <t xml:space="preserve">10032938 PLATAFORMA DE AGENDAMIENTO TELECONSULTAS</t>
        </is>
      </c>
      <c r="C176" s="0">
        <v>1</v>
      </c>
      <c r="D176" s="4" t="inlineStr">
        <is>
          <t xml:space="preserve">Servicios de transformación de datos</t>
        </is>
      </c>
      <c r="E176" s="4" t="inlineStr">
        <is>
          <t xml:space="preserve">Servicios basados en ingeniería, ciencias sociales y tecnología de la información / Servicios informáticos / Servicios de datos</t>
        </is>
      </c>
      <c r="F176" s="0">
        <v>1.0</v>
      </c>
      <c r="G176" s="0" t="inlineStr">
        <is>
          <t xml:space="preserve">Unidad</t>
        </is>
      </c>
      <c r="H176" s="4" t="inlineStr">
        <is>
          <t xml:space="preserve">PLATAFORMA INTEGRAL DE AGENDAMIENTO, TELECONSULTAS Y GESTIÓN DE FILAS PARA LA ATENCIÓN</t>
        </is>
      </c>
    </row>
    <row r="177">
      <c r="A177" s="0" t="inlineStr">
        <is>
          <t xml:space="preserve">1153624-22-LE26</t>
        </is>
      </c>
      <c r="B177" s="4" t="inlineStr">
        <is>
          <t xml:space="preserve">Servicio enlace de datos de internet</t>
        </is>
      </c>
      <c r="C177" s="0">
        <v>1</v>
      </c>
      <c r="D177" s="4" t="inlineStr">
        <is>
          <t xml:space="preserve">Servicios de almacenamiento de datos</t>
        </is>
      </c>
      <c r="E177" s="4" t="inlineStr">
        <is>
          <t xml:space="preserve">Servicios basados en ingeniería, ciencias sociales y tecnología de la información / Servicios informáticos / Servicios de datos</t>
        </is>
      </c>
      <c r="F177" s="0">
        <v>1.0</v>
      </c>
      <c r="G177" s="0" t="inlineStr">
        <is>
          <t xml:space="preserve">Unidad</t>
        </is>
      </c>
      <c r="H177" s="4" t="inlineStr">
        <is>
          <t xml:space="preserve">Servicio enlace de datos de internet</t>
        </is>
      </c>
    </row>
    <row r="178">
      <c r="A178" s="0" t="inlineStr">
        <is>
          <t xml:space="preserve">425-65-LR26</t>
        </is>
      </c>
      <c r="B178" s="4" t="inlineStr">
        <is>
          <t xml:space="preserve">Renovación de licencias y servicio de administración de software Falcon Crowdstrike EDR para el Poder Judicial</t>
        </is>
      </c>
      <c r="C178" s="0">
        <v>1</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Global</t>
        </is>
      </c>
      <c r="H178" s="4" t="inlineStr">
        <is>
          <t xml:space="preserve">Ítem 4 LICENCIAS FALCON CROWDSTRIKE EDR. Valor total neto del ítem según Formulario Económico N°1 (en caso de discrepancia entre el valor del portal y el formulario primará este último).</t>
        </is>
      </c>
    </row>
    <row r="179">
      <c r="A179" s="0" t="inlineStr">
        <is>
          <t xml:space="preserve">425-65-LR26</t>
        </is>
      </c>
      <c r="B179" s="4" t="inlineStr">
        <is>
          <t xml:space="preserve">Renovación de licencias y servicio de administración de software Falcon Crowdstrike EDR para el Poder Judicial</t>
        </is>
      </c>
      <c r="C179" s="0">
        <v>2</v>
      </c>
      <c r="D179" s="4" t="inlineStr">
        <is>
          <t xml:space="preserve">Software de gestión de licencias</t>
        </is>
      </c>
      <c r="E179" s="4" t="inlineStr">
        <is>
          <t xml:space="preserve">Tecnologías de la información, telecomunicaciones y radiodifusión / Software / Software de gestión</t>
        </is>
      </c>
      <c r="F179" s="0">
        <v>1.0</v>
      </c>
      <c r="G179" s="0" t="inlineStr">
        <is>
          <t xml:space="preserve">Global</t>
        </is>
      </c>
      <c r="H179" s="4" t="inlineStr">
        <is>
          <t xml:space="preserve">Ítem 1 LICENCIAS FALCON CROWDSTRIKE EDR. Valor total neto del ítem según Formulario Económico N°1 (en caso de discrepancia entre el valor del portal y el formulario primará este último).</t>
        </is>
      </c>
    </row>
    <row r="180">
      <c r="A180" s="0" t="inlineStr">
        <is>
          <t xml:space="preserve">425-65-LR26</t>
        </is>
      </c>
      <c r="B180" s="4" t="inlineStr">
        <is>
          <t xml:space="preserve">Renovación de licencias y servicio de administración de software Falcon Crowdstrike EDR para el Poder Judicial</t>
        </is>
      </c>
      <c r="C180" s="0">
        <v>3</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Global</t>
        </is>
      </c>
      <c r="H180" s="4" t="inlineStr">
        <is>
          <t xml:space="preserve">Ítem 2 LICENCIAS FALCON CROWDSTRIKE EDR. Valor total neto del ítem según Formulario Económico N°1 (en caso de discrepancia entre el valor del portal y el formulario primará este último).</t>
        </is>
      </c>
    </row>
    <row r="181">
      <c r="A181" s="0" t="inlineStr">
        <is>
          <t xml:space="preserve">425-65-LR26</t>
        </is>
      </c>
      <c r="B181" s="4" t="inlineStr">
        <is>
          <t xml:space="preserve">Renovación de licencias y servicio de administración de software Falcon Crowdstrike EDR para el Poder Judicial</t>
        </is>
      </c>
      <c r="C181" s="0">
        <v>4</v>
      </c>
      <c r="D181" s="4" t="inlineStr">
        <is>
          <t xml:space="preserve">Software de gestión de licencias</t>
        </is>
      </c>
      <c r="E181" s="4" t="inlineStr">
        <is>
          <t xml:space="preserve">Tecnologías de la información, telecomunicaciones y radiodifusión / Software / Software de gestión</t>
        </is>
      </c>
      <c r="F181" s="0">
        <v>1.0</v>
      </c>
      <c r="G181" s="0" t="inlineStr">
        <is>
          <t xml:space="preserve">Global</t>
        </is>
      </c>
      <c r="H181" s="4" t="inlineStr">
        <is>
          <t xml:space="preserve">Ítem 3 LICENCIAS FALCON CROWDSTRIKE EDR. Valor total neto del ítem según Formulario Económico N°1 (en caso de discrepancia entre el valor del portal y el formulario primará este último).</t>
        </is>
      </c>
    </row>
    <row r="182">
      <c r="A182" s="0" t="inlineStr">
        <is>
          <t xml:space="preserve">425-65-LR26</t>
        </is>
      </c>
      <c r="B182" s="4" t="inlineStr">
        <is>
          <t xml:space="preserve">Renovación de licencias y servicio de administración de software Falcon Crowdstrike EDR para el Poder Judicial</t>
        </is>
      </c>
      <c r="C182" s="0">
        <v>5</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Global</t>
        </is>
      </c>
      <c r="H182" s="4" t="inlineStr">
        <is>
          <t xml:space="preserve">Ítem 5 Servicios de Administración
Falcon Crowdstrike. Valor total neto del ítem según Formulario Económico N°1 (en caso de discrepancia entre el valor del portal y el formulario primará este último).</t>
        </is>
      </c>
    </row>
    <row r="183">
      <c r="A183" s="0" t="inlineStr">
        <is>
          <t xml:space="preserve">1191449-19-LP26</t>
        </is>
      </c>
      <c r="B183" s="4" t="inlineStr">
        <is>
          <t xml:space="preserve">SERVICIOS  DE ADMINIS DE INFRAES CLOUD Y MANTEN AN</t>
        </is>
      </c>
      <c r="C183" s="0">
        <v>1</v>
      </c>
      <c r="D183" s="4" t="inlineStr">
        <is>
          <t xml:space="preserve">Profesionales</t>
        </is>
      </c>
      <c r="E183" s="4" t="inlineStr">
        <is>
          <t xml:space="preserve">Servicios profesionales, administrativos y consultorías de gestión empresarial / Servicios de recursos humanos / Contratación de personal</t>
        </is>
      </c>
      <c r="F183" s="0">
        <v>1.0</v>
      </c>
      <c r="G183" s="0" t="inlineStr">
        <is>
          <t xml:space="preserve">Unidad</t>
        </is>
      </c>
      <c r="H183" s="4" t="inlineStr">
        <is>
          <t xml:space="preserve">Servicio profesional de administración de infraestructura Cloud</t>
        </is>
      </c>
    </row>
    <row r="184">
      <c r="A184" s="0" t="inlineStr">
        <is>
          <t xml:space="preserve">1191449-19-LP26</t>
        </is>
      </c>
      <c r="B184" s="4" t="inlineStr">
        <is>
          <t xml:space="preserve">SERVICIOS  DE ADMINIS DE INFRAES CLOUD Y MANTEN AN</t>
        </is>
      </c>
      <c r="C184" s="0">
        <v>2</v>
      </c>
      <c r="D184" s="4" t="inlineStr">
        <is>
          <t xml:space="preserve">Profesionales</t>
        </is>
      </c>
      <c r="E184" s="4" t="inlineStr">
        <is>
          <t xml:space="preserve">Servicios profesionales, administrativos y consultorías de gestión empresarial / Servicios de recursos humanos / Contratación de personal</t>
        </is>
      </c>
      <c r="F184" s="0">
        <v>1.0</v>
      </c>
      <c r="G184" s="0" t="inlineStr">
        <is>
          <t xml:space="preserve">Unidad</t>
        </is>
      </c>
      <c r="H184" s="4" t="inlineStr">
        <is>
          <t xml:space="preserve">Servicio profesional de mantención de sistemas</t>
        </is>
      </c>
    </row>
    <row r="185">
      <c r="A185" s="0" t="inlineStr">
        <is>
          <t xml:space="preserve">1409-15-LE26</t>
        </is>
      </c>
      <c r="B185" s="4" t="inlineStr">
        <is>
          <t xml:space="preserve">Servicio arriendo red de datos e internet</t>
        </is>
      </c>
      <c r="C185" s="0">
        <v>1</v>
      </c>
      <c r="D185" s="4" t="inlineStr">
        <is>
          <t xml:space="preserve">Proveedores de servicio de Internet (ISP)</t>
        </is>
      </c>
      <c r="E185" s="4" t="inlineStr">
        <is>
          <t xml:space="preserve">Servicios basados en ingeniería, ciencias sociales y tecnología de la información / Servicios informáticos / Servicios para internet</t>
        </is>
      </c>
      <c r="F185" s="0">
        <v>36.0</v>
      </c>
      <c r="G185" s="0" t="inlineStr">
        <is>
          <t xml:space="preserve">Mes</t>
        </is>
      </c>
      <c r="H185" s="4" t="inlineStr">
        <is>
          <t xml:space="preserve">Servicio de arriendo red de datos e internet para el aeropuerto el Tepual de Puerto Montt.</t>
        </is>
      </c>
    </row>
    <row r="186">
      <c r="A186" s="0" t="inlineStr">
        <is>
          <t xml:space="preserve">4160-15-LP26</t>
        </is>
      </c>
      <c r="B186" s="4" t="inlineStr">
        <is>
          <t xml:space="preserve">SERV MANTENIMIENTO TRANSMISION DE DATOS CAMARAS</t>
        </is>
      </c>
      <c r="C186" s="0">
        <v>1</v>
      </c>
      <c r="D186" s="4" t="inlineStr">
        <is>
          <t xml:space="preserve">Cámaras de seguridad</t>
        </is>
      </c>
      <c r="E186" s="4" t="inlineStr">
        <is>
          <t xml:space="preserve">Equipos y suministros de defensa, orden público, protección y seguridad / Seguridad, vigilancia y detección / Equipo de vigilancia y detección</t>
        </is>
      </c>
      <c r="F186" s="0">
        <v>48.0</v>
      </c>
      <c r="G186" s="0" t="inlineStr">
        <is>
          <t xml:space="preserve">Mes</t>
        </is>
      </c>
      <c r="H186" s="4" t="inlineStr">
        <is>
          <t xml:space="preserve">contratación del “SERVICIO DE MANTENIMIENTO, TRANSMISION DE DATOS CAMARAS DE TELEVIGILANCIA HUALPÉN”, para lo cual se deberá considerar un plazo de prestación del servicio de 48 meses corridos.</t>
        </is>
      </c>
    </row>
    <row r="187">
      <c r="A187" s="0" t="inlineStr">
        <is>
          <t xml:space="preserve">1461054-45-LP26</t>
        </is>
      </c>
      <c r="B187" s="4" t="inlineStr">
        <is>
          <t xml:space="preserve">PLATAFORMA DE GESTIÓN EDUCACIONAL PARA 77 E.E</t>
        </is>
      </c>
      <c r="C187" s="0">
        <v>1</v>
      </c>
      <c r="D187" s="4" t="inlineStr">
        <is>
          <t xml:space="preserve">Software del sistema de administración de bases de datos</t>
        </is>
      </c>
      <c r="E187" s="4" t="inlineStr">
        <is>
          <t xml:space="preserve">Tecnologías de la información, telecomunicaciones y radiodifusión / Software / Software de consultas y gestión de datos</t>
        </is>
      </c>
      <c r="F187" s="0">
        <v>1.0</v>
      </c>
      <c r="G187" s="0" t="inlineStr">
        <is>
          <t xml:space="preserve">Unidad</t>
        </is>
      </c>
      <c r="H187" s="4" t="inlineStr">
        <is>
          <t xml:space="preserve">PLATAFORMA DE GESTIÓN EDUCACIONAL PARA 77 ESTABLECIMIENTOS EDUCACIONALES DEPENDIENTES DEL SERVICIO LOCAL DE EDUCACIÓN PÚBLICA ELQUI</t>
        </is>
      </c>
    </row>
    <row r="188">
      <c r="A188" s="0" t="inlineStr">
        <is>
          <t xml:space="preserve">605-17-LP26</t>
        </is>
      </c>
      <c r="B188" s="4" t="inlineStr">
        <is>
          <t xml:space="preserve">TELEFONÍA FIJA Y RED PRIVADA DE DATOS</t>
        </is>
      </c>
      <c r="C188" s="0">
        <v>1</v>
      </c>
      <c r="D188" s="4" t="inlineStr">
        <is>
          <t xml:space="preserve">Servicio telefónico local</t>
        </is>
      </c>
      <c r="E188" s="4" t="inlineStr">
        <is>
          <t xml:space="preserve">Servicios básicos y de información pública / Telecomunicaciones / Telefonía local y de larga distancia</t>
        </is>
      </c>
      <c r="F188" s="0">
        <v>1.0</v>
      </c>
      <c r="G188" s="0" t="inlineStr">
        <is>
          <t xml:space="preserve">Unidad</t>
        </is>
      </c>
      <c r="H188"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89">
      <c r="A189" s="0" t="inlineStr">
        <is>
          <t xml:space="preserve">605-17-LP26</t>
        </is>
      </c>
      <c r="B189" s="4" t="inlineStr">
        <is>
          <t xml:space="preserve">TELEFONÍA FIJA Y RED PRIVADA DE DATOS</t>
        </is>
      </c>
      <c r="C189" s="0">
        <v>2</v>
      </c>
      <c r="D189" s="4" t="inlineStr">
        <is>
          <t xml:space="preserve">Servicio de comunicación IP</t>
        </is>
      </c>
      <c r="E189" s="4" t="inlineStr">
        <is>
          <t xml:space="preserve">Servicios básicos y de información pública / Telecomunicaciones / Telefonía local y de larga distancia</t>
        </is>
      </c>
      <c r="F189" s="0">
        <v>1.0</v>
      </c>
      <c r="G189" s="0" t="inlineStr">
        <is>
          <t xml:space="preserve">Unidad</t>
        </is>
      </c>
      <c r="H189"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90">
      <c r="A190" s="0" t="inlineStr">
        <is>
          <t xml:space="preserve">948354-140-LR26</t>
        </is>
      </c>
      <c r="B190" s="4" t="inlineStr">
        <is>
          <t xml:space="preserve">CONTRATACIÓN DE UNA SOLUCIÓN INTEGRAL RIS-PACS INCLUYENDO LA PROVISIÓN DE SERVICIOS SOFTWARE HARDWARE E INFRAESTRUCTURA TECNOLÓGICA PARA EL SERVICIO DE IMAGENOLOGÍA DEL HOSPITAL DIPRECA</t>
        </is>
      </c>
      <c r="C190" s="0">
        <v>1</v>
      </c>
      <c r="D190" s="4" t="inlineStr">
        <is>
          <t xml:space="preserve">Sistemas informatizados de archivado de imágenes (PACS) médicos</t>
        </is>
      </c>
      <c r="E190" s="4" t="inlineStr">
        <is>
          <t xml:space="preserve">Equipamiento y suministros médicos / Productos para imágenes y de medicina nuclear / Artículos para archivar información e imágenes radiológicas</t>
        </is>
      </c>
      <c r="F190" s="0">
        <v>60.0</v>
      </c>
      <c r="G190" s="0" t="inlineStr">
        <is>
          <t xml:space="preserve">Mes</t>
        </is>
      </c>
      <c r="H190" s="4" t="inlineStr">
        <is>
          <t xml:space="preserve">SERVICIO DE RIS-PACS PARA EL SERVICIO DE IMAGENOLOGÍA DEL HOSPITAL DIPRECA (De acuerdo a las Bases Técnicas).</t>
        </is>
      </c>
    </row>
    <row r="191">
      <c r="A191" s="0" t="inlineStr">
        <is>
          <t xml:space="preserve">976-18-O126</t>
        </is>
      </c>
      <c r="B191" s="4" t="inlineStr">
        <is>
          <t xml:space="preserve">ATIF Ampliación Plataformas Comercial y General Ad. El Loa</t>
        </is>
      </c>
      <c r="C191" s="0">
        <v>1</v>
      </c>
      <c r="D191" s="4" t="inlineStr">
        <is>
          <t xml:space="preserve">Licitación Pública de Consultoria</t>
        </is>
      </c>
      <c r="E191" s="4" t="inlineStr">
        <is>
          <t xml:space="preserve">Consultoria / Consultoria / Planificación y Factibilidad</t>
        </is>
      </c>
      <c r="F191" s="0">
        <v>1.0</v>
      </c>
      <c r="G191" s="0" t="inlineStr">
        <is>
          <t xml:space="preserve">Unidad</t>
        </is>
      </c>
      <c r="H191" s="4" t="inlineStr">
        <is>
          <t xml:space="preserve">Licitación Pública de Consultoria</t>
        </is>
      </c>
    </row>
    <row r="192">
      <c r="A192" s="0" t="inlineStr">
        <is>
          <t xml:space="preserve">976-15-O126</t>
        </is>
      </c>
      <c r="B192" s="4" t="inlineStr">
        <is>
          <t xml:space="preserve">Ampliación Plataformas Comercial y General Ad. El Loa</t>
        </is>
      </c>
      <c r="C192" s="0">
        <v>1</v>
      </c>
      <c r="D192" s="4" t="inlineStr">
        <is>
          <t xml:space="preserve">Licitación Pública de Obra</t>
        </is>
      </c>
      <c r="E192" s="4" t="inlineStr">
        <is>
          <t xml:space="preserve">Consultoria / Consultoria / Planificación y Factibilidad</t>
        </is>
      </c>
      <c r="F192" s="0">
        <v>1.0</v>
      </c>
      <c r="G192" s="0" t="inlineStr">
        <is>
          <t xml:space="preserve">Unidad</t>
        </is>
      </c>
      <c r="H192" s="4" t="inlineStr">
        <is>
          <t xml:space="preserve">Licitación Pública de Obra</t>
        </is>
      </c>
    </row>
    <row r="193">
      <c r="A193" s="0" t="inlineStr">
        <is>
          <t xml:space="preserve">2667-71-LR26</t>
        </is>
      </c>
      <c r="B193" s="4" t="inlineStr">
        <is>
          <t xml:space="preserve">ARRIENDO SOPORTE Y MANTENCIÓN DE CENTRAL TELEFONICA IP TELEFONOS IP Y PLATAFORMA DE CONTACT CENTER</t>
        </is>
      </c>
      <c r="C193" s="0">
        <v>1</v>
      </c>
      <c r="D193" s="4" t="inlineStr">
        <is>
          <t xml:space="preserve">Sistemas de alarma</t>
        </is>
      </c>
      <c r="E193" s="4" t="inlineStr">
        <is>
          <t xml:space="preserve">Equipos y suministros de defensa, orden público, protección y seguridad / Seguridad, vigilancia y detección / Equipo de vigilancia y detección</t>
        </is>
      </c>
      <c r="F193" s="0">
        <v>1.0</v>
      </c>
      <c r="G193" s="0" t="inlineStr">
        <is>
          <t xml:space="preserve">Global</t>
        </is>
      </c>
      <c r="H193" s="4" t="inlineStr">
        <is>
          <t xml:space="preserve">ARRIENDO, INSTALACIÓN, SOPORTE Y MANTENCIÓN DE CENTRAL TELEFÓNICA, EQUIPOS TELEFÓNICOS Y PLATAFORMA DE ATENCIÓN TELEFÓNICA</t>
        </is>
      </c>
    </row>
    <row r="194">
      <c r="A194" s="0" t="inlineStr">
        <is>
          <t xml:space="preserve">2342-36-LR26</t>
        </is>
      </c>
      <c r="B194" s="4" t="inlineStr">
        <is>
          <t xml:space="preserve">CONCESIÓN DE ESTACIONAMIENTOS EN CALLES DE LA ZONA CENTRO DE LA COMUNA DE SAN BERNARDO APLICANDO SISTEMA DE CONTROL DE TIEMPO DE USO CAPTADORES DE DATOS</t>
        </is>
      </c>
      <c r="C194" s="0">
        <v>1</v>
      </c>
      <c r="D194" s="4" t="inlineStr">
        <is>
          <t xml:space="preserve">Estacionamientos</t>
        </is>
      </c>
      <c r="E194" s="4" t="inlineStr">
        <is>
          <t xml:space="preserve">Servicios de transporte, almacenaje y correo / Servicios de mantención o reparaciones de transportes / Combustible para vehículos de transporte, estacionamiento y otros servicios de apoyo</t>
        </is>
      </c>
      <c r="F194" s="0">
        <v>1.0</v>
      </c>
      <c r="G194" s="0" t="inlineStr">
        <is>
          <t xml:space="preserve">Unidad</t>
        </is>
      </c>
      <c r="H194" s="4" t="inlineStr">
        <is>
          <t xml:space="preserve">De acuerdo a lo indicado en Especificaciones Técnicas</t>
        </is>
      </c>
    </row>
    <row r="195">
      <c r="A195" s="0" t="inlineStr">
        <is>
          <t xml:space="preserve">2403-73-LR26</t>
        </is>
      </c>
      <c r="B195" s="4" t="inlineStr">
        <is>
          <t xml:space="preserve">Servicios de conectividad telecomunicaciones operación de infraestructura y gestión de ciberseguridad.</t>
        </is>
      </c>
      <c r="C195" s="0">
        <v>1</v>
      </c>
      <c r="D195" s="4" t="inlineStr">
        <is>
          <t xml:space="preserve">Instalación de sistemas de seguridad</t>
        </is>
      </c>
      <c r="E195" s="4" t="inlineStr">
        <is>
          <t xml:space="preserve">Servicios de construcción y mantenimiento / Servicios de atención, mantenimiento y reparaciones de edificios / Servicios eléctricos</t>
        </is>
      </c>
      <c r="F195" s="0">
        <v>1.0</v>
      </c>
      <c r="G195" s="0" t="inlineStr">
        <is>
          <t xml:space="preserve">Global</t>
        </is>
      </c>
      <c r="H195"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96">
      <c r="A196" s="0" t="inlineStr">
        <is>
          <t xml:space="preserve">1969-34-LS19</t>
        </is>
      </c>
      <c r="B196" s="4" t="inlineStr">
        <is>
          <t xml:space="preserve">AUTOMATIZACIÓN PORTÓN ACCESO A LINEA DE FUEGO</t>
        </is>
      </c>
      <c r="C196" s="0">
        <v>1</v>
      </c>
      <c r="D196" s="4" t="inlineStr">
        <is>
          <t xml:space="preserve">Puertas de metal</t>
        </is>
      </c>
      <c r="E196" s="4" t="inlineStr">
        <is>
          <t xml:space="preserve">Artículos para estructuras, obras y construcciones / Puertas, ventanas y vidrios / Puertas</t>
        </is>
      </c>
      <c r="F196" s="0">
        <v>1.0</v>
      </c>
      <c r="G196" s="0" t="inlineStr">
        <is>
          <t xml:space="preserve">Unidad</t>
        </is>
      </c>
      <c r="H196" s="4" t="inlineStr">
        <is>
          <t xml:space="preserve">AUTOMATIZACIÓN DE PORTÓN ACCESO A LINEA DE FUEGO C.P. CONCEPCIÓN</t>
        </is>
      </c>
    </row>
  </sheetData>
  <autoFilter ref="A1:H196"/>
</worksheet>
</file>