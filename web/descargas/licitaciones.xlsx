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680504-3-L126</t>
        </is>
      </c>
      <c r="B2" s="4" t="inlineStr">
        <is>
          <t xml:space="preserve">Mantención Anual Tableros Eléctricos del Edificio RPP Curicó</t>
        </is>
      </c>
      <c r="C2" s="0" t="inlineStr">
        <is>
          <t xml:space="preserve">Publicada</t>
        </is>
      </c>
      <c r="D2" s="0" t="inlineStr">
        <is>
          <t xml:space="preserve">CORP ADMINISTRATIVA DEL PODER JUDICIAL</t>
        </is>
      </c>
      <c r="E2" s="0" t="inlineStr">
        <is>
          <t xml:space="preserve">TOP de Curico</t>
        </is>
      </c>
      <c r="F2" s="0" t="inlineStr">
        <is>
          <t xml:space="preserve">Región del Maule </t>
        </is>
      </c>
      <c r="G2" s="0" t="inlineStr">
        <is>
          <t xml:space="preserve">Curicó</t>
        </is>
      </c>
      <c r="H2" s="2">
        <v>46315.490579</v>
      </c>
      <c r="I2" s="2">
        <v>46329.666667</v>
      </c>
      <c r="J2" s="0">
        <v>3</v>
      </c>
      <c r="K2" s="3">
        <v>128.8</v>
      </c>
      <c r="L2" s="0" t="inlineStr">
        <is>
          <t xml:space="preserve">CLF</t>
        </is>
      </c>
      <c r="M2" s="0" t="inlineStr">
        <is>
          <t xml:space="preserve">L1</t>
        </is>
      </c>
      <c r="N2" s="4" t="inlineStr">
        <is>
          <t xml:space="preserve">Servicios de construcción y mantenimiento / Servicios de atención, mantenimiento y reparaciones de edificios / Servicios eléctricos</t>
        </is>
      </c>
      <c r="O2" s="4" t="inlineStr">
        <is>
          <t xml:space="preserve">1 Unidad · Instalación o servicio de sistemas de energía eléctrica</t>
        </is>
      </c>
      <c r="P2" s="2"/>
      <c r="Q2" s="2"/>
      <c r="R2" s="0"/>
      <c r="S2" s="0" t="inlineStr">
        <is>
          <t xml:space="preserve">No</t>
        </is>
      </c>
      <c r="T2" s="4"/>
      <c r="U2" s="0"/>
      <c r="V2" s="4" t="inlineStr">
        <is>
          <t xml:space="preserve">Mantención Anual Tableros Eléctricos del Edificio RPP Curicó por un periodo de 36 meses</t>
        </is>
      </c>
      <c r="W2" s="5" t="str">
        <f>HYPERLINK("https://www.mercadopublico.cl/Procurement/Modules/Attachment/ViewAttachment.aspx?enc=xlRjY9HeWNY543v0IFOT%2fsYACPSD%2fWymwLwHWzUSN5xv1PIJFqkWhnu95mXg5Veas5gHcARXujZmXkYEsVmeAzhWzPt%2bfzY2oixEW54D4bkBphxhXOjKeFE5xXP5ynSQML9ul7MwIguh%2boUPir1J9ZPz048AIIfsJtJkK9%2b%2fCkY6dgWbaBqj%2bJ5Ypb39blUbPpU56qN%2fHxaXhV%2bEOHN73l%2f%2bxeTg1s57%2fBXqixJ0eLwdDNE8a0acfdwU%2bGjm4jM83vjh1phKwfMKDC3oEs1LQ9vsJLK1swgJZu7wXPH%2fl2EZQx8ST7cdH6vGy6EQuR3N","descargar bases")</f>
      </c>
    </row>
    <row r="3">
      <c r="A3" s="0" t="inlineStr">
        <is>
          <t xml:space="preserve">4246-11-LE26</t>
        </is>
      </c>
      <c r="B3" s="4" t="inlineStr">
        <is>
          <t xml:space="preserve">Licencias de software EDB Enterprise</t>
        </is>
      </c>
      <c r="C3" s="0" t="inlineStr">
        <is>
          <t xml:space="preserve">Publicada</t>
        </is>
      </c>
      <c r="D3" s="0" t="inlineStr">
        <is>
          <t xml:space="preserve">SUPERINTENDENCIA DE CASINOS DE JUEGO</t>
        </is>
      </c>
      <c r="E3" s="0" t="inlineStr">
        <is>
          <t xml:space="preserve">Superintendencia de Casinos de Juego</t>
        </is>
      </c>
      <c r="F3" s="0" t="inlineStr">
        <is>
          <t xml:space="preserve">Región Metropolitana de Santiago</t>
        </is>
      </c>
      <c r="G3" s="0" t="inlineStr">
        <is>
          <t xml:space="preserve">Santiago</t>
        </is>
      </c>
      <c r="H3" s="2">
        <v>46325.609259</v>
      </c>
      <c r="I3" s="2">
        <v>46331.670139</v>
      </c>
      <c r="J3" s="0">
        <v>5</v>
      </c>
      <c r="K3" s="3"/>
      <c r="L3" s="0" t="inlineStr">
        <is>
          <t xml:space="preserve">USD</t>
        </is>
      </c>
      <c r="M3" s="0" t="inlineStr">
        <is>
          <t xml:space="preserve">LE</t>
        </is>
      </c>
      <c r="N3" s="4" t="inlineStr">
        <is>
          <t xml:space="preserve">Tecnologías de la información, telecomunicaciones y radiodifusión / Software / Software de consultas y gestión de datos</t>
        </is>
      </c>
      <c r="O3" s="4" t="inlineStr">
        <is>
          <t xml:space="preserve">1 Unidad · Software de administración de bases de datos orientado a objetos</t>
        </is>
      </c>
      <c r="P3" s="2"/>
      <c r="Q3" s="2"/>
      <c r="R3" s="0"/>
      <c r="S3" s="0" t="inlineStr">
        <is>
          <t xml:space="preserve">No</t>
        </is>
      </c>
      <c r="T3" s="4" t="inlineStr">
        <is>
          <t xml:space="preserve">Acorde a lo indicado en numeral 19 de las bases de licitación</t>
        </is>
      </c>
      <c r="U3" s="0" t="inlineStr">
        <is>
          <t xml:space="preserve">Alejandro Ledezma</t>
        </is>
      </c>
      <c r="V3" s="4" t="inlineStr">
        <is>
          <t xml:space="preserve">El objetivo de la presente licitación pública es garantizar la correcta operación de los sistemas que apoyan a los procesos de negocio y de la plataforma de Business Analytics institucional, por tanto, se requiere gestionar la renovación por 12 meses del licenciamiento del motor de bases de datos Postgres Plus Advanced Server</t>
        </is>
      </c>
      <c r="W3" s="5" t="str">
        <f>HYPERLINK("https://www.mercadopublico.cl/Procurement/Modules/Attachment/ViewAttachment.aspx?enc=wTsMQg1omm%2bsHFk%2fHQY4a60%2fdzqnBNWpfRxDmJzlcn6kD3l5QdnL7eFG7CE9OTZe8eLOP3Aa7vGomzGuuPxkjuUANRaxZB2yLrfTK%2fAWhmc3sSqTILzw%2fcmwWF2KF3%2f9e09QmEkVHNIg%2b9%2fCP%2bYL2fGufVHMbQEtgNqx8aNNXACkVuaVe7inWBzUPjc%2fiFqch6735Ib5hhxhNrYiVw1h0MLBjJ8VMu%2bBDwYETEt403G9t4t1zZec75%2br3v4fuyq7LEERSBey%2b4douobNMPUE24DpjaNz5wvOIVG3HNSz7obTuFchIsR9Pnm2QDGXdTl4","descargar bases")</f>
      </c>
    </row>
    <row r="4">
      <c r="A4" s="0" t="inlineStr">
        <is>
          <t xml:space="preserve">1485217-20-LE26</t>
        </is>
      </c>
      <c r="B4" s="4" t="inlineStr">
        <is>
          <t xml:space="preserve">SERVICIO DE LEVANTAMIENTO VALORIZACIÓN Y ARRIENDO DE SOFTWARE DE ADMINISTRACIÓN Y GESTIÓN DE INVENTARIO BAJO NORMAS NICSP-CGR</t>
        </is>
      </c>
      <c r="C4" s="0" t="inlineStr">
        <is>
          <t xml:space="preserve">Publicada</t>
        </is>
      </c>
      <c r="D4" s="0" t="inlineStr">
        <is>
          <t xml:space="preserve">SERVICIO LOCAL DE EDUCACIÓN PÚBLICA SANTIAGO CENTRO</t>
        </is>
      </c>
      <c r="E4" s="0" t="inlineStr">
        <is>
          <t xml:space="preserve">ESTABLECIMIENTOS EDUCACIONALES P02</t>
        </is>
      </c>
      <c r="F4" s="0" t="inlineStr">
        <is>
          <t xml:space="preserve">Región Metropolitana de Santiago</t>
        </is>
      </c>
      <c r="G4" s="0" t="inlineStr">
        <is>
          <t xml:space="preserve">Santiago</t>
        </is>
      </c>
      <c r="H4" s="2">
        <v>46325.717326</v>
      </c>
      <c r="I4" s="2">
        <v>46332.6875</v>
      </c>
      <c r="J4" s="0">
        <v>6</v>
      </c>
      <c r="K4" s="3">
        <v>60349312.0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Unidad · Programas de gestión de inventario · 24 Mes · Programas de gestión de inventario · 24 Mes · Programas de gestión de inventario</t>
        </is>
      </c>
      <c r="P4" s="2"/>
      <c r="Q4" s="2"/>
      <c r="R4" s="0" t="inlineStr">
        <is>
          <t xml:space="preserve">24 meses</t>
        </is>
      </c>
      <c r="S4" s="0" t="inlineStr">
        <is>
          <t xml:space="preserve">No</t>
        </is>
      </c>
      <c r="T4" s="4"/>
      <c r="U4" s="0" t="inlineStr">
        <is>
          <t xml:space="preserve">Carolina Pino</t>
        </is>
      </c>
      <c r="V4" s="4" t="inlineStr">
        <is>
          <t xml:space="preserve">SE REQUIERE CONTRATAR EL SERVICIO DE LEVANTAMIENTO, VALORIZACIÓN Y ARRIENDO DE SOFTWARE DE ADMINISTRACIÓN Y GESTIÓN DE INVENTARIO, BAJO NORMAS NICSP-CGR DEL SERVICIO LOCAL DE EDUCACIÓN PÚBLICA DE SANTIAGO CENTRO, SEGÚN BASES ADJUNTAS APROBADAS POR RES. EXENTA N°1884/2026</t>
        </is>
      </c>
      <c r="W4" s="5" t="str">
        <f>HYPERLINK("https://www.mercadopublico.cl/Procurement/Modules/Attachment/ViewAttachment.aspx?enc=wzekJ2WkG0YidZfN01KWBr9wwWwuTKyk23xhLVprTMmotxTLx%2fg7VG6C9WmOAtetocWWKKjliXQSophaUum%2fFKGIubKXFewPt7kkVJTNqZB6BVJ6SYurYKJiLvJI8b0R1DMrdZcvKKTMVrLnKnIXYwt4i%2bPm8WXUTqL%2b6uCVROm5JKf%2feh9tpa0ThmQJTsKyF50OsCukAk%2fEGIiQmNYaTmqbGIqkLVwUa6mflHUunkPHYx0ohoEFuYEtXnsean2TGF5mxV7QZHaeJ%2fF6uhgf%2f3Fhzbe128WKQVRm3f0nG%2fOr3I6dAI63R6e1UbYSTzhG","descargar bases")</f>
      </c>
    </row>
    <row r="5">
      <c r="A5" s="0" t="inlineStr">
        <is>
          <t xml:space="preserve">1016-11-LE26</t>
        </is>
      </c>
      <c r="B5" s="4" t="inlineStr">
        <is>
          <t xml:space="preserve">Implementación y licenciamiento de una plataforma de levantamiento y documentación de procesos asistida por inteligencia artificial</t>
        </is>
      </c>
      <c r="C5" s="0" t="inlineStr">
        <is>
          <t xml:space="preserve">Publicada</t>
        </is>
      </c>
      <c r="D5" s="0" t="inlineStr">
        <is>
          <t xml:space="preserve">MINISTERIO DE OBRAS PUBLICAS DIREC CION GRAL DE OO PP DCYF</t>
        </is>
      </c>
      <c r="E5" s="0" t="inlineStr">
        <is>
          <t xml:space="preserve">Dirección de Planeamiento - MOP</t>
        </is>
      </c>
      <c r="F5" s="0" t="inlineStr">
        <is>
          <t xml:space="preserve">Región Metropolitana de Santiago</t>
        </is>
      </c>
      <c r="G5" s="0" t="inlineStr">
        <is>
          <t xml:space="preserve">Santiago Centro</t>
        </is>
      </c>
      <c r="H5" s="2">
        <v>46325.727766</v>
      </c>
      <c r="I5" s="2">
        <v>46335.645833</v>
      </c>
      <c r="J5" s="0">
        <v>9</v>
      </c>
      <c r="K5" s="3">
        <v>19992000.0</v>
      </c>
      <c r="L5" s="0" t="inlineStr">
        <is>
          <t xml:space="preserve">CLP</t>
        </is>
      </c>
      <c r="M5" s="0" t="inlineStr">
        <is>
          <t xml:space="preserve">LE</t>
        </is>
      </c>
      <c r="N5" s="4" t="inlineStr">
        <is>
          <t xml:space="preserve">Tecnologías de la información, telecomunicaciones y radiodifusión / Software / Software de gestión</t>
        </is>
      </c>
      <c r="O5" s="4" t="inlineStr">
        <is>
          <t xml:space="preserve">1 Unidad · Software de sistema experto · 1 Unidad · Software de sistema experto</t>
        </is>
      </c>
      <c r="P5" s="2"/>
      <c r="Q5" s="2"/>
      <c r="R5" s="0" t="inlineStr">
        <is>
          <t xml:space="preserve">10 meses</t>
        </is>
      </c>
      <c r="S5" s="0" t="inlineStr">
        <is>
          <t xml:space="preserve">No</t>
        </is>
      </c>
      <c r="T5" s="4" t="inlineStr">
        <is>
          <t xml:space="preserve">Se prohíbe la subcontratación, ya que se adjudica de acuerdo con la oferta del proveedor y sus características especiales, sin perjuicio de lo señalado en el punto 16.</t>
        </is>
      </c>
      <c r="U5" s="0" t="inlineStr">
        <is>
          <t xml:space="preserve">Carolina Quintana</t>
        </is>
      </c>
      <c r="V5" s="4" t="inlineStr">
        <is>
          <t xml:space="preserve">Contratar la customización, implementación e integración, en una máquina virtual del Ministerio de Obras Públicas, de una plataforma que, a partir de entrevistas grabadas, documentos y registros, genere con apoyo de inteligencia artificial borradores de diagramas de procesos en estándar BPMN 2.0 con sus responsables, del documento descriptivo de cada proceso, de la matriz RACI y de la tabla SIPOC, para su revisión y validación por personas; junto con el derecho de uso (licencia) de la plataforma por 10 meses, soporte y documentación.</t>
        </is>
      </c>
      <c r="W5" s="5" t="str">
        <f>HYPERLINK("https://www.mercadopublico.cl/Procurement/Modules/Attachment/ViewAttachment.aspx?enc=miJawUp7Sd4kFGn%2fU2jiR2IYG336Q39M6LWu4LtTFkmTqqfHoZ8hf8Fn0zNvP4v3Ab5HFwtyTR3p%2fts%2fbke7U0Poba7H25t2aqRhmAdJJDYLosnZvPefMFiEoNMHuKywaxxwtnphbSzW9nX3rjZdQYwKgRikqJzMGacbmb6Z9eN7NQJFPgMY3n88VjEBPr%2fJthSnpiYiAz%2bDU8w3hJHSeErDEJ5QNe0zHyH%2bNNqml4hB7y952oF1O5KNMPYBHNL6LpJKaIgqX7sH2VaMMtHab57lxLfo%2bwdNmBR%2fQpNoqyggO09SCGkQtPrOqpFgA2fA","descargar bases")</f>
      </c>
    </row>
    <row r="6">
      <c r="A6" s="0" t="inlineStr">
        <is>
          <t xml:space="preserve">165-3-LE26</t>
        </is>
      </c>
      <c r="B6" s="4" t="inlineStr">
        <is>
          <t xml:space="preserve">MEJORAMIENTO ELÉCTRICO Y REDES DE DATOS</t>
        </is>
      </c>
      <c r="C6" s="0" t="inlineStr">
        <is>
          <t xml:space="preserve">Publicada</t>
        </is>
      </c>
      <c r="D6" s="0" t="inlineStr">
        <is>
          <t xml:space="preserve">CONSEJO NACIONAL DE EDUCACION</t>
        </is>
      </c>
      <c r="E6" s="0" t="inlineStr">
        <is>
          <t xml:space="preserve">Consejo Nacional de Educación</t>
        </is>
      </c>
      <c r="F6" s="0" t="inlineStr">
        <is>
          <t xml:space="preserve">Región Metropolitana de Santiago</t>
        </is>
      </c>
      <c r="G6" s="0" t="inlineStr">
        <is>
          <t xml:space="preserve">Santiago</t>
        </is>
      </c>
      <c r="H6" s="2">
        <v>46325.666169</v>
      </c>
      <c r="I6" s="2">
        <v>46335.625</v>
      </c>
      <c r="J6" s="0">
        <v>9</v>
      </c>
      <c r="K6" s="3">
        <v>10000000.0</v>
      </c>
      <c r="L6" s="0" t="inlineStr">
        <is>
          <t xml:space="preserve">CLP</t>
        </is>
      </c>
      <c r="M6" s="0" t="inlineStr">
        <is>
          <t xml:space="preserve">LE</t>
        </is>
      </c>
      <c r="N6" s="4" t="inlineStr">
        <is>
          <t xml:space="preserve">Servicios de construcción y mantenimiento / Construcción de edificios en general / Construcción de obras civiles y infraestructuras</t>
        </is>
      </c>
      <c r="O6" s="4" t="inlineStr">
        <is>
          <t xml:space="preserve">1 Unidad · Construcción de obras civiles</t>
        </is>
      </c>
      <c r="P6" s="2"/>
      <c r="Q6" s="2"/>
      <c r="R6" s="0" t="inlineStr">
        <is>
          <t xml:space="preserve">30 días</t>
        </is>
      </c>
      <c r="S6" s="0" t="inlineStr">
        <is>
          <t xml:space="preserve">No</t>
        </is>
      </c>
      <c r="T6" s="4"/>
      <c r="U6" s="0" t="inlineStr">
        <is>
          <t xml:space="preserve">Felipe Rodriguez</t>
        </is>
      </c>
      <c r="V6" s="4" t="inlineStr">
        <is>
          <t xml:space="preserve">El Consejo Nacional de Educación, en adelante “el Consejo”, requiere contratar servicios de ejecución de obras de mejoramiento y normalización de las instalaciones eléctricas y de redes de datos de sus dependencias ubicadas en calle Marchant Pereira N°844, comuna de Providencia, destinadas a regularizar los puntos de trabajo actualmente en uso, rectificar o retirar puntos eléctricos y de datos obsoletos y mejorar las condiciones de seguridad, funcionamiento y eficiencia energética de las instalaciones, incluyendo la provisión de materiales, mano de obra, herramientas, equipos, certificaciones y demás elementos necesarios para la correcta ejecución de los trabajos.</t>
        </is>
      </c>
      <c r="W6" s="5" t="str">
        <f>HYPERLINK("https://www.mercadopublico.cl/Procurement/Modules/Attachment/ViewAttachment.aspx?enc=OLvJT4xzqItFsTuMyu2WBNJoLoZfdSWPw2TwDrEqiNS2GXLgpO3B7DbnrexPU5rL1wGfHrymA7Aewm5DDtMDF2NjBkj2%2fNVWc1Vy05DNW%2fIirRrnzeXenmeH57TGU5C25n5j6ISP%2bKhJWG5Nr8jKRJzswGjBl%2bIiXKcL4x80LXFc%2bl%2ba5GGBqq1LQYSLE7VPTF9Pr3V2Rwn%2bb7FvW2H1l6yEw4eRYx86nKnz8s347N4LTFsK7n0EfreCzNemCtPz6GMFRs21S6QnrUFNK61S3u7OmNCOuoyp4hIb3huOgvLZ9MdnIua9w6hOvl1XcNDU","descargar bases")</f>
      </c>
    </row>
    <row r="7">
      <c r="A7" s="0" t="inlineStr">
        <is>
          <t xml:space="preserve">3756-48-LE26</t>
        </is>
      </c>
      <c r="B7" s="4" t="inlineStr">
        <is>
          <t xml:space="preserve">SERVICIO DE SOFTWARE GESTIÓN DOCUMENTAL PARA LA MUNICIPALIDAD DE PELARCO</t>
        </is>
      </c>
      <c r="C7" s="0" t="inlineStr">
        <is>
          <t xml:space="preserve">Publicada</t>
        </is>
      </c>
      <c r="D7" s="0" t="inlineStr">
        <is>
          <t xml:space="preserve">I MUNICIPALIDAD DE PELARCO</t>
        </is>
      </c>
      <c r="E7" s="0" t="inlineStr">
        <is>
          <t xml:space="preserve">I MUNICIPALIDAD DE PELARCO</t>
        </is>
      </c>
      <c r="F7" s="0" t="inlineStr">
        <is>
          <t xml:space="preserve">Región del Maule </t>
        </is>
      </c>
      <c r="G7" s="0" t="inlineStr">
        <is>
          <t xml:space="preserve">Pelarco</t>
        </is>
      </c>
      <c r="H7" s="2">
        <v>46325.648299</v>
      </c>
      <c r="I7" s="2">
        <v>46335.625694</v>
      </c>
      <c r="J7" s="0">
        <v>9</v>
      </c>
      <c r="K7" s="3"/>
      <c r="L7" s="0" t="inlineStr">
        <is>
          <t xml:space="preserve">CLP</t>
        </is>
      </c>
      <c r="M7" s="0" t="inlineStr">
        <is>
          <t xml:space="preserve">LE</t>
        </is>
      </c>
      <c r="N7" s="4" t="inlineStr">
        <is>
          <t xml:space="preserve">Tecnologías de la información, telecomunicaciones y radiodifusión / Software / Software para trabajo en redes</t>
        </is>
      </c>
      <c r="O7" s="4" t="inlineStr">
        <is>
          <t xml:space="preserve">1 Unidad · Software para centrales de comunicación digital</t>
        </is>
      </c>
      <c r="P7" s="2"/>
      <c r="Q7" s="2"/>
      <c r="R7" s="0" t="inlineStr">
        <is>
          <t xml:space="preserve">12 meses</t>
        </is>
      </c>
      <c r="S7" s="0" t="inlineStr">
        <is>
          <t xml:space="preserve">No</t>
        </is>
      </c>
      <c r="T7" s="4" t="inlineStr">
        <is>
          <t xml:space="preserve">SE PROHIBE LA SUBCONTRATACIÓN</t>
        </is>
      </c>
      <c r="U7" s="0" t="inlineStr">
        <is>
          <t xml:space="preserve">FELIPE ROJAS</t>
        </is>
      </c>
      <c r="V7" s="4" t="inlineStr">
        <is>
          <t xml:space="preserve">SERVICIO DE SOFTWARE GESTIÓN DOCUMENTAL PARA LA MUNICIPALIDAD DE PELARCO</t>
        </is>
      </c>
      <c r="W7" s="5" t="str">
        <f>HYPERLINK("https://www.mercadopublico.cl/Procurement/Modules/Attachment/ViewAttachment.aspx?enc=HzMIavsv16kZOM4%2bsbfyIHfPeV6wvCwZzjqOHqC6A8j8v2DsBO%2f%2f0modjwYVFu%2bm7A1xo1SOJ2a5sQ9XKxec3DsIy%2fYioLbLZQJHrm3w9UxaAJAljjooLcFNmFDP4IxXU4W0HgCLJLEu6FTirVrtHEwFquAuV105hc5OhaQYIQc4MzQ4Dq5r%2fudCch2knxEp75ur8ftad9kAaIhDYJZCfGB68osSXaGFWFNl6pJr5ji9Xv1u6%2b3lRSZ6ZFTxBzgj3lFd9bTRAOrsdKeuBT1yjMYhxFrpgCYqUkLN%2fWOcAsSQ9vZxDkb0wjYHO92tD%2b0H","descargar bases")</f>
      </c>
    </row>
    <row r="8">
      <c r="A8" s="0" t="inlineStr">
        <is>
          <t xml:space="preserve">870-15-LE26</t>
        </is>
      </c>
      <c r="B8" s="4" t="inlineStr">
        <is>
          <t xml:space="preserve">E102RT8 SERV. ENLACE DE DATOS Y CONECTIVIDAD CNR</t>
        </is>
      </c>
      <c r="C8" s="0" t="inlineStr">
        <is>
          <t xml:space="preserve">Publicada</t>
        </is>
      </c>
      <c r="D8" s="0" t="inlineStr">
        <is>
          <t xml:space="preserve">COMISION NACIONAL DE RIEGO</t>
        </is>
      </c>
      <c r="E8" s="0" t="inlineStr">
        <is>
          <t xml:space="preserve">Comisión Nacional de Riego</t>
        </is>
      </c>
      <c r="F8" s="0" t="inlineStr">
        <is>
          <t xml:space="preserve">Región Metropolitana de Santiago</t>
        </is>
      </c>
      <c r="G8" s="0" t="inlineStr">
        <is>
          <t xml:space="preserve">Santiago</t>
        </is>
      </c>
      <c r="H8" s="2">
        <v>46325.682164</v>
      </c>
      <c r="I8" s="2">
        <v>46335.625</v>
      </c>
      <c r="J8" s="0">
        <v>9</v>
      </c>
      <c r="K8" s="3"/>
      <c r="L8" s="0" t="inlineStr">
        <is>
          <t xml:space="preserve">CLP</t>
        </is>
      </c>
      <c r="M8" s="0" t="inlineStr">
        <is>
          <t xml:space="preserve">LE</t>
        </is>
      </c>
      <c r="N8" s="4" t="inlineStr">
        <is>
          <t xml:space="preserve">Servicios basados en ingeniería, ciencias sociales y tecnología de la información / Servicios informáticos / Mantenimiento y soporte de software</t>
        </is>
      </c>
      <c r="O8" s="4" t="inlineStr">
        <is>
          <t xml:space="preserve">1 Unidad · Up grade de software</t>
        </is>
      </c>
      <c r="P8" s="2"/>
      <c r="Q8" s="2"/>
      <c r="R8" s="0" t="inlineStr">
        <is>
          <t xml:space="preserve">36 meses</t>
        </is>
      </c>
      <c r="S8" s="0" t="inlineStr">
        <is>
          <t xml:space="preserve">No</t>
        </is>
      </c>
      <c r="T8" s="4" t="inlineStr">
        <is>
          <t xml:space="preserve">No lo indica la Resolución Exenta N 45172026.</t>
        </is>
      </c>
      <c r="U8" s="0" t="inlineStr">
        <is>
          <t xml:space="preserve">Sebastián Casabonne</t>
        </is>
      </c>
      <c r="V8" s="4" t="inlineStr">
        <is>
          <t xml:space="preserve">Garantizar la conectividad punto a punto, la estabilidad y la disponibilidad ininterrumpida de las comunicaciones de datos entre el Data Center de la CNR y el Data Center de ODEPA, asegurando un nivel de servicio continuo y seguro.</t>
        </is>
      </c>
      <c r="W8" s="5" t="str">
        <f>HYPERLINK("https://www.mercadopublico.cl/Procurement/Modules/Attachment/ViewAttachment.aspx?enc=je8x%2fjCWl11iVtyhMIf7p6ZnWsVelKw%2bziHso6JZBQaP2gpowp8JA57RSVfrs5qB%2fm3dQl3Xgp9kltMED8M3fkmYTBLNTmiarT3smrKd%2fy5W1%2bcELGq%2f9N4tjFsvOjuc9HZtWePjMTU7s%2buZPjyh%2b4JhqZIK7yukBBJ2GXvVSnG5ZYbA9PVxvNeoRNZAX2L58nBTLfQl0%2fw66jXDjWqx6YqK2Z%2b5MEA9naxN5QT8Ek9EQRbU%2bYtowQi%2fEtKw2uC9zWQkTDEp8HNKtidtv6yG%2baNGczR4JDEyYNAtLz6Q1l%2fOyzaQSrTx7ZTYSNd1ZflS","descargar bases")</f>
      </c>
    </row>
    <row r="9">
      <c r="A9" s="0" t="inlineStr">
        <is>
          <t xml:space="preserve">601-17-LE26</t>
        </is>
      </c>
      <c r="B9" s="4" t="inlineStr">
        <is>
          <t xml:space="preserve">Servicio mantención y otros del sitio web</t>
        </is>
      </c>
      <c r="C9" s="0" t="inlineStr">
        <is>
          <t xml:space="preserve">Publicada</t>
        </is>
      </c>
      <c r="D9" s="0" t="inlineStr">
        <is>
          <t xml:space="preserve">SUPERINTENDENCIA DE SALUD</t>
        </is>
      </c>
      <c r="E9" s="0" t="inlineStr">
        <is>
          <t xml:space="preserve">Superintendencia de Salud</t>
        </is>
      </c>
      <c r="F9" s="0" t="inlineStr">
        <is>
          <t xml:space="preserve">Región Metropolitana de Santiago</t>
        </is>
      </c>
      <c r="G9" s="0" t="inlineStr">
        <is>
          <t xml:space="preserve">Santiago Centro</t>
        </is>
      </c>
      <c r="H9" s="2">
        <v>46325.630891</v>
      </c>
      <c r="I9" s="2">
        <v>46336.631944</v>
      </c>
      <c r="J9" s="0">
        <v>10</v>
      </c>
      <c r="K9" s="3"/>
      <c r="L9" s="0" t="inlineStr">
        <is>
          <t xml:space="preserve">CLP</t>
        </is>
      </c>
      <c r="M9" s="0" t="inlineStr">
        <is>
          <t xml:space="preserve">LE</t>
        </is>
      </c>
      <c r="N9" s="4" t="inlineStr">
        <is>
          <t xml:space="preserve">Servicios basados en ingeniería, ciencias sociales y tecnología de la información / Servicios informáticos / Servicios para internet</t>
        </is>
      </c>
      <c r="O9" s="4" t="inlineStr">
        <is>
          <t xml:space="preserve">1 Unidad · Web Hosting</t>
        </is>
      </c>
      <c r="P9" s="2"/>
      <c r="Q9" s="2"/>
      <c r="R9" s="0" t="inlineStr">
        <is>
          <t xml:space="preserve">24 meses</t>
        </is>
      </c>
      <c r="S9" s="0" t="inlineStr">
        <is>
          <t xml:space="preserve">No</t>
        </is>
      </c>
      <c r="T9" s="4"/>
      <c r="U9" s="0" t="inlineStr">
        <is>
          <t xml:space="preserve">Ximena Gutierrez</t>
        </is>
      </c>
      <c r="V9" s="4" t="inlineStr">
        <is>
          <t xml:space="preserve">La Superintendencia de Salud, en adelante e indistintamente “la Superintendencia”, convoca a Licitación Pública a las personas naturales y jurídicas para que participen y presenten propuestas en el actual proceso de licitación de esta entidad, que administra a través del Portal de Mercado Público para la contratación de los servicios de hosting, infraestructura, almacenamiento, diseño, desarrollo, mantención, soporte y migración del contenido de su actual sitio web.</t>
        </is>
      </c>
      <c r="W9" s="5" t="str">
        <f>HYPERLINK("https://www.mercadopublico.cl/Procurement/Modules/Attachment/ViewAttachment.aspx?enc=%2fY0oNa7tpk8X0YTiIvtucLjvhntHnOl00QXUlgEwTrMiAQy%2bRFODI42Ig9CRQTBaEIBVxmTgpH6D4ldOrD9FsEtXSs3PS89HxP%2f1DCMBskRGwlNGXbaD56xI2iO9si9HI6R8gaZBeNOBfWXFNSV11HUHtn%2f96sOlZQNSnasUisbQSP%2bOrj%2bMmUQVcYU0MiccnIvWKIK0nxjdKPjOsKU4OZD7x66ixrdv7IHxotOojXzoQMaytOTRfhmAzIhijew1kXUV8AmJIoy6rDvnWhTrP%2bPJeH%2b2F897JjqWFu8nz3LZV%2bPmq8TaDN8mxrNOIQO1","descargar bases")</f>
      </c>
    </row>
    <row r="10">
      <c r="A10" s="0" t="inlineStr">
        <is>
          <t xml:space="preserve">598-31-LE26</t>
        </is>
      </c>
      <c r="B10" s="4" t="inlineStr">
        <is>
          <t xml:space="preserve">Licencias Respaldo y Protección de Datos</t>
        </is>
      </c>
      <c r="C10" s="0" t="inlineStr">
        <is>
          <t xml:space="preserve">Publicada</t>
        </is>
      </c>
      <c r="D10" s="0" t="inlineStr">
        <is>
          <t xml:space="preserve">DIRECCION PREVISION DE CARABINEROS DE CHILE</t>
        </is>
      </c>
      <c r="E10" s="0" t="inlineStr">
        <is>
          <t xml:space="preserve">Unidad de Abastecimiento DIPRECA</t>
        </is>
      </c>
      <c r="F10" s="0" t="inlineStr">
        <is>
          <t xml:space="preserve">Región Metropolitana de Santiago</t>
        </is>
      </c>
      <c r="G10" s="0" t="inlineStr">
        <is>
          <t xml:space="preserve">Santiago</t>
        </is>
      </c>
      <c r="H10" s="2">
        <v>46325.675961</v>
      </c>
      <c r="I10" s="2">
        <v>46342.646528</v>
      </c>
      <c r="J10" s="0">
        <v>16</v>
      </c>
      <c r="K10" s="3">
        <v>50000000.0</v>
      </c>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licencias</t>
        </is>
      </c>
      <c r="P10" s="2"/>
      <c r="Q10" s="2"/>
      <c r="R10" s="0" t="inlineStr">
        <is>
          <t xml:space="preserve">36 meses</t>
        </is>
      </c>
      <c r="S10" s="0" t="inlineStr">
        <is>
          <t xml:space="preserve">No</t>
        </is>
      </c>
      <c r="T10" s="4"/>
      <c r="U10" s="0" t="inlineStr">
        <is>
          <t xml:space="preserve">Alex Saavedra</t>
        </is>
      </c>
      <c r="V10" s="4" t="inlineStr">
        <is>
          <t xml:space="preserve">Adquisición de licencia para la gestión de respaldo, recuperación y protección de datos para 100 estaciones End-Point de DIPRECA por 36 meses. Incluye gestión 100% Cloud, protección ante ransomware y continuidad operativa.</t>
        </is>
      </c>
      <c r="W10" s="5" t="str">
        <f>HYPERLINK("https://www.mercadopublico.cl/Procurement/Modules/Attachment/ViewAttachment.aspx?enc=kz6AtgoTzZspfgJepLVQiJW3%2bqdfBU8sKpQTyUVxwq%2b5iwM1nvlPoypHwm2xJDnPSY838D2yFvzs5AqZK3slCgIabE0PL69N607bsHuPkCpCROviyeFX889LJcCqKrNes6YxuTIgq51LGy2B35nVp8x2CKZGLn35qYihTIiBKpy2qfP7c4USvmXpFKL7eslf3JT1iJ%2bGye9ZVauN7X3ABAQZtazUtldx%2bAPWiTSEYt%2bccLWbuWy3EWYt3yKa6c8CmKT6lJWZbyOTGB04txbaTyx7LPwdZISejE1oB%2fGSCcGmhQw57YMYYCCE42y5qmK6","descargar bases")</f>
      </c>
    </row>
    <row r="11">
      <c r="A11" s="0" t="inlineStr">
        <is>
          <t xml:space="preserve">5420-25-LP26</t>
        </is>
      </c>
      <c r="B11" s="4" t="inlineStr">
        <is>
          <t xml:space="preserve">Modernización Integral de Infraestructura TI</t>
        </is>
      </c>
      <c r="C11" s="0" t="inlineStr">
        <is>
          <t xml:space="preserve">Publicada</t>
        </is>
      </c>
      <c r="D11" s="0" t="inlineStr">
        <is>
          <t xml:space="preserve">GOBIERNO REGIONAL DE ARICA-PARINACOTA</t>
        </is>
      </c>
      <c r="E11" s="0" t="inlineStr">
        <is>
          <t xml:space="preserve">Gobierno Regional de Arica y Parinacota</t>
        </is>
      </c>
      <c r="F11" s="0" t="inlineStr">
        <is>
          <t xml:space="preserve">Región de Arica y Parinacota</t>
        </is>
      </c>
      <c r="G11" s="0" t="inlineStr">
        <is>
          <t xml:space="preserve">Arica</t>
        </is>
      </c>
      <c r="H11" s="2">
        <v>46325.752037</v>
      </c>
      <c r="I11" s="2">
        <v>46345.645833</v>
      </c>
      <c r="J11" s="0">
        <v>19</v>
      </c>
      <c r="K11" s="3">
        <v>303000000.0</v>
      </c>
      <c r="L11" s="0" t="inlineStr">
        <is>
          <t xml:space="preserve">CLP</t>
        </is>
      </c>
      <c r="M11" s="0" t="inlineStr">
        <is>
          <t xml:space="preserve">LP</t>
        </is>
      </c>
      <c r="N11" s="4" t="inlineStr">
        <is>
          <t xml:space="preserve">Tecnologías de la información, telecomunicaciones y radiodifusión / Equipos informáticos y accesorios / Computadores</t>
        </is>
      </c>
      <c r="O11" s="4" t="inlineStr">
        <is>
          <t xml:space="preserve">1 Unidad · Servidores</t>
        </is>
      </c>
      <c r="P11" s="2"/>
      <c r="Q11" s="2"/>
      <c r="R11" s="0" t="inlineStr">
        <is>
          <t xml:space="preserve">20 meses</t>
        </is>
      </c>
      <c r="S11" s="0" t="inlineStr">
        <is>
          <t xml:space="preserve">No</t>
        </is>
      </c>
      <c r="T11" s="4"/>
      <c r="U11" s="0" t="inlineStr">
        <is>
          <t xml:space="preserve">Pamela Guillén Montecino</t>
        </is>
      </c>
      <c r="V11" s="4" t="inlineStr">
        <is>
          <t xml:space="preserve">El Gobierno Regional de Arica y Parinacota requiere contratar la adquisición, implementación y modernización integral de su infraestructura tecnológica, incluyendo virtualización, almacenamiento, respaldo, redes y seguridad, con el propósito de fortalecer la continuidad operativa y modernizar los servicios tecnológicos institucionales.
La contratación comprende el suministro de equipos, licencias, instalación, configuración, integración, migración, pruebas, documentación, capacitación, garantías y soporte, de acuerdo con las Bases Administrativas, Bases Técnicas y anexos de la presente licitación.</t>
        </is>
      </c>
      <c r="W11" s="5" t="str">
        <f>HYPERLINK("https://www.mercadopublico.cl/Procurement/Modules/Attachment/ViewAttachment.aspx?enc=t18ON5oerhnwKBw0U9fryr8%2fkLF%2bK27sDHTAzquKxKWrAwqcTefT61t%2bZGSNO8XnvlIXCoa%2fBl0ni4zEUYNXk8C5SwnzMtOCYaLgKgA7hvbLy%2fKtKer42eE4eHIhk4NdgTVVXRQjzTztX2Q6TvgpsJ0nXGYl8SDX6jp1yHHYfYKX9fYXpqfx1KmXbUsFBhFqUWQxELGgxqsaUaJMveffd77B3xlCMUZjQSTQiwXilREw8QcGcjF%2fXhLzhGnq9vgN9lZrx8ojQpxXLMqteguphJDu8N6uhRyjs81s2FsyGwbgAy7immK8pcc7Y6x3gGaY","descargar bases")</f>
      </c>
    </row>
  </sheetData>
  <autoFilter ref="A1:W1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2490-91-LP26</t>
        </is>
      </c>
      <c r="B2" s="4" t="inlineStr">
        <is>
          <t xml:space="preserve">ARRIENDO SOPORTE Y MANTENCIÓN DE GABINETES PSICOSENSOMÉTRICOS Y EQUIPOS COMPUTACIONALES CON SOFTWARE SPI INTEGRADO 2027-2031</t>
        </is>
      </c>
      <c r="C2" s="0" t="inlineStr">
        <is>
          <t xml:space="preserve">Publicada</t>
        </is>
      </c>
      <c r="D2" s="0" t="inlineStr">
        <is>
          <t xml:space="preserve">I MUNICIPALIDAD DE PROVIDENCIA</t>
        </is>
      </c>
      <c r="E2" s="0" t="inlineStr">
        <is>
          <t xml:space="preserve">Dirección de Secpla</t>
        </is>
      </c>
      <c r="F2" s="0" t="inlineStr">
        <is>
          <t xml:space="preserve">Región Metropolitana de Santiago</t>
        </is>
      </c>
      <c r="G2" s="0" t="inlineStr">
        <is>
          <t xml:space="preserve">Providencia</t>
        </is>
      </c>
      <c r="H2" s="2">
        <v>46296.700741</v>
      </c>
      <c r="I2" s="2">
        <v>46329.541667</v>
      </c>
      <c r="J2" s="0">
        <v>3</v>
      </c>
      <c r="K2" s="3">
        <v>190000000.0</v>
      </c>
      <c r="L2" s="0" t="inlineStr">
        <is>
          <t xml:space="preserve">CLP</t>
        </is>
      </c>
      <c r="M2" s="0" t="inlineStr">
        <is>
          <t xml:space="preserve">LP</t>
        </is>
      </c>
      <c r="N2" s="4" t="inlineStr">
        <is>
          <t xml:space="preserve">Equipos y suministros de defensa, orden público, protección y seguridad / Seguridad y control público / Control de tráfico</t>
        </is>
      </c>
      <c r="O2" s="4" t="inlineStr">
        <is>
          <t xml:space="preserve">1 Global · Señales de tránsito</t>
        </is>
      </c>
      <c r="P2" s="2"/>
      <c r="Q2" s="2"/>
      <c r="R2" s="0" t="inlineStr">
        <is>
          <t xml:space="preserve">48 meses</t>
        </is>
      </c>
      <c r="S2" s="0" t="inlineStr">
        <is>
          <t xml:space="preserve">No</t>
        </is>
      </c>
      <c r="T2" s="4"/>
      <c r="U2" s="0" t="inlineStr">
        <is>
          <t xml:space="preserve">Luis Barrientos Echavarría</t>
        </is>
      </c>
      <c r="V2"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2" s="5" t="str">
        <f>HYPERLINK("https://www.mercadopublico.cl/Procurement/Modules/Attachment/ViewAttachment.aspx?enc=CeVJ75gu457oIzEIItpMt3U0tLYuW%2b6dtiaH7aw%2bCd7UtX%2fe3FR0gti0zD6dZy2dtKg8cdhHN8FILerJLhNTUHzAsq1cE0QwVJ1nVFQJNi3aODOsissw7Ls6w4z45JrZtS%2ft3svqQBeB6gcUIyWcENlAAvcTThhF3YPZ0bBoFYQjuE0XC1O11stJ0ThKuvMQhic3f16Sg56v1JAnxzG5Mdfgb0oZwxrPqJZTZck9YPNQKZW7viESwNQKgoh4s9ifMXd8bVfyDwkaQiTAdLIAPhG82nAwufDawIocBb6J5TolBJ%2b87hbEBCOxa7RPQEZ1","descargar bases")</f>
      </c>
    </row>
    <row r="3">
      <c r="A3" s="0" t="inlineStr">
        <is>
          <t xml:space="preserve">1057432-101-LE26</t>
        </is>
      </c>
      <c r="B3" s="4" t="inlineStr">
        <is>
          <t xml:space="preserve">SOFTWARE DE DISEÑO PARA SSC POR 12 MESES.</t>
        </is>
      </c>
      <c r="C3" s="0" t="inlineStr">
        <is>
          <t xml:space="preserve">Publicada</t>
        </is>
      </c>
      <c r="D3" s="0" t="inlineStr">
        <is>
          <t xml:space="preserve">SERVICIO DE SALUD CONCEPCION</t>
        </is>
      </c>
      <c r="E3" s="0" t="inlineStr">
        <is>
          <t xml:space="preserve">Servicio de Salud  Concepción</t>
        </is>
      </c>
      <c r="F3" s="0" t="inlineStr">
        <is>
          <t xml:space="preserve">Región del Biobío </t>
        </is>
      </c>
      <c r="G3" s="0" t="inlineStr">
        <is>
          <t xml:space="preserve">Concepción</t>
        </is>
      </c>
      <c r="H3" s="2">
        <v>46318.43265</v>
      </c>
      <c r="I3" s="2">
        <v>46329.625</v>
      </c>
      <c r="J3" s="0">
        <v>3</v>
      </c>
      <c r="K3" s="3"/>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13 Unidad · Software de gestión de licencias · 8 Unidad · Software de gestión de licencias</t>
        </is>
      </c>
      <c r="P3" s="2"/>
      <c r="Q3" s="2"/>
      <c r="R3" s="0" t="inlineStr">
        <is>
          <t xml:space="preserve">12 meses</t>
        </is>
      </c>
      <c r="S3" s="0" t="inlineStr">
        <is>
          <t xml:space="preserve">No</t>
        </is>
      </c>
      <c r="T3" s="4"/>
      <c r="U3" s="0" t="inlineStr">
        <is>
          <t xml:space="preserve">CLAUDIO SEPULVEDA</t>
        </is>
      </c>
      <c r="V3" s="4" t="inlineStr">
        <is>
          <t xml:space="preserve">Se requiere adquirir software de diseño asistido por computador y modelado de proyecto para SSC, según especificaciones técnicas.</t>
        </is>
      </c>
      <c r="W3" s="5" t="str">
        <f>HYPERLINK("https://www.mercadopublico.cl/Procurement/Modules/Attachment/ViewAttachment.aspx?enc=XXEgmIervSUTlrPjcEwMVEsLMPr1RMdTRkAf3sAtUdozgifNZxvfOMu2KwcEpk3uFN4uR0j4Itzs9SDANMKKZs5aVSm20sdgl6jphTLBArKNdZnqQRVW8MDhYkllvBOABtg%2frkR77kGd1Nljgj8fULvCW0O%2btJVtUckX%2bJjyXG5QSuBYdaOewAPTVeVukifrfDt4%2fcNnmbj272TD3Zq%2bANkPXkui%2foqC0Q3EfQSa5Cf16YufssTNE1b05%2b%2fqDomeDnil7jERyoaxqRE2IE4BBJEOCFYTtBptXft5lFnH6WChcjc6KDIiqa25Z7N%2ffFKx","descargar bases")</f>
      </c>
    </row>
    <row r="4">
      <c r="A4" s="0" t="inlineStr">
        <is>
          <t xml:space="preserve">2770-154-LP26</t>
        </is>
      </c>
      <c r="B4" s="4" t="inlineStr">
        <is>
          <t xml:space="preserve">SERVICIOS DE TELEFONÍA Y DATOS MÓVILES</t>
        </is>
      </c>
      <c r="C4" s="0" t="inlineStr">
        <is>
          <t xml:space="preserve">Publicada</t>
        </is>
      </c>
      <c r="D4" s="0" t="inlineStr">
        <is>
          <t xml:space="preserve">I MUNICIPALIDAD DE MAIPU</t>
        </is>
      </c>
      <c r="E4" s="0" t="inlineStr">
        <is>
          <t xml:space="preserve">I MUNICIPALIDAD DE MAIPU</t>
        </is>
      </c>
      <c r="F4" s="0" t="inlineStr">
        <is>
          <t xml:space="preserve">Región Metropolitana de Santiago</t>
        </is>
      </c>
      <c r="G4" s="0" t="inlineStr">
        <is>
          <t xml:space="preserve">Maipú</t>
        </is>
      </c>
      <c r="H4" s="2">
        <v>46308.486111</v>
      </c>
      <c r="I4" s="2">
        <v>46329.625</v>
      </c>
      <c r="J4" s="0">
        <v>3</v>
      </c>
      <c r="K4" s="3">
        <v>193200000.0</v>
      </c>
      <c r="L4" s="0" t="inlineStr">
        <is>
          <t xml:space="preserve">CLP</t>
        </is>
      </c>
      <c r="M4" s="0" t="inlineStr">
        <is>
          <t xml:space="preserve">LP</t>
        </is>
      </c>
      <c r="N4" s="4" t="inlineStr">
        <is>
          <t xml:space="preserve">Servicios básicos y de información pública / Telecomunicaciones / Comunicaciones móviles</t>
        </is>
      </c>
      <c r="O4" s="4" t="inlineStr">
        <is>
          <t xml:space="preserve">1 Global · Servicios de telefonía móvil</t>
        </is>
      </c>
      <c r="P4" s="2"/>
      <c r="Q4" s="2"/>
      <c r="R4" s="0" t="inlineStr">
        <is>
          <t xml:space="preserve">24 meses</t>
        </is>
      </c>
      <c r="S4" s="0" t="inlineStr">
        <is>
          <t xml:space="preserve">No</t>
        </is>
      </c>
      <c r="T4" s="4"/>
      <c r="U4" s="0" t="inlineStr">
        <is>
          <t xml:space="preserve">Teresa Olave Quinteros</t>
        </is>
      </c>
      <c r="V4"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4" s="5" t="str">
        <f>HYPERLINK("https://www.mercadopublico.cl/Procurement/Modules/Attachment/ViewAttachment.aspx?enc=VWQQtEOuEDWj8Iw1oNU%2bJB%2fVSBqSX2Mdc3mnrXis38LD8wn6GTOpDRiYu2yRyB7L5NsPXkaEVcGvLPtpVNzdFXhOSVdcFbUMcyjwBNSlNTDgxKHWOyagU7aMnQDjdU9lynijhLkL%2bvr9CHfcIaQZ1fqey9BCtYn4FaRCFIKNQEP8w9jic05%2fOOq1pA5bqxzJIAC7OMK3q8Rgeq9Yw5xkXKw%2fpZ2bFlcD%2bsS%2fkdkX2p9CfOPM7Ud25MEuT792EGVmtwBCZiUA%2f3CD6zOy0LHmYpNpDCO3sofN0ih8VMIUis%2bt3gBULfVYdFeDfUCFarcJ","descargar bases")</f>
      </c>
    </row>
    <row r="5">
      <c r="A5" s="0" t="inlineStr">
        <is>
          <t xml:space="preserve">622-66-LE26</t>
        </is>
      </c>
      <c r="B5" s="4" t="inlineStr">
        <is>
          <t xml:space="preserve">ADQUISICIÓN DE LICENCIAS PARA SOFTWARE DLP</t>
        </is>
      </c>
      <c r="C5" s="0" t="inlineStr">
        <is>
          <t xml:space="preserve">Publicada</t>
        </is>
      </c>
      <c r="D5" s="0" t="inlineStr">
        <is>
          <t xml:space="preserve">TESORERIA GENERAL DE LA REPUBLICA</t>
        </is>
      </c>
      <c r="E5" s="0" t="inlineStr">
        <is>
          <t xml:space="preserve">Tesorería General de la República</t>
        </is>
      </c>
      <c r="F5" s="0" t="inlineStr">
        <is>
          <t xml:space="preserve">Región Metropolitana de Santiago</t>
        </is>
      </c>
      <c r="G5" s="0" t="inlineStr">
        <is>
          <t xml:space="preserve">Santiago</t>
        </is>
      </c>
      <c r="H5" s="2">
        <v>46303.438889</v>
      </c>
      <c r="I5" s="2">
        <v>46329.625</v>
      </c>
      <c r="J5" s="0">
        <v>3</v>
      </c>
      <c r="K5" s="3">
        <v>69700000.0</v>
      </c>
      <c r="L5" s="0" t="inlineStr">
        <is>
          <t xml:space="preserve">CLP</t>
        </is>
      </c>
      <c r="M5" s="0" t="inlineStr">
        <is>
          <t xml:space="preserve">LE</t>
        </is>
      </c>
      <c r="N5" s="4" t="inlineStr">
        <is>
          <t xml:space="preserve">Tecnologías de la información, telecomunicaciones y radiodifusión / Software / Software de gestión</t>
        </is>
      </c>
      <c r="O5" s="4" t="inlineStr">
        <is>
          <t xml:space="preserve">1 Unidad · Software de gestión de licencias</t>
        </is>
      </c>
      <c r="P5" s="2"/>
      <c r="Q5" s="2"/>
      <c r="R5" s="0" t="inlineStr">
        <is>
          <t xml:space="preserve">24 meses</t>
        </is>
      </c>
      <c r="S5" s="0" t="inlineStr">
        <is>
          <t xml:space="preserve">No</t>
        </is>
      </c>
      <c r="T5"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5" s="0" t="inlineStr">
        <is>
          <t xml:space="preserve">Será indicado en el contrato a suscribir.</t>
        </is>
      </c>
      <c r="V5"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5" s="5" t="str">
        <f>HYPERLINK("https://www.mercadopublico.cl/Procurement/Modules/Attachment/ViewAttachment.aspx?enc=uPdFSIy%2bKg9GNwMIVsWQoKRAsAY8s71GU0%2bqtyLhANCVqoiBv7AXTZ0Ti%2fTsyI2dnBtBpV2UFxp99JF9D5e%2f5ygsN%2bDjTb%2bnr9yHGB83IlsBBgthNIgWECy7RNuN6IhyPvHg1GVQsgN2LrzOZx4k2SOjDDhiQhSr%2bCoaZgfExaGBJTUW8siTzE6ysLZdTm1UR6mY83wlOwNSNigADprswa9ry01gL8HBrLp9zqON4YAOdoQw8HYpWiyVEvBn9lkRrTX9FC9xWSEYndAWZVpC5xFZbtROYRLYIdAu5MUISAlPFTXZ7E%2b32B%2fnKeJx%2fR%2fy","descargar bases")</f>
      </c>
    </row>
    <row r="6">
      <c r="A6" s="0" t="inlineStr">
        <is>
          <t xml:space="preserve">629373-23-LE26</t>
        </is>
      </c>
      <c r="B6" s="4" t="inlineStr">
        <is>
          <t xml:space="preserve">SERVICIO DE TÓTEMS DE AUTOATENCIÓN</t>
        </is>
      </c>
      <c r="C6" s="0" t="inlineStr">
        <is>
          <t xml:space="preserve">Publicada</t>
        </is>
      </c>
      <c r="D6" s="0" t="inlineStr">
        <is>
          <t xml:space="preserve">CORP MUNICIPAL DE SAN MIGUEL</t>
        </is>
      </c>
      <c r="E6" s="0" t="inlineStr">
        <is>
          <t xml:space="preserve">Corporación Municipal de San Miguel</t>
        </is>
      </c>
      <c r="F6" s="0" t="inlineStr">
        <is>
          <t xml:space="preserve">Región Metropolitana de Santiago</t>
        </is>
      </c>
      <c r="G6" s="0" t="inlineStr">
        <is>
          <t xml:space="preserve">San Miguel</t>
        </is>
      </c>
      <c r="H6" s="2">
        <v>46314.670833</v>
      </c>
      <c r="I6" s="2">
        <v>46329.625</v>
      </c>
      <c r="J6" s="0">
        <v>3</v>
      </c>
      <c r="K6" s="3">
        <v>70000000.0</v>
      </c>
      <c r="L6" s="0" t="inlineStr">
        <is>
          <t xml:space="preserve">CLP</t>
        </is>
      </c>
      <c r="M6" s="0" t="inlineStr">
        <is>
          <t xml:space="preserve">LE</t>
        </is>
      </c>
      <c r="N6" s="4" t="inlineStr">
        <is>
          <t xml:space="preserve">Equipos y suministros de defensa, orden público, protección y seguridad / Equipos para orden público / Equipo para control de disturbios</t>
        </is>
      </c>
      <c r="O6" s="4" t="inlineStr">
        <is>
          <t xml:space="preserve">1 Global · Sistemas de control de formación de filas</t>
        </is>
      </c>
      <c r="P6" s="2"/>
      <c r="Q6" s="2"/>
      <c r="R6" s="0" t="inlineStr">
        <is>
          <t xml:space="preserve">24 meses</t>
        </is>
      </c>
      <c r="S6" s="0" t="inlineStr">
        <is>
          <t xml:space="preserve">No</t>
        </is>
      </c>
      <c r="T6" s="4"/>
      <c r="U6" s="0" t="inlineStr">
        <is>
          <t xml:space="preserve">Karen Escobar</t>
        </is>
      </c>
      <c r="V6"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6" s="5" t="str">
        <f>HYPERLINK("https://www.mercadopublico.cl/Procurement/Modules/Attachment/ViewAttachment.aspx?enc=QwABqba8K4qusuS%2b87L%2fRBT94FmDSDmst6eS6nfgDjDDH0WAWvJhpmbOq5DuOBGd0b4m2vLUe4OWXTwVXLIjCuTcfhjyAFQWg9uUeM2PrUGW9ZJh1b0VqZBoQoIBAa6m1rC9ER03wFTf6V4JfHGUPWGxv5lU4xsNuqwoz98DAQacEc4VMzvFYkmkSjy4yJatJGY%2bJkVihiFkSj6fpC6SYh3gnaW%2bDcxZIQJcCTWoXeAALJBRyuUzijdRi83WKhfiVl7jIAN1ZZ3R3JxOgQo4mjaVYj39mtPx9t2olQhVL2QF7I3SkIL6htasIBe8ZNif","descargar bases")</f>
      </c>
    </row>
    <row r="7">
      <c r="A7" s="0" t="inlineStr">
        <is>
          <t xml:space="preserve">872-51-LE26</t>
        </is>
      </c>
      <c r="B7" s="4" t="inlineStr">
        <is>
          <t xml:space="preserve">Servicio Cloud Computing</t>
        </is>
      </c>
      <c r="C7" s="0" t="inlineStr">
        <is>
          <t xml:space="preserve">Publicada</t>
        </is>
      </c>
      <c r="D7" s="0" t="inlineStr">
        <is>
          <t xml:space="preserve">Comisión Chilena de Energía Nuclear</t>
        </is>
      </c>
      <c r="E7" s="0" t="inlineStr">
        <is>
          <t xml:space="preserve">Comisión Chilena de Energía Nuclear</t>
        </is>
      </c>
      <c r="F7" s="0" t="inlineStr">
        <is>
          <t xml:space="preserve">Región Metropolitana de Santiago</t>
        </is>
      </c>
      <c r="G7" s="0" t="inlineStr">
        <is>
          <t xml:space="preserve">Santiago</t>
        </is>
      </c>
      <c r="H7" s="2">
        <v>46318.398646</v>
      </c>
      <c r="I7" s="2">
        <v>46329.625</v>
      </c>
      <c r="J7" s="0">
        <v>3</v>
      </c>
      <c r="K7" s="3">
        <v>57000000.0</v>
      </c>
      <c r="L7" s="0" t="inlineStr">
        <is>
          <t xml:space="preserve">CLP</t>
        </is>
      </c>
      <c r="M7" s="0" t="inlineStr">
        <is>
          <t xml:space="preserve">LE</t>
        </is>
      </c>
      <c r="N7" s="4" t="inlineStr">
        <is>
          <t xml:space="preserve">Servicios basados en ingeniería, ciencias sociales y tecnología de la información / Servicios informáticos / Servicios para internet</t>
        </is>
      </c>
      <c r="O7" s="4" t="inlineStr">
        <is>
          <t xml:space="preserve">1 Unidad · Web Hosting</t>
        </is>
      </c>
      <c r="P7" s="2"/>
      <c r="Q7" s="2"/>
      <c r="R7" s="0"/>
      <c r="S7" s="0" t="inlineStr">
        <is>
          <t xml:space="preserve">No</t>
        </is>
      </c>
      <c r="T7" s="4" t="inlineStr">
        <is>
          <t xml:space="preserve">Indicado en bases de licitación</t>
        </is>
      </c>
      <c r="U7" s="0" t="inlineStr">
        <is>
          <t xml:space="preserve">Julio López</t>
        </is>
      </c>
      <c r="V7" s="4" t="inlineStr">
        <is>
          <t xml:space="preserve">La Comisión Chilena de Energía Nuclear CCHEN requiere contratar un servicio de Cloud Computing que permita mantener, operar y disponer de su infraestructura tecnológica en la nube, asegurando la continuidad, disponibilidad, seguridad y adecuado funcionamiento de los servicios y recursos tecnológicos asociados.
La contratación contempla la provisión de recursos y servicios de computación en la nube, tales como Infraestructura como Servicio IaaS o soluciones equivalentes, de acuerdo con los requerimientos técnicos establecidos en las presentes Bases de Licitación.</t>
        </is>
      </c>
      <c r="W7" s="5" t="str">
        <f>HYPERLINK("https://www.mercadopublico.cl/Procurement/Modules/Attachment/ViewAttachment.aspx?enc=uApl8x4M4xznVlXCQ4XYgBAp%2b0wiDY1xZ5lr8MdQGh1vl1ztgAQFkRafGdSs36Ky2iVfTqxJERDkkdhxW95kkekDqA8raeqJj1WAKUAQyYPSRVTC8aqRuCdP2ssQKUwNC5Ve6pC%2fXizMSQ8%2fx2KG9hdD83GA%2femr2lk9ozlXQ3BTQfHQFKzR1R4its2P2jpp6BBoPtPmmB6ju%2fQRehMnvGMoC07%2bHz55iadsuEnXsIzWNK0PUFnFT2nNNiEuWlsXS26N5%2fQnMhwFDsh2f37uezViUlOadPcffuZQRZ6t0vAdv%2bTAhfFDgducmAtVBUit","descargar bases")</f>
      </c>
    </row>
    <row r="8">
      <c r="A8" s="0" t="inlineStr">
        <is>
          <t xml:space="preserve">622-64-L126</t>
        </is>
      </c>
      <c r="B8" s="4" t="inlineStr">
        <is>
          <t xml:space="preserve">CONTRATACIÓN DEL CURSO INTELIGENCIA ARTIFICIAL APLICADA A LA GESTIÓN GREMIAL Y LA FUNCIÓN PÚBLICA</t>
        </is>
      </c>
      <c r="C8" s="0" t="inlineStr">
        <is>
          <t xml:space="preserve">Publicada</t>
        </is>
      </c>
      <c r="D8" s="0" t="inlineStr">
        <is>
          <t xml:space="preserve">TESORERIA GENERAL DE LA REPUBLICA</t>
        </is>
      </c>
      <c r="E8" s="0" t="inlineStr">
        <is>
          <t xml:space="preserve">Tesorería General de la República</t>
        </is>
      </c>
      <c r="F8" s="0" t="inlineStr">
        <is>
          <t xml:space="preserve">Región Metropolitana de Santiago</t>
        </is>
      </c>
      <c r="G8" s="0" t="inlineStr">
        <is>
          <t xml:space="preserve">Ñuñoa</t>
        </is>
      </c>
      <c r="H8" s="2">
        <v>46304.640278</v>
      </c>
      <c r="I8" s="2">
        <v>46329.625</v>
      </c>
      <c r="J8" s="0">
        <v>3</v>
      </c>
      <c r="K8" s="3">
        <v>5000000.0</v>
      </c>
      <c r="L8" s="0" t="inlineStr">
        <is>
          <t xml:space="preserve">CLP</t>
        </is>
      </c>
      <c r="M8" s="0" t="inlineStr">
        <is>
          <t xml:space="preserve">L1</t>
        </is>
      </c>
      <c r="N8" s="4" t="inlineStr">
        <is>
          <t xml:space="preserve">Educación, formación, entrenamiento y capacitación / Sistemas educativos complementarios / Educación de adultos</t>
        </is>
      </c>
      <c r="O8" s="4" t="inlineStr">
        <is>
          <t xml:space="preserve">1 Unidad · Capacitación a empleados</t>
        </is>
      </c>
      <c r="P8" s="2"/>
      <c r="Q8" s="2"/>
      <c r="R8" s="0"/>
      <c r="S8" s="0" t="inlineStr">
        <is>
          <t xml:space="preserve">No</t>
        </is>
      </c>
      <c r="T8" s="4"/>
      <c r="U8" s="0"/>
      <c r="V8"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8" s="5" t="str">
        <f>HYPERLINK("https://www.mercadopublico.cl/Procurement/Modules/Attachment/ViewAttachment.aspx?enc=u75WuCPvzHREs5fhiLPDXCEShn3rHz6EiQfEO1KjDr%2fOh0UYMMhxSw8jSigDed9kLcSG%2fwigrvRiOsHHx1E2WJfh41dcogJPQTt0gj5TFt%2f42MTBc1EhUOt4DVnfvcH4y97Hfdtiuy69b3fvcIGtPOXN%2bhw5n6udiD%2bU45SVKN4TNU5iTqPipEPu%2bfA46tMil9AkFLk7bwKaOJjGk3CVKIXVGRh3p%2bXbR8RmFXgH76YAE5YPd94ZDO1bva%2bQ1kZAcLZM09SMkqBBPgkMb0dAeZGX5MsNLjucrNHmVY0K10e7HsdDvuGVFffLXh6Tc9yz","descargar bases")</f>
      </c>
    </row>
    <row r="9">
      <c r="A9" s="0" t="inlineStr">
        <is>
          <t xml:space="preserve">2020-23-LE26</t>
        </is>
      </c>
      <c r="B9" s="4" t="inlineStr">
        <is>
          <t xml:space="preserve">SERVICIOS DE DIGITALIZACIÓN Y EXTRACCIÓN DE TÉXTO.</t>
        </is>
      </c>
      <c r="C9" s="0" t="inlineStr">
        <is>
          <t xml:space="preserve">Publicada</t>
        </is>
      </c>
      <c r="D9" s="0" t="inlineStr">
        <is>
          <t xml:space="preserve">Biblioteca del Congreso Nacional</t>
        </is>
      </c>
      <c r="E9" s="0" t="inlineStr">
        <is>
          <t xml:space="preserve">Biblioteca del Congreso Nacional</t>
        </is>
      </c>
      <c r="F9" s="0" t="inlineStr">
        <is>
          <t xml:space="preserve">Región Metropolitana de Santiago</t>
        </is>
      </c>
      <c r="G9" s="0" t="inlineStr">
        <is>
          <t xml:space="preserve">Santiago Centro</t>
        </is>
      </c>
      <c r="H9" s="2">
        <v>46309.468056</v>
      </c>
      <c r="I9" s="2">
        <v>46329.625694</v>
      </c>
      <c r="J9" s="0">
        <v>3</v>
      </c>
      <c r="K9" s="3">
        <v>72000000.0</v>
      </c>
      <c r="L9" s="0" t="inlineStr">
        <is>
          <t xml:space="preserve">CLP</t>
        </is>
      </c>
      <c r="M9" s="0" t="inlineStr">
        <is>
          <t xml:space="preserve">LE</t>
        </is>
      </c>
      <c r="N9" s="4" t="inlineStr">
        <is>
          <t xml:space="preserve">Servicios basados en ingeniería, ciencias sociales y tecnología de la información / Servicios informáticos / Servicios de datos</t>
        </is>
      </c>
      <c r="O9" s="4" t="inlineStr">
        <is>
          <t xml:space="preserve">1 Unidad · Servicios de digitalización de documentos</t>
        </is>
      </c>
      <c r="P9" s="2"/>
      <c r="Q9" s="2"/>
      <c r="R9" s="0" t="inlineStr">
        <is>
          <t xml:space="preserve">80 días</t>
        </is>
      </c>
      <c r="S9" s="0" t="inlineStr">
        <is>
          <t xml:space="preserve">No</t>
        </is>
      </c>
      <c r="T9" s="4" t="inlineStr">
        <is>
          <t xml:space="preserve">Según lo establecido en numeral 24. Subcontratación de las Bases de Licitación adjuntas.</t>
        </is>
      </c>
      <c r="U9" s="0" t="inlineStr">
        <is>
          <t xml:space="preserve">80 Días Hábiles. Unidad Requirente.</t>
        </is>
      </c>
      <c r="V9" s="4" t="inlineStr">
        <is>
          <t xml:space="preserve">SERVICIO ESPECIALIZADO DE DIGITALIZACIÓN Y EXTRACCIÓN INTELIGENTE DE TEXTO, DEL ARCHIVO DE PRENSA HISTÓRICA DE LA BIBLIOTECA DEL CONGRESO NACIONAL.</t>
        </is>
      </c>
      <c r="W9" s="5" t="str">
        <f>HYPERLINK("https://www.mercadopublico.cl/Procurement/Modules/Attachment/ViewAttachment.aspx?enc=loto0q3SEvy116kxQG1z8c2ANxF29gnv4MNjWXvJt9unkBooeZhUY7OJ8jZMVjXgsyzLRBxuvpf4Ysseh41a2qd1MZOHmEi4YQtLH%2fh8SOQSO1BmnabABqhsOh%2bu9O5UpjOXD%2bZhQOqpuij4HX4FD3L1NdH3u5exzZNfQJt93Eo87NWpeWXqMbtEDTR2RqMKnj0bSFow8QrwG%2fsNWTiGmBEuR6tQv7VVY4g3w4QSjxDGyRMbcSL4AH0UF3XNBGrquEauEkdmSatR8uGSRq6LlBlRutLgQ5snuZXGzua0XMnCUohN6t2cJdEHOrGk7SeG","descargar bases")</f>
      </c>
    </row>
    <row r="10">
      <c r="A10" s="0" t="inlineStr">
        <is>
          <t xml:space="preserve">3730-102-L126</t>
        </is>
      </c>
      <c r="B10" s="4" t="inlineStr">
        <is>
          <t xml:space="preserve">REPARACION , MANTECION  TABLEROS DE BASQUETBOL GIMNASIO MUNICIPAL</t>
        </is>
      </c>
      <c r="C10" s="0" t="inlineStr">
        <is>
          <t xml:space="preserve">Publicada</t>
        </is>
      </c>
      <c r="D10" s="0" t="inlineStr">
        <is>
          <t xml:space="preserve">I MUNICIPALIDAD DE CHIMBARONGO</t>
        </is>
      </c>
      <c r="E10" s="0" t="inlineStr">
        <is>
          <t xml:space="preserve">Adquisiciones  Obras</t>
        </is>
      </c>
      <c r="F10" s="0" t="inlineStr">
        <is>
          <t xml:space="preserve">Región del Libertador General Bernardo O´Higgins</t>
        </is>
      </c>
      <c r="G10" s="0" t="inlineStr">
        <is>
          <t xml:space="preserve">Chimbarongo</t>
        </is>
      </c>
      <c r="H10" s="2">
        <v>46317.531343</v>
      </c>
      <c r="I10" s="2">
        <v>46329.631944</v>
      </c>
      <c r="J10" s="0">
        <v>3</v>
      </c>
      <c r="K10" s="3">
        <v>3300000.0</v>
      </c>
      <c r="L10" s="0" t="inlineStr">
        <is>
          <t xml:space="preserve">CLP</t>
        </is>
      </c>
      <c r="M10" s="0" t="inlineStr">
        <is>
          <t xml:space="preserve">L1</t>
        </is>
      </c>
      <c r="N10" s="4" t="inlineStr">
        <is>
          <t xml:space="preserve">Servicios de transporte, almacenaje y correo / Servicios de mantención o reparaciones de transportes / Servicios de panel, chapa y pintura</t>
        </is>
      </c>
      <c r="O10" s="4" t="inlineStr">
        <is>
          <t xml:space="preserve">1 Unidad no definida · Servicios de reparación o manutención del panel de instrumentos</t>
        </is>
      </c>
      <c r="P10" s="2"/>
      <c r="Q10" s="2"/>
      <c r="R10" s="0"/>
      <c r="S10" s="0" t="inlineStr">
        <is>
          <t xml:space="preserve">No</t>
        </is>
      </c>
      <c r="T10" s="4"/>
      <c r="U10" s="0"/>
      <c r="V10" s="4" t="inlineStr">
        <is>
          <t xml:space="preserve">LA CONTRATACIÓN DE LA REPARACIÓN, MANTENCIÓN Y MEJORAS DEL SISTEMA RETRÁCTIL, TABLEROS Y AROS DE BASQUETBOL DEL GIMNASIO MUNICIPAL, PARA GARANTIZAR EL CORRECTO FUNCIONAMIENTO OPERATIVO LA PRECISIÓN ESTRUCTURAL Y LOS ESTÁNDARES DE SEGURIDAD REQUERIDOS PARA EL DESARROLLO DE ACTIVIDADES DEPORTIVAS</t>
        </is>
      </c>
      <c r="W10" s="5" t="str">
        <f>HYPERLINK("https://www.mercadopublico.cl/Procurement/Modules/Attachment/ViewAttachment.aspx?enc=CX7U0u%2bGRGXssi8pumodbYUcrOupCZg3IiOGDoP2fl9IUQpQpADWBvDLElLVi1AdVqR%2fU7Y4Kyw51lNuA7uW%2bs4VPRRr0PBOwpqSdD0tiVlTNlP613gdd7KYPIEfgRznV4RUXNci%2bgYqK0390VSFkntHiSlKMcY1IVFuumiAbbJsmmpfCM1uOJW1HAxFYhho8T0BGgbH%2bkNFxm%2fvo2bjHUQJR9EjxAfVQTgqXe5Gf5LOCfg6D8ZLrRYvS8vJkzqTWHU9QR5jb%2fKFamwVLe8DOiQFA6KZGFjgYC70LppnozSHxrN8gxvHl0exmA%2f3V%2bXw","descargar bases")</f>
      </c>
    </row>
    <row r="11">
      <c r="A11" s="0" t="inlineStr">
        <is>
          <t xml:space="preserve">542429-10-LE26</t>
        </is>
      </c>
      <c r="B11" s="4" t="inlineStr">
        <is>
          <t xml:space="preserve">Renovación de licencias de software</t>
        </is>
      </c>
      <c r="C11" s="0" t="inlineStr">
        <is>
          <t xml:space="preserve">Publicada</t>
        </is>
      </c>
      <c r="D11" s="0" t="inlineStr">
        <is>
          <t xml:space="preserve">UNIDAD ADMINISTRADORA DE LOS TRIBUNALES TRIBUTARIOS Y ADUANEROS</t>
        </is>
      </c>
      <c r="E11" s="0" t="inlineStr">
        <is>
          <t xml:space="preserve">UNIDAD ADMINISTRADORA DE LOS TRIBUNALES TRIBUTARIOS Y ADUANEROS</t>
        </is>
      </c>
      <c r="F11" s="0" t="inlineStr">
        <is>
          <t xml:space="preserve">Región Metropolitana de Santiago</t>
        </is>
      </c>
      <c r="G11" s="0" t="inlineStr">
        <is>
          <t xml:space="preserve">Arica</t>
        </is>
      </c>
      <c r="H11" s="2">
        <v>46318.614248</v>
      </c>
      <c r="I11" s="2">
        <v>46329.645833</v>
      </c>
      <c r="J11" s="0">
        <v>3</v>
      </c>
      <c r="K11" s="3">
        <v>40580.0</v>
      </c>
      <c r="L11" s="0" t="inlineStr">
        <is>
          <t xml:space="preserve">USD</t>
        </is>
      </c>
      <c r="M11" s="0" t="inlineStr">
        <is>
          <t xml:space="preserve">LE</t>
        </is>
      </c>
      <c r="N11" s="4" t="inlineStr">
        <is>
          <t xml:space="preserve">Tecnologías de la información, telecomunicaciones y radiodifusión / Software / Software de gestión</t>
        </is>
      </c>
      <c r="O11" s="4" t="inlineStr">
        <is>
          <t xml:space="preserve">1 Unidad · Software de gestión de licencias · 1 Unidad · Software de gestión de licencias</t>
        </is>
      </c>
      <c r="P11" s="2"/>
      <c r="Q11" s="2"/>
      <c r="R11" s="0" t="inlineStr">
        <is>
          <t xml:space="preserve">36 meses</t>
        </is>
      </c>
      <c r="S11" s="0" t="inlineStr">
        <is>
          <t xml:space="preserve">No</t>
        </is>
      </c>
      <c r="T11" s="4"/>
      <c r="U11" s="0" t="inlineStr">
        <is>
          <t xml:space="preserve">Karen Brito</t>
        </is>
      </c>
      <c r="V11" s="4" t="inlineStr">
        <is>
          <t xml:space="preserve">Renovación de licencias de software</t>
        </is>
      </c>
      <c r="W11" s="5" t="str">
        <f>HYPERLINK("https://www.mercadopublico.cl/Procurement/Modules/Attachment/ViewAttachment.aspx?enc=YXBZaLrKnQYr6zKCwqCSsywiEQf%2fq2iJICxZfYCj8CCoEiChLSIXdAKvYDYIwHRDpmH6sTu5z%2fIsrKmwyxrAAKHosySJAsRW1p9a0fvf4rDV2ID%2fN4dyCA3mFyR%2bMwosLa7fLaDSWr1qsPOH5hUQFbFC7Fo1n%2f5yLfdmqALkmoY7bsNDfvRoLycdBfN5cCgD2DX%2bIAtwTJGKx%2f%2bZGwnDj5k0ZeaVPQ90OIYpE09NVgx%2fnLoxR4SO35PWgu3KYNHvPZ17mA8oa5I%2b4MkTubTLMK6hpzNm0xWaxxHUKNjfovWOEpy4VtbBdU%2brU%2fxoXV3w","descargar bases")</f>
      </c>
    </row>
    <row r="12">
      <c r="A12" s="0" t="inlineStr">
        <is>
          <t xml:space="preserve">654478-7-LP26</t>
        </is>
      </c>
      <c r="B12" s="4" t="inlineStr">
        <is>
          <t xml:space="preserve">RENOVACIÓN DE SOPORTE DE LICENCIAS DE SOFTWARE</t>
        </is>
      </c>
      <c r="C12" s="0" t="inlineStr">
        <is>
          <t xml:space="preserve">Publicada</t>
        </is>
      </c>
      <c r="D12" s="0" t="inlineStr">
        <is>
          <t xml:space="preserve">SUBSECRETARIA DE PREVENCION DEL DELITO</t>
        </is>
      </c>
      <c r="E12" s="0" t="inlineStr">
        <is>
          <t xml:space="preserve">Subsecretaría de Prevención del Delito</t>
        </is>
      </c>
      <c r="F12" s="0" t="inlineStr">
        <is>
          <t xml:space="preserve">Región Metropolitana de Santiago</t>
        </is>
      </c>
      <c r="G12" s="0" t="inlineStr">
        <is>
          <t xml:space="preserve">Santiago</t>
        </is>
      </c>
      <c r="H12" s="2">
        <v>46309.503866</v>
      </c>
      <c r="I12" s="2">
        <v>46329.666667</v>
      </c>
      <c r="J12" s="0">
        <v>3</v>
      </c>
      <c r="K12" s="3">
        <v>368390.0</v>
      </c>
      <c r="L12" s="0" t="inlineStr">
        <is>
          <t xml:space="preserve">USD</t>
        </is>
      </c>
      <c r="M12" s="0" t="inlineStr">
        <is>
          <t xml:space="preserve">LP</t>
        </is>
      </c>
      <c r="N12" s="4" t="inlineStr">
        <is>
          <t xml:space="preserve">Tecnologías de la información, telecomunicaciones y radiodifusión / Software / Software de gestión</t>
        </is>
      </c>
      <c r="O12" s="4" t="inlineStr">
        <is>
          <t xml:space="preserve">1 Unidad · Software de gestión de licencias · 1 Unidad · Software de gestión de licencias · 1 Unidad · Software de gestión de licencias · y 11 más</t>
        </is>
      </c>
      <c r="P12" s="2"/>
      <c r="Q12" s="2"/>
      <c r="R12" s="0" t="inlineStr">
        <is>
          <t xml:space="preserve">24 meses</t>
        </is>
      </c>
      <c r="S12" s="0" t="inlineStr">
        <is>
          <t xml:space="preserve">No</t>
        </is>
      </c>
      <c r="T12" s="4" t="inlineStr">
        <is>
          <t xml:space="preserve">No está permitida dada la especificidad del servicio requerido.</t>
        </is>
      </c>
      <c r="U12" s="0" t="inlineStr">
        <is>
          <t xml:space="preserve">Luis Alarcón Ruiz</t>
        </is>
      </c>
      <c r="V12"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12" s="5" t="str">
        <f>HYPERLINK("https://www.mercadopublico.cl/Procurement/Modules/Attachment/ViewAttachment.aspx?enc=4adGTSjLzrIZu698XjtCOs2Jy%2b5dc%2fi%2blqgbMpYWa%2bfwWTHGqnIjY%2bOz6XyTFr5UnPeepFqCJyx1nl7gAmQLoF6FN%2bogccVCw%2fGdfVko0HVitOnlhSOOtbfG21fc9XtcyTN%2bzZ0Cz1cOkPqMWVxRAftLp71q7B7X5LjJdNGaS1sVialHZdF7tWaq5LwaQcIZUHnDNMaIuVXvlXbYpdKhnicZhSlvJjTORn70B6qp2MO%2bcPO0YXC8Y1Soswuz34iTGUDoWrlG%2fmQeFaV9q1svLNHq1I0nxZ4UN8iK1K%2bj076zadIIhDbxQ6cUC8cffdDH","descargar bases")</f>
      </c>
    </row>
    <row r="13">
      <c r="A13" s="0" t="inlineStr">
        <is>
          <t xml:space="preserve">885-107-LE26</t>
        </is>
      </c>
      <c r="B13" s="4" t="inlineStr">
        <is>
          <t xml:space="preserve">Contratación de una herramienta automatizada de análisis de vulnerabilidades de ciberseguridad para la CGR</t>
        </is>
      </c>
      <c r="C13" s="0" t="inlineStr">
        <is>
          <t xml:space="preserve">Publicada</t>
        </is>
      </c>
      <c r="D13" s="0" t="inlineStr">
        <is>
          <t xml:space="preserve">CONTRALORIA GENERAL DE LA REPUBLICA</t>
        </is>
      </c>
      <c r="E13" s="0" t="inlineStr">
        <is>
          <t xml:space="preserve">Contraloría General de la República</t>
        </is>
      </c>
      <c r="F13" s="0" t="inlineStr">
        <is>
          <t xml:space="preserve">Región Metropolitana de Santiago</t>
        </is>
      </c>
      <c r="G13" s="0" t="inlineStr">
        <is>
          <t xml:space="preserve">Santiago</t>
        </is>
      </c>
      <c r="H13" s="2">
        <v>46321.704144</v>
      </c>
      <c r="I13" s="2">
        <v>46329.666667</v>
      </c>
      <c r="J13" s="0">
        <v>3</v>
      </c>
      <c r="K13" s="3">
        <v>25000000.0</v>
      </c>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1 Global · Software de sistema experto</t>
        </is>
      </c>
      <c r="P13" s="2"/>
      <c r="Q13" s="2"/>
      <c r="R13" s="0" t="inlineStr">
        <is>
          <t xml:space="preserve">12 meses</t>
        </is>
      </c>
      <c r="S13" s="0" t="inlineStr">
        <is>
          <t xml:space="preserve">No</t>
        </is>
      </c>
      <c r="T13" s="4"/>
      <c r="U13" s="0" t="inlineStr">
        <is>
          <t xml:space="preserve">Antonio Alejandro Alcázar Garrido</t>
        </is>
      </c>
      <c r="V13" s="4" t="inlineStr">
        <is>
          <t xml:space="preserve">La Contraloría General de la República, requiere la contratación de una herramienta automatizada de análisis de vulnerabilidades de ciberseguridad, que incluya la provisión e instalación del software, capacitación para su uso, licencias y soporte, por un período de 12 meses.</t>
        </is>
      </c>
      <c r="W13" s="5" t="str">
        <f>HYPERLINK("https://www.mercadopublico.cl/Procurement/Modules/Attachment/ViewAttachment.aspx?enc=rtIrqWJTnbMFjQoktvZN%2bOyAV2CaBwlBGwG6%2bzzQL86pyn%2fSyCVwzro004vmIiYOeEbbhhVWJYMKQrcaKQ5St%2fTQ2cer4%2btj5QqveLqP8jN%2bxM4H19vi6baW87XwMyGliZX9m9Oswi%2fwai3QTe8MOa2UJS5Lsy054YQLwYJZj1xVTgzR%2blN6Ovgl3NP7RbNxRlImhPoeaC1Ey6j9HyphM19FyxceS4z8paORVwr9p7pcE%2fAvlnNS1szO5BgWGQaRbJS4Rtaf2BAv3D82VxT2BupYenGo68tm8tEpYe1dj6Bq5iK22YZar8OokVIXAG97","descargar bases")</f>
      </c>
    </row>
    <row r="14">
      <c r="A14" s="0" t="inlineStr">
        <is>
          <t xml:space="preserve">680504-3-L126</t>
        </is>
      </c>
      <c r="B14" s="4" t="inlineStr">
        <is>
          <t xml:space="preserve">Mantención Anual Tableros Eléctricos del Edificio RPP Curicó</t>
        </is>
      </c>
      <c r="C14" s="0" t="inlineStr">
        <is>
          <t xml:space="preserve">Publicada</t>
        </is>
      </c>
      <c r="D14" s="0" t="inlineStr">
        <is>
          <t xml:space="preserve">CORP ADMINISTRATIVA DEL PODER JUDICIAL</t>
        </is>
      </c>
      <c r="E14" s="0" t="inlineStr">
        <is>
          <t xml:space="preserve">TOP de Curico</t>
        </is>
      </c>
      <c r="F14" s="0" t="inlineStr">
        <is>
          <t xml:space="preserve">Región del Maule </t>
        </is>
      </c>
      <c r="G14" s="0" t="inlineStr">
        <is>
          <t xml:space="preserve">Curicó</t>
        </is>
      </c>
      <c r="H14" s="2">
        <v>46315.490579</v>
      </c>
      <c r="I14" s="2">
        <v>46329.666667</v>
      </c>
      <c r="J14" s="0">
        <v>3</v>
      </c>
      <c r="K14" s="3">
        <v>128.8</v>
      </c>
      <c r="L14" s="0" t="inlineStr">
        <is>
          <t xml:space="preserve">CLF</t>
        </is>
      </c>
      <c r="M14" s="0" t="inlineStr">
        <is>
          <t xml:space="preserve">L1</t>
        </is>
      </c>
      <c r="N14" s="4" t="inlineStr">
        <is>
          <t xml:space="preserve">Servicios de construcción y mantenimiento / Servicios de atención, mantenimiento y reparaciones de edificios / Servicios eléctricos</t>
        </is>
      </c>
      <c r="O14" s="4" t="inlineStr">
        <is>
          <t xml:space="preserve">1 Unidad · Instalación o servicio de sistemas de energía eléctrica</t>
        </is>
      </c>
      <c r="P14" s="2"/>
      <c r="Q14" s="2"/>
      <c r="R14" s="0"/>
      <c r="S14" s="0" t="inlineStr">
        <is>
          <t xml:space="preserve">No</t>
        </is>
      </c>
      <c r="T14" s="4"/>
      <c r="U14" s="0"/>
      <c r="V14" s="4" t="inlineStr">
        <is>
          <t xml:space="preserve">Mantención Anual Tableros Eléctricos del Edificio RPP Curicó por un periodo de 36 meses</t>
        </is>
      </c>
      <c r="W14" s="5" t="str">
        <f>HYPERLINK("https://www.mercadopublico.cl/Procurement/Modules/Attachment/ViewAttachment.aspx?enc=xlRjY9HeWNY543v0IFOT%2fsYACPSD%2fWymwLwHWzUSN5xv1PIJFqkWhnu95mXg5Veas5gHcARXujZmXkYEsVmeAzhWzPt%2bfzY2oixEW54D4bkBphxhXOjKeFE5xXP5ynSQML9ul7MwIguh%2boUPir1J9ZPz048AIIfsJtJkK9%2b%2fCkY6dgWbaBqj%2bJ5Ypb39blUbPpU56qN%2fHxaXhV%2bEOHN73l%2f%2bxeTg1s57%2fBXqixJ0eLwdDNE8a0acfdwU%2bGjm4jM83vjh1phKwfMKDC3oEs1LQ9vsJLK1swgJZu7wXPH%2fl2EZQx8ST7cdH6vGy6EQuR3N","descargar bases")</f>
      </c>
    </row>
    <row r="15">
      <c r="A15" s="0" t="inlineStr">
        <is>
          <t xml:space="preserve">591-39-LE26</t>
        </is>
      </c>
      <c r="B15" s="4" t="inlineStr">
        <is>
          <t xml:space="preserve">CURSO HERRAM-ANALI-AUTOMA-GESTION DATOS-AUDITORIA</t>
        </is>
      </c>
      <c r="C15" s="0" t="inlineStr">
        <is>
          <t xml:space="preserve">Publicada</t>
        </is>
      </c>
      <c r="D15" s="0" t="inlineStr">
        <is>
          <t xml:space="preserve">FONDO NACIONAL DE SALUD</t>
        </is>
      </c>
      <c r="E15" s="0" t="inlineStr">
        <is>
          <t xml:space="preserve">FONASA, Nivel Central</t>
        </is>
      </c>
      <c r="F15" s="0" t="inlineStr">
        <is>
          <t xml:space="preserve">Región Metropolitana de Santiago</t>
        </is>
      </c>
      <c r="G15" s="0"/>
      <c r="H15" s="2">
        <v>46317.668299</v>
      </c>
      <c r="I15" s="2">
        <v>46329.826389</v>
      </c>
      <c r="J15" s="0">
        <v>3</v>
      </c>
      <c r="K15" s="3"/>
      <c r="L15" s="0" t="inlineStr">
        <is>
          <t xml:space="preserve">CLP</t>
        </is>
      </c>
      <c r="M15" s="0" t="inlineStr">
        <is>
          <t xml:space="preserve">LE</t>
        </is>
      </c>
      <c r="N15" s="4" t="inlineStr">
        <is>
          <t xml:space="preserve">Educación, formación, entrenamiento y capacitación / Sistemas educativos complementarios / Aprendizaje a distancia</t>
        </is>
      </c>
      <c r="O15" s="4" t="inlineStr">
        <is>
          <t xml:space="preserve">1 Unidad · Programas o cursos no diplomados a distancia</t>
        </is>
      </c>
      <c r="P15" s="2"/>
      <c r="Q15" s="2"/>
      <c r="R15" s="0"/>
      <c r="S15" s="0" t="inlineStr">
        <is>
          <t xml:space="preserve">No</t>
        </is>
      </c>
      <c r="T15" s="4" t="inlineStr">
        <is>
          <t xml:space="preserve">VER RESOLUCIÓN EXENTA 2B N°113882026</t>
        </is>
      </c>
      <c r="U15" s="0" t="inlineStr">
        <is>
          <t xml:space="preserve">ETELVINA NEIRA NAHUELPAN</t>
        </is>
      </c>
      <c r="V15"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Herramientas de Análisis, Automatización y Gestión de Datos para la Auditoría Interna” contenido en el Plan Anual de Capacitación y Formación 2026 del Fondo Nacional de Salud.</t>
        </is>
      </c>
      <c r="W15" s="5" t="str">
        <f>HYPERLINK("https://www.mercadopublico.cl/Procurement/Modules/Attachment/ViewAttachment.aspx?enc=v9aeXXkAWZLTk4Kv0UzhP31V23H3CwGl8fIcx1kI%2bWjUXrB9dXbRajuwtG7a1DAmTUB%2bRu3LgGRsvLYnu2reRW4cuwHSMxINy4PIkqdfIJvbIYSr5e0QmQFCMTZNxVh7Unp6hVICDULibsZZQZXcuMxipPTB3IwBSnIMalp%2fp9KSSXwVs9mLrfzt0HzWlk%2boq8586tv0gFFfQ1AvJIstGoUzwl%2fizrPD61HKOca1PMXUXeYFEuX%2b8%2bXQ9jmxwGXd%2f8g76XUxXAV0NiPY7eI2YCmjatwqfyORDdwgX2QDA5qXtZMa%2f8bRmwTOKdbhmZUP","descargar bases")</f>
      </c>
    </row>
    <row r="16">
      <c r="A16" s="0" t="inlineStr">
        <is>
          <t xml:space="preserve">4362-31-LP26</t>
        </is>
      </c>
      <c r="B16" s="4" t="inlineStr">
        <is>
          <t xml:space="preserve">Construcción Hitos de Acceso y Tótems Turísticos</t>
        </is>
      </c>
      <c r="C16" s="0" t="inlineStr">
        <is>
          <t xml:space="preserve">Publicada</t>
        </is>
      </c>
      <c r="D16" s="0" t="inlineStr">
        <is>
          <t xml:space="preserve">I MUNICIPALIDAD DE NACIMIENTO</t>
        </is>
      </c>
      <c r="E16" s="0" t="inlineStr">
        <is>
          <t xml:space="preserve">Secplan</t>
        </is>
      </c>
      <c r="F16" s="0" t="inlineStr">
        <is>
          <t xml:space="preserve">Región del Biobío </t>
        </is>
      </c>
      <c r="G16" s="0" t="inlineStr">
        <is>
          <t xml:space="preserve">Nacimiento</t>
        </is>
      </c>
      <c r="H16" s="2">
        <v>46309.782396</v>
      </c>
      <c r="I16" s="2">
        <v>46330.375</v>
      </c>
      <c r="J16" s="0">
        <v>4</v>
      </c>
      <c r="K16" s="3"/>
      <c r="L16" s="0" t="inlineStr">
        <is>
          <t xml:space="preserve">CLP</t>
        </is>
      </c>
      <c r="M16" s="0" t="inlineStr">
        <is>
          <t xml:space="preserve">LP</t>
        </is>
      </c>
      <c r="N16" s="4" t="inlineStr">
        <is>
          <t xml:space="preserve">Servicios de construcción y mantenimiento / Construcción de edificios en general / Construcción de obras civiles y infraestructuras</t>
        </is>
      </c>
      <c r="O16" s="4" t="inlineStr">
        <is>
          <t xml:space="preserve">1 Unidad · Construcción de obras civiles</t>
        </is>
      </c>
      <c r="P16" s="2"/>
      <c r="Q16" s="2"/>
      <c r="R16" s="0" t="inlineStr">
        <is>
          <t xml:space="preserve">90 días</t>
        </is>
      </c>
      <c r="S16" s="0" t="inlineStr">
        <is>
          <t xml:space="preserve">No</t>
        </is>
      </c>
      <c r="T16" s="4"/>
      <c r="U16" s="0" t="inlineStr">
        <is>
          <t xml:space="preserve">Gonzalo Antonio Oñate</t>
        </is>
      </c>
      <c r="V16"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16" s="5" t="str">
        <f>HYPERLINK("https://www.mercadopublico.cl/Procurement/Modules/Attachment/ViewAttachment.aspx?enc=Vu6D1nwOiDQJns33QBd73MoeptAYh%2fe2UXDDZmAFiX509%2b6CpG%2bYE4BzkHrmmKn5LK0z3GmuwTBC7653LdhjyfPzF4CeYdMjWyu%2bLKsrpdJb6kxOEyfkyYDk%2bZxlf89Yc%2bbGb9BPvBGaOQ4leU0%2fG9erYG3vMl6mXtVClxEn4hQkwqJSB%2fVXsJAoH9sYNInMHcUtWmckC%2bm69jwtCOHKPfXOQaQ4ggux8iDg3mx1WmPEGquky%2b%2bxvd2ht6z%2bU4vb7hwO7s1TWu1U5w%2bQ53v5QRJCrL0ojekfamd27g7ljfsOr3X%2b%2f5GCYVdWfaFLYImR","descargar bases")</f>
      </c>
    </row>
    <row r="17">
      <c r="A17" s="0" t="inlineStr">
        <is>
          <t xml:space="preserve">1602-21-LE26</t>
        </is>
      </c>
      <c r="B17" s="4" t="inlineStr">
        <is>
          <t xml:space="preserve">ADQUISICIÓN DE LICENCIAS DE SOFTWARE VEEAM PREMIUM</t>
        </is>
      </c>
      <c r="C17" s="0" t="inlineStr">
        <is>
          <t xml:space="preserve">Publicada</t>
        </is>
      </c>
      <c r="D17" s="0" t="inlineStr">
        <is>
          <t xml:space="preserve">DIRECCION GENERAL DE AERONAUTICA CIVIL</t>
        </is>
      </c>
      <c r="E17" s="0" t="inlineStr">
        <is>
          <t xml:space="preserve">UNIDAD DE COMPRA SERVICIOS GENERALES</t>
        </is>
      </c>
      <c r="F17" s="0" t="inlineStr">
        <is>
          <t xml:space="preserve">Región Metropolitana de Santiago</t>
        </is>
      </c>
      <c r="G17" s="0" t="inlineStr">
        <is>
          <t xml:space="preserve">Providencia</t>
        </is>
      </c>
      <c r="H17" s="2">
        <v>46317.431111</v>
      </c>
      <c r="I17" s="2">
        <v>46330.5</v>
      </c>
      <c r="J17" s="0">
        <v>4</v>
      </c>
      <c r="K17" s="3">
        <v>30000000.0</v>
      </c>
      <c r="L17" s="0" t="inlineStr">
        <is>
          <t xml:space="preserve">CLP</t>
        </is>
      </c>
      <c r="M17" s="0" t="inlineStr">
        <is>
          <t xml:space="preserve">LE</t>
        </is>
      </c>
      <c r="N17" s="4" t="inlineStr">
        <is>
          <t xml:space="preserve">Tecnologías de la información, telecomunicaciones y radiodifusión / Software / Software de gestión</t>
        </is>
      </c>
      <c r="O17" s="4" t="inlineStr">
        <is>
          <t xml:space="preserve">15 Unidad · Software de gestión de licencias</t>
        </is>
      </c>
      <c r="P17" s="2"/>
      <c r="Q17" s="2"/>
      <c r="R17" s="0"/>
      <c r="S17" s="0" t="inlineStr">
        <is>
          <t xml:space="preserve">No</t>
        </is>
      </c>
      <c r="T17" s="4" t="inlineStr">
        <is>
          <t xml:space="preserve">No permite subcontratación DIRIGIRSE PUNTO: XX DE LA RESOLUCIÓN QUE SE ADJUNTA</t>
        </is>
      </c>
      <c r="U17" s="0" t="inlineStr">
        <is>
          <t xml:space="preserve">Jaime Leighton Castro</t>
        </is>
      </c>
      <c r="V17" s="4" t="inlineStr">
        <is>
          <t xml:space="preserve">Adquisición de Licencias de Veeam Data Platform Premium pack 10 instancias que multiplicado por la cantidad serían 150 instancias (jbt-147)</t>
        </is>
      </c>
      <c r="W17" s="5" t="str">
        <f>HYPERLINK("https://www.mercadopublico.cl/Procurement/Modules/Attachment/ViewAttachment.aspx?enc=dBxh%2fedh8txMmizfBqHq0ydDSjV%2fU1CLfK9prQDC%2bjk4%2bdqY2xbwosZJ7OCAQSKRLzoTaCQQi08ZlmPsdGC30chDGiKN6qDhtQz4kzV%2bR%2bYsaORzvmXw04ZwvSdagWvPu0QVBtj4Bt5rHgHrJw3j%2b8z4IetzhHeXIHmGkzROp6LxE0AtxFxoCyQp%2ff8KsivZg9ggaeYvKJP0s0FK%2bdRD1HdiRk5Joi9gF3q3SRzRLW1%2bEaSQ%2fB0H1QgoXaaoAp6L0uZ%2bpm7IOQAdkBgldnkvGzAr2lbzMJQur1zXYrby14b2ADXhHliXeFWCIjSUNGsJ","descargar bases")</f>
      </c>
    </row>
    <row r="18">
      <c r="A18" s="0" t="inlineStr">
        <is>
          <t xml:space="preserve">1782-17-LE26</t>
        </is>
      </c>
      <c r="B18" s="4" t="inlineStr">
        <is>
          <t xml:space="preserve">Consultoría Plataforma Inteligencia Inversión FRPD</t>
        </is>
      </c>
      <c r="C18" s="0" t="inlineStr">
        <is>
          <t xml:space="preserve">Publicada</t>
        </is>
      </c>
      <c r="D18" s="0" t="inlineStr">
        <is>
          <t xml:space="preserve">GOBIERNO REGIONAL DE ANTOFAGASTA</t>
        </is>
      </c>
      <c r="E18" s="0" t="inlineStr">
        <is>
          <t xml:space="preserve">GORE ANTOFAGASTA PROGRAMA 02 FNDR</t>
        </is>
      </c>
      <c r="F18" s="0" t="inlineStr">
        <is>
          <t xml:space="preserve">Región de Antofagasta </t>
        </is>
      </c>
      <c r="G18" s="0" t="inlineStr">
        <is>
          <t xml:space="preserve">Antofagasta</t>
        </is>
      </c>
      <c r="H18" s="2">
        <v>46310.685625</v>
      </c>
      <c r="I18" s="2">
        <v>46330.625</v>
      </c>
      <c r="J18" s="0">
        <v>4</v>
      </c>
      <c r="K18" s="3">
        <v>25000000.0</v>
      </c>
      <c r="L18" s="0" t="inlineStr">
        <is>
          <t xml:space="preserve">CLP</t>
        </is>
      </c>
      <c r="M18" s="0" t="inlineStr">
        <is>
          <t xml:space="preserve">LE</t>
        </is>
      </c>
      <c r="N18" s="4" t="inlineStr">
        <is>
          <t xml:space="preserve">Servicios profesionales, administrativos y consultorías de gestión empresarial / Consultorías o asesorías en gestión empresarial / Servicios de consultoría en gestión de empresas</t>
        </is>
      </c>
      <c r="O18" s="4" t="inlineStr">
        <is>
          <t xml:space="preserve">1 Unidad · Asesorías Informáticas</t>
        </is>
      </c>
      <c r="P18" s="2"/>
      <c r="Q18" s="2"/>
      <c r="R18" s="0"/>
      <c r="S18" s="0" t="inlineStr">
        <is>
          <t xml:space="preserve">No</t>
        </is>
      </c>
      <c r="T18" s="4"/>
      <c r="U18" s="0" t="inlineStr">
        <is>
          <t xml:space="preserve">Karla Dubo</t>
        </is>
      </c>
      <c r="V18"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18" s="5" t="str">
        <f>HYPERLINK("https://www.mercadopublico.cl/Procurement/Modules/Attachment/ViewAttachment.aspx?enc=J8u0RYUgnioXaGkSpPefwfXyZ7Yv8lR0RiSTLa1xSv0HkI%2fxULfNfArJrMW0iyYwIZ36RYRKTqOSuXdp7NazOYEblyUPQTVCizLxJiIZBuav7Yi7KVWANelOVYnGIa2uZOQma9NAYpNVBXAF2QG%2fEOrnUYusqBMCQcRTsfDM%2bxhTzMEv6E%2fg892TPwI8VLIKFipbleeXX8eKlra0Wnd%2b3HbpKK2QPHKNJeOx3vPA8qB229NUHUWM6B%2bWdL8XtwI%2bMiPO57AqpkmfSkPLxJZdEf4rtVWcksSrAsLsfydh7ab%2bU9QP9yM4p577SOx%2fJIh2","descargar bases")</f>
      </c>
    </row>
    <row r="19">
      <c r="A19" s="0" t="inlineStr">
        <is>
          <t xml:space="preserve">4127-51-LR26</t>
        </is>
      </c>
      <c r="B19" s="4" t="inlineStr">
        <is>
          <t xml:space="preserve">[DIGEDEP]Cursos M-Learning Plataforma SIAD 26-27</t>
        </is>
      </c>
      <c r="C19" s="0" t="inlineStr">
        <is>
          <t xml:space="preserve">Publicada</t>
        </is>
      </c>
      <c r="D19" s="0" t="inlineStr">
        <is>
          <t xml:space="preserve">SUBSECRETARIA DE SALUD PUBLICA</t>
        </is>
      </c>
      <c r="E19" s="0" t="inlineStr">
        <is>
          <t xml:space="preserve">Subsecretaria de Redes Asistenciales</t>
        </is>
      </c>
      <c r="F19" s="0" t="inlineStr">
        <is>
          <t xml:space="preserve">Región Metropolitana de Santiago</t>
        </is>
      </c>
      <c r="G19" s="0" t="inlineStr">
        <is>
          <t xml:space="preserve">Santiago</t>
        </is>
      </c>
      <c r="H19" s="2">
        <v>46300.445336</v>
      </c>
      <c r="I19" s="2">
        <v>46330.625</v>
      </c>
      <c r="J19" s="0">
        <v>4</v>
      </c>
      <c r="K19" s="3"/>
      <c r="L19" s="0" t="inlineStr">
        <is>
          <t xml:space="preserve">CLP</t>
        </is>
      </c>
      <c r="M19" s="0" t="inlineStr">
        <is>
          <t xml:space="preserve">LR</t>
        </is>
      </c>
      <c r="N19" s="4" t="inlineStr">
        <is>
          <t xml:space="preserve">Educación, formación, entrenamiento y capacitación / Sistemas educativos complementarios / Educación de adultos</t>
        </is>
      </c>
      <c r="O19" s="4" t="inlineStr">
        <is>
          <t xml:space="preserve">1 Unidad · Capacitación a empleados</t>
        </is>
      </c>
      <c r="P19" s="2"/>
      <c r="Q19" s="2"/>
      <c r="R19" s="0" t="inlineStr">
        <is>
          <t xml:space="preserve">12 meses</t>
        </is>
      </c>
      <c r="S19" s="0" t="inlineStr">
        <is>
          <t xml:space="preserve">No</t>
        </is>
      </c>
      <c r="T19" s="4"/>
      <c r="U19" s="0" t="inlineStr">
        <is>
          <t xml:space="preserve">Ana Osorio Yeuto</t>
        </is>
      </c>
      <c r="V19" s="4" t="inlineStr">
        <is>
          <t xml:space="preserve">Los servicios que considera este programa Sistema de Aprendizaje a Distancia SIAD son Despliegue de Cursos M- Learning, Desarrollo de Cursos Moodle, Actualizaciones Cursos Moodle Bacoffice para platafoma SIAD 2026 - 2027.</t>
        </is>
      </c>
      <c r="W19" s="5" t="str">
        <f>HYPERLINK("https://www.mercadopublico.cl/Procurement/Modules/Attachment/ViewAttachment.aspx?enc=Q%2b4ZGv7DxTcDu7R2vm%2fbp79V%2bb6Qn7X3B5hOgUqmEkui1nOk5Wm0mbGlY4KL6mGsS1HfGcqbfZmDG%2fZWhmCErYyEFdVVEjC%2fK%2brd%2fVDVtUn%2fMRRrH4LoYNWkgiTqCVEPvEi9%2bEtiU%2fbLAhf6pdg5Cxl4DmtC654lWsKiVQKqgM7LSCN4bOPsGZjApk3TQOKraYWabGugStZrkva5oxlHVipy4odNExR7SBXMuSmn3IoHuS7ZMKHLLPL5RjTOKrabeUzBbOruSQ2ddVLrvP1UzpsV7P44UBiKEk9CYhRaO5OY2MbKWj9Pi1d1YWPbuIwO","descargar bases")</f>
      </c>
    </row>
    <row r="20">
      <c r="A20" s="0" t="inlineStr">
        <is>
          <t xml:space="preserve">2735-149-LR26</t>
        </is>
      </c>
      <c r="B20" s="4" t="inlineStr">
        <is>
          <t xml:space="preserve">Servicio de Software de Gestión y Registro Clinico</t>
        </is>
      </c>
      <c r="C20" s="0" t="inlineStr">
        <is>
          <t xml:space="preserve">Publicada</t>
        </is>
      </c>
      <c r="D20" s="0" t="inlineStr">
        <is>
          <t xml:space="preserve">I MUNICIPALIDAD LO BARNECHEA</t>
        </is>
      </c>
      <c r="E20" s="0" t="inlineStr">
        <is>
          <t xml:space="preserve">Municipalidad de lo Barnechea - Adquisiciones - Consistorial</t>
        </is>
      </c>
      <c r="F20" s="0" t="inlineStr">
        <is>
          <t xml:space="preserve">Región Metropolitana de Santiago</t>
        </is>
      </c>
      <c r="G20" s="0" t="inlineStr">
        <is>
          <t xml:space="preserve">Lo Barnechea</t>
        </is>
      </c>
      <c r="H20" s="2">
        <v>46296.502778</v>
      </c>
      <c r="I20" s="2">
        <v>46330.645833</v>
      </c>
      <c r="J20" s="0">
        <v>4</v>
      </c>
      <c r="K20" s="3"/>
      <c r="L20" s="0" t="inlineStr">
        <is>
          <t xml:space="preserve">CLF</t>
        </is>
      </c>
      <c r="M20" s="0" t="inlineStr">
        <is>
          <t xml:space="preserve">LR</t>
        </is>
      </c>
      <c r="N20" s="4" t="inlineStr">
        <is>
          <t xml:space="preserve">Tecnologías de la información, telecomunicaciones y radiodifusión / Software / Software específico para la industria</t>
        </is>
      </c>
      <c r="O20" s="4" t="inlineStr">
        <is>
          <t xml:space="preserve">1 Unidad · Software médico</t>
        </is>
      </c>
      <c r="P20" s="2"/>
      <c r="Q20" s="2"/>
      <c r="R20" s="0" t="inlineStr">
        <is>
          <t xml:space="preserve">63 meses</t>
        </is>
      </c>
      <c r="S20" s="0" t="inlineStr">
        <is>
          <t xml:space="preserve">No</t>
        </is>
      </c>
      <c r="T20" s="4" t="inlineStr">
        <is>
          <t xml:space="preserve">Conforme a lo establecido en el numeral 16.6 de las bases administrativas</t>
        </is>
      </c>
      <c r="U20" s="0" t="inlineStr">
        <is>
          <t xml:space="preserve">Angelica Parra</t>
        </is>
      </c>
      <c r="V20"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20" s="5" t="str">
        <f>HYPERLINK("https://www.mercadopublico.cl/Procurement/Modules/Attachment/ViewAttachment.aspx?enc=qAKwmC%2bIZLGj6N4SdTUbZVh%2fZxbgivE6knAxLeqcWRDEEHr%2f29n7%2fa0nhi4ibvm73Q98pcUsTvyrGR3qlNxhlBdd2oHX6sf3ugftMOeiTNXBBiLSstgx7cu1liTmaAcghYlv8uU2zRXJdGwHB5NawoeOUSfnUy6fzfUts68uYG3ka2UeyQ8GnqveMgbiU%2fd1OwQyHg2yMzaMg3aN39rEwJMaQqruk0SN6eh57rVX6UYmnLMDUy%2f9n1bw4hlgKuHote%2fGnVlc9lZkr6j6BpXkLPcmWf8DWFTgZzADIwmOhlqRCkMjitEC6K6Eyf1K%2fyym","descargar bases")</f>
      </c>
    </row>
    <row r="21">
      <c r="A21" s="0" t="inlineStr">
        <is>
          <t xml:space="preserve">5403-11-LP26</t>
        </is>
      </c>
      <c r="B21" s="4" t="inlineStr">
        <is>
          <t xml:space="preserve">Diseño e instalación de gobernanza de datos</t>
        </is>
      </c>
      <c r="C21" s="0" t="inlineStr">
        <is>
          <t xml:space="preserve">Publicada</t>
        </is>
      </c>
      <c r="D21" s="0" t="inlineStr">
        <is>
          <t xml:space="preserve">COMISION NACIONAL DE ACREDITACION</t>
        </is>
      </c>
      <c r="E21" s="0" t="inlineStr">
        <is>
          <t xml:space="preserve">COMISION NACIONAL DE ACREDITACION</t>
        </is>
      </c>
      <c r="F21" s="0" t="inlineStr">
        <is>
          <t xml:space="preserve">Región Metropolitana de Santiago</t>
        </is>
      </c>
      <c r="G21" s="0" t="inlineStr">
        <is>
          <t xml:space="preserve">Santiago</t>
        </is>
      </c>
      <c r="H21" s="2">
        <v>46310.745671</v>
      </c>
      <c r="I21" s="2">
        <v>46330.666667</v>
      </c>
      <c r="J21" s="0">
        <v>4</v>
      </c>
      <c r="K21" s="3"/>
      <c r="L21" s="0" t="inlineStr">
        <is>
          <t xml:space="preserve">CLP</t>
        </is>
      </c>
      <c r="M21" s="0" t="inlineStr">
        <is>
          <t xml:space="preserve">LP</t>
        </is>
      </c>
      <c r="N21" s="4" t="inlineStr">
        <is>
          <t xml:space="preserve">Servicios profesionales, administrativos y consultorías de gestión empresarial / Consultorías o asesorías en gestión empresarial / Servicios de consultoría en gestión de empresas</t>
        </is>
      </c>
      <c r="O21" s="4" t="inlineStr">
        <is>
          <t xml:space="preserve">1 Unidad · Asesorías en gestión estratégica</t>
        </is>
      </c>
      <c r="P21" s="2"/>
      <c r="Q21" s="2"/>
      <c r="R21" s="0" t="inlineStr">
        <is>
          <t xml:space="preserve">9 meses</t>
        </is>
      </c>
      <c r="S21" s="0" t="inlineStr">
        <is>
          <t xml:space="preserve">No</t>
        </is>
      </c>
      <c r="T21" s="4"/>
      <c r="U21" s="0" t="inlineStr">
        <is>
          <t xml:space="preserve">Carolina Olea</t>
        </is>
      </c>
      <c r="V21"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21" s="5" t="str">
        <f>HYPERLINK("https://www.mercadopublico.cl/Procurement/Modules/Attachment/ViewAttachment.aspx?enc=NhmXfDeGq30x%2fhnRLnn73xT3gPqUEyu0NQikNfhveQHq0OWFJEs2g6K5k%2fP0U69s%2bU5JG6rciD%2bznmUnRGQSAlOLm2oaiM%2bHWcls8hSgBFHwStTjg%2fx7BPJv6snQqMghSSobKlXSXEcyGXCdx47jeLaPxiZIm%2b6hsEP7%2bdrzDgaZYWsochX9D2paYQl8WxS6gxc4p%2b7vysOUHh7jrERkqAvdgDgb4c4IzqMxGAmf1o1r%2b6DRifNT%2bqQJyy6z6nR7v3tiusWaFWNUn0m3HPqur%2bjvV5bOROmgIoWUwEb4EOizxUIo1cgvFP%2fPLApp3kem","descargar bases")</f>
      </c>
    </row>
    <row r="22">
      <c r="A22" s="0" t="inlineStr">
        <is>
          <t xml:space="preserve">1221019-17-LE26</t>
        </is>
      </c>
      <c r="B22" s="4" t="inlineStr">
        <is>
          <t xml:space="preserve">Plataforma de Venta de Entradas para Evento.</t>
        </is>
      </c>
      <c r="C22" s="0" t="inlineStr">
        <is>
          <t xml:space="preserve">Publicada</t>
        </is>
      </c>
      <c r="D22" s="0" t="inlineStr">
        <is>
          <t xml:space="preserve">Corporación Municipal de Deporte  de Vitacura</t>
        </is>
      </c>
      <c r="E22" s="0" t="inlineStr">
        <is>
          <t xml:space="preserve">Corporación</t>
        </is>
      </c>
      <c r="F22" s="0" t="inlineStr">
        <is>
          <t xml:space="preserve">Región Metropolitana de Santiago</t>
        </is>
      </c>
      <c r="G22" s="0" t="inlineStr">
        <is>
          <t xml:space="preserve">Vitacura</t>
        </is>
      </c>
      <c r="H22" s="2">
        <v>46311.643056</v>
      </c>
      <c r="I22" s="2">
        <v>46330.75</v>
      </c>
      <c r="J22" s="0">
        <v>4</v>
      </c>
      <c r="K22" s="3">
        <v>25000000.0</v>
      </c>
      <c r="L22" s="0" t="inlineStr">
        <is>
          <t xml:space="preserve">CLP</t>
        </is>
      </c>
      <c r="M22" s="0" t="inlineStr">
        <is>
          <t xml:space="preserve">LE</t>
        </is>
      </c>
      <c r="N22" s="4" t="inlineStr">
        <is>
          <t xml:space="preserve">Tecnologías de la información, telecomunicaciones y radiodifusión / Software / Programas de desarrollo</t>
        </is>
      </c>
      <c r="O22" s="4" t="inlineStr">
        <is>
          <t xml:space="preserve">1 Unidad · Software de desarrollo de plataforma Web</t>
        </is>
      </c>
      <c r="P22" s="2"/>
      <c r="Q22" s="2"/>
      <c r="R22" s="0"/>
      <c r="S22" s="0" t="inlineStr">
        <is>
          <t xml:space="preserve">No</t>
        </is>
      </c>
      <c r="T22" s="4"/>
      <c r="U22" s="0" t="inlineStr">
        <is>
          <t xml:space="preserve">Víctor Banda Carrasco</t>
        </is>
      </c>
      <c r="V22"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22" s="5" t="str">
        <f>HYPERLINK("https://www.mercadopublico.cl/Procurement/Modules/Attachment/ViewAttachment.aspx?enc=dtldOey1MoJiEcdhrgZD1ZFrgYavb7RbGbS%2fYetLn0IXjj59hjluI4H1nEKfmX%2fV5cg8O1J58gaAz8vnmvxqRGKpW1lhxF5GoRzJOU5enYDyE7E%2f%2fuQk7sUAC6XGrFZfxztzCnIzu9VklTKvYC1mwpjaZoetN7SLVWo4MVV%2b2D7s4CqtvQDDab8HBgMLH66XLwy1zZlskTeKFTuO0cBdcGXMRCDj3b6ePVoExmfLSYFhOsq8nTGXfdD4%2bl3FbGesqa1sSKRVuFtB3RVN%2b4q8RYeDXDF5qzgvzg1sx5a0tWVBRvd%2bEE4XZ8Oby1GKi11h","descargar bases")</f>
      </c>
    </row>
    <row r="23">
      <c r="A23" s="0" t="inlineStr">
        <is>
          <t xml:space="preserve">2713-199-LE26</t>
        </is>
      </c>
      <c r="B23" s="4" t="inlineStr">
        <is>
          <t xml:space="preserve">Equipamiento informático para oficinas municipales</t>
        </is>
      </c>
      <c r="C23" s="0" t="inlineStr">
        <is>
          <t xml:space="preserve">Publicada</t>
        </is>
      </c>
      <c r="D23" s="0" t="inlineStr">
        <is>
          <t xml:space="preserve">I MUNICIPALIDAD DE AYSEN</t>
        </is>
      </c>
      <c r="E23" s="0" t="inlineStr">
        <is>
          <t xml:space="preserve">I.MUNICIPALIDAD AYSEN-ADQUISICIONES</t>
        </is>
      </c>
      <c r="F23" s="0" t="inlineStr">
        <is>
          <t xml:space="preserve">Región Aysén del General Carlos Ibáñez del Campo</t>
        </is>
      </c>
      <c r="G23" s="0" t="inlineStr">
        <is>
          <t xml:space="preserve">Aysén</t>
        </is>
      </c>
      <c r="H23" s="2">
        <v>46317.447211</v>
      </c>
      <c r="I23" s="2">
        <v>46331.604167</v>
      </c>
      <c r="J23" s="0">
        <v>5</v>
      </c>
      <c r="K23" s="3"/>
      <c r="L23" s="0" t="inlineStr">
        <is>
          <t xml:space="preserve">CLP</t>
        </is>
      </c>
      <c r="M23" s="0" t="inlineStr">
        <is>
          <t xml:space="preserve">LE</t>
        </is>
      </c>
      <c r="N23" s="4" t="inlineStr">
        <is>
          <t xml:space="preserve">Tecnologías de la información, telecomunicaciones y radiodifusión / Equipos informáticos y accesorios / Accesorios de computador,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informáticos y accesorios / Pantallas o monitores de computador</t>
        </is>
      </c>
      <c r="O23" s="4" t="inlineStr">
        <is>
          <t xml:space="preserve">1 Unidad · Notebook, laptop o computador portátil excepto Tablet PC · 1 Unidad · Notebook, laptop o computador portátil excepto Tablet PC · 16 Unidad · Computadores personales · y 10 más</t>
        </is>
      </c>
      <c r="P23" s="2"/>
      <c r="Q23" s="2"/>
      <c r="R23" s="0"/>
      <c r="S23" s="0" t="inlineStr">
        <is>
          <t xml:space="preserve">No</t>
        </is>
      </c>
      <c r="T23" s="4"/>
      <c r="U23" s="0" t="inlineStr">
        <is>
          <t xml:space="preserve">Victor Godoy Tapia</t>
        </is>
      </c>
      <c r="V23" s="4" t="inlineStr">
        <is>
          <t xml:space="preserve">La institución requiere adquirir equipamiento de cómputo, digitalización, proyección e impresión para llevar a cabo la renovación programada de sus herramientas tecnológicas, reemplazando unidades en estado de obsolescencia o desgaste por uso continuo.</t>
        </is>
      </c>
      <c r="W23" s="5" t="str">
        <f>HYPERLINK("https://www.mercadopublico.cl/Procurement/Modules/Attachment/ViewAttachment.aspx?enc=xcJwvrtrQPwb3yKEbw1hbgjawwxEO%2bS%2fydrNp1RE2bZYFeYqOc%2f6KM1kIQErR18zDT%2bNiHlQIT2WHzwEPMT11nkX%2f%2byt2QmhXfp4cEEfyYuHNjzNnag0CF12lc9dYhxE9Y6iiL%2f0jrgQNAV7jXRUlLVZ%2bbANJuvi%2bSZQ1f90ukGyRLpizTQQz9rZ3i5SS7XbFbhRIkz0kvjiXDWRkotI%2flcO1vV%2fWZu%2fV1GeIrXVBLTl2CsR8rXHlTrI3s%2bLM0H3dewMsag74Y45HPjCLIrOEFFgVNQtlBIaHWVHnPX1U%2bsvPWz7wk1Brq1d4SKUxV5W","descargar bases")</f>
      </c>
    </row>
    <row r="24">
      <c r="A24" s="0" t="inlineStr">
        <is>
          <t xml:space="preserve">1057511-33-L126</t>
        </is>
      </c>
      <c r="B24" s="4" t="inlineStr">
        <is>
          <t xml:space="preserve">ADQUISICIÓN E IMPLEMENTACIÓN DE CENTRAL DE MONITOREO, SOFTWARE Y SISTEMA DE ANCLAJE MURAL</t>
        </is>
      </c>
      <c r="C24" s="0" t="inlineStr">
        <is>
          <t xml:space="preserve">Publicada</t>
        </is>
      </c>
      <c r="D24" s="0" t="inlineStr">
        <is>
          <t xml:space="preserve">HOSPITAL COMUNITARIO DE SALUD FAMILIAR DE BULNES</t>
        </is>
      </c>
      <c r="E24" s="0" t="inlineStr">
        <is>
          <t xml:space="preserve">Bienes y Servicios</t>
        </is>
      </c>
      <c r="F24" s="0" t="inlineStr">
        <is>
          <t xml:space="preserve">Región Metropolitana de Santiago</t>
        </is>
      </c>
      <c r="G24" s="0" t="inlineStr">
        <is>
          <t xml:space="preserve">Til Til</t>
        </is>
      </c>
      <c r="H24" s="2">
        <v>46324.683993</v>
      </c>
      <c r="I24" s="2">
        <v>46331.625</v>
      </c>
      <c r="J24" s="0">
        <v>5</v>
      </c>
      <c r="K24" s="3">
        <v>4075211.0</v>
      </c>
      <c r="L24" s="0" t="inlineStr">
        <is>
          <t xml:space="preserve">CLP</t>
        </is>
      </c>
      <c r="M24" s="0" t="inlineStr">
        <is>
          <t xml:space="preserve">L1</t>
        </is>
      </c>
      <c r="N24" s="4" t="inlineStr">
        <is>
          <t xml:space="preserve">Equipamiento y suministros médicos / Equipamiento para instalaciones médicas / Sistemas de construcción de instalaciones médicas</t>
        </is>
      </c>
      <c r="O24" s="4" t="inlineStr">
        <is>
          <t xml:space="preserve">1 Unidad · Monitores de salida o controles de enfermería</t>
        </is>
      </c>
      <c r="P24" s="2"/>
      <c r="Q24" s="2"/>
      <c r="R24" s="0"/>
      <c r="S24" s="0" t="inlineStr">
        <is>
          <t xml:space="preserve">No</t>
        </is>
      </c>
      <c r="T24" s="4"/>
      <c r="U24" s="0"/>
      <c r="V24" s="4" t="inlineStr">
        <is>
          <t xml:space="preserve">El Hospital Comunitario de Salud Familiar de Bulnes llama a Licitación Pública, a través del Portal Mercado Público, para la “ADQUISICIÓN E IMPLEMENTACIÓN DE CENTRAL DE MONITOREO, SOFTWARE Y SISTEMA DE ANCLAJE MURAL”, con el objetivo de fortalecer la vigilancia clínica continua de los pacientes del Servicio Médico Quirúrgico, centralizar la visualización de parámetros fisiológicos y alarmas, y disponer de una solución integrada y escalable. La contratación comprende la entrega, instalación, conf</t>
        </is>
      </c>
      <c r="W24" s="5" t="str">
        <f>HYPERLINK("https://www.mercadopublico.cl/Procurement/Modules/Attachment/ViewAttachment.aspx?enc=WjbGjblxmAWqfUg0Dh1gBDuYxDGpCcDK4RYn1eJERdsOpabaWCO0FcT4c4RngKUDTIebI3dYYLS2vaNAyshAwBXuW%2f517WmXKg2LvJZWqOvFpivWn5eYUopiTyTyrgG4hFZpWU1m1mMEbls%2fNaRHQ5TshwoMCg039iCeOWhv5elSULDmddcCT3UL7%2fPuPcnlb38A2itxB1DklKa%2bRsXq2qofQ6Fxc%2bxgVf%2bfz3QcVjj3cQDXs%2bmB%2fcsUMs1OjUL9nsLdSPcCtzsrJdRxiuC9G%2fh0R48oiepgynUN7wvgW4m9mFvWMB2K4OQsYTOWtCHP","descargar bases")</f>
      </c>
    </row>
    <row r="25">
      <c r="A25" s="0" t="inlineStr">
        <is>
          <t xml:space="preserve">1067778-4-LP26</t>
        </is>
      </c>
      <c r="B25" s="4" t="inlineStr">
        <is>
          <t xml:space="preserve">ARRIENDO CON OPCION DE COMPRA  DE SERVIDOR PARA IA</t>
        </is>
      </c>
      <c r="C25" s="0" t="inlineStr">
        <is>
          <t xml:space="preserve">Publicada</t>
        </is>
      </c>
      <c r="D25" s="0" t="inlineStr">
        <is>
          <t xml:space="preserve">FISCALIA NACIONAL ECONOMICA</t>
        </is>
      </c>
      <c r="E25" s="0" t="inlineStr">
        <is>
          <t xml:space="preserve">Tecnologías de Información</t>
        </is>
      </c>
      <c r="F25" s="0" t="inlineStr">
        <is>
          <t xml:space="preserve">Región Metropolitana de Santiago</t>
        </is>
      </c>
      <c r="G25" s="0" t="inlineStr">
        <is>
          <t xml:space="preserve">Santiago Centro</t>
        </is>
      </c>
      <c r="H25" s="2">
        <v>46302.5375</v>
      </c>
      <c r="I25" s="2">
        <v>46331.625</v>
      </c>
      <c r="J25" s="0">
        <v>5</v>
      </c>
      <c r="K25" s="3">
        <v>75203.0</v>
      </c>
      <c r="L25" s="0" t="inlineStr">
        <is>
          <t xml:space="preserve">USD</t>
        </is>
      </c>
      <c r="M25" s="0" t="inlineStr">
        <is>
          <t xml:space="preserve">LP</t>
        </is>
      </c>
      <c r="N25" s="4" t="inlineStr">
        <is>
          <t xml:space="preserve">Tecnologías de la información, telecomunicaciones y radiodifusión / Equipos informáticos y accesorios / Computadores</t>
        </is>
      </c>
      <c r="O25" s="4" t="inlineStr">
        <is>
          <t xml:space="preserve">60 Mes · Servidores</t>
        </is>
      </c>
      <c r="P25" s="2"/>
      <c r="Q25" s="2"/>
      <c r="R25" s="0" t="inlineStr">
        <is>
          <t xml:space="preserve">60 meses</t>
        </is>
      </c>
      <c r="S25" s="0" t="inlineStr">
        <is>
          <t xml:space="preserve">No</t>
        </is>
      </c>
      <c r="T25"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25" s="0" t="inlineStr">
        <is>
          <t xml:space="preserve">Cristian Mella Cisterna</t>
        </is>
      </c>
      <c r="V25" s="4" t="inlineStr">
        <is>
          <t xml:space="preserve">Contar con una infraestructura tecnológica robusta, segura y escalable que permita alojar y soportar los desarrollos tecnológicos actuales y futuros de la Fiscalía Nacional Económica.</t>
        </is>
      </c>
      <c r="W25" s="5" t="str">
        <f>HYPERLINK("https://www.mercadopublico.cl/Procurement/Modules/Attachment/ViewAttachment.aspx?enc=aaJJz3D2Gx7ZoF47QGTP19bsGhbnx97aUPnGTCm1Z8QGNYR5VCzoygjS2655DJrpO7BLjoRB12t3uDrQShREgdF%2bzWv58eVD10dSy5u5hCgZqMyTBqIoB96894EWhmklpkcGq66qtN39xW7abBpQmwwpPSu0cyxHd5%2bEmUXP%2bmBQ%2fKBgUeXQlwg1KCo4XDWkZIzICxh0YYRvxqRV%2fOHUUqb%2b9rjr8VTCdk6eqXZCjIUB%2bAfQo8ujvhC%2bORn67GAFegH2pbiJULt5aAiKlNGhRBmIzJzDhMInD335gNUvYDOeg34q%2fc66ePt1W4DdPqjd","descargar bases")</f>
      </c>
    </row>
    <row r="26">
      <c r="A26" s="0" t="inlineStr">
        <is>
          <t xml:space="preserve">1469-324-L126</t>
        </is>
      </c>
      <c r="B26" s="4" t="inlineStr">
        <is>
          <t xml:space="preserve">ADQUISICIÓN LICENCIAS DIGITALES PLATAFORMA EDUCACIONAL IDIOMA FRANCÉS</t>
        </is>
      </c>
      <c r="C26" s="0" t="inlineStr">
        <is>
          <t xml:space="preserve">Publicada</t>
        </is>
      </c>
      <c r="D26" s="0" t="inlineStr">
        <is>
          <t xml:space="preserve">UNIVERSIDAD DE TALCA</t>
        </is>
      </c>
      <c r="E26" s="0" t="inlineStr">
        <is>
          <t xml:space="preserve">Universidad de Talca</t>
        </is>
      </c>
      <c r="F26" s="0" t="inlineStr">
        <is>
          <t xml:space="preserve">Región del Maule </t>
        </is>
      </c>
      <c r="G26" s="0" t="inlineStr">
        <is>
          <t xml:space="preserve">Curicó</t>
        </is>
      </c>
      <c r="H26" s="2">
        <v>46322.365602</v>
      </c>
      <c r="I26" s="2">
        <v>46331.625</v>
      </c>
      <c r="J26" s="0">
        <v>5</v>
      </c>
      <c r="K26" s="3">
        <v>1075600.0</v>
      </c>
      <c r="L26" s="0" t="inlineStr">
        <is>
          <t xml:space="preserve">CLP</t>
        </is>
      </c>
      <c r="M26" s="0" t="inlineStr">
        <is>
          <t xml:space="preserve">L1</t>
        </is>
      </c>
      <c r="N26" s="4" t="inlineStr">
        <is>
          <t xml:space="preserve">Instrumentos musicales, juegos, juguetes, artesanías y materiales educativos / Materiales, artículos y suministros didácticos profesionales y para el desarrollo personal / Recursos de lenguas extranjeras</t>
        </is>
      </c>
      <c r="O26" s="4" t="inlineStr">
        <is>
          <t xml:space="preserve">2 Unidad · Cursos y materiales de apoyo para aprender a hablar francés · 2 Unidad · Cursos y materiales de apoyo para aprender a hablar francés · 2 Unidad · Cursos y materiales de apoyo para aprender a hablar francés · y 11 más</t>
        </is>
      </c>
      <c r="P26" s="2"/>
      <c r="Q26" s="2"/>
      <c r="R26" s="0"/>
      <c r="S26" s="0" t="inlineStr">
        <is>
          <t xml:space="preserve">No</t>
        </is>
      </c>
      <c r="T26" s="4"/>
      <c r="U26" s="0"/>
      <c r="V26" s="4" t="inlineStr">
        <is>
          <t xml:space="preserve">La Universidad de Talca requiere adquirir licencias digitales de 3 editoriales, Maison des Langues, Clé y Hachette, para docentes de cursos de francés de pregrado</t>
        </is>
      </c>
      <c r="W26" s="5" t="str">
        <f>HYPERLINK("https://www.mercadopublico.cl/Procurement/Modules/Attachment/ViewAttachment.aspx?enc=bg4Af8zhMRjB4hcAEmby4BtKaeI2N6Fmw2oShe4VQ3ioMvPRxZ1EVCtgYCHBTXskyjJVHEdgzvwAPmrzToEsP5kgnRnsRbgDg3HOqfRacuUkn6STf2q3SJVCODXLwcGTMJDGzdCmxpDf%2bHD%2b1C0PrQUMeJE9hhtPhALye7%2f2AMPQASDICri0pMI9vqROhqC86pe4OAkt2b0zlYYYN94n4nDuI7LUAcDioDfP9zh0riqvYJJn2eM%2b3pDeMLXcKvVRNPjkyWHFl8bqsbcK7VqQ2NN%2fP1HYiZndWZjs9wvBGL4HftwyxD4LYpnphBFq%2buDw","descargar bases")</f>
      </c>
    </row>
    <row r="27">
      <c r="A27" s="0" t="inlineStr">
        <is>
          <t xml:space="preserve">1057922-33-LP26</t>
        </is>
      </c>
      <c r="B27" s="4" t="inlineStr">
        <is>
          <t xml:space="preserve">ADQUISICION EQUIPOS Y EQUIPAMIENTO TECNOLOGÍAS DE LA INFORMACIÓN PARA CESFAM CON SAR RAHUE ALTO</t>
        </is>
      </c>
      <c r="C27" s="0" t="inlineStr">
        <is>
          <t xml:space="preserve">Publicada</t>
        </is>
      </c>
      <c r="D27" s="0" t="inlineStr">
        <is>
          <t xml:space="preserve">SERVICIO DE SALUD OSORNO</t>
        </is>
      </c>
      <c r="E27" s="0" t="inlineStr">
        <is>
          <t xml:space="preserve">Activos Fijos</t>
        </is>
      </c>
      <c r="F27" s="0" t="inlineStr">
        <is>
          <t xml:space="preserve">Región de los Lagos </t>
        </is>
      </c>
      <c r="G27" s="0" t="inlineStr">
        <is>
          <t xml:space="preserve">Osorno</t>
        </is>
      </c>
      <c r="H27" s="2">
        <v>46321.45044</v>
      </c>
      <c r="I27" s="2">
        <v>46331.635417</v>
      </c>
      <c r="J27" s="0">
        <v>5</v>
      </c>
      <c r="K27" s="3">
        <v>133992200.0</v>
      </c>
      <c r="L27" s="0" t="inlineStr">
        <is>
          <t xml:space="preserve">CLP</t>
        </is>
      </c>
      <c r="M27" s="0" t="inlineStr">
        <is>
          <t xml:space="preserve">LP</t>
        </is>
      </c>
      <c r="N27" s="4" t="inlineStr">
        <is>
          <t xml:space="preserve">Equipos y suministros de defensa, orden público, protección y seguridad / Equipos para orden público / Equipo forense, accesorios y suministros, Equipos y suministros de imprenta, fotográficos y audiovisuales / Equipos de composición y presentación audiovisual / Atriles, sistemas de sonido y accesorios, Equipos y suministros de imprenta, fotográficos y audiovisuales / Equipos de composición y presentación audiovisual / Proyectores y suministros, Muebles, accesorios, electrodomésticos y productos electrónicos / Equipos y accesorios audiovisuales / Equipos audiovisuales y de electrónica menor, Productos de papel / Productos de papel / Papeles comerciales, Tecnologías de la información, telecomunicaciones y radiodifusión / Equipos informáticos y accesorios / Computadores, Tecnologías de la información, telecomunicaciones y radiodifusión / Equipos informáticos y accesorios / Impresoras</t>
        </is>
      </c>
      <c r="O27" s="4" t="inlineStr">
        <is>
          <t xml:space="preserve">102 Unidad · Computadores de escritorio · 5 Unidad · Notebook, laptop o computador portátil excepto Tablet PC · 6 Unidad · Tickets o rollos de tickets · y 9 más</t>
        </is>
      </c>
      <c r="P27" s="2"/>
      <c r="Q27" s="2"/>
      <c r="R27" s="0" t="inlineStr">
        <is>
          <t xml:space="preserve">12 meses</t>
        </is>
      </c>
      <c r="S27" s="0" t="inlineStr">
        <is>
          <t xml:space="preserve">No</t>
        </is>
      </c>
      <c r="T27" s="4" t="inlineStr">
        <is>
          <t xml:space="preserve">De acuerdo a lo establecido en numeral 7.7 de las bases</t>
        </is>
      </c>
      <c r="U27" s="0" t="inlineStr">
        <is>
          <t xml:space="preserve">Bruno Ojeda Alvarez</t>
        </is>
      </c>
      <c r="V27" s="4" t="inlineStr">
        <is>
          <t xml:space="preserve">ADQUISICION EQUIPOS Y EQUIPAMIENTO TECNOLOGÍAS DE LA INFORMACIÓN PARA CESFAM CON SAR RAHUE ALTO</t>
        </is>
      </c>
      <c r="W27" s="5" t="str">
        <f>HYPERLINK("https://www.mercadopublico.cl/Procurement/Modules/Attachment/ViewAttachment.aspx?enc=HoXIIhjuVmtAunmqb9px1oA%2bYgiBNalkuCPvWKAGjJc8EyfiCYXIfrdPPHqctROR4Lj%2fbBKXl88WYm%2bhXq8xd8mgYWzMNz7BaNdufGUmbwiYoDyypygSK2dX8BA8DpG%2b1nG%2bq%2b51ifW6bfhxeCr%2fwE%2bjHtw0yOp13WtrYvFNKrdWYosYtnI8C6xkpWE43NlpCkZml1Y2YI2IubWP2P6kqmfR7tvURVnrNo0gB3BU3hiQmTZvYWBoj0yIaznROCXPOZzG3asSSqfsqyv3Vwv7NVLEQx0N3Z4JreoUuo2eI0k2gZ1w8cfZKB5VAFyy81bu","descargar bases")</f>
      </c>
    </row>
    <row r="28">
      <c r="A28" s="0" t="inlineStr">
        <is>
          <t xml:space="preserve">5350-38-LE26</t>
        </is>
      </c>
      <c r="B28" s="4" t="inlineStr">
        <is>
          <t xml:space="preserve">CONVENIO SUMINISTRO SOFTWARE INVENTARIO DROGUERIA</t>
        </is>
      </c>
      <c r="C28" s="0" t="inlineStr">
        <is>
          <t xml:space="preserve">Publicada</t>
        </is>
      </c>
      <c r="D28" s="0" t="inlineStr">
        <is>
          <t xml:space="preserve">I MUNICIPALIDAD DE VALLENAR</t>
        </is>
      </c>
      <c r="E28" s="0" t="inlineStr">
        <is>
          <t xml:space="preserve">DEPTO DE SALUD MUNICIPAL</t>
        </is>
      </c>
      <c r="F28" s="0" t="inlineStr">
        <is>
          <t xml:space="preserve">Región de Atacama </t>
        </is>
      </c>
      <c r="G28" s="0"/>
      <c r="H28" s="2">
        <v>46321.71816</v>
      </c>
      <c r="I28" s="2">
        <v>46331.647222</v>
      </c>
      <c r="J28" s="0">
        <v>5</v>
      </c>
      <c r="K28" s="3">
        <v>10000000.0</v>
      </c>
      <c r="L28" s="0" t="inlineStr">
        <is>
          <t xml:space="preserve">CLP</t>
        </is>
      </c>
      <c r="M28" s="0" t="inlineStr">
        <is>
          <t xml:space="preserve">LE</t>
        </is>
      </c>
      <c r="N28" s="4" t="inlineStr">
        <is>
          <t xml:space="preserve">Tecnologías de la información, telecomunicaciones y radiodifusión / Software / Software de gestión</t>
        </is>
      </c>
      <c r="O28" s="4" t="inlineStr">
        <is>
          <t xml:space="preserve">1 Unidad · Programas de gestión de inventario</t>
        </is>
      </c>
      <c r="P28" s="2"/>
      <c r="Q28" s="2"/>
      <c r="R28" s="0" t="inlineStr">
        <is>
          <t xml:space="preserve">36 meses</t>
        </is>
      </c>
      <c r="S28" s="0" t="inlineStr">
        <is>
          <t xml:space="preserve">No</t>
        </is>
      </c>
      <c r="T28" s="4"/>
      <c r="U28" s="0" t="inlineStr">
        <is>
          <t xml:space="preserve">x</t>
        </is>
      </c>
      <c r="V28" s="4" t="inlineStr">
        <is>
          <t xml:space="preserve">CONVENIO SUMINISTRO SOFTWARE INVENTARIO DROGUERIA</t>
        </is>
      </c>
      <c r="W28" s="5" t="str">
        <f>HYPERLINK("https://www.mercadopublico.cl/Procurement/Modules/Attachment/ViewAttachment.aspx?enc=proJNZb2v4IR9GiWocFSCj%2f8JHX0qV1OlU7j6R6pDLySzpDDLZEI3HMoygnx9LWap5klQiWFhUBBFFKvNvR%2bvcRSTqbai3DE34YsHm8D3KSRmIbXfE45fSo3rAjy7xlnUKcfl8pWf0czrk9GK1Fz%2bk%2bZij%2b5FaVS619NwS5GHE%2f%2fEGp%2fv7CsAExE5tOn79%2bBOMOL%2f47P0pLgc3ska%2fSOr2qUoQiapqlPAfk%2biOiONkFg1N%2bRDXBOatL2drXeGvEmPPB%2bCC4qCPQDoS0FUd9L4CUcxsIYIQseLSzMNSr14UpG%2fTKI3%2flLijkJjZdiVJlz","descargar bases")</f>
      </c>
    </row>
    <row r="29">
      <c r="A29" s="0" t="inlineStr">
        <is>
          <t xml:space="preserve">1057062-10-LE26</t>
        </is>
      </c>
      <c r="B29" s="4" t="inlineStr">
        <is>
          <t xml:space="preserve">Servicio de Medios Digital y Radial URYRED 22992</t>
        </is>
      </c>
      <c r="C29" s="0" t="inlineStr">
        <is>
          <t xml:space="preserve">Publicada</t>
        </is>
      </c>
      <c r="D29" s="0" t="inlineStr">
        <is>
          <t xml:space="preserve">UNIVERSIDAD DE AYSEN</t>
        </is>
      </c>
      <c r="E29" s="0" t="inlineStr">
        <is>
          <t xml:space="preserve">Proyectos</t>
        </is>
      </c>
      <c r="F29" s="0" t="inlineStr">
        <is>
          <t xml:space="preserve">Región Aysén del General Carlos Ibáñez del Campo</t>
        </is>
      </c>
      <c r="G29" s="0" t="inlineStr">
        <is>
          <t xml:space="preserve">Coyhaique</t>
        </is>
      </c>
      <c r="H29" s="2">
        <v>46321.746574</v>
      </c>
      <c r="I29" s="2">
        <v>46331.649306</v>
      </c>
      <c r="J29" s="0">
        <v>5</v>
      </c>
      <c r="K29" s="3"/>
      <c r="L29" s="0" t="inlineStr">
        <is>
          <t xml:space="preserve">CLP</t>
        </is>
      </c>
      <c r="M29" s="0" t="inlineStr">
        <is>
          <t xml:space="preserve">LE</t>
        </is>
      </c>
      <c r="N29" s="4" t="inlineStr">
        <is>
          <t xml:space="preserve">Servicios editoriales, de diseño, publicidad, gráficos y artistas / Publicidad / Agencias de publicidad</t>
        </is>
      </c>
      <c r="O29" s="4" t="inlineStr">
        <is>
          <t xml:space="preserve">1 Unidad · Campañas publicitarias</t>
        </is>
      </c>
      <c r="P29" s="2"/>
      <c r="Q29" s="2"/>
      <c r="R29" s="0"/>
      <c r="S29" s="0" t="inlineStr">
        <is>
          <t xml:space="preserve">No</t>
        </is>
      </c>
      <c r="T29" s="4"/>
      <c r="U29" s="0" t="inlineStr">
        <is>
          <t xml:space="preserve">Jeimy Fontecha Jiménez</t>
        </is>
      </c>
      <c r="V29" s="4" t="inlineStr">
        <is>
          <t xml:space="preserve">fortalecer el posicionamiento del sistema de universidades estatales, visibilizando sus aportes al desarrollo del país, potenciando su crecimiento, desarrollo y relevancia social por medio de acciones estratégicas de coordinación y colaboración”. En este contexto, la implementación de un plan de medios digital y de difusión radial permitirá ampliar el alcance de la estrategia de posicionamiento definida por Rectoras y Rectores, favoreciendo una mayor visibilidad pública del sistema universitario estatal e incorporando mecanismos de monitoreo y evaluación de resultados.</t>
        </is>
      </c>
      <c r="W29" s="5" t="str">
        <f>HYPERLINK("https://www.mercadopublico.cl/Procurement/Modules/Attachment/ViewAttachment.aspx?enc=XwblP%2b8yzNd2wAcyx2YJk2jYeD0rF16KSfdnyRWQIZ4gvRkEX3KWEpOctLLWT4MH%2bfHt159gwn84Me%2b2psw1VGiIJ%2beMrsgB5SB17%2f56COXQuaG1y5RqJJSB6p3hsf4li5s9gZWKGNun9JruurSftczdvkkEcXkdvXora9M2%2fTBWlxgI9l4xjBOn34pCp99Fa9oPUB2zpN9VEK9F3spyVhd4vokwflXtYNH8kN8iBAfrJQE1HAbId0jRlNcblaOjso%2f1jW4SIhcJyPXIOUKDkgR%2fvi0wzgqbNMeKRAFFEKhfcfBPvyMea%2fjrHMKb8OH1","descargar bases")</f>
      </c>
    </row>
    <row r="30">
      <c r="A30" s="0" t="inlineStr">
        <is>
          <t xml:space="preserve">662237-35-LE26</t>
        </is>
      </c>
      <c r="B30" s="4" t="inlineStr">
        <is>
          <t xml:space="preserve">Adquisición de créditos Google Cloud Platform GCP</t>
        </is>
      </c>
      <c r="C30" s="0" t="inlineStr">
        <is>
          <t xml:space="preserve">Publicada</t>
        </is>
      </c>
      <c r="D30" s="0" t="inlineStr">
        <is>
          <t xml:space="preserve">SERVICIO NACIONAL PARA LA PREVENCION Y REHABILITACION DEL CONSUMO DE D</t>
        </is>
      </c>
      <c r="E30" s="0" t="inlineStr">
        <is>
          <t xml:space="preserve">SENDA NACIONAL</t>
        </is>
      </c>
      <c r="F30" s="0" t="inlineStr">
        <is>
          <t xml:space="preserve">Región Metropolitana de Santiago</t>
        </is>
      </c>
      <c r="G30" s="0" t="inlineStr">
        <is>
          <t xml:space="preserve">Santiago Centro</t>
        </is>
      </c>
      <c r="H30" s="2">
        <v>46317.631042</v>
      </c>
      <c r="I30" s="2">
        <v>46331.666667</v>
      </c>
      <c r="J30" s="0">
        <v>5</v>
      </c>
      <c r="K30" s="3">
        <v>19000000.0</v>
      </c>
      <c r="L30" s="0" t="inlineStr">
        <is>
          <t xml:space="preserve">CLP</t>
        </is>
      </c>
      <c r="M30" s="0" t="inlineStr">
        <is>
          <t xml:space="preserve">LE</t>
        </is>
      </c>
      <c r="N30" s="4" t="inlineStr">
        <is>
          <t xml:space="preserve">Tecnologías de la información, telecomunicaciones y radiodifusión / Software / Software de gestión</t>
        </is>
      </c>
      <c r="O30" s="4" t="inlineStr">
        <is>
          <t xml:space="preserve">1 Unidad · Software de gestión de adquisiciones</t>
        </is>
      </c>
      <c r="P30" s="2"/>
      <c r="Q30" s="2"/>
      <c r="R30" s="0"/>
      <c r="S30" s="0" t="inlineStr">
        <is>
          <t xml:space="preserve">No</t>
        </is>
      </c>
      <c r="T30" s="4"/>
      <c r="U30" s="0" t="inlineStr">
        <is>
          <t xml:space="preserve">Santiago Campos</t>
        </is>
      </c>
      <c r="V30" s="4" t="inlineStr">
        <is>
          <t xml:space="preserve">El Servicio Nacional para la Prevención y Rehabilitación del Consumo de
Drogas y Alcohol, en adelante SENDA, requiere adquirir créditos Google Cloud
Platform GCP para asegurar la continuidad operativa de los servicios
institucionales actualmente alojados o utilizados en dicha plataforma.</t>
        </is>
      </c>
      <c r="W30" s="5" t="str">
        <f>HYPERLINK("https://www.mercadopublico.cl/Procurement/Modules/Attachment/ViewAttachment.aspx?enc=ztHE%2beY1N43ogKx0FDfNX%2bNCRkSyCLd1nc4xusq%2foc5L8Ds9axIt%2bdONJ7mmIAMxCNbBJGnheFBVZtLMvmAeLUYXEJuRGmt97b0wBnUndIB2%2ftC0ax2g3RO8K1RVqqXdKV395rHzpaXt6PThzW907NyGh9CLbRH9Yanhsu6FLomyTH0nLYrNHPmg4DUbFcbHqV3pEpyjc8m2iVWaSGOWtxqx1y70qYG0lS8ILfp3GlzFuw%2bDxkAF1My3YoZl0dIu1Vs10NxTfpLMayOOWUHszdMHw4PDtqCAzASvY9YNppKDM7LihnFFq2y%2fHyW4gspx","descargar bases")</f>
      </c>
    </row>
    <row r="31">
      <c r="A31" s="0" t="inlineStr">
        <is>
          <t xml:space="preserve">4246-11-LE26</t>
        </is>
      </c>
      <c r="B31" s="4" t="inlineStr">
        <is>
          <t xml:space="preserve">Licencias de software EDB Enterprise</t>
        </is>
      </c>
      <c r="C31" s="0" t="inlineStr">
        <is>
          <t xml:space="preserve">Publicada</t>
        </is>
      </c>
      <c r="D31" s="0" t="inlineStr">
        <is>
          <t xml:space="preserve">SUPERINTENDENCIA DE CASINOS DE JUEGO</t>
        </is>
      </c>
      <c r="E31" s="0" t="inlineStr">
        <is>
          <t xml:space="preserve">Superintendencia de Casinos de Juego</t>
        </is>
      </c>
      <c r="F31" s="0" t="inlineStr">
        <is>
          <t xml:space="preserve">Región Metropolitana de Santiago</t>
        </is>
      </c>
      <c r="G31" s="0" t="inlineStr">
        <is>
          <t xml:space="preserve">Santiago</t>
        </is>
      </c>
      <c r="H31" s="2">
        <v>46325.609259</v>
      </c>
      <c r="I31" s="2">
        <v>46331.670139</v>
      </c>
      <c r="J31" s="0">
        <v>5</v>
      </c>
      <c r="K31" s="3"/>
      <c r="L31" s="0" t="inlineStr">
        <is>
          <t xml:space="preserve">USD</t>
        </is>
      </c>
      <c r="M31" s="0" t="inlineStr">
        <is>
          <t xml:space="preserve">LE</t>
        </is>
      </c>
      <c r="N31" s="4" t="inlineStr">
        <is>
          <t xml:space="preserve">Tecnologías de la información, telecomunicaciones y radiodifusión / Software / Software de consultas y gestión de datos</t>
        </is>
      </c>
      <c r="O31" s="4" t="inlineStr">
        <is>
          <t xml:space="preserve">1 Unidad · Software de administración de bases de datos orientado a objetos</t>
        </is>
      </c>
      <c r="P31" s="2"/>
      <c r="Q31" s="2"/>
      <c r="R31" s="0"/>
      <c r="S31" s="0" t="inlineStr">
        <is>
          <t xml:space="preserve">No</t>
        </is>
      </c>
      <c r="T31" s="4" t="inlineStr">
        <is>
          <t xml:space="preserve">Acorde a lo indicado en numeral 19 de las bases de licitación</t>
        </is>
      </c>
      <c r="U31" s="0" t="inlineStr">
        <is>
          <t xml:space="preserve">Alejandro Ledezma</t>
        </is>
      </c>
      <c r="V31" s="4" t="inlineStr">
        <is>
          <t xml:space="preserve">El objetivo de la presente licitación pública es garantizar la correcta operación de los sistemas que apoyan a los procesos de negocio y de la plataforma de Business Analytics institucional, por tanto, se requiere gestionar la renovación por 12 meses del licenciamiento del motor de bases de datos Postgres Plus Advanced Server</t>
        </is>
      </c>
      <c r="W31" s="5" t="str">
        <f>HYPERLINK("https://www.mercadopublico.cl/Procurement/Modules/Attachment/ViewAttachment.aspx?enc=wTsMQg1omm%2bsHFk%2fHQY4a60%2fdzqnBNWpfRxDmJzlcn6kD3l5QdnL7eFG7CE9OTZe8eLOP3Aa7vGomzGuuPxkjuUANRaxZB2yLrfTK%2fAWhmc3sSqTILzw%2fcmwWF2KF3%2f9e09QmEkVHNIg%2b9%2fCP%2bYL2fGufVHMbQEtgNqx8aNNXACkVuaVe7inWBzUPjc%2fiFqch6735Ib5hhxhNrYiVw1h0MLBjJ8VMu%2bBDwYETEt403G9t4t1zZec75%2br3v4fuyq7LEERSBey%2b4douobNMPUE24DpjaNz5wvOIVG3HNSz7obTuFchIsR9Pnm2QDGXdTl4","descargar bases")</f>
      </c>
    </row>
    <row r="32">
      <c r="A32" s="0" t="inlineStr">
        <is>
          <t xml:space="preserve">1447930-15-LP26</t>
        </is>
      </c>
      <c r="B32" s="4" t="inlineStr">
        <is>
          <t xml:space="preserve">SSP - Plataforma de virtualización On Premise</t>
        </is>
      </c>
      <c r="C32" s="0" t="inlineStr">
        <is>
          <t xml:space="preserve">Publicada</t>
        </is>
      </c>
      <c r="D32" s="0" t="inlineStr">
        <is>
          <t xml:space="preserve">SUBSECRETARIA DE SEGURIDAD PUBLICA</t>
        </is>
      </c>
      <c r="E32" s="0" t="inlineStr">
        <is>
          <t xml:space="preserve">SUBSECRETARIA DE SEGURIDAD PUBLICA</t>
        </is>
      </c>
      <c r="F32" s="0" t="inlineStr">
        <is>
          <t xml:space="preserve">Región Metropolitana de Santiago</t>
        </is>
      </c>
      <c r="G32" s="0" t="inlineStr">
        <is>
          <t xml:space="preserve">Santiago</t>
        </is>
      </c>
      <c r="H32" s="2">
        <v>46311.52985</v>
      </c>
      <c r="I32" s="2">
        <v>46331.708333</v>
      </c>
      <c r="J32" s="0">
        <v>5</v>
      </c>
      <c r="K32" s="3">
        <v>113050000.0</v>
      </c>
      <c r="L32" s="0" t="inlineStr">
        <is>
          <t xml:space="preserve">CLP</t>
        </is>
      </c>
      <c r="M32" s="0" t="inlineStr">
        <is>
          <t xml:space="preserve">LP</t>
        </is>
      </c>
      <c r="N32" s="4" t="inlineStr">
        <is>
          <t xml:space="preserve">Tecnologías de la información, telecomunicaciones y radiodifusión / Software / Software para trabajo en redes</t>
        </is>
      </c>
      <c r="O32" s="4" t="inlineStr">
        <is>
          <t xml:space="preserve">1 Unidad · Software de interconectividad de plataformas</t>
        </is>
      </c>
      <c r="P32" s="2"/>
      <c r="Q32" s="2"/>
      <c r="R32" s="0" t="inlineStr">
        <is>
          <t xml:space="preserve">40 meses</t>
        </is>
      </c>
      <c r="S32" s="0" t="inlineStr">
        <is>
          <t xml:space="preserve">No</t>
        </is>
      </c>
      <c r="T32" s="4"/>
      <c r="U32" s="0" t="inlineStr">
        <is>
          <t xml:space="preserve">Mauricio Quitral</t>
        </is>
      </c>
      <c r="V32"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32" s="5" t="str">
        <f>HYPERLINK("https://www.mercadopublico.cl/Procurement/Modules/Attachment/ViewAttachment.aspx?enc=ZbqxCgLbu4jrsMrtHOwZ1T7mFhiEy5HdrsyhRGlzCnTrr03s562b8ceS2aHctskeOM8rYlplUpOk8iT3ymH1jG%2fKa%2f98HvLY97C4s7BMadanfi5Mh0XS0y1AYvBa%2fNYk1bwigS0yPZYsrCxMIgAvyvnbDGxOXcDu9E05VPlmo3eHxhmTwtlyxZ%2b7u7vqZ2WDFvbB%2ft9mQsuSr5hWaIL9Qkxk03ebKab0A83tJ7id8FojbbGJ6OVhjZa3SRxzUMZshs5xkSAdKxyWurIa%2fnfksNSCk1mZZDEmGcHyTexdFTB14Uj2WVxS5QZbAVNFzc3p","descargar bases")</f>
      </c>
    </row>
    <row r="33">
      <c r="A33" s="0" t="inlineStr">
        <is>
          <t xml:space="preserve">1232565-42-LP26</t>
        </is>
      </c>
      <c r="B33" s="4" t="inlineStr">
        <is>
          <t xml:space="preserve">Mesa Digital de Disección Anatómica Convertible</t>
        </is>
      </c>
      <c r="C33" s="0" t="inlineStr">
        <is>
          <t xml:space="preserve">Publicada</t>
        </is>
      </c>
      <c r="D33" s="0" t="inlineStr">
        <is>
          <t xml:space="preserve">UNIVERSIDAD DE LA SERENA</t>
        </is>
      </c>
      <c r="E33" s="0" t="inlineStr">
        <is>
          <t xml:space="preserve">DIRECCIÓN DE GESTIÓN ESTRATÉGICA INSTITUCIONAL</t>
        </is>
      </c>
      <c r="F33" s="0" t="inlineStr">
        <is>
          <t xml:space="preserve">Región de Coquimbo </t>
        </is>
      </c>
      <c r="G33" s="0" t="inlineStr">
        <is>
          <t xml:space="preserve">La Serena</t>
        </is>
      </c>
      <c r="H33" s="2">
        <v>46311.490671</v>
      </c>
      <c r="I33" s="2">
        <v>46331.75</v>
      </c>
      <c r="J33" s="0">
        <v>5</v>
      </c>
      <c r="K33" s="3"/>
      <c r="L33" s="0" t="inlineStr">
        <is>
          <t xml:space="preserve">CLP</t>
        </is>
      </c>
      <c r="M33" s="0" t="inlineStr">
        <is>
          <t xml:space="preserve">LP</t>
        </is>
      </c>
      <c r="N33" s="4" t="inlineStr">
        <is>
          <t xml:space="preserve">Equipamiento y suministros médicos / Suministros para formación y estudios de medicina / Ayudas para la formación médica</t>
        </is>
      </c>
      <c r="O33" s="4" t="inlineStr">
        <is>
          <t xml:space="preserve">1 Unidad · Equipos para formación y estudios de medicina</t>
        </is>
      </c>
      <c r="P33" s="2"/>
      <c r="Q33" s="2"/>
      <c r="R33" s="0"/>
      <c r="S33" s="0" t="inlineStr">
        <is>
          <t xml:space="preserve">No</t>
        </is>
      </c>
      <c r="T33" s="4"/>
      <c r="U33" s="0" t="inlineStr">
        <is>
          <t xml:space="preserve">Estefania Muñoz Valdivia</t>
        </is>
      </c>
      <c r="V33"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33" s="5" t="str">
        <f>HYPERLINK("https://www.mercadopublico.cl/Procurement/Modules/Attachment/ViewAttachment.aspx?enc=LshLYnTOybD1D83dDtcIwrBbvhV31EH0PXLgKzB54Wc2eYsujhJQh0cz%2fM8E%2fZ2KxxO%2btS07DoPYiS5pwdfCQstIyQTkg%2fyzm1hRYbQiyGWdXlww3qDe51GaW7Aig%2brGjKC3JsRVD3xeE9Q0Gxk8T4zchITdolHCSf%2b7XSGmwZLmplhIjOzn0NReShHJyszL8GovMn7qz4Z71MkY2WJcxV05dOhlxShrYCgSDZdgiVZk74NjiDzo7yYHbRra18Rc%2fBajmKR6CGMQNp1rxWq%2bY5lBeZD%2f9BSFkaEBdcnsFMTWVqINqE4KCCxhXeW60ydq","descargar bases")</f>
      </c>
    </row>
    <row r="34">
      <c r="A34" s="0" t="inlineStr">
        <is>
          <t xml:space="preserve">3328-116-LE26</t>
        </is>
      </c>
      <c r="B34" s="4" t="inlineStr">
        <is>
          <t xml:space="preserve">ASB ADQ. PLATAFORMA AVANZADA ELECTROQUIRÚRGICA</t>
        </is>
      </c>
      <c r="C34" s="0" t="inlineStr">
        <is>
          <t xml:space="preserve">Publicada</t>
        </is>
      </c>
      <c r="D34" s="0" t="inlineStr">
        <is>
          <t xml:space="preserve">FUERZA AEREA DE CHILE COMANDO LOGISTICO</t>
        </is>
      </c>
      <c r="E34" s="0" t="inlineStr">
        <is>
          <t xml:space="preserve">Hospital Clinico " General Dr. Raúl Yazigi J."</t>
        </is>
      </c>
      <c r="F34" s="0" t="inlineStr">
        <is>
          <t xml:space="preserve">Región Metropolitana de Santiago</t>
        </is>
      </c>
      <c r="G34" s="0" t="inlineStr">
        <is>
          <t xml:space="preserve">Las Condes</t>
        </is>
      </c>
      <c r="H34" s="2">
        <v>46321.607523</v>
      </c>
      <c r="I34" s="2">
        <v>46331.75</v>
      </c>
      <c r="J34" s="0">
        <v>5</v>
      </c>
      <c r="K34" s="3">
        <v>34000000.0</v>
      </c>
      <c r="L34" s="0" t="inlineStr">
        <is>
          <t xml:space="preserve">CLP</t>
        </is>
      </c>
      <c r="M34" s="0" t="inlineStr">
        <is>
          <t xml:space="preserve">LE</t>
        </is>
      </c>
      <c r="N34" s="4" t="inlineStr">
        <is>
          <t xml:space="preserve">Equipamiento y suministros médicos / Productos quirúrgicos / Equipo quirúrgico, accesorios y productos relacionados</t>
        </is>
      </c>
      <c r="O34" s="4" t="inlineStr">
        <is>
          <t xml:space="preserve">2 Unidad · Equipo de microcirugía o accesorios</t>
        </is>
      </c>
      <c r="P34" s="2"/>
      <c r="Q34" s="2"/>
      <c r="R34" s="0"/>
      <c r="S34" s="0" t="inlineStr">
        <is>
          <t xml:space="preserve">No</t>
        </is>
      </c>
      <c r="T34" s="4"/>
      <c r="U34" s="0" t="inlineStr">
        <is>
          <t xml:space="preserve">PATRICIO CISTERNAS</t>
        </is>
      </c>
      <c r="V34" s="4" t="inlineStr">
        <is>
          <t xml:space="preserve">Este Hospital Clínico tiene la necesidad de adquirir e instalar 02 unidades de Plataforma avanzada electroquirúrgica + ultrasónica en un solo generador, los cuales deberán ser instalado en las dependencias de Pabellones quirúrgicos de este Hospital Clínico. La adquisición en cuestión debe efectuarse a través de un sistema que garantice la igualdad de los oferentes, la transparencia de los procesos, oportunidad, calidad y precio de los productos, como también el resguardo del interés patrimonial fiscal</t>
        </is>
      </c>
      <c r="W34" s="5" t="str">
        <f>HYPERLINK("https://www.mercadopublico.cl/Procurement/Modules/Attachment/ViewAttachment.aspx?enc=TsirnXD3xPpAXNP9U0sM36TWcQlgA2l9Kb96%2fESdRXUcYhGqSCrAOx14n3oyE6vNZHCTrXnzqq5LSktiRpGSACv6fcD5xRGAtwtBOm7OzXKlk%2bJwkZUU1fySw2CEGXXVv7bl8wtLSpJLm0M16usdgATXVTBYxxPqMHADxNMu9Jug0KM9QSq0TvqlHYyyVz5WkrpBe8QN2X3HPNmq9FNWW%2bwidXcJ%2fgwnsGIzCwGHYpoEVrc9B93ENxMZvkMS1d3hiNlxtTQxYQRUP9wAnL2YM4zAMTqYZXuff%2fgSaLtihUqNMb%2fkWg9Xwpq7k95WAzk6","descargar bases")</f>
      </c>
    </row>
    <row r="35">
      <c r="A35" s="0" t="inlineStr">
        <is>
          <t xml:space="preserve">5251-93-LE26</t>
        </is>
      </c>
      <c r="B35" s="4" t="inlineStr">
        <is>
          <t xml:space="preserve">SERVICIOS DE SOPORTE PARA BASE DE DATOS INSTITUCIONALES</t>
        </is>
      </c>
      <c r="C35" s="0" t="inlineStr">
        <is>
          <t xml:space="preserve">Publicada</t>
        </is>
      </c>
      <c r="D35" s="0" t="inlineStr">
        <is>
          <t xml:space="preserve">UNIVERSIDAD TECNOLOGICA METROPOLITANA</t>
        </is>
      </c>
      <c r="E35" s="0" t="inlineStr">
        <is>
          <t xml:space="preserve">DEPARTAMENTO DE ABASTECIMIENTO</t>
        </is>
      </c>
      <c r="F35" s="0" t="inlineStr">
        <is>
          <t xml:space="preserve">Región Metropolitana de Santiago</t>
        </is>
      </c>
      <c r="G35" s="0" t="inlineStr">
        <is>
          <t xml:space="preserve">Santiago</t>
        </is>
      </c>
      <c r="H35" s="2">
        <v>46321.762199</v>
      </c>
      <c r="I35" s="2">
        <v>46331.833333</v>
      </c>
      <c r="J35" s="0">
        <v>5</v>
      </c>
      <c r="K35" s="3">
        <v>34000000.0</v>
      </c>
      <c r="L35" s="0" t="inlineStr">
        <is>
          <t xml:space="preserve">CLP</t>
        </is>
      </c>
      <c r="M35" s="0" t="inlineStr">
        <is>
          <t xml:space="preserve">LE</t>
        </is>
      </c>
      <c r="N35" s="4" t="inlineStr">
        <is>
          <t xml:space="preserve">Servicios basados en ingeniería, ciencias sociales y tecnología de la información / Servicios informáticos / Administración de sistemas</t>
        </is>
      </c>
      <c r="O35" s="4" t="inlineStr">
        <is>
          <t xml:space="preserve">1 Unidad · Mantenimiento y soporte de hardware</t>
        </is>
      </c>
      <c r="P35" s="2"/>
      <c r="Q35" s="2"/>
      <c r="R35" s="0" t="inlineStr">
        <is>
          <t xml:space="preserve">24 meses</t>
        </is>
      </c>
      <c r="S35" s="0" t="inlineStr">
        <is>
          <t xml:space="preserve">No</t>
        </is>
      </c>
      <c r="T35" s="4"/>
      <c r="U35" s="0" t="inlineStr">
        <is>
          <t xml:space="preserve">José Leyton</t>
        </is>
      </c>
      <c r="V35" s="4" t="inlineStr">
        <is>
          <t xml:space="preserve">Contratar el Servicio de Soporte para Base de Datos Institucionales destinado a asegurar la disponibilidad, estabilidad, seguridad y rendimiento óptimo de las plataformas tecnológicas de la Universidad, permitiendo la administración, monitoreo, optimización y resolución de incidentes en los distintos motores de base de datos de misión crítica. Este servicio apoyará la continuidad operacional de los sistemas institucionales que soportan los procesos académicos, administrativos, docentes y de gestión utilizados por estudiantes, académicos y funcionarios, contribuyendo al desarrollo de las actividades universitarias mediante la prevención de riesgos de indisponibilidad, el resguardo de la integridad de los datos, la gestión eficiente de la capacidad y el fortalecimiento de la infraestructura tecnológica de la Institución</t>
        </is>
      </c>
      <c r="W35" s="5" t="str">
        <f>HYPERLINK("https://www.mercadopublico.cl/Procurement/Modules/Attachment/ViewAttachment.aspx?enc=WOXfNTTon%2fT6ewXg0wyju7eiVd4ji8cLel5uaBmhgv86IkATwkpB3sGWh1G8zMy7fMnrytQleOv7h3qcOmQq8PJMXGWpM%2bJej0y5sxFDoNlV2oQhRPg12dafzbz7QPOG05U4AZRZvGm0p%2ft6C6YI7DwxN3DUY4tuPDSTIXfrhLMXrur5YKp%2fpfk1aiu8lBG7s3Qu92%2flmqjvbIOjqqPnChXfY%2fUqMEkFEMMNZvHRdbQ6C6P765S%2f0Secw0yOSFxLnJv2WpX8IQFh4tJkvkyWbyeJdC4pcwPyOadYQCSgviWbjVrVWipfDet8UczRvGsL","descargar bases")</f>
      </c>
    </row>
    <row r="36">
      <c r="A36" s="0" t="inlineStr">
        <is>
          <t xml:space="preserve">976-15-O126</t>
        </is>
      </c>
      <c r="B36" s="4" t="inlineStr">
        <is>
          <t xml:space="preserve">Ampliación Plataformas Comercial y General Ad. El Loa</t>
        </is>
      </c>
      <c r="C36" s="0" t="inlineStr">
        <is>
          <t xml:space="preserve">Publicada</t>
        </is>
      </c>
      <c r="D36" s="0" t="inlineStr">
        <is>
          <t xml:space="preserve">MINISTERIO DE OBRAS PUBLICAS DIREC CION GRAL DE OO PP DCYF</t>
        </is>
      </c>
      <c r="E36" s="0" t="inlineStr">
        <is>
          <t xml:space="preserve">Dirección de Aeropuertos - MOPTT</t>
        </is>
      </c>
      <c r="F36" s="0" t="inlineStr">
        <is>
          <t xml:space="preserve">Región de Antofagasta </t>
        </is>
      </c>
      <c r="G36" s="0" t="inlineStr">
        <is>
          <t xml:space="preserve">Santiago</t>
        </is>
      </c>
      <c r="H36" s="2">
        <v>46265.341667</v>
      </c>
      <c r="I36" s="2">
        <v>46332.458333</v>
      </c>
      <c r="J36" s="0">
        <v>6</v>
      </c>
      <c r="K36" s="3"/>
      <c r="L36" s="0" t="inlineStr">
        <is>
          <t xml:space="preserve">CLP</t>
        </is>
      </c>
      <c r="M36" s="0" t="inlineStr">
        <is>
          <t xml:space="preserve">O1</t>
        </is>
      </c>
      <c r="N36" s="4" t="inlineStr">
        <is>
          <t xml:space="preserve">Consultoria / Consultoria / Planificación y Factibilidad</t>
        </is>
      </c>
      <c r="O36" s="4" t="inlineStr">
        <is>
          <t xml:space="preserve">1 Unidad · Licitación Pública de Obra</t>
        </is>
      </c>
      <c r="P36" s="2"/>
      <c r="Q36" s="2"/>
      <c r="R36" s="0"/>
      <c r="S36" s="0" t="inlineStr">
        <is>
          <t xml:space="preserve">No</t>
        </is>
      </c>
      <c r="T36" s="4"/>
      <c r="U36" s="0"/>
      <c r="V36" s="4" t="inlineStr">
        <is>
          <t xml:space="preserve">Esta Dirección necesita llamar a licitación para contratar la obra Ampliación Plataformas Comercial y General Aeródromo El Loa.</t>
        </is>
      </c>
      <c r="W36" s="5" t="str">
        <f>HYPERLINK("https://www.mercadopublico.cl/Procurement/Modules/Attachment/ViewAttachment.aspx?enc=cM%2bfYt2PV9H%2bj2UeBZWWqTUTu3tGMEiYJlr33Iu88GueoOd3R%2bMzMOe9fkBYk1OnpPOs30A%2bcQ0WgZrCXEiF0SGByeZq7fszxnFlVfDVZSZkU7qcHo7jAzbupC7GnTOrIKGUxvzTs60ocL7gpTnIQXumqRDTkHAyI7iPixU74JRnuu7NGV23Nrj7zaNQp964BvB6KRS%2fQFb9XurnXnRV%2fk5NtzMhLdpc2wGzTNOD50L2%2f6mTzuiSn8smQLN1eTrzhZt2tL%2bgwbpBHphpZJHtZnKT5fOewv5cOGJyIELQSzkCHWFO5%2bACQuKhUsstmldy","descargar bases")</f>
      </c>
    </row>
    <row r="37">
      <c r="A37" s="0" t="inlineStr">
        <is>
          <t xml:space="preserve">3799-28-LE26</t>
        </is>
      </c>
      <c r="B37" s="4" t="inlineStr">
        <is>
          <t xml:space="preserve">Servidor para implementación plataforma digitales</t>
        </is>
      </c>
      <c r="C37" s="0" t="inlineStr">
        <is>
          <t xml:space="preserve">Publicada</t>
        </is>
      </c>
      <c r="D37" s="0" t="inlineStr">
        <is>
          <t xml:space="preserve">I MUNICIPALIDAD DE PUREN</t>
        </is>
      </c>
      <c r="E37" s="0" t="inlineStr">
        <is>
          <t xml:space="preserve">Municipalidad de Purén</t>
        </is>
      </c>
      <c r="F37" s="0" t="inlineStr">
        <is>
          <t xml:space="preserve">Región de la Araucanía </t>
        </is>
      </c>
      <c r="G37" s="0" t="inlineStr">
        <is>
          <t xml:space="preserve">Purén</t>
        </is>
      </c>
      <c r="H37" s="2">
        <v>46324.641736</v>
      </c>
      <c r="I37" s="2">
        <v>46332.5</v>
      </c>
      <c r="J37" s="0">
        <v>6</v>
      </c>
      <c r="K37" s="3">
        <v>14319321.0</v>
      </c>
      <c r="L37" s="0" t="inlineStr">
        <is>
          <t xml:space="preserve">CLP</t>
        </is>
      </c>
      <c r="M37" s="0" t="inlineStr">
        <is>
          <t xml:space="preserve">LE</t>
        </is>
      </c>
      <c r="N37" s="4" t="inlineStr">
        <is>
          <t xml:space="preserve">Tecnologías de la información, telecomunicaciones y radiodifusión / Equipos informáticos y accesorios / Computadores</t>
        </is>
      </c>
      <c r="O37" s="4" t="inlineStr">
        <is>
          <t xml:space="preserve">1 Unidad · Servidores</t>
        </is>
      </c>
      <c r="P37" s="2"/>
      <c r="Q37" s="2"/>
      <c r="R37" s="0"/>
      <c r="S37" s="0" t="inlineStr">
        <is>
          <t xml:space="preserve">No</t>
        </is>
      </c>
      <c r="T37" s="4"/>
      <c r="U37" s="0" t="inlineStr">
        <is>
          <t xml:space="preserve">Frann Barbieri Fernandez</t>
        </is>
      </c>
      <c r="V37" s="4" t="inlineStr">
        <is>
          <t xml:space="preserve">Servidor para implementación plataforma digitales institucionales Municipalidad de Purén.-</t>
        </is>
      </c>
      <c r="W37" s="5" t="str">
        <f>HYPERLINK("https://www.mercadopublico.cl/Procurement/Modules/Attachment/ViewAttachment.aspx?enc=m8bTM9gYZSYmkhCfw9L7sk361oYeZ4CuCDCnJvhxEmfnwJ%2bUEySiACu2LldFSShsFvUCCOxrBVd9eJaCqF8ebRNT5E%2fkKcxEw%2bhExLssBRRHUzFYtxnfMti4NABfcB4z7n%2bGb8pLBYiAxbfBjjY%2f0fGocZFHeuMR%2bbPO1OdzRNgp%2bvTGBy997GNW%2fxv7PpeCFoWICZ9K8X4PJ4qX2EU3I2sknm6KOo5K2qfqNpl0TR4UqNu5M3XTI4Nu6Ptbs1xfq6GqZyLqeAWGtYlrxh9ZQAsfXjXPRl7wN27l8T31ovymyjdqxx9Z%2fMOdlYT4DxJC","descargar bases")</f>
      </c>
    </row>
    <row r="38">
      <c r="A38" s="0" t="inlineStr">
        <is>
          <t xml:space="preserve">867990-127-L126</t>
        </is>
      </c>
      <c r="B38" s="4" t="inlineStr">
        <is>
          <t xml:space="preserve">Servicio de suministro y fabricación tablero de fuerza 220/380. Depto. Ing. Eléctrica.</t>
        </is>
      </c>
      <c r="C38" s="0" t="inlineStr">
        <is>
          <t xml:space="preserve">Publicada</t>
        </is>
      </c>
      <c r="D38" s="0" t="inlineStr">
        <is>
          <t xml:space="preserve">UNIVERSIDAD DE SANTIAGO DE CHILE</t>
        </is>
      </c>
      <c r="E38" s="0" t="inlineStr">
        <is>
          <t xml:space="preserve">DEPARTAMENTO DE COORDINACIÓN INSTITUCIONAL - DCI</t>
        </is>
      </c>
      <c r="F38" s="0" t="inlineStr">
        <is>
          <t xml:space="preserve">Región Metropolitana de Santiago</t>
        </is>
      </c>
      <c r="G38" s="0" t="inlineStr">
        <is>
          <t xml:space="preserve">Estación Central</t>
        </is>
      </c>
      <c r="H38" s="2">
        <v>46322.709722</v>
      </c>
      <c r="I38" s="2">
        <v>46332.5</v>
      </c>
      <c r="J38" s="0">
        <v>6</v>
      </c>
      <c r="K38" s="3">
        <v>7081451.0</v>
      </c>
      <c r="L38" s="0" t="inlineStr">
        <is>
          <t xml:space="preserve">CLP</t>
        </is>
      </c>
      <c r="M38" s="0" t="inlineStr">
        <is>
          <t xml:space="preserve">L1</t>
        </is>
      </c>
      <c r="N38" s="4" t="inlineStr">
        <is>
          <t xml:space="preserve">Servicios de construcción y mantenimiento / Construcción de edificios en general / Construcción de obras civiles y infraestructuras</t>
        </is>
      </c>
      <c r="O38" s="4" t="inlineStr">
        <is>
          <t xml:space="preserve">1 Unidad no definida · Construcción de obras civiles</t>
        </is>
      </c>
      <c r="P38" s="2"/>
      <c r="Q38" s="2"/>
      <c r="R38" s="0"/>
      <c r="S38" s="0" t="inlineStr">
        <is>
          <t xml:space="preserve">No</t>
        </is>
      </c>
      <c r="T38" s="4"/>
      <c r="U38" s="0"/>
      <c r="V38" s="4" t="inlineStr">
        <is>
          <t xml:space="preserve">Servicio de suministro y fabricación tablero de fuerza 220/380. Depto. Ing. Eléctrica. 
Se adjuntan:
- Bases técnicas.
- Itemizado.
- Planos.
- Visita terreno obligatoria.
- Anexos obligatorios (en el formato adjunto).
- Itemizado y carta Gantt obligatorio.</t>
        </is>
      </c>
      <c r="W38" s="5" t="str">
        <f>HYPERLINK("https://www.mercadopublico.cl/Procurement/Modules/Attachment/ViewAttachment.aspx?enc=cuDPmCDQK8xqWi%2bxPco4AWWON%2fYkFFxIf92US3sgldQHeeQwNX7ajyBoGF6pYmCBMDEo9Mj8TNV%2fLuG4w4kXPXqtYeNx9YfVTnjzQZ3J6LSZGGhkX95G0hp5llVD1bdwCelnTtbi0vh2eKLEiVDmfJ0bzW0lHbLolcMAK2zIZsNIIEmOevr3nf8gjohf2WmGyDFkLoqmn0lRbaw9wBjhT4fWxR9UQfB3RW0DNC%2fLWzVlaMlvCVNmsovJPvnLLd8CKu7fC6rMYFivXbpoFYWv%2f7rqS6BQ4lQ%2bpapixZEnLgHWCrH99rX320NmZ8yfUast","descargar bases")</f>
      </c>
    </row>
    <row r="39">
      <c r="A39" s="0" t="inlineStr">
        <is>
          <t xml:space="preserve">765-24-LE26</t>
        </is>
      </c>
      <c r="B39" s="4" t="inlineStr">
        <is>
          <t xml:space="preserve">Digitalizar e integrar trámites plataforma SUPER</t>
        </is>
      </c>
      <c r="C39" s="0" t="inlineStr">
        <is>
          <t xml:space="preserve">Publicada</t>
        </is>
      </c>
      <c r="D39" s="0" t="inlineStr">
        <is>
          <t xml:space="preserve">CORP NACIONAL DE DESARROLLO INDIGENA</t>
        </is>
      </c>
      <c r="E39" s="0" t="inlineStr">
        <is>
          <t xml:space="preserve">CORP NACIONAL DE DESARROLLO INDIGENA</t>
        </is>
      </c>
      <c r="F39" s="0" t="inlineStr">
        <is>
          <t xml:space="preserve">Región de la Araucanía </t>
        </is>
      </c>
      <c r="G39" s="0" t="inlineStr">
        <is>
          <t xml:space="preserve">Temuco</t>
        </is>
      </c>
      <c r="H39" s="2">
        <v>46318.517975</v>
      </c>
      <c r="I39" s="2">
        <v>46332.5</v>
      </c>
      <c r="J39" s="0">
        <v>6</v>
      </c>
      <c r="K39" s="3"/>
      <c r="L39" s="0" t="inlineStr">
        <is>
          <t xml:space="preserve">CLP</t>
        </is>
      </c>
      <c r="M39" s="0" t="inlineStr">
        <is>
          <t xml:space="preserve">LE</t>
        </is>
      </c>
      <c r="N39" s="4" t="inlineStr">
        <is>
          <t xml:space="preserve">Tecnologías de la información, telecomunicaciones y radiodifusión / Software / Software de consultas y gestión de datos</t>
        </is>
      </c>
      <c r="O39" s="4" t="inlineStr">
        <is>
          <t xml:space="preserve">1 Unidad · Software de gestión de relaciones con el cliente (CRM)</t>
        </is>
      </c>
      <c r="P39" s="2"/>
      <c r="Q39" s="2"/>
      <c r="R39" s="0"/>
      <c r="S39" s="0" t="inlineStr">
        <is>
          <t xml:space="preserve">No</t>
        </is>
      </c>
      <c r="T39" s="4"/>
      <c r="U39" s="0" t="inlineStr">
        <is>
          <t xml:space="preserve">Marco Alcaman Painen</t>
        </is>
      </c>
      <c r="V39" s="4" t="inlineStr">
        <is>
          <t xml:space="preserve">Desarrollo de cuatro módulos SIMPLE para la gestión administrativa de autorizaciones CONADI e integrarlos con el Sistema Unificado de Permisos SUPER</t>
        </is>
      </c>
      <c r="W39" s="5" t="str">
        <f>HYPERLINK("https://www.mercadopublico.cl/Procurement/Modules/Attachment/ViewAttachment.aspx?enc=4Ghzo1KFqL5kGP%2fyveJu7DqzdFN8KMmGOw9q9iPeCyAuv1blplGeVj6c2ONCdhrUkzVxo66ziprG3BOvG5STNCPQmpfIMxAjqdCT9Y57p4tSAR0qyFTGGqiuwm%2b8itunYi2Aj%2fcBOV5F7M4rm3djNPCPLyh9QvySX6N5Y3lcOL7CUEXfCJF%2bNKIF%2b7JfKFYQV8WlDUGcLbqjtOsdnDg7ncRoz8AH6vMf3YdcC%2bT%2fG%2bfWdtWo8xINduYsWQWbUZYnPo22uWI4qY3wxakDsxGQdh%2bVPHlRL7LoWY2a44g75Gz6XDblX9Ql8g67iGTiLoxH","descargar bases")</f>
      </c>
    </row>
    <row r="40">
      <c r="A40" s="0" t="inlineStr">
        <is>
          <t xml:space="preserve">1079516-43-LE26</t>
        </is>
      </c>
      <c r="B40" s="4" t="inlineStr">
        <is>
          <t xml:space="preserve">ADQ. ACTUALIZACION  12 MESES LICENCIA SOFTWARE PARA SECCION OS 9 VALPARAISO</t>
        </is>
      </c>
      <c r="C40" s="0" t="inlineStr">
        <is>
          <t xml:space="preserve">Publicada</t>
        </is>
      </c>
      <c r="D40" s="0" t="inlineStr">
        <is>
          <t xml:space="preserve">DIRECCION DE LOGISTICA DE CARABINEROS</t>
        </is>
      </c>
      <c r="E40" s="0" t="inlineStr">
        <is>
          <t xml:space="preserve">SECCIÓN COMPRAS ZONA DE CARABINEROS VALPARAISO</t>
        </is>
      </c>
      <c r="F40" s="0" t="inlineStr">
        <is>
          <t xml:space="preserve">Región de Valparaíso </t>
        </is>
      </c>
      <c r="G40" s="0" t="inlineStr">
        <is>
          <t xml:space="preserve">Santo Domingo</t>
        </is>
      </c>
      <c r="H40" s="2">
        <v>46322.441921</v>
      </c>
      <c r="I40" s="2">
        <v>46332.541667</v>
      </c>
      <c r="J40" s="0">
        <v>6</v>
      </c>
      <c r="K40" s="3">
        <v>35000000.0</v>
      </c>
      <c r="L40" s="0" t="inlineStr">
        <is>
          <t xml:space="preserve">CLP</t>
        </is>
      </c>
      <c r="M40" s="0" t="inlineStr">
        <is>
          <t xml:space="preserve">LE</t>
        </is>
      </c>
      <c r="N40" s="4" t="inlineStr">
        <is>
          <t xml:space="preserve">Equipamiento y suministros médicos / Productos para imágenes y de medicina nuclear / Artículos para archivar información e imágenes radiológicas</t>
        </is>
      </c>
      <c r="O40" s="4" t="inlineStr">
        <is>
          <t xml:space="preserve">1 Unidad · Software de sistemas de archivado de película radiográfica médica</t>
        </is>
      </c>
      <c r="P40" s="2"/>
      <c r="Q40" s="2"/>
      <c r="R40" s="0"/>
      <c r="S40" s="0" t="inlineStr">
        <is>
          <t xml:space="preserve">No</t>
        </is>
      </c>
      <c r="T40" s="4"/>
      <c r="U40" s="0" t="inlineStr">
        <is>
          <t xml:space="preserve">DEAOPEROL ZONA VALPARAISO</t>
        </is>
      </c>
      <c r="V40" s="4" t="inlineStr">
        <is>
          <t xml:space="preserve">ADQUISICIN  ACTUALIZACIÓN  12 MESES LICENCIA SOFTWARE PARA SECCION OS 9 VALPARAISO, CONFORME A ESPECIFICACIONES TECNICAS ANEXO N°3 Y A LA PRESENTACION OFERTA EN FORMATO ANEXO N°2.</t>
        </is>
      </c>
      <c r="W40" s="5" t="str">
        <f>HYPERLINK("https://www.mercadopublico.cl/Procurement/Modules/Attachment/ViewAttachment.aspx?enc=zkJn%2fyh%2bU0hFkXiA0H2l1SyALkzAAh8TCYDJm4r4wgKHLo85yqR%2bZI03KVEN7BIRlao9QsJUEr%2bVUKIEnQF0V3oNwzhfHSogVQycmNwic0RwlhGcY5KzGoulVnABMhAfVZld4RJ0arLI8CRA4W3gdGrDK2dsV7KG56W7WZtiwi7Qp5hSLo7gB%2fPIUPY1rApG%2b28J6F7e1zeyJ%2bjRZaocJ7FGXBDb1W7qXC7W0wlG5n77YSePxnQZDPjMW%2bcckOd9w8wfhLpIx7iK55RjyInq7AkoQsEKaX7%2fkG4704gjMtbq33gGQo1Brfq1IYrejWia","descargar bases")</f>
      </c>
    </row>
    <row r="41">
      <c r="A41" s="0" t="inlineStr">
        <is>
          <t xml:space="preserve">1057432-98-LE26</t>
        </is>
      </c>
      <c r="B41" s="4" t="inlineStr">
        <is>
          <t xml:space="preserve">CONTRATACIÓN PLATAFORMA MOODLE POR UN PERIODO DE 2</t>
        </is>
      </c>
      <c r="C41" s="0" t="inlineStr">
        <is>
          <t xml:space="preserve">Publicada</t>
        </is>
      </c>
      <c r="D41" s="0" t="inlineStr">
        <is>
          <t xml:space="preserve">SERVICIO DE SALUD CONCEPCION</t>
        </is>
      </c>
      <c r="E41" s="0" t="inlineStr">
        <is>
          <t xml:space="preserve">Servicio de Salud  Concepción</t>
        </is>
      </c>
      <c r="F41" s="0" t="inlineStr">
        <is>
          <t xml:space="preserve">Región del Biobío </t>
        </is>
      </c>
      <c r="G41" s="0" t="inlineStr">
        <is>
          <t xml:space="preserve">Concepción</t>
        </is>
      </c>
      <c r="H41" s="2">
        <v>46322.38941</v>
      </c>
      <c r="I41" s="2">
        <v>46332.625</v>
      </c>
      <c r="J41" s="0">
        <v>6</v>
      </c>
      <c r="K41" s="3"/>
      <c r="L41" s="0" t="inlineStr">
        <is>
          <t xml:space="preserve">CLP</t>
        </is>
      </c>
      <c r="M41" s="0" t="inlineStr">
        <is>
          <t xml:space="preserve">LE</t>
        </is>
      </c>
      <c r="N41" s="4" t="inlineStr">
        <is>
          <t xml:space="preserve">Tecnologías de la información, telecomunicaciones y radiodifusión / Software / Programas de desarrollo</t>
        </is>
      </c>
      <c r="O41" s="4" t="inlineStr">
        <is>
          <t xml:space="preserve">1 Unidad · Software de desarrollo de plataforma Web</t>
        </is>
      </c>
      <c r="P41" s="2"/>
      <c r="Q41" s="2"/>
      <c r="R41" s="0" t="inlineStr">
        <is>
          <t xml:space="preserve">24 meses</t>
        </is>
      </c>
      <c r="S41" s="0" t="inlineStr">
        <is>
          <t xml:space="preserve">No</t>
        </is>
      </c>
      <c r="T41" s="4"/>
      <c r="U41" s="0" t="inlineStr">
        <is>
          <t xml:space="preserve">Macarena del Canto Portolés</t>
        </is>
      </c>
      <c r="V41" s="4" t="inlineStr">
        <is>
          <t xml:space="preserve">CONTRATACIÓN PLATAFORMA MOODLE POR UN PERIODO DE 24 MESES; El Servicio de Salud Concepción SSC requiere obtener un servicio de plataforma de capacitación virtual, que cree, gestione y administre los cursos que se soliciten. Con el objetivo de entregar a los funcionarios dependientes de SSC y funcionarios de APS, las capacitaciones necesarias para mejorar la calidad de la atención de usuarios.</t>
        </is>
      </c>
      <c r="W41" s="5" t="str">
        <f>HYPERLINK("https://www.mercadopublico.cl/Procurement/Modules/Attachment/ViewAttachment.aspx?enc=HGTvpW0YeICDEM%2bFFfE%2bwNx5T5te6ogEftux80HEQly%2b1azFI1GL9bjnh8Qs7J%2fKx%2b6SbGUwsKwrPBiRdPaBau4HxwK%2ftlrNCB9YHY8TGJqSkKoHNYkPvZiFsuj8pqT2EKgrh6%2bql5d18DAizHU9HCPoXd7bJ%2fQK4MN57dq4twA9E2IR9RUaOVnkFLeYC6%2bIBhMt8oiXuPZIGn8BSIeWK4M7SNF5NHHuFr8JX2fzWASQQp7WccNN0ClOyMmV9BBr0Q0%2feC28adhbGpZPiRmjjJvJdcjcGqYiZhHhBYG5gAxHrENfntC%2f%2bF04z08bl30x","descargar bases")</f>
      </c>
    </row>
    <row r="42">
      <c r="A42" s="0" t="inlineStr">
        <is>
          <t xml:space="preserve">1375746-21-LE26</t>
        </is>
      </c>
      <c r="B42" s="4" t="inlineStr">
        <is>
          <t xml:space="preserve">ADQUISICIÓN DE SOFTWARE Y PLATAFORMAS</t>
        </is>
      </c>
      <c r="C42" s="0" t="inlineStr">
        <is>
          <t xml:space="preserve">Publicada</t>
        </is>
      </c>
      <c r="D42" s="0" t="inlineStr">
        <is>
          <t xml:space="preserve">SERVICIO LOCAL DE EDUCACIÓN PÚBLICA ACONCAGUA</t>
        </is>
      </c>
      <c r="E42" s="0" t="inlineStr">
        <is>
          <t xml:space="preserve">COMPRAS Y LICITACIONES</t>
        </is>
      </c>
      <c r="F42" s="0" t="inlineStr">
        <is>
          <t xml:space="preserve">Región de Valparaíso </t>
        </is>
      </c>
      <c r="G42" s="0" t="inlineStr">
        <is>
          <t xml:space="preserve">San Felipe</t>
        </is>
      </c>
      <c r="H42" s="2">
        <v>46322.469236</v>
      </c>
      <c r="I42" s="2">
        <v>46332.625</v>
      </c>
      <c r="J42" s="0">
        <v>6</v>
      </c>
      <c r="K42" s="3">
        <v>20000000.0</v>
      </c>
      <c r="L42" s="0" t="inlineStr">
        <is>
          <t xml:space="preserve">CLP</t>
        </is>
      </c>
      <c r="M42" s="0" t="inlineStr">
        <is>
          <t xml:space="preserve">LE</t>
        </is>
      </c>
      <c r="N42" s="4" t="inlineStr">
        <is>
          <t xml:space="preserve">Tecnologías de la información, telecomunicaciones y radiodifusión / Software / Software de administración de redes</t>
        </is>
      </c>
      <c r="O42" s="4" t="inlineStr">
        <is>
          <t xml:space="preserve">1 Global · Software de administración</t>
        </is>
      </c>
      <c r="P42" s="2"/>
      <c r="Q42" s="2"/>
      <c r="R42" s="0"/>
      <c r="S42" s="0" t="inlineStr">
        <is>
          <t xml:space="preserve">No</t>
        </is>
      </c>
      <c r="T42" s="4" t="inlineStr">
        <is>
          <t xml:space="preserve">El adjudicatario no podrá ceder ni transferir en forma alguna, total ni parcialmente, los derechos y obligaciones que nacen del desarrollo de esta licitación. Esta licitación no permite la subcontratación.</t>
        </is>
      </c>
      <c r="U42" s="0" t="inlineStr">
        <is>
          <t xml:space="preserve">Ana Tamara Corvalán Ramírez</t>
        </is>
      </c>
      <c r="V42" s="4" t="inlineStr">
        <is>
          <t xml:space="preserve">LICITACIÓN PÚBLICA ADQUISICIÓN DE SOFTWARE Y PLATAFORMAS PARA LA GESTIÓN ADMINISTRATIVA DEL SERVICIO LOCAL DE EDUCACIÓN PÚBLICA DEL ACONCAGUA</t>
        </is>
      </c>
      <c r="W42" s="5" t="str">
        <f>HYPERLINK("https://www.mercadopublico.cl/Procurement/Modules/Attachment/ViewAttachment.aspx?enc=MoBZCJMMmCK7QjnYfR9A2xndapLH65a0zkSEXkkGaHkLrZZ0xJ%2bWBZ2jJhUy6LyKxPoucboIePkxD6EM8A55d7Fx9PuNGnNeh6ixGnZVgzxdsHga2AeoR3I9zyeCcTjFX1951KZEc9B6ZqyZvkCX0cyRu8ppHig3wZau9hOIoHVL4ykUbRocVaPO06NHcrmX32Dzf7lZHIBuRtbVI4kW4bNEzahBtZr0Mh9kmnmOU%2bVFhZqOR4LaDOJl6JGLVpVuW6gwgdK%2feROR5iBUJo2Slx1PmZ7Y3ukjPWkyqtHlUQ0VLuZk2PaEmErqHqaI2HjV","descargar bases")</f>
      </c>
    </row>
    <row r="43">
      <c r="A43" s="0" t="inlineStr">
        <is>
          <t xml:space="preserve">2686-140-LE26</t>
        </is>
      </c>
      <c r="B43" s="4" t="inlineStr">
        <is>
          <t xml:space="preserve">ADQUISICIÓN DE TÓTEMS AUTOATENCIÓN</t>
        </is>
      </c>
      <c r="C43" s="0" t="inlineStr">
        <is>
          <t xml:space="preserve">Publicada</t>
        </is>
      </c>
      <c r="D43" s="0" t="inlineStr">
        <is>
          <t xml:space="preserve">I MUNICIPALIDAD DE COLINA</t>
        </is>
      </c>
      <c r="E43" s="0" t="inlineStr">
        <is>
          <t xml:space="preserve">SECPLAN</t>
        </is>
      </c>
      <c r="F43" s="0" t="inlineStr">
        <is>
          <t xml:space="preserve">Región Metropolitana de Santiago</t>
        </is>
      </c>
      <c r="G43" s="0" t="inlineStr">
        <is>
          <t xml:space="preserve">Colina</t>
        </is>
      </c>
      <c r="H43" s="2">
        <v>46322.503472</v>
      </c>
      <c r="I43" s="2">
        <v>46332.625</v>
      </c>
      <c r="J43" s="0">
        <v>6</v>
      </c>
      <c r="K43" s="3"/>
      <c r="L43" s="0" t="inlineStr">
        <is>
          <t xml:space="preserve">CLP</t>
        </is>
      </c>
      <c r="M43" s="0" t="inlineStr">
        <is>
          <t xml:space="preserve">LE</t>
        </is>
      </c>
      <c r="N43" s="4" t="inlineStr">
        <is>
          <t xml:space="preserve">Equipos y suministros de defensa, orden público, protección y seguridad / Equipos para orden público / Equipo para control de disturbios</t>
        </is>
      </c>
      <c r="O43" s="4" t="inlineStr">
        <is>
          <t xml:space="preserve">1 Unidad · Sistemas de control de formación de filas</t>
        </is>
      </c>
      <c r="P43" s="2"/>
      <c r="Q43" s="2"/>
      <c r="R43" s="0" t="inlineStr">
        <is>
          <t xml:space="preserve">45 días</t>
        </is>
      </c>
      <c r="S43" s="0" t="inlineStr">
        <is>
          <t xml:space="preserve">No</t>
        </is>
      </c>
      <c r="T43" s="4"/>
      <c r="U43" s="0" t="inlineStr">
        <is>
          <t xml:space="preserve">PABLO SEPULVEDA SEMINARIO</t>
        </is>
      </c>
      <c r="V43" s="4" t="inlineStr">
        <is>
          <t xml:space="preserve">La presente licitación tiene por objeto la adquisición, entrega, habilitación y puesta en funcionamiento de seis 6 tótems de autoatención destinados a la implementación de servicios propios de la Municipalidad de Colina, de conformidad con las características y condiciones establecidas en las Especificaciones Técnicas.</t>
        </is>
      </c>
      <c r="W43" s="5" t="str">
        <f>HYPERLINK("https://www.mercadopublico.cl/Procurement/Modules/Attachment/ViewAttachment.aspx?enc=0Hu7hO89YNaCnSd6q6wC8T68P3rc%2fi%2bteZ2xC6j3T0sGczc93%2f33NLzCTRXjBMttU%2fB6xOj4g4mwqORhzBbbUK1gaBEuCSDxEv76Azqt8CwLNGVtSuqfx0kfl5PrA4vEC7whEaPc1YWwAjZGVjjMw0lTAjPeNVkyZlIKihsaAqMIDjTvjGYay7bi5CBBi7dJm2ENDB4ZqFSHL%2bY10OTYcAXDGUj%2brHqXgGjZPOYWJDL%2bHnNxEoPNshl2D%2fGv9Phr0U%2bHOD3Z1HNKR1NcofPoHcV2bu5RIGuH%2fkIATzXw3bqdGXndNIwIe0yhqr1a3Ayc","descargar bases")</f>
      </c>
    </row>
    <row r="44">
      <c r="A44" s="0" t="inlineStr">
        <is>
          <t xml:space="preserve">605-17-LP26</t>
        </is>
      </c>
      <c r="B44" s="4" t="inlineStr">
        <is>
          <t xml:space="preserve">TELEFONÍA FIJA Y RED PRIVADA DE DATOS</t>
        </is>
      </c>
      <c r="C44" s="0" t="inlineStr">
        <is>
          <t xml:space="preserve">Publicada</t>
        </is>
      </c>
      <c r="D44" s="0" t="inlineStr">
        <is>
          <t xml:space="preserve">Consejo de Defensa del Estado</t>
        </is>
      </c>
      <c r="E44" s="0" t="inlineStr">
        <is>
          <t xml:space="preserve">Consejo de Defensa del Estado</t>
        </is>
      </c>
      <c r="F44" s="0" t="inlineStr">
        <is>
          <t xml:space="preserve">Región Metropolitana de Santiago</t>
        </is>
      </c>
      <c r="G44" s="0" t="inlineStr">
        <is>
          <t xml:space="preserve">Santiago</t>
        </is>
      </c>
      <c r="H44" s="2">
        <v>46267.454861</v>
      </c>
      <c r="I44" s="2">
        <v>46332.625</v>
      </c>
      <c r="J44" s="0">
        <v>6</v>
      </c>
      <c r="K44" s="3">
        <v>8500.0</v>
      </c>
      <c r="L44" s="0" t="inlineStr">
        <is>
          <t xml:space="preserve">CLF</t>
        </is>
      </c>
      <c r="M44" s="0" t="inlineStr">
        <is>
          <t xml:space="preserve">LP</t>
        </is>
      </c>
      <c r="N44" s="4" t="inlineStr">
        <is>
          <t xml:space="preserve">Servicios básicos y de información pública / Telecomunicaciones / Telefonía local y de larga distancia</t>
        </is>
      </c>
      <c r="O44" s="4" t="inlineStr">
        <is>
          <t xml:space="preserve">1 Unidad · Servicio telefónico local · 1 Unidad · Servicio de comunicación IP</t>
        </is>
      </c>
      <c r="P44" s="2"/>
      <c r="Q44" s="2"/>
      <c r="R44" s="0" t="inlineStr">
        <is>
          <t xml:space="preserve">24 meses</t>
        </is>
      </c>
      <c r="S44" s="0" t="inlineStr">
        <is>
          <t xml:space="preserve">No</t>
        </is>
      </c>
      <c r="T44"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44" s="0" t="inlineStr">
        <is>
          <t xml:space="preserve">IVANHOE AGUIRRE RIVERA</t>
        </is>
      </c>
      <c r="V44"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44" s="5" t="str">
        <f>HYPERLINK("https://www.mercadopublico.cl/Procurement/Modules/Attachment/ViewAttachment.aspx?enc=Nr1QSPU%2fEHq7P9uetf3DyjXMo92SdydueyMFoY%2bcRlBiZmZBS4FesKS99eNOmesj2li2OHNZfrln09UueVmjUt4pKkPQT4dIBX040t5cl5NV2Rt4kk%2b7TvIzy8ntGadgVZEjSz1z9Ty99x7%2b%2fFjMLto%2b0jMo0hRzGopKrpiJlK3w%2fzjkRLm6MG6da6C%2bIAp0BZymIyKd0bzbY0gUlmyw5Az7sTJGW42MzlNIOQ2UHPuvV2A%2fUNYaeOXsEBFg%2b3Dlxx%2ftY9UMRHJ3dB6qx1qATQ5gcXvNbYNafyTeeVyclaHz5FwIad83tdw%2fIdvd7e%2bA","descargar bases")</f>
      </c>
    </row>
    <row r="45">
      <c r="A45" s="0" t="inlineStr">
        <is>
          <t xml:space="preserve">1426102-7-LE26</t>
        </is>
      </c>
      <c r="B45" s="4" t="inlineStr">
        <is>
          <t xml:space="preserve">SERVICIO DE TELEFONIA IP Y TV DIGITAL PARA LAE IP PTO. MONTT</t>
        </is>
      </c>
      <c r="C45" s="0" t="inlineStr">
        <is>
          <t xml:space="preserve">Publicada</t>
        </is>
      </c>
      <c r="D45" s="0" t="inlineStr">
        <is>
          <t xml:space="preserve">SERVICIO NACIONAL DE REINSERCION SOCIAL JUVENIL</t>
        </is>
      </c>
      <c r="E45" s="0" t="inlineStr">
        <is>
          <t xml:space="preserve">DIRECCIÓN REGIONAL DE LOS LAGOS</t>
        </is>
      </c>
      <c r="F45" s="0" t="inlineStr">
        <is>
          <t xml:space="preserve">Región de los Lagos </t>
        </is>
      </c>
      <c r="G45" s="0" t="inlineStr">
        <is>
          <t xml:space="preserve">Puerto Montt</t>
        </is>
      </c>
      <c r="H45" s="2">
        <v>46322.531007</v>
      </c>
      <c r="I45" s="2">
        <v>46332.625694</v>
      </c>
      <c r="J45" s="0">
        <v>6</v>
      </c>
      <c r="K45" s="3"/>
      <c r="L45" s="0" t="inlineStr">
        <is>
          <t xml:space="preserve">CLP</t>
        </is>
      </c>
      <c r="M45" s="0" t="inlineStr">
        <is>
          <t xml:space="preserve">LE</t>
        </is>
      </c>
      <c r="N45" s="4" t="inlineStr">
        <is>
          <t xml:space="preserve">Servicios básicos y de información pública / Telecomunicaciones / Telefonía local y de larga distancia</t>
        </is>
      </c>
      <c r="O45" s="4" t="inlineStr">
        <is>
          <t xml:space="preserve">1 Unidad · Servicio de comunicación IP</t>
        </is>
      </c>
      <c r="P45" s="2"/>
      <c r="Q45" s="2"/>
      <c r="R45" s="0" t="inlineStr">
        <is>
          <t xml:space="preserve">24 meses</t>
        </is>
      </c>
      <c r="S45" s="0" t="inlineStr">
        <is>
          <t xml:space="preserve">No</t>
        </is>
      </c>
      <c r="T45" s="4"/>
      <c r="U45" s="0" t="inlineStr">
        <is>
          <t xml:space="preserve">Alejandra Martinez</t>
        </is>
      </c>
      <c r="V45" s="4" t="inlineStr">
        <is>
          <t xml:space="preserve">Contratar servicios de telefonía IP y TV digital para dar continuidad operativa de telecomunicaciones del centro LAE IP de Puerto Montt.</t>
        </is>
      </c>
      <c r="W45" s="5" t="str">
        <f>HYPERLINK("https://www.mercadopublico.cl/Procurement/Modules/Attachment/ViewAttachment.aspx?enc=KkSk94zrogTtPsAMkwlOdXMyr1u5pXYvc7%2f4vdZ7kODJPQ4eELSJKxNrlAHCLP%2b411BtjNsZdxd6xJOpwTekJ73O6EYuV9U5uj06Om1hQSCqdIOrQ1dn9ze2Z3vSnfNjNUdmUi8TM%2beN737rvJg%2fYubXJBf2getSAC3E1wKp7SDUGnCzcYkYbegki8b4WFItW8jIRz1U5mFa%2bJTH16vnVBHvzYUm1lkOE%2b9C1EwPJCJDYr16yDhXpSNGBdYwLJVZe7ikV4i4gDcXJUk%2bwX6JMi7YFM9VDB5%2b3OF%2f4YbVRSv4JrkXtegGzTy8%2bzYmfohO","descargar bases")</f>
      </c>
    </row>
    <row r="46">
      <c r="A46" s="0" t="inlineStr">
        <is>
          <t xml:space="preserve">5482-115-LP26</t>
        </is>
      </c>
      <c r="B46" s="4" t="inlineStr">
        <is>
          <t xml:space="preserve">DIGITALIZACIÓNINTEGRACION SGL LICENCIAS CONDUCIR</t>
        </is>
      </c>
      <c r="C46" s="0" t="inlineStr">
        <is>
          <t xml:space="preserve">Publicada</t>
        </is>
      </c>
      <c r="D46" s="0" t="inlineStr">
        <is>
          <t xml:space="preserve">I MUNICIPALIDAD DE NUNOA</t>
        </is>
      </c>
      <c r="E46" s="0" t="inlineStr">
        <is>
          <t xml:space="preserve">SECPLANUNOA</t>
        </is>
      </c>
      <c r="F46" s="0" t="inlineStr">
        <is>
          <t xml:space="preserve">Región Metropolitana de Santiago</t>
        </is>
      </c>
      <c r="G46" s="0" t="inlineStr">
        <is>
          <t xml:space="preserve">Ñuñoa</t>
        </is>
      </c>
      <c r="H46" s="2">
        <v>46317.659028</v>
      </c>
      <c r="I46" s="2">
        <v>46332.625694</v>
      </c>
      <c r="J46" s="0">
        <v>6</v>
      </c>
      <c r="K46" s="3"/>
      <c r="L46" s="0" t="inlineStr">
        <is>
          <t xml:space="preserve">CLP</t>
        </is>
      </c>
      <c r="M46" s="0" t="inlineStr">
        <is>
          <t xml:space="preserve">LP</t>
        </is>
      </c>
      <c r="N46" s="4" t="inlineStr">
        <is>
          <t xml:space="preserve">Servicios basados en ingeniería, ciencias sociales y tecnología de la información / Servicios informáticos / Servicios de datos</t>
        </is>
      </c>
      <c r="O46" s="4" t="inlineStr">
        <is>
          <t xml:space="preserve">1 Global · Servicios de digitalización de documentos</t>
        </is>
      </c>
      <c r="P46" s="2"/>
      <c r="Q46" s="2"/>
      <c r="R46" s="0" t="inlineStr">
        <is>
          <t xml:space="preserve">12 meses</t>
        </is>
      </c>
      <c r="S46" s="0" t="inlineStr">
        <is>
          <t xml:space="preserve">No</t>
        </is>
      </c>
      <c r="T46" s="4"/>
      <c r="U46" s="0" t="inlineStr">
        <is>
          <t xml:space="preserve">Juan Pablo Jimenez</t>
        </is>
      </c>
      <c r="V46" s="4" t="inlineStr">
        <is>
          <t xml:space="preserve">Contratar un servicio integral para la digitalización, indexación, carga e integración al sistema SGL de CONASET de 150.000 carpetas del archivo histórico de licencias de conducir de la Municipalidad de Ñuñoa en un plazo máximo de 12
meses corridos.</t>
        </is>
      </c>
      <c r="W46" s="5" t="str">
        <f>HYPERLINK("https://www.mercadopublico.cl/Procurement/Modules/Attachment/ViewAttachment.aspx?enc=QwYP2c7aFS3JsX9sTkGTPgFNdOOJV5pooXtn3W9uoP0LLaiXFmyq9v8syM%2fsAIToyB%2fW7QcH0YId1IGvJm4qV4wC8RNIXvJZVWKFvWGRF7Xq%2bQbuV1xGhodyLGi7zOXca%2fCWoiEezPwqIF0%2b6XFfRGG8szlv3Gq9WE59kmO1J%2b8fZf6qvUcZdrT28943Lm5oaHkYErAvTG%2bwCvXuC5sLnYqXfApoEsnqUZlQQDuJSFsSw6I7%2fVuGVfwzz9SjXJBopsRzWJ5kAL7st2HK0vVBwQqObfA92NjkeKgELLat8vJqoivL%2fOQdPxblKu2ic85f","descargar bases")</f>
      </c>
    </row>
    <row r="47">
      <c r="A47" s="0" t="inlineStr">
        <is>
          <t xml:space="preserve">1113265-17-LE26</t>
        </is>
      </c>
      <c r="B47" s="4" t="inlineStr">
        <is>
          <t xml:space="preserve">PLATAFORMA DE GESTIÓN ESTRATÉGICA</t>
        </is>
      </c>
      <c r="C47" s="0" t="inlineStr">
        <is>
          <t xml:space="preserve">Publicada</t>
        </is>
      </c>
      <c r="D47" s="0" t="inlineStr">
        <is>
          <t xml:space="preserve">CENTRO DE FORMACION TECNICA DE LA REGION DE ANTOFAGASTA</t>
        </is>
      </c>
      <c r="E47" s="0" t="inlineStr">
        <is>
          <t xml:space="preserve">UNIDAD DE COMPRAS</t>
        </is>
      </c>
      <c r="F47" s="0" t="inlineStr">
        <is>
          <t xml:space="preserve">Región de Antofagasta </t>
        </is>
      </c>
      <c r="G47" s="0" t="inlineStr">
        <is>
          <t xml:space="preserve">Calama</t>
        </is>
      </c>
      <c r="H47" s="2">
        <v>46309.735046</v>
      </c>
      <c r="I47" s="2">
        <v>46332.63125</v>
      </c>
      <c r="J47" s="0">
        <v>6</v>
      </c>
      <c r="K47" s="3"/>
      <c r="L47" s="0" t="inlineStr">
        <is>
          <t xml:space="preserve">CLP</t>
        </is>
      </c>
      <c r="M47" s="0" t="inlineStr">
        <is>
          <t xml:space="preserve">LE</t>
        </is>
      </c>
      <c r="N47" s="4" t="inlineStr">
        <is>
          <t xml:space="preserve">Tecnologías de la información, telecomunicaciones y radiodifusión / Software / Software de consultas y gestión de datos</t>
        </is>
      </c>
      <c r="O47" s="4" t="inlineStr">
        <is>
          <t xml:space="preserve">1 Unidad · Software del sistema de administración de bases de datos</t>
        </is>
      </c>
      <c r="P47" s="2"/>
      <c r="Q47" s="2"/>
      <c r="R47" s="0" t="inlineStr">
        <is>
          <t xml:space="preserve">12 meses</t>
        </is>
      </c>
      <c r="S47" s="0" t="inlineStr">
        <is>
          <t xml:space="preserve">No</t>
        </is>
      </c>
      <c r="T47" s="4"/>
      <c r="U47" s="0" t="inlineStr">
        <is>
          <t xml:space="preserve">IVAN MELLA</t>
        </is>
      </c>
      <c r="V47" s="4" t="inlineStr">
        <is>
          <t xml:space="preserve">ADQUISICIÓN E IMPLEMENTACIÓN DE PLATAFORMA DE GESTIÓN ESTRATÉGICA DE LA PERMANENCIA ESTUDIANTIL PARA EL CENTRO DE FORMACIÓN TÉCNICA ESTATAL DE LA REGIÓN DE ANTOFAGASTA</t>
        </is>
      </c>
      <c r="W47" s="5" t="str">
        <f>HYPERLINK("https://www.mercadopublico.cl/Procurement/Modules/Attachment/ViewAttachment.aspx?enc=QeAzgODFYbSn3KiMP9OzEmm8f3pDNdt3AoxOwgxXqfTfHSXDWQYTKgc8rgnNt6qNeicDEET11Ej3aqEoJ1UG2onkw46Oa1Ksw%2b%2bCyyVabuDwgH2%2bv8Ugeu%2fnNYFmQWjRkuFWcObc%2btHvGovYuS1ziiVsK%2bS4CH2cHawSQAhnRuJwsDXvSjIFw5%2buR9kNHNOmxtkLVcTVX1hMQaQApVw4H%2bvZ%2bMiQEKuD%2bdL9gQYrCsvIRir6TdHHmQd9lw0JWLL7dmMlWP6FUA46DmpA2cmjSAOD4efXs9pmJL5Kz0YdGk%2fyp53JIPu0W%2fVxBDX05zFl","descargar bases")</f>
      </c>
    </row>
    <row r="48">
      <c r="A48" s="0" t="inlineStr">
        <is>
          <t xml:space="preserve">3608-29-LE26</t>
        </is>
      </c>
      <c r="B48" s="4" t="inlineStr">
        <is>
          <t xml:space="preserve">Adquisición de equipos computacionales e informáticos</t>
        </is>
      </c>
      <c r="C48" s="0" t="inlineStr">
        <is>
          <t xml:space="preserve">Publicada</t>
        </is>
      </c>
      <c r="D48" s="0" t="inlineStr">
        <is>
          <t xml:space="preserve">I MUNICIPALIDAD DE SAAVEDRA</t>
        </is>
      </c>
      <c r="E48" s="0" t="inlineStr">
        <is>
          <t xml:space="preserve">I MUNICIPALIDAD DE SAAVEDRA</t>
        </is>
      </c>
      <c r="F48" s="0" t="inlineStr">
        <is>
          <t xml:space="preserve">Región de la Araucanía </t>
        </is>
      </c>
      <c r="G48" s="0" t="inlineStr">
        <is>
          <t xml:space="preserve">Puerto Saavedra</t>
        </is>
      </c>
      <c r="H48" s="2">
        <v>46321.713819</v>
      </c>
      <c r="I48" s="2">
        <v>46332.643056</v>
      </c>
      <c r="J48" s="0">
        <v>6</v>
      </c>
      <c r="K48" s="3">
        <v>8500000.0</v>
      </c>
      <c r="L48" s="0" t="inlineStr">
        <is>
          <t xml:space="preserve">CLP</t>
        </is>
      </c>
      <c r="M48" s="0" t="inlineStr">
        <is>
          <t xml:space="preserve">LE</t>
        </is>
      </c>
      <c r="N48" s="4" t="inlineStr">
        <is>
          <t xml:space="preserve">Equipos y suministros de defensa, orden público, protección y seguridad / Seguridad, vigilancia y detección / Equipo de vigilancia y detección, Equipos y suministros de imprenta, fotográficos y audiovisuales / Equipos de composición y presentación audiovisual / Proyectores y suministros, Tecnologías de la información, telecomunicaciones y radiodifusión / Equipos informáticos y accesorios / Computadores</t>
        </is>
      </c>
      <c r="O48" s="4" t="inlineStr">
        <is>
          <t xml:space="preserve">6 Unidad · Computadores personales · 2 Unidad · Monitores de vídeo · 1 Unidad · Notebook, laptop o computador portátil excepto Tablet PC · y 2 más</t>
        </is>
      </c>
      <c r="P48" s="2"/>
      <c r="Q48" s="2"/>
      <c r="R48" s="0"/>
      <c r="S48" s="0" t="inlineStr">
        <is>
          <t xml:space="preserve">No</t>
        </is>
      </c>
      <c r="T48" s="4"/>
      <c r="U48" s="0" t="inlineStr">
        <is>
          <t xml:space="preserve">Samuel Pichinao Painepe</t>
        </is>
      </c>
      <c r="V48" s="4" t="inlineStr">
        <is>
          <t xml:space="preserve">Adquisición de equipos computacionales e informáticos destinados a apoyar las labores administrativas de los distintos departamentos y unidades municipales. Se adjuntan bases administrativas, bases técnicas y anexos.</t>
        </is>
      </c>
      <c r="W48" s="5" t="str">
        <f>HYPERLINK("https://www.mercadopublico.cl/Procurement/Modules/Attachment/ViewAttachment.aspx?enc=yU3vg9buI4Mz676z0ETno%2f02Pz%2f3oA%2b1UYfzV7lmLbLlFLZVH94%2fWlrsZJ%2b7Rzj6Beg9VXv0jJrylllpaWtWVNZPkcQbfC%2bd9Wt8w%2bcb%2bOYYcFEoOpjl1TjYLaVWAPqmDqviGJyx55sIfPKqhY2V%2bxJqfUvMJDM5mh%2flV9dbSq2JUHo%2fXIYAsYsVNntL3eBJ6zX%2b8UTxjb07DKxg300gLS1h2q3RyJvNkCxYdztWBLduh3zryjiHFwG6YhjW1OxSm%2bPsrBAIrNnUIs%2boVGmG5tVxShSBAF8WGTQ0UAphBQCvLUSYKSj%2boS%2fImzKssErg","descargar bases")</f>
      </c>
    </row>
    <row r="49">
      <c r="A49" s="0" t="inlineStr">
        <is>
          <t xml:space="preserve">792901-1-LE26</t>
        </is>
      </c>
      <c r="B49" s="4" t="inlineStr">
        <is>
          <t xml:space="preserve">SERVICIO DE NORMALIZACIÓN DE TABLEROS ELÉCTRICOS</t>
        </is>
      </c>
      <c r="C49" s="0" t="inlineStr">
        <is>
          <t xml:space="preserve">Publicada</t>
        </is>
      </c>
      <c r="D49" s="0" t="inlineStr">
        <is>
          <t xml:space="preserve">SUPERINTENDENCIA DE EDUCACION ESCOLAR</t>
        </is>
      </c>
      <c r="E49" s="0" t="inlineStr">
        <is>
          <t xml:space="preserve">SUPEREDUC DIRECCION REGIONAL IV</t>
        </is>
      </c>
      <c r="F49" s="0" t="inlineStr">
        <is>
          <t xml:space="preserve">Región de Coquimbo </t>
        </is>
      </c>
      <c r="G49" s="0" t="inlineStr">
        <is>
          <t xml:space="preserve">La Serena</t>
        </is>
      </c>
      <c r="H49" s="2">
        <v>46322.674722</v>
      </c>
      <c r="I49" s="2">
        <v>46332.666667</v>
      </c>
      <c r="J49" s="0">
        <v>6</v>
      </c>
      <c r="K49" s="3">
        <v>9000000.0</v>
      </c>
      <c r="L49" s="0" t="inlineStr">
        <is>
          <t xml:space="preserve">CLP</t>
        </is>
      </c>
      <c r="M49" s="0" t="inlineStr">
        <is>
          <t xml:space="preserve">LE</t>
        </is>
      </c>
      <c r="N49" s="4" t="inlineStr">
        <is>
          <t xml:space="preserve">Servicios de construcción y mantenimiento / Servicios de atención, mantenimiento y reparaciones de edificios / Servicios eléctricos</t>
        </is>
      </c>
      <c r="O49" s="4" t="inlineStr">
        <is>
          <t xml:space="preserve">1 Unidad · Instalación o servicio de sistemas de energía eléctrica</t>
        </is>
      </c>
      <c r="P49" s="2"/>
      <c r="Q49" s="2"/>
      <c r="R49" s="0" t="inlineStr">
        <is>
          <t xml:space="preserve">30 días</t>
        </is>
      </c>
      <c r="S49" s="0" t="inlineStr">
        <is>
          <t xml:space="preserve">No</t>
        </is>
      </c>
      <c r="T49" s="4"/>
      <c r="U49" s="0" t="inlineStr">
        <is>
          <t xml:space="preserve">Stephanie Hicks</t>
        </is>
      </c>
      <c r="V49" s="4" t="inlineStr">
        <is>
          <t xml:space="preserve">Las presentes Bases están destinadas a precisar los contenidos mínimos requeridos para la contratación del Servicio de Normalización de Tableros Eléctricos de las dependencias de la Dirección Regional de Coquimbo., para lo cual convoca a los proveedores del rubro a presentar sus ofertas en la presente licitación, de acuerdo a las estipulaciones y condiciones que se establecen en las presentes Bases Administrativas y Bases Técnicas.</t>
        </is>
      </c>
      <c r="W49" s="5" t="str">
        <f>HYPERLINK("https://www.mercadopublico.cl/Procurement/Modules/Attachment/ViewAttachment.aspx?enc=6cpxbsQ%2ffA%2f1Z8yNPCCVgPqtc%2fHHrT3M3xBK37BHSsAfmaoDITPugzV%2bBhta6JRCKzrJQYjEkgJPpDeJqcr5PWWTZ4ktZ0239dSwLZpVMu2gkMgXUTxIYaHJ%2bsLdYREm4hGq6CcQpvRVEx7jlz9VWiBkzQZ1Xpf3xHCZVF91QrLBTuehSglYZDQdRuB3UH02vzjY46EZXKjDiNK1JacYJ4dS9Kx2PLiUaO3jCyUbWhsRCg%2bCQ5%2fgXA%2fwA%2fHaiQwPa82VkFOKNHOURFNy2GEbrvBZIk7fi0sscxLTHP3SA0cnsfuyrE3JW37cBbkOZ%2f%2bp","descargar bases")</f>
      </c>
    </row>
    <row r="50">
      <c r="A50" s="0" t="inlineStr">
        <is>
          <t xml:space="preserve">1485217-20-LE26</t>
        </is>
      </c>
      <c r="B50" s="4" t="inlineStr">
        <is>
          <t xml:space="preserve">SERVICIO DE LEVANTAMIENTO VALORIZACIÓN Y ARRIENDO DE SOFTWARE DE ADMINISTRACIÓN Y GESTIÓN DE INVENTARIO BAJO NORMAS NICSP-CGR</t>
        </is>
      </c>
      <c r="C50" s="0" t="inlineStr">
        <is>
          <t xml:space="preserve">Publicada</t>
        </is>
      </c>
      <c r="D50" s="0" t="inlineStr">
        <is>
          <t xml:space="preserve">SERVICIO LOCAL DE EDUCACIÓN PÚBLICA SANTIAGO CENTRO</t>
        </is>
      </c>
      <c r="E50" s="0" t="inlineStr">
        <is>
          <t xml:space="preserve">ESTABLECIMIENTOS EDUCACIONALES P02</t>
        </is>
      </c>
      <c r="F50" s="0" t="inlineStr">
        <is>
          <t xml:space="preserve">Región Metropolitana de Santiago</t>
        </is>
      </c>
      <c r="G50" s="0" t="inlineStr">
        <is>
          <t xml:space="preserve">Santiago</t>
        </is>
      </c>
      <c r="H50" s="2">
        <v>46325.717326</v>
      </c>
      <c r="I50" s="2">
        <v>46332.6875</v>
      </c>
      <c r="J50" s="0">
        <v>6</v>
      </c>
      <c r="K50" s="3">
        <v>60349312.0</v>
      </c>
      <c r="L50" s="0" t="inlineStr">
        <is>
          <t xml:space="preserve">CLP</t>
        </is>
      </c>
      <c r="M50" s="0" t="inlineStr">
        <is>
          <t xml:space="preserve">LE</t>
        </is>
      </c>
      <c r="N50" s="4" t="inlineStr">
        <is>
          <t xml:space="preserve">Tecnologías de la información, telecomunicaciones y radiodifusión / Software / Software de gestión</t>
        </is>
      </c>
      <c r="O50" s="4" t="inlineStr">
        <is>
          <t xml:space="preserve">1 Unidad · Programas de gestión de inventario · 24 Mes · Programas de gestión de inventario · 24 Mes · Programas de gestión de inventario</t>
        </is>
      </c>
      <c r="P50" s="2"/>
      <c r="Q50" s="2"/>
      <c r="R50" s="0" t="inlineStr">
        <is>
          <t xml:space="preserve">24 meses</t>
        </is>
      </c>
      <c r="S50" s="0" t="inlineStr">
        <is>
          <t xml:space="preserve">No</t>
        </is>
      </c>
      <c r="T50" s="4"/>
      <c r="U50" s="0" t="inlineStr">
        <is>
          <t xml:space="preserve">Carolina Pino</t>
        </is>
      </c>
      <c r="V50" s="4" t="inlineStr">
        <is>
          <t xml:space="preserve">SE REQUIERE CONTRATAR EL SERVICIO DE LEVANTAMIENTO, VALORIZACIÓN Y ARRIENDO DE SOFTWARE DE ADMINISTRACIÓN Y GESTIÓN DE INVENTARIO, BAJO NORMAS NICSP-CGR DEL SERVICIO LOCAL DE EDUCACIÓN PÚBLICA DE SANTIAGO CENTRO, SEGÚN BASES ADJUNTAS APROBADAS POR RES. EXENTA N°1884/2026</t>
        </is>
      </c>
      <c r="W50" s="5" t="str">
        <f>HYPERLINK("https://www.mercadopublico.cl/Procurement/Modules/Attachment/ViewAttachment.aspx?enc=wzekJ2WkG0YidZfN01KWBr9wwWwuTKyk23xhLVprTMmotxTLx%2fg7VG6C9WmOAtetocWWKKjliXQSophaUum%2fFKGIubKXFewPt7kkVJTNqZB6BVJ6SYurYKJiLvJI8b0R1DMrdZcvKKTMVrLnKnIXYwt4i%2bPm8WXUTqL%2b6uCVROm5JKf%2feh9tpa0ThmQJTsKyF50OsCukAk%2fEGIiQmNYaTmqbGIqkLVwUa6mflHUunkPHYx0ohoEFuYEtXnsean2TGF5mxV7QZHaeJ%2fF6uhgf%2f3Fhzbe128WKQVRm3f0nG%2fOr3I6dAI63R6e1UbYSTzhG","descargar bases")</f>
      </c>
    </row>
    <row r="51">
      <c r="A51" s="0" t="inlineStr">
        <is>
          <t xml:space="preserve">5416-45-L126</t>
        </is>
      </c>
      <c r="B51" s="4" t="inlineStr">
        <is>
          <t xml:space="preserve">Servicio de Retiro y Reemplazo de Sistema de Conectividad Digital en Espacios Educativos Administrados por la Dirección de Docencia de la Universidad de La Serena</t>
        </is>
      </c>
      <c r="C51" s="0" t="inlineStr">
        <is>
          <t xml:space="preserve">Publicada</t>
        </is>
      </c>
      <c r="D51" s="0" t="inlineStr">
        <is>
          <t xml:space="preserve">UNIVERSIDAD DE LA SERENA</t>
        </is>
      </c>
      <c r="E51" s="0" t="inlineStr">
        <is>
          <t xml:space="preserve">DEPARTAMENTO DE ABASTECIMIENTO</t>
        </is>
      </c>
      <c r="F51" s="0" t="inlineStr">
        <is>
          <t xml:space="preserve">Región de Coquimbo </t>
        </is>
      </c>
      <c r="G51" s="0" t="inlineStr">
        <is>
          <t xml:space="preserve">La Serena</t>
        </is>
      </c>
      <c r="H51" s="2">
        <v>46323.441817</v>
      </c>
      <c r="I51" s="2">
        <v>46332.75</v>
      </c>
      <c r="J51" s="0">
        <v>6</v>
      </c>
      <c r="K51" s="3">
        <v>5000000.0</v>
      </c>
      <c r="L51" s="0" t="inlineStr">
        <is>
          <t xml:space="preserve">CLP</t>
        </is>
      </c>
      <c r="M51" s="0" t="inlineStr">
        <is>
          <t xml:space="preserve">L1</t>
        </is>
      </c>
      <c r="N51" s="4" t="inlineStr">
        <is>
          <t xml:space="preserve">Maquinaria para generación y distribución de energía / Alambres y cables eléctricos y electrónicos / Arneses eléctricos</t>
        </is>
      </c>
      <c r="O51" s="4" t="inlineStr">
        <is>
          <t xml:space="preserve">26 Unidad · Cableado preformado de comunicación</t>
        </is>
      </c>
      <c r="P51" s="2"/>
      <c r="Q51" s="2"/>
      <c r="R51" s="0"/>
      <c r="S51" s="0" t="inlineStr">
        <is>
          <t xml:space="preserve">No</t>
        </is>
      </c>
      <c r="T51" s="4"/>
      <c r="U51" s="0"/>
      <c r="V51" s="4" t="inlineStr">
        <is>
          <t xml:space="preserve">El servicio comprende la contratación para la provisión, retiro, sustitución, instalación, configuración, pruebas y puesta en marcha del sistema de conectividad digital en 26 espacios educativos, otorgando estabilidad de señal en la transmisión de imagen y video desde equipos portátiles conectados vía HDMI/USB con proyectores en estas salas.</t>
        </is>
      </c>
      <c r="W51" s="5" t="str">
        <f>HYPERLINK("https://www.mercadopublico.cl/Procurement/Modules/Attachment/ViewAttachment.aspx?enc=YLHyBiOVgsmoVoTHkevVMePwKMURhhXzSNsIX8YA1PwZTfezFylOrXVlYlJVH0fCF6PDWzYSW8I5n%2bpHZp0rFcDt7cf9Q0zLxjMhDpHA0ICh9JLmMYb%2fdqfHgYim7wng7yxxYBMcnWOMxOincmxppqCdQjkLSwCs2g0ujOjF7DnWsDuwKYC7FMzxCnCy7O%2bG87BdJcvyfoAphP3Bupnee84WxgaDNjcZty8jKEJdb2wWqu34a5sLC0y9yVJzmA6gV3lm5QcW3fZZleY1X0gJBFijiWfxIhjG4%2bk4rIQ%2bvvNpi%2fmFrYU8UrullC7R30Qn","descargar bases")</f>
      </c>
    </row>
    <row r="52">
      <c r="A52" s="0" t="inlineStr">
        <is>
          <t xml:space="preserve">5126-4-LE26</t>
        </is>
      </c>
      <c r="B52" s="4" t="inlineStr">
        <is>
          <t xml:space="preserve">Cambio de tablero y protecciones eléctricas del CCN</t>
        </is>
      </c>
      <c r="C52" s="0" t="inlineStr">
        <is>
          <t xml:space="preserve">Publicada</t>
        </is>
      </c>
      <c r="D52" s="0" t="inlineStr">
        <is>
          <t xml:space="preserve">ESTADO MAYOR CONJUNTO</t>
        </is>
      </c>
      <c r="E52" s="0" t="inlineStr">
        <is>
          <t xml:space="preserve">EMC-Comando Conjunto Norte</t>
        </is>
      </c>
      <c r="F52" s="0" t="inlineStr">
        <is>
          <t xml:space="preserve">Región de Tarapacá  </t>
        </is>
      </c>
      <c r="G52" s="0" t="inlineStr">
        <is>
          <t xml:space="preserve">Iquique</t>
        </is>
      </c>
      <c r="H52" s="2">
        <v>46317.495069</v>
      </c>
      <c r="I52" s="2">
        <v>46332.833333</v>
      </c>
      <c r="J52" s="0">
        <v>6</v>
      </c>
      <c r="K52" s="3">
        <v>14807000.0</v>
      </c>
      <c r="L52" s="0" t="inlineStr">
        <is>
          <t xml:space="preserve">CLP</t>
        </is>
      </c>
      <c r="M52" s="0" t="inlineStr">
        <is>
          <t xml:space="preserve">LE</t>
        </is>
      </c>
      <c r="N52" s="4" t="inlineStr">
        <is>
          <t xml:space="preserve">Maquinaria para generación y distribución de energía / Generación de energía / Equipo para control de producción de energía</t>
        </is>
      </c>
      <c r="O52" s="4" t="inlineStr">
        <is>
          <t xml:space="preserve">1 Unidad · Paneles de control eléctrico para generadores</t>
        </is>
      </c>
      <c r="P52" s="2"/>
      <c r="Q52" s="2"/>
      <c r="R52" s="0"/>
      <c r="S52" s="0" t="inlineStr">
        <is>
          <t xml:space="preserve">No</t>
        </is>
      </c>
      <c r="T52" s="4"/>
      <c r="U52" s="0" t="inlineStr">
        <is>
          <t xml:space="preserve">Capitán de Bandada Sebastián Leyton Arancibia</t>
        </is>
      </c>
      <c r="V52" s="4" t="inlineStr">
        <is>
          <t xml:space="preserve">Cambio de tablero y protecciones eléctricas pertenecientes al segundo piso del Comando Conjunto Norte.</t>
        </is>
      </c>
      <c r="W52" s="5" t="str">
        <f>HYPERLINK("https://www.mercadopublico.cl/Procurement/Modules/Attachment/ViewAttachment.aspx?enc=5kL2GCUZ72qlw5e3SdLxIWZLVYNtE2DeFH1gN4hQBOwTRobeOQTNn%2bE5ZQT07sBJv%2beUGo7roGCVpUUV2lrovD2VCzRKmnFqJBm3kBeoNEFo759EfV1sd94rdhRAa847U%2fqpLApEB02qiI9OiwYfERGKf0y3euDlhXJCZL7g%2bLyC2P7BP982SSPH2PzGXjv7%2fJUwdnXr56t7oyL391m815I%2fjR7wgAjEvZBc5FSIkjV5cA6u2rTJwoyeDpa25wjSo7mr7Qxz2%2bii5CKkkusxGtQNn3jPV4LNhgiI6g%2bpO94joNlYL0rzfPoGEPp5JF0h","descargar bases")</f>
      </c>
    </row>
    <row r="53">
      <c r="A53" s="0" t="inlineStr">
        <is>
          <t xml:space="preserve">1020-38-LP26</t>
        </is>
      </c>
      <c r="B53" s="4" t="inlineStr">
        <is>
          <t xml:space="preserve">Adquisición de Plataforma Next Generation Firewall</t>
        </is>
      </c>
      <c r="C53" s="0" t="inlineStr">
        <is>
          <t xml:space="preserve">Publicada</t>
        </is>
      </c>
      <c r="D53" s="0" t="inlineStr">
        <is>
          <t xml:space="preserve">MINISTERIO DE OBRAS PUBLICAS DIREC CION GRAL DE OO PP DCYF</t>
        </is>
      </c>
      <c r="E53" s="0" t="inlineStr">
        <is>
          <t xml:space="preserve">MOP Subsecretaría </t>
        </is>
      </c>
      <c r="F53" s="0" t="inlineStr">
        <is>
          <t xml:space="preserve">Región Metropolitana de Santiago</t>
        </is>
      </c>
      <c r="G53" s="0"/>
      <c r="H53" s="2">
        <v>46252.442361</v>
      </c>
      <c r="I53" s="2">
        <v>46335.625</v>
      </c>
      <c r="J53" s="0">
        <v>9</v>
      </c>
      <c r="K53" s="3">
        <v>240000000.0</v>
      </c>
      <c r="L53" s="0" t="inlineStr">
        <is>
          <t xml:space="preserve">CLP</t>
        </is>
      </c>
      <c r="M53" s="0" t="inlineStr">
        <is>
          <t xml:space="preserve">LP</t>
        </is>
      </c>
      <c r="N53"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53" s="4" t="inlineStr">
        <is>
          <t xml:space="preserve">2 Unidad · Equipo de seguridad de red de firewall · 1 Unidad · Software de vigilancia de redes</t>
        </is>
      </c>
      <c r="P53" s="2"/>
      <c r="Q53" s="2"/>
      <c r="R53" s="0" t="inlineStr">
        <is>
          <t xml:space="preserve">16 meses</t>
        </is>
      </c>
      <c r="S53" s="0" t="inlineStr">
        <is>
          <t xml:space="preserve">No</t>
        </is>
      </c>
      <c r="T53" s="4" t="inlineStr">
        <is>
          <t xml:space="preserve">Conforme al punto 10.5 de las Bases Administrativas, el oferente adjudicado no podrá subcontratar los servicios derivados de la ejecución del Contrato</t>
        </is>
      </c>
      <c r="U53" s="0" t="inlineStr">
        <is>
          <t xml:space="preserve">Francisco Borques</t>
        </is>
      </c>
      <c r="V53"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53" s="5" t="str">
        <f>HYPERLINK("https://www.mercadopublico.cl/Procurement/Modules/Attachment/ViewAttachment.aspx?enc=ry2Hoj%2bWf8GGzqkiRGqF1hJbi%2b8EchPMvo86oAs%2bQS5YjhCwHNaDGLftbQDA%2b7Oj2cJDiWvmgBwcNXgdbSw525HksBuN0NpXgW5WXBK6M%2fc0mMi7jPXFsskTF1TWxRAoK6x0UGiPZ4yhgPxdr5AqmOIe9Hv3ew80sccSP%2fzyei7wcbKQvaJwFt1RGoDLlzyVOqJn%2fChAfxtK2oyS8Jn%2bycdb2YQia177Q6i3DqNZwZfOBtS3Yj%2bES7U5ogRyZYNZzR%2bTzbBHFaN7PaqBz%2fsAoSt0jc7LHNh6SlOUCR1nYMVRDnosCgvtE4Oc1%2fOJ3u%2bn","descargar bases")</f>
      </c>
    </row>
    <row r="54">
      <c r="A54" s="0" t="inlineStr">
        <is>
          <t xml:space="preserve">1177296-25-LP26</t>
        </is>
      </c>
      <c r="B54"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54" s="0" t="inlineStr">
        <is>
          <t xml:space="preserve">Publicada</t>
        </is>
      </c>
      <c r="D54" s="0" t="inlineStr">
        <is>
          <t xml:space="preserve">SERVICIO NACIONAL DE PROTECCIÓN ESPECIALIZADA A LA NIÑEZ Y ADOLESCENCI</t>
        </is>
      </c>
      <c r="E54" s="0" t="inlineStr">
        <is>
          <t xml:space="preserve">SERVICIO NACIONAL DE PROTECCIÓN ESPECIALIZADA A LA</t>
        </is>
      </c>
      <c r="F54" s="0" t="inlineStr">
        <is>
          <t xml:space="preserve">Región Metropolitana de Santiago</t>
        </is>
      </c>
      <c r="G54" s="0" t="inlineStr">
        <is>
          <t xml:space="preserve">Santiago</t>
        </is>
      </c>
      <c r="H54" s="2">
        <v>46309.722616</v>
      </c>
      <c r="I54" s="2">
        <v>46335.625</v>
      </c>
      <c r="J54" s="0">
        <v>9</v>
      </c>
      <c r="K54" s="3"/>
      <c r="L54" s="0" t="inlineStr">
        <is>
          <t xml:space="preserve">CLP</t>
        </is>
      </c>
      <c r="M54" s="0" t="inlineStr">
        <is>
          <t xml:space="preserve">LP</t>
        </is>
      </c>
      <c r="N54" s="4" t="inlineStr">
        <is>
          <t xml:space="preserve">Equipos, accesorios y suministros de oficina / Maquinarias, suministros y accesorios de oficina / Máquinas y accesorios para registro de hora y asistencia en la oficina</t>
        </is>
      </c>
      <c r="O54" s="4" t="inlineStr">
        <is>
          <t xml:space="preserve">1 Global · Reloj de control</t>
        </is>
      </c>
      <c r="P54" s="2"/>
      <c r="Q54" s="2"/>
      <c r="R54" s="0" t="inlineStr">
        <is>
          <t xml:space="preserve">24 meses</t>
        </is>
      </c>
      <c r="S54" s="0" t="inlineStr">
        <is>
          <t xml:space="preserve">No</t>
        </is>
      </c>
      <c r="T54" s="4" t="inlineStr">
        <is>
          <t xml:space="preserve">Según lo indicado en bases de licitación adjuntas.</t>
        </is>
      </c>
      <c r="U54" s="0" t="inlineStr">
        <is>
          <t xml:space="preserve">Maximo Ovalle</t>
        </is>
      </c>
      <c r="V54" s="4" t="inlineStr">
        <is>
          <t xml:space="preserve">Adquirir servicios de instalación, mplementación, arriendo, soporte, mantención y operación de software y hardware de un sistema de  gestión de asistencia, relojes control y marcaje remoto con georreferenciación</t>
        </is>
      </c>
      <c r="W54" s="5" t="str">
        <f>HYPERLINK("https://www.mercadopublico.cl/Procurement/Modules/Attachment/ViewAttachment.aspx?enc=4a1aKR7Ak5BBdTp2oeMBxpZuS30CHp%2bN8fkdbC0yvStICZj6dlNcUux5%2bMluUgtODxGwwGQf8re3zYvtEl9m13QbBZ3HB%2fy4K6cvcllDEbIJD63yvWwo3IiqKaZLxaMWB%2bGmBzEBBSvrinmWOxyXwuQqdu1M2YQx7%2f%2fOeU6fVHuaS61ZhD8SM9ZK5dJyCOIkwqkbZSm5a5hwQtatY64oeO%2fFY5Ck2oiyt6xS%2bOGlZj%2bBI1uSHkOy9vXB%2b46GvG%2bO9RXrJGabuPl3vwVEf%2f%2fYZk3d7%2f8g72RTOlrezLChBRiwSldQhlkQhUugymk1%2ba2o","descargar bases")</f>
      </c>
    </row>
    <row r="55">
      <c r="A55" s="0" t="inlineStr">
        <is>
          <t xml:space="preserve">1398-119-LE26</t>
        </is>
      </c>
      <c r="B55" s="4" t="inlineStr">
        <is>
          <t xml:space="preserve">SUMINISTRO E INSTALACIÓN DETECTOR DIGITAL RX</t>
        </is>
      </c>
      <c r="C55" s="0" t="inlineStr">
        <is>
          <t xml:space="preserve">Publicada</t>
        </is>
      </c>
      <c r="D55" s="0" t="inlineStr">
        <is>
          <t xml:space="preserve">SERVICIO DE SALUD LIBERTADOR BDO OHIGGINS</t>
        </is>
      </c>
      <c r="E55" s="0" t="inlineStr">
        <is>
          <t xml:space="preserve">Servicio de Salud Ohiggins</t>
        </is>
      </c>
      <c r="F55" s="0" t="inlineStr">
        <is>
          <t xml:space="preserve">Región del Libertador General Bernardo O´Higgins</t>
        </is>
      </c>
      <c r="G55" s="0" t="inlineStr">
        <is>
          <t xml:space="preserve">Rancagua</t>
        </is>
      </c>
      <c r="H55" s="2">
        <v>46324.61544</v>
      </c>
      <c r="I55" s="2">
        <v>46335.625</v>
      </c>
      <c r="J55" s="0">
        <v>9</v>
      </c>
      <c r="K55" s="3"/>
      <c r="L55" s="0" t="inlineStr">
        <is>
          <t xml:space="preserve">CLP</t>
        </is>
      </c>
      <c r="M55" s="0" t="inlineStr">
        <is>
          <t xml:space="preserve">LE</t>
        </is>
      </c>
      <c r="N55" s="4" t="inlineStr">
        <is>
          <t xml:space="preserve">Equipamiento y suministros médicos / Productos para imágenes y de medicina nuclear / Artículos radiográficos de diagnóstico médico</t>
        </is>
      </c>
      <c r="O55" s="4" t="inlineStr">
        <is>
          <t xml:space="preserve">1 Unidad · Dispositivos de control de calidad o calibración para equipo radiográfico médico</t>
        </is>
      </c>
      <c r="P55" s="2"/>
      <c r="Q55" s="2"/>
      <c r="R55" s="0"/>
      <c r="S55" s="0" t="inlineStr">
        <is>
          <t xml:space="preserve">No</t>
        </is>
      </c>
      <c r="T55" s="4"/>
      <c r="U55" s="0" t="inlineStr">
        <is>
          <t xml:space="preserve">Sergio Barriga Betanzo</t>
        </is>
      </c>
      <c r="V55" s="4" t="inlineStr">
        <is>
          <t xml:space="preserve">Suministro e Instalación de detector digital para equipo de Rayos X del Hospital de Litueche.</t>
        </is>
      </c>
      <c r="W55" s="5" t="str">
        <f>HYPERLINK("https://www.mercadopublico.cl/Procurement/Modules/Attachment/ViewAttachment.aspx?enc=PiLmpKr8oeumZoOXitE8r7CRivjGg2yotdOWZf5uez6Hc22cTyZ2i0KbI4EBTJOCppA85sc9iGeupCFYuBZfmOwxBfoWbtYzZESoHauSbM1BurwC5fOHO0aPIlXUc50U0SBZ67eGfeYFSs486RCh9ir5hAHvKre6R7n6m2zc%2fCufOThjUxO4tOs4uZ%2b5HXmWRVjh5VQ22bXXa3QARX%2b1Y2TiDswQluQFtiZOHlUMGkOag2KOZfLpOULFRaPOxjGqzyaFjD4bYJR%2fg98y%2bQiRGIGmDLc8vIDuYsMnGuNYZZTMziM21wXiN%2fNBpMoC8Ydk","descargar bases")</f>
      </c>
    </row>
    <row r="56">
      <c r="A56" s="0" t="inlineStr">
        <is>
          <t xml:space="preserve">2421-52-LR26</t>
        </is>
      </c>
      <c r="B56" s="4" t="inlineStr">
        <is>
          <t xml:space="preserve">SUMINISTRO SERVICIO DE TELECOMUNICACIONES DATOS Y VOZ</t>
        </is>
      </c>
      <c r="C56" s="0" t="inlineStr">
        <is>
          <t xml:space="preserve">Publicada</t>
        </is>
      </c>
      <c r="D56" s="0" t="inlineStr">
        <is>
          <t xml:space="preserve">I MUNICIPALIDAD DE CONCEPCION</t>
        </is>
      </c>
      <c r="E56" s="0" t="inlineStr">
        <is>
          <t xml:space="preserve">DIRECCION DE SALUD MUNICIPAL DE CONCEPCION</t>
        </is>
      </c>
      <c r="F56" s="0" t="inlineStr">
        <is>
          <t xml:space="preserve">Región del Biobío </t>
        </is>
      </c>
      <c r="G56" s="0" t="inlineStr">
        <is>
          <t xml:space="preserve">Concepción</t>
        </is>
      </c>
      <c r="H56" s="2">
        <v>46303.407569</v>
      </c>
      <c r="I56" s="2">
        <v>46335.625</v>
      </c>
      <c r="J56" s="0">
        <v>9</v>
      </c>
      <c r="K56" s="3"/>
      <c r="L56" s="0" t="inlineStr">
        <is>
          <t xml:space="preserve">CLP</t>
        </is>
      </c>
      <c r="M56" s="0" t="inlineStr">
        <is>
          <t xml:space="preserve">LR</t>
        </is>
      </c>
      <c r="N56" s="4" t="inlineStr">
        <is>
          <t xml:space="preserve">Servicios básicos y de información pública / Telecomunicaciones / Telefonía local y de larga distancia</t>
        </is>
      </c>
      <c r="O56" s="4" t="inlineStr">
        <is>
          <t xml:space="preserve">1 Unidad · Servicio telefónico local · 1 Unidad · Servicio telefónico local</t>
        </is>
      </c>
      <c r="P56" s="2"/>
      <c r="Q56" s="2"/>
      <c r="R56" s="0" t="inlineStr">
        <is>
          <t xml:space="preserve">60 meses</t>
        </is>
      </c>
      <c r="S56" s="0" t="inlineStr">
        <is>
          <t xml:space="preserve">No</t>
        </is>
      </c>
      <c r="T56" s="4"/>
      <c r="U56" s="0" t="inlineStr">
        <is>
          <t xml:space="preserve">MARCELO SEPULVEDA</t>
        </is>
      </c>
      <c r="V56" s="4" t="inlineStr">
        <is>
          <t xml:space="preserve">LA DIRECCION DE SALUD DE CONCEPCION SOLICITA LA ADQUISICION DE SUMINISTRO DE SERVICIO DE TELECOMUNICACIONES DE DATOS Y VOZ POR UN PLAZO DE 60 MESES.</t>
        </is>
      </c>
      <c r="W56" s="5" t="str">
        <f>HYPERLINK("https://www.mercadopublico.cl/Procurement/Modules/Attachment/ViewAttachment.aspx?enc=N2z%2bMlWj%2fLlLnbg6FvQpHu3r9k7h%2fetJgjY%2b00FILjKjpJaXXHjOPZQTZARf3jEtSp4kiowlnxkpHL%2fFcE%2bJMcwboaiY9ys%2fZ6dh8qI%2bOE1bh0gFre8IcaIDbrAyfPln4uhWg4%2bqcrIfUAq%2bj%2fATAjm%2blVxUJURAiuZ%2bdDwsGeT0ci%2fIhSW6X4AergCoIyilkIJ6MSXf8tjUtEPwCneB%2bHuql8HDaAnfmPiniOWRO5PfBQf4jl4%2fMuCOBFZnhTyZ9iZe4R8Pmf1iSdwuHzMcNNQw02FOPQ0YTyyYXBgGOlfszsScW8%2fYA5dHbuw6evUH","descargar bases")</f>
      </c>
    </row>
    <row r="57">
      <c r="A57" s="0" t="inlineStr">
        <is>
          <t xml:space="preserve">2981-312-LE26</t>
        </is>
      </c>
      <c r="B57" s="4" t="inlineStr">
        <is>
          <t xml:space="preserve">JENAINPOL -ADQUISICIÓN DE SOLUCIONES DIGITALES 2026</t>
        </is>
      </c>
      <c r="C57" s="0" t="inlineStr">
        <is>
          <t xml:space="preserve">Publicada</t>
        </is>
      </c>
      <c r="D57" s="0" t="inlineStr">
        <is>
          <t xml:space="preserve">POLICIA DE INVESTIGACIONES DE CHILE</t>
        </is>
      </c>
      <c r="E57" s="0" t="inlineStr">
        <is>
          <t xml:space="preserve">DEPARTAMENTO ADMINISTRATIVO</t>
        </is>
      </c>
      <c r="F57" s="0" t="inlineStr">
        <is>
          <t xml:space="preserve">Región Metropolitana de Santiago</t>
        </is>
      </c>
      <c r="G57" s="0" t="inlineStr">
        <is>
          <t xml:space="preserve">Santiago Centro</t>
        </is>
      </c>
      <c r="H57" s="2">
        <v>46324.715428</v>
      </c>
      <c r="I57" s="2">
        <v>46335.625</v>
      </c>
      <c r="J57" s="0">
        <v>9</v>
      </c>
      <c r="K57" s="3"/>
      <c r="L57" s="0" t="inlineStr">
        <is>
          <t xml:space="preserve">CLP</t>
        </is>
      </c>
      <c r="M57" s="0" t="inlineStr">
        <is>
          <t xml:space="preserve">LE</t>
        </is>
      </c>
      <c r="N57" s="4" t="inlineStr">
        <is>
          <t xml:space="preserve">Artículos de electrónica / Circuitos electrónicos / Circuitos integrados, memorias y microprocesadores</t>
        </is>
      </c>
      <c r="O57" s="4" t="inlineStr">
        <is>
          <t xml:space="preserve">1 Unidad · Circuitos integrados digitales</t>
        </is>
      </c>
      <c r="P57" s="2"/>
      <c r="Q57" s="2"/>
      <c r="R57" s="0"/>
      <c r="S57" s="0" t="inlineStr">
        <is>
          <t xml:space="preserve">No</t>
        </is>
      </c>
      <c r="T57" s="4" t="inlineStr">
        <is>
          <t xml:space="preserve">SEGUN BASES ADMINISTRATIVAS</t>
        </is>
      </c>
      <c r="U57" s="0" t="inlineStr">
        <is>
          <t xml:space="preserve">COM ERNESTO JIMENO ARROYO</t>
        </is>
      </c>
      <c r="V57" s="4" t="inlineStr">
        <is>
          <t xml:space="preserve">ADQUISICIÓN DE SOLUCIONES DIGITALES 2026</t>
        </is>
      </c>
      <c r="W57" s="5" t="str">
        <f>HYPERLINK("https://www.mercadopublico.cl/Procurement/Modules/Attachment/ViewAttachment.aspx?enc=jYqvJY%2bwQkkN8s7cjh3ADmRvW1IkxpMnRBxeiHqVNvKbAPJtDCMOqZRwVKLxc75Mb1WUDEnrEG%2bUmHnK67l%2bfU2lRdWGEG7nM3piWciRh6bfgfHGdbU0kOpdJTnCmIwR7p0Up6q1xI0tKd0N%2fnRr630y8p0pG6eIj%2b7f5ZOAcJk6PBik4NTmseEwSFcQaebrCioGuhDf9WgFzgPCJS%2bPBWV0zGJmm5tZEVniPMzP55Y0razGdApVJoLSRmZrxGbC5OZLiaRekLj8gaDFIotutcareDAQOT6HorF%2bmEZykKkJU4gildJaHOEzq4xtLgzb","descargar bases")</f>
      </c>
    </row>
    <row r="58">
      <c r="A58" s="0" t="inlineStr">
        <is>
          <t xml:space="preserve">568963-27-LE26</t>
        </is>
      </c>
      <c r="B58" s="4" t="inlineStr">
        <is>
          <t xml:space="preserve">PLATAFORMA DIGITAL INTEGRAL DE GESTIÓN DE PERSONAS</t>
        </is>
      </c>
      <c r="C58" s="0" t="inlineStr">
        <is>
          <t xml:space="preserve">Publicada</t>
        </is>
      </c>
      <c r="D58" s="0" t="inlineStr">
        <is>
          <t xml:space="preserve">COMISION DEL SISTEMA NACIONAL DE CERTIFICACION DE COMPETENCIAS LABORALES</t>
        </is>
      </c>
      <c r="E58" s="0" t="inlineStr">
        <is>
          <t xml:space="preserve">CSNCCL</t>
        </is>
      </c>
      <c r="F58" s="0" t="inlineStr">
        <is>
          <t xml:space="preserve">Región Metropolitana de Santiago</t>
        </is>
      </c>
      <c r="G58" s="0" t="inlineStr">
        <is>
          <t xml:space="preserve">Punta Arenas</t>
        </is>
      </c>
      <c r="H58" s="2">
        <v>46325.568067</v>
      </c>
      <c r="I58" s="2">
        <v>46335.625</v>
      </c>
      <c r="J58" s="0">
        <v>9</v>
      </c>
      <c r="K58" s="3"/>
      <c r="L58" s="0" t="inlineStr">
        <is>
          <t xml:space="preserve">CLP</t>
        </is>
      </c>
      <c r="M58" s="0" t="inlineStr">
        <is>
          <t xml:space="preserve">LE</t>
        </is>
      </c>
      <c r="N58" s="4" t="inlineStr">
        <is>
          <t xml:space="preserve">Tecnologías de la información, telecomunicaciones y radiodifusión / Software / Software de gestión</t>
        </is>
      </c>
      <c r="O58" s="4" t="inlineStr">
        <is>
          <t xml:space="preserve">1 Unidad · Software de gestión de recursos humanos</t>
        </is>
      </c>
      <c r="P58" s="2"/>
      <c r="Q58" s="2"/>
      <c r="R58" s="0" t="inlineStr">
        <is>
          <t xml:space="preserve">12 meses</t>
        </is>
      </c>
      <c r="S58" s="0" t="inlineStr">
        <is>
          <t xml:space="preserve">No</t>
        </is>
      </c>
      <c r="T58" s="4" t="inlineStr">
        <is>
          <t xml:space="preserve">El servicio que es objeto de la presente licitación no podrá subcontratarse, atendido que 
su adjudicación es realizada en consideración a la especialización y experiencia del 
oferente. Sin embargo, previa autorización de ChileValora, se podrá subcontr</t>
        </is>
      </c>
      <c r="U58" s="0" t="inlineStr">
        <is>
          <t xml:space="preserve">Alejandra Juacida</t>
        </is>
      </c>
      <c r="V58" s="4" t="inlineStr">
        <is>
          <t xml:space="preserve">Contratación de un sistema integral de control de asistencia, como de gestión y desarrollo de personas para ChileValora, cuyo propósito es integrar, automatizar y optimizar los procesos de recursos humanos de la institución. La solución deberá operar en modalidad SaaS, estar alojada en la nube, disponer de aplicación móvil nativa para sistemas Android y iOS, y contar con una plataforma web.</t>
        </is>
      </c>
      <c r="W58" s="5" t="str">
        <f>HYPERLINK("https://www.mercadopublico.cl/Procurement/Modules/Attachment/ViewAttachment.aspx?enc=dfv8JW2AALs6aLT0IDq4tp7YcvbL6fix9SowGqs47iJtA44Y2seYrO%2bVQpWHswFDkS7iJkxGKoe1dZKzWBsTP3SYMb5IJhn8dlTGJAbqW%2bcXgekUXpp9OmzWXJC4QAcC0QKco6Hc7OoIg%2bn3mZA3nivd63ZNfTEkYpZ0qXQ%2bGjfDS51f5pbPpXghoP1HzSqKiGfEHZLigkz4yo3sKDtlHxhz0eBY08mm0gXEKrgSl9TrZ0hVJOQSYIsJKd7WwCC801pkkHlza9iZbRCfR%2fCxPQ9g5DAJTINrzsK03JXitYE%2bPl9j%2bZc2%2ba9JCcHGAriS","descargar bases")</f>
      </c>
    </row>
    <row r="59">
      <c r="A59" s="0" t="inlineStr">
        <is>
          <t xml:space="preserve">619-13-LP26</t>
        </is>
      </c>
      <c r="B59" s="4" t="inlineStr">
        <is>
          <t xml:space="preserve">Suscripción de licencias IA generativa Claude.</t>
        </is>
      </c>
      <c r="C59" s="0" t="inlineStr">
        <is>
          <t xml:space="preserve">Publicada</t>
        </is>
      </c>
      <c r="D59" s="0" t="inlineStr">
        <is>
          <t xml:space="preserve">SUBSECRETARIA DEL MINISTERIO DE HACIENDA</t>
        </is>
      </c>
      <c r="E59" s="0" t="inlineStr">
        <is>
          <t xml:space="preserve">SUBSECRETARIA DEL MINISTERIO DE HACIENDA</t>
        </is>
      </c>
      <c r="F59" s="0" t="inlineStr">
        <is>
          <t xml:space="preserve">Región Metropolitana de Santiago</t>
        </is>
      </c>
      <c r="G59" s="0" t="inlineStr">
        <is>
          <t xml:space="preserve">Santiago</t>
        </is>
      </c>
      <c r="H59" s="2">
        <v>46314.50441</v>
      </c>
      <c r="I59" s="2">
        <v>46335.625</v>
      </c>
      <c r="J59" s="0">
        <v>9</v>
      </c>
      <c r="K59" s="3">
        <v>105000000.0</v>
      </c>
      <c r="L59" s="0" t="inlineStr">
        <is>
          <t xml:space="preserve">CLP</t>
        </is>
      </c>
      <c r="M59" s="0" t="inlineStr">
        <is>
          <t xml:space="preserve">LP</t>
        </is>
      </c>
      <c r="N59" s="4" t="inlineStr">
        <is>
          <t xml:space="preserve">Tecnologías de la información, telecomunicaciones y radiodifusión / Software / Software de gestión</t>
        </is>
      </c>
      <c r="O59" s="4" t="inlineStr">
        <is>
          <t xml:space="preserve">1 Unidad no definida · Software de gestión de licencias</t>
        </is>
      </c>
      <c r="P59" s="2"/>
      <c r="Q59" s="2"/>
      <c r="R59" s="0" t="inlineStr">
        <is>
          <t xml:space="preserve">13 meses</t>
        </is>
      </c>
      <c r="S59" s="0" t="inlineStr">
        <is>
          <t xml:space="preserve">No</t>
        </is>
      </c>
      <c r="T59" s="4"/>
      <c r="U59" s="0" t="inlineStr">
        <is>
          <t xml:space="preserve">Óscar Escobar</t>
        </is>
      </c>
      <c r="V59"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59" s="5" t="str">
        <f>HYPERLINK("https://www.mercadopublico.cl/Procurement/Modules/Attachment/ViewAttachment.aspx?enc=OSD6EtnoK%2f7MvpoCTI%2f3dGubJ3df1a%2b9YPRcyIxh7FXIE%2fkYfAT30C8hhO3efufKxl3%2fNDe3Gf1OdCcEoiOICzbI4IAiCufS%2f%2fXS5ja0nHNv%2biD4sil%2bHehvMusx13G9Ac0bvVwIDJUAiLJcrc7D6JPy1Bcz0k7A46dF3Ca81J3MimhB7PcUFmrELEc7jXkhgxmNBP8e%2bfRUKOjBvl8QXn8r4N02N3ocRN18tnttCpyJOoKmgMmNn0xH5vJaEHVsG4lGxxVnjhoGCxdzEmPuYsrmvLNTNb3X0m46TIA4VBT7IfGzmbwBM67LRXMmjfa0","descargar bases")</f>
      </c>
    </row>
    <row r="60">
      <c r="A60" s="0" t="inlineStr">
        <is>
          <t xml:space="preserve">629373-25-LE26</t>
        </is>
      </c>
      <c r="B60" s="4" t="inlineStr">
        <is>
          <t xml:space="preserve">ARRIENDO DE SOFTWARE PARA UNIDADES DE SALUD</t>
        </is>
      </c>
      <c r="C60" s="0" t="inlineStr">
        <is>
          <t xml:space="preserve">Publicada</t>
        </is>
      </c>
      <c r="D60" s="0" t="inlineStr">
        <is>
          <t xml:space="preserve">CORP MUNICIPAL DE SAN MIGUEL</t>
        </is>
      </c>
      <c r="E60" s="0" t="inlineStr">
        <is>
          <t xml:space="preserve">Corporación Municipal de San Miguel</t>
        </is>
      </c>
      <c r="F60" s="0" t="inlineStr">
        <is>
          <t xml:space="preserve">Región Metropolitana de Santiago</t>
        </is>
      </c>
      <c r="G60" s="0" t="inlineStr">
        <is>
          <t xml:space="preserve">San Miguel</t>
        </is>
      </c>
      <c r="H60" s="2">
        <v>46325.511956</v>
      </c>
      <c r="I60" s="2">
        <v>46335.625</v>
      </c>
      <c r="J60" s="0">
        <v>9</v>
      </c>
      <c r="K60" s="3">
        <v>21600000.0</v>
      </c>
      <c r="L60" s="0" t="inlineStr">
        <is>
          <t xml:space="preserve">CLP</t>
        </is>
      </c>
      <c r="M60" s="0" t="inlineStr">
        <is>
          <t xml:space="preserve">LE</t>
        </is>
      </c>
      <c r="N60" s="4" t="inlineStr">
        <is>
          <t xml:space="preserve">Tecnologías de la información, telecomunicaciones y radiodifusión / Software / Software de administración de redes</t>
        </is>
      </c>
      <c r="O60" s="4" t="inlineStr">
        <is>
          <t xml:space="preserve">1 Global · Software de administración · 1 Global · Software de administración · 1 Global · Software de administración</t>
        </is>
      </c>
      <c r="P60" s="2"/>
      <c r="Q60" s="2"/>
      <c r="R60" s="0" t="inlineStr">
        <is>
          <t xml:space="preserve">24 meses</t>
        </is>
      </c>
      <c r="S60" s="0" t="inlineStr">
        <is>
          <t xml:space="preserve">No</t>
        </is>
      </c>
      <c r="T60" s="4"/>
      <c r="U60" s="0" t="inlineStr">
        <is>
          <t xml:space="preserve">Karen Escobar</t>
        </is>
      </c>
      <c r="V60" s="4" t="inlineStr">
        <is>
          <t xml:space="preserve">La Corporación Municipal de San Miguel, a través de la Dirección de Salud, requiere la contratación de un “CONVENIO DE SUMINISTRO DE ARRIENDO DE SOFTWARE PARA UNIDADES DE SALUD DE LA COMUNA DE SAN MIGUEL” que permita llevar la administración, gestión e inventario para la Farmacia Comunitaria, Droguería Comunal y el Servicio de Atención Primaria de Urgencia de Alta Resolutividad SAR de San Miguel.</t>
        </is>
      </c>
      <c r="W60" s="5" t="str">
        <f>HYPERLINK("https://www.mercadopublico.cl/Procurement/Modules/Attachment/ViewAttachment.aspx?enc=ZbonzKNudF08rBoxvJ0R%2b1jgWvwBi3gPF55rXoJibo%2bR%2bMU6jTc7noEfPEE7sU%2bdgqKE1TRm2VCRnJHX4Trlgp3AazWVKbWQZmn%2fFxNdGLJLgDYr3H%2fORhLGnHqt7yEgzu25l6WVuGaE2n1xZX1TAihmYoODh1QZe8PXCGuFVJC2RsaFYi2Zh%2fMbBbwCumDz4GcQDVdx3YxUYTuJVMRFe3pjTVtZxhKt0KPcEQw3nhIrimuVlxV1ZLx%2bcuPlg%2f6y%2fOJT9dZpfT1iyywM%2frSUK1Bu7ng4AMVN98X2OEnMTH3DFWaBnjK80V1uHBfwReRm","descargar bases")</f>
      </c>
    </row>
    <row r="61">
      <c r="A61" s="0" t="inlineStr">
        <is>
          <t xml:space="preserve">165-3-LE26</t>
        </is>
      </c>
      <c r="B61" s="4" t="inlineStr">
        <is>
          <t xml:space="preserve">MEJORAMIENTO ELÉCTRICO Y REDES DE DATOS</t>
        </is>
      </c>
      <c r="C61" s="0" t="inlineStr">
        <is>
          <t xml:space="preserve">Publicada</t>
        </is>
      </c>
      <c r="D61" s="0" t="inlineStr">
        <is>
          <t xml:space="preserve">CONSEJO NACIONAL DE EDUCACION</t>
        </is>
      </c>
      <c r="E61" s="0" t="inlineStr">
        <is>
          <t xml:space="preserve">Consejo Nacional de Educación</t>
        </is>
      </c>
      <c r="F61" s="0" t="inlineStr">
        <is>
          <t xml:space="preserve">Región Metropolitana de Santiago</t>
        </is>
      </c>
      <c r="G61" s="0" t="inlineStr">
        <is>
          <t xml:space="preserve">Santiago</t>
        </is>
      </c>
      <c r="H61" s="2">
        <v>46325.666169</v>
      </c>
      <c r="I61" s="2">
        <v>46335.625</v>
      </c>
      <c r="J61" s="0">
        <v>9</v>
      </c>
      <c r="K61" s="3">
        <v>10000000.0</v>
      </c>
      <c r="L61" s="0" t="inlineStr">
        <is>
          <t xml:space="preserve">CLP</t>
        </is>
      </c>
      <c r="M61" s="0" t="inlineStr">
        <is>
          <t xml:space="preserve">LE</t>
        </is>
      </c>
      <c r="N61" s="4" t="inlineStr">
        <is>
          <t xml:space="preserve">Servicios de construcción y mantenimiento / Construcción de edificios en general / Construcción de obras civiles y infraestructuras</t>
        </is>
      </c>
      <c r="O61" s="4" t="inlineStr">
        <is>
          <t xml:space="preserve">1 Unidad · Construcción de obras civiles</t>
        </is>
      </c>
      <c r="P61" s="2"/>
      <c r="Q61" s="2"/>
      <c r="R61" s="0" t="inlineStr">
        <is>
          <t xml:space="preserve">30 días</t>
        </is>
      </c>
      <c r="S61" s="0" t="inlineStr">
        <is>
          <t xml:space="preserve">No</t>
        </is>
      </c>
      <c r="T61" s="4"/>
      <c r="U61" s="0" t="inlineStr">
        <is>
          <t xml:space="preserve">Felipe Rodriguez</t>
        </is>
      </c>
      <c r="V61" s="4" t="inlineStr">
        <is>
          <t xml:space="preserve">El Consejo Nacional de Educación, en adelante “el Consejo”, requiere contratar servicios de ejecución de obras de mejoramiento y normalización de las instalaciones eléctricas y de redes de datos de sus dependencias ubicadas en calle Marchant Pereira N°844, comuna de Providencia, destinadas a regularizar los puntos de trabajo actualmente en uso, rectificar o retirar puntos eléctricos y de datos obsoletos y mejorar las condiciones de seguridad, funcionamiento y eficiencia energética de las instalaciones, incluyendo la provisión de materiales, mano de obra, herramientas, equipos, certificaciones y demás elementos necesarios para la correcta ejecución de los trabajos.</t>
        </is>
      </c>
      <c r="W61" s="5" t="str">
        <f>HYPERLINK("https://www.mercadopublico.cl/Procurement/Modules/Attachment/ViewAttachment.aspx?enc=OLvJT4xzqItFsTuMyu2WBNJoLoZfdSWPw2TwDrEqiNS2GXLgpO3B7DbnrexPU5rL1wGfHrymA7Aewm5DDtMDF2NjBkj2%2fNVWc1Vy05DNW%2fIirRrnzeXenmeH57TGU5C25n5j6ISP%2bKhJWG5Nr8jKRJzswGjBl%2bIiXKcL4x80LXFc%2bl%2ba5GGBqq1LQYSLE7VPTF9Pr3V2Rwn%2bb7FvW2H1l6yEw4eRYx86nKnz8s347N4LTFsK7n0EfreCzNemCtPz6GMFRs21S6QnrUFNK61S3u7OmNCOuoyp4hIb3huOgvLZ9MdnIua9w6hOvl1XcNDU","descargar bases")</f>
      </c>
    </row>
    <row r="62">
      <c r="A62" s="0" t="inlineStr">
        <is>
          <t xml:space="preserve">870-15-LE26</t>
        </is>
      </c>
      <c r="B62" s="4" t="inlineStr">
        <is>
          <t xml:space="preserve">E102RT8 SERV. ENLACE DE DATOS Y CONECTIVIDAD CNR</t>
        </is>
      </c>
      <c r="C62" s="0" t="inlineStr">
        <is>
          <t xml:space="preserve">Publicada</t>
        </is>
      </c>
      <c r="D62" s="0" t="inlineStr">
        <is>
          <t xml:space="preserve">COMISION NACIONAL DE RIEGO</t>
        </is>
      </c>
      <c r="E62" s="0" t="inlineStr">
        <is>
          <t xml:space="preserve">Comisión Nacional de Riego</t>
        </is>
      </c>
      <c r="F62" s="0" t="inlineStr">
        <is>
          <t xml:space="preserve">Región Metropolitana de Santiago</t>
        </is>
      </c>
      <c r="G62" s="0" t="inlineStr">
        <is>
          <t xml:space="preserve">Santiago</t>
        </is>
      </c>
      <c r="H62" s="2">
        <v>46325.682164</v>
      </c>
      <c r="I62" s="2">
        <v>46335.625</v>
      </c>
      <c r="J62" s="0">
        <v>9</v>
      </c>
      <c r="K62" s="3"/>
      <c r="L62" s="0" t="inlineStr">
        <is>
          <t xml:space="preserve">CLP</t>
        </is>
      </c>
      <c r="M62" s="0" t="inlineStr">
        <is>
          <t xml:space="preserve">LE</t>
        </is>
      </c>
      <c r="N62" s="4" t="inlineStr">
        <is>
          <t xml:space="preserve">Servicios basados en ingeniería, ciencias sociales y tecnología de la información / Servicios informáticos / Mantenimiento y soporte de software</t>
        </is>
      </c>
      <c r="O62" s="4" t="inlineStr">
        <is>
          <t xml:space="preserve">1 Unidad · Up grade de software</t>
        </is>
      </c>
      <c r="P62" s="2"/>
      <c r="Q62" s="2"/>
      <c r="R62" s="0" t="inlineStr">
        <is>
          <t xml:space="preserve">36 meses</t>
        </is>
      </c>
      <c r="S62" s="0" t="inlineStr">
        <is>
          <t xml:space="preserve">No</t>
        </is>
      </c>
      <c r="T62" s="4" t="inlineStr">
        <is>
          <t xml:space="preserve">No lo indica la Resolución Exenta N 45172026.</t>
        </is>
      </c>
      <c r="U62" s="0" t="inlineStr">
        <is>
          <t xml:space="preserve">Sebastián Casabonne</t>
        </is>
      </c>
      <c r="V62" s="4" t="inlineStr">
        <is>
          <t xml:space="preserve">Garantizar la conectividad punto a punto, la estabilidad y la disponibilidad ininterrumpida de las comunicaciones de datos entre el Data Center de la CNR y el Data Center de ODEPA, asegurando un nivel de servicio continuo y seguro.</t>
        </is>
      </c>
      <c r="W62" s="5" t="str">
        <f>HYPERLINK("https://www.mercadopublico.cl/Procurement/Modules/Attachment/ViewAttachment.aspx?enc=je8x%2fjCWl11iVtyhMIf7p6ZnWsVelKw%2bziHso6JZBQaP2gpowp8JA57RSVfrs5qB%2fm3dQl3Xgp9kltMED8M3fkmYTBLNTmiarT3smrKd%2fy5W1%2bcELGq%2f9N4tjFsvOjuc9HZtWePjMTU7s%2buZPjyh%2b4JhqZIK7yukBBJ2GXvVSnG5ZYbA9PVxvNeoRNZAX2L58nBTLfQl0%2fw66jXDjWqx6YqK2Z%2b5MEA9naxN5QT8Ek9EQRbU%2bYtowQi%2fEtKw2uC9zWQkTDEp8HNKtidtv6yG%2baNGczR4JDEyYNAtLz6Q1l%2fOyzaQSrTx7ZTYSNd1ZflS","descargar bases")</f>
      </c>
    </row>
    <row r="63">
      <c r="A63" s="0" t="inlineStr">
        <is>
          <t xml:space="preserve">1082957-34-LP26</t>
        </is>
      </c>
      <c r="B63" s="4" t="inlineStr">
        <is>
          <t xml:space="preserve">Servicios de telefonía IP Cloud y otros para ProChile.</t>
        </is>
      </c>
      <c r="C63" s="0" t="inlineStr">
        <is>
          <t xml:space="preserve">Publicada</t>
        </is>
      </c>
      <c r="D63" s="0" t="inlineStr">
        <is>
          <t xml:space="preserve">DIRECCION GENERAL DE PROMOCION DE EXPORTACIONES</t>
        </is>
      </c>
      <c r="E63" s="0" t="inlineStr">
        <is>
          <t xml:space="preserve">MN PROMOCION DE EXPORTACIONES</t>
        </is>
      </c>
      <c r="F63" s="0" t="inlineStr">
        <is>
          <t xml:space="preserve">Región Metropolitana de Santiago</t>
        </is>
      </c>
      <c r="G63" s="0"/>
      <c r="H63" s="2">
        <v>46321.649641</v>
      </c>
      <c r="I63" s="2">
        <v>46335.625694</v>
      </c>
      <c r="J63" s="0">
        <v>9</v>
      </c>
      <c r="K63" s="3">
        <v>1900.0</v>
      </c>
      <c r="L63" s="0" t="inlineStr">
        <is>
          <t xml:space="preserve">CLF</t>
        </is>
      </c>
      <c r="M63" s="0" t="inlineStr">
        <is>
          <t xml:space="preserve">LP</t>
        </is>
      </c>
      <c r="N63" s="4" t="inlineStr">
        <is>
          <t xml:space="preserve">Servicios básicos y de información pública / Telecomunicaciones / Telefonía local y de larga distancia</t>
        </is>
      </c>
      <c r="O63" s="4" t="inlineStr">
        <is>
          <t xml:space="preserve">1 Unidad · Servicio de comunicación IP</t>
        </is>
      </c>
      <c r="P63" s="2"/>
      <c r="Q63" s="2"/>
      <c r="R63" s="0" t="inlineStr">
        <is>
          <t xml:space="preserve">37 meses</t>
        </is>
      </c>
      <c r="S63" s="0" t="inlineStr">
        <is>
          <t xml:space="preserve">No</t>
        </is>
      </c>
      <c r="T63" s="4" t="inlineStr">
        <is>
          <t xml:space="preserve">El adjudicatario no podrá subcontratar, salvo autorización escrita de ProChile.</t>
        </is>
      </c>
      <c r="U63" s="0" t="inlineStr">
        <is>
          <t xml:space="preserve">Mario Leiva Robles</t>
        </is>
      </c>
      <c r="V63" s="4" t="inlineStr">
        <is>
          <t xml:space="preserve">PROCHILE invita a participar en el proceso de contratación del servicio de telefonía IP en Cloud y otros, para las dependencias de ProChile, por un periodo de 36 meses o hasta que PROCHILE haya pagado la suma total de hasta UF 1.900.- (Mil novecientas unidades de fomento), evento que acontezca primero “E1O2RT9”.</t>
        </is>
      </c>
      <c r="W63" s="5" t="str">
        <f>HYPERLINK("https://www.mercadopublico.cl/Procurement/Modules/Attachment/ViewAttachment.aspx?enc=m%2fI2bLXyXyy4Rrf6ARGAVw6%2b8ZX9ICTzkliLH582Fl37ZRgqeeDNU8DkS7rhTB1N0OABGcim30opAHS89oYKgCq1vH31duaYUrKTvPsP9FPiZlCkPHNb9Vtvd%2fnuw0AZeuMvGFs0aHBHj5HZii3Kf9uqBjkmklDcipRNf8QGnG7aKrkszXlhiS9ev9Ao6dvTcsS8I7f2TT7tGVb8ZrQmVB%2ffz7Lo5NOqqnFpBrCPBfwcTsynNrd05PypxdTYIgJpiilKs%2by72RrwY7aUMhjCAYPUFPXJ4nWFszJwBOcFM5EXL98N2ig5MzTvC4p%2b4upf","descargar bases")</f>
      </c>
    </row>
    <row r="64">
      <c r="A64" s="0" t="inlineStr">
        <is>
          <t xml:space="preserve">1725-230-LE26</t>
        </is>
      </c>
      <c r="B64" s="4" t="inlineStr">
        <is>
          <t xml:space="preserve">TALLER DE INTRODUCCIÓN A LA PRESERVACIÓN DIGITAL</t>
        </is>
      </c>
      <c r="C64" s="0" t="inlineStr">
        <is>
          <t xml:space="preserve">Publicada</t>
        </is>
      </c>
      <c r="D64" s="0" t="inlineStr">
        <is>
          <t xml:space="preserve">SUBSECRETARÍA DE LAS CULTURAS Y LAS ARTES</t>
        </is>
      </c>
      <c r="E64" s="0" t="inlineStr">
        <is>
          <t xml:space="preserve">SUBSECRETARIA DE LAS CULTURAS Y LAS ARTES</t>
        </is>
      </c>
      <c r="F64" s="0" t="inlineStr">
        <is>
          <t xml:space="preserve">Región de Valparaíso </t>
        </is>
      </c>
      <c r="G64" s="0" t="inlineStr">
        <is>
          <t xml:space="preserve">Valparaíso</t>
        </is>
      </c>
      <c r="H64" s="2">
        <v>46322.764525</v>
      </c>
      <c r="I64" s="2">
        <v>46335.625694</v>
      </c>
      <c r="J64" s="0">
        <v>9</v>
      </c>
      <c r="K64" s="3">
        <v>5000000.0</v>
      </c>
      <c r="L64" s="0" t="inlineStr">
        <is>
          <t xml:space="preserve">CLP</t>
        </is>
      </c>
      <c r="M64" s="0" t="inlineStr">
        <is>
          <t xml:space="preserve">LE</t>
        </is>
      </c>
      <c r="N64" s="4" t="inlineStr">
        <is>
          <t xml:space="preserve">Organizaciones y consultorías políticas, demográficas, económicas, sociales y de administración pública / Desarrollo social, demográfico y comunitario / Cultura</t>
        </is>
      </c>
      <c r="O64" s="4" t="inlineStr">
        <is>
          <t xml:space="preserve">1 Unidad · Servicios relacionados con el arte</t>
        </is>
      </c>
      <c r="P64" s="2"/>
      <c r="Q64" s="2"/>
      <c r="R64" s="0"/>
      <c r="S64" s="0" t="inlineStr">
        <is>
          <t xml:space="preserve">No</t>
        </is>
      </c>
      <c r="T64" s="4"/>
      <c r="U64" s="0" t="inlineStr">
        <is>
          <t xml:space="preserve">Departamento de Fomento Sectorial</t>
        </is>
      </c>
      <c r="V64" s="4" t="inlineStr">
        <is>
          <t xml:space="preserve">SERVICIOS PARA TALLER DE INTRODUCCIÓN A LA PRESERVACIÓN DIGITAL PARA PERSONAS VINCULADAS AL CAMPO DEL ARTE</t>
        </is>
      </c>
      <c r="W64" s="5" t="str">
        <f>HYPERLINK("https://www.mercadopublico.cl/Procurement/Modules/Attachment/ViewAttachment.aspx?enc=bH76NUKdBnWDHMwOiedoEA03%2fwSRNzUQh27Nbcrkf8IXTp3hcBCNWhuNX41KQAhnbjfryBcUhUBaQrcZWV86BuvvicjppgMfHtKzmz1%2fQEQbVPUyXcqEATCw%2faF22goJ7%2fYgPD3yRqwbqVVT0n93wTEnzmoW55Pk8qFHyUnwjkK5b%2f83112zZRNaaQFhH1W8R7WJjA04mqkF13RXTdMwKWUMHvsFgeJ2IJYLMdPz32%2fA1UosR7JleAHa8llGsn7qgeLbwSCuY5YUy%2fKFHjnwEOcwxsWKroKSC5jsGk6dEduu8ovmawn04b08t8G7YhBq","descargar bases")</f>
      </c>
    </row>
    <row r="65">
      <c r="A65" s="0" t="inlineStr">
        <is>
          <t xml:space="preserve">4629-35-LE26</t>
        </is>
      </c>
      <c r="B65" s="4" t="inlineStr">
        <is>
          <t xml:space="preserve">CONVENIO DE SUMINISTRO - REDES CITOFONÍA Y DATOS</t>
        </is>
      </c>
      <c r="C65" s="0" t="inlineStr">
        <is>
          <t xml:space="preserve">Publicada</t>
        </is>
      </c>
      <c r="D65" s="0" t="inlineStr">
        <is>
          <t xml:space="preserve">DIRECCION DEL TRABAJO</t>
        </is>
      </c>
      <c r="E65" s="0" t="inlineStr">
        <is>
          <t xml:space="preserve">Nivel Central Santiago</t>
        </is>
      </c>
      <c r="F65" s="0" t="inlineStr">
        <is>
          <t xml:space="preserve">Región Metropolitana de Santiago</t>
        </is>
      </c>
      <c r="G65" s="0" t="inlineStr">
        <is>
          <t xml:space="preserve">Santiago</t>
        </is>
      </c>
      <c r="H65" s="2">
        <v>46322.441655</v>
      </c>
      <c r="I65" s="2">
        <v>46335.625694</v>
      </c>
      <c r="J65" s="0">
        <v>9</v>
      </c>
      <c r="K65" s="3">
        <v>40000000.0</v>
      </c>
      <c r="L65" s="0" t="inlineStr">
        <is>
          <t xml:space="preserve">CLP</t>
        </is>
      </c>
      <c r="M65" s="0" t="inlineStr">
        <is>
          <t xml:space="preserve">LE</t>
        </is>
      </c>
      <c r="N65" s="4" t="inlineStr">
        <is>
          <t xml:space="preserve">Servicios de construcción y mantenimiento / Servicios de atención, mantenimiento y reparaciones de edificios / Servicios eléctricos</t>
        </is>
      </c>
      <c r="O65" s="4" t="inlineStr">
        <is>
          <t xml:space="preserve">1 Unidad · Asistencia o mantenimiento de servicio de telecomunicaciones</t>
        </is>
      </c>
      <c r="P65" s="2"/>
      <c r="Q65" s="2"/>
      <c r="R65" s="0" t="inlineStr">
        <is>
          <t xml:space="preserve">24 meses</t>
        </is>
      </c>
      <c r="S65" s="0" t="inlineStr">
        <is>
          <t xml:space="preserve">No</t>
        </is>
      </c>
      <c r="T65" s="4"/>
      <c r="U65" s="0" t="inlineStr">
        <is>
          <t xml:space="preserve">Liliana Pulgar Villaseñor</t>
        </is>
      </c>
      <c r="V65" s="4" t="inlineStr">
        <is>
          <t xml:space="preserve">CONVENIO DE SUMINISTRO DE PROVISIÓN, INSTALACIÓN Y MANTENCIÓN DE REDES, CITOFONÍA Y DATOS DE LAS OFICINAS DE LA REGIÓN METROPOLITANA DE LA DIRECCIÓN DEL TRABAJO</t>
        </is>
      </c>
      <c r="W65" s="5" t="str">
        <f>HYPERLINK("https://www.mercadopublico.cl/Procurement/Modules/Attachment/ViewAttachment.aspx?enc=uTHKfNPiDonqiA9cSVo6fHA92G2yOe0KbG%2bZm9mjMgqVcDNHnf%2bd1PWmQPefnC8HH%2bytvqeLPrDKIo1VY5oTf3zsoR1WJiNq5rJVdMciDZp%2f6ONhH2GP0P%2f4LWIg5p%2fKKmXBqL4bKhuIWXnkSgWrYfA5NnEJeXBD3tP12jJrVpXON22vHgfCsFmjD1kvpCB4Yjnp6PpxTu9Yvqk%2b7eOXFeifzu24JKg0vqORqu9zrQaC7CrHnGYiue7Qq9vEeOFeUNfcFgVq%2bOPgH851txQtey7PlpRsHvirWiLJF7ygczPQSChryrVKi26q5EPjBq37","descargar bases")</f>
      </c>
    </row>
    <row r="66">
      <c r="A66" s="0" t="inlineStr">
        <is>
          <t xml:space="preserve">594965-31-LE26</t>
        </is>
      </c>
      <c r="B66" s="4" t="inlineStr">
        <is>
          <t xml:space="preserve">INSUMOS INFORMATICOS PARA REGION DE OHIGGINS</t>
        </is>
      </c>
      <c r="C66" s="0" t="inlineStr">
        <is>
          <t xml:space="preserve">Publicada</t>
        </is>
      </c>
      <c r="D66" s="0" t="inlineStr">
        <is>
          <t xml:space="preserve">FUNDACION EDUCACIONAL PARA EL DESAROLLO INTEGRAL DE LA NIÑEZ</t>
        </is>
      </c>
      <c r="E66" s="0" t="inlineStr">
        <is>
          <t xml:space="preserve">Regional Lib Bdo Ohiggins</t>
        </is>
      </c>
      <c r="F66" s="0" t="inlineStr">
        <is>
          <t xml:space="preserve">Región del Libertador General Bernardo O´Higgins</t>
        </is>
      </c>
      <c r="G66" s="0" t="inlineStr">
        <is>
          <t xml:space="preserve">Rancagua</t>
        </is>
      </c>
      <c r="H66" s="2">
        <v>46317.452975</v>
      </c>
      <c r="I66" s="2">
        <v>46335.625694</v>
      </c>
      <c r="J66" s="0">
        <v>9</v>
      </c>
      <c r="K66" s="3">
        <v>37984000.0</v>
      </c>
      <c r="L66" s="0" t="inlineStr">
        <is>
          <t xml:space="preserve">CLP</t>
        </is>
      </c>
      <c r="M66" s="0" t="inlineStr">
        <is>
          <t xml:space="preserve">LE</t>
        </is>
      </c>
      <c r="N66" s="4" t="inlineStr">
        <is>
          <t xml:space="preserve">Equipos, accesorios y suministros de oficina / Maquinarias, suministros y accesorios de oficina / Suministros para impresora, fax y fotocopiadora</t>
        </is>
      </c>
      <c r="O66" s="4" t="inlineStr">
        <is>
          <t xml:space="preserve">124 Unidad · Tóner · 139 Unidad · Tóner · 57 Unidad · Tóner · y 34 más</t>
        </is>
      </c>
      <c r="P66" s="2"/>
      <c r="Q66" s="2"/>
      <c r="R66" s="0"/>
      <c r="S66" s="0" t="inlineStr">
        <is>
          <t xml:space="preserve">No</t>
        </is>
      </c>
      <c r="T66" s="4" t="inlineStr">
        <is>
          <t xml:space="preserve">Durante la ejecución de la presente contratación, el Proveedor NO estará facultado para subcontratar las obligaciones objeto de la presente licitación.
No obstante, se permitirá la utilización de terceros para el transporte y la distribución de los prod</t>
        </is>
      </c>
      <c r="U66" s="0" t="inlineStr">
        <is>
          <t xml:space="preserve">MARIO ORTIZ ESPINOZA</t>
        </is>
      </c>
      <c r="V66"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66" s="5" t="str">
        <f>HYPERLINK("https://www.mercadopublico.cl/Procurement/Modules/Attachment/ViewAttachment.aspx?enc=X8zAUpXLNH6HlZzdMYct9GbMr%2f3YaEfG0cxntqsWb3QQJtciXAxp2QBYEUYAuiPOwT3Rp3tNoBMSF4xzXLpSp1krskfJDz7hcjv3AEPvjeAhnXSzGv9wsrmpyRVpthvPfnHXMOyyKo5IFclPRSpjEr2MXDpu71Y6pjwxxIDikqWEr3VrCvcMhFtQJdZNckWgNLM%2bv%2b9El8bWDvqBVUtWNgbOjLDdirnwrxo2bKqMHTRtHMBL8dCzd91gbiJLVoIKLBBV6N9GVjIcmFVTFfCCjAWF4%2fzfoSSSwvR9rfLocMROkJM5ZyCiW%2bWgGdf49qhn","descargar bases")</f>
      </c>
    </row>
    <row r="67">
      <c r="A67" s="0" t="inlineStr">
        <is>
          <t xml:space="preserve">3756-48-LE26</t>
        </is>
      </c>
      <c r="B67" s="4" t="inlineStr">
        <is>
          <t xml:space="preserve">SERVICIO DE SOFTWARE GESTIÓN DOCUMENTAL PARA LA MUNICIPALIDAD DE PELARCO</t>
        </is>
      </c>
      <c r="C67" s="0" t="inlineStr">
        <is>
          <t xml:space="preserve">Publicada</t>
        </is>
      </c>
      <c r="D67" s="0" t="inlineStr">
        <is>
          <t xml:space="preserve">I MUNICIPALIDAD DE PELARCO</t>
        </is>
      </c>
      <c r="E67" s="0" t="inlineStr">
        <is>
          <t xml:space="preserve">I MUNICIPALIDAD DE PELARCO</t>
        </is>
      </c>
      <c r="F67" s="0" t="inlineStr">
        <is>
          <t xml:space="preserve">Región del Maule </t>
        </is>
      </c>
      <c r="G67" s="0" t="inlineStr">
        <is>
          <t xml:space="preserve">Pelarco</t>
        </is>
      </c>
      <c r="H67" s="2">
        <v>46325.648299</v>
      </c>
      <c r="I67" s="2">
        <v>46335.625694</v>
      </c>
      <c r="J67" s="0">
        <v>9</v>
      </c>
      <c r="K67" s="3"/>
      <c r="L67" s="0" t="inlineStr">
        <is>
          <t xml:space="preserve">CLP</t>
        </is>
      </c>
      <c r="M67" s="0" t="inlineStr">
        <is>
          <t xml:space="preserve">LE</t>
        </is>
      </c>
      <c r="N67" s="4" t="inlineStr">
        <is>
          <t xml:space="preserve">Tecnologías de la información, telecomunicaciones y radiodifusión / Software / Software para trabajo en redes</t>
        </is>
      </c>
      <c r="O67" s="4" t="inlineStr">
        <is>
          <t xml:space="preserve">1 Unidad · Software para centrales de comunicación digital</t>
        </is>
      </c>
      <c r="P67" s="2"/>
      <c r="Q67" s="2"/>
      <c r="R67" s="0" t="inlineStr">
        <is>
          <t xml:space="preserve">12 meses</t>
        </is>
      </c>
      <c r="S67" s="0" t="inlineStr">
        <is>
          <t xml:space="preserve">No</t>
        </is>
      </c>
      <c r="T67" s="4" t="inlineStr">
        <is>
          <t xml:space="preserve">SE PROHIBE LA SUBCONTRATACIÓN</t>
        </is>
      </c>
      <c r="U67" s="0" t="inlineStr">
        <is>
          <t xml:space="preserve">FELIPE ROJAS</t>
        </is>
      </c>
      <c r="V67" s="4" t="inlineStr">
        <is>
          <t xml:space="preserve">SERVICIO DE SOFTWARE GESTIÓN DOCUMENTAL PARA LA MUNICIPALIDAD DE PELARCO</t>
        </is>
      </c>
      <c r="W67" s="5" t="str">
        <f>HYPERLINK("https://www.mercadopublico.cl/Procurement/Modules/Attachment/ViewAttachment.aspx?enc=HzMIavsv16kZOM4%2bsbfyIHfPeV6wvCwZzjqOHqC6A8j8v2DsBO%2f%2f0modjwYVFu%2bm7A1xo1SOJ2a5sQ9XKxec3DsIy%2fYioLbLZQJHrm3w9UxaAJAljjooLcFNmFDP4IxXU4W0HgCLJLEu6FTirVrtHEwFquAuV105hc5OhaQYIQc4MzQ4Dq5r%2fudCch2knxEp75ur8ftad9kAaIhDYJZCfGB68osSXaGFWFNl6pJr5ji9Xv1u6%2b3lRSZ6ZFTxBzgj3lFd9bTRAOrsdKeuBT1yjMYhxFrpgCYqUkLN%2fWOcAsSQ9vZxDkb0wjYHO92tD%2b0H","descargar bases")</f>
      </c>
    </row>
    <row r="68">
      <c r="A68" s="0" t="inlineStr">
        <is>
          <t xml:space="preserve">1260-17-LP26</t>
        </is>
      </c>
      <c r="B68" s="4" t="inlineStr">
        <is>
          <t xml:space="preserve">NARRATIVAS DIGITALES Y PRODUCCION CONTENIDOS</t>
        </is>
      </c>
      <c r="C68" s="0" t="inlineStr">
        <is>
          <t xml:space="preserve">Publicada</t>
        </is>
      </c>
      <c r="D68" s="0" t="inlineStr">
        <is>
          <t xml:space="preserve">GOBIERNO REGIONAL REGION METROPOLITANA</t>
        </is>
      </c>
      <c r="E68" s="0" t="inlineStr">
        <is>
          <t xml:space="preserve">ADQUISICIONES - PROGRAMA 01</t>
        </is>
      </c>
      <c r="F68" s="0" t="inlineStr">
        <is>
          <t xml:space="preserve">Región Metropolitana de Santiago</t>
        </is>
      </c>
      <c r="G68" s="0"/>
      <c r="H68" s="2">
        <v>46303.472778</v>
      </c>
      <c r="I68" s="2">
        <v>46335.645833</v>
      </c>
      <c r="J68" s="0">
        <v>9</v>
      </c>
      <c r="K68" s="3">
        <v>160650000.0</v>
      </c>
      <c r="L68" s="0" t="inlineStr">
        <is>
          <t xml:space="preserve">CLP</t>
        </is>
      </c>
      <c r="M68" s="0" t="inlineStr">
        <is>
          <t xml:space="preserve">LP</t>
        </is>
      </c>
      <c r="N68" s="4" t="inlineStr">
        <is>
          <t xml:space="preserve">Servicios profesionales, administrativos y consultorías de gestión empresarial / Servicios para la comercialización y distribución / Ventas y marketing</t>
        </is>
      </c>
      <c r="O68" s="4" t="inlineStr">
        <is>
          <t xml:space="preserve">1 Unidad · Agencias de marketing de ventas, incluidas las impresiones</t>
        </is>
      </c>
      <c r="P68" s="2"/>
      <c r="Q68" s="2"/>
      <c r="R68" s="0" t="inlineStr">
        <is>
          <t xml:space="preserve">365 días</t>
        </is>
      </c>
      <c r="S68" s="0" t="inlineStr">
        <is>
          <t xml:space="preserve">No</t>
        </is>
      </c>
      <c r="T68" s="4"/>
      <c r="U68" s="0" t="inlineStr">
        <is>
          <t xml:space="preserve">Joaquín Orellana Calderón</t>
        </is>
      </c>
      <c r="V68"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68" s="5" t="str">
        <f>HYPERLINK("https://www.mercadopublico.cl/Procurement/Modules/Attachment/ViewAttachment.aspx?enc=PoqSAxEPaQ0vq4Hyo5vHheYx7CunAKdoDFJ7rDweYEAnDP3DJ5haFMDbAq6lOZcrIVot%2fbyn1OXxPHLcI3WfhOY6sg7DfQzslcmxMmMpeBz7sImnYQOccpBkhB5R5kGJtoQomJ4WinVCKNoyVg7dipv8rFqiNvODsET%2bD2UUoG%2fQ6GEIXvHemcoYx%2f%2fWqrtjYgp72Pkej6zVVW7TuQJCnLAxC4TpBAUnVBA%2fNJY0SsjqOgBImQIUUSduIsOUkIw8UoKLJHATkFFfmSzr8UPb6pLqPSYK2x5pQcAKMq2kAiZ%2bYjObr2n%2bt3%2b02mP1JDhp","descargar bases")</f>
      </c>
    </row>
    <row r="69">
      <c r="A69" s="0" t="inlineStr">
        <is>
          <t xml:space="preserve">1016-11-LE26</t>
        </is>
      </c>
      <c r="B69" s="4" t="inlineStr">
        <is>
          <t xml:space="preserve">Implementación y licenciamiento de una plataforma de levantamiento y documentación de procesos asistida por inteligencia artificial</t>
        </is>
      </c>
      <c r="C69" s="0" t="inlineStr">
        <is>
          <t xml:space="preserve">Publicada</t>
        </is>
      </c>
      <c r="D69" s="0" t="inlineStr">
        <is>
          <t xml:space="preserve">MINISTERIO DE OBRAS PUBLICAS DIREC CION GRAL DE OO PP DCYF</t>
        </is>
      </c>
      <c r="E69" s="0" t="inlineStr">
        <is>
          <t xml:space="preserve">Dirección de Planeamiento - MOP</t>
        </is>
      </c>
      <c r="F69" s="0" t="inlineStr">
        <is>
          <t xml:space="preserve">Región Metropolitana de Santiago</t>
        </is>
      </c>
      <c r="G69" s="0" t="inlineStr">
        <is>
          <t xml:space="preserve">Santiago Centro</t>
        </is>
      </c>
      <c r="H69" s="2">
        <v>46325.727766</v>
      </c>
      <c r="I69" s="2">
        <v>46335.645833</v>
      </c>
      <c r="J69" s="0">
        <v>9</v>
      </c>
      <c r="K69" s="3">
        <v>19992000.0</v>
      </c>
      <c r="L69" s="0" t="inlineStr">
        <is>
          <t xml:space="preserve">CLP</t>
        </is>
      </c>
      <c r="M69" s="0" t="inlineStr">
        <is>
          <t xml:space="preserve">LE</t>
        </is>
      </c>
      <c r="N69" s="4" t="inlineStr">
        <is>
          <t xml:space="preserve">Tecnologías de la información, telecomunicaciones y radiodifusión / Software / Software de gestión</t>
        </is>
      </c>
      <c r="O69" s="4" t="inlineStr">
        <is>
          <t xml:space="preserve">1 Unidad · Software de sistema experto · 1 Unidad · Software de sistema experto</t>
        </is>
      </c>
      <c r="P69" s="2"/>
      <c r="Q69" s="2"/>
      <c r="R69" s="0" t="inlineStr">
        <is>
          <t xml:space="preserve">10 meses</t>
        </is>
      </c>
      <c r="S69" s="0" t="inlineStr">
        <is>
          <t xml:space="preserve">No</t>
        </is>
      </c>
      <c r="T69" s="4" t="inlineStr">
        <is>
          <t xml:space="preserve">Se prohíbe la subcontratación, ya que se adjudica de acuerdo con la oferta del proveedor y sus características especiales, sin perjuicio de lo señalado en el punto 16.</t>
        </is>
      </c>
      <c r="U69" s="0" t="inlineStr">
        <is>
          <t xml:space="preserve">Carolina Quintana</t>
        </is>
      </c>
      <c r="V69" s="4" t="inlineStr">
        <is>
          <t xml:space="preserve">Contratar la customización, implementación e integración, en una máquina virtual del Ministerio de Obras Públicas, de una plataforma que, a partir de entrevistas grabadas, documentos y registros, genere con apoyo de inteligencia artificial borradores de diagramas de procesos en estándar BPMN 2.0 con sus responsables, del documento descriptivo de cada proceso, de la matriz RACI y de la tabla SIPOC, para su revisión y validación por personas; junto con el derecho de uso (licencia) de la plataforma por 10 meses, soporte y documentación.</t>
        </is>
      </c>
      <c r="W69" s="5" t="str">
        <f>HYPERLINK("https://www.mercadopublico.cl/Procurement/Modules/Attachment/ViewAttachment.aspx?enc=miJawUp7Sd4kFGn%2fU2jiR2IYG336Q39M6LWu4LtTFkmTqqfHoZ8hf8Fn0zNvP4v3Ab5HFwtyTR3p%2fts%2fbke7U0Poba7H25t2aqRhmAdJJDYLosnZvPefMFiEoNMHuKywaxxwtnphbSzW9nX3rjZdQYwKgRikqJzMGacbmb6Z9eN7NQJFPgMY3n88VjEBPr%2fJthSnpiYiAz%2bDU8w3hJHSeErDEJ5QNe0zHyH%2bNNqml4hB7y952oF1O5KNMPYBHNL6LpJKaIgqX7sH2VaMMtHab57lxLfo%2bwdNmBR%2fQpNoqyggO09SCGkQtPrOqpFgA2fA","descargar bases")</f>
      </c>
    </row>
    <row r="70">
      <c r="A70" s="0" t="inlineStr">
        <is>
          <t xml:space="preserve">1436733-33-LE26</t>
        </is>
      </c>
      <c r="B70" s="4" t="inlineStr">
        <is>
          <t xml:space="preserve">ADQUISICIÓN E IMPLEMENTACIÓN DE SOFTWARE</t>
        </is>
      </c>
      <c r="C70" s="0" t="inlineStr">
        <is>
          <t xml:space="preserve">Publicada</t>
        </is>
      </c>
      <c r="D70" s="0" t="inlineStr">
        <is>
          <t xml:space="preserve">SERVICIO LOCAL DE EDUCACIÓN PÚBLICA LOS LIBERTADORES</t>
        </is>
      </c>
      <c r="E70" s="0" t="inlineStr">
        <is>
          <t xml:space="preserve">Compras y licitaciones P02</t>
        </is>
      </c>
      <c r="F70" s="0" t="inlineStr">
        <is>
          <t xml:space="preserve">Región Metropolitana de Santiago</t>
        </is>
      </c>
      <c r="G70" s="0" t="inlineStr">
        <is>
          <t xml:space="preserve">Conchalí</t>
        </is>
      </c>
      <c r="H70" s="2">
        <v>46324.421377</v>
      </c>
      <c r="I70" s="2">
        <v>46335.666667</v>
      </c>
      <c r="J70" s="0">
        <v>9</v>
      </c>
      <c r="K70" s="3">
        <v>9032000.0</v>
      </c>
      <c r="L70" s="0" t="inlineStr">
        <is>
          <t xml:space="preserve">CLP</t>
        </is>
      </c>
      <c r="M70" s="0" t="inlineStr">
        <is>
          <t xml:space="preserve">LE</t>
        </is>
      </c>
      <c r="N70" s="4" t="inlineStr">
        <is>
          <t xml:space="preserve">Tecnologías de la información, telecomunicaciones y radiodifusión / Software / Software de gestión</t>
        </is>
      </c>
      <c r="O70" s="4" t="inlineStr">
        <is>
          <t xml:space="preserve">20 Unidad · Paquetes de software para oficinas · 1 Unidad · Paquetes de software para oficinas</t>
        </is>
      </c>
      <c r="P70" s="2"/>
      <c r="Q70" s="2"/>
      <c r="R70" s="0"/>
      <c r="S70" s="0" t="inlineStr">
        <is>
          <t xml:space="preserve">No</t>
        </is>
      </c>
      <c r="T70" s="4" t="inlineStr">
        <is>
          <t xml:space="preserve">La ejecución del presente contrato no podrá ser subcontratada. Lo anterior es sin perjuicio de que el proveedor se abastezca de los productos a través de sus fabricantes, importadores o distribuidores, y de que contrate servicios de transporte para su d</t>
        </is>
      </c>
      <c r="U70" s="0" t="inlineStr">
        <is>
          <t xml:space="preserve">Julia Escobedo</t>
        </is>
      </c>
      <c r="V70" s="4" t="inlineStr">
        <is>
          <t xml:space="preserve">El Servicio Local de Educación Pública de Los Libertadores requiere adquirir e implementar licencias perpetuas de software para el Complejo Educacional J. Miguel Carrera y el Liceo Poliv. Abdón Cifuentes, respectivamente, con el propósito de fortalecer los procesos de enseñanza y aprendizaje mediante herramientas tecnológicas orientadas a la formación técnico-profesional y a la accesibilidad digital. Para ello, se contempla la adquisición de dos licencias de software, correspondientes a los siguientes ítems:
Primero, una licencia perpetua de software integral de simulación dinámica para sistemas electrohidráulicos, neumáticos y electrónicos, destinada al Complejo Educacional J. Miguel Carrera, que permita desarrollar actividades prácticas de diseño, programación, simulación y análisis de circuitos y sistemas técnicos, integrando tecnologías neumáticas, hidráulicas, eléctricas y electrónicas. La solución deberá proporcionar herramientas para representar componentes, establecer conexiones funcionales, simular el comportamiento de los sistemas y desarrollar aplicaciones de control, contribuyendo al fortalecimiento de las competencias técnicas y habilidades para el diagnóstico y la re</t>
        </is>
      </c>
      <c r="W70" s="5" t="str">
        <f>HYPERLINK("https://www.mercadopublico.cl/Procurement/Modules/Attachment/ViewAttachment.aspx?enc=rIH9%2b9IyXwEeJRGmzohmEDKKQLzv6w1laoghXSm2Hvl1cGt89ZaD6e8uNpdLLNHsO%2b5LnittT9K3helIre3GobDDhOvLivQSUSMs%2fMc8Q%2bBzBaAF15I3hXlD5%2b7EJg2pVdAQED%2b8OSmh6DFucYJLKggAX3qmnbhksrvnc0EOb5Iy45neDgjxlM43bXCPvN01e%2bp8jcJYTifXapNn%2fbM4SFe38txNheCvP3pcGQRp%2by%2bTICUemResskl0awAS0EjoC01kRffYiGApoQ433MIXsbB2hViozu30EB3HsETg%2fsHbq8rhjK4kaEk3ynpw6Qd1","descargar bases")</f>
      </c>
    </row>
    <row r="71">
      <c r="A71" s="0" t="inlineStr">
        <is>
          <t xml:space="preserve">4127-59-LE26</t>
        </is>
      </c>
      <c r="B71" s="4" t="inlineStr">
        <is>
          <t xml:space="preserve">[TICSRA] Software para escáner de infraestructura</t>
        </is>
      </c>
      <c r="C71" s="0" t="inlineStr">
        <is>
          <t xml:space="preserve">Publicada</t>
        </is>
      </c>
      <c r="D71" s="0" t="inlineStr">
        <is>
          <t xml:space="preserve">SUBSECRETARIA DE SALUD PUBLICA</t>
        </is>
      </c>
      <c r="E71" s="0" t="inlineStr">
        <is>
          <t xml:space="preserve">Subsecretaria de Redes Asistenciales</t>
        </is>
      </c>
      <c r="F71" s="0" t="inlineStr">
        <is>
          <t xml:space="preserve">Región Metropolitana de Santiago</t>
        </is>
      </c>
      <c r="G71" s="0" t="inlineStr">
        <is>
          <t xml:space="preserve">Santiago</t>
        </is>
      </c>
      <c r="H71" s="2">
        <v>46323.345914</v>
      </c>
      <c r="I71" s="2">
        <v>46335.666667</v>
      </c>
      <c r="J71" s="0">
        <v>9</v>
      </c>
      <c r="K71" s="3">
        <v>40000000.0</v>
      </c>
      <c r="L71" s="0" t="inlineStr">
        <is>
          <t xml:space="preserve">CLP</t>
        </is>
      </c>
      <c r="M71" s="0" t="inlineStr">
        <is>
          <t xml:space="preserve">LE</t>
        </is>
      </c>
      <c r="N71" s="4" t="inlineStr">
        <is>
          <t xml:space="preserve">Tecnologías de la información, telecomunicaciones y radiodifusión / Software / Software de seguridad y protección</t>
        </is>
      </c>
      <c r="O71" s="4" t="inlineStr">
        <is>
          <t xml:space="preserve">1 Unidad · Software de protección antivirus y de seguridad de transacciones</t>
        </is>
      </c>
      <c r="P71" s="2"/>
      <c r="Q71" s="2"/>
      <c r="R71" s="0"/>
      <c r="S71" s="0" t="inlineStr">
        <is>
          <t xml:space="preserve">No</t>
        </is>
      </c>
      <c r="T71" s="4"/>
      <c r="U71" s="0" t="inlineStr">
        <is>
          <t xml:space="preserve">Marcela Miranda</t>
        </is>
      </c>
      <c r="V71" s="4" t="inlineStr">
        <is>
          <t xml:space="preserve">Suscripción de licencias de software para pruebas de seguridad en infraestructura tecnológica por 12 meses y contratación de servicios para la implementación y configuración de la solución.</t>
        </is>
      </c>
      <c r="W71" s="5" t="str">
        <f>HYPERLINK("https://www.mercadopublico.cl/Procurement/Modules/Attachment/ViewAttachment.aspx?enc=KYHE1Xyzn9qZsw8jlfJDek9NkIU7TK2vv8z2R7cDk2qZ8cpK5ojWYJRtj4IGQvXXAfqyUNjOdD92ZOzoB%2fgKUHuEQo2lWHI%2bY6L%2f6gOR9RyCO8PbO7dyeNQv6mjlj52D38Yt07tPedLRLflkDj%2f%2fQcHNLqAbKA1i3%2fR1I5YTXqzJ3YGloQcAvIZF9mr4%2bZk8EWyQfBjwo3AIh9ivIxG6oINEUHYPnlfZRmBNI6whiQ4wslOk83rN%2bxrQCESVZdn%2bHIuGmCiDcEhhIGwsgiY6TvS0AmlR8NXZGEhq%2banCj5NyUSg5Xr2DaXgC%2b5W8KJxk","descargar bases")</f>
      </c>
    </row>
    <row r="72">
      <c r="A72" s="0" t="inlineStr">
        <is>
          <t xml:space="preserve">948354-140-LR26</t>
        </is>
      </c>
      <c r="B72" s="4" t="inlineStr">
        <is>
          <t xml:space="preserve">CONTRATACIÓN DE UNA SOLUCIÓN INTEGRAL RIS-PACS INCLUYENDO LA PROVISIÓN DE SERVICIOS SOFTWARE HARDWARE E INFRAESTRUCTURA TECNOLÓGICA PARA EL SERVICIO DE IMAGENOLOGÍA DEL HOSPITAL DIPRECA</t>
        </is>
      </c>
      <c r="C72" s="0" t="inlineStr">
        <is>
          <t xml:space="preserve">Publicada</t>
        </is>
      </c>
      <c r="D72" s="0" t="inlineStr">
        <is>
          <t xml:space="preserve">FONDO HOSPITAL DE LA DIRECCION DE PREVISION DE CARABINEROS DE CHILE</t>
        </is>
      </c>
      <c r="E72" s="0" t="inlineStr">
        <is>
          <t xml:space="preserve">Unidad de Compra de Bienes y Servicios</t>
        </is>
      </c>
      <c r="F72" s="0" t="inlineStr">
        <is>
          <t xml:space="preserve">Región Metropolitana de Santiago</t>
        </is>
      </c>
      <c r="G72" s="0" t="inlineStr">
        <is>
          <t xml:space="preserve">Las Condes</t>
        </is>
      </c>
      <c r="H72" s="2">
        <v>46287.400255</v>
      </c>
      <c r="I72" s="2">
        <v>46335.666667</v>
      </c>
      <c r="J72" s="0">
        <v>9</v>
      </c>
      <c r="K72" s="3">
        <v>3310000000.0</v>
      </c>
      <c r="L72" s="0" t="inlineStr">
        <is>
          <t xml:space="preserve">CLP</t>
        </is>
      </c>
      <c r="M72" s="0" t="inlineStr">
        <is>
          <t xml:space="preserve">LR</t>
        </is>
      </c>
      <c r="N72" s="4" t="inlineStr">
        <is>
          <t xml:space="preserve">Equipamiento y suministros médicos / Productos para imágenes y de medicina nuclear / Artículos para archivar información e imágenes radiológicas</t>
        </is>
      </c>
      <c r="O72" s="4" t="inlineStr">
        <is>
          <t xml:space="preserve">60 Mes · Sistemas informatizados de archivado de imágenes (PACS) médicos</t>
        </is>
      </c>
      <c r="P72" s="2"/>
      <c r="Q72" s="2"/>
      <c r="R72" s="0" t="inlineStr">
        <is>
          <t xml:space="preserve">60 meses</t>
        </is>
      </c>
      <c r="S72" s="0" t="inlineStr">
        <is>
          <t xml:space="preserve">No</t>
        </is>
      </c>
      <c r="T72" s="4"/>
      <c r="U72" s="0" t="inlineStr">
        <is>
          <t xml:space="preserve">Dra. Constanza Damm Araneda</t>
        </is>
      </c>
      <c r="V72"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72" s="5" t="str">
        <f>HYPERLINK("https://www.mercadopublico.cl/Procurement/Modules/Attachment/ViewAttachment.aspx?enc=Is4LIf3d%2ferL8I1ZPGKTawN8ZAMlnbeg8Xo8UyXYdlvJjnuRIsEP0sctEk1nKG7zSJ2nZ5oXjZEGxzVfFRfDgt7FzG50NJ36RF7dw1%2baJMU9YenzTIycdkxJPcXx3rNy%2fbR71po9chxn94Do2E4nhX6FNyZRUNbWKKJYyx4liCjEjyQuIZdw6Td5oBzX4RjpLz%2bK1It4wroFLeVzzSv2oAu%2fue6kXw89Ms2V6WpVpP6MhsbZ1Qcs%2bPEG1sc4QaRs0wSOdEgCYlq%2fEftZQclNaeEf8hkWDBUtjcFzslShLQXZEy26SCmYsDX3Za8%2bkr1c","descargar bases")</f>
      </c>
    </row>
    <row r="73">
      <c r="A73" s="0" t="inlineStr">
        <is>
          <t xml:space="preserve">425-73-LP26</t>
        </is>
      </c>
      <c r="B73" s="4" t="inlineStr">
        <is>
          <t xml:space="preserve">Renovación de licencias de software CISCO</t>
        </is>
      </c>
      <c r="C73" s="0" t="inlineStr">
        <is>
          <t xml:space="preserve">Publicada</t>
        </is>
      </c>
      <c r="D73" s="0" t="inlineStr">
        <is>
          <t xml:space="preserve">CORP ADMINISTRATIVA DEL PODER JUDICIAL</t>
        </is>
      </c>
      <c r="E73" s="0" t="inlineStr">
        <is>
          <t xml:space="preserve">Servicios</t>
        </is>
      </c>
      <c r="F73" s="0" t="inlineStr">
        <is>
          <t xml:space="preserve">Región Metropolitana de Santiago</t>
        </is>
      </c>
      <c r="G73" s="0" t="inlineStr">
        <is>
          <t xml:space="preserve">Santiago Centro</t>
        </is>
      </c>
      <c r="H73" s="2">
        <v>46304.698588</v>
      </c>
      <c r="I73" s="2">
        <v>46335.666667</v>
      </c>
      <c r="J73" s="0">
        <v>9</v>
      </c>
      <c r="K73" s="3"/>
      <c r="L73" s="0" t="inlineStr">
        <is>
          <t xml:space="preserve">USD</t>
        </is>
      </c>
      <c r="M73" s="0" t="inlineStr">
        <is>
          <t xml:space="preserve">LP</t>
        </is>
      </c>
      <c r="N73" s="4" t="inlineStr">
        <is>
          <t xml:space="preserve">Tecnologías de la información, telecomunicaciones y radiodifusión / Software / Software de gestión</t>
        </is>
      </c>
      <c r="O73" s="4" t="inlineStr">
        <is>
          <t xml:space="preserve">5000 Unidad · Software de gestión de licencias · 20000 Unidad · Software de gestión de licencias · 11000 Unidad · Software de gestión de licencias · y 7 más</t>
        </is>
      </c>
      <c r="P73" s="2"/>
      <c r="Q73" s="2"/>
      <c r="R73" s="0" t="inlineStr">
        <is>
          <t xml:space="preserve">12 meses</t>
        </is>
      </c>
      <c r="S73" s="0" t="inlineStr">
        <is>
          <t xml:space="preserve">No</t>
        </is>
      </c>
      <c r="T73" s="4" t="inlineStr">
        <is>
          <t xml:space="preserve">Remítase a lo indicado en el numeral 15 de las bases administrativas especiales</t>
        </is>
      </c>
      <c r="U73" s="0" t="inlineStr">
        <is>
          <t xml:space="preserve">César Herrera Mejías</t>
        </is>
      </c>
      <c r="V73" s="4" t="inlineStr">
        <is>
          <t xml:space="preserve">UR (1804), Renovación de licencias de software CISCO</t>
        </is>
      </c>
      <c r="W73" s="5" t="str">
        <f>HYPERLINK("https://www.mercadopublico.cl/Procurement/Modules/Attachment/ViewAttachment.aspx?enc=3WgF3LrtyiZ9UQfvObIgie65ZSKhxWJZSR7xhsqdhJhhyvGdiZrBdW9rSoH9BZ4yOmx8tCHb%2bwawHE3hEQ0uPhd0I7hS%2fyFWynWRhyYymuEmfQZUHxV0ajiOdzpDn5BgjTjoSGktPtrw5dqNSstjkZuHcncTUCV4yYPFbIwXu%2bAw0IFTgA5%2bvLsox0dCR3MI06HXcyu%2bXpnR%2brZjkOsNCcITCqUJAQRcIbClMSYMX2geurrZQBKwUPKOIfJxNLYqJhebHfXnTW2NrwEKJbBCWuVzjyv6SZhY6vMuWDJVFw2ZCfVShsaI0k267roCGniT","descargar bases")</f>
      </c>
    </row>
    <row r="74">
      <c r="A74" s="0" t="inlineStr">
        <is>
          <t xml:space="preserve">564953-78-B226</t>
        </is>
      </c>
      <c r="B74" s="4" t="inlineStr">
        <is>
          <t xml:space="preserve">ACTUALIZACIÓN PLATAFORMA ERP</t>
        </is>
      </c>
      <c r="C74" s="0" t="inlineStr">
        <is>
          <t xml:space="preserve">Publicada</t>
        </is>
      </c>
      <c r="D74" s="0" t="inlineStr">
        <is>
          <t xml:space="preserve">Corporación de Educación y Salud de Las Condes</t>
        </is>
      </c>
      <c r="E74" s="0" t="inlineStr">
        <is>
          <t xml:space="preserve">Corporación de Educación y Salud de Las Condes</t>
        </is>
      </c>
      <c r="F74" s="0" t="inlineStr">
        <is>
          <t xml:space="preserve">Región Metropolitana de Santiago</t>
        </is>
      </c>
      <c r="G74" s="0" t="inlineStr">
        <is>
          <t xml:space="preserve">Las Condes</t>
        </is>
      </c>
      <c r="H74" s="2">
        <v>46315.70647</v>
      </c>
      <c r="I74" s="2">
        <v>46335.749306</v>
      </c>
      <c r="J74" s="0">
        <v>9</v>
      </c>
      <c r="K74" s="3">
        <v>250000000.0</v>
      </c>
      <c r="L74" s="0" t="inlineStr">
        <is>
          <t xml:space="preserve">CLP</t>
        </is>
      </c>
      <c r="M74" s="0" t="inlineStr">
        <is>
          <t xml:space="preserve">B2</t>
        </is>
      </c>
      <c r="N74" s="4" t="inlineStr">
        <is>
          <t xml:space="preserve">Tecnologías de la información, telecomunicaciones y radiodifusión / Software / Software de planificación de recursos empresariales (ERP) y contabilidad financiera</t>
        </is>
      </c>
      <c r="O74" s="4" t="inlineStr">
        <is>
          <t xml:space="preserve">1 Unidad · Software de planificación de recursos empresariales (ERP)</t>
        </is>
      </c>
      <c r="P74" s="2"/>
      <c r="Q74" s="2"/>
      <c r="R74" s="0" t="inlineStr">
        <is>
          <t xml:space="preserve">40 meses</t>
        </is>
      </c>
      <c r="S74" s="0" t="inlineStr">
        <is>
          <t xml:space="preserve">No</t>
        </is>
      </c>
      <c r="T74" s="4"/>
      <c r="U74" s="0" t="inlineStr">
        <is>
          <t xml:space="preserve">Cristian Seguel</t>
        </is>
      </c>
      <c r="V74" s="4" t="inlineStr">
        <is>
          <t xml:space="preserve">El objetivo de la presente licitación es contratar el servicio de implementación y soporte de ERP Dynamics Business Central</t>
        </is>
      </c>
      <c r="W74" s="5" t="str">
        <f>HYPERLINK("https://www.mercadopublico.cl/Procurement/Modules/Attachment/ViewAttachment.aspx?enc=YW2de%2fdQ4b056BSDVZ%2fHLyKC5QMtyOT%2f0LBm39qUUA1q87lwaxJ3Gj7Ujhs%2bwgGcz3o1OZHpsRfAhhC3YfdBWBj0pUnIDZGK8XvhQ9l1OXeTyAsp%2bifP9YE2gw3x5Z3IeLkAFVXeFewBs7t%2bC0XHc5CBZtVQezSrQmnLwVt87Ggyso6Kp6W3uOoK7ybzWtXRB0zDiqCxH9EpTM4qr45W%2feYH%2b7%2brMGWxqxp1uzc8hPr2JWeZ%2fA9WZHGG9Kz0xLGgyXd9pOT7sx8l%2bTYsdwdIDkj%2bs0NHj1gA3SxBEHJKO%2bUFaOD5%2f%2f7RuwWJ0nzmIX8b","descargar bases")</f>
      </c>
    </row>
    <row r="75">
      <c r="A75" s="0" t="inlineStr">
        <is>
          <t xml:space="preserve">1057490-83-LP26</t>
        </is>
      </c>
      <c r="B75" s="4" t="inlineStr">
        <is>
          <t xml:space="preserve">PROFESIONAL INFORMÁTICO PARA RIS PACS</t>
        </is>
      </c>
      <c r="C75" s="0" t="inlineStr">
        <is>
          <t xml:space="preserve">Publicada</t>
        </is>
      </c>
      <c r="D75" s="0" t="inlineStr">
        <is>
          <t xml:space="preserve">Instituto de Neurocirugía</t>
        </is>
      </c>
      <c r="E75" s="0" t="inlineStr">
        <is>
          <t xml:space="preserve">Bienes y Servicios</t>
        </is>
      </c>
      <c r="F75" s="0" t="inlineStr">
        <is>
          <t xml:space="preserve">Región Metropolitana de Santiago</t>
        </is>
      </c>
      <c r="G75" s="0" t="inlineStr">
        <is>
          <t xml:space="preserve">Providencia</t>
        </is>
      </c>
      <c r="H75" s="2">
        <v>46323.589861</v>
      </c>
      <c r="I75" s="2">
        <v>46335.75</v>
      </c>
      <c r="J75" s="0">
        <v>9</v>
      </c>
      <c r="K75" s="3"/>
      <c r="L75" s="0" t="inlineStr">
        <is>
          <t xml:space="preserve">CLP</t>
        </is>
      </c>
      <c r="M75" s="0" t="inlineStr">
        <is>
          <t xml:space="preserve">LP</t>
        </is>
      </c>
      <c r="N75" s="4" t="inlineStr">
        <is>
          <t xml:space="preserve">Servicios profesionales, administrativos y consultorías de gestión empresarial / Servicios de recursos humanos / Contratación de personal</t>
        </is>
      </c>
      <c r="O75" s="4" t="inlineStr">
        <is>
          <t xml:space="preserve">36 Mes · Profesionales</t>
        </is>
      </c>
      <c r="P75" s="2"/>
      <c r="Q75" s="2"/>
      <c r="R75" s="0" t="inlineStr">
        <is>
          <t xml:space="preserve">36 meses</t>
        </is>
      </c>
      <c r="S75" s="0" t="inlineStr">
        <is>
          <t xml:space="preserve">No</t>
        </is>
      </c>
      <c r="T75" s="4"/>
      <c r="U75" s="0" t="inlineStr">
        <is>
          <t xml:space="preserve">victoria torres</t>
        </is>
      </c>
      <c r="V75" s="4" t="inlineStr">
        <is>
          <t xml:space="preserve">PROFESIONAL INFORMÁTICO PARA RIS PACS</t>
        </is>
      </c>
      <c r="W75" s="5" t="str">
        <f>HYPERLINK("https://www.mercadopublico.cl/Procurement/Modules/Attachment/ViewAttachment.aspx?enc=FaiPRCRScaYgSQep19gkSBFAE0IUH2dyY08NGYDlhNMkd1j245%2bewsoYYbHPVXby%2bW00PV6fEBPe9Oldi0XRSh7LcLtKUbe1mlvdAPVnfAMqe6mjs1mF443t5keS%2bEH2PGxwOawPMBfVcu5qQ%2by7rCNcRWjSutUY5R%2bMR84msBOUZGdZYl7Erk2eUmLdEjwunOBkWOLQWud5ctz0epW6FOKeEUqrPZT7DQz%2fWn5IGY2uPMVDqQm%2fgZUinZe9F%2fOfOC7CgSc7U7%2bqATDqsFIJ%2fT28DFEU%2bCHBn3FB%2bKLwdsHTReN9ImtGZ0J%2b2eATwffb","descargar bases")</f>
      </c>
    </row>
    <row r="76">
      <c r="A76" s="0" t="inlineStr">
        <is>
          <t xml:space="preserve">2859-45-LE26</t>
        </is>
      </c>
      <c r="B76" s="4" t="inlineStr">
        <is>
          <t xml:space="preserve">ADQUISICIÓN DE MICROSCOPIO DIGITAL ALTA RESOLUCION</t>
        </is>
      </c>
      <c r="C76" s="0" t="inlineStr">
        <is>
          <t xml:space="preserve">Publicada</t>
        </is>
      </c>
      <c r="D76" s="0" t="inlineStr">
        <is>
          <t xml:space="preserve">UNIVERSIDAD DE ATACAMA</t>
        </is>
      </c>
      <c r="E76" s="0" t="inlineStr">
        <is>
          <t xml:space="preserve">SECCIÓN ABASTECIMIENTO</t>
        </is>
      </c>
      <c r="F76" s="0" t="inlineStr">
        <is>
          <t xml:space="preserve">Región de Atacama </t>
        </is>
      </c>
      <c r="G76" s="0" t="inlineStr">
        <is>
          <t xml:space="preserve">Copiapó</t>
        </is>
      </c>
      <c r="H76" s="2">
        <v>46324.701377</v>
      </c>
      <c r="I76" s="2">
        <v>46335.75</v>
      </c>
      <c r="J76" s="0">
        <v>9</v>
      </c>
      <c r="K76" s="3">
        <v>22000000.0</v>
      </c>
      <c r="L76" s="0" t="inlineStr">
        <is>
          <t xml:space="preserve">CLP</t>
        </is>
      </c>
      <c r="M76" s="0" t="inlineStr">
        <is>
          <t xml:space="preserve">LE</t>
        </is>
      </c>
      <c r="N76" s="4" t="inlineStr">
        <is>
          <t xml:space="preserve">Equipamiento y suministros médicos / Productos quirúrgicos / Equipo quirúrgico, accesorios y productos relacionados</t>
        </is>
      </c>
      <c r="O76" s="4" t="inlineStr">
        <is>
          <t xml:space="preserve">1 Unidad · Microscopios, recodos o aumentadores quirúrgicos o accesorios</t>
        </is>
      </c>
      <c r="P76" s="2"/>
      <c r="Q76" s="2"/>
      <c r="R76" s="0"/>
      <c r="S76" s="0" t="inlineStr">
        <is>
          <t xml:space="preserve">No</t>
        </is>
      </c>
      <c r="T76" s="4"/>
      <c r="U76" s="0" t="inlineStr">
        <is>
          <t xml:space="preserve">Jonathan Castillo Segura</t>
        </is>
      </c>
      <c r="V76" s="4" t="inlineStr">
        <is>
          <t xml:space="preserve">ADQUISICIÓN DE MICROSCOPIO DIGITAL DE ALTA RESOLUCIÓN 4K EN EL MARCO DEL PROYECTO ATE240006 DENOMINADO “DIVERSIFICACIÓN DE LA PRODUCCIÓN EN LA INDUSTRIA DEL LITIO: MODELAMIENTO MOLECULAR Y FUNCIONALIZACIÓN DE LÍQUIDOS IÓNICOS PARA OPTIMIZAR LA REMOCIÓN Y RECUPERACIÓN DE MAGNESIO DESDE SALMUERAS”, DE LA UNIVERSIDAD DE ATACAMA”.</t>
        </is>
      </c>
      <c r="W76" s="5" t="str">
        <f>HYPERLINK("https://www.mercadopublico.cl/Procurement/Modules/Attachment/ViewAttachment.aspx?enc=vYi4qGFKn7xpmv4pgtecsyGF%2fhIIgKAlxBBvLS2pCwCQ4AQjsZ39LGl59T3TapFG95Pnp5hcP0kgEXiHGAPfJA2LA1TTsTzph1Xutm5Y2tTcgW3cKCKKv1RhhtF%2bMJyhPy%2fmfN5kmRommqDf%2f%2bSJlKW8g6p5jP84Zgc%2bNIuTy3%2f1apXWvxoAbQjlE7Tuv%2brlJ%2fCrQsaYQwTCE5OaqiDLUE3lygYwUmWTbFNbtGiULlNlSbVTFaM3xA6l2t5zVt0ViFYAWHdyOD4Cl2uajXZeVG1uYT0cqtXCDQQZaF%2bwpkvM1MxBzWiuSKf37FvfJqyG","descargar bases")</f>
      </c>
    </row>
    <row r="77">
      <c r="A77" s="0" t="inlineStr">
        <is>
          <t xml:space="preserve">599-43-LE26</t>
        </is>
      </c>
      <c r="B77" s="4" t="inlineStr">
        <is>
          <t xml:space="preserve">Curso Gestión y Análisis de Datos E-Learning Junji</t>
        </is>
      </c>
      <c r="C77" s="0" t="inlineStr">
        <is>
          <t xml:space="preserve">Publicada</t>
        </is>
      </c>
      <c r="D77" s="0" t="inlineStr">
        <is>
          <t xml:space="preserve">JUNTA NACIONAL DE JARDINES         INFANTILES</t>
        </is>
      </c>
      <c r="E77" s="0" t="inlineStr">
        <is>
          <t xml:space="preserve">JUNTA NACIONAL DE JARDINES         INFANTILES</t>
        </is>
      </c>
      <c r="F77" s="0" t="inlineStr">
        <is>
          <t xml:space="preserve">Región Metropolitana de Santiago</t>
        </is>
      </c>
      <c r="G77" s="0" t="inlineStr">
        <is>
          <t xml:space="preserve">Santiago</t>
        </is>
      </c>
      <c r="H77" s="2">
        <v>46323.711609</v>
      </c>
      <c r="I77" s="2">
        <v>46335.75</v>
      </c>
      <c r="J77" s="0">
        <v>9</v>
      </c>
      <c r="K77" s="3">
        <v>23279000.0</v>
      </c>
      <c r="L77" s="0" t="inlineStr">
        <is>
          <t xml:space="preserve">CLP</t>
        </is>
      </c>
      <c r="M77" s="0" t="inlineStr">
        <is>
          <t xml:space="preserve">LE</t>
        </is>
      </c>
      <c r="N77" s="4" t="inlineStr">
        <is>
          <t xml:space="preserve">Servicios profesionales, administrativos y consultorías de gestión empresarial / Servicios de recursos humanos / Consultorías para el desarrollo de recursos humanos</t>
        </is>
      </c>
      <c r="O77" s="4" t="inlineStr">
        <is>
          <t xml:space="preserve">1 Global · Formación, capacitación y entrenamiento de personal</t>
        </is>
      </c>
      <c r="P77" s="2"/>
      <c r="Q77" s="2"/>
      <c r="R77" s="0" t="inlineStr">
        <is>
          <t xml:space="preserve">2 meses</t>
        </is>
      </c>
      <c r="S77" s="0" t="inlineStr">
        <is>
          <t xml:space="preserve">No</t>
        </is>
      </c>
      <c r="T77" s="4"/>
      <c r="U77" s="0" t="inlineStr">
        <is>
          <t xml:space="preserve">Depto. Gesdep</t>
        </is>
      </c>
      <c r="V77" s="4" t="inlineStr">
        <is>
          <t xml:space="preserve">Fortalecer las competencias de las y los participantes para gestionar, transformar, integrar, analizar y visualizar datos, mediante el uso de herramientas que permitan optimizar procesos, automatizar tareas recurrentes y generar información confiable y oportuna para apoyar la gestión y la toma de decisiones institucionales</t>
        </is>
      </c>
      <c r="W77" s="5" t="str">
        <f>HYPERLINK("https://www.mercadopublico.cl/Procurement/Modules/Attachment/ViewAttachment.aspx?enc=sdV%2bsz2%2bh49%2fwF64yK8lMuyMh1uqx63zy0vp0zKiSd7ogeHKMqZHd%2bCh6VPSoai8zcMzP4jcP%2bTxRW97j00E%2beG79FnqL1u%2buOvsCfuOG%2fKb%2bXzJ9SgxkYOSUjUE9QnOIkd9yK3hRcx3D9ZwJNERAHCsyVCNXPGInhVpSRiDE7upM%2bkwswZZ4qQtI4ZO0nTdSHsvZoXih47I%2fdMG1WLfSs6IkYiIQlTXdnw7R2noLlOcuPdlMI%2bTuMZ2yUMUMU%2bUYzWir906n2uPHeYLsGqhCsV4kYbwKg%2bvkLrhP05ixOibchRj7%2fqHT44REQl8Swiu","descargar bases")</f>
      </c>
    </row>
    <row r="78">
      <c r="A78" s="0" t="inlineStr">
        <is>
          <t xml:space="preserve">4378-11-LE26</t>
        </is>
      </c>
      <c r="B78" s="4" t="inlineStr">
        <is>
          <t xml:space="preserve">PLATAFORMA CONFIRMACION DE CITAS PARA CESFAM</t>
        </is>
      </c>
      <c r="C78" s="0" t="inlineStr">
        <is>
          <t xml:space="preserve">Publicada</t>
        </is>
      </c>
      <c r="D78" s="0" t="inlineStr">
        <is>
          <t xml:space="preserve">I MUNICIPALIDAD DE SAN ROSENDO</t>
        </is>
      </c>
      <c r="E78" s="0" t="inlineStr">
        <is>
          <t xml:space="preserve">Departamento de Salud</t>
        </is>
      </c>
      <c r="F78" s="0" t="inlineStr">
        <is>
          <t xml:space="preserve">Región del Biobío </t>
        </is>
      </c>
      <c r="G78" s="0" t="inlineStr">
        <is>
          <t xml:space="preserve">San Rosendo</t>
        </is>
      </c>
      <c r="H78" s="2">
        <v>46323.829468</v>
      </c>
      <c r="I78" s="2">
        <v>46335.777083</v>
      </c>
      <c r="J78" s="0">
        <v>9</v>
      </c>
      <c r="K78" s="3"/>
      <c r="L78" s="0" t="inlineStr">
        <is>
          <t xml:space="preserve">CLP</t>
        </is>
      </c>
      <c r="M78" s="0" t="inlineStr">
        <is>
          <t xml:space="preserve">LE</t>
        </is>
      </c>
      <c r="N78" s="4" t="inlineStr">
        <is>
          <t xml:space="preserve">Servicios básicos y de información pública / Telecomunicaciones / Servicios de telecomunicaciones por circuitos de líneas selectivas y líneas dedicadas arrendadas</t>
        </is>
      </c>
      <c r="O78" s="4" t="inlineStr">
        <is>
          <t xml:space="preserve">1 Unidad · Servicios de redes digitales de servicios integrados (ISDN)</t>
        </is>
      </c>
      <c r="P78" s="2"/>
      <c r="Q78" s="2"/>
      <c r="R78" s="0"/>
      <c r="S78" s="0" t="inlineStr">
        <is>
          <t xml:space="preserve">No</t>
        </is>
      </c>
      <c r="T78" s="4"/>
      <c r="U78" s="0" t="inlineStr">
        <is>
          <t xml:space="preserve">DORIS VARELA OPORTO</t>
        </is>
      </c>
      <c r="V78" s="4" t="inlineStr">
        <is>
          <t xml:space="preserve">PLATAFORMA CONFIRMACION DE CITAS PARA CESFAM</t>
        </is>
      </c>
      <c r="W78" s="5" t="str">
        <f>HYPERLINK("https://www.mercadopublico.cl/Procurement/Modules/Attachment/ViewAttachment.aspx?enc=zm3DD5G4%2bVCf4tB%2bLqTHuLJhIEJNuYtCsiCfrS6oPOJfNJpwtnqLDFlG9X5YMc3fhkCviNai0rSNDIPxFfD%2fR6Ke6dt1IV2f5%2b70Lx3RL7aD6kmUwcLEDu3GEZPYgOidqzrKDE4ai9cyaHpGWNsnWZdVpxyJg8CIyZCyHyAhMI3QwiCFngvxehyVCoNT1r%2f6PYzjqY7fl0pgcAHqA%2bY6lHFox8iHC0kyCN9dQOcKJ6fXfj67kJVf4JdfprLNwssxhXNmeBzTOppt4nN6LfDMCLp39uJXdE4i0MkY2fLJSd02yOUmREnCa3NjCNA7LlfP","descargar bases")</f>
      </c>
    </row>
    <row r="79">
      <c r="A79" s="0" t="inlineStr">
        <is>
          <t xml:space="preserve">1725-231-LE26</t>
        </is>
      </c>
      <c r="B79" s="4" t="inlineStr">
        <is>
          <t xml:space="preserve">ADQUISICIÓN DE LICENCIA DE FIREWALL DE NUBE.</t>
        </is>
      </c>
      <c r="C79" s="0" t="inlineStr">
        <is>
          <t xml:space="preserve">Publicada</t>
        </is>
      </c>
      <c r="D79" s="0" t="inlineStr">
        <is>
          <t xml:space="preserve">SUBSECRETARÍA DE LAS CULTURAS Y LAS ARTES</t>
        </is>
      </c>
      <c r="E79" s="0" t="inlineStr">
        <is>
          <t xml:space="preserve">SUBSECRETARIA DE LAS CULTURAS Y LAS ARTES</t>
        </is>
      </c>
      <c r="F79" s="0" t="inlineStr">
        <is>
          <t xml:space="preserve">Región de Valparaíso </t>
        </is>
      </c>
      <c r="G79" s="0" t="inlineStr">
        <is>
          <t xml:space="preserve">Valparaíso</t>
        </is>
      </c>
      <c r="H79" s="2">
        <v>46322.744086</v>
      </c>
      <c r="I79" s="2">
        <v>46336.5</v>
      </c>
      <c r="J79" s="0">
        <v>10</v>
      </c>
      <c r="K79" s="3">
        <v>45000000.0</v>
      </c>
      <c r="L79" s="0" t="inlineStr">
        <is>
          <t xml:space="preserve">CLP</t>
        </is>
      </c>
      <c r="M79" s="0" t="inlineStr">
        <is>
          <t xml:space="preserve">LE</t>
        </is>
      </c>
      <c r="N79" s="4" t="inlineStr">
        <is>
          <t xml:space="preserve">Tecnologías de la información, telecomunicaciones y radiodifusión / Software / Software de gestión</t>
        </is>
      </c>
      <c r="O79" s="4" t="inlineStr">
        <is>
          <t xml:space="preserve">1 Unidad · Software de gestión de licencias</t>
        </is>
      </c>
      <c r="P79" s="2"/>
      <c r="Q79" s="2"/>
      <c r="R79" s="0"/>
      <c r="S79" s="0" t="inlineStr">
        <is>
          <t xml:space="preserve">No</t>
        </is>
      </c>
      <c r="T79" s="4"/>
      <c r="U79" s="0" t="inlineStr">
        <is>
          <t xml:space="preserve">TECNOLOGIA</t>
        </is>
      </c>
      <c r="V79" s="4" t="inlineStr">
        <is>
          <t xml:space="preserve">ADQUISICIÓN DE LICENCIA DE FIREWALL DE NUBE POR UN PERÍODO DE TRES AÑOS PARA LA SUBSECRETARÍA DE LAS CULTURAS Y LAS ARTES</t>
        </is>
      </c>
      <c r="W79" s="5" t="str">
        <f>HYPERLINK("https://www.mercadopublico.cl/Procurement/Modules/Attachment/ViewAttachment.aspx?enc=7VjvtEtlIfeEy4zL6CGprDVzhNE08sk4teLPQJzEOD2hetgoxvfb%2b3TEnEKCwbqFgGGFs7bjwdd7cjIk7HUBUAyEBsTa5XjoZAyhDLePCKY7s%2fXm8G6LniODK5eND3otxn5fRM6zLP6SD%2f%2bKpAnhUXU%2fD3rM35D9X4WMMuQFsXrE%2bXoAjhFCDJk1lM8Ml%2fux%2fFRJ2i4E5fDaTZ%2b57geYLzW1XiRLFyjODRDstlOLiNkHz6j%2bAxXFsqrpCo5wzupKgOX9TxvGRfrrJF9rHPtZCnhZKpcCtpDExSBoQKfmjCZrGu5fYq7igc96T8%2f3v9hH","descargar bases")</f>
      </c>
    </row>
    <row r="80">
      <c r="A80" s="0" t="inlineStr">
        <is>
          <t xml:space="preserve">4205-15-LE26</t>
        </is>
      </c>
      <c r="B80" s="4" t="inlineStr">
        <is>
          <t xml:space="preserve">ADQUISICIÓN PLATAFORMA PODCAST TV MOCHILA  SJO</t>
        </is>
      </c>
      <c r="C80" s="0" t="inlineStr">
        <is>
          <t xml:space="preserve">Publicada</t>
        </is>
      </c>
      <c r="D80" s="0" t="inlineStr">
        <is>
          <t xml:space="preserve">I MUNICIPALIDAD DE CURACAVI</t>
        </is>
      </c>
      <c r="E80" s="0" t="inlineStr">
        <is>
          <t xml:space="preserve">Educación</t>
        </is>
      </c>
      <c r="F80" s="0" t="inlineStr">
        <is>
          <t xml:space="preserve">Región Metropolitana de Santiago</t>
        </is>
      </c>
      <c r="G80" s="0" t="inlineStr">
        <is>
          <t xml:space="preserve">Curacaví</t>
        </is>
      </c>
      <c r="H80" s="2">
        <v>46323.730926</v>
      </c>
      <c r="I80" s="2">
        <v>46336.541667</v>
      </c>
      <c r="J80" s="0">
        <v>10</v>
      </c>
      <c r="K80" s="3"/>
      <c r="L80" s="0" t="inlineStr">
        <is>
          <t xml:space="preserve">CLP</t>
        </is>
      </c>
      <c r="M80" s="0" t="inlineStr">
        <is>
          <t xml:space="preserve">LE</t>
        </is>
      </c>
      <c r="N80" s="4" t="inlineStr">
        <is>
          <t xml:space="preserve">Servicios profesionales, administrativos y consultorías de gestión empresarial / Servicios de apoyo a la administración de empresas / Servicios de apoyo a la gestión</t>
        </is>
      </c>
      <c r="O80" s="4" t="inlineStr">
        <is>
          <t xml:space="preserve">1 Unidad · Servicios Audio Visuales</t>
        </is>
      </c>
      <c r="P80" s="2"/>
      <c r="Q80" s="2"/>
      <c r="R80" s="0"/>
      <c r="S80" s="0" t="inlineStr">
        <is>
          <t xml:space="preserve">No</t>
        </is>
      </c>
      <c r="T80" s="4"/>
      <c r="U80" s="0" t="inlineStr">
        <is>
          <t xml:space="preserve">MARIA TERESA MOSCOSO</t>
        </is>
      </c>
      <c r="V80" s="4" t="inlineStr">
        <is>
          <t xml:space="preserve">DECRETO EXENTO N° 1929 DE FECHA 27 DE OCTUBRE DE 2026, APRUEBA BASES ADM. Y AUTORIZA LICITACIÓN PÚBLICA "ADQUISICIÓN PLATAFORMA PODCAST, TV, MOCHILA, ACCESORIOS Y CAPACITACIÓN DE USO PARA LA ESC. SAN JOSÉ OBRERO, RBD 10844", COMUNA CURACAVI, 2026</t>
        </is>
      </c>
      <c r="W80" s="5" t="str">
        <f>HYPERLINK("https://www.mercadopublico.cl/Procurement/Modules/Attachment/ViewAttachment.aspx?enc=5aI%2bN%2f6OmfX%2fnjkcyoUB1jFAvujAfP98NZpULmeU1TJYMenasGuJJ69s7P4EgO2RTPxz%2f0XnRis3tYiouv7gQmCecG%2brR0o%2foSyQFhHYJ%2bpeVlhwmN%2fFYBsG03ZjaFHF9l%2fxj3wTVzzw7Dj11iWtHy6N1mj3p%2fJj2PyARXTm0GMwcYJ6MZIns0pVUUaOU6FRdXjUXWVV%2fu0dSUDGMSycZsR0L0ikn7CKvh0tLmsvuWA%2bmz21rrbvnBqBx68yULSbew6sFIMzEssjpSSERCoMChFPTBHz0ddNVPUzI2uFF%2bTnaF%2b3B3ZoJLx69jmIwqIn","descargar bases")</f>
      </c>
    </row>
    <row r="81">
      <c r="A81" s="0" t="inlineStr">
        <is>
          <t xml:space="preserve">4160-22-LP26</t>
        </is>
      </c>
      <c r="B81" s="4" t="inlineStr">
        <is>
          <t xml:space="preserve">SERVICIO DE INTERNET VOZ Y DATOS</t>
        </is>
      </c>
      <c r="C81" s="0" t="inlineStr">
        <is>
          <t xml:space="preserve">Publicada</t>
        </is>
      </c>
      <c r="D81" s="0" t="inlineStr">
        <is>
          <t xml:space="preserve">MUNICIPALIDAD DE HUALPEN</t>
        </is>
      </c>
      <c r="E81" s="0" t="inlineStr">
        <is>
          <t xml:space="preserve">Secplan</t>
        </is>
      </c>
      <c r="F81" s="0" t="inlineStr">
        <is>
          <t xml:space="preserve">Región del Biobío </t>
        </is>
      </c>
      <c r="G81" s="0" t="inlineStr">
        <is>
          <t xml:space="preserve">Hualpén</t>
        </is>
      </c>
      <c r="H81" s="2">
        <v>46314.427569</v>
      </c>
      <c r="I81" s="2">
        <v>46336.583333</v>
      </c>
      <c r="J81" s="0">
        <v>10</v>
      </c>
      <c r="K81" s="3"/>
      <c r="L81" s="0" t="inlineStr">
        <is>
          <t xml:space="preserve">CLF</t>
        </is>
      </c>
      <c r="M81" s="0" t="inlineStr">
        <is>
          <t xml:space="preserve">LP</t>
        </is>
      </c>
      <c r="N81" s="4" t="inlineStr">
        <is>
          <t xml:space="preserve">Servicios basados en ingeniería, ciencias sociales y tecnología de la información / Servicios informáticos / Servicios para internet</t>
        </is>
      </c>
      <c r="O81" s="4" t="inlineStr">
        <is>
          <t xml:space="preserve">36 Mes · Proveedores de servicio de Internet (ISP)</t>
        </is>
      </c>
      <c r="P81" s="2"/>
      <c r="Q81" s="2"/>
      <c r="R81" s="0" t="inlineStr">
        <is>
          <t xml:space="preserve">36 meses</t>
        </is>
      </c>
      <c r="S81" s="0" t="inlineStr">
        <is>
          <t xml:space="preserve">No</t>
        </is>
      </c>
      <c r="T81" s="4"/>
      <c r="U81" s="0" t="inlineStr">
        <is>
          <t xml:space="preserve">RENE IBAÑEZ RETAMAL</t>
        </is>
      </c>
      <c r="V81"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81" s="5" t="str">
        <f>HYPERLINK("https://www.mercadopublico.cl/Procurement/Modules/Attachment/ViewAttachment.aspx?enc=ES1PyRATXzyuBv3vHtUhNkeaeeGZS2a%2fmwOWXI0htwXMW6u1G%2bkMlotKbBUAOqK8m1JP5dQvvle5yVKn85u3TektnkAJ9hsUEdFWwj8sSWnO%2bSmqnF2EoayG8SkNHXvWnDMc8O%2fdTzt%2fM0IxMk22Qr1jgjrBcDjUst3Ktbrq1y6tmO%2bbqh4Rcc1D0OH5R%2b%2fu36Yl0xUQVQuhPfxZu7FMf%2fi8RQdKzQ7atEXsvtQA9rUqPhhaKPw5eKFxUTTqxMveQw%2b%2bUI96AZUIBn1a4H3FEAiS0aNhxovRSOV7TSkZ9JCHGbIpMh%2fa%2bRRmv7pFnu6G","descargar bases")</f>
      </c>
    </row>
    <row r="82">
      <c r="A82" s="0" t="inlineStr">
        <is>
          <t xml:space="preserve">1233623-47-LP26</t>
        </is>
      </c>
      <c r="B82" s="4" t="inlineStr">
        <is>
          <t xml:space="preserve">SOFTWARE PARA GESTION DE PERSONAS LICANCABUR</t>
        </is>
      </c>
      <c r="C82" s="0" t="inlineStr">
        <is>
          <t xml:space="preserve">Publicada</t>
        </is>
      </c>
      <c r="D82" s="0" t="inlineStr">
        <is>
          <t xml:space="preserve">Servicio Local de Educación Pública Licancabur</t>
        </is>
      </c>
      <c r="E82" s="0" t="inlineStr">
        <is>
          <t xml:space="preserve">Servicio Local de Educación Pública Licancabur</t>
        </is>
      </c>
      <c r="F82" s="0" t="inlineStr">
        <is>
          <t xml:space="preserve">Región de Antofagasta </t>
        </is>
      </c>
      <c r="G82" s="0" t="inlineStr">
        <is>
          <t xml:space="preserve">Calama</t>
        </is>
      </c>
      <c r="H82" s="2">
        <v>46316.519444</v>
      </c>
      <c r="I82" s="2">
        <v>46336.625</v>
      </c>
      <c r="J82" s="0">
        <v>10</v>
      </c>
      <c r="K82" s="3"/>
      <c r="L82" s="0" t="inlineStr">
        <is>
          <t xml:space="preserve">CLP</t>
        </is>
      </c>
      <c r="M82" s="0" t="inlineStr">
        <is>
          <t xml:space="preserve">LP</t>
        </is>
      </c>
      <c r="N82" s="4" t="inlineStr">
        <is>
          <t xml:space="preserve">Tecnologías de la información, telecomunicaciones y radiodifusión / Software / Software de gestión</t>
        </is>
      </c>
      <c r="O82" s="4" t="inlineStr">
        <is>
          <t xml:space="preserve">1 Unidad · Software de gestión de recursos humanos</t>
        </is>
      </c>
      <c r="P82" s="2"/>
      <c r="Q82" s="2"/>
      <c r="R82" s="0" t="inlineStr">
        <is>
          <t xml:space="preserve">36 meses</t>
        </is>
      </c>
      <c r="S82" s="0" t="inlineStr">
        <is>
          <t xml:space="preserve">No</t>
        </is>
      </c>
      <c r="T82" s="4"/>
      <c r="U82" s="0" t="inlineStr">
        <is>
          <t xml:space="preserve">BRUNO BERKHOFF</t>
        </is>
      </c>
      <c r="V82" s="4" t="inlineStr">
        <is>
          <t xml:space="preserve">SOFTWARE PARA GESTION DE PERSONAS SLEP LICANCABUR POR UN PERIODO DE 36 MESES SEGUN LO INDICADO EN LAS BASES ADMINISTRATIVAS Y TECNICAS. COMPLETAR LOS ANEXOS FIRMARLOS SUBIRLOS A LA PLATAFORMA Y REALIZAR EXPOSICION TECNICA REMOTA</t>
        </is>
      </c>
      <c r="W82" s="5" t="str">
        <f>HYPERLINK("https://www.mercadopublico.cl/Procurement/Modules/Attachment/ViewAttachment.aspx?enc=jYiZxJDwe38GYvgzH8ZeBoNk3x7hhapM0%2fG71vDLujqYRAaEe72uxvkZbA8XnicoC2v5rrqtvKOqXltptCULA%2b2NuPtXuUyan3YsJ2HMvH%2fGQWuPGuZxKlgrnzBPKWlkfH1P8oVpMB3vqQAyxAoBRFNZVvt%2f1Ij7GsYZFsmEsnq4zISK6i7Wdr7jvBdW6weI%2bw8iH4BLK%2fkYc%2b0jDD7rLTAGHXuzaVHc2H4a88qBXupjwPEus%2fFAZ%2bOK2%2f7sILwpdqystQ5DsuNof8rJVppg0WHBpxW03LkfXN7L6TMguQx1snP%2bPc%2fISlQ34aZNU%2bZQ","descargar bases")</f>
      </c>
    </row>
    <row r="83">
      <c r="A83" s="0" t="inlineStr">
        <is>
          <t xml:space="preserve">1867-50-LE26</t>
        </is>
      </c>
      <c r="B83" s="4" t="inlineStr">
        <is>
          <t xml:space="preserve">Desarrollar Plataformas en Línea para Departamento</t>
        </is>
      </c>
      <c r="C83" s="0" t="inlineStr">
        <is>
          <t xml:space="preserve">Publicada</t>
        </is>
      </c>
      <c r="D83" s="0" t="inlineStr">
        <is>
          <t xml:space="preserve">DIRECCION GENERAL DE MOVILIZACIONN NACIONAL</t>
        </is>
      </c>
      <c r="E83" s="0" t="inlineStr">
        <is>
          <t xml:space="preserve">DIRECCION GENERAL DE MOVILIZACIONN NACIONAL</t>
        </is>
      </c>
      <c r="F83" s="0" t="inlineStr">
        <is>
          <t xml:space="preserve">Región Metropolitana de Santiago</t>
        </is>
      </c>
      <c r="G83" s="0" t="inlineStr">
        <is>
          <t xml:space="preserve">Santiago Centro</t>
        </is>
      </c>
      <c r="H83" s="2">
        <v>46323.694931</v>
      </c>
      <c r="I83" s="2">
        <v>46336.625</v>
      </c>
      <c r="J83" s="0">
        <v>10</v>
      </c>
      <c r="K83" s="3"/>
      <c r="L83" s="0" t="inlineStr">
        <is>
          <t xml:space="preserve">CLP</t>
        </is>
      </c>
      <c r="M83" s="0" t="inlineStr">
        <is>
          <t xml:space="preserve">LE</t>
        </is>
      </c>
      <c r="N83" s="4" t="inlineStr">
        <is>
          <t xml:space="preserve">Tecnologías de la información, telecomunicaciones y radiodifusión / Software / Programas de desarrollo</t>
        </is>
      </c>
      <c r="O83" s="4" t="inlineStr">
        <is>
          <t xml:space="preserve">1 Unidad · Software de desarrollo de plataforma Web · 1 Unidad · Software de desarrollo de plataforma Web</t>
        </is>
      </c>
      <c r="P83" s="2"/>
      <c r="Q83" s="2"/>
      <c r="R83" s="0"/>
      <c r="S83" s="0" t="inlineStr">
        <is>
          <t xml:space="preserve">No</t>
        </is>
      </c>
      <c r="T83" s="4"/>
      <c r="U83" s="0" t="inlineStr">
        <is>
          <t xml:space="preserve">Director General e Movilización Nacional</t>
        </is>
      </c>
      <c r="V83" s="4" t="inlineStr">
        <is>
          <t xml:space="preserve">La DGMN convoca a personas naturales o jurídicas, ya sea que se presenten de manera individual o unidas mediante Uniones Temporales de Proveedores integradas por una o más empresas de menor tamaño, chilenas o extranjeras, que al momento de ofertar se encuentren hábiles en el Registro de Proveedores a cargo de la Dirección de Compras y Contratación Pública, para desarrollar plataforma para trámites en línea de los departamentos de Reclutamiento y Control de Convenciones de la DGMN.</t>
        </is>
      </c>
      <c r="W83" s="5" t="str">
        <f>HYPERLINK("https://www.mercadopublico.cl/Procurement/Modules/Attachment/ViewAttachment.aspx?enc=yua2kn5wO4ddoFdlgk89Th9w0mzsRh%2f3aQnJjXD7MJV5ooV9t16kdcNScLMEHcPaf6EAcsS%2f%2b99tU7Zt0hVHKf42Z3GhJPtOrxoUAgd%2f%2fsdbreAs9dKJl4jYFyzdcZmfG19ubcLiUPxrNd0U24AkzcLSgQx%2bC%2bgjHjRFjwD4%2f0zW1Vw9LzBHoT2XQWj9n7Xub4q%2fKU3hOnouBzgjKKssDw5VAqbSop7N2MiOufCW6dDF6FZJeHpQ0EWYnBRO1MoBOOMuI0mQ0JesU9mtGOVg1RhxkNeDgZH1Z5JWOiLwWjMU4fP8eWU8OS0j73HdRl41","descargar bases")</f>
      </c>
    </row>
    <row r="84">
      <c r="A84" s="0" t="inlineStr">
        <is>
          <t xml:space="preserve">1867-51-LE26</t>
        </is>
      </c>
      <c r="B84" s="4" t="inlineStr">
        <is>
          <t xml:space="preserve">Servicio de Consultoria  de gestión documental</t>
        </is>
      </c>
      <c r="C84" s="0" t="inlineStr">
        <is>
          <t xml:space="preserve">Publicada</t>
        </is>
      </c>
      <c r="D84" s="0" t="inlineStr">
        <is>
          <t xml:space="preserve">DIRECCION GENERAL DE MOVILIZACIONN NACIONAL</t>
        </is>
      </c>
      <c r="E84" s="0" t="inlineStr">
        <is>
          <t xml:space="preserve">DIRECCION GENERAL DE MOVILIZACIONN NACIONAL</t>
        </is>
      </c>
      <c r="F84" s="0" t="inlineStr">
        <is>
          <t xml:space="preserve">Región Metropolitana de Santiago</t>
        </is>
      </c>
      <c r="G84" s="0" t="inlineStr">
        <is>
          <t xml:space="preserve">Santiago Centro</t>
        </is>
      </c>
      <c r="H84" s="2">
        <v>46323.693738</v>
      </c>
      <c r="I84" s="2">
        <v>46336.625</v>
      </c>
      <c r="J84" s="0">
        <v>10</v>
      </c>
      <c r="K84" s="3"/>
      <c r="L84" s="0" t="inlineStr">
        <is>
          <t xml:space="preserve">CLP</t>
        </is>
      </c>
      <c r="M84" s="0" t="inlineStr">
        <is>
          <t xml:space="preserve">LE</t>
        </is>
      </c>
      <c r="N84" s="4" t="inlineStr">
        <is>
          <t xml:space="preserve">Tecnologías de la información, telecomunicaciones y radiodifusión / Software / Software de entorno operativo</t>
        </is>
      </c>
      <c r="O84" s="4" t="inlineStr">
        <is>
          <t xml:space="preserve">1 Unidad · Software de sistema de archivos</t>
        </is>
      </c>
      <c r="P84" s="2"/>
      <c r="Q84" s="2"/>
      <c r="R84" s="0"/>
      <c r="S84" s="0" t="inlineStr">
        <is>
          <t xml:space="preserve">No</t>
        </is>
      </c>
      <c r="T84" s="4"/>
      <c r="U84" s="0" t="inlineStr">
        <is>
          <t xml:space="preserve">Director General de Movilización Nacional.</t>
        </is>
      </c>
      <c r="V84" s="4" t="inlineStr">
        <is>
          <t xml:space="preserve">La DGMN convoca a personas naturales o jurídicas, ya sea que se presenten de manera individual o unidas mediante Uniones Temporales de Proveedores integradas por una o más empresas de menor tamaño, chilenas o extranjeras, que al momento de ofertar se encuentren hábiles en el Registro de Proveedores a cargo de la Dirección de Compras y Contratación Pública, para el servicio de consultoría y levantamiento para el diseño de una solución de gestión documental para la DGMN.</t>
        </is>
      </c>
      <c r="W84" s="5" t="str">
        <f>HYPERLINK("https://www.mercadopublico.cl/Procurement/Modules/Attachment/ViewAttachment.aspx?enc=tpcBUtx9jH9ma1GulMROkbIPCILu3i8SPPFhLVir%2fsHTxL5JHl70gtPjasbPnfjxrWzX8jUFueFV5i6laoh1JBb4lYVyAD2ouT5jTwYcEEllC9K4eicuqkSyl%2bkmv1HdvoK7%2f%2bYoge3L%2bWsiOmD28IWb6Gs1RB6HmgbbQyzOLsnMetzhVvTyDi3iZia6wt3IZAEkLH%2bjmEHZpVYg5Pw6SJVz8Se%2bCV7%2fPt3fKQSRVegjPByWTM9uu2F1Ln54c8mAvn7FOGBqr1yPxTRBa91cWn3a%2fw9jsNBxpPxTmIH%2f2SkagDDWHc2ZsIn9DQuXgl04","descargar bases")</f>
      </c>
    </row>
    <row r="85">
      <c r="A85" s="0" t="inlineStr">
        <is>
          <t xml:space="preserve">2770-164-LE26</t>
        </is>
      </c>
      <c r="B85" s="4" t="inlineStr">
        <is>
          <t xml:space="preserve">ADQUISICIÓN DE ACCESORIOS Y REPUESTOS INFORMATICOS PARA LA REPARACIÓN DE COMPUTADORES E IMPRESORAS PARA EL DEPARTAMENTO DE INFORMÁTICA DE LA DIRECCIÓN DE SALUD MUNICIPAL</t>
        </is>
      </c>
      <c r="C85" s="0" t="inlineStr">
        <is>
          <t xml:space="preserve">Publicada</t>
        </is>
      </c>
      <c r="D85" s="0" t="inlineStr">
        <is>
          <t xml:space="preserve">I MUNICIPALIDAD DE MAIPU</t>
        </is>
      </c>
      <c r="E85" s="0" t="inlineStr">
        <is>
          <t xml:space="preserve">I MUNICIPALIDAD DE MAIPU</t>
        </is>
      </c>
      <c r="F85" s="0" t="inlineStr">
        <is>
          <t xml:space="preserve">Región Metropolitana de Santiago</t>
        </is>
      </c>
      <c r="G85" s="0"/>
      <c r="H85" s="2">
        <v>46322.73037</v>
      </c>
      <c r="I85" s="2">
        <v>46336.625</v>
      </c>
      <c r="J85" s="0">
        <v>10</v>
      </c>
      <c r="K85" s="3">
        <v>58600000.0</v>
      </c>
      <c r="L85" s="0" t="inlineStr">
        <is>
          <t xml:space="preserve">CLP</t>
        </is>
      </c>
      <c r="M85" s="0" t="inlineStr">
        <is>
          <t xml:space="preserve">LE</t>
        </is>
      </c>
      <c r="N85" s="4" t="inlineStr">
        <is>
          <t xml:space="preserve">Artículos de electrónica / Circuitos electrónicos / Circuitos integrados, memorias y microprocesadores, Artículos eléctricos y de iluminación / Equipamiento y artículos eléctricos / Cajas y accesorios eléctricos, Artículos eléctricos y de iluminación / Equipamiento y artículos eléctricos / Suministros y accesorios eléctricos, Combustibles, lubricantes y anticorrosivos / Lubricantes y anticorrosivos / Grasas, Equipos y suministros de defensa, orden público, protección y seguridad / Equipos para orden público / Equipo forense, accesorios y suministros, Equipos, accesorios y suministros de oficina / Maquinarias, suministros y accesorios de oficina / Accesorios para impresoras, fotocopiadoras y aparatos de fax,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85" s="4" t="inlineStr">
        <is>
          <t xml:space="preserve">1 Global · Discos duros · 1 Global · Dispositivos de almacenamiento de memoria flash · 1 Global · Memoria de acceso aleatorio (RAM) · y 27 más</t>
        </is>
      </c>
      <c r="P85" s="2"/>
      <c r="Q85" s="2"/>
      <c r="R85" s="0"/>
      <c r="S85" s="0" t="inlineStr">
        <is>
          <t xml:space="preserve">No</t>
        </is>
      </c>
      <c r="T85" s="4"/>
      <c r="U85" s="0" t="inlineStr">
        <is>
          <t xml:space="preserve">Patricia Castillo Navarrete</t>
        </is>
      </c>
      <c r="V85" s="4" t="inlineStr">
        <is>
          <t xml:space="preserve">La presente licitación tiene por finalidad adquirir de accesorios y repuestos informáticos para la
reparación de computadores e impresoras del Departamento de Informática de la Dirección de Salud.
Todo lo anterior en virtud de lo dispuesto en las presentes Bases Administrativas, las Bases Técnicas y
todos sus anexos.</t>
        </is>
      </c>
      <c r="W85" s="5" t="str">
        <f>HYPERLINK("https://www.mercadopublico.cl/Procurement/Modules/Attachment/ViewAttachment.aspx?enc=lxrNv7HP2DtYuflDUpowGK5UjiH4%2bEedWfSpQMchswfsllsa5kJvBvbx0O4GgmfeSxg5i0L3D7VtFbGvz6UACsMYy%2bAUGvErVIsRm%2bd2HsqJqT6%2behNZHrKlKBgdDpDSB2hf4Dw8pDZUvmrtPHWRpyjWrEFSOe8hEbW1vPabfKkFPlbXArdznnmtTuLTPPXu5Gk8TXnsfyHLc5gBB%2bSHuzl3UTYKJ6HxvLg6RCTbLlUGnyPVByvbxknKUpWb6J0RrceHibO4RSoPjS4EQvbkUOFOtahAOTZ%2fjOqzMGgDmyE9AUkMhnyf69P6yowapcZN","descargar bases")</f>
      </c>
    </row>
    <row r="86">
      <c r="A86" s="0" t="inlineStr">
        <is>
          <t xml:space="preserve">5482-101-LR26</t>
        </is>
      </c>
      <c r="B86" s="4" t="inlineStr">
        <is>
          <t xml:space="preserve">Plataforma IA para video y seguridad urbana</t>
        </is>
      </c>
      <c r="C86" s="0" t="inlineStr">
        <is>
          <t xml:space="preserve">Publicada</t>
        </is>
      </c>
      <c r="D86" s="0" t="inlineStr">
        <is>
          <t xml:space="preserve">I MUNICIPALIDAD DE NUNOA</t>
        </is>
      </c>
      <c r="E86" s="0" t="inlineStr">
        <is>
          <t xml:space="preserve">SECPLANUNOA</t>
        </is>
      </c>
      <c r="F86" s="0" t="inlineStr">
        <is>
          <t xml:space="preserve">Región Metropolitana de Santiago</t>
        </is>
      </c>
      <c r="G86" s="0" t="inlineStr">
        <is>
          <t xml:space="preserve">Ñuñoa</t>
        </is>
      </c>
      <c r="H86" s="2">
        <v>46275.729861</v>
      </c>
      <c r="I86" s="2">
        <v>46336.625694</v>
      </c>
      <c r="J86" s="0">
        <v>10</v>
      </c>
      <c r="K86" s="3"/>
      <c r="L86" s="0" t="inlineStr">
        <is>
          <t xml:space="preserve">CLF</t>
        </is>
      </c>
      <c r="M86" s="0" t="inlineStr">
        <is>
          <t xml:space="preserve">LR</t>
        </is>
      </c>
      <c r="N86" s="4" t="inlineStr">
        <is>
          <t xml:space="preserve">Tecnologías de la información, telecomunicaciones y radiodifusión / Software / Programas de desarrollo</t>
        </is>
      </c>
      <c r="O86" s="4" t="inlineStr">
        <is>
          <t xml:space="preserve">1 Global · Software de desarrollo de plataforma Web · 26 Mes · Software de desarrollo de plataforma Web</t>
        </is>
      </c>
      <c r="P86" s="2"/>
      <c r="Q86" s="2"/>
      <c r="R86" s="0" t="inlineStr">
        <is>
          <t xml:space="preserve">26 meses</t>
        </is>
      </c>
      <c r="S86" s="0" t="inlineStr">
        <is>
          <t xml:space="preserve">No</t>
        </is>
      </c>
      <c r="T86" s="4"/>
      <c r="U86" s="0" t="inlineStr">
        <is>
          <t xml:space="preserve">Katherinne Ayala</t>
        </is>
      </c>
      <c r="V86"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86" s="5" t="str">
        <f>HYPERLINK("https://www.mercadopublico.cl/Procurement/Modules/Attachment/ViewAttachment.aspx?enc=n2kp3hsRmYWe1CYsQQbtBw8u3PsGR%2b4CYVEeNllckDHGuD6DCVDXKfO9E1CeHZuTfccmNz73%2bDjZUbRWvOf1CpnbA9it2EGZfJHf%2bAAf3VOKyFSlkoJh%2fWCe9%2fkyytG2SC%2b4HaV7t%2buKA%2fWmwfMS6NDh30mpKNOWwQ5qv0Rv3rkHYfcmOF8iprZIeq96K1N5HmStdk7ln0XbRrCoGeVPImqFVX9e6s6uP1u%2fjPCEvvgvdYaZHzVKfPcCjRvF1HWBMH8XIpZDSOPV12UVgeJxtHez5KXnc4M9a3FDxdRIT3SaQWmkpJFrLUsHeMQZlq9X","descargar bases")</f>
      </c>
    </row>
    <row r="87">
      <c r="A87" s="0" t="inlineStr">
        <is>
          <t xml:space="preserve">601-17-LE26</t>
        </is>
      </c>
      <c r="B87" s="4" t="inlineStr">
        <is>
          <t xml:space="preserve">Servicio mantención y otros del sitio web</t>
        </is>
      </c>
      <c r="C87" s="0" t="inlineStr">
        <is>
          <t xml:space="preserve">Publicada</t>
        </is>
      </c>
      <c r="D87" s="0" t="inlineStr">
        <is>
          <t xml:space="preserve">SUPERINTENDENCIA DE SALUD</t>
        </is>
      </c>
      <c r="E87" s="0" t="inlineStr">
        <is>
          <t xml:space="preserve">Superintendencia de Salud</t>
        </is>
      </c>
      <c r="F87" s="0" t="inlineStr">
        <is>
          <t xml:space="preserve">Región Metropolitana de Santiago</t>
        </is>
      </c>
      <c r="G87" s="0" t="inlineStr">
        <is>
          <t xml:space="preserve">Santiago Centro</t>
        </is>
      </c>
      <c r="H87" s="2">
        <v>46325.630891</v>
      </c>
      <c r="I87" s="2">
        <v>46336.631944</v>
      </c>
      <c r="J87" s="0">
        <v>10</v>
      </c>
      <c r="K87" s="3"/>
      <c r="L87" s="0" t="inlineStr">
        <is>
          <t xml:space="preserve">CLP</t>
        </is>
      </c>
      <c r="M87" s="0" t="inlineStr">
        <is>
          <t xml:space="preserve">LE</t>
        </is>
      </c>
      <c r="N87" s="4" t="inlineStr">
        <is>
          <t xml:space="preserve">Servicios basados en ingeniería, ciencias sociales y tecnología de la información / Servicios informáticos / Servicios para internet</t>
        </is>
      </c>
      <c r="O87" s="4" t="inlineStr">
        <is>
          <t xml:space="preserve">1 Unidad · Web Hosting</t>
        </is>
      </c>
      <c r="P87" s="2"/>
      <c r="Q87" s="2"/>
      <c r="R87" s="0" t="inlineStr">
        <is>
          <t xml:space="preserve">24 meses</t>
        </is>
      </c>
      <c r="S87" s="0" t="inlineStr">
        <is>
          <t xml:space="preserve">No</t>
        </is>
      </c>
      <c r="T87" s="4"/>
      <c r="U87" s="0" t="inlineStr">
        <is>
          <t xml:space="preserve">Ximena Gutierrez</t>
        </is>
      </c>
      <c r="V87" s="4" t="inlineStr">
        <is>
          <t xml:space="preserve">La Superintendencia de Salud, en adelante e indistintamente “la Superintendencia”, convoca a Licitación Pública a las personas naturales y jurídicas para que participen y presenten propuestas en el actual proceso de licitación de esta entidad, que administra a través del Portal de Mercado Público para la contratación de los servicios de hosting, infraestructura, almacenamiento, diseño, desarrollo, mantención, soporte y migración del contenido de su actual sitio web.</t>
        </is>
      </c>
      <c r="W87" s="5" t="str">
        <f>HYPERLINK("https://www.mercadopublico.cl/Procurement/Modules/Attachment/ViewAttachment.aspx?enc=%2fY0oNa7tpk8X0YTiIvtucLjvhntHnOl00QXUlgEwTrMiAQy%2bRFODI42Ig9CRQTBaEIBVxmTgpH6D4ldOrD9FsEtXSs3PS89HxP%2f1DCMBskRGwlNGXbaD56xI2iO9si9HI6R8gaZBeNOBfWXFNSV11HUHtn%2f96sOlZQNSnasUisbQSP%2bOrj%2bMmUQVcYU0MiccnIvWKIK0nxjdKPjOsKU4OZD7x66ixrdv7IHxotOojXzoQMaytOTRfhmAzIhijew1kXUV8AmJIoy6rDvnWhTrP%2bPJeH%2b2F897JjqWFu8nz3LZV%2bPmq8TaDN8mxrNOIQO1","descargar bases")</f>
      </c>
    </row>
    <row r="88">
      <c r="A88" s="0" t="inlineStr">
        <is>
          <t xml:space="preserve">1057049-394-LP26</t>
        </is>
      </c>
      <c r="B88" s="4" t="inlineStr">
        <is>
          <t xml:space="preserve">JLL CONTRATACION DE SERVICIOS DE TURNOS DE PERSONAL TECNICO INFORMATICO DE APOYO PARA EL DEPARTAMENTO DE TECNOLOGIAS DE LA INFORMACION Y COMUNICACIONES</t>
        </is>
      </c>
      <c r="C88" s="0" t="inlineStr">
        <is>
          <t xml:space="preserve">Publicada</t>
        </is>
      </c>
      <c r="D88" s="0" t="inlineStr">
        <is>
          <t xml:space="preserve">SERV SALUD METROPOLITANO CENTRAL HOSPITAL CLINICO SAN BORJA ARRIARAN</t>
        </is>
      </c>
      <c r="E88" s="0" t="inlineStr">
        <is>
          <t xml:space="preserve">Bienes y Servicios</t>
        </is>
      </c>
      <c r="F88" s="0" t="inlineStr">
        <is>
          <t xml:space="preserve">Región Metropolitana de Santiago</t>
        </is>
      </c>
      <c r="G88" s="0" t="inlineStr">
        <is>
          <t xml:space="preserve">Santiago</t>
        </is>
      </c>
      <c r="H88" s="2">
        <v>46315.59515</v>
      </c>
      <c r="I88" s="2">
        <v>46336.645833</v>
      </c>
      <c r="J88" s="0">
        <v>10</v>
      </c>
      <c r="K88" s="3"/>
      <c r="L88" s="0" t="inlineStr">
        <is>
          <t xml:space="preserve">CLP</t>
        </is>
      </c>
      <c r="M88" s="0" t="inlineStr">
        <is>
          <t xml:space="preserve">LP</t>
        </is>
      </c>
      <c r="N88" s="4" t="inlineStr">
        <is>
          <t xml:space="preserve">Servicios profesionales, administrativos y consultorías de gestión empresarial / Servicios de recursos humanos / Servicios de personal temporal</t>
        </is>
      </c>
      <c r="O88" s="4" t="inlineStr">
        <is>
          <t xml:space="preserve">1 Global · Personal técnico temporal</t>
        </is>
      </c>
      <c r="P88" s="2"/>
      <c r="Q88" s="2"/>
      <c r="R88" s="0" t="inlineStr">
        <is>
          <t xml:space="preserve">24 meses</t>
        </is>
      </c>
      <c r="S88" s="0" t="inlineStr">
        <is>
          <t xml:space="preserve">No</t>
        </is>
      </c>
      <c r="T88" s="4"/>
      <c r="U88" s="0" t="inlineStr">
        <is>
          <t xml:space="preserve">JUAN CARLOS LAFONT</t>
        </is>
      </c>
      <c r="V88" s="4" t="inlineStr">
        <is>
          <t xml:space="preserve">JLL APRUEBA BASES DE LICITACION DE CONTRATACION DE SERVICIOS DE TURNOS DE PERSONAL TECNICO INFORMATICO DE APOYO PARA EL DEPARTAMENTO DE TECNOLOGIAS DE LA INFORMACION Y COMUNICACIONES DEL HOSPITAL CLINICO SAN BORJA ARRIARAN.</t>
        </is>
      </c>
      <c r="W88" s="5" t="str">
        <f>HYPERLINK("https://www.mercadopublico.cl/Procurement/Modules/Attachment/ViewAttachment.aspx?enc=xp6atqfIjmbUfQ39sYM8KsmuS%2bIi4R3wbWwQMWHV%2fQru86WfIGa6iSTTD%2f5QdvlyGN%2bh%2fRPJl83FhNdI2ILGZadPxVzY%2bk4Deu%2bwx%2bH24yqf0Ex0Zv0rZXY7vlCSc%2brGDSscFrZAAuuXXtDgrjgxMRkO0WkAta5t7LA2sw5mdIJDrI9aLcmY2c5r2YtyXbex1t4rVTJv2n5oo%2fqnkjcFdfQRxCuZn7Fw0a3jm1Fq39ZY%2fzuK2t03Pw2NeXB02AkIAjzfynj8M6VyVWtbQtmVxtAl%2fbG8VEC%2fxYXSD87W1H5qik%2b18%2fa5y%2b8r%2bc5dDBtu","descargar bases")</f>
      </c>
    </row>
    <row r="89">
      <c r="A89" s="0" t="inlineStr">
        <is>
          <t xml:space="preserve">1607-21-LE26</t>
        </is>
      </c>
      <c r="B89" s="4" t="inlineStr">
        <is>
          <t xml:space="preserve">Servicio Soporte y Apoyo de la Plataforma Google</t>
        </is>
      </c>
      <c r="C89" s="0" t="inlineStr">
        <is>
          <t xml:space="preserve">Publicada</t>
        </is>
      </c>
      <c r="D89" s="0" t="inlineStr">
        <is>
          <t xml:space="preserve">SUPERINTENDENCIA DE SEGURIDAD SOCIAL</t>
        </is>
      </c>
      <c r="E89" s="0" t="inlineStr">
        <is>
          <t xml:space="preserve">Superintendencia de Seguridad Social</t>
        </is>
      </c>
      <c r="F89" s="0" t="inlineStr">
        <is>
          <t xml:space="preserve">Región Metropolitana de Santiago</t>
        </is>
      </c>
      <c r="G89" s="0" t="inlineStr">
        <is>
          <t xml:space="preserve">Santiago Centro</t>
        </is>
      </c>
      <c r="H89" s="2">
        <v>46324.530556</v>
      </c>
      <c r="I89" s="2">
        <v>46336.645833</v>
      </c>
      <c r="J89" s="0">
        <v>10</v>
      </c>
      <c r="K89" s="3">
        <v>24000000.0</v>
      </c>
      <c r="L89" s="0" t="inlineStr">
        <is>
          <t xml:space="preserve">CLP</t>
        </is>
      </c>
      <c r="M89" s="0" t="inlineStr">
        <is>
          <t xml:space="preserve">LE</t>
        </is>
      </c>
      <c r="N89" s="4" t="inlineStr">
        <is>
          <t xml:space="preserve">Servicios basados en ingeniería, ciencias sociales y tecnología de la información / Servicios informáticos / Administración de sistemas</t>
        </is>
      </c>
      <c r="O89" s="4" t="inlineStr">
        <is>
          <t xml:space="preserve">1 Unidad · Soporte técnico y servicios de mesa de ayuda</t>
        </is>
      </c>
      <c r="P89" s="2"/>
      <c r="Q89" s="2"/>
      <c r="R89" s="0" t="inlineStr">
        <is>
          <t xml:space="preserve">24 meses</t>
        </is>
      </c>
      <c r="S89" s="0" t="inlineStr">
        <is>
          <t xml:space="preserve">No</t>
        </is>
      </c>
      <c r="T89"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89" s="0" t="inlineStr">
        <is>
          <t xml:space="preserve">Henry Gonzalez</t>
        </is>
      </c>
      <c r="V89" s="4" t="inlineStr">
        <is>
          <t xml:space="preserve">Se requiere de la contratación de Servicio de Soporte y Apoyo de la Plataforma Google Workspace, por el periodo de 24 meses.</t>
        </is>
      </c>
      <c r="W89" s="5" t="str">
        <f>HYPERLINK("https://www.mercadopublico.cl/Procurement/Modules/Attachment/ViewAttachment.aspx?enc=UpNET%2faVndHWfMNOyPIebL%2faf1lJ7PdvzUD%2fBpJqiVwaF9BDsZharxJJJtr2ezueQ1904tvv1LI5yrrH6LkH5OJOK6RVkRc1lijFNWQAEZrMeoCIvd6l3y3x7vMDDoLlmn0ehQ6qOTL0VKBc3QKTyKytANQy7uK%2bm9eb5RJAaDNtYk3jBamyntFV2ACaHbSWrJhI%2buaoQiukSrViIvy7ygAfCYRKpRdUqs%2fjYYR2ByzMj%2bEFJhQzJ2Q5bfI9%2bEBVQ2RTBhZm8ykWjoOIbNYYtjW7bug%2bLodUSP8DMV%2fM8%2bYfV5M1rCuMukNTnqBVHwDW","descargar bases")</f>
      </c>
    </row>
    <row r="90">
      <c r="A90" s="0" t="inlineStr">
        <is>
          <t xml:space="preserve">1057390-21-LR26</t>
        </is>
      </c>
      <c r="B90" s="4" t="inlineStr">
        <is>
          <t xml:space="preserve">PLATAFORMA CLOUD COMPUTING Y SERVICIOS ASOCIADOS ESISSAN</t>
        </is>
      </c>
      <c r="C90" s="0" t="inlineStr">
        <is>
          <t xml:space="preserve">Publicada</t>
        </is>
      </c>
      <c r="D90" s="0" t="inlineStr">
        <is>
          <t xml:space="preserve">SERVICIO DE SALUD ARAUCANIA NORTE</t>
        </is>
      </c>
      <c r="E90" s="0" t="inlineStr">
        <is>
          <t xml:space="preserve">Bienes y Servicios</t>
        </is>
      </c>
      <c r="F90" s="0" t="inlineStr">
        <is>
          <t xml:space="preserve">Región de la Araucanía </t>
        </is>
      </c>
      <c r="G90" s="0" t="inlineStr">
        <is>
          <t xml:space="preserve">Angol</t>
        </is>
      </c>
      <c r="H90" s="2">
        <v>46304.688889</v>
      </c>
      <c r="I90" s="2">
        <v>46336.645833</v>
      </c>
      <c r="J90" s="0">
        <v>10</v>
      </c>
      <c r="K90" s="3">
        <v>487000000.0</v>
      </c>
      <c r="L90" s="0" t="inlineStr">
        <is>
          <t xml:space="preserve">CLP</t>
        </is>
      </c>
      <c r="M90" s="0" t="inlineStr">
        <is>
          <t xml:space="preserve">LR</t>
        </is>
      </c>
      <c r="N90" s="4" t="inlineStr">
        <is>
          <t xml:space="preserve">Tecnologías de la información, telecomunicaciones y radiodifusión / Software / Software para trabajo en redes</t>
        </is>
      </c>
      <c r="O90" s="4" t="inlineStr">
        <is>
          <t xml:space="preserve">1 Unidad · Software de interconectividad de plataformas</t>
        </is>
      </c>
      <c r="P90" s="2"/>
      <c r="Q90" s="2"/>
      <c r="R90" s="0" t="inlineStr">
        <is>
          <t xml:space="preserve">36 meses</t>
        </is>
      </c>
      <c r="S90" s="0" t="inlineStr">
        <is>
          <t xml:space="preserve">No</t>
        </is>
      </c>
      <c r="T90" s="4"/>
      <c r="U90" s="0" t="inlineStr">
        <is>
          <t xml:space="preserve">Jorge Mora Bustamante</t>
        </is>
      </c>
      <c r="V90"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90" s="5" t="str">
        <f>HYPERLINK("https://www.mercadopublico.cl/Procurement/Modules/Attachment/ViewAttachment.aspx?enc=RW4g5LHOwdeBhXTov%2baC1iVKMQCAz9%2ffADUkAjSKQXabt95rfbYQsP3eFURGJFZ5QVTgfYNe1DgGzrgmks1lVbgSiOMaTjrbbOVpDL7eXtzZOPTN6TT0xUoq2aSoZ1hdxV3UfRBvW9uxZuHMdy9VNHpnhYi%2bR0QlK3kn3EjRCcFpJstiGr9tGRlR5GONHKsiNZzGCNefTDkjWmMN%2fQCMtq1SuM1e%2bBjuwE5GPpg%2bKKD6vcWA27%2boUWKrozxoBAYWOU2Xw3NSI2AqbkHfnUm6Zr%2fWYGzB25QJW%2bMYJ4Z%2b6pbIkiwkDYJypamCg2Sok%2fbU","descargar bases")</f>
      </c>
    </row>
    <row r="91">
      <c r="A91" s="0" t="inlineStr">
        <is>
          <t xml:space="preserve">948354-157-LP26</t>
        </is>
      </c>
      <c r="B91" s="4" t="inlineStr">
        <is>
          <t xml:space="preserve">CONTRATACIÓN DEL SERVICIO DE ARRIENDO DE UNA CABINA SANITARIA CON EQUIPO MAMÓGRAFO PARA USO DE MAMOGRAFÍA DIGITALIZADA PORTÁTIL PARA EL HOSPITAL DIPRECA</t>
        </is>
      </c>
      <c r="C91" s="0" t="inlineStr">
        <is>
          <t xml:space="preserve">Publicada</t>
        </is>
      </c>
      <c r="D91" s="0" t="inlineStr">
        <is>
          <t xml:space="preserve">FONDO HOSPITAL DE LA DIRECCION DE PREVISION DE CARABINEROS DE CHILE</t>
        </is>
      </c>
      <c r="E91" s="0" t="inlineStr">
        <is>
          <t xml:space="preserve">Unidad de Compra de Bienes y Servicios</t>
        </is>
      </c>
      <c r="F91" s="0" t="inlineStr">
        <is>
          <t xml:space="preserve">Región Metropolitana de Santiago</t>
        </is>
      </c>
      <c r="G91" s="0" t="inlineStr">
        <is>
          <t xml:space="preserve">Las Condes</t>
        </is>
      </c>
      <c r="H91" s="2">
        <v>46316.642211</v>
      </c>
      <c r="I91" s="2">
        <v>46336.666667</v>
      </c>
      <c r="J91" s="0">
        <v>10</v>
      </c>
      <c r="K91" s="3"/>
      <c r="L91" s="0" t="inlineStr">
        <is>
          <t xml:space="preserve">CLP</t>
        </is>
      </c>
      <c r="M91" s="0" t="inlineStr">
        <is>
          <t xml:space="preserve">LP</t>
        </is>
      </c>
      <c r="N91" s="4" t="inlineStr">
        <is>
          <t xml:space="preserve">Equipamiento y suministros médicos / Productos para imágenes y de medicina nuclear / Artículos radiográficos de diagnóstico médico</t>
        </is>
      </c>
      <c r="O91" s="4" t="inlineStr">
        <is>
          <t xml:space="preserve">12 Mes · Equipo para radiografías mamográficas</t>
        </is>
      </c>
      <c r="P91" s="2"/>
      <c r="Q91" s="2"/>
      <c r="R91" s="0" t="inlineStr">
        <is>
          <t xml:space="preserve">12 meses</t>
        </is>
      </c>
      <c r="S91" s="0" t="inlineStr">
        <is>
          <t xml:space="preserve">No</t>
        </is>
      </c>
      <c r="T91" s="4"/>
      <c r="U91" s="0" t="inlineStr">
        <is>
          <t xml:space="preserve">Dra. Constanza Damm Araneda</t>
        </is>
      </c>
      <c r="V91"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91" s="5" t="str">
        <f>HYPERLINK("https://www.mercadopublico.cl/Procurement/Modules/Attachment/ViewAttachment.aspx?enc=uiKwjvx%2fKh%2fRtFJXKWFUMZ8a0qkPVdl8ktxbSsZEqnQZ2v13WDVY08yxvnkDW9oSNkJjS%2b0ohGODCIiWfIcEW9tB4CJkLVirrbuac5RbCIrfiljIKkeeH75M8vWqKZ5ZCCWA%2fmcnV3epsXh7XLQhbXha7L%2fZ1KgqwCw6g4vZ1vJvhTj9kF2bjkA0flysoPYPXsTxvbRSVnD3Gp%2bxjS28MkPRzwPeCwFnOCX0%2fW45%2bkCduNWWXtic084%2bLIEOtYJfhyzT7ewQZBliXlL2SQhsgamkD4SSdcouA4I6dD%2flYY1uVDwxv9JdvHPCyafbY4Ma","descargar bases")</f>
      </c>
    </row>
    <row r="92">
      <c r="A92" s="0" t="inlineStr">
        <is>
          <t xml:space="preserve">621923-6-LP26</t>
        </is>
      </c>
      <c r="B92" s="4" t="inlineStr">
        <is>
          <t xml:space="preserve">Adquisición de licencias de software</t>
        </is>
      </c>
      <c r="C92" s="0" t="inlineStr">
        <is>
          <t xml:space="preserve">Publicada</t>
        </is>
      </c>
      <c r="D92" s="0" t="inlineStr">
        <is>
          <t xml:space="preserve">DIVISION LOGISTICA DEL EJERCITO</t>
        </is>
      </c>
      <c r="E92" s="0" t="inlineStr">
        <is>
          <t xml:space="preserve">Regimiento de Inteligencia del Ejército N2 Llaitún</t>
        </is>
      </c>
      <c r="F92" s="0" t="inlineStr">
        <is>
          <t xml:space="preserve">Región Metropolitana de Santiago</t>
        </is>
      </c>
      <c r="G92" s="0" t="inlineStr">
        <is>
          <t xml:space="preserve">Peñalolén</t>
        </is>
      </c>
      <c r="H92" s="2">
        <v>46314.691424</v>
      </c>
      <c r="I92" s="2">
        <v>46336.791667</v>
      </c>
      <c r="J92" s="0">
        <v>10</v>
      </c>
      <c r="K92" s="3"/>
      <c r="L92" s="0" t="inlineStr">
        <is>
          <t xml:space="preserve">CLP</t>
        </is>
      </c>
      <c r="M92" s="0" t="inlineStr">
        <is>
          <t xml:space="preserve">LP</t>
        </is>
      </c>
      <c r="N92" s="4" t="inlineStr">
        <is>
          <t xml:space="preserve">Tecnologías de la información, telecomunicaciones y radiodifusión / Software / Software de gestión</t>
        </is>
      </c>
      <c r="O92" s="4" t="inlineStr">
        <is>
          <t xml:space="preserve">6 Unidad · Paquetes de software para oficinas · 1 Unidad · Software de gestión de licencias · 1 Unidad · Software de gestión de licencias · y 3 más</t>
        </is>
      </c>
      <c r="P92" s="2"/>
      <c r="Q92" s="2"/>
      <c r="R92" s="0"/>
      <c r="S92" s="0" t="inlineStr">
        <is>
          <t xml:space="preserve">No</t>
        </is>
      </c>
      <c r="T92" s="4"/>
      <c r="U92" s="0" t="inlineStr">
        <is>
          <t xml:space="preserve">LEONARDO GALLARDO SOTO</t>
        </is>
      </c>
      <c r="V92" s="4" t="inlineStr">
        <is>
          <t xml:space="preserve">Licitación pública para la adquisición, por líneas de compra, de licencias de software para el Regimiento de Inteligencia N.º 2 “Llaitún.</t>
        </is>
      </c>
      <c r="W92" s="5" t="str">
        <f>HYPERLINK("https://www.mercadopublico.cl/Procurement/Modules/Attachment/ViewAttachment.aspx?enc=aH0xANQLeXRsIizOoFYNH87o%2fN8mcpB0gXVpEWLSOsUyKAsoart1hNdwJ8WrvxKbJCbMy145euVSIGHmxYQBSTOkgTGwFkUviFYCAoGvNS006esZhIIdfEJ6GBPrmI6aRN%2fS%2fD66TWch1V1KV53VdQKxrtJT1w5f6Xq%2bPrcsClQzfele%2fAECeIwehAVevnHFhe2EgyzbTGgcbbXC%2ftBojnMRY0%2fwXArS0sbH%2bc81a%2fgfzbRUa%2ftTXl5uht36RV3z2SC4zd%2bLc3ntL9CLieuo3z57LVHCACydK1kft7kJ0BXbojyNR4NEFIDX0W3TwS%2bI","descargar bases")</f>
      </c>
    </row>
    <row r="93">
      <c r="A93" s="0" t="inlineStr">
        <is>
          <t xml:space="preserve">652-61-LP26</t>
        </is>
      </c>
      <c r="B93" s="4" t="inlineStr">
        <is>
          <t xml:space="preserve">ARRIENDO SERVIDOR INFORMATICO PARA PROGRAMA SISSA.</t>
        </is>
      </c>
      <c r="C93" s="0" t="inlineStr">
        <is>
          <t xml:space="preserve">Publicada</t>
        </is>
      </c>
      <c r="D93" s="0" t="inlineStr">
        <is>
          <t xml:space="preserve">SERVICIO DE SALUD ARAUCO</t>
        </is>
      </c>
      <c r="E93" s="0" t="inlineStr">
        <is>
          <t xml:space="preserve">SERVICIO DE SALUD ARAUCO</t>
        </is>
      </c>
      <c r="F93" s="0" t="inlineStr">
        <is>
          <t xml:space="preserve">Región del Biobío </t>
        </is>
      </c>
      <c r="G93" s="0" t="inlineStr">
        <is>
          <t xml:space="preserve">Lebu</t>
        </is>
      </c>
      <c r="H93" s="2">
        <v>46310.877778</v>
      </c>
      <c r="I93" s="2">
        <v>46337.625</v>
      </c>
      <c r="J93" s="0">
        <v>11</v>
      </c>
      <c r="K93" s="3"/>
      <c r="L93" s="0" t="inlineStr">
        <is>
          <t xml:space="preserve">CLP</t>
        </is>
      </c>
      <c r="M93" s="0" t="inlineStr">
        <is>
          <t xml:space="preserve">LP</t>
        </is>
      </c>
      <c r="N93" s="4" t="inlineStr">
        <is>
          <t xml:space="preserve">Tecnologías de la información, telecomunicaciones y radiodifusión / Equipos informáticos y accesorios / Computadores</t>
        </is>
      </c>
      <c r="O93" s="4" t="inlineStr">
        <is>
          <t xml:space="preserve">1 Unidad · Servidores</t>
        </is>
      </c>
      <c r="P93" s="2"/>
      <c r="Q93" s="2"/>
      <c r="R93" s="0"/>
      <c r="S93" s="0" t="inlineStr">
        <is>
          <t xml:space="preserve">No</t>
        </is>
      </c>
      <c r="T93" s="4"/>
      <c r="U93" s="0" t="inlineStr">
        <is>
          <t xml:space="preserve">Jefe Depto. TIC del Servicio de Salud Arauco</t>
        </is>
      </c>
      <c r="V93"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93" s="5" t="str">
        <f>HYPERLINK("https://www.mercadopublico.cl/Procurement/Modules/Attachment/ViewAttachment.aspx?enc=tJrJ3Eoo6RqrZafqoev%2bVdG%2bTvs3xVGdmT%2fO%2fhoxDV4i07VRp17NGxWso5Ut0j54zQmkjb3amIVkAZen6E%2f5AC0IpdEon2IhL1kEXMMI2dCYp8YRo0AEbufwcSBMBSvR1iYQ0MDPDyyQU9IeOBc1SiNkHDfgXKdqDFx%2fbuYnijr0Rhn5vQnn%2fpsHCok7%2bjYxkjc%2fmQtjUrNwvBjbn5QIZCcd2MLsTzyE9YybbdajAf0Ea4MmjkNGANglgnE0cNGhs4gA%2bwt5Fvmm5LHo5v%2b5D9TIT9%2fyF0ZYi2UujwHOGzPDpykxoLt4hyRIMVq1RJmH","descargar bases")</f>
      </c>
    </row>
    <row r="94">
      <c r="A94" s="0" t="inlineStr">
        <is>
          <t xml:space="preserve">885-98-LP26</t>
        </is>
      </c>
      <c r="B94" s="4" t="inlineStr">
        <is>
          <t xml:space="preserve">Adquisición de servidores destinados a la actualización de plataforma de búsqueda e indexación para la Contraloría General de la República</t>
        </is>
      </c>
      <c r="C94" s="0" t="inlineStr">
        <is>
          <t xml:space="preserve">Publicada</t>
        </is>
      </c>
      <c r="D94" s="0" t="inlineStr">
        <is>
          <t xml:space="preserve">CONTRALORIA GENERAL DE LA REPUBLICA</t>
        </is>
      </c>
      <c r="E94" s="0" t="inlineStr">
        <is>
          <t xml:space="preserve">Contraloría General de la República</t>
        </is>
      </c>
      <c r="F94" s="0" t="inlineStr">
        <is>
          <t xml:space="preserve">Región Metropolitana de Santiago</t>
        </is>
      </c>
      <c r="G94" s="0"/>
      <c r="H94" s="2">
        <v>46317.692153</v>
      </c>
      <c r="I94" s="2">
        <v>46337.666667</v>
      </c>
      <c r="J94" s="0">
        <v>11</v>
      </c>
      <c r="K94" s="3">
        <v>220000000.0</v>
      </c>
      <c r="L94" s="0" t="inlineStr">
        <is>
          <t xml:space="preserve">CLP</t>
        </is>
      </c>
      <c r="M94" s="0" t="inlineStr">
        <is>
          <t xml:space="preserve">LP</t>
        </is>
      </c>
      <c r="N94" s="4" t="inlineStr">
        <is>
          <t xml:space="preserve">Tecnologías de la información, telecomunicaciones y radiodifusión / Equipos informáticos y accesorios / Computadores</t>
        </is>
      </c>
      <c r="O94" s="4" t="inlineStr">
        <is>
          <t xml:space="preserve">1 Global · Servidores</t>
        </is>
      </c>
      <c r="P94" s="2"/>
      <c r="Q94" s="2"/>
      <c r="R94" s="0" t="inlineStr">
        <is>
          <t xml:space="preserve">36 meses</t>
        </is>
      </c>
      <c r="S94" s="0" t="inlineStr">
        <is>
          <t xml:space="preserve">No</t>
        </is>
      </c>
      <c r="T94" s="4"/>
      <c r="U94" s="0" t="inlineStr">
        <is>
          <t xml:space="preserve">Tania Cornejo Abarca</t>
        </is>
      </c>
      <c r="V94" s="4" t="inlineStr">
        <is>
          <t xml:space="preserve">La Contraloría General de la República requiere renovar su plataforma de búsqueda e indexación, disponiendo de una infraestructura física moderna,
escalable y de alta disponibilidad que permita soportar el crecimiento sostenido del volumen documental y los requerimientos actuales y futuros
de procesamiento y consulta de información.</t>
        </is>
      </c>
      <c r="W94" s="5" t="str">
        <f>HYPERLINK("https://www.mercadopublico.cl/Procurement/Modules/Attachment/ViewAttachment.aspx?enc=TOVS17xOPMdbbtuvecD1v6hTNYgycPrYxIOMkZw4RkaEKE5J7%2bRBQseoHHZTCqwtRuhe6L4e9PnysAHcV3Jcbx2LyzZbe286CxZOvEya8u0HVtLFhBuuaU9Wv1oJzcp8ksKBr%2fXpAHzmaTvyTCjygsghmKZm3Oy4wcOazQ%2bxKWPgKxVO7YoAOGwVfaLQMNpc7yU7apRic1d4hraWuiIJ1kMO6MH4WNGvHrDaSmhyCtZB1N5joqoCJtBMpB7d43z967dIZ%2bge3DvybqM6hdb6tOnf0%2bthphPJbj8ejVNimMLWPS22oxgIlu6q0bwipHVz","descargar bases")</f>
      </c>
    </row>
    <row r="95">
      <c r="A95" s="0" t="inlineStr">
        <is>
          <t xml:space="preserve">1422051-31-LE26</t>
        </is>
      </c>
      <c r="B95" s="4" t="inlineStr">
        <is>
          <t xml:space="preserve">Contratación Servicio Plataforma de Gestión RRHH</t>
        </is>
      </c>
      <c r="C95" s="0" t="inlineStr">
        <is>
          <t xml:space="preserve">Publicada</t>
        </is>
      </c>
      <c r="D95" s="0" t="inlineStr">
        <is>
          <t xml:space="preserve">JUNTA DE ALCALDES PROVIDENCIA LAS CONDES LA REINA</t>
        </is>
      </c>
      <c r="E95" s="0" t="inlineStr">
        <is>
          <t xml:space="preserve">JUNTA DE ALCALDES PROVIDENCIA LAS CONDES LA REINA</t>
        </is>
      </c>
      <c r="F95" s="0" t="inlineStr">
        <is>
          <t xml:space="preserve">Región Metropolitana de Santiago</t>
        </is>
      </c>
      <c r="G95" s="0"/>
      <c r="H95" s="2">
        <v>46318.614398</v>
      </c>
      <c r="I95" s="2">
        <v>46337.708333</v>
      </c>
      <c r="J95" s="0">
        <v>11</v>
      </c>
      <c r="K95" s="3">
        <v>30500000.0</v>
      </c>
      <c r="L95" s="0" t="inlineStr">
        <is>
          <t xml:space="preserve">CLP</t>
        </is>
      </c>
      <c r="M95" s="0" t="inlineStr">
        <is>
          <t xml:space="preserve">LE</t>
        </is>
      </c>
      <c r="N95" s="4" t="inlineStr">
        <is>
          <t xml:space="preserve">Tecnologías de la información, telecomunicaciones y radiodifusión / Software / Software de gestión</t>
        </is>
      </c>
      <c r="O95" s="4" t="inlineStr">
        <is>
          <t xml:space="preserve">1 Unidad · Software de gestión de recursos humanos</t>
        </is>
      </c>
      <c r="P95" s="2"/>
      <c r="Q95" s="2"/>
      <c r="R95" s="0" t="inlineStr">
        <is>
          <t xml:space="preserve">24 horas</t>
        </is>
      </c>
      <c r="S95" s="0" t="inlineStr">
        <is>
          <t xml:space="preserve">No</t>
        </is>
      </c>
      <c r="T95" s="4" t="inlineStr">
        <is>
          <t xml:space="preserve">Revisar numeral 2.2</t>
        </is>
      </c>
      <c r="U95" s="0" t="inlineStr">
        <is>
          <t xml:space="preserve">Hector Fuentealba Riquelme</t>
        </is>
      </c>
      <c r="V95" s="4" t="inlineStr">
        <is>
          <t xml:space="preserve">El servicio para contratar corresponde a una plataforma integral de gestión de personas en modalidad
de servicio (software como servicio, alojado en infraestructura del proveedor), que comprende la
implementación, migración de datos, capacitación, soporte y operación continua de los módulos y
funcionalidades descritos en las Especificaciones Técnicas de las presentes Bases, para una dotación
aproximada de 260 trabajadores y 10 prestadores de servicios.</t>
        </is>
      </c>
      <c r="W95" s="5" t="str">
        <f>HYPERLINK("https://www.mercadopublico.cl/Procurement/Modules/Attachment/ViewAttachment.aspx?enc=CXdy3Sk0Uosh%2bpTQU6o7LuKlXwcE%2fN%2bWK6lAxhKNQConlXMrjZiz6w9boy9T26%2fuDaqwyv2E8uTza7IhmhTroQi6B8UPbLcB2N377zZzmBT90F9EuL8U%2fW9SzToDtfHxkwFWxcl7mGTlLRoacBejizajrB8gOxVVBnEmojzU1pWVH%2bXZfPyCebE79z%2b55egBWMuRmDczZ9e%2bWCK43Pwdr%2bb%2fizcv6DdNY3eVHdsN0nGiLE59Zq98zzh%2fKmNBJ8WmkGpLkyFkww%2fw2sH3pWCnqJiZZlZTTSqORsBYzDm1%2bvtD0GdDxVtwGep6USgzq8mb","descargar bases")</f>
      </c>
    </row>
    <row r="96">
      <c r="A96" s="0" t="inlineStr">
        <is>
          <t xml:space="preserve">2770-166-LE26</t>
        </is>
      </c>
      <c r="B96" s="4" t="inlineStr">
        <is>
          <t xml:space="preserve">ADQUISICIÓN DE EQUIPOS DE RESPALDO ENERGÉTICO DIGITALIZACIÓN Y CONECTIVIDAD</t>
        </is>
      </c>
      <c r="C96" s="0" t="inlineStr">
        <is>
          <t xml:space="preserve">Publicada</t>
        </is>
      </c>
      <c r="D96" s="0" t="inlineStr">
        <is>
          <t xml:space="preserve">I MUNICIPALIDAD DE MAIPU</t>
        </is>
      </c>
      <c r="E96" s="0" t="inlineStr">
        <is>
          <t xml:space="preserve">I MUNICIPALIDAD DE MAIPU</t>
        </is>
      </c>
      <c r="F96" s="0" t="inlineStr">
        <is>
          <t xml:space="preserve">Región Metropolitana de Santiago</t>
        </is>
      </c>
      <c r="G96" s="0" t="inlineStr">
        <is>
          <t xml:space="preserve">Maipú</t>
        </is>
      </c>
      <c r="H96" s="2">
        <v>46325.529687</v>
      </c>
      <c r="I96" s="2">
        <v>46338.625</v>
      </c>
      <c r="J96" s="0">
        <v>12</v>
      </c>
      <c r="K96" s="3">
        <v>47000000.0</v>
      </c>
      <c r="L96" s="0" t="inlineStr">
        <is>
          <t xml:space="preserve">CLP</t>
        </is>
      </c>
      <c r="M96" s="0" t="inlineStr">
        <is>
          <t xml:space="preserve">LE</t>
        </is>
      </c>
      <c r="N96" s="4" t="inlineStr">
        <is>
          <t xml:space="preserve">Artículos eléctricos y de iluminación / Equipamiento y artículos eléctricos / Equipamiento para distribución y transformación eléctrica, Equipos y suministros de defensa, orden público, protección y seguridad / Seguridad, vigilancia y detección / Cerraduras, elementos de seguridad y accesorios,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plataformas y accesorios de redes multimedia, voz y datos / Componentes y equipos de infraestructura de redes móviles y digitales</t>
        </is>
      </c>
      <c r="O96" s="4" t="inlineStr">
        <is>
          <t xml:space="preserve">1 Global · Impresoras de cinta térmica · 1 Global · Escáner · 1 Global · Fuentes de alimentación continua · y 3 más</t>
        </is>
      </c>
      <c r="P96" s="2"/>
      <c r="Q96" s="2"/>
      <c r="R96" s="0"/>
      <c r="S96" s="0" t="inlineStr">
        <is>
          <t xml:space="preserve">No</t>
        </is>
      </c>
      <c r="T96" s="4"/>
      <c r="U96" s="0" t="inlineStr">
        <is>
          <t xml:space="preserve">Patricia Castillo Navarrete</t>
        </is>
      </c>
      <c r="V96" s="4" t="inlineStr">
        <is>
          <t xml:space="preserve">La presente licitación tiene por finalidad contratar la adquisición de equipamiento tecnológico que permita fortalecer la infraestructura informática y de telecomunicaciones de la Red de Salud Municipal, asegurando la compatibilidad con la plataforma tecnológica actualmente instalada y contribuyendo a mejorar la continuidad operativa, la digitalización de procesos, la conectividad y la seguridad de las dependencias municipales.
Todo lo anterior en virtud de lo dispuesto en las presentes Bases Administrativas, las Bases Técnicas y todos sus anexos.</t>
        </is>
      </c>
      <c r="W96" s="5" t="str">
        <f>HYPERLINK("https://www.mercadopublico.cl/Procurement/Modules/Attachment/ViewAttachment.aspx?enc=J4vHD%2fJjtIevsWhoEe4kalVWSu%2fxHe8SyjeveihIkYLOzgEHFSg9hRo0f7Oemm3CsmFZRXItsW03QaGtF6f5BbRotK%2fQZwihf74uzFxyhcpIc%2blLOy0ywLxhm%2fith0bo68RbfQAnu4Aou3d63CtY1INH3HIZbPHR8hcq0t1amdMiREjv0gvYAxAhUB7xRScN9btV7N2kwtoO8%2bwlefTV676tY0DiLnQMQggyRcirxTzvfEoVxc8lFaSRfLa8vaMMNKXxCcV13M5zR9sOmsGrvCVTYTf00n%2bwLHQhfibepLm9n26U7BJ1O469N1YwTd%2bT","descargar bases")</f>
      </c>
    </row>
    <row r="97">
      <c r="A97" s="0" t="inlineStr">
        <is>
          <t xml:space="preserve">1867-54-LE26</t>
        </is>
      </c>
      <c r="B97" s="4" t="inlineStr">
        <is>
          <t xml:space="preserve">Servicio de Administración y Soporte Base de Datos</t>
        </is>
      </c>
      <c r="C97" s="0" t="inlineStr">
        <is>
          <t xml:space="preserve">Publicada</t>
        </is>
      </c>
      <c r="D97" s="0" t="inlineStr">
        <is>
          <t xml:space="preserve">DIRECCION GENERAL DE MOVILIZACIONN NACIONAL</t>
        </is>
      </c>
      <c r="E97" s="0" t="inlineStr">
        <is>
          <t xml:space="preserve">DIRECCION GENERAL DE MOVILIZACIONN NACIONAL</t>
        </is>
      </c>
      <c r="F97" s="0" t="inlineStr">
        <is>
          <t xml:space="preserve">Región Metropolitana de Santiago</t>
        </is>
      </c>
      <c r="G97" s="0" t="inlineStr">
        <is>
          <t xml:space="preserve">Santiago Centro</t>
        </is>
      </c>
      <c r="H97" s="2">
        <v>46325.512928</v>
      </c>
      <c r="I97" s="2">
        <v>46338.729167</v>
      </c>
      <c r="J97" s="0">
        <v>12</v>
      </c>
      <c r="K97" s="3"/>
      <c r="L97" s="0" t="inlineStr">
        <is>
          <t xml:space="preserve">CLP</t>
        </is>
      </c>
      <c r="M97" s="0" t="inlineStr">
        <is>
          <t xml:space="preserve">LE</t>
        </is>
      </c>
      <c r="N97" s="4" t="inlineStr">
        <is>
          <t xml:space="preserve">Servicios basados en ingeniería, ciencias sociales y tecnología de la información / Servicios informáticos / Administración de sistemas</t>
        </is>
      </c>
      <c r="O97" s="4" t="inlineStr">
        <is>
          <t xml:space="preserve">1 Unidad · Mantenimiento y soporte de hardware</t>
        </is>
      </c>
      <c r="P97" s="2"/>
      <c r="Q97" s="2"/>
      <c r="R97" s="0" t="inlineStr">
        <is>
          <t xml:space="preserve">12 meses</t>
        </is>
      </c>
      <c r="S97" s="0" t="inlineStr">
        <is>
          <t xml:space="preserve">No</t>
        </is>
      </c>
      <c r="T97" s="4"/>
      <c r="U97" s="0" t="inlineStr">
        <is>
          <t xml:space="preserve">Director General de Movilización Nacional.</t>
        </is>
      </c>
      <c r="V97" s="4" t="inlineStr">
        <is>
          <t xml:space="preserve">Contratación de Servicio de Administración y Soporte Base de Datos Informix para uso de la DGMN.</t>
        </is>
      </c>
      <c r="W97" s="5" t="str">
        <f>HYPERLINK("https://www.mercadopublico.cl/Procurement/Modules/Attachment/ViewAttachment.aspx?enc=woZ0LMDruFZIzNZwrm%2fHXtWuObUjD6REnaSohAAIUjCHzA1ZjGyBsE%2bwk%2frYPOU0WDh0sOSWjvnU%2f%2fy%2f8DqzVo83E64FXgM0x882wCsqP1jEXVSalTRqmDNqLgDOH9EiAGxtJBynX8dIXLyCLpRgubE5eyXKXMzGsdGFCTUMGmgjN%2fdCfMo4qZr1ZTo07krhUa1p%2bqhMXoobB31D%2blUGUPkzvKFA9SCLP71%2fUE8R%2bSeIRdqAO9elPsh2Ov132MKr6pJXyFWtydKf02GfWMFsquBwgwFtyFPK2GUp4y6Q%2bu5LO%2bqxpzrYbcGOWIBihD%2ft","descargar bases")</f>
      </c>
    </row>
    <row r="98">
      <c r="A98" s="0" t="inlineStr">
        <is>
          <t xml:space="preserve">976-18-O126</t>
        </is>
      </c>
      <c r="B98" s="4" t="inlineStr">
        <is>
          <t xml:space="preserve">ATIF Ampliación Plataformas Comercial y General Ad. El Loa</t>
        </is>
      </c>
      <c r="C98" s="0" t="inlineStr">
        <is>
          <t xml:space="preserve">Publicada</t>
        </is>
      </c>
      <c r="D98" s="0" t="inlineStr">
        <is>
          <t xml:space="preserve">MINISTERIO DE OBRAS PUBLICAS DIREC CION GRAL DE OO PP DCYF</t>
        </is>
      </c>
      <c r="E98" s="0" t="inlineStr">
        <is>
          <t xml:space="preserve">Dirección de Aeropuertos - MOPTT</t>
        </is>
      </c>
      <c r="F98" s="0" t="inlineStr">
        <is>
          <t xml:space="preserve">Región de Antofagasta </t>
        </is>
      </c>
      <c r="G98" s="0" t="inlineStr">
        <is>
          <t xml:space="preserve">Santiago</t>
        </is>
      </c>
      <c r="H98" s="2">
        <v>46290.38125</v>
      </c>
      <c r="I98" s="2">
        <v>46339.458333</v>
      </c>
      <c r="J98" s="0">
        <v>13</v>
      </c>
      <c r="K98" s="3"/>
      <c r="L98" s="0" t="inlineStr">
        <is>
          <t xml:space="preserve">CLP</t>
        </is>
      </c>
      <c r="M98" s="0" t="inlineStr">
        <is>
          <t xml:space="preserve">O1</t>
        </is>
      </c>
      <c r="N98" s="4" t="inlineStr">
        <is>
          <t xml:space="preserve">Consultoria / Consultoria / Planificación y Factibilidad</t>
        </is>
      </c>
      <c r="O98" s="4" t="inlineStr">
        <is>
          <t xml:space="preserve">1 Unidad · Licitación Pública de Consultoria</t>
        </is>
      </c>
      <c r="P98" s="2"/>
      <c r="Q98" s="2"/>
      <c r="R98" s="0"/>
      <c r="S98" s="0" t="inlineStr">
        <is>
          <t xml:space="preserve">No</t>
        </is>
      </c>
      <c r="T98" s="4"/>
      <c r="U98" s="0"/>
      <c r="V98" s="4" t="inlineStr">
        <is>
          <t xml:space="preserve">ESTA DIRECCIÓN NECESITA CONTRATAR ASESORÍA TECNICA DE INSPECCIÓN FISCAL PARA EL CONTRATO DE OBRA AMPLICACION PLATAFORMAS COMERCIAL Y GENERAL AERÓDROMO EL LOA</t>
        </is>
      </c>
      <c r="W98" s="5" t="str">
        <f>HYPERLINK("https://www.mercadopublico.cl/Procurement/Modules/Attachment/ViewAttachment.aspx?enc=pon4D7M4t2gWnzQ9YXsiPYJBykmV73PffO2Gz5TI7G53nR%2fU7sIGFbPqPFEre%2fikR6lEHOFBDTIR%2fNVQtZWBdyjE2LM7i4Wn1jis7ZvaedV%2fHVqfoyEAsUbRZOkKEGxwwR0oob5hnp7qH2fQnZUZNg%2bw0blvNGNHum2X3RXMju954MDW9L45iKOI00tyqov%2bH67fhlHdrjo9b3n1hiwuD1bQUSGu6f0SnyLCAZi64xvbXZeAMd5PuTEA23f4B8UVQcubX74CNGCcNpHiBoRSgw1xyOm%2fhjIVRHU1KS%2btPR%2bbmNdiV2EdDBYPZf2QzOfg","descargar bases")</f>
      </c>
    </row>
    <row r="99">
      <c r="A99" s="0" t="inlineStr">
        <is>
          <t xml:space="preserve">5240-109-LR26</t>
        </is>
      </c>
      <c r="B99" s="4" t="inlineStr">
        <is>
          <t xml:space="preserve">SOFTWARE USO FORENSE DE EXTRACC. Y ANALIS DE DATOS</t>
        </is>
      </c>
      <c r="C99" s="0" t="inlineStr">
        <is>
          <t xml:space="preserve">Publicada</t>
        </is>
      </c>
      <c r="D99" s="0" t="inlineStr">
        <is>
          <t xml:space="preserve">DIRECCION DE LOGISTICA DE CARABINEROS</t>
        </is>
      </c>
      <c r="E99" s="0" t="inlineStr">
        <is>
          <t xml:space="preserve">Direccion de Compras Publicas de Carabineros</t>
        </is>
      </c>
      <c r="F99" s="0" t="inlineStr">
        <is>
          <t xml:space="preserve">Región Metropolitana de Santiago</t>
        </is>
      </c>
      <c r="G99" s="0" t="inlineStr">
        <is>
          <t xml:space="preserve">Santiago Centro</t>
        </is>
      </c>
      <c r="H99" s="2">
        <v>46308.369236</v>
      </c>
      <c r="I99" s="2">
        <v>46339.645833</v>
      </c>
      <c r="J99" s="0">
        <v>13</v>
      </c>
      <c r="K99" s="3">
        <v>418036746.0</v>
      </c>
      <c r="L99" s="0" t="inlineStr">
        <is>
          <t xml:space="preserve">CLP</t>
        </is>
      </c>
      <c r="M99" s="0" t="inlineStr">
        <is>
          <t xml:space="preserve">LR</t>
        </is>
      </c>
      <c r="N99" s="4" t="inlineStr">
        <is>
          <t xml:space="preserve">Tecnologías de la información, telecomunicaciones y radiodifusión / Software / Software de consultas y gestión de datos</t>
        </is>
      </c>
      <c r="O99" s="4" t="inlineStr">
        <is>
          <t xml:space="preserve">2 Unidad · Software de extracción de datos · 1 Unidad · Software de extracción de datos · 3 Unidad · Software de extracción de datos · y 6 más</t>
        </is>
      </c>
      <c r="P99" s="2"/>
      <c r="Q99" s="2"/>
      <c r="R99" s="0"/>
      <c r="S99" s="0" t="inlineStr">
        <is>
          <t xml:space="preserve">No</t>
        </is>
      </c>
      <c r="T99" s="4" t="inlineStr">
        <is>
          <t xml:space="preserve">EL PROVEEDOR ADJUDICADO NO PODRA SUBCONTRATAR, CONFORME A LO SEÑALADO EN EL NUMERAL 5.21 CESIBILIDAD DEL CONTRATO Y SUBCONTRATACION DE LAS BASES ADMINISTRATIVAS ADJUNTAS.</t>
        </is>
      </c>
      <c r="U99" s="0" t="inlineStr">
        <is>
          <t xml:space="preserve">Departamento gestion de contratos</t>
        </is>
      </c>
      <c r="V99" s="4" t="inlineStr">
        <is>
          <t xml:space="preserve">MATERIALIZAR LA ADQUISICION DE SOFTWARE DE USO FORENSE DE EXTRACCION AVANZADO Y ANALISIS DE INFORMACION DIGITAL PARA EL DEPARTAMENTO CRIMINALISTICA DE CARABINEROS DE CHILE LABOCAR Y SECCIONES REGIONALES.</t>
        </is>
      </c>
      <c r="W99" s="5" t="str">
        <f>HYPERLINK("https://www.mercadopublico.cl/Procurement/Modules/Attachment/ViewAttachment.aspx?enc=v9cNeHPXnpmMU2eTBMTMYO4Kmzx70Szj%2fr3hllznRweYldAo%2fHvoFcm7ZUYRxx5ZD2qW7i6GOoW7Jz2vGVqcoU%2fRILfHcVlq1lyF8S%2bNvlK6HG2mVYVt2UF8m0e5SaXPNR01ywZgsf95u%2fWp%2frIkdkuRZkpNaizwqWKhaAk79oue6d4yKJ8RbCcGHq80%2ftnLX7k4LQM8ZQ8coHa7fxZT54qBD88iE99mGg0WZH6SD%2brvqYjA6ITAFPw92qAftmxWvR7%2but%2fv88amZsoqeggnkFLB6quoUCzerZSsk0G1A4k4CeiWZmt1hGDvWakT6XTv","descargar bases")</f>
      </c>
    </row>
    <row r="100">
      <c r="A100" s="0" t="inlineStr">
        <is>
          <t xml:space="preserve">2048-86-LP26</t>
        </is>
      </c>
      <c r="B100" s="4" t="inlineStr">
        <is>
          <t xml:space="preserve">Software de Gestión de Mantenimiento</t>
        </is>
      </c>
      <c r="C100" s="0" t="inlineStr">
        <is>
          <t xml:space="preserve">Publicada</t>
        </is>
      </c>
      <c r="D100" s="0" t="inlineStr">
        <is>
          <t xml:space="preserve">SERVICIO DE SALUD CHILOE</t>
        </is>
      </c>
      <c r="E100" s="0" t="inlineStr">
        <is>
          <t xml:space="preserve">Hospital de Ancud</t>
        </is>
      </c>
      <c r="F100" s="0" t="inlineStr">
        <is>
          <t xml:space="preserve">Región de los Lagos </t>
        </is>
      </c>
      <c r="G100" s="0"/>
      <c r="H100" s="2">
        <v>46321.641319</v>
      </c>
      <c r="I100" s="2">
        <v>46342.625694</v>
      </c>
      <c r="J100" s="0">
        <v>16</v>
      </c>
      <c r="K100" s="3"/>
      <c r="L100" s="0" t="inlineStr">
        <is>
          <t xml:space="preserve">CLP</t>
        </is>
      </c>
      <c r="M100" s="0" t="inlineStr">
        <is>
          <t xml:space="preserve">LP</t>
        </is>
      </c>
      <c r="N100" s="4" t="inlineStr">
        <is>
          <t xml:space="preserve">Tecnologías de la información, telecomunicaciones y radiodifusión / Software / Software de administración de redes</t>
        </is>
      </c>
      <c r="O100" s="4" t="inlineStr">
        <is>
          <t xml:space="preserve">1 Unidad no definida · Software de administración</t>
        </is>
      </c>
      <c r="P100" s="2"/>
      <c r="Q100" s="2"/>
      <c r="R100" s="0" t="inlineStr">
        <is>
          <t xml:space="preserve">60 meses</t>
        </is>
      </c>
      <c r="S100" s="0" t="inlineStr">
        <is>
          <t xml:space="preserve">No</t>
        </is>
      </c>
      <c r="T100" s="4" t="inlineStr">
        <is>
          <t xml:space="preserve">El adjudicatario no podrá ceder ni transferir en forma alguna, total ni parcialmente los derechos y obligaciones que nacen del desarrollo de la licitación. No se permite subcontratación</t>
        </is>
      </c>
      <c r="U100" s="0" t="inlineStr">
        <is>
          <t xml:space="preserve">Gissela Arriagada Vilches</t>
        </is>
      </c>
      <c r="V100" s="4" t="inlineStr">
        <is>
          <t xml:space="preserve">Las presentes bases tienen por objeto la contratación de un convenio por un periodo de 60 meses de 01 Software de Gestión de Mantenimiento para el Nuevo Hospital de Ancud, perteneciente a la red del Servicio de Salud Chiloé.
La mencionada adquisición tiene como objetivo principal adquirir un software que permita la gestión integral, centralizada y homogénea de las operaciones de mantenimiento general del Hospital de Ancud. Este sistema deberá facilitar la administración de activos, infraestructura y servicios, incluyendo mantenimiento preventivo y correctivo, obras, entre otros.</t>
        </is>
      </c>
      <c r="W100" s="5" t="str">
        <f>HYPERLINK("https://www.mercadopublico.cl/Procurement/Modules/Attachment/ViewAttachment.aspx?enc=UdDovN9aDw9MUbVAGb3ONmao1c8XjMxn3905pON1TaDMM0h8zfGDtWhJ6uLRjwYr1ifxA8wXovdchlaVyvAMlX6nGSHkqVWe25VVd8KqtYJkmnqwzVJ0sWrkXPHxkcpziw1ZUeph%2bLabjn1PY6bP%2bxuXJp1ai%2bjZBuPPcXChCsxdCaIq%2b6xUbb56SubgGEWJ9YWTl1YES%2fHhECKxrJ9r32Urz1uxxn9Joh1C0hSdERGTiIYaIUc%2b%2fkXUqK%2bD15wy8UeCy6hOR03WTbwM3necln5t5B7u1U9wVcN5I%2bVeLaUG2tnw1HDyLpkl%2f%2f6cqSXU","descargar bases")</f>
      </c>
    </row>
    <row r="101">
      <c r="A101" s="0" t="inlineStr">
        <is>
          <t xml:space="preserve">2342-36-LR26</t>
        </is>
      </c>
      <c r="B101" s="4" t="inlineStr">
        <is>
          <t xml:space="preserve">CONCESIÓN DE ESTACIONAMIENTOS EN CALLES DE LA ZONA CENTRO DE LA COMUNA DE SAN BERNARDO APLICANDO SISTEMA DE CONTROL DE TIEMPO DE USO CAPTADORES DE DATOS</t>
        </is>
      </c>
      <c r="C101" s="0" t="inlineStr">
        <is>
          <t xml:space="preserve">Publicada</t>
        </is>
      </c>
      <c r="D101" s="0" t="inlineStr">
        <is>
          <t xml:space="preserve">I MUNICIPALIDAD DE SAN BERNARDO</t>
        </is>
      </c>
      <c r="E101" s="0" t="inlineStr">
        <is>
          <t xml:space="preserve">SECRETARIA COMUNAL DE PLANIFICACION</t>
        </is>
      </c>
      <c r="F101" s="0" t="inlineStr">
        <is>
          <t xml:space="preserve">Región Metropolitana de Santiago</t>
        </is>
      </c>
      <c r="G101" s="0" t="inlineStr">
        <is>
          <t xml:space="preserve">San Bernardo</t>
        </is>
      </c>
      <c r="H101" s="2">
        <v>46289.689583</v>
      </c>
      <c r="I101" s="2">
        <v>46342.625694</v>
      </c>
      <c r="J101" s="0">
        <v>16</v>
      </c>
      <c r="K101" s="3"/>
      <c r="L101" s="0" t="inlineStr">
        <is>
          <t xml:space="preserve">UTM</t>
        </is>
      </c>
      <c r="M101" s="0" t="inlineStr">
        <is>
          <t xml:space="preserve">LR</t>
        </is>
      </c>
      <c r="N101" s="4" t="inlineStr">
        <is>
          <t xml:space="preserve">Servicios de transporte, almacenaje y correo / Servicios de mantención o reparaciones de transportes / Combustible para vehículos de transporte, estacionamiento y otros servicios de apoyo</t>
        </is>
      </c>
      <c r="O101" s="4" t="inlineStr">
        <is>
          <t xml:space="preserve">1 Unidad · Estacionamientos</t>
        </is>
      </c>
      <c r="P101" s="2"/>
      <c r="Q101" s="2"/>
      <c r="R101" s="0" t="inlineStr">
        <is>
          <t xml:space="preserve">36 meses</t>
        </is>
      </c>
      <c r="S101" s="0" t="inlineStr">
        <is>
          <t xml:space="preserve">No</t>
        </is>
      </c>
      <c r="T101" s="4"/>
      <c r="U101" s="0" t="inlineStr">
        <is>
          <t xml:space="preserve">JUAN CARLOS CABRERA CAMPOS</t>
        </is>
      </c>
      <c r="V101" s="4" t="inlineStr">
        <is>
          <t xml:space="preserve">CONCESIÓN DE ESTACIONAMIENTOS EN CALLES DE LA ZONA CENTRO DE LA COMUNA DE SAN BERNARDO, APLICANDO SISTEMA DE CONTROL DE TIEMPO DE USO CAPTADORES DE DATOS</t>
        </is>
      </c>
      <c r="W101" s="5" t="str">
        <f>HYPERLINK("https://www.mercadopublico.cl/Procurement/Modules/Attachment/ViewAttachment.aspx?enc=WNIVlNSrWpa4%2f26FxocLDhzwXyoQZ4SC481kWSbv%2fK%2fedOEp%2bz6neqC1F8W05Su4FYJ5SMslnx7i8bC9QMPSRcqvk3iFX6x1jBWdr6vENZ8yKuq1YGHaZ5RZ%2bK2%2bGxMFK701GMRMLxlHZ27qDkamFDWiZFi%2bh%2bqA2Uwh4GEveSVCWOmWcEll3bgnv10es09W7FcB2ahekxOpngTAH6yJGzvE8XjO5QkeDco1IRAGG9TO1GmQDi6NAndPWPAn3HD%2fQV21iP6MBZy51ox21i2fRnoLJrHZwqC0kIsXKaG7Xt9vjCIhLT5zbwsMYoYaii80","descargar bases")</f>
      </c>
    </row>
    <row r="102">
      <c r="A102" s="0" t="inlineStr">
        <is>
          <t xml:space="preserve">2345-137-LR26</t>
        </is>
      </c>
      <c r="B102" s="4" t="inlineStr">
        <is>
          <t xml:space="preserve">SERVICIO DE APLICACIÓN MÓVIL DE SEGURIDAD 1402 PARA LA COMUNA DE LAS CONDES</t>
        </is>
      </c>
      <c r="C102" s="0" t="inlineStr">
        <is>
          <t xml:space="preserve">Publicada</t>
        </is>
      </c>
      <c r="D102" s="0" t="inlineStr">
        <is>
          <t xml:space="preserve">I MUNICIPALIDAD DE LAS CONDES</t>
        </is>
      </c>
      <c r="E102" s="0" t="inlineStr">
        <is>
          <t xml:space="preserve">I MUNICIPALIDAD DE LAS CONDES</t>
        </is>
      </c>
      <c r="F102" s="0" t="inlineStr">
        <is>
          <t xml:space="preserve">Región Metropolitana de Santiago</t>
        </is>
      </c>
      <c r="G102" s="0" t="inlineStr">
        <is>
          <t xml:space="preserve">Las Condes</t>
        </is>
      </c>
      <c r="H102" s="2">
        <v>46311.430463</v>
      </c>
      <c r="I102" s="2">
        <v>46342.625694</v>
      </c>
      <c r="J102" s="0">
        <v>16</v>
      </c>
      <c r="K102" s="3">
        <v>504000000.0</v>
      </c>
      <c r="L102" s="0" t="inlineStr">
        <is>
          <t xml:space="preserve">CLP</t>
        </is>
      </c>
      <c r="M102" s="0" t="inlineStr">
        <is>
          <t xml:space="preserve">LR</t>
        </is>
      </c>
      <c r="N102" s="4" t="inlineStr">
        <is>
          <t xml:space="preserve">Servicios basados en ingeniería, ciencias sociales y tecnología de la información / Servicios informáticos / Servicios para internet</t>
        </is>
      </c>
      <c r="O102" s="4" t="inlineStr">
        <is>
          <t xml:space="preserve">1 Global · Web Hosting</t>
        </is>
      </c>
      <c r="P102" s="2"/>
      <c r="Q102" s="2"/>
      <c r="R102" s="0" t="inlineStr">
        <is>
          <t xml:space="preserve">48 meses</t>
        </is>
      </c>
      <c r="S102" s="0" t="inlineStr">
        <is>
          <t xml:space="preserve">No</t>
        </is>
      </c>
      <c r="T102" s="4"/>
      <c r="U102" s="0" t="inlineStr">
        <is>
          <t xml:space="preserve">Jaime Izarnotegui Lopez</t>
        </is>
      </c>
      <c r="V102"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02" s="5" t="str">
        <f>HYPERLINK("https://www.mercadopublico.cl/Procurement/Modules/Attachment/ViewAttachment.aspx?enc=e4ZOJNFs9u8bSx7G1nMPhhfNxGgDkEBN18h35tVk9AoEPe1kIN9TtkzOaoHWPU7k6GuvQjy41yzR5jCMolmsd5%2fa6GZv9QRtaNF2HdXPV92yss1nbUZ5SGtKi1YpfH2xv6TXswCg%2bf2iucjMimXDO6iVLfI%2fVpENKZ3ifuAWtYPgjfBEtHgSn0nQ0ssiKsqYzWw9EzLHnTAj5OgWA9XMcEvEkv3%2fUgJVi3vceBHND3HhB5zWTL%2fTWX8sLjKhg3AMxcKA3vhxXQ4oo2kxV%2bgn4C9J%2fXjHS8JVTsNDeFOFAdqwJEwizKXQlZecaXDUmDLg","descargar bases")</f>
      </c>
    </row>
    <row r="103">
      <c r="A103" s="0" t="inlineStr">
        <is>
          <t xml:space="preserve">869591-15-LP26</t>
        </is>
      </c>
      <c r="B103" s="4" t="inlineStr">
        <is>
          <t xml:space="preserve">CONTRATACIÓN DEL SERVICIO DE CIBERSEGURIDAD</t>
        </is>
      </c>
      <c r="C103" s="0" t="inlineStr">
        <is>
          <t xml:space="preserve">Publicada</t>
        </is>
      </c>
      <c r="D103" s="0" t="inlineStr">
        <is>
          <t xml:space="preserve">DIRECCION DE COMPRAS Y CONTRATACION PUBLICA</t>
        </is>
      </c>
      <c r="E103" s="0" t="inlineStr">
        <is>
          <t xml:space="preserve">Calidad del Gasto en las Compras Públicas</t>
        </is>
      </c>
      <c r="F103" s="0" t="inlineStr">
        <is>
          <t xml:space="preserve">Región Metropolitana de Santiago</t>
        </is>
      </c>
      <c r="G103" s="0" t="inlineStr">
        <is>
          <t xml:space="preserve">Santiago Centro</t>
        </is>
      </c>
      <c r="H103" s="2">
        <v>46321.74162</v>
      </c>
      <c r="I103" s="2">
        <v>46342.625694</v>
      </c>
      <c r="J103" s="0">
        <v>16</v>
      </c>
      <c r="K103" s="3">
        <v>340000.0</v>
      </c>
      <c r="L103" s="0" t="inlineStr">
        <is>
          <t xml:space="preserve">USD</t>
        </is>
      </c>
      <c r="M103" s="0" t="inlineStr">
        <is>
          <t xml:space="preserve">LP</t>
        </is>
      </c>
      <c r="N103" s="4" t="inlineStr">
        <is>
          <t xml:space="preserve">Servicios basados en ingeniería, ciencias sociales y tecnología de la información / Servicios informáticos / Administración de sistemas</t>
        </is>
      </c>
      <c r="O103" s="4" t="inlineStr">
        <is>
          <t xml:space="preserve">1 Unidad · Seguridad para computadores, redes e Internet</t>
        </is>
      </c>
      <c r="P103" s="2"/>
      <c r="Q103" s="2"/>
      <c r="R103" s="0" t="inlineStr">
        <is>
          <t xml:space="preserve">24 meses</t>
        </is>
      </c>
      <c r="S103" s="0" t="inlineStr">
        <is>
          <t xml:space="preserve">No</t>
        </is>
      </c>
      <c r="T103" s="4" t="inlineStr">
        <is>
          <t xml:space="preserve">Según bases adjuntas</t>
        </is>
      </c>
      <c r="U103" s="0" t="inlineStr">
        <is>
          <t xml:space="preserve">Paolo Jeldres</t>
        </is>
      </c>
      <c r="V103" s="4" t="inlineStr">
        <is>
          <t xml:space="preserve">CONTRATACIÓN DEL SERVICIO DE CIBERSEGURIDAD AVANZADA Y RESPUESTA A INCIDENTES PARA MERCADO PÚBLICO</t>
        </is>
      </c>
      <c r="W103" s="5" t="str">
        <f>HYPERLINK("https://www.mercadopublico.cl/Procurement/Modules/Attachment/ViewAttachment.aspx?enc=IAfDxqYAkGDXpWn3Jo6B%2bQ%2bVHkhXen20Xq%2fy7JrR5h4CwzAUMR7BuLCyrfthqXNC7ykgp7aKpuh8YBmzge%2bhxA179bdsClGM9SACYc4ZtYg4d1o1kbqpIL9QTVSmzlDI8i3STrShx34PCSKLSzkd7hxDnjsvd2iDVEZ20n1ef0q4KX81ny%2bnGhU6mqZRiT1Oylt%2f6DsTHbvN502WaGGEjK5KVheV9EeCeyHSMQXjnRGSESNPmkonU17nXwH%2fS4HKxW2L8vp5IcGNqDddJfQN6gyNY3yXNY9Dxi8wMMdMHow0voHSR1inznaSvZyAfJQr","descargar bases")</f>
      </c>
    </row>
    <row r="104">
      <c r="A104" s="0" t="inlineStr">
        <is>
          <t xml:space="preserve">598-31-LE26</t>
        </is>
      </c>
      <c r="B104" s="4" t="inlineStr">
        <is>
          <t xml:space="preserve">Licencias Respaldo y Protección de Datos</t>
        </is>
      </c>
      <c r="C104" s="0" t="inlineStr">
        <is>
          <t xml:space="preserve">Publicada</t>
        </is>
      </c>
      <c r="D104" s="0" t="inlineStr">
        <is>
          <t xml:space="preserve">DIRECCION PREVISION DE CARABINEROS DE CHILE</t>
        </is>
      </c>
      <c r="E104" s="0" t="inlineStr">
        <is>
          <t xml:space="preserve">Unidad de Abastecimiento DIPRECA</t>
        </is>
      </c>
      <c r="F104" s="0" t="inlineStr">
        <is>
          <t xml:space="preserve">Región Metropolitana de Santiago</t>
        </is>
      </c>
      <c r="G104" s="0" t="inlineStr">
        <is>
          <t xml:space="preserve">Santiago</t>
        </is>
      </c>
      <c r="H104" s="2">
        <v>46325.675961</v>
      </c>
      <c r="I104" s="2">
        <v>46342.646528</v>
      </c>
      <c r="J104" s="0">
        <v>16</v>
      </c>
      <c r="K104" s="3">
        <v>50000000.0</v>
      </c>
      <c r="L104" s="0" t="inlineStr">
        <is>
          <t xml:space="preserve">CLP</t>
        </is>
      </c>
      <c r="M104" s="0" t="inlineStr">
        <is>
          <t xml:space="preserve">LE</t>
        </is>
      </c>
      <c r="N104" s="4" t="inlineStr">
        <is>
          <t xml:space="preserve">Tecnologías de la información, telecomunicaciones y radiodifusión / Software / Software de gestión</t>
        </is>
      </c>
      <c r="O104" s="4" t="inlineStr">
        <is>
          <t xml:space="preserve">1 Unidad · Software de gestión de licencias</t>
        </is>
      </c>
      <c r="P104" s="2"/>
      <c r="Q104" s="2"/>
      <c r="R104" s="0" t="inlineStr">
        <is>
          <t xml:space="preserve">36 meses</t>
        </is>
      </c>
      <c r="S104" s="0" t="inlineStr">
        <is>
          <t xml:space="preserve">No</t>
        </is>
      </c>
      <c r="T104" s="4"/>
      <c r="U104" s="0" t="inlineStr">
        <is>
          <t xml:space="preserve">Alex Saavedra</t>
        </is>
      </c>
      <c r="V104" s="4" t="inlineStr">
        <is>
          <t xml:space="preserve">Adquisición de licencia para la gestión de respaldo, recuperación y protección de datos para 100 estaciones End-Point de DIPRECA por 36 meses. Incluye gestión 100% Cloud, protección ante ransomware y continuidad operativa.</t>
        </is>
      </c>
      <c r="W104" s="5" t="str">
        <f>HYPERLINK("https://www.mercadopublico.cl/Procurement/Modules/Attachment/ViewAttachment.aspx?enc=kz6AtgoTzZspfgJepLVQiJW3%2bqdfBU8sKpQTyUVxwq%2b5iwM1nvlPoypHwm2xJDnPSY838D2yFvzs5AqZK3slCgIabE0PL69N607bsHuPkCpCROviyeFX889LJcCqKrNes6YxuTIgq51LGy2B35nVp8x2CKZGLn35qYihTIiBKpy2qfP7c4USvmXpFKL7eslf3JT1iJ%2bGye9ZVauN7X3ABAQZtazUtldx%2bAPWiTSEYt%2bccLWbuWy3EWYt3yKa6c8CmKT6lJWZbyOTGB04txbaTyx7LPwdZISejE1oB%2fGSCcGmhQw57YMYYCCE42y5qmK6","descargar bases")</f>
      </c>
    </row>
    <row r="105">
      <c r="A105" s="0" t="inlineStr">
        <is>
          <t xml:space="preserve">1882-3-LP26</t>
        </is>
      </c>
      <c r="B105" s="4" t="inlineStr">
        <is>
          <t xml:space="preserve">DPP LA ARAUCANIA SERVICIO DEFENSA RPA LLAMADO 2026</t>
        </is>
      </c>
      <c r="C105" s="0" t="inlineStr">
        <is>
          <t xml:space="preserve">Publicada</t>
        </is>
      </c>
      <c r="D105" s="0" t="inlineStr">
        <is>
          <t xml:space="preserve">DEFENSORIA PENAL PUBLICA</t>
        </is>
      </c>
      <c r="E105" s="0" t="inlineStr">
        <is>
          <t xml:space="preserve">Defensoría Regional de La Araucanía</t>
        </is>
      </c>
      <c r="F105" s="0" t="inlineStr">
        <is>
          <t xml:space="preserve">Región de la Araucanía </t>
        </is>
      </c>
      <c r="G105" s="0" t="inlineStr">
        <is>
          <t xml:space="preserve">Temuco</t>
        </is>
      </c>
      <c r="H105" s="2">
        <v>46310.629259</v>
      </c>
      <c r="I105" s="2">
        <v>46342.666667</v>
      </c>
      <c r="J105" s="0">
        <v>16</v>
      </c>
      <c r="K105" s="3"/>
      <c r="L105" s="0" t="inlineStr">
        <is>
          <t xml:space="preserve">CLP</t>
        </is>
      </c>
      <c r="M105" s="0" t="inlineStr">
        <is>
          <t xml:space="preserve">LP</t>
        </is>
      </c>
      <c r="N105" s="4" t="inlineStr">
        <is>
          <t xml:space="preserve">Servicios profesionales, administrativos y consultorías de gestión empresarial / Servicios legales / Derecho penal</t>
        </is>
      </c>
      <c r="O105" s="4" t="inlineStr">
        <is>
          <t xml:space="preserve">1 Unidad · Servicio de defensa penal pública</t>
        </is>
      </c>
      <c r="P105" s="2"/>
      <c r="Q105" s="2"/>
      <c r="R105" s="0" t="inlineStr">
        <is>
          <t xml:space="preserve">36 meses</t>
        </is>
      </c>
      <c r="S105" s="0" t="inlineStr">
        <is>
          <t xml:space="preserve">No</t>
        </is>
      </c>
      <c r="T105" s="4" t="inlineStr">
        <is>
          <t xml:space="preserve">Se prohíbe absolutamente en atención a la integridad y naturaleza de la prestación, según punto N°8.17 de las Bases Administrativas.</t>
        </is>
      </c>
      <c r="U105" s="0" t="inlineStr">
        <is>
          <t xml:space="preserve">Humberto Serri Gajardo</t>
        </is>
      </c>
      <c r="V105" s="4" t="inlineStr">
        <is>
          <t xml:space="preserve">Defensa Responsabilidad Penal Adolescente Zona Angol de acuerdo a la REX N°198 de fecha 15 de octubre de 2026.</t>
        </is>
      </c>
      <c r="W105" s="5" t="str">
        <f>HYPERLINK("https://www.mercadopublico.cl/Procurement/Modules/Attachment/ViewAttachment.aspx?enc=ftW0wn4Wi%2bkeIZvfTuc5JtJn%2bBnztXDrwjuuRfL87s3gxaj9dhIkvFcj3gbL3EoJklDvNGcqYY6yHdXGuXoobVZ0f3tiiKqNBdS%2fAK84kt67jkYVVM6ItvgsrwsB9Bt3KA%2fNjPwbLppU5JlOVFpZa4h851BwSGdQCjAd%2bk9K9GOJJKJPLecMSizurGHz1JLaBCeSLY3ygNB0znxQooy%2bmxYvLDwePH6MV56%2fvX7pcrJ2eLbcrifpzFjFKEyW3HCeFY0qIsPQD5TARiWiJnvhedBRD4s1gco7%2fqFgXa8VeMtNLduHC9%2fq%2fjHOp%2f0Msw12","descargar bases")</f>
      </c>
    </row>
    <row r="106">
      <c r="A106" s="0" t="inlineStr">
        <is>
          <t xml:space="preserve">1887-4-LP26</t>
        </is>
      </c>
      <c r="B106" s="4" t="inlineStr">
        <is>
          <t xml:space="preserve">SERVICIO DE DEFENSA PENAL EN ZONA 1 RPA</t>
        </is>
      </c>
      <c r="C106" s="0" t="inlineStr">
        <is>
          <t xml:space="preserve">Publicada</t>
        </is>
      </c>
      <c r="D106" s="0" t="inlineStr">
        <is>
          <t xml:space="preserve">DEFENSORIA PENAL PUBLICA</t>
        </is>
      </c>
      <c r="E106" s="0" t="inlineStr">
        <is>
          <t xml:space="preserve">Defensoría Regional de Aysén</t>
        </is>
      </c>
      <c r="F106" s="0" t="inlineStr">
        <is>
          <t xml:space="preserve">Región Aysén del General Carlos Ibáñez del Campo</t>
        </is>
      </c>
      <c r="G106" s="0" t="inlineStr">
        <is>
          <t xml:space="preserve">Coyhaique</t>
        </is>
      </c>
      <c r="H106" s="2">
        <v>46310.617616</v>
      </c>
      <c r="I106" s="2">
        <v>46342.666667</v>
      </c>
      <c r="J106" s="0">
        <v>16</v>
      </c>
      <c r="K106" s="3">
        <v>108000000.0</v>
      </c>
      <c r="L106" s="0" t="inlineStr">
        <is>
          <t xml:space="preserve">CLP</t>
        </is>
      </c>
      <c r="M106" s="0" t="inlineStr">
        <is>
          <t xml:space="preserve">LP</t>
        </is>
      </c>
      <c r="N106" s="4" t="inlineStr">
        <is>
          <t xml:space="preserve">Servicios profesionales, administrativos y consultorías de gestión empresarial / Servicios legales / Derecho penal</t>
        </is>
      </c>
      <c r="O106" s="4" t="inlineStr">
        <is>
          <t xml:space="preserve">36 Mes · Servicio de defensa penal pública</t>
        </is>
      </c>
      <c r="P106" s="2"/>
      <c r="Q106" s="2"/>
      <c r="R106" s="0" t="inlineStr">
        <is>
          <t xml:space="preserve">36 meses</t>
        </is>
      </c>
      <c r="S106" s="0" t="inlineStr">
        <is>
          <t xml:space="preserve">No</t>
        </is>
      </c>
      <c r="T106" s="4" t="inlineStr">
        <is>
          <t xml:space="preserve">8.17.PROHIBICIÓN DE TRASPASO, CESIÓN Y SUBCONTRATACIÓN DEL CONTRATO</t>
        </is>
      </c>
      <c r="U106" s="0" t="inlineStr">
        <is>
          <t xml:space="preserve">MARIANELA MOLINA MANSILLA</t>
        </is>
      </c>
      <c r="V106" s="4" t="inlineStr">
        <is>
          <t xml:space="preserve">2.DISPOSICIONES GENERALES
2.1.DEL OBJETIVO DE LA LICITACIÓN</t>
        </is>
      </c>
      <c r="W106" s="5" t="str">
        <f>HYPERLINK("https://www.mercadopublico.cl/Procurement/Modules/Attachment/ViewAttachment.aspx?enc=wjJaeS0zSbGgUxLnIQgivhI21OVdi5ZqTjmnQYlPt%2fzZBr8bdrxgHFg5ncZKka3ko0v9RU%2f3wd2rWHvYzAis6D8Olfyaw9bmvfUiH62poE0VcuMs6waHdalpa9dSobiSI7MpZyjtxT1uSSatWiWhFwFaqbyqW7JtwZOGa3cvo7g8NZnXXGtUlvbB7gpg1xo6xHWFFHapjg2dQUwV4t96jKxATy67TyD4%2fnVxF8J6mM2jKwY%2bwomngGBoLCJek3a1Ha9TMNCvQH6hpdD7KR2uDQ1UiEevyFeynXHa97Q2C%2f9sGXEXGZQDPbGmQJXUuxBS","descargar bases")</f>
      </c>
    </row>
    <row r="107">
      <c r="A107" s="0" t="inlineStr">
        <is>
          <t xml:space="preserve">1171317-96-LP26</t>
        </is>
      </c>
      <c r="B107" s="4" t="inlineStr">
        <is>
          <t xml:space="preserve">Adquisición de Licencias de Software Municipalida</t>
        </is>
      </c>
      <c r="C107" s="0" t="inlineStr">
        <is>
          <t xml:space="preserve">Publicada</t>
        </is>
      </c>
      <c r="D107" s="0" t="inlineStr">
        <is>
          <t xml:space="preserve">I MUNICIPALIDAD DE CHILLAN</t>
        </is>
      </c>
      <c r="E107" s="0" t="inlineStr">
        <is>
          <t xml:space="preserve">SECPLA</t>
        </is>
      </c>
      <c r="F107" s="0" t="inlineStr">
        <is>
          <t xml:space="preserve">Región del Ñuble</t>
        </is>
      </c>
      <c r="G107" s="0" t="inlineStr">
        <is>
          <t xml:space="preserve">Chillán</t>
        </is>
      </c>
      <c r="H107" s="2">
        <v>46321.484653</v>
      </c>
      <c r="I107" s="2">
        <v>46343.5</v>
      </c>
      <c r="J107" s="0">
        <v>17</v>
      </c>
      <c r="K107" s="3"/>
      <c r="L107" s="0" t="inlineStr">
        <is>
          <t xml:space="preserve">CLP</t>
        </is>
      </c>
      <c r="M107" s="0" t="inlineStr">
        <is>
          <t xml:space="preserve">LP</t>
        </is>
      </c>
      <c r="N107" s="4" t="inlineStr">
        <is>
          <t xml:space="preserve">Tecnologías de la información, telecomunicaciones y radiodifusión / Software / Software de gestión</t>
        </is>
      </c>
      <c r="O107" s="4" t="inlineStr">
        <is>
          <t xml:space="preserve">1 Unidad · Software de gestión de licencias · 1 Unidad · Software de gestión de licencias · 1 Unidad · Software de gestión de licencias · y 2 más</t>
        </is>
      </c>
      <c r="P107" s="2"/>
      <c r="Q107" s="2"/>
      <c r="R107" s="0"/>
      <c r="S107" s="0" t="inlineStr">
        <is>
          <t xml:space="preserve">No</t>
        </is>
      </c>
      <c r="T107" s="4"/>
      <c r="U107" s="0" t="inlineStr">
        <is>
          <t xml:space="preserve">Carlos Araya Sandoval</t>
        </is>
      </c>
      <c r="V107" s="4" t="inlineStr">
        <is>
          <t xml:space="preserve">La Municipalidad de Chillán, en el marco de sus funciones y necesidades operativas, convoca a participar en la licitación pública para la “ADQUISICIÓN LICENCIAS DE SOFTWARE, MUNICIPALIDAD DE CHILLÁN”</t>
        </is>
      </c>
      <c r="W107" s="5" t="str">
        <f>HYPERLINK("https://www.mercadopublico.cl/Procurement/Modules/Attachment/ViewAttachment.aspx?enc=iuBm8Aae4jjT41GYuX13LoB2G66VE7vAjJaLtw57TMwrCw3Ik94jTtT21dmbKigZYoqQ5xqifjAAKgcXwn4yhIWF3TkE8iBAFD%2fsZu4bZgJZoswu0x%2fHpQtcr5ySJVjYxv4FHCwjcUdBR8K2O42Oge%2fuekPI%2bN98W%2bBHRh0p6XVw2lV1LsZdX6Y%2f%2fJjLw2tw1hyXiXmqsMX7h4fd5fbj5CYACZrTvSdJ2y8NMHbkX7JWQ%2bK2AmUCt4ewIO9mhm%2b3wIfeBBGqm3ilNoemOOSHhpdoKPs%2bsuSv33R4ofQffSovEFsWe9HrO1jfMCHB3CKG","descargar bases")</f>
      </c>
    </row>
    <row r="108">
      <c r="A108" s="0" t="inlineStr">
        <is>
          <t xml:space="preserve">622-72-LP26</t>
        </is>
      </c>
      <c r="B108" s="4" t="inlineStr">
        <is>
          <t xml:space="preserve">SOLUCIÓN DE OBSERVABILIDAD UNIFICADA DE SOFTWARE</t>
        </is>
      </c>
      <c r="C108" s="0" t="inlineStr">
        <is>
          <t xml:space="preserve">Publicada</t>
        </is>
      </c>
      <c r="D108" s="0" t="inlineStr">
        <is>
          <t xml:space="preserve">TESORERIA GENERAL DE LA REPUBLICA</t>
        </is>
      </c>
      <c r="E108" s="0" t="inlineStr">
        <is>
          <t xml:space="preserve">Tesorería General de la República</t>
        </is>
      </c>
      <c r="F108" s="0" t="inlineStr">
        <is>
          <t xml:space="preserve">Región Metropolitana de Santiago</t>
        </is>
      </c>
      <c r="G108" s="0" t="inlineStr">
        <is>
          <t xml:space="preserve">Santiago</t>
        </is>
      </c>
      <c r="H108" s="2">
        <v>46321.728657</v>
      </c>
      <c r="I108" s="2">
        <v>46343.541667</v>
      </c>
      <c r="J108" s="0">
        <v>17</v>
      </c>
      <c r="K108" s="3"/>
      <c r="L108" s="0" t="inlineStr">
        <is>
          <t xml:space="preserve">CLP</t>
        </is>
      </c>
      <c r="M108" s="0" t="inlineStr">
        <is>
          <t xml:space="preserve">LP</t>
        </is>
      </c>
      <c r="N108" s="4" t="inlineStr">
        <is>
          <t xml:space="preserve">Tecnologías de la información, telecomunicaciones y radiodifusión / Software / Software de gestión</t>
        </is>
      </c>
      <c r="O108" s="4" t="inlineStr">
        <is>
          <t xml:space="preserve">1 Unidad · Software de gestión de licencias</t>
        </is>
      </c>
      <c r="P108" s="2"/>
      <c r="Q108" s="2"/>
      <c r="R108" s="0" t="inlineStr">
        <is>
          <t xml:space="preserve">36 meses</t>
        </is>
      </c>
      <c r="S108" s="0" t="inlineStr">
        <is>
          <t xml:space="preserve">No</t>
        </is>
      </c>
      <c r="T108" s="4"/>
      <c r="U108" s="0" t="inlineStr">
        <is>
          <t xml:space="preserve">Será indicado en el contrato a suscribir.</t>
        </is>
      </c>
      <c r="V108" s="4" t="inlineStr">
        <is>
          <t xml:space="preserve">El objeto de la presente licitación pública es la contratación de la adquisición de licencias de software una solución de observabilidad unificada, por el plazo de 3 años, junto con los servicios profesionales requeridos para su puesta en marcha, integración, entrenamiento técnico del personal institucional y asistencia operacional continua durante la vigencia del contrato.Revisar bases y anexos</t>
        </is>
      </c>
      <c r="W108" s="5" t="str">
        <f>HYPERLINK("https://www.mercadopublico.cl/Procurement/Modules/Attachment/ViewAttachment.aspx?enc=ANvHp%2bmMNIioZJHAl54lXelrPQRK%2fYZrBFNmRsgUy5KQ5mHMhckOwrww8oYn4PByqu%2b9ZIK4i4DXCpoQWc4WMNtg4%2b4jvz9aX7SULmQVhnxgXDYMGNBOYOFWR4g9PUAqE18isSm7mG4BIDKMe3c2rt4NFdorZDFkIrX2BYXbbAFj6Pf2h0NSqeC1gcQIdXeldxpXFK2Y318jR0YzA5ANL4gCaoEd%2f0bzZZ%2f8EDYfuyXbgn4%2byN85%2fTHDVyqG%2b2gyolYigoqiFLmRe%2bsP9ze6sspwVtMe25rGw7ZYEVwPz48mdWxUJ4YSUYc5def%2b7evQ","descargar bases")</f>
      </c>
    </row>
    <row r="109">
      <c r="A109" s="0" t="inlineStr">
        <is>
          <t xml:space="preserve">2982-59-LE26</t>
        </is>
      </c>
      <c r="B109" s="4" t="inlineStr">
        <is>
          <t xml:space="preserve">SERVICIO DE RENOVACION Y ADQUISICION DE LICENCIAS SOFTWARE</t>
        </is>
      </c>
      <c r="C109" s="0" t="inlineStr">
        <is>
          <t xml:space="preserve">Publicada</t>
        </is>
      </c>
      <c r="D109" s="0" t="inlineStr">
        <is>
          <t xml:space="preserve">POLICIA DE INVESTIGACIONES DE CHILE</t>
        </is>
      </c>
      <c r="E109" s="0" t="inlineStr">
        <is>
          <t xml:space="preserve">JEFATURA NACIONAL DE EDUCACIÓN Y DOCTRINA (JENAED)</t>
        </is>
      </c>
      <c r="F109" s="0" t="inlineStr">
        <is>
          <t xml:space="preserve">Región Metropolitana de Santiago</t>
        </is>
      </c>
      <c r="G109" s="0" t="inlineStr">
        <is>
          <t xml:space="preserve">Estación Central</t>
        </is>
      </c>
      <c r="H109" s="2">
        <v>46321.729792</v>
      </c>
      <c r="I109" s="2">
        <v>46343.625</v>
      </c>
      <c r="J109" s="0">
        <v>17</v>
      </c>
      <c r="K109" s="3">
        <v>10614027.0</v>
      </c>
      <c r="L109" s="0" t="inlineStr">
        <is>
          <t xml:space="preserve">CLP</t>
        </is>
      </c>
      <c r="M109" s="0" t="inlineStr">
        <is>
          <t xml:space="preserve">LE</t>
        </is>
      </c>
      <c r="N109" s="4" t="inlineStr">
        <is>
          <t xml:space="preserve">Tecnologías de la información, telecomunicaciones y radiodifusión / Software / Software de gestión</t>
        </is>
      </c>
      <c r="O109" s="4" t="inlineStr">
        <is>
          <t xml:space="preserve">1 Kit · Software de gestión de licencias</t>
        </is>
      </c>
      <c r="P109" s="2"/>
      <c r="Q109" s="2"/>
      <c r="R109" s="0"/>
      <c r="S109" s="0" t="inlineStr">
        <is>
          <t xml:space="preserve">No</t>
        </is>
      </c>
      <c r="T109" s="4" t="inlineStr">
        <is>
          <t xml:space="preserve">Subcontratación permitida solo en servicios accesorios y despacho.</t>
        </is>
      </c>
      <c r="U109" s="0" t="inlineStr">
        <is>
          <t xml:space="preserve">LUIS ROJAS CASTRO</t>
        </is>
      </c>
      <c r="V109"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109" s="5" t="str">
        <f>HYPERLINK("https://www.mercadopublico.cl/Procurement/Modules/Attachment/ViewAttachment.aspx?enc=C8mfWf2j1kzhLVHqmb0m48F41Zz6AaTjSIttcBLQEtx%2bimyqK1vG18MgJGBwXc8HpAU2ANHgM%2fO3yiA5CJFdZClM%2bl0omnpKwKxgeE85iXf%2bHlltqD9S4gr4%2fsISL%2bZPYKzjIDTdxogjh5uBHk4nZUroeT3mXwQsqdy10h%2bXr97crdTikCdVTTBMwMMk%2b8dIZooUWXlklR9Z7JDCbQgvJkdzkYPL%2bRCpxUtvDSQKD8BCieuq5eBnoaJVOpvqp8uBm%2bALZGjj%2bGBbdmWAYMZ24TmIA0Y2QFaRXVKLKcQQbDNsLVoABl7o7bBxOPZchdkK","descargar bases")</f>
      </c>
    </row>
    <row r="110">
      <c r="A110" s="0" t="inlineStr">
        <is>
          <t xml:space="preserve">885-108-LP26</t>
        </is>
      </c>
      <c r="B110" s="4" t="inlineStr">
        <is>
          <t xml:space="preserve">Renovación de suscripciones Licencias Cloudera</t>
        </is>
      </c>
      <c r="C110" s="0" t="inlineStr">
        <is>
          <t xml:space="preserve">Publicada</t>
        </is>
      </c>
      <c r="D110" s="0" t="inlineStr">
        <is>
          <t xml:space="preserve">CONTRALORIA GENERAL DE LA REPUBLICA</t>
        </is>
      </c>
      <c r="E110" s="0" t="inlineStr">
        <is>
          <t xml:space="preserve">Contraloría General de la República</t>
        </is>
      </c>
      <c r="F110" s="0" t="inlineStr">
        <is>
          <t xml:space="preserve">Región Metropolitana de Santiago</t>
        </is>
      </c>
      <c r="G110" s="0"/>
      <c r="H110" s="2">
        <v>46323.539699</v>
      </c>
      <c r="I110" s="2">
        <v>46343.666667</v>
      </c>
      <c r="J110" s="0">
        <v>17</v>
      </c>
      <c r="K110" s="3">
        <v>218000000.0</v>
      </c>
      <c r="L110" s="0" t="inlineStr">
        <is>
          <t xml:space="preserve">CLP</t>
        </is>
      </c>
      <c r="M110" s="0" t="inlineStr">
        <is>
          <t xml:space="preserve">LP</t>
        </is>
      </c>
      <c r="N110" s="4" t="inlineStr">
        <is>
          <t xml:space="preserve">Tecnologías de la información, telecomunicaciones y radiodifusión / Software / Software de gestión</t>
        </is>
      </c>
      <c r="O110" s="4" t="inlineStr">
        <is>
          <t xml:space="preserve">1 Unidad · Software de gestión de licencias</t>
        </is>
      </c>
      <c r="P110" s="2"/>
      <c r="Q110" s="2"/>
      <c r="R110" s="0" t="inlineStr">
        <is>
          <t xml:space="preserve">10 días</t>
        </is>
      </c>
      <c r="S110" s="0" t="inlineStr">
        <is>
          <t xml:space="preserve">No</t>
        </is>
      </c>
      <c r="T110" s="4"/>
      <c r="U110" s="0" t="inlineStr">
        <is>
          <t xml:space="preserve">Antonio Alejandro Alcázar Garrido</t>
        </is>
      </c>
      <c r="V110" s="4" t="inlineStr">
        <is>
          <t xml:space="preserve">La Contraloría General de la República requiere contratar la renovación de suscripciones de Licencias Cloudera para asegurar su continuidad operativa, por un periodo de 12 meses.</t>
        </is>
      </c>
      <c r="W110" s="5" t="str">
        <f>HYPERLINK("https://www.mercadopublico.cl/Procurement/Modules/Attachment/ViewAttachment.aspx?enc=b1H0Ukvb07TSggXjx%2fYAU55IkPpNVsU20DIOtBB93d9ExmmoVfYqf56wBXwUYAROBSVMpWL0JQi%2fW6bSErA%2fcJ8eQ9IOcfjq5Srz%2b2xaqvnoprBmQec78FH%2bxmYclpocu3OIoL88IpjxokT7rA6ehLehFTc5WOz5GBV3avtduDxR%2fJOabVIT4qs577S%2f1Riw25tygqrG%2fyMac6fpg3ctTS%2f3e757LFkJsFPSJQmXyM6ObkLk5oVVhfYmVqJPPbo7yBHhe8JeaxRDcMYPqeDvmQ56ggXFe7De8t3i8KXyHBFEqxJGN6K%2fotx9VWKzL2oL","descargar bases")</f>
      </c>
    </row>
    <row r="111">
      <c r="A111" s="0" t="inlineStr">
        <is>
          <t xml:space="preserve">1020-54-LP26</t>
        </is>
      </c>
      <c r="B111" s="4" t="inlineStr">
        <is>
          <t xml:space="preserve">Administración y Mantención de Bases de Datos MOP</t>
        </is>
      </c>
      <c r="C111" s="0" t="inlineStr">
        <is>
          <t xml:space="preserve">Publicada</t>
        </is>
      </c>
      <c r="D111" s="0" t="inlineStr">
        <is>
          <t xml:space="preserve">MINISTERIO DE OBRAS PUBLICAS DIREC CION GRAL DE OO PP DCYF</t>
        </is>
      </c>
      <c r="E111" s="0" t="inlineStr">
        <is>
          <t xml:space="preserve">MOP Subsecretaría </t>
        </is>
      </c>
      <c r="F111" s="0" t="inlineStr">
        <is>
          <t xml:space="preserve">Región Metropolitana de Santiago</t>
        </is>
      </c>
      <c r="G111" s="0"/>
      <c r="H111" s="2">
        <v>46303.478472</v>
      </c>
      <c r="I111" s="2">
        <v>46344.625</v>
      </c>
      <c r="J111" s="0">
        <v>18</v>
      </c>
      <c r="K111" s="3">
        <v>174000000.0</v>
      </c>
      <c r="L111" s="0" t="inlineStr">
        <is>
          <t xml:space="preserve">CLP</t>
        </is>
      </c>
      <c r="M111" s="0" t="inlineStr">
        <is>
          <t xml:space="preserve">LP</t>
        </is>
      </c>
      <c r="N111" s="4" t="inlineStr">
        <is>
          <t xml:space="preserve">Servicios profesionales, administrativos y consultorías de gestión empresarial / Servicios de recursos humanos / Contratación de personal</t>
        </is>
      </c>
      <c r="O111" s="4" t="inlineStr">
        <is>
          <t xml:space="preserve">24 Mes · Administradores de bases de datos</t>
        </is>
      </c>
      <c r="P111" s="2"/>
      <c r="Q111" s="2"/>
      <c r="R111" s="0" t="inlineStr">
        <is>
          <t xml:space="preserve">25 meses</t>
        </is>
      </c>
      <c r="S111" s="0" t="inlineStr">
        <is>
          <t xml:space="preserve">No</t>
        </is>
      </c>
      <c r="T111" s="4" t="inlineStr">
        <is>
          <t xml:space="preserve">Según 10.5 de las BA El oferente adjudicado no podrá subcontratar los servicios derivados de la ejecución del Contrato</t>
        </is>
      </c>
      <c r="U111" s="0" t="inlineStr">
        <is>
          <t xml:space="preserve">Francisco Borquez</t>
        </is>
      </c>
      <c r="V111"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11" s="5" t="str">
        <f>HYPERLINK("https://www.mercadopublico.cl/Procurement/Modules/Attachment/ViewAttachment.aspx?enc=GwPy7RdSVnXhWUh3wXndP9tLw%2fWcryPnE%2flIaouJZKCnPMx8GzRGBGxBccpowDo4tCRBbPrWgC%2feLuqkwY3%2f8BQF2JN9Gs4384XYw8cLrRk69SbUESFFauyxjegWa7c7xZyH7XF%2bMRlYlGyRY2U%2bE4HeRpaGfVJWE4%2bLMtvqcOl39jt9DKxXCpMOK1lw%2f7DPJYZVPJJ7PTxVrxZmRRTner1ixVYMHzzW0Y9wPd3PCJiSXzQA%2bkV4FAKrRq7OIYiF%2b7BTrIyO8cpf0zVV93vyll3dptoVRZvCdQH6Bm9yl8pDHjGlL%2baAdwgMAZ0F4K4E","descargar bases")</f>
      </c>
    </row>
    <row r="112">
      <c r="A112" s="0" t="inlineStr">
        <is>
          <t xml:space="preserve">1657-22-LP26</t>
        </is>
      </c>
      <c r="B112" s="4" t="inlineStr">
        <is>
          <t xml:space="preserve">SERVICIO DE MANTENCION REPARACION Y REPOSICION DEL SISTEMA ELECTRICO ELECTRÓNICO Y DIGITAL DE LA OFICINA CENTRAL Y OFICINAS COMUNALES DE LA PROVINCIA DE ELQUI LIMARI Y CHOAPA DE LA SEREMI DE SALUD REGION DE COQUIMBO</t>
        </is>
      </c>
      <c r="C112" s="0" t="inlineStr">
        <is>
          <t xml:space="preserve">Publicada</t>
        </is>
      </c>
      <c r="D112" s="0" t="inlineStr">
        <is>
          <t xml:space="preserve">SUBSECRETARIA DE SALUD PUBLICA</t>
        </is>
      </c>
      <c r="E112" s="0" t="inlineStr">
        <is>
          <t xml:space="preserve">Seremi de Salud IV  Región</t>
        </is>
      </c>
      <c r="F112" s="0" t="inlineStr">
        <is>
          <t xml:space="preserve">Región de Coquimbo </t>
        </is>
      </c>
      <c r="G112" s="0"/>
      <c r="H112" s="2">
        <v>46323.646169</v>
      </c>
      <c r="I112" s="2">
        <v>46344.625</v>
      </c>
      <c r="J112" s="0">
        <v>18</v>
      </c>
      <c r="K112" s="3">
        <v>144300000.0</v>
      </c>
      <c r="L112" s="0" t="inlineStr">
        <is>
          <t xml:space="preserve">CLP</t>
        </is>
      </c>
      <c r="M112" s="0" t="inlineStr">
        <is>
          <t xml:space="preserve">LP</t>
        </is>
      </c>
      <c r="N112" s="4" t="inlineStr">
        <is>
          <t xml:space="preserve">Maquinaria para generación y distribución de energía / Generación de energía / Equipo para control de producción de energía</t>
        </is>
      </c>
      <c r="O112" s="4" t="inlineStr">
        <is>
          <t xml:space="preserve">1 Unidad · Paneles de control eléctrico para generadores</t>
        </is>
      </c>
      <c r="P112" s="2"/>
      <c r="Q112" s="2"/>
      <c r="R112" s="0" t="inlineStr">
        <is>
          <t xml:space="preserve">24 meses</t>
        </is>
      </c>
      <c r="S112" s="0" t="inlineStr">
        <is>
          <t xml:space="preserve">No</t>
        </is>
      </c>
      <c r="T112" s="4"/>
      <c r="U112" s="0" t="inlineStr">
        <is>
          <t xml:space="preserve">Violeta Pizarro Naranjo</t>
        </is>
      </c>
      <c r="V112" s="4" t="inlineStr">
        <is>
          <t xml:space="preserve">La Secretaría Regional Ministerial de Salud de la Región de Coquimbo, requiere contar con los Servicios de Mantención, Reparación y Reposición del Sistema Eléctrico, electrónico y digital en Oficinas Comunales y Oficina Central de la Seremi de Salud Región de Coquimbo, manteniendo en óptimas condiciones el sistema eléctrico de todas las instalaciones de esta SEREMI, resguardando la seguridad e integridad de todos los funcionarios</t>
        </is>
      </c>
      <c r="W112" s="5" t="str">
        <f>HYPERLINK("https://www.mercadopublico.cl/Procurement/Modules/Attachment/ViewAttachment.aspx?enc=nDBB6jUK8eyLeHdHNU7BsfOm8espM4osWjlIUWNWlRsoZbIDa3S8M3AYWWj3yaOz1Yd%2bhLz4RIwSETUrpH%2bJlpqb%2fmJC0qPNoC%2bDhP9skJ2OC9QvxxLKayYlVDTjms3h22fJtCjYh7edDI%2bCMMrx7%2fVx4TgHOlaNrEqz78fc5jhtp%2f%2fAOOstnduK79i134FzJ9WqVMpKtamjDcms8zR8C7L7vWTILzgmfR0vGHAWf5Efks19VMym%2b0Gg9THt386TvULNAdsIFu%2f5VmvQEDF6SuGv1sEiGKn4olXVheVvo3TuZaP17UBAcvssuAKPmQbV","descargar bases")</f>
      </c>
    </row>
    <row r="113">
      <c r="A113" s="0" t="inlineStr">
        <is>
          <t xml:space="preserve">5420-25-LP26</t>
        </is>
      </c>
      <c r="B113" s="4" t="inlineStr">
        <is>
          <t xml:space="preserve">Modernización Integral de Infraestructura TI</t>
        </is>
      </c>
      <c r="C113" s="0" t="inlineStr">
        <is>
          <t xml:space="preserve">Publicada</t>
        </is>
      </c>
      <c r="D113" s="0" t="inlineStr">
        <is>
          <t xml:space="preserve">GOBIERNO REGIONAL DE ARICA-PARINACOTA</t>
        </is>
      </c>
      <c r="E113" s="0" t="inlineStr">
        <is>
          <t xml:space="preserve">Gobierno Regional de Arica y Parinacota</t>
        </is>
      </c>
      <c r="F113" s="0" t="inlineStr">
        <is>
          <t xml:space="preserve">Región de Arica y Parinacota</t>
        </is>
      </c>
      <c r="G113" s="0" t="inlineStr">
        <is>
          <t xml:space="preserve">Arica</t>
        </is>
      </c>
      <c r="H113" s="2">
        <v>46325.752037</v>
      </c>
      <c r="I113" s="2">
        <v>46345.645833</v>
      </c>
      <c r="J113" s="0">
        <v>19</v>
      </c>
      <c r="K113" s="3">
        <v>303000000.0</v>
      </c>
      <c r="L113" s="0" t="inlineStr">
        <is>
          <t xml:space="preserve">CLP</t>
        </is>
      </c>
      <c r="M113" s="0" t="inlineStr">
        <is>
          <t xml:space="preserve">LP</t>
        </is>
      </c>
      <c r="N113" s="4" t="inlineStr">
        <is>
          <t xml:space="preserve">Tecnologías de la información, telecomunicaciones y radiodifusión / Equipos informáticos y accesorios / Computadores</t>
        </is>
      </c>
      <c r="O113" s="4" t="inlineStr">
        <is>
          <t xml:space="preserve">1 Unidad · Servidores</t>
        </is>
      </c>
      <c r="P113" s="2"/>
      <c r="Q113" s="2"/>
      <c r="R113" s="0" t="inlineStr">
        <is>
          <t xml:space="preserve">20 meses</t>
        </is>
      </c>
      <c r="S113" s="0" t="inlineStr">
        <is>
          <t xml:space="preserve">No</t>
        </is>
      </c>
      <c r="T113" s="4"/>
      <c r="U113" s="0" t="inlineStr">
        <is>
          <t xml:space="preserve">Pamela Guillén Montecino</t>
        </is>
      </c>
      <c r="V113" s="4" t="inlineStr">
        <is>
          <t xml:space="preserve">El Gobierno Regional de Arica y Parinacota requiere contratar la adquisición, implementación y modernización integral de su infraestructura tecnológica, incluyendo virtualización, almacenamiento, respaldo, redes y seguridad, con el propósito de fortalecer la continuidad operativa y modernizar los servicios tecnológicos institucionales.
La contratación comprende el suministro de equipos, licencias, instalación, configuración, integración, migración, pruebas, documentación, capacitación, garantías y soporte, de acuerdo con las Bases Administrativas, Bases Técnicas y anexos de la presente licitación.</t>
        </is>
      </c>
      <c r="W113" s="5" t="str">
        <f>HYPERLINK("https://www.mercadopublico.cl/Procurement/Modules/Attachment/ViewAttachment.aspx?enc=t18ON5oerhnwKBw0U9fryr8%2fkLF%2bK27sDHTAzquKxKWrAwqcTefT61t%2bZGSNO8XnvlIXCoa%2fBl0ni4zEUYNXk8C5SwnzMtOCYaLgKgA7hvbLy%2fKtKer42eE4eHIhk4NdgTVVXRQjzTztX2Q6TvgpsJ0nXGYl8SDX6jp1yHHYfYKX9fYXpqfx1KmXbUsFBhFqUWQxELGgxqsaUaJMveffd77B3xlCMUZjQSTQiwXilREw8QcGcjF%2fXhLzhGnq9vgN9lZrx8ojQpxXLMqteguphJDu8N6uhRyjs81s2FsyGwbgAy7immK8pcc7Y6x3gGaY","descargar bases")</f>
      </c>
    </row>
    <row r="114">
      <c r="A114" s="0" t="inlineStr">
        <is>
          <t xml:space="preserve">1605-52-LR26</t>
        </is>
      </c>
      <c r="B114" s="4" t="inlineStr">
        <is>
          <t xml:space="preserve">LR-5231 LICENCIAS DE SOFTWARE CONTROL M</t>
        </is>
      </c>
      <c r="C114" s="0" t="inlineStr">
        <is>
          <t xml:space="preserve">Publicada</t>
        </is>
      </c>
      <c r="D114" s="0" t="inlineStr">
        <is>
          <t xml:space="preserve">SERVICIO DE IMPUESTOS INTERNOS DIRECCION</t>
        </is>
      </c>
      <c r="E114" s="0" t="inlineStr">
        <is>
          <t xml:space="preserve">SII Dirección Nacional</t>
        </is>
      </c>
      <c r="F114" s="0" t="inlineStr">
        <is>
          <t xml:space="preserve">Región Metropolitana de Santiago</t>
        </is>
      </c>
      <c r="G114" s="0" t="inlineStr">
        <is>
          <t xml:space="preserve">Santiago</t>
        </is>
      </c>
      <c r="H114" s="2">
        <v>46315.383125</v>
      </c>
      <c r="I114" s="2">
        <v>46345.666667</v>
      </c>
      <c r="J114" s="0">
        <v>19</v>
      </c>
      <c r="K114" s="3">
        <v>660000.0</v>
      </c>
      <c r="L114" s="0" t="inlineStr">
        <is>
          <t xml:space="preserve">USD</t>
        </is>
      </c>
      <c r="M114" s="0" t="inlineStr">
        <is>
          <t xml:space="preserve">LR</t>
        </is>
      </c>
      <c r="N114" s="4" t="inlineStr">
        <is>
          <t xml:space="preserve">Tecnologías de la información, telecomunicaciones y radiodifusión / Software / Software de gestión</t>
        </is>
      </c>
      <c r="O114" s="4" t="inlineStr">
        <is>
          <t xml:space="preserve">1 Unidad · Software de sistema experto</t>
        </is>
      </c>
      <c r="P114" s="2"/>
      <c r="Q114" s="2"/>
      <c r="R114" s="0" t="inlineStr">
        <is>
          <t xml:space="preserve">36 meses</t>
        </is>
      </c>
      <c r="S114" s="0" t="inlineStr">
        <is>
          <t xml:space="preserve">No</t>
        </is>
      </c>
      <c r="T114" s="4" t="inlineStr">
        <is>
          <t xml:space="preserve">De acuerdo a numeral 2.3 de las bases administrativas - parte I de las Resolución Exenta 4518 del 2026.</t>
        </is>
      </c>
      <c r="U114" s="0" t="inlineStr">
        <is>
          <t xml:space="preserve">Cesar Zegarra Rojas</t>
        </is>
      </c>
      <c r="V114" s="4" t="inlineStr">
        <is>
          <t xml:space="preserve">Adquirir licencias de Software Control-M modalidad Platform, las cuales serán utilizadas para automatizar, programar y monitorear procesos de negocio por un periodo de 36 meses.</t>
        </is>
      </c>
      <c r="W114" s="5" t="str">
        <f>HYPERLINK("https://www.mercadopublico.cl/Procurement/Modules/Attachment/ViewAttachment.aspx?enc=p7%2bkLR2%2fzTmkx8OTKY8F76zuCpB%2fsY3jsUr8V%2bcuuBLPYpFa%2fy61lDbWPnvbhZxztzeGF6TMdtq2zW%2b7n91VIbMth0MEe1qWiSPZvY92RN0oL31yvJVazB8OoHoMiGLeRgDrdN2L2KgdQrvXObQ8T7a9jWUageB2zsgOAe7WJ0NQr0lbpAgvxIzHC3ft3Op6pEd7dWe1nGEkWXrab9Vpfc8OXbGBXrqGjA72CXLeu07Dyj9d%2bewsahG%2fq0S2ZqOthl0HJR2b4%2bBY5S427zm2FcXi2IUJTsVwvGrIUVXT57Hmu159d87eillO8QND22zW","descargar bases")</f>
      </c>
    </row>
    <row r="115">
      <c r="A115" s="0" t="inlineStr">
        <is>
          <t xml:space="preserve">1057417-247-LP26</t>
        </is>
      </c>
      <c r="B115" s="4" t="inlineStr">
        <is>
          <t xml:space="preserve">IC CONVENIO SUMINISTRO INSUMOS PARA ELECTROFORESIS E INMUNOFIJACION DE PROTEINAS CON SOFTWARE Y EQUIPO EN COMODATO</t>
        </is>
      </c>
      <c r="C115" s="0" t="inlineStr">
        <is>
          <t xml:space="preserve">Publicada</t>
        </is>
      </c>
      <c r="D115" s="0" t="inlineStr">
        <is>
          <t xml:space="preserve">COMPLEJO ASISTENCIAL DR.VICTOR RIOS RUIZ</t>
        </is>
      </c>
      <c r="E115" s="0" t="inlineStr">
        <is>
          <t xml:space="preserve">Bienes y Servicios</t>
        </is>
      </c>
      <c r="F115" s="0" t="inlineStr">
        <is>
          <t xml:space="preserve">Región del Biobío </t>
        </is>
      </c>
      <c r="G115" s="0" t="inlineStr">
        <is>
          <t xml:space="preserve">Los Angeles</t>
        </is>
      </c>
      <c r="H115" s="2">
        <v>46325.345718</v>
      </c>
      <c r="I115" s="2">
        <v>46345.708333</v>
      </c>
      <c r="J115" s="0">
        <v>19</v>
      </c>
      <c r="K115" s="3">
        <v>123939397.0</v>
      </c>
      <c r="L115" s="0" t="inlineStr">
        <is>
          <t xml:space="preserve">CLP</t>
        </is>
      </c>
      <c r="M115" s="0" t="inlineStr">
        <is>
          <t xml:space="preserve">LP</t>
        </is>
      </c>
      <c r="N115" s="4" t="inlineStr">
        <is>
          <t xml:space="preserve">Equipamiento para laboratorios / Equipos e insumos para laboratorio / Sistemas y suministros de electroforesis y transferencia para laboratorio</t>
        </is>
      </c>
      <c r="O115" s="4" t="inlineStr">
        <is>
          <t xml:space="preserve">3000 Tira · Geles de agarosa prefabricados · 720 Tira · Geles de agarosa prefabricados · 360 Tira · Geles de agarosa prefabricados</t>
        </is>
      </c>
      <c r="P115" s="2"/>
      <c r="Q115" s="2"/>
      <c r="R115" s="0" t="inlineStr">
        <is>
          <t xml:space="preserve">36 meses</t>
        </is>
      </c>
      <c r="S115" s="0" t="inlineStr">
        <is>
          <t xml:space="preserve">No</t>
        </is>
      </c>
      <c r="T115" s="4" t="inlineStr">
        <is>
          <t xml:space="preserve">Por la naturaleza del convenio se prohíbe subcontratación.</t>
        </is>
      </c>
      <c r="U115" s="0" t="inlineStr">
        <is>
          <t xml:space="preserve">FERNANDO CANO</t>
        </is>
      </c>
      <c r="V115" s="4" t="inlineStr">
        <is>
          <t xml:space="preserve">CONVENIO SUMINISTRO INSUMOS PARA ELECTROFORESIS E INMUNOFIJACION DE PROTEINAS CON SOFTWARE Y EQUIPO EN COMODATO, POR 36 MESES</t>
        </is>
      </c>
      <c r="W115" s="5" t="str">
        <f>HYPERLINK("https://www.mercadopublico.cl/Procurement/Modules/Attachment/ViewAttachment.aspx?enc=CBz3lEmOEgdzibCnVAmvf%2fCZL63vL8VJGfZXYWakJ435r%2bavxX5I3UemK9sH45rfVAt4LqyEWAZjGzbfIoKM9N921FwGkUzTAZTK5gfIaiahLWalzzzT7%2bSP%2fgKzyx9ZOVZvQ9%2blsjJZhXsHR%2bpRhj%2bjxPKsd2XcTOLDdXhCUoCkM3pOUgSmDpAjuiNAJnMbofxiKyr95vInhqvro8RTDfHchH13uRbq7pZnMnnKAGLgHVOsgC4K%2fHEtjtCzs7vV47RB1xxDIgg9nOJMXQDv%2fp0LsFoikhpo%2fSYc%2fU6Uv48Lq8X3ViaV1egxnU9jJyfk","descargar bases")</f>
      </c>
    </row>
    <row r="116">
      <c r="A116" s="0" t="inlineStr">
        <is>
          <t xml:space="preserve">3759-60-LR26</t>
        </is>
      </c>
      <c r="B116" s="4" t="inlineStr">
        <is>
          <t xml:space="preserve">SERVICIO DE ARRENDAMIENTO DE PLATAFORMA</t>
        </is>
      </c>
      <c r="C116" s="0" t="inlineStr">
        <is>
          <t xml:space="preserve">Publicada</t>
        </is>
      </c>
      <c r="D116" s="0" t="inlineStr">
        <is>
          <t xml:space="preserve">Ilustre Municipalidad de Yerbas Buenas</t>
        </is>
      </c>
      <c r="E116" s="0" t="inlineStr">
        <is>
          <t xml:space="preserve">Ilustre Municipalidad de Yerbas Buenas</t>
        </is>
      </c>
      <c r="F116" s="0" t="inlineStr">
        <is>
          <t xml:space="preserve">Región del Maule </t>
        </is>
      </c>
      <c r="G116" s="0" t="inlineStr">
        <is>
          <t xml:space="preserve">Yerbas Buenas</t>
        </is>
      </c>
      <c r="H116" s="2">
        <v>46316.508333</v>
      </c>
      <c r="I116" s="2">
        <v>46349.625694</v>
      </c>
      <c r="J116" s="0">
        <v>23</v>
      </c>
      <c r="K116" s="3"/>
      <c r="L116" s="0" t="inlineStr">
        <is>
          <t xml:space="preserve">CLP</t>
        </is>
      </c>
      <c r="M116" s="0" t="inlineStr">
        <is>
          <t xml:space="preserve">LR</t>
        </is>
      </c>
      <c r="N116" s="4" t="inlineStr">
        <is>
          <t xml:space="preserve">Tecnologías de la información, telecomunicaciones y radiodifusión / Software / Software de consultas y gestión de datos</t>
        </is>
      </c>
      <c r="O116" s="4" t="inlineStr">
        <is>
          <t xml:space="preserve">1 Global · Software del sistema de administración de bases de datos</t>
        </is>
      </c>
      <c r="P116" s="2"/>
      <c r="Q116" s="2"/>
      <c r="R116" s="0" t="inlineStr">
        <is>
          <t xml:space="preserve">24 meses</t>
        </is>
      </c>
      <c r="S116" s="0" t="inlineStr">
        <is>
          <t xml:space="preserve">No</t>
        </is>
      </c>
      <c r="T116" s="4"/>
      <c r="U116" s="0" t="inlineStr">
        <is>
          <t xml:space="preserve">MUNICIPALIDAD DE YERBAS BUENAS</t>
        </is>
      </c>
      <c r="V116" s="4" t="inlineStr">
        <is>
          <t xml:space="preserve">SERVICIO DE ARRENDAMIENTO DE PLATAFORMA DE GESTIÓN Y VENTA DE PERMISOS DE CIRCULACIÓN VEHICULAR, COMUNA DE YERBAS BUENAS.</t>
        </is>
      </c>
      <c r="W116" s="5" t="str">
        <f>HYPERLINK("https://www.mercadopublico.cl/Procurement/Modules/Attachment/ViewAttachment.aspx?enc=3vg4xI7UbnjkGQGmGbIzuSJkgZjOi3uSxtnGmswCC7bcAV0Hb0DO3io4oUociy8KDUmtAqI2Hs8VOhEBK2Qmc4SIDCuUhK%2bUS%2bKMqdVinumm70zDLw%2bNQ%2be15NX%2fHYra%2bAFT3YTBa7TgxKcS3pn8KP%2bxcHbJACtkAscAD7L4T%2bCwBoTIWqBXf5n5AS6D42JVWw8vXEEUYfIGs5vh6FlRVCeY5ptqgsv8NuBJ4tLa%2b8eI5IPnnrjzdgstUhcVdmOPrcmiPifYn7jPigNnT27ySVkv7F0EhYAn9bVort2M1tsWk5hwGybDgxiPZWc6CNx7","descargar bases")</f>
      </c>
    </row>
    <row r="117">
      <c r="A117" s="0" t="inlineStr">
        <is>
          <t xml:space="preserve">1456837-4-LR26</t>
        </is>
      </c>
      <c r="B117" s="4" t="inlineStr">
        <is>
          <t xml:space="preserve">SUMINISTRO DE MATERIALES DE OFICINA A TRAVÉS DE PLATAFORMA CLOUDE-COMMERCE</t>
        </is>
      </c>
      <c r="C117" s="0" t="inlineStr">
        <is>
          <t xml:space="preserve">Publicada</t>
        </is>
      </c>
      <c r="D117" s="0" t="inlineStr">
        <is>
          <t xml:space="preserve">SERVICIO LOCAL DE EDUCACIÓN PÚBLICA LA QUEBRADA</t>
        </is>
      </c>
      <c r="E117" s="0" t="inlineStr">
        <is>
          <t xml:space="preserve">SERVICIO LOCAL DE EDUCACIÓN PÚBLICA LA QUEBRADA</t>
        </is>
      </c>
      <c r="F117" s="0" t="inlineStr">
        <is>
          <t xml:space="preserve">Región Metropolitana de Santiago</t>
        </is>
      </c>
      <c r="G117" s="0" t="inlineStr">
        <is>
          <t xml:space="preserve">La Florida</t>
        </is>
      </c>
      <c r="H117" s="2">
        <v>46318.697801</v>
      </c>
      <c r="I117" s="2">
        <v>46349.625694</v>
      </c>
      <c r="J117" s="0">
        <v>23</v>
      </c>
      <c r="K117" s="3">
        <v>420000000.0</v>
      </c>
      <c r="L117" s="0" t="inlineStr">
        <is>
          <t xml:space="preserve">CLP</t>
        </is>
      </c>
      <c r="M117" s="0" t="inlineStr">
        <is>
          <t xml:space="preserve">LR</t>
        </is>
      </c>
      <c r="N117" s="4" t="inlineStr">
        <is>
          <t xml:space="preserve">Equipos, accesorios y suministros de oficina / Suministros de oficina / Instrumentos de escritura</t>
        </is>
      </c>
      <c r="O117" s="4" t="inlineStr">
        <is>
          <t xml:space="preserve">1 Unidad · Juegos de bolígrafos y lápices</t>
        </is>
      </c>
      <c r="P117" s="2"/>
      <c r="Q117" s="2"/>
      <c r="R117" s="0" t="inlineStr">
        <is>
          <t xml:space="preserve">18 meses</t>
        </is>
      </c>
      <c r="S117" s="0" t="inlineStr">
        <is>
          <t xml:space="preserve">No</t>
        </is>
      </c>
      <c r="T117" s="4"/>
      <c r="U117" s="0" t="inlineStr">
        <is>
          <t xml:space="preserve">Gloria Montecinos Leiva</t>
        </is>
      </c>
      <c r="V117" s="4" t="inlineStr">
        <is>
          <t xml:space="preserve">SUMINISTRO DE MATERIALES DE OFICINA A TRAVÉS DE PLATAFORMA CLOUD/E-COMMERCE</t>
        </is>
      </c>
      <c r="W117" s="5" t="str">
        <f>HYPERLINK("https://www.mercadopublico.cl/Procurement/Modules/Attachment/ViewAttachment.aspx?enc=tQrB0iOAZxiTdLYvVVrq0k7GkljWTZe2hSSQrYtnGqFkhkRqVsxfMm%2b7QlX4MmlLoaPQvaLsYhfm%2fjNjlphCe0f1%2fcWwxC7zUX2aRN53pNYENUMM4yCCQJf7%2bCuHlHg7JriBHD8kR57mmDrQCiNwlCCr05GhRC9XW3jKnYY8S3EdfY9klMOsM9A8d4%2bd17npFvMayUGGM21RbwmJgUYIjcQyN5DTRa%2bDohUNFRYEkQfyuW0P2G%2f20Hw3qanv1X3gQPmEBDBwkb0JPJ4P97UKo1zI%2fG8z%2f2uTjU3vEjCW4lPN3HdqgyNaw0DTUBG8W8KO","descargar bases")</f>
      </c>
    </row>
    <row r="118">
      <c r="A118" s="0" t="inlineStr">
        <is>
          <t xml:space="preserve">1057898-85-LR26</t>
        </is>
      </c>
      <c r="B118" s="4" t="inlineStr">
        <is>
          <t xml:space="preserve">ADQUISICIÓN DE SOFTWARES HIS-ESB-BI Y ERP PARA EL NUEVO HOSPITAL REGIONAL DE ÑUBLE</t>
        </is>
      </c>
      <c r="C118" s="0" t="inlineStr">
        <is>
          <t xml:space="preserve">Publicada</t>
        </is>
      </c>
      <c r="D118" s="0" t="inlineStr">
        <is>
          <t xml:space="preserve">SERVICIO DE SALUD NUBLE</t>
        </is>
      </c>
      <c r="E118" s="0" t="inlineStr">
        <is>
          <t xml:space="preserve">Activos Fijos</t>
        </is>
      </c>
      <c r="F118" s="0" t="inlineStr">
        <is>
          <t xml:space="preserve">Región del Ñuble</t>
        </is>
      </c>
      <c r="G118" s="0" t="inlineStr">
        <is>
          <t xml:space="preserve">Chillán</t>
        </is>
      </c>
      <c r="H118" s="2">
        <v>46304.500694</v>
      </c>
      <c r="I118" s="2">
        <v>46349.708333</v>
      </c>
      <c r="J118" s="0">
        <v>23</v>
      </c>
      <c r="K118" s="3">
        <v>19373825000.0</v>
      </c>
      <c r="L118" s="0" t="inlineStr">
        <is>
          <t xml:space="preserve">CLP</t>
        </is>
      </c>
      <c r="M118" s="0" t="inlineStr">
        <is>
          <t xml:space="preserve">LR</t>
        </is>
      </c>
      <c r="N118" s="4" t="inlineStr">
        <is>
          <t xml:space="preserve">Tecnologías de la información, telecomunicaciones y radiodifusión / Software / Software de administración de redes</t>
        </is>
      </c>
      <c r="O118" s="4" t="inlineStr">
        <is>
          <t xml:space="preserve">1 Global · Software de administración · 1 Global · Software de administración</t>
        </is>
      </c>
      <c r="P118" s="2"/>
      <c r="Q118" s="2"/>
      <c r="R118" s="0" t="inlineStr">
        <is>
          <t xml:space="preserve">96 meses</t>
        </is>
      </c>
      <c r="S118" s="0" t="inlineStr">
        <is>
          <t xml:space="preserve">No</t>
        </is>
      </c>
      <c r="T118" s="4"/>
      <c r="U118" s="0" t="inlineStr">
        <is>
          <t xml:space="preserve">RODOLFO JIMENEZ</t>
        </is>
      </c>
      <c r="V118" s="4" t="inlineStr">
        <is>
          <t xml:space="preserve">El Servicio de Salud Ñuble requiere efectuar la ADQUISICIÓN DE SOFTWARES HIS-ESB-BI Y ERP PARA EL NUEVO HOSPITAL REGIONAL DE ÑUBLE, de acuerdo a las Bases Administrativas adjuntas y sus respectivos Anexos.</t>
        </is>
      </c>
      <c r="W118" s="5" t="str">
        <f>HYPERLINK("https://www.mercadopublico.cl/Procurement/Modules/Attachment/ViewAttachment.aspx?enc=61PIshDFKK3Yuaqp4zrXS13zi%2bjiSdBwYRVwDaiePRu4sJi%2by5SdB7Jz4AHCNJ3q6CuKQbRbbsPlE5DNB1QF3ej9qWHhJ8Y4RqA59Ih7dFEujNjDYENb4vNWt1Gu12X7dLX6psy5rJTbHCnQWeGgmu%2bxtEdOiYimyJYlzSVjlr8jyFIrVc6t51x%2bu9dzNxZAGqW6Jy5kinzDGxASrXX%2fTuNn%2fEQ9INF%2bQL72i1FL9658Lh5Il%2bK895XG%2ffJjBeCIcPHKOJwDcjfkEU%2bkTnk6bNMlQ9W8SAl%2bWLAtbvyZZTPLoD4FxjaohjlS6ghBY7%2fS","descargar bases")</f>
      </c>
    </row>
    <row r="119">
      <c r="A119" s="0" t="inlineStr">
        <is>
          <t xml:space="preserve">2426-52-LR26</t>
        </is>
      </c>
      <c r="B119" s="4" t="inlineStr">
        <is>
          <t xml:space="preserve">DATACENTER ENLACES DE DATOS TELEFONIA E INTERNET</t>
        </is>
      </c>
      <c r="C119" s="0" t="inlineStr">
        <is>
          <t xml:space="preserve">Publicada</t>
        </is>
      </c>
      <c r="D119" s="0" t="inlineStr">
        <is>
          <t xml:space="preserve">I MUNICIPALIDAD DE VALPARAISO</t>
        </is>
      </c>
      <c r="E119" s="0" t="inlineStr">
        <is>
          <t xml:space="preserve">ADQUISICIONES MAYORES</t>
        </is>
      </c>
      <c r="F119" s="0" t="inlineStr">
        <is>
          <t xml:space="preserve">Región de Valparaíso </t>
        </is>
      </c>
      <c r="G119" s="0" t="inlineStr">
        <is>
          <t xml:space="preserve">Valparaíso</t>
        </is>
      </c>
      <c r="H119" s="2">
        <v>46297.657639</v>
      </c>
      <c r="I119" s="2">
        <v>46350.666667</v>
      </c>
      <c r="J119" s="0">
        <v>24</v>
      </c>
      <c r="K119" s="3">
        <v>40719.0</v>
      </c>
      <c r="L119" s="0" t="inlineStr">
        <is>
          <t xml:space="preserve">CLF</t>
        </is>
      </c>
      <c r="M119" s="0" t="inlineStr">
        <is>
          <t xml:space="preserve">LR</t>
        </is>
      </c>
      <c r="N119" s="4" t="inlineStr">
        <is>
          <t xml:space="preserve">Servicios basados en ingeniería, ciencias sociales y tecnología de la información / Servicios informáticos / Servicios de datos</t>
        </is>
      </c>
      <c r="O119" s="4" t="inlineStr">
        <is>
          <t xml:space="preserve">1 Unidad · Centro de servicios de datos</t>
        </is>
      </c>
      <c r="P119" s="2"/>
      <c r="Q119" s="2"/>
      <c r="R119" s="0" t="inlineStr">
        <is>
          <t xml:space="preserve">48 meses</t>
        </is>
      </c>
      <c r="S119" s="0" t="inlineStr">
        <is>
          <t xml:space="preserve">No</t>
        </is>
      </c>
      <c r="T119" s="4"/>
      <c r="U119" s="0" t="inlineStr">
        <is>
          <t xml:space="preserve">Juan Carlos Tempine</t>
        </is>
      </c>
      <c r="V119" s="4" t="inlineStr">
        <is>
          <t xml:space="preserve">SERVICIOS DE DATA CENTER, ENLACES DE DATOS, TELEFONÍA E INTERNET PARA LA MUNICIPALIDAD DE VALPARAÍSO</t>
        </is>
      </c>
      <c r="W119" s="5" t="str">
        <f>HYPERLINK("https://www.mercadopublico.cl/Procurement/Modules/Attachment/ViewAttachment.aspx?enc=yXhHoS00NI%2fNXm6jD96fdHb6eeIX8xnsOr0K%2b73xZtDm8JTmYkokZveA%2bnYEPJO8KyhxZsIm%2biaNq61Cof%2bsnX6OUvQfYZ6jxZU%2bJK%2bqm0ocBpnidRndyrM7Ucgx3b2rb00t4tVd4OIlnFryK5bjg3u%2bex%2bMxVQXspcVuy9YgyDe1VITNJQ8EuDTQjRR5Jg683xi6F5LfTgLJ%2b3TYV83ijTjbHFw69jo42e%2f1%2bxsYwmWY5BxzFGKD7ADnRiyQJZ3K2NFopeD%2feNUL69cmqIwwjC7NErMGVfK3VVl1perlg5NY2R9KFFRxO26zB0Ss61O","descargar bases")</f>
      </c>
    </row>
    <row r="120">
      <c r="A120" s="0" t="inlineStr">
        <is>
          <t xml:space="preserve">2770-161-LR26</t>
        </is>
      </c>
      <c r="B120" s="4" t="inlineStr">
        <is>
          <t xml:space="preserve">SOLUCIÓN INFORMÁTICA INTEGRAL PARA LA GESTIÓN DE PROCESOS DE LA I. MUNICIPALIDAD DE MAIPÚ</t>
        </is>
      </c>
      <c r="C120" s="0" t="inlineStr">
        <is>
          <t xml:space="preserve">Publicada</t>
        </is>
      </c>
      <c r="D120" s="0" t="inlineStr">
        <is>
          <t xml:space="preserve">I MUNICIPALIDAD DE MAIPU</t>
        </is>
      </c>
      <c r="E120" s="0" t="inlineStr">
        <is>
          <t xml:space="preserve">I MUNICIPALIDAD DE MAIPU</t>
        </is>
      </c>
      <c r="F120" s="0" t="inlineStr">
        <is>
          <t xml:space="preserve">Región Metropolitana de Santiago</t>
        </is>
      </c>
      <c r="G120" s="0" t="inlineStr">
        <is>
          <t xml:space="preserve">Maipú</t>
        </is>
      </c>
      <c r="H120" s="2">
        <v>46321.547454</v>
      </c>
      <c r="I120" s="2">
        <v>46352.583333</v>
      </c>
      <c r="J120" s="0">
        <v>26</v>
      </c>
      <c r="K120" s="3">
        <v>480000000.0</v>
      </c>
      <c r="L120" s="0" t="inlineStr">
        <is>
          <t xml:space="preserve">CLP</t>
        </is>
      </c>
      <c r="M120" s="0" t="inlineStr">
        <is>
          <t xml:space="preserve">LR</t>
        </is>
      </c>
      <c r="N120" s="4" t="inlineStr">
        <is>
          <t xml:space="preserve">Servicios basados en ingeniería, ciencias sociales y tecnología de la información / Servicios informáticos / Ingeniería en computación e informática</t>
        </is>
      </c>
      <c r="O120" s="4" t="inlineStr">
        <is>
          <t xml:space="preserve">1 Global · Integración de sistemas</t>
        </is>
      </c>
      <c r="P120" s="2"/>
      <c r="Q120" s="2"/>
      <c r="R120" s="0" t="inlineStr">
        <is>
          <t xml:space="preserve">24 meses</t>
        </is>
      </c>
      <c r="S120" s="0" t="inlineStr">
        <is>
          <t xml:space="preserve">No</t>
        </is>
      </c>
      <c r="T120" s="4"/>
      <c r="U120" s="0" t="inlineStr">
        <is>
          <t xml:space="preserve">Teresa Olave Quinteros</t>
        </is>
      </c>
      <c r="V120" s="4" t="inlineStr">
        <is>
          <t xml:space="preserve">La finalidad de la presente licitación pública es contratar una Solución Informática Integral para la Gestión de Procesos de la I. Municipalidad de Maipú, bajo modalidad de arriendo de software, infraestructura y soporte para los servicios municipales, sobre una plataforma única destinada a gestionar los principales procesos administrativos, financieros y de atención a la comunidad. Asimismo, deberá facilitar la realización de trámites en línea y el acceso oportuno y confiable a la información, contribuyendo a mejorar la eficiencia de la gestión municipal, la calidad y cobertura de los servicios, la toma de decisiones, la transparencia y el control institucional.
Todo lo anterior en virtud de lo dispuesto en las presentes Bases Administrativas, las Bases Técnicas y
todos sus anexos</t>
        </is>
      </c>
      <c r="W120" s="5" t="str">
        <f>HYPERLINK("https://www.mercadopublico.cl/Procurement/Modules/Attachment/ViewAttachment.aspx?enc=fpI1xoQjbWKgGtrkQZwy5pjYMr9uZCMG%2bfYWdnWBFrnJtIKmOoHWSF8aGs9yD3EBWFqJLKQpX9KgUdvubtwm92XF8S31OVrWpqv6eG8WIcp%2bVi6QaSJe4GLAvgbO64GgWkV9aL2AgYTCajt0TAoX2P%2b3ijTPqj9xSUvxAXpqox0nG%2fVU4owSSkmgBvV4uP5WNpwImeX77h0zKT6io6hctNtVEhxkgDXyelHK1Sw7SAGWe9%2bM6ekS08c4xq2mhSA7FDpNDJ4oCWmFklW09nS%2f50QvMYIaUDkjo7CkyfXKl3PUvv8Qb70ClILEbojjWs6h","descargar bases")</f>
      </c>
    </row>
    <row r="121">
      <c r="A121" s="0" t="inlineStr">
        <is>
          <t xml:space="preserve">3841-34-LE26</t>
        </is>
      </c>
      <c r="B121" s="4" t="inlineStr">
        <is>
          <t xml:space="preserve">EQUIPOS INFORMATICOS Y AUDIO</t>
        </is>
      </c>
      <c r="C121" s="0" t="inlineStr">
        <is>
          <t xml:space="preserve">Publicada</t>
        </is>
      </c>
      <c r="D121" s="0" t="inlineStr">
        <is>
          <t xml:space="preserve">I MUNICIPALIDAD DE PEMUCO</t>
        </is>
      </c>
      <c r="E121" s="0" t="inlineStr">
        <is>
          <t xml:space="preserve">I MUNICIPALIDAD DE PEMUCO</t>
        </is>
      </c>
      <c r="F121" s="0" t="inlineStr">
        <is>
          <t xml:space="preserve">Región del Ñuble</t>
        </is>
      </c>
      <c r="G121" s="0" t="inlineStr">
        <is>
          <t xml:space="preserve">Pemuco</t>
        </is>
      </c>
      <c r="H121" s="2">
        <v>46316.380023</v>
      </c>
      <c r="I121" s="2">
        <v>46352.625</v>
      </c>
      <c r="J121" s="0">
        <v>26</v>
      </c>
      <c r="K121" s="3">
        <v>9500000.0</v>
      </c>
      <c r="L121" s="0" t="inlineStr">
        <is>
          <t xml:space="preserve">CLP</t>
        </is>
      </c>
      <c r="M121" s="0" t="inlineStr">
        <is>
          <t xml:space="preserve">LE</t>
        </is>
      </c>
      <c r="N121"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21" s="4" t="inlineStr">
        <is>
          <t xml:space="preserve">1 Global · Computadores de escritorio · 1 Global · Parlantes</t>
        </is>
      </c>
      <c r="P121" s="2"/>
      <c r="Q121" s="2"/>
      <c r="R121" s="0"/>
      <c r="S121" s="0" t="inlineStr">
        <is>
          <t xml:space="preserve">No</t>
        </is>
      </c>
      <c r="T121" s="4"/>
      <c r="U121" s="0" t="inlineStr">
        <is>
          <t xml:space="preserve">JUAN SEBASTIAN CASANUEVA ARIAS</t>
        </is>
      </c>
      <c r="V121" s="4" t="inlineStr">
        <is>
          <t xml:space="preserve">EQUIPOS INFORMATICOS DIVERSAS UNIDADES MUNICIPALES, PEMUCO</t>
        </is>
      </c>
      <c r="W121" s="5" t="str">
        <f>HYPERLINK("https://www.mercadopublico.cl/Procurement/Modules/Attachment/ViewAttachment.aspx?enc=tpQYinYi5hZuVpRi3Y2OZ%2bowJSuvb2i4AjiP6cUDCsugOGm%2b1i3mgp6tXcfK7uM5tiZUx8TJFGOB%2b0BixqVWIU%2bdOsyXZADsuKpW8zrP8ithZkmXfutSGCcPdlIELIxENlzknjM%2beUEocqRla0kDWLrYMz3Rgn2cVUmaYGBMH%2bjzIZbbcqxz3n4gGksSlzDSHCb6qIi8bjye3zrpO4eV%2fsGTZIjxK2D7q%2bHQB6SQnu3f5NEHWjblxhdieIO3OwHW%2bN2NtccVukDMGIehyATwVtf7SMH%2bGJrqgbwmkcg8NyG6UPbAwYSMEQi7jue4e%2bpO","descargar bases")</f>
      </c>
    </row>
    <row r="122">
      <c r="A122" s="0" t="inlineStr">
        <is>
          <t xml:space="preserve">4301-70-LR26</t>
        </is>
      </c>
      <c r="B122" s="4" t="inlineStr">
        <is>
          <t xml:space="preserve">implementación y arriendo plataforma de software</t>
        </is>
      </c>
      <c r="C122" s="0" t="inlineStr">
        <is>
          <t xml:space="preserve">Publicada</t>
        </is>
      </c>
      <c r="D122" s="0" t="inlineStr">
        <is>
          <t xml:space="preserve">I MUNICIPALIDAD DE ZAPALLAR</t>
        </is>
      </c>
      <c r="E122" s="0" t="inlineStr">
        <is>
          <t xml:space="preserve">IMUNI_ ZAPALLAR</t>
        </is>
      </c>
      <c r="F122" s="0" t="inlineStr">
        <is>
          <t xml:space="preserve">Región de Valparaíso </t>
        </is>
      </c>
      <c r="G122" s="0" t="inlineStr">
        <is>
          <t xml:space="preserve">Zapallar</t>
        </is>
      </c>
      <c r="H122" s="2">
        <v>46322.67375</v>
      </c>
      <c r="I122" s="2">
        <v>46353.375</v>
      </c>
      <c r="J122" s="0">
        <v>27</v>
      </c>
      <c r="K122" s="3"/>
      <c r="L122" s="0" t="inlineStr">
        <is>
          <t xml:space="preserve">CLF</t>
        </is>
      </c>
      <c r="M122" s="0" t="inlineStr">
        <is>
          <t xml:space="preserve">LR</t>
        </is>
      </c>
      <c r="N122" s="4" t="inlineStr">
        <is>
          <t xml:space="preserve">Tecnologías de la información, telecomunicaciones y radiodifusión / Software / Software de administración de redes</t>
        </is>
      </c>
      <c r="O122" s="4" t="inlineStr">
        <is>
          <t xml:space="preserve">1 Unidad · Software de administración</t>
        </is>
      </c>
      <c r="P122" s="2"/>
      <c r="Q122" s="2"/>
      <c r="R122" s="0" t="inlineStr">
        <is>
          <t xml:space="preserve">48 meses</t>
        </is>
      </c>
      <c r="S122" s="0" t="inlineStr">
        <is>
          <t xml:space="preserve">No</t>
        </is>
      </c>
      <c r="T122" s="4"/>
      <c r="U122" s="0" t="inlineStr">
        <is>
          <t xml:space="preserve">informática</t>
        </is>
      </c>
      <c r="V122" s="4" t="inlineStr">
        <is>
          <t xml:space="preserve">La Ilustre Municipalidad de Zapallar, en adelante e indistintamente la “MUNICIPALIDAD” o el “MUNICIPIO”, llama a licitación pública para la contratación, denominada “implementación y arriendo plataforma de software de gestión municipal”</t>
        </is>
      </c>
      <c r="W122" s="5" t="str">
        <f>HYPERLINK("https://www.mercadopublico.cl/Procurement/Modules/Attachment/ViewAttachment.aspx?enc=EfLUhCjxYJCxEvxZHCPyrWxH87WR%2fnQI0ucVEkc5bPOM1imFsMDQXJLGfDsOjs6Exl%2f7Y94AElELBVaNndFmaUiD33yqeQoFAn0yfF68VB2Gg1L1fZTNIvsNqC1bVtvcmN7IT8NbhlyjWn7X9tgjP%2b1w0vggZPZoKl%2bLMT58dbVJKNJdv1Dn2Pn%2blSvfITcAvkfSvo5UKAKESinfwiuftc%2bsYK4iVcQW%2fTpmGAWfKuUqTNsutAsM8rC4%2fyBW1fAKgyvXjfZhocyuLMd32GRxQZ3p%2b8LnkbCGUj4TblSSZcrfxydxb2m6Mh5tuOmgpbzr","descargar bases")</f>
      </c>
    </row>
    <row r="123">
      <c r="A123" s="0" t="inlineStr">
        <is>
          <t xml:space="preserve">622-73-LR26</t>
        </is>
      </c>
      <c r="B123" s="4" t="inlineStr">
        <is>
          <t xml:space="preserve">CRÉDITOS CLOUD COMPUTING AWS PLATAFORMAS DE TGR</t>
        </is>
      </c>
      <c r="C123" s="0" t="inlineStr">
        <is>
          <t xml:space="preserve">Publicada</t>
        </is>
      </c>
      <c r="D123" s="0" t="inlineStr">
        <is>
          <t xml:space="preserve">TESORERIA GENERAL DE LA REPUBLICA</t>
        </is>
      </c>
      <c r="E123" s="0" t="inlineStr">
        <is>
          <t xml:space="preserve">Tesorería General de la República</t>
        </is>
      </c>
      <c r="F123" s="0" t="inlineStr">
        <is>
          <t xml:space="preserve">Región Metropolitana de Santiago</t>
        </is>
      </c>
      <c r="G123" s="0" t="inlineStr">
        <is>
          <t xml:space="preserve">Santiago</t>
        </is>
      </c>
      <c r="H123" s="2">
        <v>46322.638623</v>
      </c>
      <c r="I123" s="2">
        <v>46353.5</v>
      </c>
      <c r="J123" s="0">
        <v>27</v>
      </c>
      <c r="K123" s="3">
        <v>450000000.0</v>
      </c>
      <c r="L123" s="0" t="inlineStr">
        <is>
          <t xml:space="preserve">CLP</t>
        </is>
      </c>
      <c r="M123" s="0" t="inlineStr">
        <is>
          <t xml:space="preserve">LR</t>
        </is>
      </c>
      <c r="N123" s="4" t="inlineStr">
        <is>
          <t xml:space="preserve">Servicios basados en ingeniería, ciencias sociales y tecnología de la información / Servicios informáticos / Servicios de datos</t>
        </is>
      </c>
      <c r="O123" s="4" t="inlineStr">
        <is>
          <t xml:space="preserve">1 Unidad · Centro de servicios de datos</t>
        </is>
      </c>
      <c r="P123" s="2"/>
      <c r="Q123" s="2"/>
      <c r="R123" s="0"/>
      <c r="S123" s="0" t="inlineStr">
        <is>
          <t xml:space="preserve">No</t>
        </is>
      </c>
      <c r="T123" s="4" t="inlineStr">
        <is>
          <t xml:space="preserve">En esta licitación pública NO se permitirá la subcontratación, atendiendo a razones relacionadas con la naturaleza misma del objeto a contratar.</t>
        </is>
      </c>
      <c r="U123" s="0" t="inlineStr">
        <is>
          <t xml:space="preserve">Será indicado en el contrato que se suscriba</t>
        </is>
      </c>
      <c r="V123" s="4" t="inlineStr">
        <is>
          <t xml:space="preserve">Adquisición de Créditos Cloud Computing AWS, en adelante “AWS”, a ser utilizados como recursos cloud de alta disponibilidad que sean de fácil acceso y de altos estándares respecto del desempeño, niveles de servicio y seguridad, los que se utilizarán de forma mensual por un período de 12 meses o hasta que se consuman los créditos, lo que suceda primero. Esta licitación comprende UN ÍTEM, con dos componentes,  que será adjudicado a un solo proveedor quien deberá ofertar por cada uno de los componentes y proveer todo lo solicitado, conforme a lo indicado en las bases técnicas. 
El item de esta licitación será adjudicado a un solo proveedor quien deberá ofertar por cada uno de los componentes y proveer todo lo solicitado.</t>
        </is>
      </c>
      <c r="W123" s="5" t="str">
        <f>HYPERLINK("https://www.mercadopublico.cl/Procurement/Modules/Attachment/ViewAttachment.aspx?enc=zfkzvGGcqdVuKgYvmumV3mVGe%2b4h1Ro5dJwVCUzYiVrmAnDWMey8olXhU2a23LJmpooTRWBl0bueUOzSGudea3XarjLeyarWuwbCvDuF8%2bJhCiEgK%2bwIKJCRuUiLOp2oODbm1VmxWDsZlQu%2frWikfwuJUkQ9nFkJcreMypfHT9wwOXGhA0bw24uT6m8UjfJJL6Qtr%2f4ImHw8i3qGdG5zr1pe96BaA1FHCEBmmTLHpzxsMsl5pwUqqVGHX320W3tDYIVmVv%2bRDANqFji%2bfS7pUjYL1QYPdGM%2bRjMQ0DH3KfgHulI4AAI6edmJ01fEFqW8","descargar bases")</f>
      </c>
    </row>
    <row r="124">
      <c r="A124" s="0" t="inlineStr">
        <is>
          <t xml:space="preserve">1301883-32-LR26</t>
        </is>
      </c>
      <c r="B124" s="4" t="inlineStr">
        <is>
          <t xml:space="preserve">Modernización y ampliación del Subsistema de CCTV para el IP-IRC Coronel</t>
        </is>
      </c>
      <c r="C124" s="0" t="inlineStr">
        <is>
          <t xml:space="preserve">Publicada</t>
        </is>
      </c>
      <c r="D124" s="0" t="inlineStr">
        <is>
          <t xml:space="preserve">SERVICIO NACIONAL DE REINSERCION SOCIAL JUVENIL</t>
        </is>
      </c>
      <c r="E124" s="0" t="inlineStr">
        <is>
          <t xml:space="preserve">DIRECCIÓN NACIONAL</t>
        </is>
      </c>
      <c r="F124" s="0" t="inlineStr">
        <is>
          <t xml:space="preserve">Región Metropolitana de Santiago</t>
        </is>
      </c>
      <c r="G124" s="0" t="inlineStr">
        <is>
          <t xml:space="preserve">Santiago</t>
        </is>
      </c>
      <c r="H124" s="2">
        <v>46323.698785</v>
      </c>
      <c r="I124" s="2">
        <v>46356.625694</v>
      </c>
      <c r="J124" s="0">
        <v>30</v>
      </c>
      <c r="K124" s="3">
        <v>530552099.0</v>
      </c>
      <c r="L124" s="0" t="inlineStr">
        <is>
          <t xml:space="preserve">CLP</t>
        </is>
      </c>
      <c r="M124" s="0" t="inlineStr">
        <is>
          <t xml:space="preserve">LR</t>
        </is>
      </c>
      <c r="N124" s="4" t="inlineStr">
        <is>
          <t xml:space="preserve">Servicios de defensa nacional, orden público y seguridad / Orden público y seguridad / Servicios de seguridad y policiales</t>
        </is>
      </c>
      <c r="O124" s="4" t="inlineStr">
        <is>
          <t xml:space="preserve">1 Unidad · Servicios de vigilancia</t>
        </is>
      </c>
      <c r="P124" s="2"/>
      <c r="Q124" s="2"/>
      <c r="R124" s="0" t="inlineStr">
        <is>
          <t xml:space="preserve">22 meses</t>
        </is>
      </c>
      <c r="S124" s="0" t="inlineStr">
        <is>
          <t xml:space="preserve">No</t>
        </is>
      </c>
      <c r="T124" s="4"/>
      <c r="U124" s="0" t="inlineStr">
        <is>
          <t xml:space="preserve">Carla Uribe</t>
        </is>
      </c>
      <c r="V124" s="4" t="inlineStr">
        <is>
          <t xml:space="preserve">Las presentes bases de licitación tienen por objeto la contratación del proyecto de modernización y ampliación del Subsistema de CCTV para el IP-IRC coronel, dependiente de la Dirección Regional del Bio-Bio, del Servicio Nacional de Reinserción Social Juvenil.</t>
        </is>
      </c>
      <c r="W124" s="5" t="str">
        <f>HYPERLINK("https://www.mercadopublico.cl/Procurement/Modules/Attachment/ViewAttachment.aspx?enc=RWdlAJyNcT4CmUVfC8Qvn6hWLa9s9qy%2flIHjWrkkpSR1qNitdhqUgTV31fhJYeK9gIG2l0H5jmCa9jAFHJ3uu40%2bc%2bTvObfsHKybFc1rlbm9igBwUoqZrubaoVvrKw5fCrPMQTdDtvDnlIQD4NEPKtL0V%2fB%2bdqWS%2fwK0v5yjg3HcNfpiwhyGW36MAQkxHprvPXqVT0oKj7IZmSdcgBXZs6npRYAMuHa8u9RZPrQx8GoFQQqYYq%2bAtaWHhEafbsp71p7WwRGqcN%2fEbCBKbEMuMw6uu%2bbcJJyRvllFnfKw7XtApgL%2b8oGQwF8w7qaENSyc","descargar bases")</f>
      </c>
    </row>
    <row r="125">
      <c r="A125" s="0" t="inlineStr">
        <is>
          <t xml:space="preserve">1969-34-LS19</t>
        </is>
      </c>
      <c r="B125" s="4" t="inlineStr">
        <is>
          <t xml:space="preserve">AUTOMATIZACIÓN PORTÓN ACCESO A LINEA DE FUEGO</t>
        </is>
      </c>
      <c r="C125" s="0" t="inlineStr">
        <is>
          <t xml:space="preserve">Publicada</t>
        </is>
      </c>
      <c r="D125" s="0" t="inlineStr">
        <is>
          <t xml:space="preserve">DIRECCION GENERAL DE GENDARMERIA DE CHIL</t>
        </is>
      </c>
      <c r="E125" s="0" t="inlineStr">
        <is>
          <t xml:space="preserve">Región del Bio Bío</t>
        </is>
      </c>
      <c r="F125" s="0" t="inlineStr">
        <is>
          <t xml:space="preserve">Región del Biobío </t>
        </is>
      </c>
      <c r="G125" s="0" t="inlineStr">
        <is>
          <t xml:space="preserve">Concepción</t>
        </is>
      </c>
      <c r="H125" s="2">
        <v>43588.74809</v>
      </c>
      <c r="I125" s="2"/>
      <c r="J125" s="0"/>
      <c r="K125" s="3"/>
      <c r="L125" s="0" t="inlineStr">
        <is>
          <t xml:space="preserve">CLP</t>
        </is>
      </c>
      <c r="M125" s="0" t="inlineStr">
        <is>
          <t xml:space="preserve">LS</t>
        </is>
      </c>
      <c r="N125" s="4" t="inlineStr">
        <is>
          <t xml:space="preserve">Artículos para estructuras, obras y construcciones / Puertas, ventanas y vidrios / Puertas</t>
        </is>
      </c>
      <c r="O125" s="4" t="inlineStr">
        <is>
          <t xml:space="preserve">1 Unidad · Puertas de metal</t>
        </is>
      </c>
      <c r="P125" s="2"/>
      <c r="Q125" s="2"/>
      <c r="R125" s="0"/>
      <c r="S125" s="0" t="inlineStr">
        <is>
          <t xml:space="preserve">No</t>
        </is>
      </c>
      <c r="T125" s="4"/>
      <c r="U125" s="0" t="inlineStr">
        <is>
          <t xml:space="preserve">Héctor Polma Lillo</t>
        </is>
      </c>
      <c r="V125" s="4" t="inlineStr">
        <is>
          <t xml:space="preserve">AUTOMATIZACIÓN DE PORTÓN ACCESO A LINEA DE FUEGO C.P. CONCEPCIÓN</t>
        </is>
      </c>
      <c r="W125" s="5" t="str">
        <f>HYPERLINK("https://www.mercadopublico.cl/Procurement/Modules/Attachment/ViewAttachment.aspx?enc=zhqee5YvA2CiVptBi6JWZW0K3Zc9728OD6kWppj%2boNL0cq1YbI9rd6rqVEjU17r06gEXRPkNui5SO5Bh7ZWwwCntgw%2fYwk1WA%2faV7QEWdwUB%2f3lZgHVz%2ffjxA2mJ%2bXD%2bwmJApcsWgJcj3YubJY2dkw5NGZQCaSyFO%2bAzvp%2f6lFlvUyErrIkABeYwfvun1m0%2bIJaw%2b2Ckt5EGqibsZ0e3DTc9%2bkQpM8LNiXuDcoCH0Fwd5OwVyIhVlrHd5ydbYHG7UzHccgszmGv2BWO7vaFat6z4IstA9sZi8OIkKzvtxkAAABFJ1sf4m8hZ0%2fk2%2b7Zp","descargar bases")</f>
      </c>
    </row>
  </sheetData>
  <autoFilter ref="A1:W125"/>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2490-91-LP26</t>
        </is>
      </c>
      <c r="B2" s="4" t="inlineStr">
        <is>
          <t xml:space="preserve">ARRIENDO SOPORTE Y MANTENCIÓN DE GABINETES PSICOSENSOMÉTRICOS Y EQUIPOS COMPUTACIONALES CON SOFTWARE SPI INTEGRADO 2027-2031</t>
        </is>
      </c>
      <c r="C2" s="0">
        <v>1</v>
      </c>
      <c r="D2" s="4" t="inlineStr">
        <is>
          <t xml:space="preserve">Señales de tránsito</t>
        </is>
      </c>
      <c r="E2" s="4" t="inlineStr">
        <is>
          <t xml:space="preserve">Equipos y suministros de defensa, orden público, protección y seguridad / Seguridad y control público / Control de tráfico</t>
        </is>
      </c>
      <c r="F2" s="0">
        <v>1.0</v>
      </c>
      <c r="G2" s="0" t="inlineStr">
        <is>
          <t xml:space="preserve">Global</t>
        </is>
      </c>
      <c r="H2" s="4" t="inlineStr">
        <is>
          <t xml:space="preserve">“ARRIENDO, SOPORTE Y MANTENCIÓN DE GABINETES PSICOSENSOMÉTRICOS Y EQUIPOS COMPUTACIONALES CON SOFTWARE SPI INTEGRADO 2027-2031”</t>
        </is>
      </c>
    </row>
    <row r="3">
      <c r="A3" s="0" t="inlineStr">
        <is>
          <t xml:space="preserve">1057432-101-LE26</t>
        </is>
      </c>
      <c r="B3" s="4" t="inlineStr">
        <is>
          <t xml:space="preserve">SOFTWARE DE DISEÑO PARA SSC POR 12 MESES.</t>
        </is>
      </c>
      <c r="C3" s="0">
        <v>1</v>
      </c>
      <c r="D3" s="4" t="inlineStr">
        <is>
          <t xml:space="preserve">Software de gestión de licencias</t>
        </is>
      </c>
      <c r="E3" s="4" t="inlineStr">
        <is>
          <t xml:space="preserve">Tecnologías de la información, telecomunicaciones y radiodifusión / Software / Software de gestión</t>
        </is>
      </c>
      <c r="F3" s="0">
        <v>13.0</v>
      </c>
      <c r="G3" s="0" t="inlineStr">
        <is>
          <t xml:space="preserve">Unidad</t>
        </is>
      </c>
      <c r="H3" s="4" t="inlineStr">
        <is>
          <t xml:space="preserve">Software CAD Básico (equivalente a Autodesk Autocad LT).</t>
        </is>
      </c>
    </row>
    <row r="4">
      <c r="A4" s="0" t="inlineStr">
        <is>
          <t xml:space="preserve">1057432-101-LE26</t>
        </is>
      </c>
      <c r="B4" s="4" t="inlineStr">
        <is>
          <t xml:space="preserve">SOFTWARE DE DISEÑO PARA SSC POR 12 MESES.</t>
        </is>
      </c>
      <c r="C4" s="0">
        <v>2</v>
      </c>
      <c r="D4" s="4" t="inlineStr">
        <is>
          <t xml:space="preserve">Software de gestión de licencias</t>
        </is>
      </c>
      <c r="E4" s="4" t="inlineStr">
        <is>
          <t xml:space="preserve">Tecnologías de la información, telecomunicaciones y radiodifusión / Software / Software de gestión</t>
        </is>
      </c>
      <c r="F4" s="0">
        <v>8.0</v>
      </c>
      <c r="G4" s="0" t="inlineStr">
        <is>
          <t xml:space="preserve">Unidad</t>
        </is>
      </c>
      <c r="H4" s="4" t="inlineStr">
        <is>
          <t xml:space="preserve">Paquete de Software BIM profesional (Equivalente a AEC Collection con softwares como mínimo equivalentes a Autodesk REVIT versión completa, equivalentes a AUTOCAD versión completa, equivalentes a Navisworks, equivalentes a Autocad MEP, equivalentes a Auto</t>
        </is>
      </c>
    </row>
    <row r="5">
      <c r="A5" s="0" t="inlineStr">
        <is>
          <t xml:space="preserve">2770-154-LP26</t>
        </is>
      </c>
      <c r="B5" s="4" t="inlineStr">
        <is>
          <t xml:space="preserve">SERVICIOS DE TELEFONÍA Y DATOS MÓVILES</t>
        </is>
      </c>
      <c r="C5" s="0">
        <v>1</v>
      </c>
      <c r="D5" s="4" t="inlineStr">
        <is>
          <t xml:space="preserve">Servicios de telefonía móvil</t>
        </is>
      </c>
      <c r="E5" s="4" t="inlineStr">
        <is>
          <t xml:space="preserve">Servicios básicos y de información pública / Telecomunicaciones / Comunicaciones móviles</t>
        </is>
      </c>
      <c r="F5" s="0">
        <v>1.0</v>
      </c>
      <c r="G5" s="0" t="inlineStr">
        <is>
          <t xml:space="preserve">Global</t>
        </is>
      </c>
      <c r="H5" s="4" t="inlineStr">
        <is>
          <t xml:space="preserve">Servicio de telefonía y datos móviles, conforme a bases de licitación</t>
        </is>
      </c>
    </row>
    <row r="6">
      <c r="A6" s="0" t="inlineStr">
        <is>
          <t xml:space="preserve">622-66-LE26</t>
        </is>
      </c>
      <c r="B6" s="4" t="inlineStr">
        <is>
          <t xml:space="preserve">ADQUISICIÓN DE LICENCIAS PARA SOFTWARE DLP</t>
        </is>
      </c>
      <c r="C6" s="0">
        <v>1</v>
      </c>
      <c r="D6" s="4" t="inlineStr">
        <is>
          <t xml:space="preserve">Software de gestión de licencias</t>
        </is>
      </c>
      <c r="E6" s="4" t="inlineStr">
        <is>
          <t xml:space="preserve">Tecnologías de la información, telecomunicaciones y radiodifusión / Software / Software de gestión</t>
        </is>
      </c>
      <c r="F6" s="0">
        <v>1.0</v>
      </c>
      <c r="G6" s="0" t="inlineStr">
        <is>
          <t xml:space="preserve">Unidad</t>
        </is>
      </c>
      <c r="H6" s="4" t="inlineStr">
        <is>
          <t xml:space="preserve">Suscripción de Licenciamiento Endpoint DLP (Trellix DLP Endpoint Complete o equivalente), incluyendo implementación (revisar anexo 1 de las bases)</t>
        </is>
      </c>
    </row>
    <row r="7">
      <c r="A7" s="0" t="inlineStr">
        <is>
          <t xml:space="preserve">629373-23-LE26</t>
        </is>
      </c>
      <c r="B7" s="4" t="inlineStr">
        <is>
          <t xml:space="preserve">SERVICIO DE TÓTEMS DE AUTOATENCIÓN</t>
        </is>
      </c>
      <c r="C7" s="0">
        <v>1</v>
      </c>
      <c r="D7" s="4" t="inlineStr">
        <is>
          <t xml:space="preserve">Sistemas de control de formación de filas</t>
        </is>
      </c>
      <c r="E7" s="4" t="inlineStr">
        <is>
          <t xml:space="preserve">Equipos y suministros de defensa, orden público, protección y seguridad / Equipos para orden público / Equipo para control de disturbios</t>
        </is>
      </c>
      <c r="F7" s="0">
        <v>1.0</v>
      </c>
      <c r="G7" s="0" t="inlineStr">
        <is>
          <t xml:space="preserve">Global</t>
        </is>
      </c>
      <c r="H7" s="4" t="inlineStr">
        <is>
          <t xml:space="preserve">“SERVICIO DE ATENCIÓN PARA LA ADMINISTRACIÓN DE FILAS (TÓTEMS DE 
AUTOATENCIÓN) Y CUMPLIMIENTO DE LA LEY DE ATENCIÓN PREFERENCIAL EN LOS 
CENTROS DE SALUD FAMILIAR DE LA COMUNA DE SAN MIGUEL”</t>
        </is>
      </c>
    </row>
    <row r="8">
      <c r="A8" s="0" t="inlineStr">
        <is>
          <t xml:space="preserve">872-51-LE26</t>
        </is>
      </c>
      <c r="B8" s="4" t="inlineStr">
        <is>
          <t xml:space="preserve">Servicio Cloud Computing</t>
        </is>
      </c>
      <c r="C8" s="0">
        <v>1</v>
      </c>
      <c r="D8" s="4" t="inlineStr">
        <is>
          <t xml:space="preserve">Web Hosting</t>
        </is>
      </c>
      <c r="E8" s="4" t="inlineStr">
        <is>
          <t xml:space="preserve">Servicios basados en ingeniería, ciencias sociales y tecnología de la información / Servicios informáticos / Servicios para internet</t>
        </is>
      </c>
      <c r="F8" s="0">
        <v>1.0</v>
      </c>
      <c r="G8" s="0" t="inlineStr">
        <is>
          <t xml:space="preserve">Unidad</t>
        </is>
      </c>
      <c r="H8" s="4" t="inlineStr">
        <is>
          <t xml:space="preserve">Servicio de Cloud Computing</t>
        </is>
      </c>
    </row>
    <row r="9">
      <c r="A9" s="0" t="inlineStr">
        <is>
          <t xml:space="preserve">622-64-L126</t>
        </is>
      </c>
      <c r="B9" s="4" t="inlineStr">
        <is>
          <t xml:space="preserve">CONTRATACIÓN DEL CURSO INTELIGENCIA ARTIFICIAL APLICADA A LA GESTIÓN GREMIAL Y LA FUNCIÓN PÚBLICA</t>
        </is>
      </c>
      <c r="C9" s="0">
        <v>1</v>
      </c>
      <c r="D9" s="4" t="inlineStr">
        <is>
          <t xml:space="preserve">Capacitación a empleados</t>
        </is>
      </c>
      <c r="E9" s="4" t="inlineStr">
        <is>
          <t xml:space="preserve">Educación, formación, entrenamiento y capacitación / Sistemas educativos complementarios / Educación de adultos</t>
        </is>
      </c>
      <c r="F9" s="0">
        <v>1.0</v>
      </c>
      <c r="G9" s="0" t="inlineStr">
        <is>
          <t xml:space="preserve">Unidad</t>
        </is>
      </c>
      <c r="H9" s="4" t="inlineStr">
        <is>
          <t xml:space="preserve">CURSO INTELIGENCIA ARTIFICIAL APLICADA A LA GESTIÓN GREMIAL Y LA FUNCIÓN PÚBLICA</t>
        </is>
      </c>
    </row>
    <row r="10">
      <c r="A10" s="0" t="inlineStr">
        <is>
          <t xml:space="preserve">2020-23-LE26</t>
        </is>
      </c>
      <c r="B10" s="4" t="inlineStr">
        <is>
          <t xml:space="preserve">SERVICIOS DE DIGITALIZACIÓN Y EXTRACCIÓN DE TÉXTO.</t>
        </is>
      </c>
      <c r="C10" s="0">
        <v>1</v>
      </c>
      <c r="D10" s="4" t="inlineStr">
        <is>
          <t xml:space="preserve">Servicios de digitalización de documentos</t>
        </is>
      </c>
      <c r="E10" s="4" t="inlineStr">
        <is>
          <t xml:space="preserve">Servicios basados en ingeniería, ciencias sociales y tecnología de la información / Servicios informáticos / Servicios de datos</t>
        </is>
      </c>
      <c r="F10" s="0">
        <v>1.0</v>
      </c>
      <c r="G10" s="0" t="inlineStr">
        <is>
          <t xml:space="preserve">Unidad</t>
        </is>
      </c>
      <c r="H10" s="4" t="inlineStr">
        <is>
          <t xml:space="preserve">SERVICIO ESPECIALIZADO DE DIGITALIZACIÓN Y EXTRACCIÓN INTELIGENTE DE TEXTO, DEL ARCHIVO DE
PRENSA HISTÓRICA DE LA BIBLIOTECA DEL
CONGRESO NACIONAL.</t>
        </is>
      </c>
    </row>
    <row r="11">
      <c r="A11" s="0" t="inlineStr">
        <is>
          <t xml:space="preserve">3730-102-L126</t>
        </is>
      </c>
      <c r="B11" s="4" t="inlineStr">
        <is>
          <t xml:space="preserve">REPARACION , MANTECION  TABLEROS DE BASQUETBOL GIMNASIO MUNICIPAL</t>
        </is>
      </c>
      <c r="C11" s="0">
        <v>1</v>
      </c>
      <c r="D11" s="4" t="inlineStr">
        <is>
          <t xml:space="preserve">Servicios de reparación o manutención del panel de instrumentos</t>
        </is>
      </c>
      <c r="E11" s="4" t="inlineStr">
        <is>
          <t xml:space="preserve">Servicios de transporte, almacenaje y correo / Servicios de mantención o reparaciones de transportes / Servicios de panel, chapa y pintura</t>
        </is>
      </c>
      <c r="F11" s="0">
        <v>1.0</v>
      </c>
      <c r="G11" s="0" t="inlineStr">
        <is>
          <t xml:space="preserve">Unidad no definida</t>
        </is>
      </c>
      <c r="H11" s="4" t="inlineStr">
        <is>
          <t xml:space="preserve">REPARACIÓN, MANTENCIÓN Y MEJORAS DEL SISTEMA RETRÁCTIL, TABLEROS Y AROS DE BASQUETBOL DEL GIMNASIO MUNICIPAL</t>
        </is>
      </c>
    </row>
    <row r="12">
      <c r="A12" s="0" t="inlineStr">
        <is>
          <t xml:space="preserve">542429-10-LE26</t>
        </is>
      </c>
      <c r="B12" s="4" t="inlineStr">
        <is>
          <t xml:space="preserve">Renovación de licencias de software</t>
        </is>
      </c>
      <c r="C12" s="0">
        <v>1</v>
      </c>
      <c r="D12" s="4" t="inlineStr">
        <is>
          <t xml:space="preserve">Software de gestión de licencias</t>
        </is>
      </c>
      <c r="E12" s="4" t="inlineStr">
        <is>
          <t xml:space="preserve">Tecnologías de la información, telecomunicaciones y radiodifusión / Software / Software de gestión</t>
        </is>
      </c>
      <c r="F12" s="0">
        <v>1.0</v>
      </c>
      <c r="G12" s="0" t="inlineStr">
        <is>
          <t xml:space="preserve">Unidad</t>
        </is>
      </c>
      <c r="H12" s="4" t="inlineStr">
        <is>
          <t xml:space="preserve">Renovación de licencias de software: Ítem 1: Log360, por 3 años.</t>
        </is>
      </c>
    </row>
    <row r="13">
      <c r="A13" s="0" t="inlineStr">
        <is>
          <t xml:space="preserve">542429-10-LE26</t>
        </is>
      </c>
      <c r="B13" s="4" t="inlineStr">
        <is>
          <t xml:space="preserve">Renovación de licencias de software</t>
        </is>
      </c>
      <c r="C13" s="0">
        <v>2</v>
      </c>
      <c r="D13" s="4" t="inlineStr">
        <is>
          <t xml:space="preserve">Software de gestión de licencias</t>
        </is>
      </c>
      <c r="E13" s="4" t="inlineStr">
        <is>
          <t xml:space="preserve">Tecnologías de la información, telecomunicaciones y radiodifusión / Software / Software de gestión</t>
        </is>
      </c>
      <c r="F13" s="0">
        <v>1.0</v>
      </c>
      <c r="G13" s="0" t="inlineStr">
        <is>
          <t xml:space="preserve">Unidad</t>
        </is>
      </c>
      <c r="H13" s="4" t="inlineStr">
        <is>
          <t xml:space="preserve">Renovación de licencias de software: Ítem 2: Microsoft 365 descargable, por 1 año.</t>
        </is>
      </c>
    </row>
    <row r="14">
      <c r="A14" s="0" t="inlineStr">
        <is>
          <t xml:space="preserve">654478-7-LP26</t>
        </is>
      </c>
      <c r="B14" s="4" t="inlineStr">
        <is>
          <t xml:space="preserve">RENOVACIÓN DE SOPORTE DE LICENCIAS DE SOFTWARE</t>
        </is>
      </c>
      <c r="C14" s="0">
        <v>1</v>
      </c>
      <c r="D14" s="4" t="inlineStr">
        <is>
          <t xml:space="preserve">Software de gestión de licencias</t>
        </is>
      </c>
      <c r="E14" s="4" t="inlineStr">
        <is>
          <t xml:space="preserve">Tecnologías de la información, telecomunicaciones y radiodifusión / Software / Software de gestión</t>
        </is>
      </c>
      <c r="F14" s="0">
        <v>1.0</v>
      </c>
      <c r="G14" s="0" t="inlineStr">
        <is>
          <t xml:space="preserve">Unidad</t>
        </is>
      </c>
      <c r="H14" s="4" t="inlineStr">
        <is>
          <t xml:space="preserve">Línea N° 1: Renovación de Soporte de Licencias Backup Exec</t>
        </is>
      </c>
    </row>
    <row r="15">
      <c r="A15" s="0" t="inlineStr">
        <is>
          <t xml:space="preserve">654478-7-LP26</t>
        </is>
      </c>
      <c r="B15" s="4" t="inlineStr">
        <is>
          <t xml:space="preserve">RENOVACIÓN DE SOPORTE DE LICENCIAS DE SOFTWARE</t>
        </is>
      </c>
      <c r="C15" s="0">
        <v>2</v>
      </c>
      <c r="D15" s="4" t="inlineStr">
        <is>
          <t xml:space="preserve">Software de gestión de licencias</t>
        </is>
      </c>
      <c r="E15" s="4" t="inlineStr">
        <is>
          <t xml:space="preserve">Tecnologías de la información, telecomunicaciones y radiodifusión / Software / Software de gestión</t>
        </is>
      </c>
      <c r="F15" s="0">
        <v>1.0</v>
      </c>
      <c r="G15" s="0" t="inlineStr">
        <is>
          <t xml:space="preserve">Unidad</t>
        </is>
      </c>
      <c r="H15" s="4" t="inlineStr">
        <is>
          <t xml:space="preserve">Línea N°2: Renovación de suscripción de Soporte de Licencias InvGate Service-Desk</t>
        </is>
      </c>
    </row>
    <row r="16">
      <c r="A16" s="0" t="inlineStr">
        <is>
          <t xml:space="preserve">654478-7-LP26</t>
        </is>
      </c>
      <c r="B16" s="4" t="inlineStr">
        <is>
          <t xml:space="preserve">RENOVACIÓN DE SOPORTE DE LICENCIAS DE SOFTWARE</t>
        </is>
      </c>
      <c r="C16" s="0">
        <v>3</v>
      </c>
      <c r="D16" s="4" t="inlineStr">
        <is>
          <t xml:space="preserve">Software de gestión de licencias</t>
        </is>
      </c>
      <c r="E16" s="4" t="inlineStr">
        <is>
          <t xml:space="preserve">Tecnologías de la información, telecomunicaciones y radiodifusión / Software / Software de gestión</t>
        </is>
      </c>
      <c r="F16" s="0">
        <v>1.0</v>
      </c>
      <c r="G16" s="0" t="inlineStr">
        <is>
          <t xml:space="preserve">Unidad</t>
        </is>
      </c>
      <c r="H16" s="4" t="inlineStr">
        <is>
          <t xml:space="preserve">Línea N°3: Renovación de Suscripción de licencia API Google Maps</t>
        </is>
      </c>
    </row>
    <row r="17">
      <c r="A17" s="0" t="inlineStr">
        <is>
          <t xml:space="preserve">654478-7-LP26</t>
        </is>
      </c>
      <c r="B17" s="4" t="inlineStr">
        <is>
          <t xml:space="preserve">RENOVACIÓN DE SOPORTE DE LICENCIAS DE SOFTWARE</t>
        </is>
      </c>
      <c r="C17" s="0">
        <v>4</v>
      </c>
      <c r="D17" s="4" t="inlineStr">
        <is>
          <t xml:space="preserve">Software de gestión de licencias</t>
        </is>
      </c>
      <c r="E17" s="4" t="inlineStr">
        <is>
          <t xml:space="preserve">Tecnologías de la información, telecomunicaciones y radiodifusión / Software / Software de gestión</t>
        </is>
      </c>
      <c r="F17" s="0">
        <v>1.0</v>
      </c>
      <c r="G17" s="0" t="inlineStr">
        <is>
          <t xml:space="preserve">Unidad</t>
        </is>
      </c>
      <c r="H17" s="4" t="inlineStr">
        <is>
          <t xml:space="preserve">Línea N°4: Renovación de Suscripción de Soporte de Licencias Red Hat Linux</t>
        </is>
      </c>
    </row>
    <row r="18">
      <c r="A18" s="0" t="inlineStr">
        <is>
          <t xml:space="preserve">654478-7-LP26</t>
        </is>
      </c>
      <c r="B18" s="4" t="inlineStr">
        <is>
          <t xml:space="preserve">RENOVACIÓN DE SOPORTE DE LICENCIAS DE SOFTWARE</t>
        </is>
      </c>
      <c r="C18" s="0">
        <v>5</v>
      </c>
      <c r="D18" s="4" t="inlineStr">
        <is>
          <t xml:space="preserve">Software de gestión de licencias</t>
        </is>
      </c>
      <c r="E18" s="4" t="inlineStr">
        <is>
          <t xml:space="preserve">Tecnologías de la información, telecomunicaciones y radiodifusión / Software / Software de gestión</t>
        </is>
      </c>
      <c r="F18" s="0">
        <v>1.0</v>
      </c>
      <c r="G18" s="0" t="inlineStr">
        <is>
          <t xml:space="preserve">Unidad</t>
        </is>
      </c>
      <c r="H18" s="4" t="inlineStr">
        <is>
          <t xml:space="preserve">Línea N°5: Renovación y Adquisición de Suscripción, Soporte y Migración hacia Qlik Cloud Analytics</t>
        </is>
      </c>
    </row>
    <row r="19">
      <c r="A19" s="0" t="inlineStr">
        <is>
          <t xml:space="preserve">654478-7-LP26</t>
        </is>
      </c>
      <c r="B19" s="4" t="inlineStr">
        <is>
          <t xml:space="preserve">RENOVACIÓN DE SOPORTE DE LICENCIAS DE SOFTWARE</t>
        </is>
      </c>
      <c r="C19" s="0">
        <v>6</v>
      </c>
      <c r="D19" s="4" t="inlineStr">
        <is>
          <t xml:space="preserve">Software de gestión de licencias</t>
        </is>
      </c>
      <c r="E19" s="4" t="inlineStr">
        <is>
          <t xml:space="preserve">Tecnologías de la información, telecomunicaciones y radiodifusión / Software / Software de gestión</t>
        </is>
      </c>
      <c r="F19" s="0">
        <v>1.0</v>
      </c>
      <c r="G19" s="0" t="inlineStr">
        <is>
          <t xml:space="preserve">Unidad</t>
        </is>
      </c>
      <c r="H19" s="4" t="inlineStr">
        <is>
          <t xml:space="preserve">Línea N°6 Renovación de Suscripción de Licencia Tenable Nessus Expert</t>
        </is>
      </c>
    </row>
    <row r="20">
      <c r="A20" s="0" t="inlineStr">
        <is>
          <t xml:space="preserve">654478-7-LP26</t>
        </is>
      </c>
      <c r="B20" s="4" t="inlineStr">
        <is>
          <t xml:space="preserve">RENOVACIÓN DE SOPORTE DE LICENCIAS DE SOFTWARE</t>
        </is>
      </c>
      <c r="C20" s="0">
        <v>7</v>
      </c>
      <c r="D20" s="4" t="inlineStr">
        <is>
          <t xml:space="preserve">Software de gestión de licencias</t>
        </is>
      </c>
      <c r="E20" s="4" t="inlineStr">
        <is>
          <t xml:space="preserve">Tecnologías de la información, telecomunicaciones y radiodifusión / Software / Software de gestión</t>
        </is>
      </c>
      <c r="F20" s="0">
        <v>1.0</v>
      </c>
      <c r="G20" s="0" t="inlineStr">
        <is>
          <t xml:space="preserve">Unidad</t>
        </is>
      </c>
      <c r="H20" s="4" t="inlineStr">
        <is>
          <t xml:space="preserve">Línea N°7   Renovación de Suscripción y Soporte de Licencias Statistics Smart Pack</t>
        </is>
      </c>
    </row>
    <row r="21">
      <c r="A21" s="0" t="inlineStr">
        <is>
          <t xml:space="preserve">654478-7-LP26</t>
        </is>
      </c>
      <c r="B21" s="4" t="inlineStr">
        <is>
          <t xml:space="preserve">RENOVACIÓN DE SOPORTE DE LICENCIAS DE SOFTWARE</t>
        </is>
      </c>
      <c r="C21" s="0">
        <v>8</v>
      </c>
      <c r="D21" s="4" t="inlineStr">
        <is>
          <t xml:space="preserve">Software de gestión de licencias</t>
        </is>
      </c>
      <c r="E21" s="4" t="inlineStr">
        <is>
          <t xml:space="preserve">Tecnologías de la información, telecomunicaciones y radiodifusión / Software / Software de gestión</t>
        </is>
      </c>
      <c r="F21" s="0">
        <v>1.0</v>
      </c>
      <c r="G21" s="0" t="inlineStr">
        <is>
          <t xml:space="preserve">Unidad</t>
        </is>
      </c>
      <c r="H21" s="4" t="inlineStr">
        <is>
          <t xml:space="preserve">Línea N°8 Renovación de Suscripciones de Licencias Auto CAD LT 2024 Commercial New Single User ELD Annual</t>
        </is>
      </c>
    </row>
    <row r="22">
      <c r="A22" s="0" t="inlineStr">
        <is>
          <t xml:space="preserve">654478-7-LP26</t>
        </is>
      </c>
      <c r="B22" s="4" t="inlineStr">
        <is>
          <t xml:space="preserve">RENOVACIÓN DE SOPORTE DE LICENCIAS DE SOFTWARE</t>
        </is>
      </c>
      <c r="C22" s="0">
        <v>9</v>
      </c>
      <c r="D22" s="4" t="inlineStr">
        <is>
          <t xml:space="preserve">Software de gestión de licencias</t>
        </is>
      </c>
      <c r="E22" s="4" t="inlineStr">
        <is>
          <t xml:space="preserve">Tecnologías de la información, telecomunicaciones y radiodifusión / Software / Software de gestión</t>
        </is>
      </c>
      <c r="F22" s="0">
        <v>1.0</v>
      </c>
      <c r="G22" s="0" t="inlineStr">
        <is>
          <t xml:space="preserve">Unidad</t>
        </is>
      </c>
      <c r="H22" s="4" t="inlineStr">
        <is>
          <t xml:space="preserve">Línea N°9 Renovación de Suscripciones de Licencias Adobe Creative Cloud for Teams All multiple plataforms Multi Latin American Languages Subcription 1 User Level 11-9</t>
        </is>
      </c>
    </row>
    <row r="23">
      <c r="A23" s="0" t="inlineStr">
        <is>
          <t xml:space="preserve">654478-7-LP26</t>
        </is>
      </c>
      <c r="B23" s="4" t="inlineStr">
        <is>
          <t xml:space="preserve">RENOVACIÓN DE SOPORTE DE LICENCIAS DE SOFTWARE</t>
        </is>
      </c>
      <c r="C23" s="0">
        <v>10</v>
      </c>
      <c r="D23" s="4" t="inlineStr">
        <is>
          <t xml:space="preserve">Software de gestión de licencias</t>
        </is>
      </c>
      <c r="E23" s="4" t="inlineStr">
        <is>
          <t xml:space="preserve">Tecnologías de la información, telecomunicaciones y radiodifusión / Software / Software de gestión</t>
        </is>
      </c>
      <c r="F23" s="0">
        <v>1.0</v>
      </c>
      <c r="G23" s="0" t="inlineStr">
        <is>
          <t xml:space="preserve">Unidad</t>
        </is>
      </c>
      <c r="H23" s="4" t="inlineStr">
        <is>
          <t xml:space="preserve">Línea N°10 Renovación y Adquisición de Suscripciones de Licencias Miro Project Planner Business</t>
        </is>
      </c>
    </row>
    <row r="24">
      <c r="A24" s="0" t="inlineStr">
        <is>
          <t xml:space="preserve">654478-7-LP26</t>
        </is>
      </c>
      <c r="B24" s="4" t="inlineStr">
        <is>
          <t xml:space="preserve">RENOVACIÓN DE SOPORTE DE LICENCIAS DE SOFTWARE</t>
        </is>
      </c>
      <c r="C24" s="0">
        <v>11</v>
      </c>
      <c r="D24" s="4" t="inlineStr">
        <is>
          <t xml:space="preserve">Software de gestión de licencias</t>
        </is>
      </c>
      <c r="E24" s="4" t="inlineStr">
        <is>
          <t xml:space="preserve">Tecnologías de la información, telecomunicaciones y radiodifusión / Software / Software de gestión</t>
        </is>
      </c>
      <c r="F24" s="0">
        <v>1.0</v>
      </c>
      <c r="G24" s="0" t="inlineStr">
        <is>
          <t xml:space="preserve">Unidad</t>
        </is>
      </c>
      <c r="H24" s="4" t="inlineStr">
        <is>
          <t xml:space="preserve">Línea N°11 Renovación y Adquisición de Suscripciones de Licencias FIGMA Professional Full Seat</t>
        </is>
      </c>
    </row>
    <row r="25">
      <c r="A25" s="0" t="inlineStr">
        <is>
          <t xml:space="preserve">654478-7-LP26</t>
        </is>
      </c>
      <c r="B25" s="4" t="inlineStr">
        <is>
          <t xml:space="preserve">RENOVACIÓN DE SOPORTE DE LICENCIAS DE SOFTWARE</t>
        </is>
      </c>
      <c r="C25" s="0">
        <v>12</v>
      </c>
      <c r="D25" s="4" t="inlineStr">
        <is>
          <t xml:space="preserve">Software de gestión de licencias</t>
        </is>
      </c>
      <c r="E25" s="4" t="inlineStr">
        <is>
          <t xml:space="preserve">Tecnologías de la información, telecomunicaciones y radiodifusión / Software / Software de gestión</t>
        </is>
      </c>
      <c r="F25" s="0">
        <v>1.0</v>
      </c>
      <c r="G25" s="0" t="inlineStr">
        <is>
          <t xml:space="preserve">Unidad</t>
        </is>
      </c>
      <c r="H25" s="4" t="inlineStr">
        <is>
          <t xml:space="preserve">Línea N°12 Adquisición de Suscripción de Licencia SonarQube Developer Edition</t>
        </is>
      </c>
    </row>
    <row r="26">
      <c r="A26" s="0" t="inlineStr">
        <is>
          <t xml:space="preserve">654478-7-LP26</t>
        </is>
      </c>
      <c r="B26" s="4" t="inlineStr">
        <is>
          <t xml:space="preserve">RENOVACIÓN DE SOPORTE DE LICENCIAS DE SOFTWARE</t>
        </is>
      </c>
      <c r="C26" s="0">
        <v>13</v>
      </c>
      <c r="D26" s="4" t="inlineStr">
        <is>
          <t xml:space="preserve">Software de gestión de licencias</t>
        </is>
      </c>
      <c r="E26" s="4" t="inlineStr">
        <is>
          <t xml:space="preserve">Tecnologías de la información, telecomunicaciones y radiodifusión / Software / Software de gestión</t>
        </is>
      </c>
      <c r="F26" s="0">
        <v>1.0</v>
      </c>
      <c r="G26" s="0" t="inlineStr">
        <is>
          <t xml:space="preserve">Unidad</t>
        </is>
      </c>
      <c r="H26" s="4" t="inlineStr">
        <is>
          <t xml:space="preserve">Línea N°13 Adquisición de Suscripción de Licencias Claude AI Team Standard Seats</t>
        </is>
      </c>
    </row>
    <row r="27">
      <c r="A27" s="0" t="inlineStr">
        <is>
          <t xml:space="preserve">654478-7-LP26</t>
        </is>
      </c>
      <c r="B27" s="4" t="inlineStr">
        <is>
          <t xml:space="preserve">RENOVACIÓN DE SOPORTE DE LICENCIAS DE SOFTWARE</t>
        </is>
      </c>
      <c r="C27" s="0">
        <v>14</v>
      </c>
      <c r="D27" s="4" t="inlineStr">
        <is>
          <t xml:space="preserve">Software de gestión de licencias</t>
        </is>
      </c>
      <c r="E27" s="4" t="inlineStr">
        <is>
          <t xml:space="preserve">Tecnologías de la información, telecomunicaciones y radiodifusión / Software / Software de gestión</t>
        </is>
      </c>
      <c r="F27" s="0">
        <v>1.0</v>
      </c>
      <c r="G27" s="0" t="inlineStr">
        <is>
          <t xml:space="preserve">Unidad</t>
        </is>
      </c>
      <c r="H27" s="4" t="inlineStr">
        <is>
          <t xml:space="preserve">Línea N°14 Adquisición de suscripción de Licencias Claude Max 20x</t>
        </is>
      </c>
    </row>
    <row r="28">
      <c r="A28" s="0" t="inlineStr">
        <is>
          <t xml:space="preserve">885-107-LE26</t>
        </is>
      </c>
      <c r="B28" s="4" t="inlineStr">
        <is>
          <t xml:space="preserve">Contratación de una herramienta automatizada de análisis de vulnerabilidades de ciberseguridad para la CGR</t>
        </is>
      </c>
      <c r="C28" s="0">
        <v>1</v>
      </c>
      <c r="D28" s="4" t="inlineStr">
        <is>
          <t xml:space="preserve">Software de sistema experto</t>
        </is>
      </c>
      <c r="E28" s="4" t="inlineStr">
        <is>
          <t xml:space="preserve">Tecnologías de la información, telecomunicaciones y radiodifusión / Software / Software de gestión</t>
        </is>
      </c>
      <c r="F28" s="0">
        <v>1.0</v>
      </c>
      <c r="G28" s="0" t="inlineStr">
        <is>
          <t xml:space="preserve">Global</t>
        </is>
      </c>
      <c r="H28" s="4" t="inlineStr">
        <is>
          <t xml:space="preserve">Herramienta automatizada de análisis de vulnerabilidades de ciberseguridad, que incluya la provisión e instalación del software, capacitación para su uso, licencias y soporte, por un período de 12 meses.</t>
        </is>
      </c>
    </row>
    <row r="29">
      <c r="A29" s="0" t="inlineStr">
        <is>
          <t xml:space="preserve">680504-3-L126</t>
        </is>
      </c>
      <c r="B29" s="4" t="inlineStr">
        <is>
          <t xml:space="preserve">Mantención Anual Tableros Eléctricos del Edificio RPP Curicó</t>
        </is>
      </c>
      <c r="C29" s="0">
        <v>1</v>
      </c>
      <c r="D29" s="4" t="inlineStr">
        <is>
          <t xml:space="preserve">Instalación o servicio de sistemas de energía eléctrica</t>
        </is>
      </c>
      <c r="E29" s="4" t="inlineStr">
        <is>
          <t xml:space="preserve">Servicios de construcción y mantenimiento / Servicios de atención, mantenimiento y reparaciones de edificios / Servicios eléctricos</t>
        </is>
      </c>
      <c r="F29" s="0">
        <v>1.0</v>
      </c>
      <c r="G29" s="0" t="inlineStr">
        <is>
          <t xml:space="preserve">Unidad</t>
        </is>
      </c>
      <c r="H29" s="4" t="inlineStr">
        <is>
          <t xml:space="preserve">Mantención Anual Tableros Eléctricos del Edificio RPP Curicó por un periodo de 36 meses</t>
        </is>
      </c>
    </row>
    <row r="30">
      <c r="A30" s="0" t="inlineStr">
        <is>
          <t xml:space="preserve">591-39-LE26</t>
        </is>
      </c>
      <c r="B30" s="4" t="inlineStr">
        <is>
          <t xml:space="preserve">CURSO HERRAM-ANALI-AUTOMA-GESTION DATOS-AUDITORIA</t>
        </is>
      </c>
      <c r="C30" s="0">
        <v>1</v>
      </c>
      <c r="D30" s="4" t="inlineStr">
        <is>
          <t xml:space="preserve">Programas o cursos no diplomados a distancia</t>
        </is>
      </c>
      <c r="E30" s="4" t="inlineStr">
        <is>
          <t xml:space="preserve">Educación, formación, entrenamiento y capacitación / Sistemas educativos complementarios / Aprendizaje a distancia</t>
        </is>
      </c>
      <c r="F30" s="0">
        <v>1.0</v>
      </c>
      <c r="G30" s="0" t="inlineStr">
        <is>
          <t xml:space="preserve">Unidad</t>
        </is>
      </c>
      <c r="H30"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t>
        </is>
      </c>
    </row>
    <row r="31">
      <c r="A31" s="0" t="inlineStr">
        <is>
          <t xml:space="preserve">4362-31-LP26</t>
        </is>
      </c>
      <c r="B31" s="4" t="inlineStr">
        <is>
          <t xml:space="preserve">Construcción Hitos de Acceso y Tótems Turísticos</t>
        </is>
      </c>
      <c r="C31" s="0">
        <v>1</v>
      </c>
      <c r="D31" s="4" t="inlineStr">
        <is>
          <t xml:space="preserve">Construcción de obras civiles</t>
        </is>
      </c>
      <c r="E31" s="4" t="inlineStr">
        <is>
          <t xml:space="preserve">Servicios de construcción y mantenimiento / Construcción de edificios en general / Construcción de obras civiles y infraestructuras</t>
        </is>
      </c>
      <c r="F31" s="0">
        <v>1.0</v>
      </c>
      <c r="G31" s="0" t="inlineStr">
        <is>
          <t xml:space="preserve">Unidad</t>
        </is>
      </c>
      <c r="H31" s="4" t="inlineStr">
        <is>
          <t xml:space="preserve">.</t>
        </is>
      </c>
    </row>
    <row r="32">
      <c r="A32" s="0" t="inlineStr">
        <is>
          <t xml:space="preserve">1602-21-LE26</t>
        </is>
      </c>
      <c r="B32" s="4" t="inlineStr">
        <is>
          <t xml:space="preserve">ADQUISICIÓN DE LICENCIAS DE SOFTWARE VEEAM PREMIUM</t>
        </is>
      </c>
      <c r="C32" s="0">
        <v>1</v>
      </c>
      <c r="D32" s="4" t="inlineStr">
        <is>
          <t xml:space="preserve">Software de gestión de licencias</t>
        </is>
      </c>
      <c r="E32" s="4" t="inlineStr">
        <is>
          <t xml:space="preserve">Tecnologías de la información, telecomunicaciones y radiodifusión / Software / Software de gestión</t>
        </is>
      </c>
      <c r="F32" s="0">
        <v>15.0</v>
      </c>
      <c r="G32" s="0" t="inlineStr">
        <is>
          <t xml:space="preserve">Unidad</t>
        </is>
      </c>
      <c r="H32" s="4" t="inlineStr">
        <is>
          <t xml:space="preserve">Licencias de Veeam Data Platform Premium (pack 10 instancias) que multiplicado por la cantidad serían 150 instancias (Según Bases Técnicas adjuntas)</t>
        </is>
      </c>
    </row>
    <row r="33">
      <c r="A33" s="0" t="inlineStr">
        <is>
          <t xml:space="preserve">1782-17-LE26</t>
        </is>
      </c>
      <c r="B33" s="4" t="inlineStr">
        <is>
          <t xml:space="preserve">Consultoría Plataforma Inteligencia Inversión FRPD</t>
        </is>
      </c>
      <c r="C33" s="0">
        <v>1</v>
      </c>
      <c r="D33" s="4" t="inlineStr">
        <is>
          <t xml:space="preserve">Asesorías Informáticas</t>
        </is>
      </c>
      <c r="E33" s="4" t="inlineStr">
        <is>
          <t xml:space="preserve">Servicios profesionales, administrativos y consultorías de gestión empresarial / Consultorías o asesorías en gestión empresarial / Servicios de consultoría en gestión de empresas</t>
        </is>
      </c>
      <c r="F33" s="0">
        <v>1.0</v>
      </c>
      <c r="G33" s="0" t="inlineStr">
        <is>
          <t xml:space="preserve">Unidad</t>
        </is>
      </c>
      <c r="H33" s="4" t="inlineStr">
        <is>
          <t xml:space="preserve">Consultoría para diagnóstico integral y propuesta para plataforma de inteligencia territorial para la inversión productiva del Royalty de la Región Antofagasta - FRPD</t>
        </is>
      </c>
    </row>
    <row r="34">
      <c r="A34" s="0" t="inlineStr">
        <is>
          <t xml:space="preserve">4127-51-LR26</t>
        </is>
      </c>
      <c r="B34" s="4" t="inlineStr">
        <is>
          <t xml:space="preserve">[DIGEDEP]Cursos M-Learning Plataforma SIAD 26-27</t>
        </is>
      </c>
      <c r="C34" s="0">
        <v>1</v>
      </c>
      <c r="D34" s="4" t="inlineStr">
        <is>
          <t xml:space="preserve">Capacitación a empleados</t>
        </is>
      </c>
      <c r="E34" s="4" t="inlineStr">
        <is>
          <t xml:space="preserve">Educación, formación, entrenamiento y capacitación / Sistemas educativos complementarios / Educación de adultos</t>
        </is>
      </c>
      <c r="F34" s="0">
        <v>1.0</v>
      </c>
      <c r="G34" s="0" t="inlineStr">
        <is>
          <t xml:space="preserve">Unidad</t>
        </is>
      </c>
      <c r="H34" s="4"/>
    </row>
    <row r="35">
      <c r="A35" s="0" t="inlineStr">
        <is>
          <t xml:space="preserve">2735-149-LR26</t>
        </is>
      </c>
      <c r="B35" s="4" t="inlineStr">
        <is>
          <t xml:space="preserve">Servicio de Software de Gestión y Registro Clinico</t>
        </is>
      </c>
      <c r="C35" s="0">
        <v>1</v>
      </c>
      <c r="D35" s="4" t="inlineStr">
        <is>
          <t xml:space="preserve">Software médico</t>
        </is>
      </c>
      <c r="E35" s="4" t="inlineStr">
        <is>
          <t xml:space="preserve">Tecnologías de la información, telecomunicaciones y radiodifusión / Software / Software específico para la industria</t>
        </is>
      </c>
      <c r="F35" s="0">
        <v>1.0</v>
      </c>
      <c r="G35" s="0" t="inlineStr">
        <is>
          <t xml:space="preserve">Unidad</t>
        </is>
      </c>
      <c r="H35"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36">
      <c r="A36" s="0" t="inlineStr">
        <is>
          <t xml:space="preserve">5403-11-LP26</t>
        </is>
      </c>
      <c r="B36" s="4" t="inlineStr">
        <is>
          <t xml:space="preserve">Diseño e instalación de gobernanza de datos</t>
        </is>
      </c>
      <c r="C36" s="0">
        <v>1</v>
      </c>
      <c r="D36" s="4" t="inlineStr">
        <is>
          <t xml:space="preserve">Asesorías en gestión estratégica</t>
        </is>
      </c>
      <c r="E36" s="4" t="inlineStr">
        <is>
          <t xml:space="preserve">Servicios profesionales, administrativos y consultorías de gestión empresarial / Consultorías o asesorías en gestión empresarial / Servicios de consultoría en gestión de empresas</t>
        </is>
      </c>
      <c r="F36" s="0">
        <v>1.0</v>
      </c>
      <c r="G36" s="0" t="inlineStr">
        <is>
          <t xml:space="preserve">Unidad</t>
        </is>
      </c>
      <c r="H36" s="4" t="inlineStr">
        <is>
          <t xml:space="preserve">Servicio de asesoría estratégica para el diseño e instalación inicial del modelo institucional de gobernanza y gestión de datos de la Comisión Nacional de Acreditación</t>
        </is>
      </c>
    </row>
    <row r="37">
      <c r="A37" s="0" t="inlineStr">
        <is>
          <t xml:space="preserve">1221019-17-LE26</t>
        </is>
      </c>
      <c r="B37" s="4" t="inlineStr">
        <is>
          <t xml:space="preserve">Plataforma de Venta de Entradas para Evento.</t>
        </is>
      </c>
      <c r="C37" s="0">
        <v>1</v>
      </c>
      <c r="D37" s="4" t="inlineStr">
        <is>
          <t xml:space="preserve">Software de desarrollo de plataforma Web</t>
        </is>
      </c>
      <c r="E37" s="4" t="inlineStr">
        <is>
          <t xml:space="preserve">Tecnologías de la información, telecomunicaciones y radiodifusión / Software / Programas de desarrollo</t>
        </is>
      </c>
      <c r="F37" s="0">
        <v>1.0</v>
      </c>
      <c r="G37" s="0" t="inlineStr">
        <is>
          <t xml:space="preserve">Unidad</t>
        </is>
      </c>
      <c r="H37" s="4" t="inlineStr">
        <is>
          <t xml:space="preserve">De acuerdo a lo Establecido en las Bases Administrativas y Técnicas de la presente propuesta pública.</t>
        </is>
      </c>
    </row>
    <row r="38">
      <c r="A38" s="0" t="inlineStr">
        <is>
          <t xml:space="preserve">2713-199-LE26</t>
        </is>
      </c>
      <c r="B38" s="4" t="inlineStr">
        <is>
          <t xml:space="preserve">Equipamiento informático para oficinas municipales</t>
        </is>
      </c>
      <c r="C38" s="0">
        <v>1</v>
      </c>
      <c r="D38" s="4" t="inlineStr">
        <is>
          <t xml:space="preserve">Notebook, laptop o computador portátil excepto Tablet PC</t>
        </is>
      </c>
      <c r="E38" s="4" t="inlineStr">
        <is>
          <t xml:space="preserve">Tecnologías de la información, telecomunicaciones y radiodifusión / Equipos informáticos y accesorios / Computadores</t>
        </is>
      </c>
      <c r="F38" s="0">
        <v>1.0</v>
      </c>
      <c r="G38" s="0" t="inlineStr">
        <is>
          <t xml:space="preserve">Unidad</t>
        </is>
      </c>
      <c r="H38" s="4" t="inlineStr">
        <is>
          <t xml:space="preserve">Notebook ofimática</t>
        </is>
      </c>
    </row>
    <row r="39">
      <c r="A39" s="0" t="inlineStr">
        <is>
          <t xml:space="preserve">2713-199-LE26</t>
        </is>
      </c>
      <c r="B39" s="4" t="inlineStr">
        <is>
          <t xml:space="preserve">Equipamiento informático para oficinas municipales</t>
        </is>
      </c>
      <c r="C39" s="0">
        <v>2</v>
      </c>
      <c r="D39" s="4" t="inlineStr">
        <is>
          <t xml:space="preserve">Notebook, laptop o computador portátil excepto Tablet PC</t>
        </is>
      </c>
      <c r="E39" s="4" t="inlineStr">
        <is>
          <t xml:space="preserve">Tecnologías de la información, telecomunicaciones y radiodifusión / Equipos informáticos y accesorios / Computadores</t>
        </is>
      </c>
      <c r="F39" s="0">
        <v>1.0</v>
      </c>
      <c r="G39" s="0" t="inlineStr">
        <is>
          <t xml:space="preserve">Unidad</t>
        </is>
      </c>
      <c r="H39" s="4" t="inlineStr">
        <is>
          <t xml:space="preserve">Notebook técnico</t>
        </is>
      </c>
    </row>
    <row r="40">
      <c r="A40" s="0" t="inlineStr">
        <is>
          <t xml:space="preserve">2713-199-LE26</t>
        </is>
      </c>
      <c r="B40" s="4" t="inlineStr">
        <is>
          <t xml:space="preserve">Equipamiento informático para oficinas municipales</t>
        </is>
      </c>
      <c r="C40" s="0">
        <v>3</v>
      </c>
      <c r="D40" s="4" t="inlineStr">
        <is>
          <t xml:space="preserve">Computadores personales</t>
        </is>
      </c>
      <c r="E40" s="4" t="inlineStr">
        <is>
          <t xml:space="preserve">Tecnologías de la información, telecomunicaciones y radiodifusión / Equipos informáticos y accesorios / Computadores</t>
        </is>
      </c>
      <c r="F40" s="0">
        <v>16.0</v>
      </c>
      <c r="G40" s="0" t="inlineStr">
        <is>
          <t xml:space="preserve">Unidad</t>
        </is>
      </c>
      <c r="H40" s="4" t="inlineStr">
        <is>
          <t xml:space="preserve">Computador AIO</t>
        </is>
      </c>
    </row>
    <row r="41">
      <c r="A41" s="0" t="inlineStr">
        <is>
          <t xml:space="preserve">2713-199-LE26</t>
        </is>
      </c>
      <c r="B41" s="4" t="inlineStr">
        <is>
          <t xml:space="preserve">Equipamiento informático para oficinas municipales</t>
        </is>
      </c>
      <c r="C41" s="0">
        <v>4</v>
      </c>
      <c r="D41" s="4" t="inlineStr">
        <is>
          <t xml:space="preserve">Impresoras de chorro de tinta</t>
        </is>
      </c>
      <c r="E41" s="4" t="inlineStr">
        <is>
          <t xml:space="preserve">Tecnologías de la información, telecomunicaciones y radiodifusión / Equipos informáticos y accesorios / Impresoras</t>
        </is>
      </c>
      <c r="F41" s="0">
        <v>9.0</v>
      </c>
      <c r="G41" s="0" t="inlineStr">
        <is>
          <t xml:space="preserve">Unidad</t>
        </is>
      </c>
      <c r="H41" s="4" t="inlineStr">
        <is>
          <t xml:space="preserve">Multifuncional tinta LAN</t>
        </is>
      </c>
    </row>
    <row r="42">
      <c r="A42" s="0" t="inlineStr">
        <is>
          <t xml:space="preserve">2713-199-LE26</t>
        </is>
      </c>
      <c r="B42" s="4" t="inlineStr">
        <is>
          <t xml:space="preserve">Equipamiento informático para oficinas municipales</t>
        </is>
      </c>
      <c r="C42" s="0">
        <v>5</v>
      </c>
      <c r="D42" s="4" t="inlineStr">
        <is>
          <t xml:space="preserve">Impresoras de chorro de tinta</t>
        </is>
      </c>
      <c r="E42" s="4" t="inlineStr">
        <is>
          <t xml:space="preserve">Tecnologías de la información, telecomunicaciones y radiodifusión / Equipos informáticos y accesorios / Impresoras</t>
        </is>
      </c>
      <c r="F42" s="0">
        <v>7.0</v>
      </c>
      <c r="G42" s="0" t="inlineStr">
        <is>
          <t xml:space="preserve">Unidad</t>
        </is>
      </c>
      <c r="H42" s="4" t="inlineStr">
        <is>
          <t xml:space="preserve">Multifuncional tinta USB</t>
        </is>
      </c>
    </row>
    <row r="43">
      <c r="A43" s="0" t="inlineStr">
        <is>
          <t xml:space="preserve">2713-199-LE26</t>
        </is>
      </c>
      <c r="B43" s="4" t="inlineStr">
        <is>
          <t xml:space="preserve">Equipamiento informático para oficinas municipales</t>
        </is>
      </c>
      <c r="C43" s="0">
        <v>6</v>
      </c>
      <c r="D43" s="4" t="inlineStr">
        <is>
          <t xml:space="preserve">Impresoras de chorro de tinta</t>
        </is>
      </c>
      <c r="E43" s="4" t="inlineStr">
        <is>
          <t xml:space="preserve">Tecnologías de la información, telecomunicaciones y radiodifusión / Equipos informáticos y accesorios / Impresoras</t>
        </is>
      </c>
      <c r="F43" s="0">
        <v>4.0</v>
      </c>
      <c r="G43" s="0" t="inlineStr">
        <is>
          <t xml:space="preserve">Unidad</t>
        </is>
      </c>
      <c r="H43" s="4" t="inlineStr">
        <is>
          <t xml:space="preserve">Multifuncional tinta WLAN</t>
        </is>
      </c>
    </row>
    <row r="44">
      <c r="A44" s="0" t="inlineStr">
        <is>
          <t xml:space="preserve">2713-199-LE26</t>
        </is>
      </c>
      <c r="B44" s="4" t="inlineStr">
        <is>
          <t xml:space="preserve">Equipamiento informático para oficinas municipales</t>
        </is>
      </c>
      <c r="C44" s="0">
        <v>7</v>
      </c>
      <c r="D44" s="4" t="inlineStr">
        <is>
          <t xml:space="preserve">Computadores portátiles tipo Tablet PC</t>
        </is>
      </c>
      <c r="E44" s="4" t="inlineStr">
        <is>
          <t xml:space="preserve">Tecnologías de la información, telecomunicaciones y radiodifusión / Equipos informáticos y accesorios / Computadores</t>
        </is>
      </c>
      <c r="F44" s="0">
        <v>1.0</v>
      </c>
      <c r="G44" s="0" t="inlineStr">
        <is>
          <t xml:space="preserve">Unidad</t>
        </is>
      </c>
      <c r="H44" s="4" t="inlineStr">
        <is>
          <t xml:space="preserve">Tablet</t>
        </is>
      </c>
    </row>
    <row r="45">
      <c r="A45" s="0" t="inlineStr">
        <is>
          <t xml:space="preserve">2713-199-LE26</t>
        </is>
      </c>
      <c r="B45" s="4" t="inlineStr">
        <is>
          <t xml:space="preserve">Equipamiento informático para oficinas municipales</t>
        </is>
      </c>
      <c r="C45" s="0">
        <v>8</v>
      </c>
      <c r="D45" s="4" t="inlineStr">
        <is>
          <t xml:space="preserve">Escáner</t>
        </is>
      </c>
      <c r="E45" s="4" t="inlineStr">
        <is>
          <t xml:space="preserve">Tecnologías de la información, telecomunicaciones y radiodifusión / Equipos informáticos y accesorios / Dispositivos informáticos de entrada de datos</t>
        </is>
      </c>
      <c r="F45" s="0">
        <v>7.0</v>
      </c>
      <c r="G45" s="0" t="inlineStr">
        <is>
          <t xml:space="preserve">Unidad</t>
        </is>
      </c>
      <c r="H45" s="4" t="inlineStr">
        <is>
          <t xml:space="preserve">Escáner LAN</t>
        </is>
      </c>
    </row>
    <row r="46">
      <c r="A46" s="0" t="inlineStr">
        <is>
          <t xml:space="preserve">2713-199-LE26</t>
        </is>
      </c>
      <c r="B46" s="4" t="inlineStr">
        <is>
          <t xml:space="preserve">Equipamiento informático para oficinas municipales</t>
        </is>
      </c>
      <c r="C46" s="0">
        <v>9</v>
      </c>
      <c r="D46" s="4" t="inlineStr">
        <is>
          <t xml:space="preserve">Escáner</t>
        </is>
      </c>
      <c r="E46" s="4" t="inlineStr">
        <is>
          <t xml:space="preserve">Tecnologías de la información, telecomunicaciones y radiodifusión / Equipos informáticos y accesorios / Dispositivos informáticos de entrada de datos</t>
        </is>
      </c>
      <c r="F46" s="0">
        <v>10.0</v>
      </c>
      <c r="G46" s="0" t="inlineStr">
        <is>
          <t xml:space="preserve">Unidad</t>
        </is>
      </c>
      <c r="H46" s="4" t="inlineStr">
        <is>
          <t xml:space="preserve">Escáner USB</t>
        </is>
      </c>
    </row>
    <row r="47">
      <c r="A47" s="0" t="inlineStr">
        <is>
          <t xml:space="preserve">2713-199-LE26</t>
        </is>
      </c>
      <c r="B47" s="4" t="inlineStr">
        <is>
          <t xml:space="preserve">Equipamiento informático para oficinas municipales</t>
        </is>
      </c>
      <c r="C47" s="0">
        <v>10</v>
      </c>
      <c r="D47" s="4" t="inlineStr">
        <is>
          <t xml:space="preserve">Monitores o pantallas de visualización en cristal líquido (LCD)</t>
        </is>
      </c>
      <c r="E47" s="4" t="inlineStr">
        <is>
          <t xml:space="preserve">Tecnologías de la información, telecomunicaciones y radiodifusión / Equipos informáticos y accesorios / Pantallas o monitores de computador</t>
        </is>
      </c>
      <c r="F47" s="0">
        <v>2.0</v>
      </c>
      <c r="G47" s="0" t="inlineStr">
        <is>
          <t xml:space="preserve">Unidad</t>
        </is>
      </c>
      <c r="H47" s="4" t="inlineStr">
        <is>
          <t xml:space="preserve">Monitor 27”</t>
        </is>
      </c>
    </row>
    <row r="48">
      <c r="A48" s="0" t="inlineStr">
        <is>
          <t xml:space="preserve">2713-199-LE26</t>
        </is>
      </c>
      <c r="B48" s="4" t="inlineStr">
        <is>
          <t xml:space="preserve">Equipamiento informático para oficinas municipales</t>
        </is>
      </c>
      <c r="C48" s="0">
        <v>11</v>
      </c>
      <c r="D48" s="4" t="inlineStr">
        <is>
          <t xml:space="preserve">Monitores o pantallas de visualización en cristal líquido (LCD)</t>
        </is>
      </c>
      <c r="E48" s="4" t="inlineStr">
        <is>
          <t xml:space="preserve">Tecnologías de la información, telecomunicaciones y radiodifusión / Equipos informáticos y accesorios / Pantallas o monitores de computador</t>
        </is>
      </c>
      <c r="F48" s="0">
        <v>5.0</v>
      </c>
      <c r="G48" s="0" t="inlineStr">
        <is>
          <t xml:space="preserve">Unidad</t>
        </is>
      </c>
      <c r="H48" s="4" t="inlineStr">
        <is>
          <t xml:space="preserve">Monitor 24”</t>
        </is>
      </c>
    </row>
    <row r="49">
      <c r="A49" s="0" t="inlineStr">
        <is>
          <t xml:space="preserve">2713-199-LE26</t>
        </is>
      </c>
      <c r="B49" s="4" t="inlineStr">
        <is>
          <t xml:space="preserve">Equipamiento informático para oficinas municipales</t>
        </is>
      </c>
      <c r="C49" s="0">
        <v>12</v>
      </c>
      <c r="D49" s="4" t="inlineStr">
        <is>
          <t xml:space="preserve">Monitores o pantallas de visualización en cristal líquido (LCD)</t>
        </is>
      </c>
      <c r="E49" s="4" t="inlineStr">
        <is>
          <t xml:space="preserve">Tecnologías de la información, telecomunicaciones y radiodifusión / Equipos informáticos y accesorios / Pantallas o monitores de computador</t>
        </is>
      </c>
      <c r="F49" s="0">
        <v>1.0</v>
      </c>
      <c r="G49" s="0" t="inlineStr">
        <is>
          <t xml:space="preserve">Unidad</t>
        </is>
      </c>
      <c r="H49" s="4" t="inlineStr">
        <is>
          <t xml:space="preserve">Monitor 24” USB-C</t>
        </is>
      </c>
    </row>
    <row r="50">
      <c r="A50" s="0" t="inlineStr">
        <is>
          <t xml:space="preserve">2713-199-LE26</t>
        </is>
      </c>
      <c r="B50" s="4" t="inlineStr">
        <is>
          <t xml:space="preserve">Equipamiento informático para oficinas municipales</t>
        </is>
      </c>
      <c r="C50" s="0">
        <v>13</v>
      </c>
      <c r="D50" s="4" t="inlineStr">
        <is>
          <t xml:space="preserve">Equipos multimedia</t>
        </is>
      </c>
      <c r="E50" s="4" t="inlineStr">
        <is>
          <t xml:space="preserve">Tecnologías de la información, telecomunicaciones y radiodifusión / Equipos informáticos y accesorios / Accesorios de computador</t>
        </is>
      </c>
      <c r="F50" s="0">
        <v>6.0</v>
      </c>
      <c r="G50" s="0" t="inlineStr">
        <is>
          <t xml:space="preserve">Unidad</t>
        </is>
      </c>
      <c r="H50" s="4" t="inlineStr">
        <is>
          <t xml:space="preserve">Proyector</t>
        </is>
      </c>
    </row>
    <row r="51">
      <c r="A51" s="0" t="inlineStr">
        <is>
          <t xml:space="preserve">1057511-33-L126</t>
        </is>
      </c>
      <c r="B51" s="4" t="inlineStr">
        <is>
          <t xml:space="preserve">ADQUISICIÓN E IMPLEMENTACIÓN DE CENTRAL DE MONITOREO, SOFTWARE Y SISTEMA DE ANCLAJE MURAL</t>
        </is>
      </c>
      <c r="C51" s="0">
        <v>1</v>
      </c>
      <c r="D51" s="4" t="inlineStr">
        <is>
          <t xml:space="preserve">Monitores de salida o controles de enfermería</t>
        </is>
      </c>
      <c r="E51" s="4" t="inlineStr">
        <is>
          <t xml:space="preserve">Equipamiento y suministros médicos / Equipamiento para instalaciones médicas / Sistemas de construcción de instalaciones médicas</t>
        </is>
      </c>
      <c r="F51" s="0">
        <v>1.0</v>
      </c>
      <c r="G51" s="0" t="inlineStr">
        <is>
          <t xml:space="preserve">Unidad</t>
        </is>
      </c>
      <c r="H51" s="4" t="inlineStr">
        <is>
          <t xml:space="preserve">Se requiere adquisición e implementación de una central de monitoreo para el Hospital Comunitario de Salud Familiar de Bulnes, compuesta por un monitor multiparámetro, software de central de monitoreo y sistema de anclaje mural</t>
        </is>
      </c>
    </row>
    <row r="52">
      <c r="A52" s="0" t="inlineStr">
        <is>
          <t xml:space="preserve">1067778-4-LP26</t>
        </is>
      </c>
      <c r="B52" s="4" t="inlineStr">
        <is>
          <t xml:space="preserve">ARRIENDO CON OPCION DE COMPRA  DE SERVIDOR PARA IA</t>
        </is>
      </c>
      <c r="C52" s="0">
        <v>1</v>
      </c>
      <c r="D52" s="4" t="inlineStr">
        <is>
          <t xml:space="preserve">Servidores</t>
        </is>
      </c>
      <c r="E52" s="4" t="inlineStr">
        <is>
          <t xml:space="preserve">Tecnologías de la información, telecomunicaciones y radiodifusión / Equipos informáticos y accesorios / Computadores</t>
        </is>
      </c>
      <c r="F52" s="0">
        <v>60.0</v>
      </c>
      <c r="G52" s="0" t="inlineStr">
        <is>
          <t xml:space="preserve">Mes</t>
        </is>
      </c>
      <c r="H52" s="4" t="inlineStr">
        <is>
          <t xml:space="preserve">ARRIENDO CON OPCION DE COMPRA DE SERVIDOR PARA IA. VER BASES PARA MAYOR DETALLE</t>
        </is>
      </c>
    </row>
    <row r="53">
      <c r="A53" s="0" t="inlineStr">
        <is>
          <t xml:space="preserve">1469-324-L126</t>
        </is>
      </c>
      <c r="B53" s="4" t="inlineStr">
        <is>
          <t xml:space="preserve">ADQUISICIÓN LICENCIAS DIGITALES PLATAFORMA EDUCACIONAL IDIOMA FRANCÉS</t>
        </is>
      </c>
      <c r="C53" s="0">
        <v>1</v>
      </c>
      <c r="D53" s="4" t="inlineStr">
        <is>
          <t xml:space="preserve">Cursos y materiales de apoyo para aprender a hablar francés</t>
        </is>
      </c>
      <c r="E53" s="4" t="inlineStr">
        <is>
          <t xml:space="preserve">Instrumentos musicales, juegos, juguetes, artesanías y materiales educativos / Materiales, artículos y suministros didácticos profesionales y para el desarrollo personal / Recursos de lenguas extranjeras</t>
        </is>
      </c>
      <c r="F53" s="0">
        <v>2.0</v>
      </c>
      <c r="G53" s="0" t="inlineStr">
        <is>
          <t xml:space="preserve">Unidad</t>
        </is>
      </c>
      <c r="H53" s="4" t="inlineStr">
        <is>
          <t xml:space="preserve">La Universidad de Talca requiere adquirir licencias digitales de 3 editoriales, Maison des Langues, Clé y Hachette, para docentes de cursos de francés de pregrado</t>
        </is>
      </c>
    </row>
    <row r="54">
      <c r="A54" s="0" t="inlineStr">
        <is>
          <t xml:space="preserve">1469-324-L126</t>
        </is>
      </c>
      <c r="B54" s="4" t="inlineStr">
        <is>
          <t xml:space="preserve">ADQUISICIÓN LICENCIAS DIGITALES PLATAFORMA EDUCACIONAL IDIOMA FRANCÉS</t>
        </is>
      </c>
      <c r="C54" s="0">
        <v>2</v>
      </c>
      <c r="D54" s="4" t="inlineStr">
        <is>
          <t xml:space="preserve">Cursos y materiales de apoyo para aprender a hablar francés</t>
        </is>
      </c>
      <c r="E54" s="4" t="inlineStr">
        <is>
          <t xml:space="preserve">Instrumentos musicales, juegos, juguetes, artesanías y materiales educativos / Materiales, artículos y suministros didácticos profesionales y para el desarrollo personal / Recursos de lenguas extranjeras</t>
        </is>
      </c>
      <c r="F54" s="0">
        <v>2.0</v>
      </c>
      <c r="G54" s="0" t="inlineStr">
        <is>
          <t xml:space="preserve">Unidad</t>
        </is>
      </c>
      <c r="H54" s="4" t="inlineStr">
        <is>
          <t xml:space="preserve">La Universidad de Talca requiere adquirir licencias digitales de 3 editoriales, Maison des Langues, Clé y Hachette, para docentes de cursos de francés de pregrado</t>
        </is>
      </c>
    </row>
    <row r="55">
      <c r="A55" s="0" t="inlineStr">
        <is>
          <t xml:space="preserve">1469-324-L126</t>
        </is>
      </c>
      <c r="B55" s="4" t="inlineStr">
        <is>
          <t xml:space="preserve">ADQUISICIÓN LICENCIAS DIGITALES PLATAFORMA EDUCACIONAL IDIOMA FRANCÉS</t>
        </is>
      </c>
      <c r="C55" s="0">
        <v>3</v>
      </c>
      <c r="D55" s="4" t="inlineStr">
        <is>
          <t xml:space="preserve">Cursos y materiales de apoyo para aprender a hablar francés</t>
        </is>
      </c>
      <c r="E55" s="4" t="inlineStr">
        <is>
          <t xml:space="preserve">Instrumentos musicales, juegos, juguetes, artesanías y materiales educativos / Materiales, artículos y suministros didácticos profesionales y para el desarrollo personal / Recursos de lenguas extranjeras</t>
        </is>
      </c>
      <c r="F55" s="0">
        <v>2.0</v>
      </c>
      <c r="G55" s="0" t="inlineStr">
        <is>
          <t xml:space="preserve">Unidad</t>
        </is>
      </c>
      <c r="H55" s="4" t="inlineStr">
        <is>
          <t xml:space="preserve">La Universidad de Talca requiere adquirir licencias digitales de 3 editoriales, Maison des Langues, Clé y Hachette, para docentes de cursos de francés de pregrado</t>
        </is>
      </c>
    </row>
    <row r="56">
      <c r="A56" s="0" t="inlineStr">
        <is>
          <t xml:space="preserve">1469-324-L126</t>
        </is>
      </c>
      <c r="B56" s="4" t="inlineStr">
        <is>
          <t xml:space="preserve">ADQUISICIÓN LICENCIAS DIGITALES PLATAFORMA EDUCACIONAL IDIOMA FRANCÉS</t>
        </is>
      </c>
      <c r="C56" s="0">
        <v>4</v>
      </c>
      <c r="D56" s="4" t="inlineStr">
        <is>
          <t xml:space="preserve">Cursos y materiales de apoyo para aprender a hablar francés</t>
        </is>
      </c>
      <c r="E56" s="4" t="inlineStr">
        <is>
          <t xml:space="preserve">Instrumentos musicales, juegos, juguetes, artesanías y materiales educativos / Materiales, artículos y suministros didácticos profesionales y para el desarrollo personal / Recursos de lenguas extranjeras</t>
        </is>
      </c>
      <c r="F56" s="0">
        <v>2.0</v>
      </c>
      <c r="G56" s="0" t="inlineStr">
        <is>
          <t xml:space="preserve">Unidad</t>
        </is>
      </c>
      <c r="H56" s="4" t="inlineStr">
        <is>
          <t xml:space="preserve">La Universidad de Talca requiere adquirir licencias digitales de 3 editoriales, Maison des Langues, Clé y Hachette, para docentes de cursos de francés de pregrado</t>
        </is>
      </c>
    </row>
    <row r="57">
      <c r="A57" s="0" t="inlineStr">
        <is>
          <t xml:space="preserve">1469-324-L126</t>
        </is>
      </c>
      <c r="B57" s="4" t="inlineStr">
        <is>
          <t xml:space="preserve">ADQUISICIÓN LICENCIAS DIGITALES PLATAFORMA EDUCACIONAL IDIOMA FRANCÉS</t>
        </is>
      </c>
      <c r="C57" s="0">
        <v>5</v>
      </c>
      <c r="D57" s="4" t="inlineStr">
        <is>
          <t xml:space="preserve">Cursos y materiales de apoyo para aprender a hablar francés</t>
        </is>
      </c>
      <c r="E57" s="4" t="inlineStr">
        <is>
          <t xml:space="preserve">Instrumentos musicales, juegos, juguetes, artesanías y materiales educativos / Materiales, artículos y suministros didácticos profesionales y para el desarrollo personal / Recursos de lenguas extranjeras</t>
        </is>
      </c>
      <c r="F57" s="0">
        <v>2.0</v>
      </c>
      <c r="G57" s="0" t="inlineStr">
        <is>
          <t xml:space="preserve">Unidad</t>
        </is>
      </c>
      <c r="H57" s="4" t="inlineStr">
        <is>
          <t xml:space="preserve">La Universidad de Talca requiere adquirir licencias digitales de 3 editoriales, Maison des Langues, Clé y Hachette, para docentes de cursos de francés de pregrado</t>
        </is>
      </c>
    </row>
    <row r="58">
      <c r="A58" s="0" t="inlineStr">
        <is>
          <t xml:space="preserve">1469-324-L126</t>
        </is>
      </c>
      <c r="B58" s="4" t="inlineStr">
        <is>
          <t xml:space="preserve">ADQUISICIÓN LICENCIAS DIGITALES PLATAFORMA EDUCACIONAL IDIOMA FRANCÉS</t>
        </is>
      </c>
      <c r="C58" s="0">
        <v>6</v>
      </c>
      <c r="D58" s="4" t="inlineStr">
        <is>
          <t xml:space="preserve">Cursos y materiales de apoyo para aprender a hablar francés</t>
        </is>
      </c>
      <c r="E58" s="4" t="inlineStr">
        <is>
          <t xml:space="preserve">Instrumentos musicales, juegos, juguetes, artesanías y materiales educativos / Materiales, artículos y suministros didácticos profesionales y para el desarrollo personal / Recursos de lenguas extranjeras</t>
        </is>
      </c>
      <c r="F58" s="0">
        <v>2.0</v>
      </c>
      <c r="G58" s="0" t="inlineStr">
        <is>
          <t xml:space="preserve">Unidad</t>
        </is>
      </c>
      <c r="H58" s="4" t="inlineStr">
        <is>
          <t xml:space="preserve">La Universidad de Talca requiere adquirir licencias digitales de 3 editoriales, Maison des Langues, Clé y Hachette, para docentes de cursos de francés de pregrado</t>
        </is>
      </c>
    </row>
    <row r="59">
      <c r="A59" s="0" t="inlineStr">
        <is>
          <t xml:space="preserve">1469-324-L126</t>
        </is>
      </c>
      <c r="B59" s="4" t="inlineStr">
        <is>
          <t xml:space="preserve">ADQUISICIÓN LICENCIAS DIGITALES PLATAFORMA EDUCACIONAL IDIOMA FRANCÉS</t>
        </is>
      </c>
      <c r="C59" s="0">
        <v>7</v>
      </c>
      <c r="D59" s="4" t="inlineStr">
        <is>
          <t xml:space="preserve">Cursos y materiales de apoyo para aprender a hablar francés</t>
        </is>
      </c>
      <c r="E59" s="4" t="inlineStr">
        <is>
          <t xml:space="preserve">Instrumentos musicales, juegos, juguetes, artesanías y materiales educativos / Materiales, artículos y suministros didácticos profesionales y para el desarrollo personal / Recursos de lenguas extranjeras</t>
        </is>
      </c>
      <c r="F59" s="0">
        <v>2.0</v>
      </c>
      <c r="G59" s="0" t="inlineStr">
        <is>
          <t xml:space="preserve">Unidad</t>
        </is>
      </c>
      <c r="H59" s="4" t="inlineStr">
        <is>
          <t xml:space="preserve">La Universidad de Talca requiere adquirir licencias digitales de 3 editoriales, Maison des Langues, Clé y Hachette, para docentes de cursos de francés de pregrado</t>
        </is>
      </c>
    </row>
    <row r="60">
      <c r="A60" s="0" t="inlineStr">
        <is>
          <t xml:space="preserve">1469-324-L126</t>
        </is>
      </c>
      <c r="B60" s="4" t="inlineStr">
        <is>
          <t xml:space="preserve">ADQUISICIÓN LICENCIAS DIGITALES PLATAFORMA EDUCACIONAL IDIOMA FRANCÉS</t>
        </is>
      </c>
      <c r="C60" s="0">
        <v>8</v>
      </c>
      <c r="D60" s="4" t="inlineStr">
        <is>
          <t xml:space="preserve">Cursos y materiales de apoyo para aprender a hablar francés</t>
        </is>
      </c>
      <c r="E60" s="4" t="inlineStr">
        <is>
          <t xml:space="preserve">Instrumentos musicales, juegos, juguetes, artesanías y materiales educativos / Materiales, artículos y suministros didácticos profesionales y para el desarrollo personal / Recursos de lenguas extranjeras</t>
        </is>
      </c>
      <c r="F60" s="0">
        <v>2.0</v>
      </c>
      <c r="G60" s="0" t="inlineStr">
        <is>
          <t xml:space="preserve">Unidad</t>
        </is>
      </c>
      <c r="H60" s="4" t="inlineStr">
        <is>
          <t xml:space="preserve">La Universidad de Talca requiere adquirir licencias digitales de 3 editoriales, Maison des Langues, Clé y Hachette, para docentes de cursos de francés de pregrado</t>
        </is>
      </c>
    </row>
    <row r="61">
      <c r="A61" s="0" t="inlineStr">
        <is>
          <t xml:space="preserve">1469-324-L126</t>
        </is>
      </c>
      <c r="B61" s="4" t="inlineStr">
        <is>
          <t xml:space="preserve">ADQUISICIÓN LICENCIAS DIGITALES PLATAFORMA EDUCACIONAL IDIOMA FRANCÉS</t>
        </is>
      </c>
      <c r="C61" s="0">
        <v>9</v>
      </c>
      <c r="D61" s="4" t="inlineStr">
        <is>
          <t xml:space="preserve">Cursos y materiales de apoyo para aprender a hablar francés</t>
        </is>
      </c>
      <c r="E61" s="4" t="inlineStr">
        <is>
          <t xml:space="preserve">Instrumentos musicales, juegos, juguetes, artesanías y materiales educativos / Materiales, artículos y suministros didácticos profesionales y para el desarrollo personal / Recursos de lenguas extranjeras</t>
        </is>
      </c>
      <c r="F61" s="0">
        <v>2.0</v>
      </c>
      <c r="G61" s="0" t="inlineStr">
        <is>
          <t xml:space="preserve">Unidad</t>
        </is>
      </c>
      <c r="H61" s="4" t="inlineStr">
        <is>
          <t xml:space="preserve">La Universidad de Talca requiere adquirir licencias digitales de 3 editoriales, Maison des Langues, Clé y Hachette, para docentes de cursos de francés de pregrado</t>
        </is>
      </c>
    </row>
    <row r="62">
      <c r="A62" s="0" t="inlineStr">
        <is>
          <t xml:space="preserve">1469-324-L126</t>
        </is>
      </c>
      <c r="B62" s="4" t="inlineStr">
        <is>
          <t xml:space="preserve">ADQUISICIÓN LICENCIAS DIGITALES PLATAFORMA EDUCACIONAL IDIOMA FRANCÉS</t>
        </is>
      </c>
      <c r="C62" s="0">
        <v>10</v>
      </c>
      <c r="D62" s="4" t="inlineStr">
        <is>
          <t xml:space="preserve">Cursos y materiales de apoyo para aprender a hablar francés</t>
        </is>
      </c>
      <c r="E62" s="4" t="inlineStr">
        <is>
          <t xml:space="preserve">Instrumentos musicales, juegos, juguetes, artesanías y materiales educativos / Materiales, artículos y suministros didácticos profesionales y para el desarrollo personal / Recursos de lenguas extranjeras</t>
        </is>
      </c>
      <c r="F62" s="0">
        <v>2.0</v>
      </c>
      <c r="G62" s="0" t="inlineStr">
        <is>
          <t xml:space="preserve">Unidad</t>
        </is>
      </c>
      <c r="H62" s="4" t="inlineStr">
        <is>
          <t xml:space="preserve">La Universidad de Talca requiere adquirir licencias digitales de 3 editoriales, Maison des Langues, Clé y Hachette, para docentes de cursos de francés de pregrado</t>
        </is>
      </c>
    </row>
    <row r="63">
      <c r="A63" s="0" t="inlineStr">
        <is>
          <t xml:space="preserve">1469-324-L126</t>
        </is>
      </c>
      <c r="B63" s="4" t="inlineStr">
        <is>
          <t xml:space="preserve">ADQUISICIÓN LICENCIAS DIGITALES PLATAFORMA EDUCACIONAL IDIOMA FRANCÉS</t>
        </is>
      </c>
      <c r="C63" s="0">
        <v>11</v>
      </c>
      <c r="D63" s="4" t="inlineStr">
        <is>
          <t xml:space="preserve">Cursos y materiales de apoyo para aprender a hablar francés</t>
        </is>
      </c>
      <c r="E63" s="4" t="inlineStr">
        <is>
          <t xml:space="preserve">Instrumentos musicales, juegos, juguetes, artesanías y materiales educativos / Materiales, artículos y suministros didácticos profesionales y para el desarrollo personal / Recursos de lenguas extranjeras</t>
        </is>
      </c>
      <c r="F63" s="0">
        <v>2.0</v>
      </c>
      <c r="G63" s="0" t="inlineStr">
        <is>
          <t xml:space="preserve">Unidad</t>
        </is>
      </c>
      <c r="H63" s="4" t="inlineStr">
        <is>
          <t xml:space="preserve">Libros numéricos de métodos de enseñanza del idioma francés, Editorial Clé, material Vite et bien N° 2</t>
        </is>
      </c>
    </row>
    <row r="64">
      <c r="A64" s="0" t="inlineStr">
        <is>
          <t xml:space="preserve">1469-324-L126</t>
        </is>
      </c>
      <c r="B64" s="4" t="inlineStr">
        <is>
          <t xml:space="preserve">ADQUISICIÓN LICENCIAS DIGITALES PLATAFORMA EDUCACIONAL IDIOMA FRANCÉS</t>
        </is>
      </c>
      <c r="C64" s="0">
        <v>12</v>
      </c>
      <c r="D64" s="4" t="inlineStr">
        <is>
          <t xml:space="preserve">Cursos y materiales de apoyo para aprender a hablar francés</t>
        </is>
      </c>
      <c r="E64" s="4" t="inlineStr">
        <is>
          <t xml:space="preserve">Instrumentos musicales, juegos, juguetes, artesanías y materiales educativos / Materiales, artículos y suministros didácticos profesionales y para el desarrollo personal / Recursos de lenguas extranjeras</t>
        </is>
      </c>
      <c r="F64" s="0">
        <v>2.0</v>
      </c>
      <c r="G64" s="0" t="inlineStr">
        <is>
          <t xml:space="preserve">Unidad</t>
        </is>
      </c>
      <c r="H64" s="4" t="inlineStr">
        <is>
          <t xml:space="preserve">La Universidad de Talca requiere adquirir licencias digitales de 3 editoriales, Maison des Langues, Clé y Hachette, para docentes de cursos de francés de pregrado</t>
        </is>
      </c>
    </row>
    <row r="65">
      <c r="A65" s="0" t="inlineStr">
        <is>
          <t xml:space="preserve">1469-324-L126</t>
        </is>
      </c>
      <c r="B65" s="4" t="inlineStr">
        <is>
          <t xml:space="preserve">ADQUISICIÓN LICENCIAS DIGITALES PLATAFORMA EDUCACIONAL IDIOMA FRANCÉS</t>
        </is>
      </c>
      <c r="C65" s="0">
        <v>13</v>
      </c>
      <c r="D65" s="4" t="inlineStr">
        <is>
          <t xml:space="preserve">Cursos y materiales de apoyo para aprender a hablar francés</t>
        </is>
      </c>
      <c r="E65" s="4" t="inlineStr">
        <is>
          <t xml:space="preserve">Instrumentos musicales, juegos, juguetes, artesanías y materiales educativos / Materiales, artículos y suministros didácticos profesionales y para el desarrollo personal / Recursos de lenguas extranjeras</t>
        </is>
      </c>
      <c r="F65" s="0">
        <v>2.0</v>
      </c>
      <c r="G65" s="0" t="inlineStr">
        <is>
          <t xml:space="preserve">Unidad</t>
        </is>
      </c>
      <c r="H65" s="4" t="inlineStr">
        <is>
          <t xml:space="preserve">La Universidad de Talca requiere adquirir licencias digitales de 3 editoriales, Maison des Langues, Clé y Hachette, para docentes de cursos de francés de pregrado</t>
        </is>
      </c>
    </row>
    <row r="66">
      <c r="A66" s="0" t="inlineStr">
        <is>
          <t xml:space="preserve">1469-324-L126</t>
        </is>
      </c>
      <c r="B66" s="4" t="inlineStr">
        <is>
          <t xml:space="preserve">ADQUISICIÓN LICENCIAS DIGITALES PLATAFORMA EDUCACIONAL IDIOMA FRANCÉS</t>
        </is>
      </c>
      <c r="C66" s="0">
        <v>14</v>
      </c>
      <c r="D66" s="4" t="inlineStr">
        <is>
          <t xml:space="preserve">Cursos y materiales de apoyo para aprender a hablar francés</t>
        </is>
      </c>
      <c r="E66" s="4" t="inlineStr">
        <is>
          <t xml:space="preserve">Instrumentos musicales, juegos, juguetes, artesanías y materiales educativos / Materiales, artículos y suministros didácticos profesionales y para el desarrollo personal / Recursos de lenguas extranjeras</t>
        </is>
      </c>
      <c r="F66" s="0">
        <v>2.0</v>
      </c>
      <c r="G66" s="0" t="inlineStr">
        <is>
          <t xml:space="preserve">Unidad</t>
        </is>
      </c>
      <c r="H66" s="4" t="inlineStr">
        <is>
          <t xml:space="preserve">La Universidad de Talca requiere adquirir licencias digitales de 3 editoriales, Maison des Langues, Clé y Hachette, para docentes de cursos de francés de pregrado</t>
        </is>
      </c>
    </row>
    <row r="67">
      <c r="A67" s="0" t="inlineStr">
        <is>
          <t xml:space="preserve">1057922-33-LP26</t>
        </is>
      </c>
      <c r="B67" s="4" t="inlineStr">
        <is>
          <t xml:space="preserve">ADQUISICION EQUIPOS Y EQUIPAMIENTO TECNOLOGÍAS DE LA INFORMACIÓN PARA CESFAM CON SAR RAHUE ALTO</t>
        </is>
      </c>
      <c r="C67" s="0">
        <v>1</v>
      </c>
      <c r="D67" s="4" t="inlineStr">
        <is>
          <t xml:space="preserve">Computadores de escritorio</t>
        </is>
      </c>
      <c r="E67" s="4" t="inlineStr">
        <is>
          <t xml:space="preserve">Tecnologías de la información, telecomunicaciones y radiodifusión / Equipos informáticos y accesorios / Computadores</t>
        </is>
      </c>
      <c r="F67" s="0">
        <v>102.0</v>
      </c>
      <c r="G67" s="0" t="inlineStr">
        <is>
          <t xml:space="preserve">Unidad</t>
        </is>
      </c>
      <c r="H67" s="4" t="inlineStr">
        <is>
          <t xml:space="preserve">COMPUTADOR AIO</t>
        </is>
      </c>
    </row>
    <row r="68">
      <c r="A68" s="0" t="inlineStr">
        <is>
          <t xml:space="preserve">1057922-33-LP26</t>
        </is>
      </c>
      <c r="B68" s="4" t="inlineStr">
        <is>
          <t xml:space="preserve">ADQUISICION EQUIPOS Y EQUIPAMIENTO TECNOLOGÍAS DE LA INFORMACIÓN PARA CESFAM CON SAR RAHUE ALTO</t>
        </is>
      </c>
      <c r="C68" s="0">
        <v>2</v>
      </c>
      <c r="D68" s="4" t="inlineStr">
        <is>
          <t xml:space="preserve">Notebook, laptop o computador portátil excepto Tablet PC</t>
        </is>
      </c>
      <c r="E68" s="4" t="inlineStr">
        <is>
          <t xml:space="preserve">Tecnologías de la información, telecomunicaciones y radiodifusión / Equipos informáticos y accesorios / Computadores</t>
        </is>
      </c>
      <c r="F68" s="0">
        <v>5.0</v>
      </c>
      <c r="G68" s="0" t="inlineStr">
        <is>
          <t xml:space="preserve">Unidad</t>
        </is>
      </c>
      <c r="H68" s="4" t="inlineStr">
        <is>
          <t xml:space="preserve">NOTEBOOK</t>
        </is>
      </c>
    </row>
    <row r="69">
      <c r="A69" s="0" t="inlineStr">
        <is>
          <t xml:space="preserve">1057922-33-LP26</t>
        </is>
      </c>
      <c r="B69" s="4" t="inlineStr">
        <is>
          <t xml:space="preserve">ADQUISICION EQUIPOS Y EQUIPAMIENTO TECNOLOGÍAS DE LA INFORMACIÓN PARA CESFAM CON SAR RAHUE ALTO</t>
        </is>
      </c>
      <c r="C69" s="0">
        <v>3</v>
      </c>
      <c r="D69" s="4" t="inlineStr">
        <is>
          <t xml:space="preserve">Tickets o rollos de tickets</t>
        </is>
      </c>
      <c r="E69" s="4" t="inlineStr">
        <is>
          <t xml:space="preserve">Productos de papel / Productos de papel / Papeles comerciales</t>
        </is>
      </c>
      <c r="F69" s="0">
        <v>6.0</v>
      </c>
      <c r="G69" s="0" t="inlineStr">
        <is>
          <t xml:space="preserve">Unidad</t>
        </is>
      </c>
      <c r="H69" s="4" t="inlineStr">
        <is>
          <t xml:space="preserve">TURNOMÁTICO</t>
        </is>
      </c>
    </row>
    <row r="70">
      <c r="A70" s="0" t="inlineStr">
        <is>
          <t xml:space="preserve">1057922-33-LP26</t>
        </is>
      </c>
      <c r="B70" s="4" t="inlineStr">
        <is>
          <t xml:space="preserve">ADQUISICION EQUIPOS Y EQUIPAMIENTO TECNOLOGÍAS DE LA INFORMACIÓN PARA CESFAM CON SAR RAHUE ALTO</t>
        </is>
      </c>
      <c r="C70" s="0">
        <v>4</v>
      </c>
      <c r="D70" s="4" t="inlineStr">
        <is>
          <t xml:space="preserve">Impresoras de cinta térmica</t>
        </is>
      </c>
      <c r="E70" s="4" t="inlineStr">
        <is>
          <t xml:space="preserve">Tecnologías de la información, telecomunicaciones y radiodifusión / Equipos informáticos y accesorios / Impresoras</t>
        </is>
      </c>
      <c r="F70" s="0">
        <v>6.0</v>
      </c>
      <c r="G70" s="0" t="inlineStr">
        <is>
          <t xml:space="preserve">Unidad</t>
        </is>
      </c>
      <c r="H70" s="4" t="inlineStr">
        <is>
          <t xml:space="preserve">IMPRESORA DE ETIQUETAS</t>
        </is>
      </c>
    </row>
    <row r="71">
      <c r="A71" s="0" t="inlineStr">
        <is>
          <t xml:space="preserve">1057922-33-LP26</t>
        </is>
      </c>
      <c r="B71" s="4" t="inlineStr">
        <is>
          <t xml:space="preserve">ADQUISICION EQUIPOS Y EQUIPAMIENTO TECNOLOGÍAS DE LA INFORMACIÓN PARA CESFAM CON SAR RAHUE ALTO</t>
        </is>
      </c>
      <c r="C71" s="0">
        <v>5</v>
      </c>
      <c r="D71" s="4" t="inlineStr">
        <is>
          <t xml:space="preserve">Impresoras de cinta térmica</t>
        </is>
      </c>
      <c r="E71" s="4" t="inlineStr">
        <is>
          <t xml:space="preserve">Tecnologías de la información, telecomunicaciones y radiodifusión / Equipos informáticos y accesorios / Impresoras</t>
        </is>
      </c>
      <c r="F71" s="0">
        <v>2.0</v>
      </c>
      <c r="G71" s="0" t="inlineStr">
        <is>
          <t xml:space="preserve">Unidad</t>
        </is>
      </c>
      <c r="H71" s="4" t="inlineStr">
        <is>
          <t xml:space="preserve">IMPRESORA DE VOUCHER</t>
        </is>
      </c>
    </row>
    <row r="72">
      <c r="A72" s="0" t="inlineStr">
        <is>
          <t xml:space="preserve">1057922-33-LP26</t>
        </is>
      </c>
      <c r="B72" s="4" t="inlineStr">
        <is>
          <t xml:space="preserve">ADQUISICION EQUIPOS Y EQUIPAMIENTO TECNOLOGÍAS DE LA INFORMACIÓN PARA CESFAM CON SAR RAHUE ALTO</t>
        </is>
      </c>
      <c r="C72" s="0">
        <v>6</v>
      </c>
      <c r="D72" s="4" t="inlineStr">
        <is>
          <t xml:space="preserve">Impresoras de cinta térmica</t>
        </is>
      </c>
      <c r="E72" s="4" t="inlineStr">
        <is>
          <t xml:space="preserve">Tecnologías de la información, telecomunicaciones y radiodifusión / Equipos informáticos y accesorios / Impresoras</t>
        </is>
      </c>
      <c r="F72" s="0">
        <v>2.0</v>
      </c>
      <c r="G72" s="0" t="inlineStr">
        <is>
          <t xml:space="preserve">Unidad</t>
        </is>
      </c>
      <c r="H72" s="4" t="inlineStr">
        <is>
          <t xml:space="preserve">IMPRESORA DE BRAZALETES</t>
        </is>
      </c>
    </row>
    <row r="73">
      <c r="A73" s="0" t="inlineStr">
        <is>
          <t xml:space="preserve">1057922-33-LP26</t>
        </is>
      </c>
      <c r="B73" s="4" t="inlineStr">
        <is>
          <t xml:space="preserve">ADQUISICION EQUIPOS Y EQUIPAMIENTO TECNOLOGÍAS DE LA INFORMACIÓN PARA CESFAM CON SAR RAHUE ALTO</t>
        </is>
      </c>
      <c r="C73" s="0">
        <v>7</v>
      </c>
      <c r="D73" s="4" t="inlineStr">
        <is>
          <t xml:space="preserve">Proyectores multimedia</t>
        </is>
      </c>
      <c r="E73" s="4" t="inlineStr">
        <is>
          <t xml:space="preserve">Equipos y suministros de imprenta, fotográficos y audiovisuales / Equipos de composición y presentación audiovisual / Proyectores y suministros</t>
        </is>
      </c>
      <c r="F73" s="0">
        <v>4.0</v>
      </c>
      <c r="G73" s="0" t="inlineStr">
        <is>
          <t xml:space="preserve">Unidad</t>
        </is>
      </c>
      <c r="H73" s="4" t="inlineStr">
        <is>
          <t xml:space="preserve">PROYECTOR ANDROID TV</t>
        </is>
      </c>
    </row>
    <row r="74">
      <c r="A74" s="0" t="inlineStr">
        <is>
          <t xml:space="preserve">1057922-33-LP26</t>
        </is>
      </c>
      <c r="B74" s="4" t="inlineStr">
        <is>
          <t xml:space="preserve">ADQUISICION EQUIPOS Y EQUIPAMIENTO TECNOLOGÍAS DE LA INFORMACIÓN PARA CESFAM CON SAR RAHUE ALTO</t>
        </is>
      </c>
      <c r="C74" s="0">
        <v>8</v>
      </c>
      <c r="D74" s="4" t="inlineStr">
        <is>
          <t xml:space="preserve">Televisores convencionales, de plasma y LCD</t>
        </is>
      </c>
      <c r="E74" s="4" t="inlineStr">
        <is>
          <t xml:space="preserve">Muebles, accesorios, electrodomésticos y productos electrónicos / Equipos y accesorios audiovisuales / Equipos audiovisuales y de electrónica menor</t>
        </is>
      </c>
      <c r="F74" s="0">
        <v>4.0</v>
      </c>
      <c r="G74" s="0" t="inlineStr">
        <is>
          <t xml:space="preserve">Unidad</t>
        </is>
      </c>
      <c r="H74" s="4" t="inlineStr">
        <is>
          <t xml:space="preserve">TELEVISOR 32"</t>
        </is>
      </c>
    </row>
    <row r="75">
      <c r="A75" s="0" t="inlineStr">
        <is>
          <t xml:space="preserve">1057922-33-LP26</t>
        </is>
      </c>
      <c r="B75" s="4" t="inlineStr">
        <is>
          <t xml:space="preserve">ADQUISICION EQUIPOS Y EQUIPAMIENTO TECNOLOGÍAS DE LA INFORMACIÓN PARA CESFAM CON SAR RAHUE ALTO</t>
        </is>
      </c>
      <c r="C75" s="0">
        <v>9</v>
      </c>
      <c r="D75" s="4" t="inlineStr">
        <is>
          <t xml:space="preserve">Televisores convencionales, de plasma y LCD</t>
        </is>
      </c>
      <c r="E75" s="4" t="inlineStr">
        <is>
          <t xml:space="preserve">Muebles, accesorios, electrodomésticos y productos electrónicos / Equipos y accesorios audiovisuales / Equipos audiovisuales y de electrónica menor</t>
        </is>
      </c>
      <c r="F75" s="0">
        <v>3.0</v>
      </c>
      <c r="G75" s="0" t="inlineStr">
        <is>
          <t xml:space="preserve">Unidad</t>
        </is>
      </c>
      <c r="H75" s="4" t="inlineStr">
        <is>
          <t xml:space="preserve">TELEVISOR 40"</t>
        </is>
      </c>
    </row>
    <row r="76">
      <c r="A76" s="0" t="inlineStr">
        <is>
          <t xml:space="preserve">1057922-33-LP26</t>
        </is>
      </c>
      <c r="B76" s="4" t="inlineStr">
        <is>
          <t xml:space="preserve">ADQUISICION EQUIPOS Y EQUIPAMIENTO TECNOLOGÍAS DE LA INFORMACIÓN PARA CESFAM CON SAR RAHUE ALTO</t>
        </is>
      </c>
      <c r="C76" s="0">
        <v>10</v>
      </c>
      <c r="D76" s="4" t="inlineStr">
        <is>
          <t xml:space="preserve">Televisores convencionales, de plasma y LCD</t>
        </is>
      </c>
      <c r="E76" s="4" t="inlineStr">
        <is>
          <t xml:space="preserve">Muebles, accesorios, electrodomésticos y productos electrónicos / Equipos y accesorios audiovisuales / Equipos audiovisuales y de electrónica menor</t>
        </is>
      </c>
      <c r="F76" s="0">
        <v>3.0</v>
      </c>
      <c r="G76" s="0" t="inlineStr">
        <is>
          <t xml:space="preserve">Unidad</t>
        </is>
      </c>
      <c r="H76" s="4" t="inlineStr">
        <is>
          <t xml:space="preserve">TELEVISOR 50"</t>
        </is>
      </c>
    </row>
    <row r="77">
      <c r="A77" s="0" t="inlineStr">
        <is>
          <t xml:space="preserve">1057922-33-LP26</t>
        </is>
      </c>
      <c r="B77" s="4" t="inlineStr">
        <is>
          <t xml:space="preserve">ADQUISICION EQUIPOS Y EQUIPAMIENTO TECNOLOGÍAS DE LA INFORMACIÓN PARA CESFAM CON SAR RAHUE ALTO</t>
        </is>
      </c>
      <c r="C77" s="0">
        <v>11</v>
      </c>
      <c r="D77" s="4" t="inlineStr">
        <is>
          <t xml:space="preserve">Equipo para huellas dactilares</t>
        </is>
      </c>
      <c r="E77" s="4" t="inlineStr">
        <is>
          <t xml:space="preserve">Equipos y suministros de defensa, orden público, protección y seguridad / Equipos para orden público / Equipo forense, accesorios y suministros</t>
        </is>
      </c>
      <c r="F77" s="0">
        <v>32.0</v>
      </c>
      <c r="G77" s="0" t="inlineStr">
        <is>
          <t xml:space="preserve">Unidad</t>
        </is>
      </c>
      <c r="H77" s="4" t="inlineStr">
        <is>
          <t xml:space="preserve">HUELLEROS BIOMÉTRICOS</t>
        </is>
      </c>
    </row>
    <row r="78">
      <c r="A78" s="0" t="inlineStr">
        <is>
          <t xml:space="preserve">1057922-33-LP26</t>
        </is>
      </c>
      <c r="B78" s="4" t="inlineStr">
        <is>
          <t xml:space="preserve">ADQUISICION EQUIPOS Y EQUIPAMIENTO TECNOLOGÍAS DE LA INFORMACIÓN PARA CESFAM CON SAR RAHUE ALTO</t>
        </is>
      </c>
      <c r="C78" s="0">
        <v>12</v>
      </c>
      <c r="D78" s="4" t="inlineStr">
        <is>
          <t xml:space="preserve">Atriles de pie</t>
        </is>
      </c>
      <c r="E78" s="4" t="inlineStr">
        <is>
          <t xml:space="preserve">Equipos y suministros de imprenta, fotográficos y audiovisuales / Equipos de composición y presentación audiovisual / Atriles, sistemas de sonido y accesorios</t>
        </is>
      </c>
      <c r="F78" s="0">
        <v>1.0</v>
      </c>
      <c r="G78" s="0" t="inlineStr">
        <is>
          <t xml:space="preserve">Unidad</t>
        </is>
      </c>
      <c r="H78" s="4" t="inlineStr">
        <is>
          <t xml:space="preserve">TELÓN PARA PROYECTOR CON TRIPODE</t>
        </is>
      </c>
    </row>
    <row r="79">
      <c r="A79" s="0" t="inlineStr">
        <is>
          <t xml:space="preserve">5350-38-LE26</t>
        </is>
      </c>
      <c r="B79" s="4" t="inlineStr">
        <is>
          <t xml:space="preserve">CONVENIO SUMINISTRO SOFTWARE INVENTARIO DROGUERIA</t>
        </is>
      </c>
      <c r="C79" s="0">
        <v>1</v>
      </c>
      <c r="D79" s="4" t="inlineStr">
        <is>
          <t xml:space="preserve">Programas de gestión de inventario</t>
        </is>
      </c>
      <c r="E79" s="4" t="inlineStr">
        <is>
          <t xml:space="preserve">Tecnologías de la información, telecomunicaciones y radiodifusión / Software / Software de gestión</t>
        </is>
      </c>
      <c r="F79" s="0">
        <v>1.0</v>
      </c>
      <c r="G79" s="0" t="inlineStr">
        <is>
          <t xml:space="preserve">Unidad</t>
        </is>
      </c>
      <c r="H79" s="4" t="inlineStr">
        <is>
          <t xml:space="preserve">Programa suministro de Software Inventario, Droguería Farmacia Central</t>
        </is>
      </c>
    </row>
    <row r="80">
      <c r="A80" s="0" t="inlineStr">
        <is>
          <t xml:space="preserve">1057062-10-LE26</t>
        </is>
      </c>
      <c r="B80" s="4" t="inlineStr">
        <is>
          <t xml:space="preserve">Servicio de Medios Digital y Radial URYRED 22992</t>
        </is>
      </c>
      <c r="C80" s="0">
        <v>1</v>
      </c>
      <c r="D80" s="4" t="inlineStr">
        <is>
          <t xml:space="preserve">Campañas publicitarias</t>
        </is>
      </c>
      <c r="E80" s="4" t="inlineStr">
        <is>
          <t xml:space="preserve">Servicios editoriales, de diseño, publicidad, gráficos y artistas / Publicidad / Agencias de publicidad</t>
        </is>
      </c>
      <c r="F80" s="0">
        <v>1.0</v>
      </c>
      <c r="G80" s="0" t="inlineStr">
        <is>
          <t xml:space="preserve">Unidad</t>
        </is>
      </c>
      <c r="H80" s="4" t="inlineStr">
        <is>
          <t xml:space="preserve">diseñar, implementar y administrar un plan de medios digital para apoyar la estrategia de posicionamiento del Sistema de Universidades del Estado de Chile.</t>
        </is>
      </c>
    </row>
    <row r="81">
      <c r="A81" s="0" t="inlineStr">
        <is>
          <t xml:space="preserve">662237-35-LE26</t>
        </is>
      </c>
      <c r="B81" s="4" t="inlineStr">
        <is>
          <t xml:space="preserve">Adquisición de créditos Google Cloud Platform GCP</t>
        </is>
      </c>
      <c r="C81" s="0">
        <v>1</v>
      </c>
      <c r="D81" s="4" t="inlineStr">
        <is>
          <t xml:space="preserve">Software de gestión de adquisiciones</t>
        </is>
      </c>
      <c r="E81" s="4" t="inlineStr">
        <is>
          <t xml:space="preserve">Tecnologías de la información, telecomunicaciones y radiodifusión / Software / Software de gestión</t>
        </is>
      </c>
      <c r="F81" s="0">
        <v>1.0</v>
      </c>
      <c r="G81" s="0" t="inlineStr">
        <is>
          <t xml:space="preserve">Unidad</t>
        </is>
      </c>
      <c r="H81" s="4" t="inlineStr">
        <is>
          <t xml:space="preserve">Adquisición de créditos Google Cloud Platform (GCP) para dar continuidad operativa a los servicios que actualmente utiliza SENDA</t>
        </is>
      </c>
    </row>
    <row r="82">
      <c r="A82" s="0" t="inlineStr">
        <is>
          <t xml:space="preserve">4246-11-LE26</t>
        </is>
      </c>
      <c r="B82" s="4" t="inlineStr">
        <is>
          <t xml:space="preserve">Licencias de software EDB Enterprise</t>
        </is>
      </c>
      <c r="C82" s="0">
        <v>1</v>
      </c>
      <c r="D82" s="4" t="inlineStr">
        <is>
          <t xml:space="preserve">Software de administración de bases de datos orientado a objetos</t>
        </is>
      </c>
      <c r="E82" s="4" t="inlineStr">
        <is>
          <t xml:space="preserve">Tecnologías de la información, telecomunicaciones y radiodifusión / Software / Software de consultas y gestión de datos</t>
        </is>
      </c>
      <c r="F82" s="0">
        <v>1.0</v>
      </c>
      <c r="G82" s="0" t="inlineStr">
        <is>
          <t xml:space="preserve">Unidad</t>
        </is>
      </c>
      <c r="H82" s="4" t="inlineStr">
        <is>
          <t xml:space="preserve">10 Unicores EDB Enterprise Plan Production Support 1 Year Subscription</t>
        </is>
      </c>
    </row>
    <row r="83">
      <c r="A83" s="0" t="inlineStr">
        <is>
          <t xml:space="preserve">1447930-15-LP26</t>
        </is>
      </c>
      <c r="B83" s="4" t="inlineStr">
        <is>
          <t xml:space="preserve">SSP - Plataforma de virtualización On Premise</t>
        </is>
      </c>
      <c r="C83" s="0">
        <v>1</v>
      </c>
      <c r="D83" s="4" t="inlineStr">
        <is>
          <t xml:space="preserve">Software de interconectividad de plataformas</t>
        </is>
      </c>
      <c r="E83" s="4" t="inlineStr">
        <is>
          <t xml:space="preserve">Tecnologías de la información, telecomunicaciones y radiodifusión / Software / Software para trabajo en redes</t>
        </is>
      </c>
      <c r="F83" s="0">
        <v>1.0</v>
      </c>
      <c r="G83" s="0" t="inlineStr">
        <is>
          <t xml:space="preserve">Unidad</t>
        </is>
      </c>
      <c r="H83" s="4" t="inlineStr">
        <is>
          <t xml:space="preserve">ADQUISICIÓN E IMPLEMENTACIÓN DE EQUIPAMIENTO, SOFTWARE, PUESTA EN MARCHA Y PASO APRODUCCIÓN DE UNA PLATAFORMA DE VIRTUALIZACIÓN ON PREMISE PARA LA SUBSECRETARÍA DESEGURIDAD PÚBLICA</t>
        </is>
      </c>
    </row>
    <row r="84">
      <c r="A84" s="0" t="inlineStr">
        <is>
          <t xml:space="preserve">1232565-42-LP26</t>
        </is>
      </c>
      <c r="B84" s="4" t="inlineStr">
        <is>
          <t xml:space="preserve">Mesa Digital de Disección Anatómica Convertible</t>
        </is>
      </c>
      <c r="C84" s="0">
        <v>1</v>
      </c>
      <c r="D84" s="4" t="inlineStr">
        <is>
          <t xml:space="preserve">Equipos para formación y estudios de medicina</t>
        </is>
      </c>
      <c r="E84" s="4" t="inlineStr">
        <is>
          <t xml:space="preserve">Equipamiento y suministros médicos / Suministros para formación y estudios de medicina / Ayudas para la formación médica</t>
        </is>
      </c>
      <c r="F84" s="0">
        <v>1.0</v>
      </c>
      <c r="G84" s="0" t="inlineStr">
        <is>
          <t xml:space="preserve">Unidad</t>
        </is>
      </c>
      <c r="H84" s="4" t="inlineStr">
        <is>
          <t xml:space="preserve">Mesa de Anatomía de Disección Virtual ANATOMAGE o su equivalente técnico.</t>
        </is>
      </c>
    </row>
    <row r="85">
      <c r="A85" s="0" t="inlineStr">
        <is>
          <t xml:space="preserve">3328-116-LE26</t>
        </is>
      </c>
      <c r="B85" s="4" t="inlineStr">
        <is>
          <t xml:space="preserve">ASB ADQ. PLATAFORMA AVANZADA ELECTROQUIRÚRGICA</t>
        </is>
      </c>
      <c r="C85" s="0">
        <v>1</v>
      </c>
      <c r="D85" s="4" t="inlineStr">
        <is>
          <t xml:space="preserve">Equipo de microcirugía o accesorios</t>
        </is>
      </c>
      <c r="E85" s="4" t="inlineStr">
        <is>
          <t xml:space="preserve">Equipamiento y suministros médicos / Productos quirúrgicos / Equipo quirúrgico, accesorios y productos relacionados</t>
        </is>
      </c>
      <c r="F85" s="0">
        <v>2.0</v>
      </c>
      <c r="G85" s="0" t="inlineStr">
        <is>
          <t xml:space="preserve">Unidad</t>
        </is>
      </c>
      <c r="H85" s="4" t="inlineStr">
        <is>
          <t xml:space="preserve">PLATAFORMA AVANZADA ELECTROQUIRÚRGICA + ULTRASÓNICA EN UN SOLO GENERADOR. SEGUN BASES TECNICA</t>
        </is>
      </c>
    </row>
    <row r="86">
      <c r="A86" s="0" t="inlineStr">
        <is>
          <t xml:space="preserve">5251-93-LE26</t>
        </is>
      </c>
      <c r="B86" s="4" t="inlineStr">
        <is>
          <t xml:space="preserve">SERVICIOS DE SOPORTE PARA BASE DE DATOS INSTITUCIONALES</t>
        </is>
      </c>
      <c r="C86" s="0">
        <v>1</v>
      </c>
      <c r="D86" s="4" t="inlineStr">
        <is>
          <t xml:space="preserve">Mantenimiento y soporte de hardware</t>
        </is>
      </c>
      <c r="E86" s="4" t="inlineStr">
        <is>
          <t xml:space="preserve">Servicios basados en ingeniería, ciencias sociales y tecnología de la información / Servicios informáticos / Administración de sistemas</t>
        </is>
      </c>
      <c r="F86" s="0">
        <v>1.0</v>
      </c>
      <c r="G86" s="0" t="inlineStr">
        <is>
          <t xml:space="preserve">Unidad</t>
        </is>
      </c>
      <c r="H86" s="4" t="inlineStr">
        <is>
          <t xml:space="preserve">SERVICIOS DE SOPORTE PARA BASE DE DATOS INSTITUCIONALES</t>
        </is>
      </c>
    </row>
    <row r="87">
      <c r="A87" s="0" t="inlineStr">
        <is>
          <t xml:space="preserve">976-15-O126</t>
        </is>
      </c>
      <c r="B87" s="4" t="inlineStr">
        <is>
          <t xml:space="preserve">Ampliación Plataformas Comercial y General Ad. El Loa</t>
        </is>
      </c>
      <c r="C87" s="0">
        <v>1</v>
      </c>
      <c r="D87" s="4" t="inlineStr">
        <is>
          <t xml:space="preserve">Licitación Pública de Obra</t>
        </is>
      </c>
      <c r="E87" s="4" t="inlineStr">
        <is>
          <t xml:space="preserve">Consultoria / Consultoria / Planificación y Factibilidad</t>
        </is>
      </c>
      <c r="F87" s="0">
        <v>1.0</v>
      </c>
      <c r="G87" s="0" t="inlineStr">
        <is>
          <t xml:space="preserve">Unidad</t>
        </is>
      </c>
      <c r="H87" s="4" t="inlineStr">
        <is>
          <t xml:space="preserve">Licitación Pública de Obra</t>
        </is>
      </c>
    </row>
    <row r="88">
      <c r="A88" s="0" t="inlineStr">
        <is>
          <t xml:space="preserve">3799-28-LE26</t>
        </is>
      </c>
      <c r="B88" s="4" t="inlineStr">
        <is>
          <t xml:space="preserve">Servidor para implementación plataforma digitales</t>
        </is>
      </c>
      <c r="C88" s="0">
        <v>1</v>
      </c>
      <c r="D88" s="4" t="inlineStr">
        <is>
          <t xml:space="preserve">Servidores</t>
        </is>
      </c>
      <c r="E88" s="4" t="inlineStr">
        <is>
          <t xml:space="preserve">Tecnologías de la información, telecomunicaciones y radiodifusión / Equipos informáticos y accesorios / Computadores</t>
        </is>
      </c>
      <c r="F88" s="0">
        <v>1.0</v>
      </c>
      <c r="G88" s="0" t="inlineStr">
        <is>
          <t xml:space="preserve">Unidad</t>
        </is>
      </c>
      <c r="H88" s="4" t="inlineStr">
        <is>
          <t xml:space="preserve">Servidor para implementación plataforma digitales institucionales</t>
        </is>
      </c>
    </row>
    <row r="89">
      <c r="A89" s="0" t="inlineStr">
        <is>
          <t xml:space="preserve">867990-127-L126</t>
        </is>
      </c>
      <c r="B89" s="4" t="inlineStr">
        <is>
          <t xml:space="preserve">Servicio de suministro y fabricación tablero de fuerza 220/380. Depto. Ing. Eléctrica.</t>
        </is>
      </c>
      <c r="C89" s="0">
        <v>1</v>
      </c>
      <c r="D89" s="4" t="inlineStr">
        <is>
          <t xml:space="preserve">Construcción de obras civiles</t>
        </is>
      </c>
      <c r="E89" s="4" t="inlineStr">
        <is>
          <t xml:space="preserve">Servicios de construcción y mantenimiento / Construcción de edificios en general / Construcción de obras civiles y infraestructuras</t>
        </is>
      </c>
      <c r="F89" s="0">
        <v>1.0</v>
      </c>
      <c r="G89" s="0" t="inlineStr">
        <is>
          <t xml:space="preserve">Unidad no definida</t>
        </is>
      </c>
      <c r="H89" s="4" t="inlineStr">
        <is>
          <t xml:space="preserve">Servicio de suministro y fabricación tablero de fuerza 220/380. Depto. Ing. Eléctrica.</t>
        </is>
      </c>
    </row>
    <row r="90">
      <c r="A90" s="0" t="inlineStr">
        <is>
          <t xml:space="preserve">765-24-LE26</t>
        </is>
      </c>
      <c r="B90" s="4" t="inlineStr">
        <is>
          <t xml:space="preserve">Digitalizar e integrar trámites plataforma SUPER</t>
        </is>
      </c>
      <c r="C90" s="0">
        <v>1</v>
      </c>
      <c r="D90" s="4" t="inlineStr">
        <is>
          <t xml:space="preserve">Software de gestión de relaciones con el cliente (CRM)</t>
        </is>
      </c>
      <c r="E90" s="4" t="inlineStr">
        <is>
          <t xml:space="preserve">Tecnologías de la información, telecomunicaciones y radiodifusión / Software / Software de consultas y gestión de datos</t>
        </is>
      </c>
      <c r="F90" s="0">
        <v>1.0</v>
      </c>
      <c r="G90" s="0" t="inlineStr">
        <is>
          <t xml:space="preserve">Unidad</t>
        </is>
      </c>
      <c r="H90" s="4" t="inlineStr">
        <is>
          <t xml:space="preserve">Desarrollo de cuatro módulos (SIMPLE) para la gestión administrativa de autorizaciones CONADI e integrarlos con el Sistema Unificado de Permisos (SUPER)</t>
        </is>
      </c>
    </row>
    <row r="91">
      <c r="A91" s="0" t="inlineStr">
        <is>
          <t xml:space="preserve">1079516-43-LE26</t>
        </is>
      </c>
      <c r="B91" s="4" t="inlineStr">
        <is>
          <t xml:space="preserve">ADQ. ACTUALIZACION  12 MESES LICENCIA SOFTWARE PARA SECCION OS 9 VALPARAISO</t>
        </is>
      </c>
      <c r="C91" s="0">
        <v>1</v>
      </c>
      <c r="D91" s="4" t="inlineStr">
        <is>
          <t xml:space="preserve">Software de sistemas de archivado de película radiográfica médica</t>
        </is>
      </c>
      <c r="E91" s="4" t="inlineStr">
        <is>
          <t xml:space="preserve">Equipamiento y suministros médicos / Productos para imágenes y de medicina nuclear / Artículos para archivar información e imágenes radiológicas</t>
        </is>
      </c>
      <c r="F91" s="0">
        <v>1.0</v>
      </c>
      <c r="G91" s="0" t="inlineStr">
        <is>
          <t xml:space="preserve">Unidad</t>
        </is>
      </c>
      <c r="H91" s="4" t="inlineStr">
        <is>
          <t xml:space="preserve">ACTUALIZACION 12 MESES Y SOPORTE TÉCNICO DE LICIENCIA SOFTWARE EXTRACCION FORENSE PARA SECCION 0.S.9 VALPARAISO, INCLUYE 15 DESBLOQUEOS.</t>
        </is>
      </c>
    </row>
    <row r="92">
      <c r="A92" s="0" t="inlineStr">
        <is>
          <t xml:space="preserve">1057432-98-LE26</t>
        </is>
      </c>
      <c r="B92" s="4" t="inlineStr">
        <is>
          <t xml:space="preserve">CONTRATACIÓN PLATAFORMA MOODLE POR UN PERIODO DE 2</t>
        </is>
      </c>
      <c r="C92" s="0">
        <v>1</v>
      </c>
      <c r="D92" s="4" t="inlineStr">
        <is>
          <t xml:space="preserve">Software de desarrollo de plataforma Web</t>
        </is>
      </c>
      <c r="E92" s="4" t="inlineStr">
        <is>
          <t xml:space="preserve">Tecnologías de la información, telecomunicaciones y radiodifusión / Software / Programas de desarrollo</t>
        </is>
      </c>
      <c r="F92" s="0">
        <v>1.0</v>
      </c>
      <c r="G92" s="0" t="inlineStr">
        <is>
          <t xml:space="preserve">Unidad</t>
        </is>
      </c>
      <c r="H92" s="4" t="inlineStr">
        <is>
          <t xml:space="preserve">CONTRATACIÓN PLATAFORMA MOODLE POR UN PERIODO DE 24 MESES DSSC</t>
        </is>
      </c>
    </row>
    <row r="93">
      <c r="A93" s="0" t="inlineStr">
        <is>
          <t xml:space="preserve">1375746-21-LE26</t>
        </is>
      </c>
      <c r="B93" s="4" t="inlineStr">
        <is>
          <t xml:space="preserve">ADQUISICIÓN DE SOFTWARE Y PLATAFORMAS</t>
        </is>
      </c>
      <c r="C93" s="0">
        <v>1</v>
      </c>
      <c r="D93" s="4" t="inlineStr">
        <is>
          <t xml:space="preserve">Software de administración</t>
        </is>
      </c>
      <c r="E93" s="4" t="inlineStr">
        <is>
          <t xml:space="preserve">Tecnologías de la información, telecomunicaciones y radiodifusión / Software / Software de administración de redes</t>
        </is>
      </c>
      <c r="F93" s="0">
        <v>1.0</v>
      </c>
      <c r="G93" s="0" t="inlineStr">
        <is>
          <t xml:space="preserve">Global</t>
        </is>
      </c>
      <c r="H93" s="4" t="inlineStr">
        <is>
          <t xml:space="preserve">LICITACIÓN PÚBLICA ADQUISICIÓN DE SOFTWARE Y PLATAFORMAS PARA LA GESTIÓN ADMINISTRATIVA DEL SERVICIO LOCAL DE EDUCACIÓN PÚBLICA DEL ACONCAGUA</t>
        </is>
      </c>
    </row>
    <row r="94">
      <c r="A94" s="0" t="inlineStr">
        <is>
          <t xml:space="preserve">2686-140-LE26</t>
        </is>
      </c>
      <c r="B94" s="4" t="inlineStr">
        <is>
          <t xml:space="preserve">ADQUISICIÓN DE TÓTEMS AUTOATENCIÓN</t>
        </is>
      </c>
      <c r="C94" s="0">
        <v>1</v>
      </c>
      <c r="D94" s="4" t="inlineStr">
        <is>
          <t xml:space="preserve">Sistemas de control de formación de filas</t>
        </is>
      </c>
      <c r="E94" s="4" t="inlineStr">
        <is>
          <t xml:space="preserve">Equipos y suministros de defensa, orden público, protección y seguridad / Equipos para orden público / Equipo para control de disturbios</t>
        </is>
      </c>
      <c r="F94" s="0">
        <v>1.0</v>
      </c>
      <c r="G94" s="0" t="inlineStr">
        <is>
          <t xml:space="preserve">Unidad</t>
        </is>
      </c>
      <c r="H94" s="4" t="inlineStr">
        <is>
          <t xml:space="preserve">“ADQUISICIÓN DE TÓTEMS AUTOATENCIÓN PARA LA MUNICIPALIDAD DE COLINA”.</t>
        </is>
      </c>
    </row>
    <row r="95">
      <c r="A95" s="0" t="inlineStr">
        <is>
          <t xml:space="preserve">605-17-LP26</t>
        </is>
      </c>
      <c r="B95" s="4" t="inlineStr">
        <is>
          <t xml:space="preserve">TELEFONÍA FIJA Y RED PRIVADA DE DATOS</t>
        </is>
      </c>
      <c r="C95" s="0">
        <v>1</v>
      </c>
      <c r="D95" s="4" t="inlineStr">
        <is>
          <t xml:space="preserve">Servicio telefónico local</t>
        </is>
      </c>
      <c r="E95" s="4" t="inlineStr">
        <is>
          <t xml:space="preserve">Servicios básicos y de información pública / Telecomunicaciones / Telefonía local y de larga distancia</t>
        </is>
      </c>
      <c r="F95" s="0">
        <v>1.0</v>
      </c>
      <c r="G95" s="0" t="inlineStr">
        <is>
          <t xml:space="preserve">Unidad</t>
        </is>
      </c>
      <c r="H95"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96">
      <c r="A96" s="0" t="inlineStr">
        <is>
          <t xml:space="preserve">605-17-LP26</t>
        </is>
      </c>
      <c r="B96" s="4" t="inlineStr">
        <is>
          <t xml:space="preserve">TELEFONÍA FIJA Y RED PRIVADA DE DATOS</t>
        </is>
      </c>
      <c r="C96" s="0">
        <v>2</v>
      </c>
      <c r="D96" s="4" t="inlineStr">
        <is>
          <t xml:space="preserve">Servicio de comunicación IP</t>
        </is>
      </c>
      <c r="E96" s="4" t="inlineStr">
        <is>
          <t xml:space="preserve">Servicios básicos y de información pública / Telecomunicaciones / Telefonía local y de larga distancia</t>
        </is>
      </c>
      <c r="F96" s="0">
        <v>1.0</v>
      </c>
      <c r="G96" s="0" t="inlineStr">
        <is>
          <t xml:space="preserve">Unidad</t>
        </is>
      </c>
      <c r="H96"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97">
      <c r="A97" s="0" t="inlineStr">
        <is>
          <t xml:space="preserve">1426102-7-LE26</t>
        </is>
      </c>
      <c r="B97" s="4" t="inlineStr">
        <is>
          <t xml:space="preserve">SERVICIO DE TELEFONIA IP Y TV DIGITAL PARA LAE IP PTO. MONTT</t>
        </is>
      </c>
      <c r="C97" s="0">
        <v>1</v>
      </c>
      <c r="D97" s="4" t="inlineStr">
        <is>
          <t xml:space="preserve">Servicio de comunicación IP</t>
        </is>
      </c>
      <c r="E97" s="4" t="inlineStr">
        <is>
          <t xml:space="preserve">Servicios básicos y de información pública / Telecomunicaciones / Telefonía local y de larga distancia</t>
        </is>
      </c>
      <c r="F97" s="0">
        <v>1.0</v>
      </c>
      <c r="G97" s="0" t="inlineStr">
        <is>
          <t xml:space="preserve">Unidad</t>
        </is>
      </c>
      <c r="H97" s="4" t="inlineStr">
        <is>
          <t xml:space="preserve">SERVICIO DE TELEFONIA IP Y TV DIGITAL PARA EL CENTRO LAE IP, UBICADO EN CALLE TALCA N° 379 SECTOR CENTRICO DE PUERTO MONTT.</t>
        </is>
      </c>
    </row>
    <row r="98">
      <c r="A98" s="0" t="inlineStr">
        <is>
          <t xml:space="preserve">5482-115-LP26</t>
        </is>
      </c>
      <c r="B98" s="4" t="inlineStr">
        <is>
          <t xml:space="preserve">DIGITALIZACIÓNINTEGRACION SGL LICENCIAS CONDUCIR</t>
        </is>
      </c>
      <c r="C98" s="0">
        <v>1</v>
      </c>
      <c r="D98" s="4" t="inlineStr">
        <is>
          <t xml:space="preserve">Servicios de digitalización de documentos</t>
        </is>
      </c>
      <c r="E98" s="4" t="inlineStr">
        <is>
          <t xml:space="preserve">Servicios basados en ingeniería, ciencias sociales y tecnología de la información / Servicios informáticos / Servicios de datos</t>
        </is>
      </c>
      <c r="F98" s="0">
        <v>1.0</v>
      </c>
      <c r="G98" s="0" t="inlineStr">
        <is>
          <t xml:space="preserve">Global</t>
        </is>
      </c>
      <c r="H98" s="4"/>
    </row>
    <row r="99">
      <c r="A99" s="0" t="inlineStr">
        <is>
          <t xml:space="preserve">1113265-17-LE26</t>
        </is>
      </c>
      <c r="B99" s="4" t="inlineStr">
        <is>
          <t xml:space="preserve">PLATAFORMA DE GESTIÓN ESTRATÉGICA</t>
        </is>
      </c>
      <c r="C99" s="0">
        <v>1</v>
      </c>
      <c r="D99" s="4" t="inlineStr">
        <is>
          <t xml:space="preserve">Software del sistema de administración de bases de datos</t>
        </is>
      </c>
      <c r="E99" s="4" t="inlineStr">
        <is>
          <t xml:space="preserve">Tecnologías de la información, telecomunicaciones y radiodifusión / Software / Software de consultas y gestión de datos</t>
        </is>
      </c>
      <c r="F99" s="0">
        <v>1.0</v>
      </c>
      <c r="G99" s="0" t="inlineStr">
        <is>
          <t xml:space="preserve">Unidad</t>
        </is>
      </c>
      <c r="H99" s="4" t="inlineStr">
        <is>
          <t xml:space="preserve">PLATAFORMA DE GESTIÓN ESTRATÉGICA DE LA PERMANENCIA ESTUDIANTIL PARA EL CENTRO DE FORMACIÓN TÉCNICA ESTATAL DE LA REGIÓN DE ANTOFAGASTA</t>
        </is>
      </c>
    </row>
    <row r="100">
      <c r="A100" s="0" t="inlineStr">
        <is>
          <t xml:space="preserve">3608-29-LE26</t>
        </is>
      </c>
      <c r="B100" s="4" t="inlineStr">
        <is>
          <t xml:space="preserve">Adquisición de equipos computacionales e informáticos</t>
        </is>
      </c>
      <c r="C100" s="0">
        <v>1</v>
      </c>
      <c r="D100" s="4" t="inlineStr">
        <is>
          <t xml:space="preserve">Computadores personales</t>
        </is>
      </c>
      <c r="E100" s="4" t="inlineStr">
        <is>
          <t xml:space="preserve">Tecnologías de la información, telecomunicaciones y radiodifusión / Equipos informáticos y accesorios / Computadores</t>
        </is>
      </c>
      <c r="F100" s="0">
        <v>6.0</v>
      </c>
      <c r="G100" s="0" t="inlineStr">
        <is>
          <t xml:space="preserve">Unidad</t>
        </is>
      </c>
      <c r="H100" s="4" t="inlineStr">
        <is>
          <t xml:space="preserve">Computador All In One, según especificaciones.</t>
        </is>
      </c>
    </row>
    <row r="101">
      <c r="A101" s="0" t="inlineStr">
        <is>
          <t xml:space="preserve">3608-29-LE26</t>
        </is>
      </c>
      <c r="B101" s="4" t="inlineStr">
        <is>
          <t xml:space="preserve">Adquisición de equipos computacionales e informáticos</t>
        </is>
      </c>
      <c r="C101" s="0">
        <v>2</v>
      </c>
      <c r="D101" s="4" t="inlineStr">
        <is>
          <t xml:space="preserve">Monitores de vídeo</t>
        </is>
      </c>
      <c r="E101" s="4" t="inlineStr">
        <is>
          <t xml:space="preserve">Equipos y suministros de defensa, orden público, protección y seguridad / Seguridad, vigilancia y detección / Equipo de vigilancia y detección</t>
        </is>
      </c>
      <c r="F101" s="0">
        <v>2.0</v>
      </c>
      <c r="G101" s="0" t="inlineStr">
        <is>
          <t xml:space="preserve">Unidad</t>
        </is>
      </c>
      <c r="H101" s="4" t="inlineStr">
        <is>
          <t xml:space="preserve">Monitor PC, según especificaciones.</t>
        </is>
      </c>
    </row>
    <row r="102">
      <c r="A102" s="0" t="inlineStr">
        <is>
          <t xml:space="preserve">3608-29-LE26</t>
        </is>
      </c>
      <c r="B102" s="4" t="inlineStr">
        <is>
          <t xml:space="preserve">Adquisición de equipos computacionales e informáticos</t>
        </is>
      </c>
      <c r="C102" s="0">
        <v>3</v>
      </c>
      <c r="D102" s="4" t="inlineStr">
        <is>
          <t xml:space="preserve">Notebook, laptop o computador portátil excepto Tablet PC</t>
        </is>
      </c>
      <c r="E102" s="4" t="inlineStr">
        <is>
          <t xml:space="preserve">Tecnologías de la información, telecomunicaciones y radiodifusión / Equipos informáticos y accesorios / Computadores</t>
        </is>
      </c>
      <c r="F102" s="0">
        <v>1.0</v>
      </c>
      <c r="G102" s="0" t="inlineStr">
        <is>
          <t xml:space="preserve">Unidad</t>
        </is>
      </c>
      <c r="H102" s="4" t="inlineStr">
        <is>
          <t xml:space="preserve">Notebook, según especificaciones.</t>
        </is>
      </c>
    </row>
    <row r="103">
      <c r="A103" s="0" t="inlineStr">
        <is>
          <t xml:space="preserve">3608-29-LE26</t>
        </is>
      </c>
      <c r="B103" s="4" t="inlineStr">
        <is>
          <t xml:space="preserve">Adquisición de equipos computacionales e informáticos</t>
        </is>
      </c>
      <c r="C103" s="0">
        <v>4</v>
      </c>
      <c r="D103" s="4" t="inlineStr">
        <is>
          <t xml:space="preserve">Pantallas de proyección</t>
        </is>
      </c>
      <c r="E103" s="4" t="inlineStr">
        <is>
          <t xml:space="preserve">Equipos y suministros de imprenta, fotográficos y audiovisuales / Equipos de composición y presentación audiovisual / Proyectores y suministros</t>
        </is>
      </c>
      <c r="F103" s="0">
        <v>1.0</v>
      </c>
      <c r="G103" s="0" t="inlineStr">
        <is>
          <t xml:space="preserve">Unidad</t>
        </is>
      </c>
      <c r="H103" s="4" t="inlineStr">
        <is>
          <t xml:space="preserve">Data, según especificaciones.</t>
        </is>
      </c>
    </row>
    <row r="104">
      <c r="A104" s="0" t="inlineStr">
        <is>
          <t xml:space="preserve">3608-29-LE26</t>
        </is>
      </c>
      <c r="B104" s="4" t="inlineStr">
        <is>
          <t xml:space="preserve">Adquisición de equipos computacionales e informáticos</t>
        </is>
      </c>
      <c r="C104" s="0">
        <v>5</v>
      </c>
      <c r="D104" s="4" t="inlineStr">
        <is>
          <t xml:space="preserve">Computadores personales</t>
        </is>
      </c>
      <c r="E104" s="4" t="inlineStr">
        <is>
          <t xml:space="preserve">Tecnologías de la información, telecomunicaciones y radiodifusión / Equipos informáticos y accesorios / Computadores</t>
        </is>
      </c>
      <c r="F104" s="0">
        <v>1.0</v>
      </c>
      <c r="G104" s="0" t="inlineStr">
        <is>
          <t xml:space="preserve">Unidad</t>
        </is>
      </c>
      <c r="H104" s="4" t="inlineStr">
        <is>
          <t xml:space="preserve">Mini PC, según especificaciones.</t>
        </is>
      </c>
    </row>
    <row r="105">
      <c r="A105" s="0" t="inlineStr">
        <is>
          <t xml:space="preserve">792901-1-LE26</t>
        </is>
      </c>
      <c r="B105" s="4" t="inlineStr">
        <is>
          <t xml:space="preserve">SERVICIO DE NORMALIZACIÓN DE TABLEROS ELÉCTRICOS</t>
        </is>
      </c>
      <c r="C105" s="0">
        <v>1</v>
      </c>
      <c r="D105" s="4" t="inlineStr">
        <is>
          <t xml:space="preserve">Instalación o servicio de sistemas de energía eléctrica</t>
        </is>
      </c>
      <c r="E105" s="4" t="inlineStr">
        <is>
          <t xml:space="preserve">Servicios de construcción y mantenimiento / Servicios de atención, mantenimiento y reparaciones de edificios / Servicios eléctricos</t>
        </is>
      </c>
      <c r="F105" s="0">
        <v>1.0</v>
      </c>
      <c r="G105" s="0" t="inlineStr">
        <is>
          <t xml:space="preserve">Unidad</t>
        </is>
      </c>
      <c r="H105" s="4" t="inlineStr">
        <is>
          <t xml:space="preserve">SERVICIO DE NORMALIZACIÓN DE TABLEROS ELÉCTRICOS PARA LA   DIRECCIÓN REGIONAL</t>
        </is>
      </c>
    </row>
    <row r="106">
      <c r="A106" s="0" t="inlineStr">
        <is>
          <t xml:space="preserve">1485217-20-LE26</t>
        </is>
      </c>
      <c r="B106" s="4" t="inlineStr">
        <is>
          <t xml:space="preserve">SERVICIO DE LEVANTAMIENTO VALORIZACIÓN Y ARRIENDO DE SOFTWARE DE ADMINISTRACIÓN Y GESTIÓN DE INVENTARIO BAJO NORMAS NICSP-CGR</t>
        </is>
      </c>
      <c r="C106" s="0">
        <v>1</v>
      </c>
      <c r="D106" s="4" t="inlineStr">
        <is>
          <t xml:space="preserve">Programas de gestión de inventario</t>
        </is>
      </c>
      <c r="E106" s="4" t="inlineStr">
        <is>
          <t xml:space="preserve">Tecnologías de la información, telecomunicaciones y radiodifusión / Software / Software de gestión</t>
        </is>
      </c>
      <c r="F106" s="0">
        <v>1.0</v>
      </c>
      <c r="G106" s="0" t="inlineStr">
        <is>
          <t xml:space="preserve">Unidad</t>
        </is>
      </c>
      <c r="H106" s="4" t="inlineStr">
        <is>
          <t xml:space="preserve">Levantamiento, valorización, carga masiva y rotulación del inventario de los establecimientos educacionales (Etapa N° 1)</t>
        </is>
      </c>
    </row>
    <row r="107">
      <c r="A107" s="0" t="inlineStr">
        <is>
          <t xml:space="preserve">1485217-20-LE26</t>
        </is>
      </c>
      <c r="B107" s="4" t="inlineStr">
        <is>
          <t xml:space="preserve">SERVICIO DE LEVANTAMIENTO VALORIZACIÓN Y ARRIENDO DE SOFTWARE DE ADMINISTRACIÓN Y GESTIÓN DE INVENTARIO BAJO NORMAS NICSP-CGR</t>
        </is>
      </c>
      <c r="C107" s="0">
        <v>2</v>
      </c>
      <c r="D107" s="4" t="inlineStr">
        <is>
          <t xml:space="preserve">Programas de gestión de inventario</t>
        </is>
      </c>
      <c r="E107" s="4" t="inlineStr">
        <is>
          <t xml:space="preserve">Tecnologías de la información, telecomunicaciones y radiodifusión / Software / Software de gestión</t>
        </is>
      </c>
      <c r="F107" s="0">
        <v>24.0</v>
      </c>
      <c r="G107" s="0" t="inlineStr">
        <is>
          <t xml:space="preserve">Mes</t>
        </is>
      </c>
      <c r="H107" s="4" t="inlineStr">
        <is>
          <t xml:space="preserve">Arriendo de software y hardware de control de inventario, establecimientos educacionales, 24 meses</t>
        </is>
      </c>
    </row>
    <row r="108">
      <c r="A108" s="0" t="inlineStr">
        <is>
          <t xml:space="preserve">1485217-20-LE26</t>
        </is>
      </c>
      <c r="B108" s="4" t="inlineStr">
        <is>
          <t xml:space="preserve">SERVICIO DE LEVANTAMIENTO VALORIZACIÓN Y ARRIENDO DE SOFTWARE DE ADMINISTRACIÓN Y GESTIÓN DE INVENTARIO BAJO NORMAS NICSP-CGR</t>
        </is>
      </c>
      <c r="C108" s="0">
        <v>3</v>
      </c>
      <c r="D108" s="4" t="inlineStr">
        <is>
          <t xml:space="preserve">Programas de gestión de inventario</t>
        </is>
      </c>
      <c r="E108" s="4" t="inlineStr">
        <is>
          <t xml:space="preserve">Tecnologías de la información, telecomunicaciones y radiodifusión / Software / Software de gestión</t>
        </is>
      </c>
      <c r="F108" s="0">
        <v>24.0</v>
      </c>
      <c r="G108" s="0" t="inlineStr">
        <is>
          <t xml:space="preserve">Mes</t>
        </is>
      </c>
      <c r="H108" s="4" t="inlineStr">
        <is>
          <t xml:space="preserve">Arriendo de software y hardware de control de inventario, oficinas centrales, 24 meses, incluida la carga del inventario entregado por el Servicio</t>
        </is>
      </c>
    </row>
    <row r="109">
      <c r="A109" s="0" t="inlineStr">
        <is>
          <t xml:space="preserve">5416-45-L126</t>
        </is>
      </c>
      <c r="B109" s="4" t="inlineStr">
        <is>
          <t xml:space="preserve">Servicio de Retiro y Reemplazo de Sistema de Conectividad Digital en Espacios Educativos Administrados por la Dirección de Docencia de la Universidad de La Serena</t>
        </is>
      </c>
      <c r="C109" s="0">
        <v>1</v>
      </c>
      <c r="D109" s="4" t="inlineStr">
        <is>
          <t xml:space="preserve">Cableado preformado de comunicación</t>
        </is>
      </c>
      <c r="E109" s="4" t="inlineStr">
        <is>
          <t xml:space="preserve">Maquinaria para generación y distribución de energía / Alambres y cables eléctricos y electrónicos / Arneses eléctricos</t>
        </is>
      </c>
      <c r="F109" s="0">
        <v>26.0</v>
      </c>
      <c r="G109" s="0" t="inlineStr">
        <is>
          <t xml:space="preserve">Unidad</t>
        </is>
      </c>
      <c r="H109" s="4" t="inlineStr">
        <is>
          <t xml:space="preserve">Provisión, retiro, sustitución, instalación, configuración, pruebas y puesta en marcha del sistema de conectividad digital en 26 espacios educativos, otorgando estabilidad de señal en la transmisión de imagen y video desde equipos portátiles conectad</t>
        </is>
      </c>
    </row>
    <row r="110">
      <c r="A110" s="0" t="inlineStr">
        <is>
          <t xml:space="preserve">5126-4-LE26</t>
        </is>
      </c>
      <c r="B110" s="4" t="inlineStr">
        <is>
          <t xml:space="preserve">Cambio de tablero y protecciones eléctricas del CCN</t>
        </is>
      </c>
      <c r="C110" s="0">
        <v>1</v>
      </c>
      <c r="D110" s="4" t="inlineStr">
        <is>
          <t xml:space="preserve">Paneles de control eléctrico para generadores</t>
        </is>
      </c>
      <c r="E110" s="4" t="inlineStr">
        <is>
          <t xml:space="preserve">Maquinaria para generación y distribución de energía / Generación de energía / Equipo para control de producción de energía</t>
        </is>
      </c>
      <c r="F110" s="0">
        <v>1.0</v>
      </c>
      <c r="G110" s="0" t="inlineStr">
        <is>
          <t xml:space="preserve">Unidad</t>
        </is>
      </c>
      <c r="H110" s="4" t="inlineStr">
        <is>
          <t xml:space="preserve">Cambio de tablero y protecciones eléctricas pertenecientes al segundo piso del Comando Conjunto Norte, en consideración al Anexo N° 1 "Bases Técnicas".</t>
        </is>
      </c>
    </row>
    <row r="111">
      <c r="A111" s="0" t="inlineStr">
        <is>
          <t xml:space="preserve">1020-38-LP26</t>
        </is>
      </c>
      <c r="B111" s="4" t="inlineStr">
        <is>
          <t xml:space="preserve">Adquisición de Plataforma Next Generation Firewall</t>
        </is>
      </c>
      <c r="C111" s="0">
        <v>1</v>
      </c>
      <c r="D111" s="4" t="inlineStr">
        <is>
          <t xml:space="preserve">Equipo de seguridad de red de firewall</t>
        </is>
      </c>
      <c r="E111" s="4" t="inlineStr">
        <is>
          <t xml:space="preserve">Tecnologías de la información, telecomunicaciones y radiodifusión / Equipos, plataformas y accesorios de redes multimedia, voz y datos / Equipos de seguridad de red</t>
        </is>
      </c>
      <c r="F111" s="0">
        <v>2.0</v>
      </c>
      <c r="G111" s="0" t="inlineStr">
        <is>
          <t xml:space="preserve">Unidad</t>
        </is>
      </c>
      <c r="H111" s="4" t="inlineStr">
        <is>
          <t xml:space="preserve">Equipos.</t>
        </is>
      </c>
    </row>
    <row r="112">
      <c r="A112" s="0" t="inlineStr">
        <is>
          <t xml:space="preserve">1020-38-LP26</t>
        </is>
      </c>
      <c r="B112" s="4" t="inlineStr">
        <is>
          <t xml:space="preserve">Adquisición de Plataforma Next Generation Firewall</t>
        </is>
      </c>
      <c r="C112" s="0">
        <v>2</v>
      </c>
      <c r="D112" s="4" t="inlineStr">
        <is>
          <t xml:space="preserve">Software de vigilancia de redes</t>
        </is>
      </c>
      <c r="E112" s="4" t="inlineStr">
        <is>
          <t xml:space="preserve">Tecnologías de la información, telecomunicaciones y radiodifusión / Software / Software de administración de redes</t>
        </is>
      </c>
      <c r="F112" s="0">
        <v>1.0</v>
      </c>
      <c r="G112" s="0" t="inlineStr">
        <is>
          <t xml:space="preserve">Unidad</t>
        </is>
      </c>
      <c r="H112" s="4" t="inlineStr">
        <is>
          <t xml:space="preserve">Licenciamiento de software para la Plataforma Next Generation Firewall (NGFW)</t>
        </is>
      </c>
    </row>
    <row r="113">
      <c r="A113" s="0" t="inlineStr">
        <is>
          <t xml:space="preserve">1177296-25-LP26</t>
        </is>
      </c>
      <c r="B113"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13" s="0">
        <v>1</v>
      </c>
      <c r="D113" s="4" t="inlineStr">
        <is>
          <t xml:space="preserve">Reloj de control</t>
        </is>
      </c>
      <c r="E113" s="4" t="inlineStr">
        <is>
          <t xml:space="preserve">Equipos, accesorios y suministros de oficina / Maquinarias, suministros y accesorios de oficina / Máquinas y accesorios para registro de hora y asistencia en la oficina</t>
        </is>
      </c>
      <c r="F113" s="0">
        <v>1.0</v>
      </c>
      <c r="G113" s="0" t="inlineStr">
        <is>
          <t xml:space="preserve">Global</t>
        </is>
      </c>
      <c r="H113"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14">
      <c r="A114" s="0" t="inlineStr">
        <is>
          <t xml:space="preserve">1398-119-LE26</t>
        </is>
      </c>
      <c r="B114" s="4" t="inlineStr">
        <is>
          <t xml:space="preserve">SUMINISTRO E INSTALACIÓN DETECTOR DIGITAL RX</t>
        </is>
      </c>
      <c r="C114" s="0">
        <v>1</v>
      </c>
      <c r="D114" s="4" t="inlineStr">
        <is>
          <t xml:space="preserve">Dispositivos de control de calidad o calibración para equipo radiográfico médico</t>
        </is>
      </c>
      <c r="E114" s="4" t="inlineStr">
        <is>
          <t xml:space="preserve">Equipamiento y suministros médicos / Productos para imágenes y de medicina nuclear / Artículos radiográficos de diagnóstico médico</t>
        </is>
      </c>
      <c r="F114" s="0">
        <v>1.0</v>
      </c>
      <c r="G114" s="0" t="inlineStr">
        <is>
          <t xml:space="preserve">Unidad</t>
        </is>
      </c>
      <c r="H114" s="4" t="inlineStr">
        <is>
          <t xml:space="preserve">Suministro e Instalación de detector digital, según EETT adjuntas.</t>
        </is>
      </c>
    </row>
    <row r="115">
      <c r="A115" s="0" t="inlineStr">
        <is>
          <t xml:space="preserve">2421-52-LR26</t>
        </is>
      </c>
      <c r="B115" s="4" t="inlineStr">
        <is>
          <t xml:space="preserve">SUMINISTRO SERVICIO DE TELECOMUNICACIONES DATOS Y VOZ</t>
        </is>
      </c>
      <c r="C115" s="0">
        <v>1</v>
      </c>
      <c r="D115" s="4" t="inlineStr">
        <is>
          <t xml:space="preserve">Servicio telefónico local</t>
        </is>
      </c>
      <c r="E115" s="4" t="inlineStr">
        <is>
          <t xml:space="preserve">Servicios básicos y de información pública / Telecomunicaciones / Telefonía local y de larga distancia</t>
        </is>
      </c>
      <c r="F115" s="0">
        <v>1.0</v>
      </c>
      <c r="G115" s="0" t="inlineStr">
        <is>
          <t xml:space="preserve">Unidad</t>
        </is>
      </c>
      <c r="H115" s="4" t="inlineStr">
        <is>
          <t xml:space="preserve">Valor total neto mensual (sin impuesto) por los servicios de red de datos, Internet en red de datos, sistema de comunicación de voz y otros, según especificaciones técnicas adjuntas (Anexo Nº8). VER FORMATO ANEXO Nº4.</t>
        </is>
      </c>
    </row>
    <row r="116">
      <c r="A116" s="0" t="inlineStr">
        <is>
          <t xml:space="preserve">2421-52-LR26</t>
        </is>
      </c>
      <c r="B116" s="4" t="inlineStr">
        <is>
          <t xml:space="preserve">SUMINISTRO SERVICIO DE TELECOMUNICACIONES DATOS Y VOZ</t>
        </is>
      </c>
      <c r="C116" s="0">
        <v>2</v>
      </c>
      <c r="D116" s="4" t="inlineStr">
        <is>
          <t xml:space="preserve">Servicio telefónico local</t>
        </is>
      </c>
      <c r="E116" s="4" t="inlineStr">
        <is>
          <t xml:space="preserve">Servicios básicos y de información pública / Telecomunicaciones / Telefonía local y de larga distancia</t>
        </is>
      </c>
      <c r="F116" s="0">
        <v>1.0</v>
      </c>
      <c r="G116" s="0" t="inlineStr">
        <is>
          <t xml:space="preserve">Unidad</t>
        </is>
      </c>
      <c r="H116" s="4" t="inlineStr">
        <is>
          <t xml:space="preserve">Valor Total Neto Cobro Inicial correspondiente a la habilitación y puesta en marcha de los Servicios, cobro aplicado por única vez.</t>
        </is>
      </c>
    </row>
    <row r="117">
      <c r="A117" s="0" t="inlineStr">
        <is>
          <t xml:space="preserve">2981-312-LE26</t>
        </is>
      </c>
      <c r="B117" s="4" t="inlineStr">
        <is>
          <t xml:space="preserve">JENAINPOL -ADQUISICIÓN DE SOLUCIONES DIGITALES 2026</t>
        </is>
      </c>
      <c r="C117" s="0">
        <v>1</v>
      </c>
      <c r="D117" s="4" t="inlineStr">
        <is>
          <t xml:space="preserve">Circuitos integrados digitales</t>
        </is>
      </c>
      <c r="E117" s="4" t="inlineStr">
        <is>
          <t xml:space="preserve">Artículos de electrónica / Circuitos electrónicos / Circuitos integrados, memorias y microprocesadores</t>
        </is>
      </c>
      <c r="F117" s="0">
        <v>1.0</v>
      </c>
      <c r="G117" s="0" t="inlineStr">
        <is>
          <t xml:space="preserve">Unidad</t>
        </is>
      </c>
      <c r="H117" s="4" t="inlineStr">
        <is>
          <t xml:space="preserve">ADQUISICIÓN DE UN KIT SOLUCIONES DIGITALES AÑO 2026</t>
        </is>
      </c>
    </row>
    <row r="118">
      <c r="A118" s="0" t="inlineStr">
        <is>
          <t xml:space="preserve">568963-27-LE26</t>
        </is>
      </c>
      <c r="B118" s="4" t="inlineStr">
        <is>
          <t xml:space="preserve">PLATAFORMA DIGITAL INTEGRAL DE GESTIÓN DE PERSONAS</t>
        </is>
      </c>
      <c r="C118" s="0">
        <v>1</v>
      </c>
      <c r="D118" s="4" t="inlineStr">
        <is>
          <t xml:space="preserve">Software de gestión de recursos humanos</t>
        </is>
      </c>
      <c r="E118" s="4" t="inlineStr">
        <is>
          <t xml:space="preserve">Tecnologías de la información, telecomunicaciones y radiodifusión / Software / Software de gestión</t>
        </is>
      </c>
      <c r="F118" s="0">
        <v>1.0</v>
      </c>
      <c r="G118" s="0" t="inlineStr">
        <is>
          <t xml:space="preserve">Unidad</t>
        </is>
      </c>
      <c r="H118" s="4" t="inlineStr">
        <is>
          <t xml:space="preserve">PLATAFORMA DIGITAL INTEGRAL DE GESTIÓN DE PERSONAS EN MODALIDAD SOFTWARE AS A SERVICE.</t>
        </is>
      </c>
    </row>
    <row r="119">
      <c r="A119" s="0" t="inlineStr">
        <is>
          <t xml:space="preserve">619-13-LP26</t>
        </is>
      </c>
      <c r="B119" s="4" t="inlineStr">
        <is>
          <t xml:space="preserve">Suscripción de licencias IA generativa Claude.</t>
        </is>
      </c>
      <c r="C119" s="0">
        <v>1</v>
      </c>
      <c r="D119" s="4" t="inlineStr">
        <is>
          <t xml:space="preserve">Software de gestión de licencias</t>
        </is>
      </c>
      <c r="E119" s="4" t="inlineStr">
        <is>
          <t xml:space="preserve">Tecnologías de la información, telecomunicaciones y radiodifusión / Software / Software de gestión</t>
        </is>
      </c>
      <c r="F119" s="0">
        <v>1.0</v>
      </c>
      <c r="G119" s="0" t="inlineStr">
        <is>
          <t xml:space="preserve">Unidad no definida</t>
        </is>
      </c>
      <c r="H119" s="4" t="inlineStr">
        <is>
          <t xml:space="preserve">124 licencias de IA generativa Claude o equivalente: 47 Premium y 77 Standard, con vigencia de 12 meses.</t>
        </is>
      </c>
    </row>
    <row r="120">
      <c r="A120" s="0" t="inlineStr">
        <is>
          <t xml:space="preserve">629373-25-LE26</t>
        </is>
      </c>
      <c r="B120" s="4" t="inlineStr">
        <is>
          <t xml:space="preserve">ARRIENDO DE SOFTWARE PARA UNIDADES DE SALUD</t>
        </is>
      </c>
      <c r="C120" s="0">
        <v>1</v>
      </c>
      <c r="D120" s="4" t="inlineStr">
        <is>
          <t xml:space="preserve">Software de administración</t>
        </is>
      </c>
      <c r="E120" s="4" t="inlineStr">
        <is>
          <t xml:space="preserve">Tecnologías de la información, telecomunicaciones y radiodifusión / Software / Software de administración de redes</t>
        </is>
      </c>
      <c r="F120" s="0">
        <v>1.0</v>
      </c>
      <c r="G120" s="0" t="inlineStr">
        <is>
          <t xml:space="preserve">Global</t>
        </is>
      </c>
      <c r="H120" s="4" t="inlineStr">
        <is>
          <t xml:space="preserve">Software Farmacia Comunitaria.</t>
        </is>
      </c>
    </row>
    <row r="121">
      <c r="A121" s="0" t="inlineStr">
        <is>
          <t xml:space="preserve">629373-25-LE26</t>
        </is>
      </c>
      <c r="B121" s="4" t="inlineStr">
        <is>
          <t xml:space="preserve">ARRIENDO DE SOFTWARE PARA UNIDADES DE SALUD</t>
        </is>
      </c>
      <c r="C121" s="0">
        <v>2</v>
      </c>
      <c r="D121" s="4" t="inlineStr">
        <is>
          <t xml:space="preserve">Software de administración</t>
        </is>
      </c>
      <c r="E121" s="4" t="inlineStr">
        <is>
          <t xml:space="preserve">Tecnologías de la información, telecomunicaciones y radiodifusión / Software / Software de administración de redes</t>
        </is>
      </c>
      <c r="F121" s="0">
        <v>1.0</v>
      </c>
      <c r="G121" s="0" t="inlineStr">
        <is>
          <t xml:space="preserve">Global</t>
        </is>
      </c>
      <c r="H121" s="4" t="inlineStr">
        <is>
          <t xml:space="preserve">Software Droguería.</t>
        </is>
      </c>
    </row>
    <row r="122">
      <c r="A122" s="0" t="inlineStr">
        <is>
          <t xml:space="preserve">629373-25-LE26</t>
        </is>
      </c>
      <c r="B122" s="4" t="inlineStr">
        <is>
          <t xml:space="preserve">ARRIENDO DE SOFTWARE PARA UNIDADES DE SALUD</t>
        </is>
      </c>
      <c r="C122" s="0">
        <v>3</v>
      </c>
      <c r="D122" s="4" t="inlineStr">
        <is>
          <t xml:space="preserve">Software de administración</t>
        </is>
      </c>
      <c r="E122" s="4" t="inlineStr">
        <is>
          <t xml:space="preserve">Tecnologías de la información, telecomunicaciones y radiodifusión / Software / Software de administración de redes</t>
        </is>
      </c>
      <c r="F122" s="0">
        <v>1.0</v>
      </c>
      <c r="G122" s="0" t="inlineStr">
        <is>
          <t xml:space="preserve">Global</t>
        </is>
      </c>
      <c r="H122" s="4" t="inlineStr">
        <is>
          <t xml:space="preserve">Software Servicio de Atención Primaria de Urgencia de Alta Resolutividad (SAR).</t>
        </is>
      </c>
    </row>
    <row r="123">
      <c r="A123" s="0" t="inlineStr">
        <is>
          <t xml:space="preserve">165-3-LE26</t>
        </is>
      </c>
      <c r="B123" s="4" t="inlineStr">
        <is>
          <t xml:space="preserve">MEJORAMIENTO ELÉCTRICO Y REDES DE DATOS</t>
        </is>
      </c>
      <c r="C123" s="0">
        <v>1</v>
      </c>
      <c r="D123" s="4" t="inlineStr">
        <is>
          <t xml:space="preserve">Construcción de obras civiles</t>
        </is>
      </c>
      <c r="E123" s="4" t="inlineStr">
        <is>
          <t xml:space="preserve">Servicios de construcción y mantenimiento / Construcción de edificios en general / Construcción de obras civiles y infraestructuras</t>
        </is>
      </c>
      <c r="F123" s="0">
        <v>1.0</v>
      </c>
      <c r="G123" s="0" t="inlineStr">
        <is>
          <t xml:space="preserve">Unidad</t>
        </is>
      </c>
      <c r="H123" s="4" t="inlineStr">
        <is>
          <t xml:space="preserve">CONTRATACIÓN DE OBRAS MEJORAMIENTO ELÉCTRICO Y REDES DE DATOS PARA LAS DEPENDENCIAS DEL CONSEJO NACIONAL DE EDUCACIÓN</t>
        </is>
      </c>
    </row>
    <row r="124">
      <c r="A124" s="0" t="inlineStr">
        <is>
          <t xml:space="preserve">870-15-LE26</t>
        </is>
      </c>
      <c r="B124" s="4" t="inlineStr">
        <is>
          <t xml:space="preserve">E102RT8 SERV. ENLACE DE DATOS Y CONECTIVIDAD CNR</t>
        </is>
      </c>
      <c r="C124" s="0">
        <v>1</v>
      </c>
      <c r="D124" s="4" t="inlineStr">
        <is>
          <t xml:space="preserve">Up grade de software</t>
        </is>
      </c>
      <c r="E124" s="4" t="inlineStr">
        <is>
          <t xml:space="preserve">Servicios basados en ingeniería, ciencias sociales y tecnología de la información / Servicios informáticos / Mantenimiento y soporte de software</t>
        </is>
      </c>
      <c r="F124" s="0">
        <v>1.0</v>
      </c>
      <c r="G124" s="0" t="inlineStr">
        <is>
          <t xml:space="preserve">Unidad</t>
        </is>
      </c>
      <c r="H124" s="4" t="inlineStr">
        <is>
          <t xml:space="preserve">APRUEBA BASES ADMINISTRATIVAS, TÉCNICAS Y SUS ANEXOS
PARA CONTRATAR EL “SERVICIOS DE ENLACE DE DATOS Y
CONECTIVIDAD PARA LA COMISIÓN NACIONAL DE RIEGO”.</t>
        </is>
      </c>
    </row>
    <row r="125">
      <c r="A125" s="0" t="inlineStr">
        <is>
          <t xml:space="preserve">1082957-34-LP26</t>
        </is>
      </c>
      <c r="B125" s="4" t="inlineStr">
        <is>
          <t xml:space="preserve">Servicios de telefonía IP Cloud y otros para ProChile.</t>
        </is>
      </c>
      <c r="C125" s="0">
        <v>1</v>
      </c>
      <c r="D125" s="4" t="inlineStr">
        <is>
          <t xml:space="preserve">Servicio de comunicación IP</t>
        </is>
      </c>
      <c r="E125" s="4" t="inlineStr">
        <is>
          <t xml:space="preserve">Servicios básicos y de información pública / Telecomunicaciones / Telefonía local y de larga distancia</t>
        </is>
      </c>
      <c r="F125" s="0">
        <v>1.0</v>
      </c>
      <c r="G125" s="0" t="inlineStr">
        <is>
          <t xml:space="preserve">Unidad</t>
        </is>
      </c>
      <c r="H125" s="4" t="inlineStr">
        <is>
          <t xml:space="preserve">Servicios telefonía IP en Cloud y otros, por un periodo de 36 meses, para ProChile.</t>
        </is>
      </c>
    </row>
    <row r="126">
      <c r="A126" s="0" t="inlineStr">
        <is>
          <t xml:space="preserve">1725-230-LE26</t>
        </is>
      </c>
      <c r="B126" s="4" t="inlineStr">
        <is>
          <t xml:space="preserve">TALLER DE INTRODUCCIÓN A LA PRESERVACIÓN DIGITAL</t>
        </is>
      </c>
      <c r="C126" s="0">
        <v>1</v>
      </c>
      <c r="D126" s="4" t="inlineStr">
        <is>
          <t xml:space="preserve">Servicios relacionados con el arte</t>
        </is>
      </c>
      <c r="E126" s="4" t="inlineStr">
        <is>
          <t xml:space="preserve">Organizaciones y consultorías políticas, demográficas, económicas, sociales y de administración pública / Desarrollo social, demográfico y comunitario / Cultura</t>
        </is>
      </c>
      <c r="F126" s="0">
        <v>1.0</v>
      </c>
      <c r="G126" s="0" t="inlineStr">
        <is>
          <t xml:space="preserve">Unidad</t>
        </is>
      </c>
      <c r="H126" s="4" t="inlineStr">
        <is>
          <t xml:space="preserve">SERVICIOS PARA TALLER DE INTRODUCCIÓN A LA PRESERVACIÓN DIGITAL PARA PERSONAS VINCULADAS AL CAMPO DEL ARTE</t>
        </is>
      </c>
    </row>
    <row r="127">
      <c r="A127" s="0" t="inlineStr">
        <is>
          <t xml:space="preserve">4629-35-LE26</t>
        </is>
      </c>
      <c r="B127" s="4" t="inlineStr">
        <is>
          <t xml:space="preserve">CONVENIO DE SUMINISTRO - REDES CITOFONÍA Y DATOS</t>
        </is>
      </c>
      <c r="C127" s="0">
        <v>1</v>
      </c>
      <c r="D127" s="4" t="inlineStr">
        <is>
          <t xml:space="preserve">Asistencia o mantenimiento de servicio de telecomunicaciones</t>
        </is>
      </c>
      <c r="E127" s="4" t="inlineStr">
        <is>
          <t xml:space="preserve">Servicios de construcción y mantenimiento / Servicios de atención, mantenimiento y reparaciones de edificios / Servicios eléctricos</t>
        </is>
      </c>
      <c r="F127" s="0">
        <v>1.0</v>
      </c>
      <c r="G127" s="0" t="inlineStr">
        <is>
          <t xml:space="preserve">Unidad</t>
        </is>
      </c>
      <c r="H127" s="4" t="inlineStr">
        <is>
          <t xml:space="preserve">CONVENIO DE SUMINISTRO DE PROVISIÓN, INSTALACIÓN Y MANTENCIÓN DE REDES, CITOFONÍA Y DATOS DE LAS OFICINAS DE LA REGIÓN METROPOLITANA DE LA DIRECCIÓN DEL TRABAJO</t>
        </is>
      </c>
    </row>
    <row r="128">
      <c r="A128" s="0" t="inlineStr">
        <is>
          <t xml:space="preserve">594965-31-LE26</t>
        </is>
      </c>
      <c r="B128" s="4" t="inlineStr">
        <is>
          <t xml:space="preserve">INSUMOS INFORMATICOS PARA REGION DE OHIGGINS</t>
        </is>
      </c>
      <c r="C128" s="0">
        <v>1</v>
      </c>
      <c r="D128" s="4" t="inlineStr">
        <is>
          <t xml:space="preserve">Tóner</t>
        </is>
      </c>
      <c r="E128" s="4" t="inlineStr">
        <is>
          <t xml:space="preserve">Equipos, accesorios y suministros de oficina / Maquinarias, suministros y accesorios de oficina / Suministros para impresora, fax y fotocopiadora</t>
        </is>
      </c>
      <c r="F128" s="0">
        <v>124.0</v>
      </c>
      <c r="G128" s="0" t="inlineStr">
        <is>
          <t xml:space="preserve">Unidad</t>
        </is>
      </c>
      <c r="H128" s="4" t="inlineStr">
        <is>
          <t xml:space="preserve">Tóner HP 83A o equivalente
SEGUN RESOLUCION TECNICA NUMERAL 3</t>
        </is>
      </c>
    </row>
    <row r="129">
      <c r="A129" s="0" t="inlineStr">
        <is>
          <t xml:space="preserve">594965-31-LE26</t>
        </is>
      </c>
      <c r="B129" s="4" t="inlineStr">
        <is>
          <t xml:space="preserve">INSUMOS INFORMATICOS PARA REGION DE OHIGGINS</t>
        </is>
      </c>
      <c r="C129" s="0">
        <v>2</v>
      </c>
      <c r="D129" s="4" t="inlineStr">
        <is>
          <t xml:space="preserve">Tóner</t>
        </is>
      </c>
      <c r="E129" s="4" t="inlineStr">
        <is>
          <t xml:space="preserve">Equipos, accesorios y suministros de oficina / Maquinarias, suministros y accesorios de oficina / Suministros para impresora, fax y fotocopiadora</t>
        </is>
      </c>
      <c r="F129" s="0">
        <v>139.0</v>
      </c>
      <c r="G129" s="0" t="inlineStr">
        <is>
          <t xml:space="preserve">Unidad</t>
        </is>
      </c>
      <c r="H129" s="4" t="inlineStr">
        <is>
          <t xml:space="preserve">Tóner HP 85A o equivalente
SEGUN RESOLUCION TECNICA NUMERAL 3</t>
        </is>
      </c>
    </row>
    <row r="130">
      <c r="A130" s="0" t="inlineStr">
        <is>
          <t xml:space="preserve">594965-31-LE26</t>
        </is>
      </c>
      <c r="B130" s="4" t="inlineStr">
        <is>
          <t xml:space="preserve">INSUMOS INFORMATICOS PARA REGION DE OHIGGINS</t>
        </is>
      </c>
      <c r="C130" s="0">
        <v>3</v>
      </c>
      <c r="D130" s="4" t="inlineStr">
        <is>
          <t xml:space="preserve">Tóner</t>
        </is>
      </c>
      <c r="E130" s="4" t="inlineStr">
        <is>
          <t xml:space="preserve">Equipos, accesorios y suministros de oficina / Maquinarias, suministros y accesorios de oficina / Suministros para impresora, fax y fotocopiadora</t>
        </is>
      </c>
      <c r="F130" s="0">
        <v>57.0</v>
      </c>
      <c r="G130" s="0" t="inlineStr">
        <is>
          <t xml:space="preserve">Unidad</t>
        </is>
      </c>
      <c r="H130" s="4" t="inlineStr">
        <is>
          <t xml:space="preserve">Tóner HP 105A o equivalente
SEGUN RESOLUCION TECNICA NUMERAL 3</t>
        </is>
      </c>
    </row>
    <row r="131">
      <c r="A131" s="0" t="inlineStr">
        <is>
          <t xml:space="preserve">594965-31-LE26</t>
        </is>
      </c>
      <c r="B131" s="4" t="inlineStr">
        <is>
          <t xml:space="preserve">INSUMOS INFORMATICOS PARA REGION DE OHIGGINS</t>
        </is>
      </c>
      <c r="C131" s="0">
        <v>4</v>
      </c>
      <c r="D131" s="4" t="inlineStr">
        <is>
          <t xml:space="preserve">Tóner</t>
        </is>
      </c>
      <c r="E131" s="4" t="inlineStr">
        <is>
          <t xml:space="preserve">Equipos, accesorios y suministros de oficina / Maquinarias, suministros y accesorios de oficina / Suministros para impresora, fax y fotocopiadora</t>
        </is>
      </c>
      <c r="F131" s="0">
        <v>17.0</v>
      </c>
      <c r="G131" s="0" t="inlineStr">
        <is>
          <t xml:space="preserve">Unidad</t>
        </is>
      </c>
      <c r="H131" s="4" t="inlineStr">
        <is>
          <t xml:space="preserve">Tóner HP 151A o equivalente
SEGUN RESOLUCION TECNICA NUMERAL 3</t>
        </is>
      </c>
    </row>
    <row r="132">
      <c r="A132" s="0" t="inlineStr">
        <is>
          <t xml:space="preserve">594965-31-LE26</t>
        </is>
      </c>
      <c r="B132" s="4" t="inlineStr">
        <is>
          <t xml:space="preserve">INSUMOS INFORMATICOS PARA REGION DE OHIGGINS</t>
        </is>
      </c>
      <c r="C132" s="0">
        <v>5</v>
      </c>
      <c r="D132" s="4" t="inlineStr">
        <is>
          <t xml:space="preserve">Tóner</t>
        </is>
      </c>
      <c r="E132" s="4" t="inlineStr">
        <is>
          <t xml:space="preserve">Equipos, accesorios y suministros de oficina / Maquinarias, suministros y accesorios de oficina / Suministros para impresora, fax y fotocopiadora</t>
        </is>
      </c>
      <c r="F132" s="0">
        <v>2.0</v>
      </c>
      <c r="G132" s="0" t="inlineStr">
        <is>
          <t xml:space="preserve">Unidad</t>
        </is>
      </c>
      <c r="H132" s="4" t="inlineStr">
        <is>
          <t xml:space="preserve">Tóner TN-1060 Negro o equivalente
SEGUN RESOLUCION TECNICA NUMERAL 3</t>
        </is>
      </c>
    </row>
    <row r="133">
      <c r="A133" s="0" t="inlineStr">
        <is>
          <t xml:space="preserve">594965-31-LE26</t>
        </is>
      </c>
      <c r="B133" s="4" t="inlineStr">
        <is>
          <t xml:space="preserve">INSUMOS INFORMATICOS PARA REGION DE OHIGGINS</t>
        </is>
      </c>
      <c r="C133" s="0">
        <v>6</v>
      </c>
      <c r="D133" s="4" t="inlineStr">
        <is>
          <t xml:space="preserve">Tóner</t>
        </is>
      </c>
      <c r="E133" s="4" t="inlineStr">
        <is>
          <t xml:space="preserve">Equipos, accesorios y suministros de oficina / Maquinarias, suministros y accesorios de oficina / Suministros para impresora, fax y fotocopiadora</t>
        </is>
      </c>
      <c r="F133" s="0">
        <v>1.0</v>
      </c>
      <c r="G133" s="0" t="inlineStr">
        <is>
          <t xml:space="preserve">Unidad</t>
        </is>
      </c>
      <c r="H133" s="4" t="inlineStr">
        <is>
          <t xml:space="preserve">Tóner HP 126A Cyan o equivalente
SEGUN RESOLUCION TECNICA NUMERAL 3</t>
        </is>
      </c>
    </row>
    <row r="134">
      <c r="A134" s="0" t="inlineStr">
        <is>
          <t xml:space="preserve">594965-31-LE26</t>
        </is>
      </c>
      <c r="B134" s="4" t="inlineStr">
        <is>
          <t xml:space="preserve">INSUMOS INFORMATICOS PARA REGION DE OHIGGINS</t>
        </is>
      </c>
      <c r="C134" s="0">
        <v>7</v>
      </c>
      <c r="D134" s="4" t="inlineStr">
        <is>
          <t xml:space="preserve">Tóner</t>
        </is>
      </c>
      <c r="E134" s="4" t="inlineStr">
        <is>
          <t xml:space="preserve">Equipos, accesorios y suministros de oficina / Maquinarias, suministros y accesorios de oficina / Suministros para impresora, fax y fotocopiadora</t>
        </is>
      </c>
      <c r="F134" s="0">
        <v>1.0</v>
      </c>
      <c r="G134" s="0" t="inlineStr">
        <is>
          <t xml:space="preserve">Unidad</t>
        </is>
      </c>
      <c r="H134" s="4" t="inlineStr">
        <is>
          <t xml:space="preserve">Tóner HP 126A Magenta o equivalente
SEGUN RESOLUCION TECNICA NUMERAL 3</t>
        </is>
      </c>
    </row>
    <row r="135">
      <c r="A135" s="0" t="inlineStr">
        <is>
          <t xml:space="preserve">594965-31-LE26</t>
        </is>
      </c>
      <c r="B135" s="4" t="inlineStr">
        <is>
          <t xml:space="preserve">INSUMOS INFORMATICOS PARA REGION DE OHIGGINS</t>
        </is>
      </c>
      <c r="C135" s="0">
        <v>8</v>
      </c>
      <c r="D135" s="4" t="inlineStr">
        <is>
          <t xml:space="preserve">Tóner</t>
        </is>
      </c>
      <c r="E135" s="4" t="inlineStr">
        <is>
          <t xml:space="preserve">Equipos, accesorios y suministros de oficina / Maquinarias, suministros y accesorios de oficina / Suministros para impresora, fax y fotocopiadora</t>
        </is>
      </c>
      <c r="F135" s="0">
        <v>2.0</v>
      </c>
      <c r="G135" s="0" t="inlineStr">
        <is>
          <t xml:space="preserve">Unidad</t>
        </is>
      </c>
      <c r="H135" s="4" t="inlineStr">
        <is>
          <t xml:space="preserve">Tóner HP 126A Yellow o equivalente
SEGUN RESOLUCION TECNICA NUMERAL 3</t>
        </is>
      </c>
    </row>
    <row r="136">
      <c r="A136" s="0" t="inlineStr">
        <is>
          <t xml:space="preserve">594965-31-LE26</t>
        </is>
      </c>
      <c r="B136" s="4" t="inlineStr">
        <is>
          <t xml:space="preserve">INSUMOS INFORMATICOS PARA REGION DE OHIGGINS</t>
        </is>
      </c>
      <c r="C136" s="0">
        <v>9</v>
      </c>
      <c r="D136" s="4" t="inlineStr">
        <is>
          <t xml:space="preserve">Tóner</t>
        </is>
      </c>
      <c r="E136" s="4" t="inlineStr">
        <is>
          <t xml:space="preserve">Equipos, accesorios y suministros de oficina / Maquinarias, suministros y accesorios de oficina / Suministros para impresora, fax y fotocopiadora</t>
        </is>
      </c>
      <c r="F136" s="0">
        <v>1.0</v>
      </c>
      <c r="G136" s="0" t="inlineStr">
        <is>
          <t xml:space="preserve">Unidad</t>
        </is>
      </c>
      <c r="H136" s="4" t="inlineStr">
        <is>
          <t xml:space="preserve">Tóner HP 126A Black o equivalente
SEGUN RESOLUCION TECNICA NUMERAL 3</t>
        </is>
      </c>
    </row>
    <row r="137">
      <c r="A137" s="0" t="inlineStr">
        <is>
          <t xml:space="preserve">594965-31-LE26</t>
        </is>
      </c>
      <c r="B137" s="4" t="inlineStr">
        <is>
          <t xml:space="preserve">INSUMOS INFORMATICOS PARA REGION DE OHIGGINS</t>
        </is>
      </c>
      <c r="C137" s="0">
        <v>10</v>
      </c>
      <c r="D137" s="4" t="inlineStr">
        <is>
          <t xml:space="preserve">Cartuchos de tinta</t>
        </is>
      </c>
      <c r="E137" s="4" t="inlineStr">
        <is>
          <t xml:space="preserve">Equipos, accesorios y suministros de oficina / Maquinarias, suministros y accesorios de oficina / Suministros para impresora, fax y fotocopiadora</t>
        </is>
      </c>
      <c r="F137" s="0">
        <v>5.0</v>
      </c>
      <c r="G137" s="0" t="inlineStr">
        <is>
          <t xml:space="preserve">Unidad</t>
        </is>
      </c>
      <c r="H137" s="4" t="inlineStr">
        <is>
          <t xml:space="preserve">Tinta Brother BT5001C Cyan o equivalente
SEGUN RESOLUCION TECNICA NUMERAL 3</t>
        </is>
      </c>
    </row>
    <row r="138">
      <c r="A138" s="0" t="inlineStr">
        <is>
          <t xml:space="preserve">594965-31-LE26</t>
        </is>
      </c>
      <c r="B138" s="4" t="inlineStr">
        <is>
          <t xml:space="preserve">INSUMOS INFORMATICOS PARA REGION DE OHIGGINS</t>
        </is>
      </c>
      <c r="C138" s="0">
        <v>11</v>
      </c>
      <c r="D138" s="4" t="inlineStr">
        <is>
          <t xml:space="preserve">Cartuchos de tinta</t>
        </is>
      </c>
      <c r="E138" s="4" t="inlineStr">
        <is>
          <t xml:space="preserve">Equipos, accesorios y suministros de oficina / Maquinarias, suministros y accesorios de oficina / Suministros para impresora, fax y fotocopiadora</t>
        </is>
      </c>
      <c r="F138" s="0">
        <v>5.0</v>
      </c>
      <c r="G138" s="0" t="inlineStr">
        <is>
          <t xml:space="preserve">Unidad</t>
        </is>
      </c>
      <c r="H138" s="4" t="inlineStr">
        <is>
          <t xml:space="preserve">Tinta Brother BT5001M Magenta o equivalente
SEGUN RESOLUCION TECNICA NUMERAL 3</t>
        </is>
      </c>
    </row>
    <row r="139">
      <c r="A139" s="0" t="inlineStr">
        <is>
          <t xml:space="preserve">594965-31-LE26</t>
        </is>
      </c>
      <c r="B139" s="4" t="inlineStr">
        <is>
          <t xml:space="preserve">INSUMOS INFORMATICOS PARA REGION DE OHIGGINS</t>
        </is>
      </c>
      <c r="C139" s="0">
        <v>12</v>
      </c>
      <c r="D139" s="4" t="inlineStr">
        <is>
          <t xml:space="preserve">Cartuchos de tinta</t>
        </is>
      </c>
      <c r="E139" s="4" t="inlineStr">
        <is>
          <t xml:space="preserve">Equipos, accesorios y suministros de oficina / Maquinarias, suministros y accesorios de oficina / Suministros para impresora, fax y fotocopiadora</t>
        </is>
      </c>
      <c r="F139" s="0">
        <v>5.0</v>
      </c>
      <c r="G139" s="0" t="inlineStr">
        <is>
          <t xml:space="preserve">Unidad</t>
        </is>
      </c>
      <c r="H139" s="4" t="inlineStr">
        <is>
          <t xml:space="preserve">Tinta Brother BT5001Y Yellow  o equivalente
SEGUN RESOLUCION TECNICA NUMERAL 3</t>
        </is>
      </c>
    </row>
    <row r="140">
      <c r="A140" s="0" t="inlineStr">
        <is>
          <t xml:space="preserve">594965-31-LE26</t>
        </is>
      </c>
      <c r="B140" s="4" t="inlineStr">
        <is>
          <t xml:space="preserve">INSUMOS INFORMATICOS PARA REGION DE OHIGGINS</t>
        </is>
      </c>
      <c r="C140" s="0">
        <v>13</v>
      </c>
      <c r="D140" s="4" t="inlineStr">
        <is>
          <t xml:space="preserve">Cartuchos de tinta</t>
        </is>
      </c>
      <c r="E140" s="4" t="inlineStr">
        <is>
          <t xml:space="preserve">Equipos, accesorios y suministros de oficina / Maquinarias, suministros y accesorios de oficina / Suministros para impresora, fax y fotocopiadora</t>
        </is>
      </c>
      <c r="F140" s="0">
        <v>5.0</v>
      </c>
      <c r="G140" s="0" t="inlineStr">
        <is>
          <t xml:space="preserve">Unidad</t>
        </is>
      </c>
      <c r="H140" s="4" t="inlineStr">
        <is>
          <t xml:space="preserve">Tinta Brother BTD60BK Black o equivalente
SEGUN RESOLUCION TECNICA NUMERAL 3</t>
        </is>
      </c>
    </row>
    <row r="141">
      <c r="A141" s="0" t="inlineStr">
        <is>
          <t xml:space="preserve">594965-31-LE26</t>
        </is>
      </c>
      <c r="B141" s="4" t="inlineStr">
        <is>
          <t xml:space="preserve">INSUMOS INFORMATICOS PARA REGION DE OHIGGINS</t>
        </is>
      </c>
      <c r="C141" s="0">
        <v>14</v>
      </c>
      <c r="D141" s="4" t="inlineStr">
        <is>
          <t xml:space="preserve">Cartuchos de tinta</t>
        </is>
      </c>
      <c r="E141" s="4" t="inlineStr">
        <is>
          <t xml:space="preserve">Equipos, accesorios y suministros de oficina / Maquinarias, suministros y accesorios de oficina / Suministros para impresora, fax y fotocopiadora</t>
        </is>
      </c>
      <c r="F141" s="0">
        <v>5.0</v>
      </c>
      <c r="G141" s="0" t="inlineStr">
        <is>
          <t xml:space="preserve">Unidad</t>
        </is>
      </c>
      <c r="H141" s="4" t="inlineStr">
        <is>
          <t xml:space="preserve">Botella Brother BTD100C Cyan o equivalente
SEGUN RESOLUCION TECNICA NUMERAL 3</t>
        </is>
      </c>
    </row>
    <row r="142">
      <c r="A142" s="0" t="inlineStr">
        <is>
          <t xml:space="preserve">594965-31-LE26</t>
        </is>
      </c>
      <c r="B142" s="4" t="inlineStr">
        <is>
          <t xml:space="preserve">INSUMOS INFORMATICOS PARA REGION DE OHIGGINS</t>
        </is>
      </c>
      <c r="C142" s="0">
        <v>15</v>
      </c>
      <c r="D142" s="4" t="inlineStr">
        <is>
          <t xml:space="preserve">Cartuchos de tinta</t>
        </is>
      </c>
      <c r="E142" s="4" t="inlineStr">
        <is>
          <t xml:space="preserve">Equipos, accesorios y suministros de oficina / Maquinarias, suministros y accesorios de oficina / Suministros para impresora, fax y fotocopiadora</t>
        </is>
      </c>
      <c r="F142" s="0">
        <v>5.0</v>
      </c>
      <c r="G142" s="0" t="inlineStr">
        <is>
          <t xml:space="preserve">Unidad</t>
        </is>
      </c>
      <c r="H142" s="4" t="inlineStr">
        <is>
          <t xml:space="preserve">Botella Brother BTD100M Magenta o equivalente
SEGUN RESOLUCION TECNICA NUMERAL 3</t>
        </is>
      </c>
    </row>
    <row r="143">
      <c r="A143" s="0" t="inlineStr">
        <is>
          <t xml:space="preserve">3756-48-LE26</t>
        </is>
      </c>
      <c r="B143" s="4" t="inlineStr">
        <is>
          <t xml:space="preserve">SERVICIO DE SOFTWARE GESTIÓN DOCUMENTAL PARA LA MUNICIPALIDAD DE PELARCO</t>
        </is>
      </c>
      <c r="C143" s="0">
        <v>1</v>
      </c>
      <c r="D143" s="4" t="inlineStr">
        <is>
          <t xml:space="preserve">Software para centrales de comunicación digital</t>
        </is>
      </c>
      <c r="E143" s="4" t="inlineStr">
        <is>
          <t xml:space="preserve">Tecnologías de la información, telecomunicaciones y radiodifusión / Software / Software para trabajo en redes</t>
        </is>
      </c>
      <c r="F143" s="0">
        <v>1.0</v>
      </c>
      <c r="G143" s="0" t="inlineStr">
        <is>
          <t xml:space="preserve">Unidad</t>
        </is>
      </c>
      <c r="H143" s="4" t="inlineStr">
        <is>
          <t xml:space="preserve">SERVICIO DE SOFTWARE GESTIÓN DOCUMENTAL PARA LA MUNICIPALIDAD DE PELARCO</t>
        </is>
      </c>
    </row>
    <row r="144">
      <c r="A144" s="0" t="inlineStr">
        <is>
          <t xml:space="preserve">1260-17-LP26</t>
        </is>
      </c>
      <c r="B144" s="4" t="inlineStr">
        <is>
          <t xml:space="preserve">NARRATIVAS DIGITALES Y PRODUCCION CONTENIDOS</t>
        </is>
      </c>
      <c r="C144" s="0">
        <v>1</v>
      </c>
      <c r="D144" s="4" t="inlineStr">
        <is>
          <t xml:space="preserve">Agencias de marketing de ventas, incluidas las impresiones</t>
        </is>
      </c>
      <c r="E144" s="4" t="inlineStr">
        <is>
          <t xml:space="preserve">Servicios profesionales, administrativos y consultorías de gestión empresarial / Servicios para la comercialización y distribución / Ventas y marketing</t>
        </is>
      </c>
      <c r="F144" s="0">
        <v>1.0</v>
      </c>
      <c r="G144" s="0" t="inlineStr">
        <is>
          <t xml:space="preserve">Unidad</t>
        </is>
      </c>
      <c r="H144" s="4" t="inlineStr">
        <is>
          <t xml:space="preserve">SERVICIO DE ANÁLISIS DE NARRATIVAS DIGITALES Y PRODUCCIÓN DE CONTENIDOS CREATIVOS. Ver archivos adjuntos RES_EXENTA_N°1419(11-08-2026)_Aprueba Bases.pdf y RESOLUCION_EXENTA_N°1745(06-10-2026)_Modifica REX 1419.pdf</t>
        </is>
      </c>
    </row>
    <row r="145">
      <c r="A145" s="0" t="inlineStr">
        <is>
          <t xml:space="preserve">1016-11-LE26</t>
        </is>
      </c>
      <c r="B145" s="4" t="inlineStr">
        <is>
          <t xml:space="preserve">Implementación y licenciamiento de una plataforma de levantamiento y documentación de procesos asistida por inteligencia artificial</t>
        </is>
      </c>
      <c r="C145" s="0">
        <v>1</v>
      </c>
      <c r="D145" s="4" t="inlineStr">
        <is>
          <t xml:space="preserve">Software de sistema experto</t>
        </is>
      </c>
      <c r="E145" s="4" t="inlineStr">
        <is>
          <t xml:space="preserve">Tecnologías de la información, telecomunicaciones y radiodifusión / Software / Software de gestión</t>
        </is>
      </c>
      <c r="F145" s="0">
        <v>1.0</v>
      </c>
      <c r="G145" s="0" t="inlineStr">
        <is>
          <t xml:space="preserve">Unidad</t>
        </is>
      </c>
      <c r="H145" s="4" t="inlineStr">
        <is>
          <t xml:space="preserve">1. Implementación: Customización, instalación, configuración e integración de la plataforma en la VM del Ministerio; integración con los servicios cloud de IA y transcripción de la cuenta institucional, con el servicio de identidad y el correo institucion</t>
        </is>
      </c>
    </row>
    <row r="146">
      <c r="A146" s="0" t="inlineStr">
        <is>
          <t xml:space="preserve">1016-11-LE26</t>
        </is>
      </c>
      <c r="B146" s="4" t="inlineStr">
        <is>
          <t xml:space="preserve">Implementación y licenciamiento de una plataforma de levantamiento y documentación de procesos asistida por inteligencia artificial</t>
        </is>
      </c>
      <c r="C146" s="0">
        <v>2</v>
      </c>
      <c r="D146" s="4" t="inlineStr">
        <is>
          <t xml:space="preserve">Software de sistema experto</t>
        </is>
      </c>
      <c r="E146" s="4" t="inlineStr">
        <is>
          <t xml:space="preserve">Tecnologías de la información, telecomunicaciones y radiodifusión / Software / Software de gestión</t>
        </is>
      </c>
      <c r="F146" s="0">
        <v>1.0</v>
      </c>
      <c r="G146" s="0" t="inlineStr">
        <is>
          <t xml:space="preserve">Unidad</t>
        </is>
      </c>
      <c r="H146" s="4" t="inlineStr">
        <is>
          <t xml:space="preserve">2. Licencia de uso: Derecho de uso de la plataforma (licencia comercial, o suscripción de soporte y actualizaciones si la solución es de código abierto), con soporte correctivo, actualizaciones y releases de la edición contratada.</t>
        </is>
      </c>
    </row>
    <row r="147">
      <c r="A147" s="0" t="inlineStr">
        <is>
          <t xml:space="preserve">1436733-33-LE26</t>
        </is>
      </c>
      <c r="B147" s="4" t="inlineStr">
        <is>
          <t xml:space="preserve">ADQUISICIÓN E IMPLEMENTACIÓN DE SOFTWARE</t>
        </is>
      </c>
      <c r="C147" s="0">
        <v>1</v>
      </c>
      <c r="D147" s="4" t="inlineStr">
        <is>
          <t xml:space="preserve">Paquetes de software para oficinas</t>
        </is>
      </c>
      <c r="E147" s="4" t="inlineStr">
        <is>
          <t xml:space="preserve">Tecnologías de la información, telecomunicaciones y radiodifusión / Software / Software de gestión</t>
        </is>
      </c>
      <c r="F147" s="0">
        <v>20.0</v>
      </c>
      <c r="G147" s="0" t="inlineStr">
        <is>
          <t xml:space="preserve">Unidad</t>
        </is>
      </c>
      <c r="H147" s="4" t="inlineStr">
        <is>
          <t xml:space="preserve">Software Integral de Simulación Dinámica para Sistemas Electrohidráulicos, Neumáticos y Electrónicos</t>
        </is>
      </c>
    </row>
    <row r="148">
      <c r="A148" s="0" t="inlineStr">
        <is>
          <t xml:space="preserve">1436733-33-LE26</t>
        </is>
      </c>
      <c r="B148" s="4" t="inlineStr">
        <is>
          <t xml:space="preserve">ADQUISICIÓN E IMPLEMENTACIÓN DE SOFTWARE</t>
        </is>
      </c>
      <c r="C148" s="0">
        <v>2</v>
      </c>
      <c r="D148" s="4" t="inlineStr">
        <is>
          <t xml:space="preserve">Paquetes de software para oficinas</t>
        </is>
      </c>
      <c r="E148" s="4" t="inlineStr">
        <is>
          <t xml:space="preserve">Tecnologías de la información, telecomunicaciones y radiodifusión / Software / Software de gestión</t>
        </is>
      </c>
      <c r="F148" s="0">
        <v>1.0</v>
      </c>
      <c r="G148" s="0" t="inlineStr">
        <is>
          <t xml:space="preserve">Unidad</t>
        </is>
      </c>
      <c r="H148" s="4" t="inlineStr">
        <is>
          <t xml:space="preserve">Software lector de pantalla y magnificador para personas con baja visión o ceguera equivalente a software JAWS (Job Access With Speech)</t>
        </is>
      </c>
    </row>
    <row r="149">
      <c r="A149" s="0" t="inlineStr">
        <is>
          <t xml:space="preserve">4127-59-LE26</t>
        </is>
      </c>
      <c r="B149" s="4" t="inlineStr">
        <is>
          <t xml:space="preserve">[TICSRA] Software para escáner de infraestructura</t>
        </is>
      </c>
      <c r="C149" s="0">
        <v>1</v>
      </c>
      <c r="D149" s="4" t="inlineStr">
        <is>
          <t xml:space="preserve">Software de protección antivirus y de seguridad de transacciones</t>
        </is>
      </c>
      <c r="E149" s="4" t="inlineStr">
        <is>
          <t xml:space="preserve">Tecnologías de la información, telecomunicaciones y radiodifusión / Software / Software de seguridad y protección</t>
        </is>
      </c>
      <c r="F149" s="0">
        <v>1.0</v>
      </c>
      <c r="G149" s="0" t="inlineStr">
        <is>
          <t xml:space="preserve">Unidad</t>
        </is>
      </c>
      <c r="H149" s="4" t="inlineStr">
        <is>
          <t xml:space="preserve">SUSCRIPCIÓN DE LICENCIAS DE SOFTWARE PARA ESCÁNER DE INFRAESTRUCTURA TECNOLÓGICA, POR 12 MESES CON SERVICIOS PARA LA IMPLEMENTACIÓN Y CONFIGURACIÓN DE LA SOLUCIÓN (TARGET 500)</t>
        </is>
      </c>
    </row>
    <row r="150">
      <c r="A150" s="0" t="inlineStr">
        <is>
          <t xml:space="preserve">948354-140-LR26</t>
        </is>
      </c>
      <c r="B150" s="4" t="inlineStr">
        <is>
          <t xml:space="preserve">CONTRATACIÓN DE UNA SOLUCIÓN INTEGRAL RIS-PACS INCLUYENDO LA PROVISIÓN DE SERVICIOS SOFTWARE HARDWARE E INFRAESTRUCTURA TECNOLÓGICA PARA EL SERVICIO DE IMAGENOLOGÍA DEL HOSPITAL DIPRECA</t>
        </is>
      </c>
      <c r="C150" s="0">
        <v>1</v>
      </c>
      <c r="D150" s="4" t="inlineStr">
        <is>
          <t xml:space="preserve">Sistemas informatizados de archivado de imágenes (PACS) médicos</t>
        </is>
      </c>
      <c r="E150" s="4" t="inlineStr">
        <is>
          <t xml:space="preserve">Equipamiento y suministros médicos / Productos para imágenes y de medicina nuclear / Artículos para archivar información e imágenes radiológicas</t>
        </is>
      </c>
      <c r="F150" s="0">
        <v>60.0</v>
      </c>
      <c r="G150" s="0" t="inlineStr">
        <is>
          <t xml:space="preserve">Mes</t>
        </is>
      </c>
      <c r="H150" s="4" t="inlineStr">
        <is>
          <t xml:space="preserve">SERVICIO DE RIS-PACS PARA EL SERVICIO DE IMAGENOLOGÍA DEL HOSPITAL DIPRECA (De acuerdo a las Bases Técnicas).</t>
        </is>
      </c>
    </row>
    <row r="151">
      <c r="A151" s="0" t="inlineStr">
        <is>
          <t xml:space="preserve">425-73-LP26</t>
        </is>
      </c>
      <c r="B151" s="4" t="inlineStr">
        <is>
          <t xml:space="preserve">Renovación de licencias de software CISCO</t>
        </is>
      </c>
      <c r="C151" s="0">
        <v>1</v>
      </c>
      <c r="D151" s="4" t="inlineStr">
        <is>
          <t xml:space="preserve">Software de gestión de licencias</t>
        </is>
      </c>
      <c r="E151" s="4" t="inlineStr">
        <is>
          <t xml:space="preserve">Tecnologías de la información, telecomunicaciones y radiodifusión / Software / Software de gestión</t>
        </is>
      </c>
      <c r="F151" s="0">
        <v>5000.0</v>
      </c>
      <c r="G151" s="0" t="inlineStr">
        <is>
          <t xml:space="preserve">Unidad</t>
        </is>
      </c>
      <c r="H151" s="4" t="inlineStr">
        <is>
          <t xml:space="preserve">CISCO ISE Essentials, Valor neto según Formulario Económico N°1 (en caso de discrepancia entre el valor y el Formulario Económico N° 1 primará este último)</t>
        </is>
      </c>
    </row>
    <row r="152">
      <c r="A152" s="0" t="inlineStr">
        <is>
          <t xml:space="preserve">425-73-LP26</t>
        </is>
      </c>
      <c r="B152" s="4" t="inlineStr">
        <is>
          <t xml:space="preserve">Renovación de licencias de software CISCO</t>
        </is>
      </c>
      <c r="C152" s="0">
        <v>2</v>
      </c>
      <c r="D152" s="4" t="inlineStr">
        <is>
          <t xml:space="preserve">Software de gestión de licencias</t>
        </is>
      </c>
      <c r="E152" s="4" t="inlineStr">
        <is>
          <t xml:space="preserve">Tecnologías de la información, telecomunicaciones y radiodifusión / Software / Software de gestión</t>
        </is>
      </c>
      <c r="F152" s="0">
        <v>20000.0</v>
      </c>
      <c r="G152" s="0" t="inlineStr">
        <is>
          <t xml:space="preserve">Unidad</t>
        </is>
      </c>
      <c r="H152" s="4" t="inlineStr">
        <is>
          <t xml:space="preserve">Cisco Secure Network Analytics, Valor neto según Formulario Económico N°1 (en caso de discrepancia entre el valor y el Formulario Económico N° 1 primará este último)</t>
        </is>
      </c>
    </row>
    <row r="153">
      <c r="A153" s="0" t="inlineStr">
        <is>
          <t xml:space="preserve">425-73-LP26</t>
        </is>
      </c>
      <c r="B153" s="4" t="inlineStr">
        <is>
          <t xml:space="preserve">Renovación de licencias de software CISCO</t>
        </is>
      </c>
      <c r="C153" s="0">
        <v>3</v>
      </c>
      <c r="D153" s="4" t="inlineStr">
        <is>
          <t xml:space="preserve">Software de gestión de licencias</t>
        </is>
      </c>
      <c r="E153" s="4" t="inlineStr">
        <is>
          <t xml:space="preserve">Tecnologías de la información, telecomunicaciones y radiodifusión / Software / Software de gestión</t>
        </is>
      </c>
      <c r="F153" s="0">
        <v>11000.0</v>
      </c>
      <c r="G153" s="0" t="inlineStr">
        <is>
          <t xml:space="preserve">Unidad</t>
        </is>
      </c>
      <c r="H153" s="4" t="inlineStr">
        <is>
          <t xml:space="preserve">CISCO ISE Advantage, Valor neto según Formulario Económico N°1 (en caso de discrepancia entre el valor y el Formulario Económico N° 1 primará este último)</t>
        </is>
      </c>
    </row>
    <row r="154">
      <c r="A154" s="0" t="inlineStr">
        <is>
          <t xml:space="preserve">425-73-LP26</t>
        </is>
      </c>
      <c r="B154" s="4" t="inlineStr">
        <is>
          <t xml:space="preserve">Renovación de licencias de software CISCO</t>
        </is>
      </c>
      <c r="C154" s="0">
        <v>4</v>
      </c>
      <c r="D154" s="4" t="inlineStr">
        <is>
          <t xml:space="preserve">Software de gestión de licencias</t>
        </is>
      </c>
      <c r="E154" s="4" t="inlineStr">
        <is>
          <t xml:space="preserve">Tecnologías de la información, telecomunicaciones y radiodifusión / Software / Software de gestión</t>
        </is>
      </c>
      <c r="F154" s="0">
        <v>1.0</v>
      </c>
      <c r="G154" s="0" t="inlineStr">
        <is>
          <t xml:space="preserve">Unidad</t>
        </is>
      </c>
      <c r="H154" s="4" t="inlineStr">
        <is>
          <t xml:space="preserve">Threat Intelligence, Valor neto según Formulario Económico N°1 (en caso de discrepancia entre el valor y el Formulario Económico N° 1 primará este último)</t>
        </is>
      </c>
    </row>
    <row r="155">
      <c r="A155" s="0" t="inlineStr">
        <is>
          <t xml:space="preserve">425-73-LP26</t>
        </is>
      </c>
      <c r="B155" s="4" t="inlineStr">
        <is>
          <t xml:space="preserve">Renovación de licencias de software CISCO</t>
        </is>
      </c>
      <c r="C155" s="0">
        <v>5</v>
      </c>
      <c r="D155" s="4" t="inlineStr">
        <is>
          <t xml:space="preserve">Software de gestión de licencias</t>
        </is>
      </c>
      <c r="E155" s="4" t="inlineStr">
        <is>
          <t xml:space="preserve">Tecnologías de la información, telecomunicaciones y radiodifusión / Software / Software de gestión</t>
        </is>
      </c>
      <c r="F155" s="0">
        <v>3000.0</v>
      </c>
      <c r="G155" s="0" t="inlineStr">
        <is>
          <t xml:space="preserve">Unidad</t>
        </is>
      </c>
      <c r="H155" s="4" t="inlineStr">
        <is>
          <t xml:space="preserve">CISCO ISE Premier, Valor neto según Formulario Económico N°1 (en caso de discrepancia entre el valor y el Formulario Económico N° 1 primará este último)</t>
        </is>
      </c>
    </row>
    <row r="156">
      <c r="A156" s="0" t="inlineStr">
        <is>
          <t xml:space="preserve">425-73-LP26</t>
        </is>
      </c>
      <c r="B156" s="4" t="inlineStr">
        <is>
          <t xml:space="preserve">Renovación de licencias de software CISCO</t>
        </is>
      </c>
      <c r="C156" s="0">
        <v>6</v>
      </c>
      <c r="D156" s="4" t="inlineStr">
        <is>
          <t xml:space="preserve">Software de gestión de licencias</t>
        </is>
      </c>
      <c r="E156" s="4" t="inlineStr">
        <is>
          <t xml:space="preserve">Tecnologías de la información, telecomunicaciones y radiodifusión / Software / Software de gestión</t>
        </is>
      </c>
      <c r="F156" s="0">
        <v>2.0</v>
      </c>
      <c r="G156" s="0" t="inlineStr">
        <is>
          <t xml:space="preserve">Unidad</t>
        </is>
      </c>
      <c r="H156" s="4" t="inlineStr">
        <is>
          <t xml:space="preserve">CISCO ISE VM, Valor neto según Formulario Económico N°1 (en caso de discrepancia entre el valor y el Formulario Económico N° 1 primará este último)</t>
        </is>
      </c>
    </row>
    <row r="157">
      <c r="A157" s="0" t="inlineStr">
        <is>
          <t xml:space="preserve">425-73-LP26</t>
        </is>
      </c>
      <c r="B157" s="4" t="inlineStr">
        <is>
          <t xml:space="preserve">Renovación de licencias de software CISCO</t>
        </is>
      </c>
      <c r="C157" s="0">
        <v>7</v>
      </c>
      <c r="D157" s="4" t="inlineStr">
        <is>
          <t xml:space="preserve">Software de gestión de licencias</t>
        </is>
      </c>
      <c r="E157" s="4" t="inlineStr">
        <is>
          <t xml:space="preserve">Tecnologías de la información, telecomunicaciones y radiodifusión / Software / Software de gestión</t>
        </is>
      </c>
      <c r="F157" s="0">
        <v>2700.0</v>
      </c>
      <c r="G157" s="0" t="inlineStr">
        <is>
          <t xml:space="preserve">Unidad</t>
        </is>
      </c>
      <c r="H157" s="4" t="inlineStr">
        <is>
          <t xml:space="preserve">Umbrella SIG Essentials, Valor neto según Formulario Económico N°1 (en caso de discrepancia entre el valor y el Formulario Económico N° 1 primará este último)</t>
        </is>
      </c>
    </row>
    <row r="158">
      <c r="A158" s="0" t="inlineStr">
        <is>
          <t xml:space="preserve">425-73-LP26</t>
        </is>
      </c>
      <c r="B158" s="4" t="inlineStr">
        <is>
          <t xml:space="preserve">Renovación de licencias de software CISCO</t>
        </is>
      </c>
      <c r="C158" s="0">
        <v>8</v>
      </c>
      <c r="D158" s="4" t="inlineStr">
        <is>
          <t xml:space="preserve">Software de gestión de licencias</t>
        </is>
      </c>
      <c r="E158" s="4" t="inlineStr">
        <is>
          <t xml:space="preserve">Tecnologías de la información, telecomunicaciones y radiodifusión / Software / Software de gestión</t>
        </is>
      </c>
      <c r="F158" s="0">
        <v>1.0</v>
      </c>
      <c r="G158" s="0" t="inlineStr">
        <is>
          <t xml:space="preserve">Unidad</t>
        </is>
      </c>
      <c r="H158" s="4" t="inlineStr">
        <is>
          <t xml:space="preserve">FMC v300, Valor neto según Formulario Económico N°1 (en caso de discrepancia entre el valor y el Formulario Económico N° 1 primará este último)</t>
        </is>
      </c>
    </row>
    <row r="159">
      <c r="A159" s="0" t="inlineStr">
        <is>
          <t xml:space="preserve">425-73-LP26</t>
        </is>
      </c>
      <c r="B159" s="4" t="inlineStr">
        <is>
          <t xml:space="preserve">Renovación de licencias de software CISCO</t>
        </is>
      </c>
      <c r="C159" s="0">
        <v>9</v>
      </c>
      <c r="D159" s="4" t="inlineStr">
        <is>
          <t xml:space="preserve">Software de gestión de licencias</t>
        </is>
      </c>
      <c r="E159" s="4" t="inlineStr">
        <is>
          <t xml:space="preserve">Tecnologías de la información, telecomunicaciones y radiodifusión / Software / Software de gestión</t>
        </is>
      </c>
      <c r="F159" s="0">
        <v>2.0</v>
      </c>
      <c r="G159" s="0" t="inlineStr">
        <is>
          <t xml:space="preserve">Unidad</t>
        </is>
      </c>
      <c r="H159" s="4" t="inlineStr">
        <is>
          <t xml:space="preserve">Firepower 4115, Valor neto según Formulario Económico N°1 (en caso de discrepancia entre el valor y el Formulario Económico N° 1 primará este último)</t>
        </is>
      </c>
    </row>
    <row r="160">
      <c r="A160" s="0" t="inlineStr">
        <is>
          <t xml:space="preserve">425-73-LP26</t>
        </is>
      </c>
      <c r="B160" s="4" t="inlineStr">
        <is>
          <t xml:space="preserve">Renovación de licencias de software CISCO</t>
        </is>
      </c>
      <c r="C160" s="0">
        <v>10</v>
      </c>
      <c r="D160" s="4" t="inlineStr">
        <is>
          <t xml:space="preserve">Software de gestión de licencias</t>
        </is>
      </c>
      <c r="E160" s="4" t="inlineStr">
        <is>
          <t xml:space="preserve">Tecnologías de la información, telecomunicaciones y radiodifusión / Software / Software de gestión</t>
        </is>
      </c>
      <c r="F160" s="0">
        <v>3000.0</v>
      </c>
      <c r="G160" s="0" t="inlineStr">
        <is>
          <t xml:space="preserve">Unidad</t>
        </is>
      </c>
      <c r="H160" s="4" t="inlineStr">
        <is>
          <t xml:space="preserve">Cisco Secure Client Premier, Valor neto según Formulario Económico N°1 (en caso de discrepancia entre el valor y el Formulario Económico N° 1 primará este último)</t>
        </is>
      </c>
    </row>
    <row r="161">
      <c r="A161" s="0" t="inlineStr">
        <is>
          <t xml:space="preserve">564953-78-B226</t>
        </is>
      </c>
      <c r="B161" s="4" t="inlineStr">
        <is>
          <t xml:space="preserve">ACTUALIZACIÓN PLATAFORMA ERP</t>
        </is>
      </c>
      <c r="C161" s="0">
        <v>1</v>
      </c>
      <c r="D161" s="4" t="inlineStr">
        <is>
          <t xml:space="preserve">Software de planificación de recursos empresariales (ERP)</t>
        </is>
      </c>
      <c r="E161" s="4" t="inlineStr">
        <is>
          <t xml:space="preserve">Tecnologías de la información, telecomunicaciones y radiodifusión / Software / Software de planificación de recursos empresariales (ERP) y contabilidad financiera</t>
        </is>
      </c>
      <c r="F161" s="0">
        <v>1.0</v>
      </c>
      <c r="G161" s="0" t="inlineStr">
        <is>
          <t xml:space="preserve">Unidad</t>
        </is>
      </c>
      <c r="H161" s="4" t="inlineStr">
        <is>
          <t xml:space="preserve">ACTUALIZACIÓN PLATAFORMA ERP</t>
        </is>
      </c>
    </row>
    <row r="162">
      <c r="A162" s="0" t="inlineStr">
        <is>
          <t xml:space="preserve">1057490-83-LP26</t>
        </is>
      </c>
      <c r="B162" s="4" t="inlineStr">
        <is>
          <t xml:space="preserve">PROFESIONAL INFORMÁTICO PARA RIS PACS</t>
        </is>
      </c>
      <c r="C162" s="0">
        <v>1</v>
      </c>
      <c r="D162" s="4" t="inlineStr">
        <is>
          <t xml:space="preserve">Profesionales</t>
        </is>
      </c>
      <c r="E162" s="4" t="inlineStr">
        <is>
          <t xml:space="preserve">Servicios profesionales, administrativos y consultorías de gestión empresarial / Servicios de recursos humanos / Contratación de personal</t>
        </is>
      </c>
      <c r="F162" s="0">
        <v>36.0</v>
      </c>
      <c r="G162" s="0" t="inlineStr">
        <is>
          <t xml:space="preserve">Mes</t>
        </is>
      </c>
      <c r="H162" s="4" t="inlineStr">
        <is>
          <t xml:space="preserve">SERVICIOS PROFESIONAL INFORMÁTICO  PARA RIS PACS</t>
        </is>
      </c>
    </row>
    <row r="163">
      <c r="A163" s="0" t="inlineStr">
        <is>
          <t xml:space="preserve">2859-45-LE26</t>
        </is>
      </c>
      <c r="B163" s="4" t="inlineStr">
        <is>
          <t xml:space="preserve">ADQUISICIÓN DE MICROSCOPIO DIGITAL ALTA RESOLUCION</t>
        </is>
      </c>
      <c r="C163" s="0">
        <v>1</v>
      </c>
      <c r="D163" s="4" t="inlineStr">
        <is>
          <t xml:space="preserve">Microscopios, recodos o aumentadores quirúrgicos o accesorios</t>
        </is>
      </c>
      <c r="E163" s="4" t="inlineStr">
        <is>
          <t xml:space="preserve">Equipamiento y suministros médicos / Productos quirúrgicos / Equipo quirúrgico, accesorios y productos relacionados</t>
        </is>
      </c>
      <c r="F163" s="0">
        <v>1.0</v>
      </c>
      <c r="G163" s="0" t="inlineStr">
        <is>
          <t xml:space="preserve">Unidad</t>
        </is>
      </c>
      <c r="H163" s="4" t="inlineStr">
        <is>
          <t xml:space="preserve">ADQUISICIÓN DE MICROSCOPIO DIGITAL DE ALTA RESOLUCIÓN 4K EN EL MARCO DEL PROYECTO ATE240006 DENOMINADO “DIVERSIFICACIÓN DE LA PRODUCCIÓN EN LA INDUSTRIA DEL LITIO: MODELAMIENTO MOLECULAR Y FUNCIONALIZACIÓN DE LÍQUIDOS IÓNICOS PARA OPTIMIZAR LA REMOCIÓN Y</t>
        </is>
      </c>
    </row>
    <row r="164">
      <c r="A164" s="0" t="inlineStr">
        <is>
          <t xml:space="preserve">599-43-LE26</t>
        </is>
      </c>
      <c r="B164" s="4" t="inlineStr">
        <is>
          <t xml:space="preserve">Curso Gestión y Análisis de Datos E-Learning Junji</t>
        </is>
      </c>
      <c r="C164" s="0">
        <v>1</v>
      </c>
      <c r="D164" s="4" t="inlineStr">
        <is>
          <t xml:space="preserve">Formación, capacitación y entrenamiento de personal</t>
        </is>
      </c>
      <c r="E164" s="4" t="inlineStr">
        <is>
          <t xml:space="preserve">Servicios profesionales, administrativos y consultorías de gestión empresarial / Servicios de recursos humanos / Consultorías para el desarrollo de recursos humanos</t>
        </is>
      </c>
      <c r="F164" s="0">
        <v>1.0</v>
      </c>
      <c r="G164" s="0" t="inlineStr">
        <is>
          <t xml:space="preserve">Global</t>
        </is>
      </c>
      <c r="H164" s="4" t="inlineStr">
        <is>
          <t xml:space="preserve">CURSO “GESTIÓN Y ANÁLISIS DE DATOS” EN MODALIDAD E- LEARNING PARA JUNTA NACIONAL DE JARDINES INFANTILES</t>
        </is>
      </c>
    </row>
    <row r="165">
      <c r="A165" s="0" t="inlineStr">
        <is>
          <t xml:space="preserve">4378-11-LE26</t>
        </is>
      </c>
      <c r="B165" s="4" t="inlineStr">
        <is>
          <t xml:space="preserve">PLATAFORMA CONFIRMACION DE CITAS PARA CESFAM</t>
        </is>
      </c>
      <c r="C165" s="0">
        <v>1</v>
      </c>
      <c r="D165" s="4" t="inlineStr">
        <is>
          <t xml:space="preserve">Servicios de redes digitales de servicios integrados (ISDN)</t>
        </is>
      </c>
      <c r="E165" s="4" t="inlineStr">
        <is>
          <t xml:space="preserve">Servicios básicos y de información pública / Telecomunicaciones / Servicios de telecomunicaciones por circuitos de líneas selectivas y líneas dedicadas arrendadas</t>
        </is>
      </c>
      <c r="F165" s="0">
        <v>1.0</v>
      </c>
      <c r="G165" s="0" t="inlineStr">
        <is>
          <t xml:space="preserve">Unidad</t>
        </is>
      </c>
      <c r="H165" s="4" t="inlineStr">
        <is>
          <t xml:space="preserve">SERVICIOS DE REDES DIGITALES DE SERVICIOS INTEGRADOS (ISDN)</t>
        </is>
      </c>
    </row>
    <row r="166">
      <c r="A166" s="0" t="inlineStr">
        <is>
          <t xml:space="preserve">1725-231-LE26</t>
        </is>
      </c>
      <c r="B166" s="4" t="inlineStr">
        <is>
          <t xml:space="preserve">ADQUISICIÓN DE LICENCIA DE FIREWALL DE NUBE.</t>
        </is>
      </c>
      <c r="C166" s="0">
        <v>1</v>
      </c>
      <c r="D166" s="4" t="inlineStr">
        <is>
          <t xml:space="preserve">Software de gestión de licencias</t>
        </is>
      </c>
      <c r="E166" s="4" t="inlineStr">
        <is>
          <t xml:space="preserve">Tecnologías de la información, telecomunicaciones y radiodifusión / Software / Software de gestión</t>
        </is>
      </c>
      <c r="F166" s="0">
        <v>1.0</v>
      </c>
      <c r="G166" s="0" t="inlineStr">
        <is>
          <t xml:space="preserve">Unidad</t>
        </is>
      </c>
      <c r="H166" s="4" t="inlineStr">
        <is>
          <t xml:space="preserve">ADQUISICIÓN DE LICENCIA DE FIREWALL DE NUBE POR UN PERÍODO DE TRES AÑOS PARA LA SUBSECRETARÍA DE LAS CULTURAS Y LAS ARTES.</t>
        </is>
      </c>
    </row>
    <row r="167">
      <c r="A167" s="0" t="inlineStr">
        <is>
          <t xml:space="preserve">4205-15-LE26</t>
        </is>
      </c>
      <c r="B167" s="4" t="inlineStr">
        <is>
          <t xml:space="preserve">ADQUISICIÓN PLATAFORMA PODCAST TV MOCHILA  SJO</t>
        </is>
      </c>
      <c r="C167" s="0">
        <v>1</v>
      </c>
      <c r="D167" s="4" t="inlineStr">
        <is>
          <t xml:space="preserve">Servicios Audio Visuales</t>
        </is>
      </c>
      <c r="E167" s="4" t="inlineStr">
        <is>
          <t xml:space="preserve">Servicios profesionales, administrativos y consultorías de gestión empresarial / Servicios de apoyo a la administración de empresas / Servicios de apoyo a la gestión</t>
        </is>
      </c>
      <c r="F167" s="0">
        <v>1.0</v>
      </c>
      <c r="G167" s="0" t="inlineStr">
        <is>
          <t xml:space="preserve">Unidad</t>
        </is>
      </c>
      <c r="H167" s="4" t="inlineStr">
        <is>
          <t xml:space="preserve">ADQUISICIÓN PLATAFORMA PODCAST, TV, MOCHILA, ACCESORIOS Y CAPACITACIÓN DE USO PARA LA ESC. SAN JOSÉ OBRERO, RBD 10844, COMUNA CURACAVI, 2026</t>
        </is>
      </c>
    </row>
    <row r="168">
      <c r="A168" s="0" t="inlineStr">
        <is>
          <t xml:space="preserve">4160-22-LP26</t>
        </is>
      </c>
      <c r="B168" s="4" t="inlineStr">
        <is>
          <t xml:space="preserve">SERVICIO DE INTERNET VOZ Y DATOS</t>
        </is>
      </c>
      <c r="C168" s="0">
        <v>1</v>
      </c>
      <c r="D168" s="4" t="inlineStr">
        <is>
          <t xml:space="preserve">Proveedores de servicio de Internet (ISP)</t>
        </is>
      </c>
      <c r="E168" s="4" t="inlineStr">
        <is>
          <t xml:space="preserve">Servicios basados en ingeniería, ciencias sociales y tecnología de la información / Servicios informáticos / Servicios para internet</t>
        </is>
      </c>
      <c r="F168" s="0">
        <v>36.0</v>
      </c>
      <c r="G168" s="0" t="inlineStr">
        <is>
          <t xml:space="preserve">Mes</t>
        </is>
      </c>
      <c r="H168"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169">
      <c r="A169" s="0" t="inlineStr">
        <is>
          <t xml:space="preserve">1233623-47-LP26</t>
        </is>
      </c>
      <c r="B169" s="4" t="inlineStr">
        <is>
          <t xml:space="preserve">SOFTWARE PARA GESTION DE PERSONAS LICANCABUR</t>
        </is>
      </c>
      <c r="C169" s="0">
        <v>1</v>
      </c>
      <c r="D169" s="4" t="inlineStr">
        <is>
          <t xml:space="preserve">Software de gestión de recursos humanos</t>
        </is>
      </c>
      <c r="E169" s="4" t="inlineStr">
        <is>
          <t xml:space="preserve">Tecnologías de la información, telecomunicaciones y radiodifusión / Software / Software de gestión</t>
        </is>
      </c>
      <c r="F169" s="0">
        <v>1.0</v>
      </c>
      <c r="G169" s="0" t="inlineStr">
        <is>
          <t xml:space="preserve">Unidad</t>
        </is>
      </c>
      <c r="H169" s="4" t="inlineStr">
        <is>
          <t xml:space="preserve">01 SOFTWARE SISTEMA DE GESTION DE PERSONAS (P01 Y P02) SEGUN LO INDICADO EN LAS BASES ADMINISTRATIVAS Y TECNICAS POR UN PERIODO DE 36 MESES</t>
        </is>
      </c>
    </row>
    <row r="170">
      <c r="A170" s="0" t="inlineStr">
        <is>
          <t xml:space="preserve">1867-50-LE26</t>
        </is>
      </c>
      <c r="B170" s="4" t="inlineStr">
        <is>
          <t xml:space="preserve">Desarrollar Plataformas en Línea para Departamento</t>
        </is>
      </c>
      <c r="C170" s="0">
        <v>1</v>
      </c>
      <c r="D170" s="4" t="inlineStr">
        <is>
          <t xml:space="preserve">Software de desarrollo de plataforma Web</t>
        </is>
      </c>
      <c r="E170" s="4" t="inlineStr">
        <is>
          <t xml:space="preserve">Tecnologías de la información, telecomunicaciones y radiodifusión / Software / Programas de desarrollo</t>
        </is>
      </c>
      <c r="F170" s="0">
        <v>1.0</v>
      </c>
      <c r="G170" s="0" t="inlineStr">
        <is>
          <t xml:space="preserve">Unidad</t>
        </is>
      </c>
      <c r="H170" s="4" t="inlineStr">
        <is>
          <t xml:space="preserve">Línea 1 Desarrollar Plataforma Web online DEREC</t>
        </is>
      </c>
    </row>
    <row r="171">
      <c r="A171" s="0" t="inlineStr">
        <is>
          <t xml:space="preserve">1867-50-LE26</t>
        </is>
      </c>
      <c r="B171" s="4" t="inlineStr">
        <is>
          <t xml:space="preserve">Desarrollar Plataformas en Línea para Departamento</t>
        </is>
      </c>
      <c r="C171" s="0">
        <v>2</v>
      </c>
      <c r="D171" s="4" t="inlineStr">
        <is>
          <t xml:space="preserve">Software de desarrollo de plataforma Web</t>
        </is>
      </c>
      <c r="E171" s="4" t="inlineStr">
        <is>
          <t xml:space="preserve">Tecnologías de la información, telecomunicaciones y radiodifusión / Software / Programas de desarrollo</t>
        </is>
      </c>
      <c r="F171" s="0">
        <v>1.0</v>
      </c>
      <c r="G171" s="0" t="inlineStr">
        <is>
          <t xml:space="preserve">Unidad</t>
        </is>
      </c>
      <c r="H171" s="4" t="inlineStr">
        <is>
          <t xml:space="preserve">Línea 2 Desarrollar Plataforma Web online DECON</t>
        </is>
      </c>
    </row>
    <row r="172">
      <c r="A172" s="0" t="inlineStr">
        <is>
          <t xml:space="preserve">1867-51-LE26</t>
        </is>
      </c>
      <c r="B172" s="4" t="inlineStr">
        <is>
          <t xml:space="preserve">Servicio de Consultoria  de gestión documental</t>
        </is>
      </c>
      <c r="C172" s="0">
        <v>1</v>
      </c>
      <c r="D172" s="4" t="inlineStr">
        <is>
          <t xml:space="preserve">Software de sistema de archivos</t>
        </is>
      </c>
      <c r="E172" s="4" t="inlineStr">
        <is>
          <t xml:space="preserve">Tecnologías de la información, telecomunicaciones y radiodifusión / Software / Software de entorno operativo</t>
        </is>
      </c>
      <c r="F172" s="0">
        <v>1.0</v>
      </c>
      <c r="G172" s="0" t="inlineStr">
        <is>
          <t xml:space="preserve">Unidad</t>
        </is>
      </c>
      <c r="H172" s="4" t="inlineStr">
        <is>
          <t xml:space="preserve">Servicio de Consultoría y solución de gestión documental</t>
        </is>
      </c>
    </row>
    <row r="173">
      <c r="A173" s="0" t="inlineStr">
        <is>
          <t xml:space="preserve">2770-164-LE26</t>
        </is>
      </c>
      <c r="B173" s="4" t="inlineStr">
        <is>
          <t xml:space="preserve">ADQUISICIÓN DE ACCESORIOS Y REPUESTOS INFORMATICOS PARA LA REPARACIÓN DE COMPUTADORES E IMPRESORAS PARA EL DEPARTAMENTO DE INFORMÁTICA DE LA DIRECCIÓN DE SALUD MUNICIPAL</t>
        </is>
      </c>
      <c r="C173" s="0">
        <v>1</v>
      </c>
      <c r="D173" s="4" t="inlineStr">
        <is>
          <t xml:space="preserve">Discos duros</t>
        </is>
      </c>
      <c r="E173" s="4" t="inlineStr">
        <is>
          <t xml:space="preserve">Tecnologías de la información, telecomunicaciones y radiodifusión / Componentes para tecnología de la información, difusión o telecomunicaciones / Dispositivos de soporte de almacenamiento</t>
        </is>
      </c>
      <c r="F173" s="0">
        <v>1.0</v>
      </c>
      <c r="G173" s="0" t="inlineStr">
        <is>
          <t xml:space="preserve">Global</t>
        </is>
      </c>
      <c r="H173" s="4" t="inlineStr">
        <is>
          <t xml:space="preserve">Línea 1 - Disco duro de estado sólido (SSD) equivalente o superior a KINGSTON A400 de 960Gb, según lo indicado en las Bases Técnicas.</t>
        </is>
      </c>
    </row>
    <row r="174">
      <c r="A174" s="0" t="inlineStr">
        <is>
          <t xml:space="preserve">2770-164-LE26</t>
        </is>
      </c>
      <c r="B174" s="4" t="inlineStr">
        <is>
          <t xml:space="preserve">ADQUISICIÓN DE ACCESORIOS Y REPUESTOS INFORMATICOS PARA LA REPARACIÓN DE COMPUTADORES E IMPRESORAS PARA EL DEPARTAMENTO DE INFORMÁTICA DE LA DIRECCIÓN DE SALUD MUNICIPAL</t>
        </is>
      </c>
      <c r="C174" s="0">
        <v>2</v>
      </c>
      <c r="D174" s="4" t="inlineStr">
        <is>
          <t xml:space="preserve">Dispositivos de almacenamiento de memoria flash</t>
        </is>
      </c>
      <c r="E174" s="4" t="inlineStr">
        <is>
          <t xml:space="preserve">Tecnologías de la información, telecomunicaciones y radiodifusión / Componentes para tecnología de la información, difusión o telecomunicaciones / Soportes de almacenamiento extraíbles</t>
        </is>
      </c>
      <c r="F174" s="0">
        <v>1.0</v>
      </c>
      <c r="G174" s="0" t="inlineStr">
        <is>
          <t xml:space="preserve">Global</t>
        </is>
      </c>
      <c r="H174" s="4" t="inlineStr">
        <is>
          <t xml:space="preserve">Línea 2 - Pendrive igual equivalente o superior a Kingston modelo datatraveler exodia m de 64 gb, según lo indicado en las Bases Técnicas.</t>
        </is>
      </c>
    </row>
    <row r="175">
      <c r="A175" s="0" t="inlineStr">
        <is>
          <t xml:space="preserve">2770-164-LE26</t>
        </is>
      </c>
      <c r="B175" s="4" t="inlineStr">
        <is>
          <t xml:space="preserve">ADQUISICIÓN DE ACCESORIOS Y REPUESTOS INFORMATICOS PARA LA REPARACIÓN DE COMPUTADORES E IMPRESORAS PARA EL DEPARTAMENTO DE INFORMÁTICA DE LA DIRECCIÓN DE SALUD MUNICIPAL</t>
        </is>
      </c>
      <c r="C175" s="0">
        <v>3</v>
      </c>
      <c r="D175" s="4" t="inlineStr">
        <is>
          <t xml:space="preserve">Memoria de acceso aleatorio (RAM)</t>
        </is>
      </c>
      <c r="E175" s="4" t="inlineStr">
        <is>
          <t xml:space="preserve">Artículos de electrónica / Circuitos electrónicos / Circuitos integrados, memorias y microprocesadores</t>
        </is>
      </c>
      <c r="F175" s="0">
        <v>1.0</v>
      </c>
      <c r="G175" s="0" t="inlineStr">
        <is>
          <t xml:space="preserve">Global</t>
        </is>
      </c>
      <c r="H175" s="4" t="inlineStr">
        <is>
          <t xml:space="preserve">Línea 3 - Memoria RAM para PC equivalente o superior a Kingston DDR4 16GB 3200 MHz, según lo indicado en las Bases Técnicas.</t>
        </is>
      </c>
    </row>
    <row r="176">
      <c r="A176" s="0" t="inlineStr">
        <is>
          <t xml:space="preserve">2770-164-LE26</t>
        </is>
      </c>
      <c r="B176" s="4" t="inlineStr">
        <is>
          <t xml:space="preserve">ADQUISICIÓN DE ACCESORIOS Y REPUESTOS INFORMATICOS PARA LA REPARACIÓN DE COMPUTADORES E IMPRESORAS PARA EL DEPARTAMENTO DE INFORMÁTICA DE LA DIRECCIÓN DE SALUD MUNICIPAL</t>
        </is>
      </c>
      <c r="C176" s="0">
        <v>4</v>
      </c>
      <c r="D176" s="4" t="inlineStr">
        <is>
          <t xml:space="preserve">Audífonos</t>
        </is>
      </c>
      <c r="E176" s="4" t="inlineStr">
        <is>
          <t xml:space="preserve">Muebles, accesorios, electrodomésticos y productos electrónicos / Equipos y accesorios audiovisuales / Equipos audiovisuales y de electrónica menor</t>
        </is>
      </c>
      <c r="F176" s="0">
        <v>1.0</v>
      </c>
      <c r="G176" s="0" t="inlineStr">
        <is>
          <t xml:space="preserve">Global</t>
        </is>
      </c>
      <c r="H176" s="4" t="inlineStr">
        <is>
          <t xml:space="preserve">Línea 4 - Audífono estéreo biaural para Call Center igual equivalente o superior que Marca Poly modelo Blackwire C3220, según lo indicado en las Bases Técnicas.</t>
        </is>
      </c>
    </row>
    <row r="177">
      <c r="A177" s="0" t="inlineStr">
        <is>
          <t xml:space="preserve">2770-164-LE26</t>
        </is>
      </c>
      <c r="B177" s="4" t="inlineStr">
        <is>
          <t xml:space="preserve">ADQUISICIÓN DE ACCESORIOS Y REPUESTOS INFORMATICOS PARA LA REPARACIÓN DE COMPUTADORES E IMPRESORAS PARA EL DEPARTAMENTO DE INFORMÁTICA DE LA DIRECCIÓN DE SALUD MUNICIPAL</t>
        </is>
      </c>
      <c r="C177" s="0">
        <v>5</v>
      </c>
      <c r="D177" s="4" t="inlineStr">
        <is>
          <t xml:space="preserve">Equipo para huellas dactilares</t>
        </is>
      </c>
      <c r="E177" s="4" t="inlineStr">
        <is>
          <t xml:space="preserve">Equipos y suministros de defensa, orden público, protección y seguridad / Equipos para orden público / Equipo forense, accesorios y suministros</t>
        </is>
      </c>
      <c r="F177" s="0">
        <v>1.0</v>
      </c>
      <c r="G177" s="0" t="inlineStr">
        <is>
          <t xml:space="preserve">Global</t>
        </is>
      </c>
      <c r="H177" s="4" t="inlineStr">
        <is>
          <t xml:space="preserve">Línea 5 - Dispositivos biométricos digital persona U ARE U 4500, según lo indicado en las Bases Técnicas.</t>
        </is>
      </c>
    </row>
    <row r="178">
      <c r="A178" s="0" t="inlineStr">
        <is>
          <t xml:space="preserve">2770-164-LE26</t>
        </is>
      </c>
      <c r="B178" s="4" t="inlineStr">
        <is>
          <t xml:space="preserve">ADQUISICIÓN DE ACCESORIOS Y REPUESTOS INFORMATICOS PARA LA REPARACIÓN DE COMPUTADORES E IMPRESORAS PARA EL DEPARTAMENTO DE INFORMÁTICA DE LA DIRECCIÓN DE SALUD MUNICIPAL</t>
        </is>
      </c>
      <c r="C178" s="0">
        <v>6</v>
      </c>
      <c r="D178" s="4" t="inlineStr">
        <is>
          <t xml:space="preserve">Tarjetas de interfaz de red</t>
        </is>
      </c>
      <c r="E178" s="4" t="inlineStr">
        <is>
          <t xml:space="preserve">Tecnologías de la información, telecomunicaciones y radiodifusión / Componentes para tecnología de la información, difusión o telecomunicaciones / Tarjetas de sistema</t>
        </is>
      </c>
      <c r="F178" s="0">
        <v>1.0</v>
      </c>
      <c r="G178" s="0" t="inlineStr">
        <is>
          <t xml:space="preserve">Global</t>
        </is>
      </c>
      <c r="H178" s="4" t="inlineStr">
        <is>
          <t xml:space="preserve">Línea 6 - Tarjeta de red pci express wifi para equipos sff equivalente o superior a Tp-Link, modelo TL-WN851ND, según lo indicado en las Bases Técnicas.</t>
        </is>
      </c>
    </row>
    <row r="179">
      <c r="A179" s="0" t="inlineStr">
        <is>
          <t xml:space="preserve">2770-164-LE26</t>
        </is>
      </c>
      <c r="B179" s="4" t="inlineStr">
        <is>
          <t xml:space="preserve">ADQUISICIÓN DE ACCESORIOS Y REPUESTOS INFORMATICOS PARA LA REPARACIÓN DE COMPUTADORES E IMPRESORAS PARA EL DEPARTAMENTO DE INFORMÁTICA DE LA DIRECCIÓN DE SALUD MUNICIPAL</t>
        </is>
      </c>
      <c r="C179" s="0">
        <v>7</v>
      </c>
      <c r="D179" s="4" t="inlineStr">
        <is>
          <t xml:space="preserve">Audífonos</t>
        </is>
      </c>
      <c r="E179" s="4" t="inlineStr">
        <is>
          <t xml:space="preserve">Muebles, accesorios, electrodomésticos y productos electrónicos / Equipos y accesorios audiovisuales / Equipos audiovisuales y de electrónica menor</t>
        </is>
      </c>
      <c r="F179" s="0">
        <v>1.0</v>
      </c>
      <c r="G179" s="0" t="inlineStr">
        <is>
          <t xml:space="preserve">Global</t>
        </is>
      </c>
      <c r="H179" s="4" t="inlineStr">
        <is>
          <t xml:space="preserve">Línea 7 - Audífono equivalente o superior a Kensington SKU K97603WW, según lo indicado en las Bases Técnicas.</t>
        </is>
      </c>
    </row>
    <row r="180">
      <c r="A180" s="0" t="inlineStr">
        <is>
          <t xml:space="preserve">2770-164-LE26</t>
        </is>
      </c>
      <c r="B180" s="4" t="inlineStr">
        <is>
          <t xml:space="preserve">ADQUISICIÓN DE ACCESORIOS Y REPUESTOS INFORMATICOS PARA LA REPARACIÓN DE COMPUTADORES E IMPRESORAS PARA EL DEPARTAMENTO DE INFORMÁTICA DE LA DIRECCIÓN DE SALUD MUNICIPAL</t>
        </is>
      </c>
      <c r="C180" s="0">
        <v>8</v>
      </c>
      <c r="D180" s="4" t="inlineStr">
        <is>
          <t xml:space="preserve">Adaptadores de telefonía o hardware</t>
        </is>
      </c>
      <c r="E180" s="4" t="inlineStr">
        <is>
          <t xml:space="preserve">Tecnologías de la información, telecomunicaciones y radiodifusión / Componentes para tecnología de la información, difusión o telecomunicaciones / Módulos, interfaces, procesadores y placas de sistema</t>
        </is>
      </c>
      <c r="F180" s="0">
        <v>1.0</v>
      </c>
      <c r="G180" s="0" t="inlineStr">
        <is>
          <t xml:space="preserve">Global</t>
        </is>
      </c>
      <c r="H180" s="4" t="inlineStr">
        <is>
          <t xml:space="preserve">Línea 8 - Adaptador conversor M.2 sata NVME, según lo indicado en las Bases Técnicas.</t>
        </is>
      </c>
    </row>
    <row r="181">
      <c r="A181" s="0" t="inlineStr">
        <is>
          <t xml:space="preserve">2770-164-LE26</t>
        </is>
      </c>
      <c r="B181" s="4" t="inlineStr">
        <is>
          <t xml:space="preserve">ADQUISICIÓN DE ACCESORIOS Y REPUESTOS INFORMATICOS PARA LA REPARACIÓN DE COMPUTADORES E IMPRESORAS PARA EL DEPARTAMENTO DE INFORMÁTICA DE LA DIRECCIÓN DE SALUD MUNICIPAL</t>
        </is>
      </c>
      <c r="C181" s="0">
        <v>9</v>
      </c>
      <c r="D181" s="4" t="inlineStr">
        <is>
          <t xml:space="preserve">Placas o tapas de cerramientos</t>
        </is>
      </c>
      <c r="E181" s="4" t="inlineStr">
        <is>
          <t xml:space="preserve">Artículos eléctricos y de iluminación / Equipamiento y artículos eléctricos / Cajas y accesorios eléctricos</t>
        </is>
      </c>
      <c r="F181" s="0">
        <v>1.0</v>
      </c>
      <c r="G181" s="0" t="inlineStr">
        <is>
          <t xml:space="preserve">Global</t>
        </is>
      </c>
      <c r="H181" s="4" t="inlineStr">
        <is>
          <t xml:space="preserve">Línea 9 - Faceplate plano 1 puerto equivalente o superior a Keystone vertical blanco, según lo indicado en las Bases Técnicas.</t>
        </is>
      </c>
    </row>
    <row r="182">
      <c r="A182" s="0" t="inlineStr">
        <is>
          <t xml:space="preserve">2770-164-LE26</t>
        </is>
      </c>
      <c r="B182" s="4" t="inlineStr">
        <is>
          <t xml:space="preserve">ADQUISICIÓN DE ACCESORIOS Y REPUESTOS INFORMATICOS PARA LA REPARACIÓN DE COMPUTADORES E IMPRESORAS PARA EL DEPARTAMENTO DE INFORMÁTICA DE LA DIRECCIÓN DE SALUD MUNICIPAL</t>
        </is>
      </c>
      <c r="C182" s="0">
        <v>10</v>
      </c>
      <c r="D182" s="4" t="inlineStr">
        <is>
          <t xml:space="preserve">Cable de redes</t>
        </is>
      </c>
      <c r="E182" s="4" t="inlineStr">
        <is>
          <t xml:space="preserve">Maquinaria para generación y distribución de energía / Alambres y cables eléctricos y electrónicos / Cables eléctricos y accesorios</t>
        </is>
      </c>
      <c r="F182" s="0">
        <v>1.0</v>
      </c>
      <c r="G182" s="0" t="inlineStr">
        <is>
          <t xml:space="preserve">Global</t>
        </is>
      </c>
      <c r="H182" s="4" t="inlineStr">
        <is>
          <t xml:space="preserve">Línea 10 - Cable de red 4 pares Exterior 305 mts. AWG 23, según lo indicado en las Bases Técnicas.</t>
        </is>
      </c>
    </row>
    <row r="183">
      <c r="A183" s="0" t="inlineStr">
        <is>
          <t xml:space="preserve">2770-164-LE26</t>
        </is>
      </c>
      <c r="B183" s="4" t="inlineStr">
        <is>
          <t xml:space="preserve">ADQUISICIÓN DE ACCESORIOS Y REPUESTOS INFORMATICOS PARA LA REPARACIÓN DE COMPUTADORES E IMPRESORAS PARA EL DEPARTAMENTO DE INFORMÁTICA DE LA DIRECCIÓN DE SALUD MUNICIPAL</t>
        </is>
      </c>
      <c r="C183" s="0">
        <v>11</v>
      </c>
      <c r="D183" s="4" t="inlineStr">
        <is>
          <t xml:space="preserve">Placas o tapas de cerramientos</t>
        </is>
      </c>
      <c r="E183" s="4" t="inlineStr">
        <is>
          <t xml:space="preserve">Artículos eléctricos y de iluminación / Equipamiento y artículos eléctricos / Cajas y accesorios eléctricos</t>
        </is>
      </c>
      <c r="F183" s="0">
        <v>1.0</v>
      </c>
      <c r="G183" s="0" t="inlineStr">
        <is>
          <t xml:space="preserve">Global</t>
        </is>
      </c>
      <c r="H183" s="4" t="inlineStr">
        <is>
          <t xml:space="preserve">Línea 11 - Faceplate plano 2 puertos equivalente o superior a Keystone vertical blanco, según lo indicado en las Bases Técnicas.</t>
        </is>
      </c>
    </row>
    <row r="184">
      <c r="A184" s="0" t="inlineStr">
        <is>
          <t xml:space="preserve">2770-164-LE26</t>
        </is>
      </c>
      <c r="B184" s="4" t="inlineStr">
        <is>
          <t xml:space="preserve">ADQUISICIÓN DE ACCESORIOS Y REPUESTOS INFORMATICOS PARA LA REPARACIÓN DE COMPUTADORES E IMPRESORAS PARA EL DEPARTAMENTO DE INFORMÁTICA DE LA DIRECCIÓN DE SALUD MUNICIPAL</t>
        </is>
      </c>
      <c r="C184" s="0">
        <v>12</v>
      </c>
      <c r="D184" s="4" t="inlineStr">
        <is>
          <t xml:space="preserve">Accesorios de cable</t>
        </is>
      </c>
      <c r="E184" s="4" t="inlineStr">
        <is>
          <t xml:space="preserve">Maquinaria para generación y distribución de energía / Alambres y cables eléctricos y electrónicos / Cables eléctricos y accesorios</t>
        </is>
      </c>
      <c r="F184" s="0">
        <v>1.0</v>
      </c>
      <c r="G184" s="0" t="inlineStr">
        <is>
          <t xml:space="preserve">Global</t>
        </is>
      </c>
      <c r="H184" s="4" t="inlineStr">
        <is>
          <t xml:space="preserve">Línea 12 - Módulo RJ45 CAT 6 UTP equivalente o superior a Keystone Blanco, según lo indicado en las Bases Técnicas.</t>
        </is>
      </c>
    </row>
    <row r="185">
      <c r="A185" s="0" t="inlineStr">
        <is>
          <t xml:space="preserve">2770-164-LE26</t>
        </is>
      </c>
      <c r="B185" s="4" t="inlineStr">
        <is>
          <t xml:space="preserve">ADQUISICIÓN DE ACCESORIOS Y REPUESTOS INFORMATICOS PARA LA REPARACIÓN DE COMPUTADORES E IMPRESORAS PARA EL DEPARTAMENTO DE INFORMÁTICA DE LA DIRECCIÓN DE SALUD MUNICIPAL</t>
        </is>
      </c>
      <c r="C185" s="0">
        <v>13</v>
      </c>
      <c r="D185" s="4" t="inlineStr">
        <is>
          <t xml:space="preserve">Cable de redes</t>
        </is>
      </c>
      <c r="E185" s="4" t="inlineStr">
        <is>
          <t xml:space="preserve">Maquinaria para generación y distribución de energía / Alambres y cables eléctricos y electrónicos / Cables eléctricos y accesorios</t>
        </is>
      </c>
      <c r="F185" s="0">
        <v>1.0</v>
      </c>
      <c r="G185" s="0" t="inlineStr">
        <is>
          <t xml:space="preserve">Global</t>
        </is>
      </c>
      <c r="H185" s="4" t="inlineStr">
        <is>
          <t xml:space="preserve">Línea 13 - Patch cord cat. 6 rojo de 0,5 mts, según lo indicado en las Bases Técnicas.</t>
        </is>
      </c>
    </row>
    <row r="186">
      <c r="A186" s="0" t="inlineStr">
        <is>
          <t xml:space="preserve">2770-164-LE26</t>
        </is>
      </c>
      <c r="B186" s="4" t="inlineStr">
        <is>
          <t xml:space="preserve">ADQUISICIÓN DE ACCESORIOS Y REPUESTOS INFORMATICOS PARA LA REPARACIÓN DE COMPUTADORES E IMPRESORAS PARA EL DEPARTAMENTO DE INFORMÁTICA DE LA DIRECCIÓN DE SALUD MUNICIPAL</t>
        </is>
      </c>
      <c r="C186" s="0">
        <v>14</v>
      </c>
      <c r="D186" s="4" t="inlineStr">
        <is>
          <t xml:space="preserve">Entubación</t>
        </is>
      </c>
      <c r="E186" s="4" t="inlineStr">
        <is>
          <t xml:space="preserve">Artículos eléctricos y de iluminación / Equipamiento y artículos eléctricos / Suministros y accesorios eléctricos</t>
        </is>
      </c>
      <c r="F186" s="0">
        <v>1.0</v>
      </c>
      <c r="G186" s="0" t="inlineStr">
        <is>
          <t xml:space="preserve">Global</t>
        </is>
      </c>
      <c r="H186" s="4" t="inlineStr">
        <is>
          <t xml:space="preserve">Línea 14 - Marco Adaptador para Canaleta 100x50mm, según lo indicado en las Bases Técnicas.</t>
        </is>
      </c>
    </row>
    <row r="187">
      <c r="A187" s="0" t="inlineStr">
        <is>
          <t xml:space="preserve">2770-164-LE26</t>
        </is>
      </c>
      <c r="B187" s="4" t="inlineStr">
        <is>
          <t xml:space="preserve">ADQUISICIÓN DE ACCESORIOS Y REPUESTOS INFORMATICOS PARA LA REPARACIÓN DE COMPUTADORES E IMPRESORAS PARA EL DEPARTAMENTO DE INFORMÁTICA DE LA DIRECCIÓN DE SALUD MUNICIPAL</t>
        </is>
      </c>
      <c r="C187" s="0">
        <v>15</v>
      </c>
      <c r="D187" s="4" t="inlineStr">
        <is>
          <t xml:space="preserve">Guías de rodillo de fotocopiadora, fax o impresora</t>
        </is>
      </c>
      <c r="E187" s="4" t="inlineStr">
        <is>
          <t xml:space="preserve">Equipos, accesorios y suministros de oficina / Maquinarias, suministros y accesorios de oficina / Suministros para impresora, fax y fotocopiadora</t>
        </is>
      </c>
      <c r="F187" s="0">
        <v>1.0</v>
      </c>
      <c r="G187" s="0" t="inlineStr">
        <is>
          <t xml:space="preserve">Global</t>
        </is>
      </c>
      <c r="H187" s="4" t="inlineStr">
        <is>
          <t xml:space="preserve">Línea 15 - Pick-up roller para impresora HP modelos P1606/1536, según lo indicado en las Bases Técnicas.</t>
        </is>
      </c>
    </row>
    <row r="188">
      <c r="A188" s="0" t="inlineStr">
        <is>
          <t xml:space="preserve">5482-101-LR26</t>
        </is>
      </c>
      <c r="B188" s="4" t="inlineStr">
        <is>
          <t xml:space="preserve">Plataforma IA para video y seguridad urbana</t>
        </is>
      </c>
      <c r="C188" s="0">
        <v>1</v>
      </c>
      <c r="D188" s="4" t="inlineStr">
        <is>
          <t xml:space="preserve">Software de desarrollo de plataforma Web</t>
        </is>
      </c>
      <c r="E188" s="4" t="inlineStr">
        <is>
          <t xml:space="preserve">Tecnologías de la información, telecomunicaciones y radiodifusión / Software / Programas de desarrollo</t>
        </is>
      </c>
      <c r="F188" s="0">
        <v>1.0</v>
      </c>
      <c r="G188" s="0" t="inlineStr">
        <is>
          <t xml:space="preserve">Global</t>
        </is>
      </c>
      <c r="H188" s="4" t="inlineStr">
        <is>
          <t xml:space="preserve">Setup o configuración inicial del servicio e instalación</t>
        </is>
      </c>
    </row>
    <row r="189">
      <c r="A189" s="0" t="inlineStr">
        <is>
          <t xml:space="preserve">5482-101-LR26</t>
        </is>
      </c>
      <c r="B189" s="4" t="inlineStr">
        <is>
          <t xml:space="preserve">Plataforma IA para video y seguridad urbana</t>
        </is>
      </c>
      <c r="C189" s="0">
        <v>2</v>
      </c>
      <c r="D189" s="4" t="inlineStr">
        <is>
          <t xml:space="preserve">Software de desarrollo de plataforma Web</t>
        </is>
      </c>
      <c r="E189" s="4" t="inlineStr">
        <is>
          <t xml:space="preserve">Tecnologías de la información, telecomunicaciones y radiodifusión / Software / Programas de desarrollo</t>
        </is>
      </c>
      <c r="F189" s="0">
        <v>26.0</v>
      </c>
      <c r="G189" s="0" t="inlineStr">
        <is>
          <t xml:space="preserve">Mes</t>
        </is>
      </c>
      <c r="H189" s="4" t="inlineStr">
        <is>
          <t xml:space="preserve">Servicio mensual (Operación)</t>
        </is>
      </c>
    </row>
    <row r="190">
      <c r="A190" s="0" t="inlineStr">
        <is>
          <t xml:space="preserve">601-17-LE26</t>
        </is>
      </c>
      <c r="B190" s="4" t="inlineStr">
        <is>
          <t xml:space="preserve">Servicio mantención y otros del sitio web</t>
        </is>
      </c>
      <c r="C190" s="0">
        <v>1</v>
      </c>
      <c r="D190" s="4" t="inlineStr">
        <is>
          <t xml:space="preserve">Web Hosting</t>
        </is>
      </c>
      <c r="E190" s="4" t="inlineStr">
        <is>
          <t xml:space="preserve">Servicios basados en ingeniería, ciencias sociales y tecnología de la información / Servicios informáticos / Servicios para internet</t>
        </is>
      </c>
      <c r="F190" s="0">
        <v>1.0</v>
      </c>
      <c r="G190" s="0" t="inlineStr">
        <is>
          <t xml:space="preserve">Unidad</t>
        </is>
      </c>
      <c r="H190" s="4" t="inlineStr">
        <is>
          <t xml:space="preserve">SERVICIO DEHOSTING, INFRAESTRUCTURA, ALMACENAMIENTO, DISEÑO, DESARROLLO, MANTENCIÓN, SOPORTE Y MIGRACIÓN DEL CONTENIDO DEL ACTUAL SITIO WEB. 
VALOR TOTAL CON IMPUESTOS POR LOS 24 MESES</t>
        </is>
      </c>
    </row>
    <row r="191">
      <c r="A191" s="0" t="inlineStr">
        <is>
          <t xml:space="preserve">1057049-394-LP26</t>
        </is>
      </c>
      <c r="B191" s="4" t="inlineStr">
        <is>
          <t xml:space="preserve">JLL CONTRATACION DE SERVICIOS DE TURNOS DE PERSONAL TECNICO INFORMATICO DE APOYO PARA EL DEPARTAMENTO DE TECNOLOGIAS DE LA INFORMACION Y COMUNICACIONES</t>
        </is>
      </c>
      <c r="C191" s="0">
        <v>1</v>
      </c>
      <c r="D191" s="4" t="inlineStr">
        <is>
          <t xml:space="preserve">Personal técnico temporal</t>
        </is>
      </c>
      <c r="E191" s="4" t="inlineStr">
        <is>
          <t xml:space="preserve">Servicios profesionales, administrativos y consultorías de gestión empresarial / Servicios de recursos humanos / Servicios de personal temporal</t>
        </is>
      </c>
      <c r="F191" s="0">
        <v>1.0</v>
      </c>
      <c r="G191" s="0" t="inlineStr">
        <is>
          <t xml:space="preserve">Global</t>
        </is>
      </c>
      <c r="H191" s="4" t="inlineStr">
        <is>
          <t xml:space="preserve">COD: 704-0011 SERVICIO DE TURNOS PERSONAL TECNICO INFORMATICO PARA DEPARTAMENTO DE TECNOLOGIA DE LA INFORMACION Y COMUNICACION DEL HOSPITAL CLINICO SAN BORJA ARRIARAN</t>
        </is>
      </c>
    </row>
    <row r="192">
      <c r="A192" s="0" t="inlineStr">
        <is>
          <t xml:space="preserve">1607-21-LE26</t>
        </is>
      </c>
      <c r="B192" s="4" t="inlineStr">
        <is>
          <t xml:space="preserve">Servicio Soporte y Apoyo de la Plataforma Google</t>
        </is>
      </c>
      <c r="C192" s="0">
        <v>1</v>
      </c>
      <c r="D192" s="4" t="inlineStr">
        <is>
          <t xml:space="preserve">Soporte técnico y servicios de mesa de ayuda</t>
        </is>
      </c>
      <c r="E192" s="4" t="inlineStr">
        <is>
          <t xml:space="preserve">Servicios basados en ingeniería, ciencias sociales y tecnología de la información / Servicios informáticos / Administración de sistemas</t>
        </is>
      </c>
      <c r="F192" s="0">
        <v>1.0</v>
      </c>
      <c r="G192" s="0" t="inlineStr">
        <is>
          <t xml:space="preserve">Unidad</t>
        </is>
      </c>
      <c r="H192" s="4" t="inlineStr">
        <is>
          <t xml:space="preserve">Servicio de Soporte y Apoyo de la Plataforma Google Workspace</t>
        </is>
      </c>
    </row>
    <row r="193">
      <c r="A193" s="0" t="inlineStr">
        <is>
          <t xml:space="preserve">1057390-21-LR26</t>
        </is>
      </c>
      <c r="B193" s="4" t="inlineStr">
        <is>
          <t xml:space="preserve">PLATAFORMA CLOUD COMPUTING Y SERVICIOS ASOCIADOS ESISSAN</t>
        </is>
      </c>
      <c r="C193" s="0">
        <v>1</v>
      </c>
      <c r="D193" s="4" t="inlineStr">
        <is>
          <t xml:space="preserve">Software de interconectividad de plataformas</t>
        </is>
      </c>
      <c r="E193" s="4" t="inlineStr">
        <is>
          <t xml:space="preserve">Tecnologías de la información, telecomunicaciones y radiodifusión / Software / Software para trabajo en redes</t>
        </is>
      </c>
      <c r="F193" s="0">
        <v>1.0</v>
      </c>
      <c r="G193" s="0" t="inlineStr">
        <is>
          <t xml:space="preserve">Unidad</t>
        </is>
      </c>
      <c r="H193" s="4" t="inlineStr">
        <is>
          <t xml:space="preserve">PLATAFORMA CLOUD COMPUTING Y SERVICIOS ASOCIADOS ESISSAN  Total proyecto neto según Anexo 4 Oferta Económica.   (OC se emitiran de acuerdo a la programación)</t>
        </is>
      </c>
    </row>
    <row r="194">
      <c r="A194" s="0" t="inlineStr">
        <is>
          <t xml:space="preserve">948354-157-LP26</t>
        </is>
      </c>
      <c r="B194" s="4" t="inlineStr">
        <is>
          <t xml:space="preserve">CONTRATACIÓN DEL SERVICIO DE ARRIENDO DE UNA CABINA SANITARIA CON EQUIPO MAMÓGRAFO PARA USO DE MAMOGRAFÍA DIGITALIZADA PORTÁTIL PARA EL HOSPITAL DIPRECA</t>
        </is>
      </c>
      <c r="C194" s="0">
        <v>1</v>
      </c>
      <c r="D194" s="4" t="inlineStr">
        <is>
          <t xml:space="preserve">Equipo para radiografías mamográficas</t>
        </is>
      </c>
      <c r="E194" s="4" t="inlineStr">
        <is>
          <t xml:space="preserve">Equipamiento y suministros médicos / Productos para imágenes y de medicina nuclear / Artículos radiográficos de diagnóstico médico</t>
        </is>
      </c>
      <c r="F194" s="0">
        <v>12.0</v>
      </c>
      <c r="G194" s="0" t="inlineStr">
        <is>
          <t xml:space="preserve">Mes</t>
        </is>
      </c>
      <c r="H194" s="4" t="inlineStr">
        <is>
          <t xml:space="preserve">Servicio de Arriendo de una Cabina Sanitaria con Equipo Mamógrafo para Uso de Mamografía Digitalizada Portátil</t>
        </is>
      </c>
    </row>
    <row r="195">
      <c r="A195" s="0" t="inlineStr">
        <is>
          <t xml:space="preserve">621923-6-LP26</t>
        </is>
      </c>
      <c r="B195" s="4" t="inlineStr">
        <is>
          <t xml:space="preserve">Adquisición de licencias de software</t>
        </is>
      </c>
      <c r="C195" s="0">
        <v>1</v>
      </c>
      <c r="D195" s="4" t="inlineStr">
        <is>
          <t xml:space="preserve">Paquetes de software para oficinas</t>
        </is>
      </c>
      <c r="E195" s="4" t="inlineStr">
        <is>
          <t xml:space="preserve">Tecnologías de la información, telecomunicaciones y radiodifusión / Software / Software de gestión</t>
        </is>
      </c>
      <c r="F195" s="0">
        <v>6.0</v>
      </c>
      <c r="G195" s="0" t="inlineStr">
        <is>
          <t xml:space="preserve">Unidad</t>
        </is>
      </c>
      <c r="H195" s="4" t="inlineStr">
        <is>
          <t xml:space="preserve">Licencia Windows server 2025 Standard Edition perpetua.</t>
        </is>
      </c>
    </row>
    <row r="196">
      <c r="A196" s="0" t="inlineStr">
        <is>
          <t xml:space="preserve">621923-6-LP26</t>
        </is>
      </c>
      <c r="B196" s="4" t="inlineStr">
        <is>
          <t xml:space="preserve">Adquisición de licencias de software</t>
        </is>
      </c>
      <c r="C196" s="0">
        <v>2</v>
      </c>
      <c r="D196" s="4" t="inlineStr">
        <is>
          <t xml:space="preserve">Software de gestión de licencias</t>
        </is>
      </c>
      <c r="E196" s="4" t="inlineStr">
        <is>
          <t xml:space="preserve">Tecnologías de la información, telecomunicaciones y radiodifusión / Software / Software de gestión</t>
        </is>
      </c>
      <c r="F196" s="0">
        <v>1.0</v>
      </c>
      <c r="G196" s="0" t="inlineStr">
        <is>
          <t xml:space="preserve">Unidad</t>
        </is>
      </c>
      <c r="H196" s="4" t="inlineStr">
        <is>
          <t xml:space="preserve">Licencia OPEN TEXT EnCase® Forensic (última versión disponible) Physical License with Additional Processor License Electronic software delivery with physical key.</t>
        </is>
      </c>
    </row>
    <row r="197">
      <c r="A197" s="0" t="inlineStr">
        <is>
          <t xml:space="preserve">621923-6-LP26</t>
        </is>
      </c>
      <c r="B197" s="4" t="inlineStr">
        <is>
          <t xml:space="preserve">Adquisición de licencias de software</t>
        </is>
      </c>
      <c r="C197" s="0">
        <v>3</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Unidad</t>
        </is>
      </c>
      <c r="H197" s="4" t="inlineStr">
        <is>
          <t xml:space="preserve">Licencia Fortinet Enterprise Protection</t>
        </is>
      </c>
    </row>
    <row r="198">
      <c r="A198" s="0" t="inlineStr">
        <is>
          <t xml:space="preserve">621923-6-LP26</t>
        </is>
      </c>
      <c r="B198" s="4" t="inlineStr">
        <is>
          <t xml:space="preserve">Adquisición de licencias de software</t>
        </is>
      </c>
      <c r="C198" s="0">
        <v>4</v>
      </c>
      <c r="D198" s="4" t="inlineStr">
        <is>
          <t xml:space="preserve">Software de gestión de licencias</t>
        </is>
      </c>
      <c r="E198" s="4" t="inlineStr">
        <is>
          <t xml:space="preserve">Tecnologías de la información, telecomunicaciones y radiodifusión / Software / Software de gestión</t>
        </is>
      </c>
      <c r="F198" s="0">
        <v>1.0</v>
      </c>
      <c r="G198" s="0" t="inlineStr">
        <is>
          <t xml:space="preserve">Unidad</t>
        </is>
      </c>
      <c r="H198" s="4" t="inlineStr">
        <is>
          <t xml:space="preserve">Contratación de la suscripción de software FortiEDR Discover, Protect &amp; Respond (Part Number: FC2-10-FEDR1-348-01-12 o equivalente técnico) y el servicio especializado FortiCare Best Practice Service (BPS) for FortiEDR</t>
        </is>
      </c>
    </row>
    <row r="199">
      <c r="A199" s="0" t="inlineStr">
        <is>
          <t xml:space="preserve">621923-6-LP26</t>
        </is>
      </c>
      <c r="B199" s="4" t="inlineStr">
        <is>
          <t xml:space="preserve">Adquisición de licencias de software</t>
        </is>
      </c>
      <c r="C199" s="0">
        <v>5</v>
      </c>
      <c r="D199" s="4" t="inlineStr">
        <is>
          <t xml:space="preserve">Paquetes de software para oficinas</t>
        </is>
      </c>
      <c r="E199" s="4" t="inlineStr">
        <is>
          <t xml:space="preserve">Tecnologías de la información, telecomunicaciones y radiodifusión / Software / Software de gestión</t>
        </is>
      </c>
      <c r="F199" s="0">
        <v>100.0</v>
      </c>
      <c r="G199" s="0" t="inlineStr">
        <is>
          <t xml:space="preserve">Unidad</t>
        </is>
      </c>
      <c r="H199" s="4" t="inlineStr">
        <is>
          <t xml:space="preserve">Adobe Acrobat Pro-2020 o superior – Licencia para Windows.</t>
        </is>
      </c>
    </row>
    <row r="200">
      <c r="A200" s="0" t="inlineStr">
        <is>
          <t xml:space="preserve">621923-6-LP26</t>
        </is>
      </c>
      <c r="B200" s="4" t="inlineStr">
        <is>
          <t xml:space="preserve">Adquisición de licencias de software</t>
        </is>
      </c>
      <c r="C200" s="0">
        <v>6</v>
      </c>
      <c r="D200" s="4" t="inlineStr">
        <is>
          <t xml:space="preserve">Software de gestión de licencias</t>
        </is>
      </c>
      <c r="E200" s="4" t="inlineStr">
        <is>
          <t xml:space="preserve">Tecnologías de la información, telecomunicaciones y radiodifusión / Software / Software de gestión</t>
        </is>
      </c>
      <c r="F200" s="0">
        <v>1.0</v>
      </c>
      <c r="G200" s="0" t="inlineStr">
        <is>
          <t xml:space="preserve">Unidad</t>
        </is>
      </c>
      <c r="H200" s="4" t="inlineStr">
        <is>
          <t xml:space="preserve">Licencia SQL Server 2025 Standard Edition por Core (4 × SQL Server 2025 Standard Core 2-Core Pack Perpetual).</t>
        </is>
      </c>
    </row>
    <row r="201">
      <c r="A201" s="0" t="inlineStr">
        <is>
          <t xml:space="preserve">652-61-LP26</t>
        </is>
      </c>
      <c r="B201" s="4" t="inlineStr">
        <is>
          <t xml:space="preserve">ARRIENDO SERVIDOR INFORMATICO PARA PROGRAMA SISSA.</t>
        </is>
      </c>
      <c r="C201" s="0">
        <v>1</v>
      </c>
      <c r="D201" s="4" t="inlineStr">
        <is>
          <t xml:space="preserve">Servidores</t>
        </is>
      </c>
      <c r="E201" s="4" t="inlineStr">
        <is>
          <t xml:space="preserve">Tecnologías de la información, telecomunicaciones y radiodifusión / Equipos informáticos y accesorios / Computadores</t>
        </is>
      </c>
      <c r="F201" s="0">
        <v>1.0</v>
      </c>
      <c r="G201" s="0" t="inlineStr">
        <is>
          <t xml:space="preserve">Unidad</t>
        </is>
      </c>
      <c r="H201" s="4" t="inlineStr">
        <is>
          <t xml:space="preserve">Convenio Arriendo Servidor Informático para el Programa SISSA por un Periodo de 36 meses, Servicio de Salud Arauco para el Servicio de Salud Araucanía Sur, Según Requerimientos Técnicos Adjuntos.</t>
        </is>
      </c>
    </row>
    <row r="202">
      <c r="A202" s="0" t="inlineStr">
        <is>
          <t xml:space="preserve">885-98-LP26</t>
        </is>
      </c>
      <c r="B202" s="4" t="inlineStr">
        <is>
          <t xml:space="preserve">Adquisición de servidores destinados a la actualización de plataforma de búsqueda e indexación para la Contraloría General de la República</t>
        </is>
      </c>
      <c r="C202" s="0">
        <v>1</v>
      </c>
      <c r="D202" s="4" t="inlineStr">
        <is>
          <t xml:space="preserve">Servidores</t>
        </is>
      </c>
      <c r="E202" s="4" t="inlineStr">
        <is>
          <t xml:space="preserve">Tecnologías de la información, telecomunicaciones y radiodifusión / Equipos informáticos y accesorios / Computadores</t>
        </is>
      </c>
      <c r="F202" s="0">
        <v>1.0</v>
      </c>
      <c r="G202" s="0" t="inlineStr">
        <is>
          <t xml:space="preserve">Global</t>
        </is>
      </c>
      <c r="H202" s="4" t="inlineStr">
        <is>
          <t xml:space="preserve">Adquisición de cuatro (4) servidores para la renovación de la infraestructura física que soporta su plataforma de búsqueda e indexación.</t>
        </is>
      </c>
    </row>
    <row r="203">
      <c r="A203" s="0" t="inlineStr">
        <is>
          <t xml:space="preserve">1422051-31-LE26</t>
        </is>
      </c>
      <c r="B203" s="4" t="inlineStr">
        <is>
          <t xml:space="preserve">Contratación Servicio Plataforma de Gestión RRHH</t>
        </is>
      </c>
      <c r="C203" s="0">
        <v>1</v>
      </c>
      <c r="D203" s="4" t="inlineStr">
        <is>
          <t xml:space="preserve">Software de gestión de recursos humanos</t>
        </is>
      </c>
      <c r="E203" s="4" t="inlineStr">
        <is>
          <t xml:space="preserve">Tecnologías de la información, telecomunicaciones y radiodifusión / Software / Software de gestión</t>
        </is>
      </c>
      <c r="F203" s="0">
        <v>1.0</v>
      </c>
      <c r="G203" s="0" t="inlineStr">
        <is>
          <t xml:space="preserve">Unidad</t>
        </is>
      </c>
      <c r="H203" s="4" t="inlineStr">
        <is>
          <t xml:space="preserve">Software de Gestión para Recursos Humanos.</t>
        </is>
      </c>
    </row>
    <row r="204">
      <c r="A204" s="0" t="inlineStr">
        <is>
          <t xml:space="preserve">2770-166-LE26</t>
        </is>
      </c>
      <c r="B204" s="4" t="inlineStr">
        <is>
          <t xml:space="preserve">ADQUISICIÓN DE EQUIPOS DE RESPALDO ENERGÉTICO DIGITALIZACIÓN Y CONECTIVIDAD</t>
        </is>
      </c>
      <c r="C204" s="0">
        <v>1</v>
      </c>
      <c r="D204" s="4" t="inlineStr">
        <is>
          <t xml:space="preserve">Impresoras de cinta térmica</t>
        </is>
      </c>
      <c r="E204" s="4" t="inlineStr">
        <is>
          <t xml:space="preserve">Tecnologías de la información, telecomunicaciones y radiodifusión / Equipos informáticos y accesorios / Impresoras</t>
        </is>
      </c>
      <c r="F204" s="0">
        <v>1.0</v>
      </c>
      <c r="G204" s="0" t="inlineStr">
        <is>
          <t xml:space="preserve">Global</t>
        </is>
      </c>
      <c r="H204" s="4" t="inlineStr">
        <is>
          <t xml:space="preserve">LÍNEA N°1: IMPRESORA TÉRMICA, según bases de licitación</t>
        </is>
      </c>
    </row>
    <row r="205">
      <c r="A205" s="0" t="inlineStr">
        <is>
          <t xml:space="preserve">2770-166-LE26</t>
        </is>
      </c>
      <c r="B205" s="4" t="inlineStr">
        <is>
          <t xml:space="preserve">ADQUISICIÓN DE EQUIPOS DE RESPALDO ENERGÉTICO DIGITALIZACIÓN Y CONECTIVIDAD</t>
        </is>
      </c>
      <c r="C205" s="0">
        <v>2</v>
      </c>
      <c r="D205" s="4" t="inlineStr">
        <is>
          <t xml:space="preserve">Escáner</t>
        </is>
      </c>
      <c r="E205" s="4" t="inlineStr">
        <is>
          <t xml:space="preserve">Tecnologías de la información, telecomunicaciones y radiodifusión / Equipos informáticos y accesorios / Dispositivos informáticos de entrada de datos</t>
        </is>
      </c>
      <c r="F205" s="0">
        <v>1.0</v>
      </c>
      <c r="G205" s="0" t="inlineStr">
        <is>
          <t xml:space="preserve">Global</t>
        </is>
      </c>
      <c r="H205" s="4" t="inlineStr">
        <is>
          <t xml:space="preserve">LÍNEA N°2: ESCÁNER, según bases de licitación</t>
        </is>
      </c>
    </row>
    <row r="206">
      <c r="A206" s="0" t="inlineStr">
        <is>
          <t xml:space="preserve">2770-166-LE26</t>
        </is>
      </c>
      <c r="B206" s="4" t="inlineStr">
        <is>
          <t xml:space="preserve">ADQUISICIÓN DE EQUIPOS DE RESPALDO ENERGÉTICO DIGITALIZACIÓN Y CONECTIVIDAD</t>
        </is>
      </c>
      <c r="C206" s="0">
        <v>3</v>
      </c>
      <c r="D206" s="4" t="inlineStr">
        <is>
          <t xml:space="preserve">Fuentes de alimentación continua</t>
        </is>
      </c>
      <c r="E206" s="4" t="inlineStr">
        <is>
          <t xml:space="preserve">Artículos eléctricos y de iluminación / Equipamiento y artículos eléctricos / Equipamiento para distribución y transformación eléctrica</t>
        </is>
      </c>
      <c r="F206" s="0">
        <v>1.0</v>
      </c>
      <c r="G206" s="0" t="inlineStr">
        <is>
          <t xml:space="preserve">Global</t>
        </is>
      </c>
      <c r="H206" s="4" t="inlineStr">
        <is>
          <t xml:space="preserve">LÍNEA N°3: UPS, según bases de licitación</t>
        </is>
      </c>
    </row>
    <row r="207">
      <c r="A207" s="0" t="inlineStr">
        <is>
          <t xml:space="preserve">2770-166-LE26</t>
        </is>
      </c>
      <c r="B207" s="4" t="inlineStr">
        <is>
          <t xml:space="preserve">ADQUISICIÓN DE EQUIPOS DE RESPALDO ENERGÉTICO DIGITALIZACIÓN Y CONECTIVIDAD</t>
        </is>
      </c>
      <c r="C207" s="0">
        <v>4</v>
      </c>
      <c r="D207" s="4" t="inlineStr">
        <is>
          <t xml:space="preserve">Juegos de cerraduras</t>
        </is>
      </c>
      <c r="E207" s="4" t="inlineStr">
        <is>
          <t xml:space="preserve">Equipos y suministros de defensa, orden público, protección y seguridad / Seguridad, vigilancia y detección / Cerraduras, elementos de seguridad y accesorios</t>
        </is>
      </c>
      <c r="F207" s="0">
        <v>1.0</v>
      </c>
      <c r="G207" s="0" t="inlineStr">
        <is>
          <t xml:space="preserve">Global</t>
        </is>
      </c>
      <c r="H207" s="4" t="inlineStr">
        <is>
          <t xml:space="preserve">LÍNEA N°4: CERRADURA DIGITAL PARA PUERTA ABATIBLE ESTANDAR O CONVENCIONAL, según bases de licitación</t>
        </is>
      </c>
    </row>
    <row r="208">
      <c r="A208" s="0" t="inlineStr">
        <is>
          <t xml:space="preserve">2770-166-LE26</t>
        </is>
      </c>
      <c r="B208" s="4" t="inlineStr">
        <is>
          <t xml:space="preserve">ADQUISICIÓN DE EQUIPOS DE RESPALDO ENERGÉTICO DIGITALIZACIÓN Y CONECTIVIDAD</t>
        </is>
      </c>
      <c r="C208" s="0">
        <v>5</v>
      </c>
      <c r="D208" s="4" t="inlineStr">
        <is>
          <t xml:space="preserve">Juegos de cerraduras</t>
        </is>
      </c>
      <c r="E208" s="4" t="inlineStr">
        <is>
          <t xml:space="preserve">Equipos y suministros de defensa, orden público, protección y seguridad / Seguridad, vigilancia y detección / Cerraduras, elementos de seguridad y accesorios</t>
        </is>
      </c>
      <c r="F208" s="0">
        <v>1.0</v>
      </c>
      <c r="G208" s="0" t="inlineStr">
        <is>
          <t xml:space="preserve">Global</t>
        </is>
      </c>
      <c r="H208" s="4" t="inlineStr">
        <is>
          <t xml:space="preserve">LÍNEA N°5: CERRADURA DIGITAL PARA PUERTA CORREDERA DE VIDRIO CON MARCO DE PVC, según bases de licitación</t>
        </is>
      </c>
    </row>
    <row r="209">
      <c r="A209" s="0" t="inlineStr">
        <is>
          <t xml:space="preserve">2770-166-LE26</t>
        </is>
      </c>
      <c r="B209" s="4" t="inlineStr">
        <is>
          <t xml:space="preserve">ADQUISICIÓN DE EQUIPOS DE RESPALDO ENERGÉTICO DIGITALIZACIÓN Y CONECTIVIDAD</t>
        </is>
      </c>
      <c r="C209" s="0">
        <v>6</v>
      </c>
      <c r="D209" s="4" t="inlineStr">
        <is>
          <t xml:space="preserve">Componentes y equipo de red de acceso inalámbrico WLAN</t>
        </is>
      </c>
      <c r="E209" s="4" t="inlineStr">
        <is>
          <t xml:space="preserve">Tecnologías de la información, telecomunicaciones y radiodifusión / Equipos, plataformas y accesorios de redes multimedia, voz y datos / Componentes y equipos de infraestructura de redes móviles y digitales</t>
        </is>
      </c>
      <c r="F209" s="0">
        <v>1.0</v>
      </c>
      <c r="G209" s="0" t="inlineStr">
        <is>
          <t xml:space="preserve">Global</t>
        </is>
      </c>
      <c r="H209" s="4" t="inlineStr">
        <is>
          <t xml:space="preserve">LÍNEA N°6: ACCESS POINT con RMA ONLY 8X5XNBD POR 36 MESES, según bases de licitación</t>
        </is>
      </c>
    </row>
    <row r="210">
      <c r="A210" s="0" t="inlineStr">
        <is>
          <t xml:space="preserve">1867-54-LE26</t>
        </is>
      </c>
      <c r="B210" s="4" t="inlineStr">
        <is>
          <t xml:space="preserve">Servicio de Administración y Soporte Base de Datos</t>
        </is>
      </c>
      <c r="C210" s="0">
        <v>1</v>
      </c>
      <c r="D210" s="4" t="inlineStr">
        <is>
          <t xml:space="preserve">Mantenimiento y soporte de hardware</t>
        </is>
      </c>
      <c r="E210" s="4" t="inlineStr">
        <is>
          <t xml:space="preserve">Servicios basados en ingeniería, ciencias sociales y tecnología de la información / Servicios informáticos / Administración de sistemas</t>
        </is>
      </c>
      <c r="F210" s="0">
        <v>1.0</v>
      </c>
      <c r="G210" s="0" t="inlineStr">
        <is>
          <t xml:space="preserve">Unidad</t>
        </is>
      </c>
      <c r="H210" s="4" t="inlineStr">
        <is>
          <t xml:space="preserve">Servicio de Administración y Soporte Base de Datos Informix</t>
        </is>
      </c>
    </row>
    <row r="211">
      <c r="A211" s="0" t="inlineStr">
        <is>
          <t xml:space="preserve">976-18-O126</t>
        </is>
      </c>
      <c r="B211" s="4" t="inlineStr">
        <is>
          <t xml:space="preserve">ATIF Ampliación Plataformas Comercial y General Ad. El Loa</t>
        </is>
      </c>
      <c r="C211" s="0">
        <v>1</v>
      </c>
      <c r="D211" s="4" t="inlineStr">
        <is>
          <t xml:space="preserve">Licitación Pública de Consultoria</t>
        </is>
      </c>
      <c r="E211" s="4" t="inlineStr">
        <is>
          <t xml:space="preserve">Consultoria / Consultoria / Planificación y Factibilidad</t>
        </is>
      </c>
      <c r="F211" s="0">
        <v>1.0</v>
      </c>
      <c r="G211" s="0" t="inlineStr">
        <is>
          <t xml:space="preserve">Unidad</t>
        </is>
      </c>
      <c r="H211" s="4" t="inlineStr">
        <is>
          <t xml:space="preserve">Licitación Pública de Consultoria</t>
        </is>
      </c>
    </row>
    <row r="212">
      <c r="A212" s="0" t="inlineStr">
        <is>
          <t xml:space="preserve">5240-109-LR26</t>
        </is>
      </c>
      <c r="B212" s="4" t="inlineStr">
        <is>
          <t xml:space="preserve">SOFTWARE USO FORENSE DE EXTRACC. Y ANALIS DE DATOS</t>
        </is>
      </c>
      <c r="C212" s="0">
        <v>1</v>
      </c>
      <c r="D212" s="4" t="inlineStr">
        <is>
          <t xml:space="preserve">Software de extracción de datos</t>
        </is>
      </c>
      <c r="E212" s="4" t="inlineStr">
        <is>
          <t xml:space="preserve">Tecnologías de la información, telecomunicaciones y radiodifusión / Software / Software de consultas y gestión de datos</t>
        </is>
      </c>
      <c r="F212" s="0">
        <v>2.0</v>
      </c>
      <c r="G212" s="0" t="inlineStr">
        <is>
          <t xml:space="preserve">Unidad</t>
        </is>
      </c>
      <c r="H212" s="4" t="inlineStr">
        <is>
          <t xml:space="preserve">LINEA 1: SOFTWARE FORENSE DE EXTRACCIÓN AVANZADO Y ANALISIS DE INFORMACIÓN DIGITAL</t>
        </is>
      </c>
    </row>
    <row r="213">
      <c r="A213" s="0" t="inlineStr">
        <is>
          <t xml:space="preserve">5240-109-LR26</t>
        </is>
      </c>
      <c r="B213" s="4" t="inlineStr">
        <is>
          <t xml:space="preserve">SOFTWARE USO FORENSE DE EXTRACC. Y ANALIS DE DATOS</t>
        </is>
      </c>
      <c r="C213" s="0">
        <v>2</v>
      </c>
      <c r="D213" s="4" t="inlineStr">
        <is>
          <t xml:space="preserve">Software de extracción de datos</t>
        </is>
      </c>
      <c r="E213" s="4" t="inlineStr">
        <is>
          <t xml:space="preserve">Tecnologías de la información, telecomunicaciones y radiodifusión / Software / Software de consultas y gestión de datos</t>
        </is>
      </c>
      <c r="F213" s="0">
        <v>1.0</v>
      </c>
      <c r="G213" s="0" t="inlineStr">
        <is>
          <t xml:space="preserve">Unidad</t>
        </is>
      </c>
      <c r="H213" s="4" t="inlineStr">
        <is>
          <t xml:space="preserve">LINEA 2: SOFTWARE FORENSE PARA RECUPERAR Y REPRODUCIR DISTINTOS FORMATOS DE VIDEO CAPTADOS POR DVR</t>
        </is>
      </c>
    </row>
    <row r="214">
      <c r="A214" s="0" t="inlineStr">
        <is>
          <t xml:space="preserve">5240-109-LR26</t>
        </is>
      </c>
      <c r="B214" s="4" t="inlineStr">
        <is>
          <t xml:space="preserve">SOFTWARE USO FORENSE DE EXTRACC. Y ANALIS DE DATOS</t>
        </is>
      </c>
      <c r="C214" s="0">
        <v>3</v>
      </c>
      <c r="D214" s="4" t="inlineStr">
        <is>
          <t xml:space="preserve">Software de extracción de datos</t>
        </is>
      </c>
      <c r="E214" s="4" t="inlineStr">
        <is>
          <t xml:space="preserve">Tecnologías de la información, telecomunicaciones y radiodifusión / Software / Software de consultas y gestión de datos</t>
        </is>
      </c>
      <c r="F214" s="0">
        <v>3.0</v>
      </c>
      <c r="G214" s="0" t="inlineStr">
        <is>
          <t xml:space="preserve">Unidad</t>
        </is>
      </c>
      <c r="H214" s="4" t="inlineStr">
        <is>
          <t xml:space="preserve">LINEA 3: LICENCIAS FORENSIC TOOL KIT SMS</t>
        </is>
      </c>
    </row>
    <row r="215">
      <c r="A215" s="0" t="inlineStr">
        <is>
          <t xml:space="preserve">5240-109-LR26</t>
        </is>
      </c>
      <c r="B215" s="4" t="inlineStr">
        <is>
          <t xml:space="preserve">SOFTWARE USO FORENSE DE EXTRACC. Y ANALIS DE DATOS</t>
        </is>
      </c>
      <c r="C215" s="0">
        <v>4</v>
      </c>
      <c r="D215" s="4" t="inlineStr">
        <is>
          <t xml:space="preserve">Software de extracción de datos</t>
        </is>
      </c>
      <c r="E215" s="4" t="inlineStr">
        <is>
          <t xml:space="preserve">Tecnologías de la información, telecomunicaciones y radiodifusión / Software / Software de consultas y gestión de datos</t>
        </is>
      </c>
      <c r="F215" s="0">
        <v>1.0</v>
      </c>
      <c r="G215" s="0" t="inlineStr">
        <is>
          <t xml:space="preserve">Unidad</t>
        </is>
      </c>
      <c r="H215" s="4" t="inlineStr">
        <is>
          <t xml:space="preserve">LINEA 4: LICENCIA ENCASE FORENSIC MAINTENANCE</t>
        </is>
      </c>
    </row>
    <row r="216">
      <c r="A216" s="0" t="inlineStr">
        <is>
          <t xml:space="preserve">5240-109-LR26</t>
        </is>
      </c>
      <c r="B216" s="4" t="inlineStr">
        <is>
          <t xml:space="preserve">SOFTWARE USO FORENSE DE EXTRACC. Y ANALIS DE DATOS</t>
        </is>
      </c>
      <c r="C216" s="0">
        <v>5</v>
      </c>
      <c r="D216" s="4" t="inlineStr">
        <is>
          <t xml:space="preserve">Software de extracción de datos</t>
        </is>
      </c>
      <c r="E216" s="4" t="inlineStr">
        <is>
          <t xml:space="preserve">Tecnologías de la información, telecomunicaciones y radiodifusión / Software / Software de consultas y gestión de datos</t>
        </is>
      </c>
      <c r="F216" s="0">
        <v>1.0</v>
      </c>
      <c r="G216" s="0" t="inlineStr">
        <is>
          <t xml:space="preserve">Unidad</t>
        </is>
      </c>
      <c r="H216" s="4" t="inlineStr">
        <is>
          <t xml:space="preserve">LINEA 5: LICENCIAS FORENSIC TOOL KIT SMS (RANCAGUA)</t>
        </is>
      </c>
    </row>
    <row r="217">
      <c r="A217" s="0" t="inlineStr">
        <is>
          <t xml:space="preserve">5240-109-LR26</t>
        </is>
      </c>
      <c r="B217" s="4" t="inlineStr">
        <is>
          <t xml:space="preserve">SOFTWARE USO FORENSE DE EXTRACC. Y ANALIS DE DATOS</t>
        </is>
      </c>
      <c r="C217" s="0">
        <v>6</v>
      </c>
      <c r="D217" s="4" t="inlineStr">
        <is>
          <t xml:space="preserve">Software de extracción de datos</t>
        </is>
      </c>
      <c r="E217" s="4" t="inlineStr">
        <is>
          <t xml:space="preserve">Tecnologías de la información, telecomunicaciones y radiodifusión / Software / Software de consultas y gestión de datos</t>
        </is>
      </c>
      <c r="F217" s="0">
        <v>1.0</v>
      </c>
      <c r="G217" s="0" t="inlineStr">
        <is>
          <t xml:space="preserve">Unidad</t>
        </is>
      </c>
      <c r="H217" s="4" t="inlineStr">
        <is>
          <t xml:space="preserve">LINEA 6: SOFTWARE FORENSE DE EXTRACCIÓN AVANZADO Y ANALISIS DE INFORMACIÓN DIGITAL (RANCAGUA)</t>
        </is>
      </c>
    </row>
    <row r="218">
      <c r="A218" s="0" t="inlineStr">
        <is>
          <t xml:space="preserve">5240-109-LR26</t>
        </is>
      </c>
      <c r="B218" s="4" t="inlineStr">
        <is>
          <t xml:space="preserve">SOFTWARE USO FORENSE DE EXTRACC. Y ANALIS DE DATOS</t>
        </is>
      </c>
      <c r="C218" s="0">
        <v>7</v>
      </c>
      <c r="D218" s="4" t="inlineStr">
        <is>
          <t xml:space="preserve">Software de extracción de datos</t>
        </is>
      </c>
      <c r="E218" s="4" t="inlineStr">
        <is>
          <t xml:space="preserve">Tecnologías de la información, telecomunicaciones y radiodifusión / Software / Software de consultas y gestión de datos</t>
        </is>
      </c>
      <c r="F218" s="0">
        <v>1.0</v>
      </c>
      <c r="G218" s="0" t="inlineStr">
        <is>
          <t xml:space="preserve">Unidad</t>
        </is>
      </c>
      <c r="H218" s="4" t="inlineStr">
        <is>
          <t xml:space="preserve">LINEA 7: SOFTWARE FORENSE DE EXTRACCIÓN AVANZADO Y ANALISIS DE INFORMACIÓN DIGITAL (TALCA)</t>
        </is>
      </c>
    </row>
    <row r="219">
      <c r="A219" s="0" t="inlineStr">
        <is>
          <t xml:space="preserve">5240-109-LR26</t>
        </is>
      </c>
      <c r="B219" s="4" t="inlineStr">
        <is>
          <t xml:space="preserve">SOFTWARE USO FORENSE DE EXTRACC. Y ANALIS DE DATOS</t>
        </is>
      </c>
      <c r="C219" s="0">
        <v>8</v>
      </c>
      <c r="D219" s="4" t="inlineStr">
        <is>
          <t xml:space="preserve">Software de extracción de datos</t>
        </is>
      </c>
      <c r="E219" s="4" t="inlineStr">
        <is>
          <t xml:space="preserve">Tecnologías de la información, telecomunicaciones y radiodifusión / Software / Software de consultas y gestión de datos</t>
        </is>
      </c>
      <c r="F219" s="0">
        <v>1.0</v>
      </c>
      <c r="G219" s="0" t="inlineStr">
        <is>
          <t xml:space="preserve">Unidad</t>
        </is>
      </c>
      <c r="H219" s="4" t="inlineStr">
        <is>
          <t xml:space="preserve">LINEA 8: SOFTWARE FORENSE DE EXTRACCIÓN AVANZADO Y ANALISIS DE INFORMACIÓN DIGITAL (VALDIVIA)</t>
        </is>
      </c>
    </row>
    <row r="220">
      <c r="A220" s="0" t="inlineStr">
        <is>
          <t xml:space="preserve">5240-109-LR26</t>
        </is>
      </c>
      <c r="B220" s="4" t="inlineStr">
        <is>
          <t xml:space="preserve">SOFTWARE USO FORENSE DE EXTRACC. Y ANALIS DE DATOS</t>
        </is>
      </c>
      <c r="C220" s="0">
        <v>9</v>
      </c>
      <c r="D220" s="4" t="inlineStr">
        <is>
          <t xml:space="preserve">Software de extracción de datos</t>
        </is>
      </c>
      <c r="E220" s="4" t="inlineStr">
        <is>
          <t xml:space="preserve">Tecnologías de la información, telecomunicaciones y radiodifusión / Software / Software de consultas y gestión de datos</t>
        </is>
      </c>
      <c r="F220" s="0">
        <v>1.0</v>
      </c>
      <c r="G220" s="0" t="inlineStr">
        <is>
          <t xml:space="preserve">Unidad</t>
        </is>
      </c>
      <c r="H220" s="4" t="inlineStr">
        <is>
          <t xml:space="preserve">LINEA 9: SOFTWARE FORENSE DE EXTRACCIÓN AVANZADO Y ANALISIS DE INFORMACIÓN DIGITAL (PUERTO MONTT)</t>
        </is>
      </c>
    </row>
    <row r="221">
      <c r="A221" s="0" t="inlineStr">
        <is>
          <t xml:space="preserve">2048-86-LP26</t>
        </is>
      </c>
      <c r="B221" s="4" t="inlineStr">
        <is>
          <t xml:space="preserve">Software de Gestión de Mantenimiento</t>
        </is>
      </c>
      <c r="C221" s="0">
        <v>1</v>
      </c>
      <c r="D221" s="4" t="inlineStr">
        <is>
          <t xml:space="preserve">Software de administración</t>
        </is>
      </c>
      <c r="E221" s="4" t="inlineStr">
        <is>
          <t xml:space="preserve">Tecnologías de la información, telecomunicaciones y radiodifusión / Software / Software de administración de redes</t>
        </is>
      </c>
      <c r="F221" s="0">
        <v>1.0</v>
      </c>
      <c r="G221" s="0" t="inlineStr">
        <is>
          <t xml:space="preserve">Unidad no definida</t>
        </is>
      </c>
      <c r="H221" s="4" t="inlineStr">
        <is>
          <t xml:space="preserve">SOFTWARE DE GESTION DE MANTENIMIENTO (INGRESAR PRECIO TOTAL DEL CONVENIO, SEGUN ANEXO ECONOMICO N°1)</t>
        </is>
      </c>
    </row>
    <row r="222">
      <c r="A222" s="0" t="inlineStr">
        <is>
          <t xml:space="preserve">2342-36-LR26</t>
        </is>
      </c>
      <c r="B222" s="4" t="inlineStr">
        <is>
          <t xml:space="preserve">CONCESIÓN DE ESTACIONAMIENTOS EN CALLES DE LA ZONA CENTRO DE LA COMUNA DE SAN BERNARDO APLICANDO SISTEMA DE CONTROL DE TIEMPO DE USO CAPTADORES DE DATOS</t>
        </is>
      </c>
      <c r="C222" s="0">
        <v>1</v>
      </c>
      <c r="D222" s="4" t="inlineStr">
        <is>
          <t xml:space="preserve">Estacionamientos</t>
        </is>
      </c>
      <c r="E222" s="4" t="inlineStr">
        <is>
          <t xml:space="preserve">Servicios de transporte, almacenaje y correo / Servicios de mantención o reparaciones de transportes / Combustible para vehículos de transporte, estacionamiento y otros servicios de apoyo</t>
        </is>
      </c>
      <c r="F222" s="0">
        <v>1.0</v>
      </c>
      <c r="G222" s="0" t="inlineStr">
        <is>
          <t xml:space="preserve">Unidad</t>
        </is>
      </c>
      <c r="H222" s="4" t="inlineStr">
        <is>
          <t xml:space="preserve">De acuerdo a lo indicado en Especificaciones Técnicas</t>
        </is>
      </c>
    </row>
    <row r="223">
      <c r="A223" s="0" t="inlineStr">
        <is>
          <t xml:space="preserve">2345-137-LR26</t>
        </is>
      </c>
      <c r="B223" s="4" t="inlineStr">
        <is>
          <t xml:space="preserve">SERVICIO DE APLICACIÓN MÓVIL DE SEGURIDAD 1402 PARA LA COMUNA DE LAS CONDES</t>
        </is>
      </c>
      <c r="C223" s="0">
        <v>1</v>
      </c>
      <c r="D223" s="4" t="inlineStr">
        <is>
          <t xml:space="preserve">Web Hosting</t>
        </is>
      </c>
      <c r="E223" s="4" t="inlineStr">
        <is>
          <t xml:space="preserve">Servicios basados en ingeniería, ciencias sociales y tecnología de la información / Servicios informáticos / Servicios para internet</t>
        </is>
      </c>
      <c r="F223" s="0">
        <v>1.0</v>
      </c>
      <c r="G223" s="0" t="inlineStr">
        <is>
          <t xml:space="preserve">Global</t>
        </is>
      </c>
      <c r="H223" s="4" t="inlineStr">
        <is>
          <t xml:space="preserve">De acuerdo a lo indicado en las Bases Técnicas y Anexo N° 3-A y N°3-B</t>
        </is>
      </c>
    </row>
    <row r="224">
      <c r="A224" s="0" t="inlineStr">
        <is>
          <t xml:space="preserve">869591-15-LP26</t>
        </is>
      </c>
      <c r="B224" s="4" t="inlineStr">
        <is>
          <t xml:space="preserve">CONTRATACIÓN DEL SERVICIO DE CIBERSEGURIDAD</t>
        </is>
      </c>
      <c r="C224" s="0">
        <v>1</v>
      </c>
      <c r="D224" s="4" t="inlineStr">
        <is>
          <t xml:space="preserve">Seguridad para computadores, redes e Internet</t>
        </is>
      </c>
      <c r="E224" s="4" t="inlineStr">
        <is>
          <t xml:space="preserve">Servicios basados en ingeniería, ciencias sociales y tecnología de la información / Servicios informáticos / Administración de sistemas</t>
        </is>
      </c>
      <c r="F224" s="0">
        <v>1.0</v>
      </c>
      <c r="G224" s="0" t="inlineStr">
        <is>
          <t xml:space="preserve">Unidad</t>
        </is>
      </c>
      <c r="H224" s="4" t="inlineStr">
        <is>
          <t xml:space="preserve">CONTRATACIÓN DEL SERVICIO DE CIBERSEGURIDAD AVANZADA Y RESPUESTA A INCIDENTES PARA MERCADO PÚBLICO</t>
        </is>
      </c>
    </row>
    <row r="225">
      <c r="A225" s="0" t="inlineStr">
        <is>
          <t xml:space="preserve">598-31-LE26</t>
        </is>
      </c>
      <c r="B225" s="4" t="inlineStr">
        <is>
          <t xml:space="preserve">Licencias Respaldo y Protección de Datos</t>
        </is>
      </c>
      <c r="C225" s="0">
        <v>1</v>
      </c>
      <c r="D225" s="4" t="inlineStr">
        <is>
          <t xml:space="preserve">Software de gestión de licencias</t>
        </is>
      </c>
      <c r="E225" s="4" t="inlineStr">
        <is>
          <t xml:space="preserve">Tecnologías de la información, telecomunicaciones y radiodifusión / Software / Software de gestión</t>
        </is>
      </c>
      <c r="F225" s="0">
        <v>1.0</v>
      </c>
      <c r="G225" s="0" t="inlineStr">
        <is>
          <t xml:space="preserve">Unidad</t>
        </is>
      </c>
      <c r="H225" s="4" t="inlineStr">
        <is>
          <t xml:space="preserve">Contratación de licencias para la gestión de respaldo, recuperación y protección de datos de 100 estaciones End-Point de DIPRECA por 36 meses. La solución asegurará la continuidad operativa y protegerá la información ante incidentes como ransomware, opera</t>
        </is>
      </c>
    </row>
    <row r="226">
      <c r="A226" s="0" t="inlineStr">
        <is>
          <t xml:space="preserve">1882-3-LP26</t>
        </is>
      </c>
      <c r="B226" s="4" t="inlineStr">
        <is>
          <t xml:space="preserve">DPP LA ARAUCANIA SERVICIO DEFENSA RPA LLAMADO 2026</t>
        </is>
      </c>
      <c r="C226" s="0">
        <v>1</v>
      </c>
      <c r="D226" s="4" t="inlineStr">
        <is>
          <t xml:space="preserve">Servicio de defensa penal pública</t>
        </is>
      </c>
      <c r="E226" s="4" t="inlineStr">
        <is>
          <t xml:space="preserve">Servicios profesionales, administrativos y consultorías de gestión empresarial / Servicios legales / Derecho penal</t>
        </is>
      </c>
      <c r="F226" s="0">
        <v>1.0</v>
      </c>
      <c r="G226" s="0" t="inlineStr">
        <is>
          <t xml:space="preserve">Unidad</t>
        </is>
      </c>
      <c r="H226" s="4" t="inlineStr">
        <is>
          <t xml:space="preserve">Contratación con abogad@s, personas jurídicas o abogad@s particulares para la prestación de todo o parte del servicio de Defensa Penal EN LA ZONA 1 RPA ANGOL, SEGUN ANEXO N°1 ADJUNTO.</t>
        </is>
      </c>
    </row>
    <row r="227">
      <c r="A227" s="0" t="inlineStr">
        <is>
          <t xml:space="preserve">1887-4-LP26</t>
        </is>
      </c>
      <c r="B227" s="4" t="inlineStr">
        <is>
          <t xml:space="preserve">SERVICIO DE DEFENSA PENAL EN ZONA 1 RPA</t>
        </is>
      </c>
      <c r="C227" s="0">
        <v>1</v>
      </c>
      <c r="D227" s="4" t="inlineStr">
        <is>
          <t xml:space="preserve">Servicio de defensa penal pública</t>
        </is>
      </c>
      <c r="E227" s="4" t="inlineStr">
        <is>
          <t xml:space="preserve">Servicios profesionales, administrativos y consultorías de gestión empresarial / Servicios legales / Derecho penal</t>
        </is>
      </c>
      <c r="F227" s="0">
        <v>36.0</v>
      </c>
      <c r="G227" s="0" t="inlineStr">
        <is>
          <t xml:space="preserve">Mes</t>
        </is>
      </c>
      <c r="H227" s="4" t="inlineStr">
        <is>
          <t xml:space="preserve">SERVICIO DEFENSA PENAL ZONA 1 RPA(PREFERENTE)</t>
        </is>
      </c>
    </row>
    <row r="228">
      <c r="A228" s="0" t="inlineStr">
        <is>
          <t xml:space="preserve">1171317-96-LP26</t>
        </is>
      </c>
      <c r="B228" s="4" t="inlineStr">
        <is>
          <t xml:space="preserve">Adquisición de Licencias de Software Municipalida</t>
        </is>
      </c>
      <c r="C228" s="0">
        <v>1</v>
      </c>
      <c r="D228" s="4" t="inlineStr">
        <is>
          <t xml:space="preserve">Software de gestión de licencias</t>
        </is>
      </c>
      <c r="E228" s="4" t="inlineStr">
        <is>
          <t xml:space="preserve">Tecnologías de la información, telecomunicaciones y radiodifusión / Software / Software de gestión</t>
        </is>
      </c>
      <c r="F228" s="0">
        <v>1.0</v>
      </c>
      <c r="G228" s="0" t="inlineStr">
        <is>
          <t xml:space="preserve">Unidad</t>
        </is>
      </c>
      <c r="H228" s="4" t="inlineStr">
        <is>
          <t xml:space="preserve">Renovación y adquisición autocad, línea N°1</t>
        </is>
      </c>
    </row>
    <row r="229">
      <c r="A229" s="0" t="inlineStr">
        <is>
          <t xml:space="preserve">1171317-96-LP26</t>
        </is>
      </c>
      <c r="B229" s="4" t="inlineStr">
        <is>
          <t xml:space="preserve">Adquisición de Licencias de Software Municipalida</t>
        </is>
      </c>
      <c r="C229" s="0">
        <v>2</v>
      </c>
      <c r="D229" s="4" t="inlineStr">
        <is>
          <t xml:space="preserve">Software de gestión de licencias</t>
        </is>
      </c>
      <c r="E229" s="4" t="inlineStr">
        <is>
          <t xml:space="preserve">Tecnologías de la información, telecomunicaciones y radiodifusión / Software / Software de gestión</t>
        </is>
      </c>
      <c r="F229" s="0">
        <v>1.0</v>
      </c>
      <c r="G229" s="0" t="inlineStr">
        <is>
          <t xml:space="preserve">Unidad</t>
        </is>
      </c>
      <c r="H229" s="4" t="inlineStr">
        <is>
          <t xml:space="preserve">Renovación civil 3D, Línea N°2</t>
        </is>
      </c>
    </row>
    <row r="230">
      <c r="A230" s="0" t="inlineStr">
        <is>
          <t xml:space="preserve">1171317-96-LP26</t>
        </is>
      </c>
      <c r="B230" s="4" t="inlineStr">
        <is>
          <t xml:space="preserve">Adquisición de Licencias de Software Municipalida</t>
        </is>
      </c>
      <c r="C230" s="0">
        <v>3</v>
      </c>
      <c r="D230" s="4" t="inlineStr">
        <is>
          <t xml:space="preserve">Software de gestión de licencias</t>
        </is>
      </c>
      <c r="E230" s="4" t="inlineStr">
        <is>
          <t xml:space="preserve">Tecnologías de la información, telecomunicaciones y radiodifusión / Software / Software de gestión</t>
        </is>
      </c>
      <c r="F230" s="0">
        <v>1.0</v>
      </c>
      <c r="G230" s="0" t="inlineStr">
        <is>
          <t xml:space="preserve">Unidad</t>
        </is>
      </c>
      <c r="H230" s="4" t="inlineStr">
        <is>
          <t xml:space="preserve">Adquisición de sketchup pro 2026, Línea N°3</t>
        </is>
      </c>
    </row>
    <row r="231">
      <c r="A231" s="0" t="inlineStr">
        <is>
          <t xml:space="preserve">1171317-96-LP26</t>
        </is>
      </c>
      <c r="B231" s="4" t="inlineStr">
        <is>
          <t xml:space="preserve">Adquisición de Licencias de Software Municipalida</t>
        </is>
      </c>
      <c r="C231" s="0">
        <v>4</v>
      </c>
      <c r="D231" s="4" t="inlineStr">
        <is>
          <t xml:space="preserve">Software de gestión de licencias</t>
        </is>
      </c>
      <c r="E231" s="4" t="inlineStr">
        <is>
          <t xml:space="preserve">Tecnologías de la información, telecomunicaciones y radiodifusión / Software / Software de gestión</t>
        </is>
      </c>
      <c r="F231" s="0">
        <v>1.0</v>
      </c>
      <c r="G231" s="0" t="inlineStr">
        <is>
          <t xml:space="preserve">Unidad</t>
        </is>
      </c>
      <c r="H231" s="4" t="inlineStr">
        <is>
          <t xml:space="preserve">Renovación arcgis online creator, Línea N°4</t>
        </is>
      </c>
    </row>
    <row r="232">
      <c r="A232" s="0" t="inlineStr">
        <is>
          <t xml:space="preserve">1171317-96-LP26</t>
        </is>
      </c>
      <c r="B232" s="4" t="inlineStr">
        <is>
          <t xml:space="preserve">Adquisición de Licencias de Software Municipalida</t>
        </is>
      </c>
      <c r="C232" s="0">
        <v>5</v>
      </c>
      <c r="D232" s="4" t="inlineStr">
        <is>
          <t xml:space="preserve">Software de gestión de licencias</t>
        </is>
      </c>
      <c r="E232" s="4" t="inlineStr">
        <is>
          <t xml:space="preserve">Tecnologías de la información, telecomunicaciones y radiodifusión / Software / Software de gestión</t>
        </is>
      </c>
      <c r="F232" s="0">
        <v>1.0</v>
      </c>
      <c r="G232" s="0" t="inlineStr">
        <is>
          <t xml:space="preserve">Unidad</t>
        </is>
      </c>
      <c r="H232" s="4" t="inlineStr">
        <is>
          <t xml:space="preserve">Adquisición SAP2000, Línea N°5</t>
        </is>
      </c>
    </row>
    <row r="233">
      <c r="A233" s="0" t="inlineStr">
        <is>
          <t xml:space="preserve">622-72-LP26</t>
        </is>
      </c>
      <c r="B233" s="4" t="inlineStr">
        <is>
          <t xml:space="preserve">SOLUCIÓN DE OBSERVABILIDAD UNIFICADA DE SOFTWARE</t>
        </is>
      </c>
      <c r="C233" s="0">
        <v>1</v>
      </c>
      <c r="D233" s="4" t="inlineStr">
        <is>
          <t xml:space="preserve">Software de gestión de licencias</t>
        </is>
      </c>
      <c r="E233" s="4" t="inlineStr">
        <is>
          <t xml:space="preserve">Tecnologías de la información, telecomunicaciones y radiodifusión / Software / Software de gestión</t>
        </is>
      </c>
      <c r="F233" s="0">
        <v>1.0</v>
      </c>
      <c r="G233" s="0" t="inlineStr">
        <is>
          <t xml:space="preserve">Unidad</t>
        </is>
      </c>
      <c r="H233" s="4" t="inlineStr">
        <is>
          <t xml:space="preserve">CONTRATACIÓN DE SOLUCIÓN DE OBSERVABILIDAD UNIFICADA DE SOFTWARE (APM/DEM) Y MONITOREO DE INFRAESTRUCTURA HÍBRIDA PARA TGR</t>
        </is>
      </c>
    </row>
    <row r="234">
      <c r="A234" s="0" t="inlineStr">
        <is>
          <t xml:space="preserve">2982-59-LE26</t>
        </is>
      </c>
      <c r="B234" s="4" t="inlineStr">
        <is>
          <t xml:space="preserve">SERVICIO DE RENOVACION Y ADQUISICION DE LICENCIAS SOFTWARE</t>
        </is>
      </c>
      <c r="C234" s="0">
        <v>1</v>
      </c>
      <c r="D234" s="4" t="inlineStr">
        <is>
          <t xml:space="preserve">Software de gestión de licencias</t>
        </is>
      </c>
      <c r="E234" s="4" t="inlineStr">
        <is>
          <t xml:space="preserve">Tecnologías de la información, telecomunicaciones y radiodifusión / Software / Software de gestión</t>
        </is>
      </c>
      <c r="F234" s="0">
        <v>1.0</v>
      </c>
      <c r="G234" s="0" t="inlineStr">
        <is>
          <t xml:space="preserve">Kit</t>
        </is>
      </c>
      <c r="H234" s="4" t="inlineStr">
        <is>
          <t xml:space="preserve">SEGÚN LISTADO DETALLADO EN BASES DE LICITACIÓN</t>
        </is>
      </c>
    </row>
    <row r="235">
      <c r="A235" s="0" t="inlineStr">
        <is>
          <t xml:space="preserve">885-108-LP26</t>
        </is>
      </c>
      <c r="B235" s="4" t="inlineStr">
        <is>
          <t xml:space="preserve">Renovación de suscripciones Licencias Cloudera</t>
        </is>
      </c>
      <c r="C235" s="0">
        <v>1</v>
      </c>
      <c r="D235" s="4" t="inlineStr">
        <is>
          <t xml:space="preserve">Software de gestión de licencias</t>
        </is>
      </c>
      <c r="E235" s="4" t="inlineStr">
        <is>
          <t xml:space="preserve">Tecnologías de la información, telecomunicaciones y radiodifusión / Software / Software de gestión</t>
        </is>
      </c>
      <c r="F235" s="0">
        <v>1.0</v>
      </c>
      <c r="G235" s="0" t="inlineStr">
        <is>
          <t xml:space="preserve">Unidad</t>
        </is>
      </c>
      <c r="H235" s="4" t="inlineStr">
        <is>
          <t xml:space="preserve">Renovación de suscripciones de Licencias Cloudera para asegurar continuidad operativa, por un periodo de 12 meses</t>
        </is>
      </c>
    </row>
    <row r="236">
      <c r="A236" s="0" t="inlineStr">
        <is>
          <t xml:space="preserve">1020-54-LP26</t>
        </is>
      </c>
      <c r="B236" s="4" t="inlineStr">
        <is>
          <t xml:space="preserve">Administración y Mantención de Bases de Datos MOP</t>
        </is>
      </c>
      <c r="C236" s="0">
        <v>1</v>
      </c>
      <c r="D236" s="4" t="inlineStr">
        <is>
          <t xml:space="preserve">Administradores de bases de datos</t>
        </is>
      </c>
      <c r="E236" s="4" t="inlineStr">
        <is>
          <t xml:space="preserve">Servicios profesionales, administrativos y consultorías de gestión empresarial / Servicios de recursos humanos / Contratación de personal</t>
        </is>
      </c>
      <c r="F236" s="0">
        <v>24.0</v>
      </c>
      <c r="G236" s="0" t="inlineStr">
        <is>
          <t xml:space="preserve">Mes</t>
        </is>
      </c>
      <c r="H236" s="4" t="inlineStr">
        <is>
          <t xml:space="preserve">SERVICIO DE ADMINISTRACIÓN  Y  MANTENCION DE BASES DE DATOS  ORACLE, MS SQL SERVER, POSTGRESQL y MySQL (24 meses)</t>
        </is>
      </c>
    </row>
    <row r="237">
      <c r="A237" s="0" t="inlineStr">
        <is>
          <t xml:space="preserve">1657-22-LP26</t>
        </is>
      </c>
      <c r="B237" s="4" t="inlineStr">
        <is>
          <t xml:space="preserve">SERVICIO DE MANTENCION REPARACION Y REPOSICION DEL SISTEMA ELECTRICO ELECTRÓNICO Y DIGITAL DE LA OFICINA CENTRAL Y OFICINAS COMUNALES DE LA PROVINCIA DE ELQUI LIMARI Y CHOAPA DE LA SEREMI DE SALUD REGION DE COQUIMBO</t>
        </is>
      </c>
      <c r="C237" s="0">
        <v>1</v>
      </c>
      <c r="D237" s="4" t="inlineStr">
        <is>
          <t xml:space="preserve">Paneles de control eléctrico para generadores</t>
        </is>
      </c>
      <c r="E237" s="4" t="inlineStr">
        <is>
          <t xml:space="preserve">Maquinaria para generación y distribución de energía / Generación de energía / Equipo para control de producción de energía</t>
        </is>
      </c>
      <c r="F237" s="0">
        <v>1.0</v>
      </c>
      <c r="G237" s="0" t="inlineStr">
        <is>
          <t xml:space="preserve">Unidad</t>
        </is>
      </c>
      <c r="H237" s="4" t="inlineStr">
        <is>
          <t xml:space="preserve">“SERVICIO DE DISEÑO, CONFECCIÓN, RESTAURACION Y/O REPARACIÓN DE INFRAESTRUCTURA EN OFICINA CENTRAL Y OFICINAS COMUNALES DE LA PROVINCIA DE ELQUI, LIMARI Y CHOAPA DE LA SEREMI DE SALUD REGION DE COQUIMBO”.</t>
        </is>
      </c>
    </row>
    <row r="238">
      <c r="A238" s="0" t="inlineStr">
        <is>
          <t xml:space="preserve">5420-25-LP26</t>
        </is>
      </c>
      <c r="B238" s="4" t="inlineStr">
        <is>
          <t xml:space="preserve">Modernización Integral de Infraestructura TI</t>
        </is>
      </c>
      <c r="C238" s="0">
        <v>1</v>
      </c>
      <c r="D238" s="4" t="inlineStr">
        <is>
          <t xml:space="preserve">Servidores</t>
        </is>
      </c>
      <c r="E238" s="4" t="inlineStr">
        <is>
          <t xml:space="preserve">Tecnologías de la información, telecomunicaciones y radiodifusión / Equipos informáticos y accesorios / Computadores</t>
        </is>
      </c>
      <c r="F238" s="0">
        <v>1.0</v>
      </c>
      <c r="G238" s="0" t="inlineStr">
        <is>
          <t xml:space="preserve">Unidad</t>
        </is>
      </c>
      <c r="H238" s="4" t="inlineStr">
        <is>
          <t xml:space="preserve">Adquisición e implementación integral de infraestructura tecnológica, servidores, almacenamiento, virtualización, sistemas de respaldo, redes, seguridad informática, licencias, migración, configuración, puesta en marcha y soporte técnico, según bases.</t>
        </is>
      </c>
    </row>
    <row r="239">
      <c r="A239" s="0" t="inlineStr">
        <is>
          <t xml:space="preserve">1605-52-LR26</t>
        </is>
      </c>
      <c r="B239" s="4" t="inlineStr">
        <is>
          <t xml:space="preserve">LR-5231 LICENCIAS DE SOFTWARE CONTROL M</t>
        </is>
      </c>
      <c r="C239" s="0">
        <v>1</v>
      </c>
      <c r="D239" s="4" t="inlineStr">
        <is>
          <t xml:space="preserve">Software de sistema experto</t>
        </is>
      </c>
      <c r="E239" s="4" t="inlineStr">
        <is>
          <t xml:space="preserve">Tecnologías de la información, telecomunicaciones y radiodifusión / Software / Software de gestión</t>
        </is>
      </c>
      <c r="F239" s="0">
        <v>1.0</v>
      </c>
      <c r="G239" s="0" t="inlineStr">
        <is>
          <t xml:space="preserve">Unidad</t>
        </is>
      </c>
      <c r="H239" s="4" t="inlineStr">
        <is>
          <t xml:space="preserve">Adquisición de licencias de Software Control-M modalidad Platform, las cuales serán utilizadas para automatizar, programar y monitorear procesos de negocio por un periodo de 36 meses.</t>
        </is>
      </c>
    </row>
    <row r="240">
      <c r="A240" s="0" t="inlineStr">
        <is>
          <t xml:space="preserve">1057417-247-LP26</t>
        </is>
      </c>
      <c r="B240" s="4" t="inlineStr">
        <is>
          <t xml:space="preserve">IC CONVENIO SUMINISTRO INSUMOS PARA ELECTROFORESIS E INMUNOFIJACION DE PROTEINAS CON SOFTWARE Y EQUIPO EN COMODATO</t>
        </is>
      </c>
      <c r="C240" s="0">
        <v>1</v>
      </c>
      <c r="D240" s="4" t="inlineStr">
        <is>
          <t xml:space="preserve">Geles de agarosa prefabricados</t>
        </is>
      </c>
      <c r="E240" s="4" t="inlineStr">
        <is>
          <t xml:space="preserve">Equipamiento para laboratorios / Equipos e insumos para laboratorio / Sistemas y suministros de electroforesis y transferencia para laboratorio</t>
        </is>
      </c>
      <c r="F240" s="0">
        <v>3000.0</v>
      </c>
      <c r="G240" s="0" t="inlineStr">
        <is>
          <t xml:space="preserve">Tira</t>
        </is>
      </c>
      <c r="H240" s="4" t="inlineStr">
        <is>
          <t xml:space="preserve">Electroforesis de proteínas (suero y orina). Geles de agarosa para electroforesis de proteínas con capacidad mínima de gel para 7 muestras suero y orinas [DETERMINACION]</t>
        </is>
      </c>
    </row>
    <row r="241">
      <c r="A241" s="0" t="inlineStr">
        <is>
          <t xml:space="preserve">1057417-247-LP26</t>
        </is>
      </c>
      <c r="B241" s="4" t="inlineStr">
        <is>
          <t xml:space="preserve">IC CONVENIO SUMINISTRO INSUMOS PARA ELECTROFORESIS E INMUNOFIJACION DE PROTEINAS CON SOFTWARE Y EQUIPO EN COMODATO</t>
        </is>
      </c>
      <c r="C241" s="0">
        <v>2</v>
      </c>
      <c r="D241" s="4" t="inlineStr">
        <is>
          <t xml:space="preserve">Geles de agarosa prefabricados</t>
        </is>
      </c>
      <c r="E241" s="4" t="inlineStr">
        <is>
          <t xml:space="preserve">Equipamiento para laboratorios / Equipos e insumos para laboratorio / Sistemas y suministros de electroforesis y transferencia para laboratorio</t>
        </is>
      </c>
      <c r="F241" s="0">
        <v>720.0</v>
      </c>
      <c r="G241" s="0" t="inlineStr">
        <is>
          <t xml:space="preserve">Tira</t>
        </is>
      </c>
      <c r="H241" s="4" t="inlineStr">
        <is>
          <t xml:space="preserve">Inmunofijación en suero. Geles de agarosa para inmunofijación (detección de cadena pesada G, A, M y de cadenas livianas kappa y lambda) con capacidad mínima del gel para 2 muestras suero. [DETERMINACION]</t>
        </is>
      </c>
    </row>
    <row r="242">
      <c r="A242" s="0" t="inlineStr">
        <is>
          <t xml:space="preserve">1057417-247-LP26</t>
        </is>
      </c>
      <c r="B242" s="4" t="inlineStr">
        <is>
          <t xml:space="preserve">IC CONVENIO SUMINISTRO INSUMOS PARA ELECTROFORESIS E INMUNOFIJACION DE PROTEINAS CON SOFTWARE Y EQUIPO EN COMODATO</t>
        </is>
      </c>
      <c r="C242" s="0">
        <v>3</v>
      </c>
      <c r="D242" s="4" t="inlineStr">
        <is>
          <t xml:space="preserve">Geles de agarosa prefabricados</t>
        </is>
      </c>
      <c r="E242" s="4" t="inlineStr">
        <is>
          <t xml:space="preserve">Equipamiento para laboratorios / Equipos e insumos para laboratorio / Sistemas y suministros de electroforesis y transferencia para laboratorio</t>
        </is>
      </c>
      <c r="F242" s="0">
        <v>360.0</v>
      </c>
      <c r="G242" s="0" t="inlineStr">
        <is>
          <t xml:space="preserve">Tira</t>
        </is>
      </c>
      <c r="H242" s="4" t="inlineStr">
        <is>
          <t xml:space="preserve">Inmunofijación en orina. Geles de agarosa para detección de proteínas bence jones o cadenas ligeras libres (Kappa, Lambda), con capacidad mínima del gel para 2 muestras de orina. [DETERMINACION]</t>
        </is>
      </c>
    </row>
    <row r="243">
      <c r="A243" s="0" t="inlineStr">
        <is>
          <t xml:space="preserve">3759-60-LR26</t>
        </is>
      </c>
      <c r="B243" s="4" t="inlineStr">
        <is>
          <t xml:space="preserve">SERVICIO DE ARRENDAMIENTO DE PLATAFORMA</t>
        </is>
      </c>
      <c r="C243" s="0">
        <v>1</v>
      </c>
      <c r="D243" s="4" t="inlineStr">
        <is>
          <t xml:space="preserve">Software del sistema de administración de bases de datos</t>
        </is>
      </c>
      <c r="E243" s="4" t="inlineStr">
        <is>
          <t xml:space="preserve">Tecnologías de la información, telecomunicaciones y radiodifusión / Software / Software de consultas y gestión de datos</t>
        </is>
      </c>
      <c r="F243" s="0">
        <v>1.0</v>
      </c>
      <c r="G243" s="0" t="inlineStr">
        <is>
          <t xml:space="preserve">Global</t>
        </is>
      </c>
      <c r="H243" s="4" t="inlineStr">
        <is>
          <t xml:space="preserve">SERVICIO DE ARRENDAMIENTO DE PLATAFORMA DE GESTIÓN Y VENTA DE PERMISOS DE CIRCULACIÓN VEHICULAR, COMUNA DE YERBAS BUENAS.</t>
        </is>
      </c>
    </row>
    <row r="244">
      <c r="A244" s="0" t="inlineStr">
        <is>
          <t xml:space="preserve">1456837-4-LR26</t>
        </is>
      </c>
      <c r="B244" s="4" t="inlineStr">
        <is>
          <t xml:space="preserve">SUMINISTRO DE MATERIALES DE OFICINA A TRAVÉS DE PLATAFORMA CLOUDE-COMMERCE</t>
        </is>
      </c>
      <c r="C244" s="0">
        <v>1</v>
      </c>
      <c r="D244" s="4" t="inlineStr">
        <is>
          <t xml:space="preserve">Juegos de bolígrafos y lápices</t>
        </is>
      </c>
      <c r="E244" s="4" t="inlineStr">
        <is>
          <t xml:space="preserve">Equipos, accesorios y suministros de oficina / Suministros de oficina / Instrumentos de escritura</t>
        </is>
      </c>
      <c r="F244" s="0">
        <v>1.0</v>
      </c>
      <c r="G244" s="0" t="inlineStr">
        <is>
          <t xml:space="preserve">Unidad</t>
        </is>
      </c>
      <c r="H244" s="4" t="inlineStr">
        <is>
          <t xml:space="preserve">SUMINISTRO DE MATERIALES DE OFICINA A TRAVÉS DE PLATAFORMA CLOUD/E-COMMERCE SLEP DE LA QUEBRADA</t>
        </is>
      </c>
    </row>
    <row r="245">
      <c r="A245" s="0" t="inlineStr">
        <is>
          <t xml:space="preserve">1057898-85-LR26</t>
        </is>
      </c>
      <c r="B245" s="4" t="inlineStr">
        <is>
          <t xml:space="preserve">ADQUISICIÓN DE SOFTWARES HIS-ESB-BI Y ERP PARA EL NUEVO HOSPITAL REGIONAL DE ÑUBLE</t>
        </is>
      </c>
      <c r="C245" s="0">
        <v>1</v>
      </c>
      <c r="D245" s="4" t="inlineStr">
        <is>
          <t xml:space="preserve">Software de administración</t>
        </is>
      </c>
      <c r="E245" s="4" t="inlineStr">
        <is>
          <t xml:space="preserve">Tecnologías de la información, telecomunicaciones y radiodifusión / Software / Software de administración de redes</t>
        </is>
      </c>
      <c r="F245" s="0">
        <v>1.0</v>
      </c>
      <c r="G245" s="0" t="inlineStr">
        <is>
          <t xml:space="preserve">Global</t>
        </is>
      </c>
      <c r="H245" s="4" t="inlineStr">
        <is>
          <t xml:space="preserve">FAMILIA N°1: SISTEMAS 1 PAQUETIZADO SOFTWARE PRINCIPAL(SOFTWARE COMO SERVICIO)</t>
        </is>
      </c>
    </row>
    <row r="246">
      <c r="A246" s="0" t="inlineStr">
        <is>
          <t xml:space="preserve">1057898-85-LR26</t>
        </is>
      </c>
      <c r="B246" s="4" t="inlineStr">
        <is>
          <t xml:space="preserve">ADQUISICIÓN DE SOFTWARES HIS-ESB-BI Y ERP PARA EL NUEVO HOSPITAL REGIONAL DE ÑUBLE</t>
        </is>
      </c>
      <c r="C246" s="0">
        <v>2</v>
      </c>
      <c r="D246" s="4" t="inlineStr">
        <is>
          <t xml:space="preserve">Software de administración</t>
        </is>
      </c>
      <c r="E246" s="4" t="inlineStr">
        <is>
          <t xml:space="preserve">Tecnologías de la información, telecomunicaciones y radiodifusión / Software / Software de administración de redes</t>
        </is>
      </c>
      <c r="F246" s="0">
        <v>1.0</v>
      </c>
      <c r="G246" s="0" t="inlineStr">
        <is>
          <t xml:space="preserve">Global</t>
        </is>
      </c>
      <c r="H246" s="4" t="inlineStr">
        <is>
          <t xml:space="preserve">FAMILIA N°2: SISTEMAS 2 SISTEMA ERP (SOFTWARE COMO SERVICIO)</t>
        </is>
      </c>
    </row>
    <row r="247">
      <c r="A247" s="0" t="inlineStr">
        <is>
          <t xml:space="preserve">2426-52-LR26</t>
        </is>
      </c>
      <c r="B247" s="4" t="inlineStr">
        <is>
          <t xml:space="preserve">DATACENTER ENLACES DE DATOS TELEFONIA E INTERNET</t>
        </is>
      </c>
      <c r="C247" s="0">
        <v>1</v>
      </c>
      <c r="D247" s="4" t="inlineStr">
        <is>
          <t xml:space="preserve">Centro de servicios de datos</t>
        </is>
      </c>
      <c r="E247" s="4" t="inlineStr">
        <is>
          <t xml:space="preserve">Servicios basados en ingeniería, ciencias sociales y tecnología de la información / Servicios informáticos / Servicios de datos</t>
        </is>
      </c>
      <c r="F247" s="0">
        <v>1.0</v>
      </c>
      <c r="G247" s="0" t="inlineStr">
        <is>
          <t xml:space="preserve">Unidad</t>
        </is>
      </c>
      <c r="H247" s="4"/>
    </row>
    <row r="248">
      <c r="A248" s="0" t="inlineStr">
        <is>
          <t xml:space="preserve">2770-161-LR26</t>
        </is>
      </c>
      <c r="B248" s="4" t="inlineStr">
        <is>
          <t xml:space="preserve">SOLUCIÓN INFORMÁTICA INTEGRAL PARA LA GESTIÓN DE PROCESOS DE LA I. MUNICIPALIDAD DE MAIPÚ</t>
        </is>
      </c>
      <c r="C248" s="0">
        <v>1</v>
      </c>
      <c r="D248" s="4" t="inlineStr">
        <is>
          <t xml:space="preserve">Integración de sistemas</t>
        </is>
      </c>
      <c r="E248" s="4" t="inlineStr">
        <is>
          <t xml:space="preserve">Servicios basados en ingeniería, ciencias sociales y tecnología de la información / Servicios informáticos / Ingeniería en computación e informática</t>
        </is>
      </c>
      <c r="F248" s="0">
        <v>1.0</v>
      </c>
      <c r="G248" s="0" t="inlineStr">
        <is>
          <t xml:space="preserve">Global</t>
        </is>
      </c>
      <c r="H248" s="4" t="inlineStr">
        <is>
          <t xml:space="preserve">Solución Informática Integral para la Gestión de Procesos de la I. Municipalidad de Maipú, según bases de licitación</t>
        </is>
      </c>
    </row>
    <row r="249">
      <c r="A249" s="0" t="inlineStr">
        <is>
          <t xml:space="preserve">3841-34-LE26</t>
        </is>
      </c>
      <c r="B249" s="4" t="inlineStr">
        <is>
          <t xml:space="preserve">EQUIPOS INFORMATICOS Y AUDIO</t>
        </is>
      </c>
      <c r="C249" s="0">
        <v>1</v>
      </c>
      <c r="D249" s="4" t="inlineStr">
        <is>
          <t xml:space="preserve">Computadores de escritorio</t>
        </is>
      </c>
      <c r="E249" s="4" t="inlineStr">
        <is>
          <t xml:space="preserve">Tecnologías de la información, telecomunicaciones y radiodifusión / Equipos informáticos y accesorios / Computadores</t>
        </is>
      </c>
      <c r="F249" s="0">
        <v>1.0</v>
      </c>
      <c r="G249" s="0" t="inlineStr">
        <is>
          <t xml:space="preserve">Global</t>
        </is>
      </c>
      <c r="H249" s="4" t="inlineStr">
        <is>
          <t xml:space="preserve">EQUIPOS INFORMATICOS DIVERSAS UNIDADES MUNICIPALES SEGUN ANEXO</t>
        </is>
      </c>
    </row>
    <row r="250">
      <c r="A250" s="0" t="inlineStr">
        <is>
          <t xml:space="preserve">3841-34-LE26</t>
        </is>
      </c>
      <c r="B250" s="4" t="inlineStr">
        <is>
          <t xml:space="preserve">EQUIPOS INFORMATICOS Y AUDIO</t>
        </is>
      </c>
      <c r="C250" s="0">
        <v>2</v>
      </c>
      <c r="D250" s="4" t="inlineStr">
        <is>
          <t xml:space="preserve">Parlantes</t>
        </is>
      </c>
      <c r="E250" s="4" t="inlineStr">
        <is>
          <t xml:space="preserve">Muebles, accesorios, electrodomésticos y productos electrónicos / Equipos y accesorios audiovisuales / Equipos audiovisuales y de electrónica menor</t>
        </is>
      </c>
      <c r="F250" s="0">
        <v>1.0</v>
      </c>
      <c r="G250" s="0" t="inlineStr">
        <is>
          <t xml:space="preserve">Global</t>
        </is>
      </c>
      <c r="H250" s="4" t="inlineStr">
        <is>
          <t xml:space="preserve">EQUIPOS DE AUDIO/ AMPLIFIACCIÓN Y OTROS SEGUN ANEXO</t>
        </is>
      </c>
    </row>
    <row r="251">
      <c r="A251" s="0" t="inlineStr">
        <is>
          <t xml:space="preserve">4301-70-LR26</t>
        </is>
      </c>
      <c r="B251" s="4" t="inlineStr">
        <is>
          <t xml:space="preserve">implementación y arriendo plataforma de software</t>
        </is>
      </c>
      <c r="C251" s="0">
        <v>1</v>
      </c>
      <c r="D251" s="4" t="inlineStr">
        <is>
          <t xml:space="preserve">Software de administración</t>
        </is>
      </c>
      <c r="E251" s="4" t="inlineStr">
        <is>
          <t xml:space="preserve">Tecnologías de la información, telecomunicaciones y radiodifusión / Software / Software de administración de redes</t>
        </is>
      </c>
      <c r="F251" s="0">
        <v>1.0</v>
      </c>
      <c r="G251" s="0" t="inlineStr">
        <is>
          <t xml:space="preserve">Unidad</t>
        </is>
      </c>
      <c r="H251" s="4" t="inlineStr">
        <is>
          <t xml:space="preserve">implementación y arriendo plataforma de software</t>
        </is>
      </c>
    </row>
    <row r="252">
      <c r="A252" s="0" t="inlineStr">
        <is>
          <t xml:space="preserve">622-73-LR26</t>
        </is>
      </c>
      <c r="B252" s="4" t="inlineStr">
        <is>
          <t xml:space="preserve">CRÉDITOS CLOUD COMPUTING AWS PLATAFORMAS DE TGR</t>
        </is>
      </c>
      <c r="C252" s="0">
        <v>1</v>
      </c>
      <c r="D252" s="4" t="inlineStr">
        <is>
          <t xml:space="preserve">Centro de servicios de datos</t>
        </is>
      </c>
      <c r="E252" s="4" t="inlineStr">
        <is>
          <t xml:space="preserve">Servicios basados en ingeniería, ciencias sociales y tecnología de la información / Servicios informáticos / Servicios de datos</t>
        </is>
      </c>
      <c r="F252" s="0">
        <v>1.0</v>
      </c>
      <c r="G252" s="0" t="inlineStr">
        <is>
          <t xml:space="preserve">Unidad</t>
        </is>
      </c>
      <c r="H252" s="4" t="inlineStr">
        <is>
          <t xml:space="preserve">CRÉDITOS CLOUD COMPUTING AWS PARA LAS PLATAFORMAS DE TGR. 1. Monto Total Destinado a Créditos 2. Servicio Administración Proveedor (Incluye monto total por concepto de descuentos del programa de proveedores de soluciones (PPS))</t>
        </is>
      </c>
    </row>
    <row r="253">
      <c r="A253" s="0" t="inlineStr">
        <is>
          <t xml:space="preserve">1301883-32-LR26</t>
        </is>
      </c>
      <c r="B253" s="4" t="inlineStr">
        <is>
          <t xml:space="preserve">Modernización y ampliación del Subsistema de CCTV para el IP-IRC Coronel</t>
        </is>
      </c>
      <c r="C253" s="0">
        <v>1</v>
      </c>
      <c r="D253" s="4" t="inlineStr">
        <is>
          <t xml:space="preserve">Servicios de vigilancia</t>
        </is>
      </c>
      <c r="E253" s="4" t="inlineStr">
        <is>
          <t xml:space="preserve">Servicios de defensa nacional, orden público y seguridad / Orden público y seguridad / Servicios de seguridad y policiales</t>
        </is>
      </c>
      <c r="F253" s="0">
        <v>1.0</v>
      </c>
      <c r="G253" s="0" t="inlineStr">
        <is>
          <t xml:space="preserve">Unidad</t>
        </is>
      </c>
      <c r="H253" s="4" t="inlineStr">
        <is>
          <t xml:space="preserve">Modernización y ampliación del Subsistema de CCTV para el IP-IRC Cornel</t>
        </is>
      </c>
    </row>
    <row r="254">
      <c r="A254" s="0" t="inlineStr">
        <is>
          <t xml:space="preserve">1969-34-LS19</t>
        </is>
      </c>
      <c r="B254" s="4" t="inlineStr">
        <is>
          <t xml:space="preserve">AUTOMATIZACIÓN PORTÓN ACCESO A LINEA DE FUEGO</t>
        </is>
      </c>
      <c r="C254" s="0">
        <v>1</v>
      </c>
      <c r="D254" s="4" t="inlineStr">
        <is>
          <t xml:space="preserve">Puertas de metal</t>
        </is>
      </c>
      <c r="E254" s="4" t="inlineStr">
        <is>
          <t xml:space="preserve">Artículos para estructuras, obras y construcciones / Puertas, ventanas y vidrios / Puertas</t>
        </is>
      </c>
      <c r="F254" s="0">
        <v>1.0</v>
      </c>
      <c r="G254" s="0" t="inlineStr">
        <is>
          <t xml:space="preserve">Unidad</t>
        </is>
      </c>
      <c r="H254" s="4" t="inlineStr">
        <is>
          <t xml:space="preserve">AUTOMATIZACIÓN DE PORTÓN ACCESO A LINEA DE FUEGO C.P. CONCEPCIÓN</t>
        </is>
      </c>
    </row>
  </sheetData>
  <autoFilter ref="A1:H254"/>
</worksheet>
</file>