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sheets>
    <sheet name="Nuevas de hoy" sheetId="1" r:id="rId1"/>
    <sheet name="Vigentes" sheetId="2" r:id="rId2"/>
    <sheet name="Requerimientos" sheetId="3" r:id="rId3"/>
  </sheets>
</workbook>
</file>

<file path=xl/styles.xml><?xml version="1.0" encoding="utf-8"?>
<styleSheet xmlns="http://schemas.openxmlformats.org/spreadsheetml/2006/main">
  <numFmts count="2">
    <numFmt numFmtId="164" formatCode="dd\-mm\-yyyy\ hh:mm"/>
    <numFmt numFmtId="165" formatCode="#,##0"/>
  </numFmts>
  <fonts count="3">
    <font>
      <sz val="11"/>
      <name val="Calibri"/>
    </font>
    <font>
      <b/>
      <sz val="11"/>
      <color rgb="FFFFFFFF"/>
      <name val="Calibri"/>
    </font>
    <font>
      <u/>
      <sz val="11"/>
      <color rgb="FF1F4FD8"/>
      <name val="Calibri"/>
    </font>
  </fonts>
  <fills count="3">
    <fill>
      <patternFill patternType="none"/>
    </fill>
    <fill>
      <patternFill patternType="gray125"/>
    </fill>
    <fill>
      <patternFill patternType="solid">
        <fgColor rgb="FF1F4FD8"/>
        <bgColor indexed="64"/>
      </patternFill>
    </fill>
  </fills>
  <borders count="1">
    <border>
      <left/>
      <right/>
      <top/>
      <bottom/>
      <diagonal/>
    </border>
  </borders>
  <cellStyleXfs count="1">
    <xf numFmtId="0" fontId="0" fillId="0" borderId="0"/>
  </cellStyleXfs>
  <cellXfs count="6">
    <xf numFmtId="0" fontId="0" fillId="0" borderId="0" xfId="0"/>
    <xf numFmtId="0" fontId="1" fillId="2" borderId="0" xfId="0" applyFont="1" applyFill="1" applyAlignment="1">
      <alignment vertical="center" wrapText="1"/>
    </xf>
    <xf numFmtId="164" fontId="0" fillId="0" borderId="0" xfId="0" applyNumberFormat="1"/>
    <xf numFmtId="165" fontId="0" fillId="0" borderId="0" xfId="0" applyNumberFormat="1"/>
    <xf numFmtId="0" fontId="0" fillId="0" borderId="0" xfId="0" applyAlignment="1">
      <alignment vertical="top" wrapText="1"/>
    </xf>
    <xf numFmtId="0" fontId="2" fillId="0" borderId="0" xfId="0" applyFont="1"/>
  </cell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styles" Target="styles.xml"/></Relationships>
</file>

<file path=xl/worksheets/sheet1.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735950-4-LE26</t>
        </is>
      </c>
      <c r="B2" s="4" t="inlineStr">
        <is>
          <t xml:space="preserve">Sistema de conferencia digital.-</t>
        </is>
      </c>
      <c r="C2" s="0" t="inlineStr">
        <is>
          <t xml:space="preserve">Publicada</t>
        </is>
      </c>
      <c r="D2" s="0" t="inlineStr">
        <is>
          <t xml:space="preserve">I MUNICIPALIDAD DE VILLARRICA</t>
        </is>
      </c>
      <c r="E2" s="0" t="inlineStr">
        <is>
          <t xml:space="preserve">Informática</t>
        </is>
      </c>
      <c r="F2" s="0" t="inlineStr">
        <is>
          <t xml:space="preserve">Región de la Araucanía </t>
        </is>
      </c>
      <c r="G2" s="0" t="inlineStr">
        <is>
          <t xml:space="preserve">Villarrica</t>
        </is>
      </c>
      <c r="H2" s="2">
        <v>46316.66059</v>
      </c>
      <c r="I2" s="2">
        <v>46322.458333</v>
      </c>
      <c r="J2" s="0">
        <v>5</v>
      </c>
      <c r="K2" s="3">
        <v>13000000.0</v>
      </c>
      <c r="L2" s="0" t="inlineStr">
        <is>
          <t xml:space="preserve">CLP</t>
        </is>
      </c>
      <c r="M2" s="0" t="inlineStr">
        <is>
          <t xml:space="preserve">LE</t>
        </is>
      </c>
      <c r="N2" s="4" t="inlineStr">
        <is>
          <t xml:space="preserve">Equipos y suministros de imprenta, fotográficos y audiovisuales / Equipos de composición y presentación audiovisual / Equipos, hardware y controladores para sistemas de teleconferencia y videoconferencia</t>
        </is>
      </c>
      <c r="O2" s="4" t="inlineStr">
        <is>
          <t xml:space="preserve">1 Paquete · Sistemas de aprendizaje a distancia</t>
        </is>
      </c>
      <c r="P2" s="2"/>
      <c r="Q2" s="2"/>
      <c r="R2" s="0"/>
      <c r="S2" s="0" t="inlineStr">
        <is>
          <t xml:space="preserve">No</t>
        </is>
      </c>
      <c r="T2" s="4" t="inlineStr">
        <is>
          <t xml:space="preserve">Bajo ninguna circunstancia el Adjudicatario podrá ceder total la posición jurídica contractual a un tercero.</t>
        </is>
      </c>
      <c r="U2" s="0" t="inlineStr">
        <is>
          <t xml:space="preserve">ALVARO RODRIGUEZ</t>
        </is>
      </c>
      <c r="V2" s="4" t="inlineStr">
        <is>
          <t xml:space="preserve">“ADQUISICIÓN DE SISTEMA DE CONFERENCIA DIGITAL PARA EL CONCEJO MUNICIPAL DE VILLARRICA”. Se requiere adquirir una solución integral para el desarrollo presencial de las sesiones del Concejo Municipal, permitiendo capturar con claridad las intervenciones de sus integrantes, administrar los turnos de palabra, obtener audio digital de alta calidad para grabación y streaming, efectuar seguimiento automático del orador y disponer de una pantalla profesional para apoyo visual y presentaciones.
Todo equipamiento deberá ser nuevo, sin uso anterior, de fabricación vigente y contar con garantía y soporte técnico en Chile.</t>
        </is>
      </c>
      <c r="W2" s="5" t="str">
        <f>HYPERLINK("https://www.mercadopublico.cl/Procurement/Modules/Attachment/ViewAttachment.aspx?enc=R9QWyxZPZ7lOEnBzmnKwiIhzThxymJCicSnxjUYO3w38bXjWS%2frsodU%2fkMCEAZC24SAn7XV5NoErSf7naaIJsYQg8M7L3abWSS%2fHkFkvCrDtowBZ1cFEpkVjJnjtMTVXuGrANvkRUvPEU9QSK8ID04gvpcHTjF2VnxWNZgqLJ1%2fyAydc4FA1293%2buIGjuBe3urp7K62%2foDcMfV%2f0XkfOzTVGHTyxw16iLce5bCNPaSNqFTwBTT%2bvAxTHLu%2bq4XzJ4V2AG5ajOgji3gLjv2IoSu4HW7uShnuB6xASFLSlCwnBasBPwF0x4dY8%2f%2b%2b56opR","descargar bases")</f>
      </c>
    </row>
    <row r="3">
      <c r="A3" s="0" t="inlineStr">
        <is>
          <t xml:space="preserve">1469-302-L126</t>
        </is>
      </c>
      <c r="B3" s="4" t="inlineStr">
        <is>
          <t xml:space="preserve">“TABLERO PARA BOMBA SUMERGIBLE, CAMPUS TALCA, UNIVERSIDAD DE TALCA”</t>
        </is>
      </c>
      <c r="C3" s="0" t="inlineStr">
        <is>
          <t xml:space="preserve">Publicada</t>
        </is>
      </c>
      <c r="D3" s="0" t="inlineStr">
        <is>
          <t xml:space="preserve">UNIVERSIDAD DE TALCA</t>
        </is>
      </c>
      <c r="E3" s="0" t="inlineStr">
        <is>
          <t xml:space="preserve">Universidad de Talca</t>
        </is>
      </c>
      <c r="F3" s="0" t="inlineStr">
        <is>
          <t xml:space="preserve">Región del Maule </t>
        </is>
      </c>
      <c r="G3" s="0" t="inlineStr">
        <is>
          <t xml:space="preserve">Talca</t>
        </is>
      </c>
      <c r="H3" s="2">
        <v>46316.764236</v>
      </c>
      <c r="I3" s="2">
        <v>46324.416667</v>
      </c>
      <c r="J3" s="0">
        <v>7</v>
      </c>
      <c r="K3" s="3"/>
      <c r="L3" s="0" t="inlineStr">
        <is>
          <t xml:space="preserve">CLP</t>
        </is>
      </c>
      <c r="M3" s="0" t="inlineStr">
        <is>
          <t xml:space="preserve">L1</t>
        </is>
      </c>
      <c r="N3" s="4" t="inlineStr">
        <is>
          <t xml:space="preserve">Artículos eléctricos y de iluminación / Equipamiento y artículos eléctricos / Distribución de cableado y barras colectoras</t>
        </is>
      </c>
      <c r="O3" s="4" t="inlineStr">
        <is>
          <t xml:space="preserve">1 Unidad · Conductos eléctricos</t>
        </is>
      </c>
      <c r="P3" s="2"/>
      <c r="Q3" s="2"/>
      <c r="R3" s="0"/>
      <c r="S3" s="0" t="inlineStr">
        <is>
          <t xml:space="preserve">No</t>
        </is>
      </c>
      <c r="T3" s="4"/>
      <c r="U3" s="0"/>
      <c r="V3" s="4" t="inlineStr">
        <is>
          <t xml:space="preserve">La Universidad de Talca requiere de los servicios de retiro e instalación de nuevo tablero de control para bomba sumergible.</t>
        </is>
      </c>
      <c r="W3" s="5" t="str">
        <f>HYPERLINK("https://www.mercadopublico.cl/Procurement/Modules/Attachment/ViewAttachment.aspx?enc=4BtVIKXowAwH%2b6%2fQ7OrTgz4LeXsGbWEVj%2b4DkZSQRq7AQhaCsg40cYB%2bV9R%2f9JmDADzRE%2bzs6oWMb1fe7OUfaxCCoS8vtB9Iq1LTbFKpvcRro3ybB2AQYIVkycoauuCz3XWivCOuaaBFNy5shcu4VRRIERdCPTbIWnIZzE3DuqbsX%2f9%2fQvTfMPvt%2bP8CNkidZO0pZoFQcKQEfsLg2vzsmTD7LvAbqiNAaXXm9iwlUkd%2bQiNuEj%2bGwEUWkpDIASss3bcCtCU%2fWQBbYMXPWNhJ8SvKAzfH%2b9liYH0Qc8w3Q1gzCHHNl70BowGn3eRGTb8O","descargar bases")</f>
      </c>
    </row>
    <row r="4">
      <c r="A4" s="0" t="inlineStr">
        <is>
          <t xml:space="preserve">1247197-81-LE26</t>
        </is>
      </c>
      <c r="B4" s="4" t="inlineStr">
        <is>
          <t xml:space="preserve">SOFTWARE PARA FARMACIAS COMUNALES RES. 556</t>
        </is>
      </c>
      <c r="C4" s="0" t="inlineStr">
        <is>
          <t xml:space="preserve">Publicada</t>
        </is>
      </c>
      <c r="D4" s="0" t="inlineStr">
        <is>
          <t xml:space="preserve">CORP MUNICIPAL DE CONCHALI DE EDUCACION SALUD Y ATENCION DE MENORES</t>
        </is>
      </c>
      <c r="E4" s="0" t="inlineStr">
        <is>
          <t xml:space="preserve">Planificación</t>
        </is>
      </c>
      <c r="F4" s="0" t="inlineStr">
        <is>
          <t xml:space="preserve">Región Metropolitana de Santiago</t>
        </is>
      </c>
      <c r="G4" s="0" t="inlineStr">
        <is>
          <t xml:space="preserve">Conchalí</t>
        </is>
      </c>
      <c r="H4" s="2">
        <v>46317.403877</v>
      </c>
      <c r="I4" s="2">
        <v>46328.646528</v>
      </c>
      <c r="J4" s="0">
        <v>11</v>
      </c>
      <c r="K4" s="3">
        <v>11352600.0</v>
      </c>
      <c r="L4" s="0" t="inlineStr">
        <is>
          <t xml:space="preserve">CLP</t>
        </is>
      </c>
      <c r="M4" s="0" t="inlineStr">
        <is>
          <t xml:space="preserve">LE</t>
        </is>
      </c>
      <c r="N4" s="4" t="inlineStr">
        <is>
          <t xml:space="preserve">Tecnologías de la información, telecomunicaciones y radiodifusión / Software / Software de administración de redes</t>
        </is>
      </c>
      <c r="O4" s="4" t="inlineStr">
        <is>
          <t xml:space="preserve">1 Unidad · Software de administración</t>
        </is>
      </c>
      <c r="P4" s="2"/>
      <c r="Q4" s="2"/>
      <c r="R4" s="0" t="inlineStr">
        <is>
          <t xml:space="preserve">24 meses</t>
        </is>
      </c>
      <c r="S4" s="0" t="inlineStr">
        <is>
          <t xml:space="preserve">No</t>
        </is>
      </c>
      <c r="T4" s="4" t="inlineStr">
        <is>
          <t xml:space="preserve">El proveedor no podrá ceder ni transferir, total ni parcialmente, los derechos y obligaciones del contrato, sin perjuicio de la transferencia de créditos conforme a las reglas generales art. 14 de la ley N°19.886; art. 126 del Reglamento.</t>
        </is>
      </c>
      <c r="U4" s="0" t="inlineStr">
        <is>
          <t xml:space="preserve">Alisson Montecinos</t>
        </is>
      </c>
      <c r="V4" s="4" t="inlineStr">
        <is>
          <t xml:space="preserve">La Corporación de Educación, Salud y Atención de Menores de la Comuna de Conchalí CORESAM llama a licitación pública para contratar el servicio de un software de gestión farmacéutica para las dos Farmacias Comunales de Conchalí, en modalidad de servicio suscripción. El servicio incluye la implementación, la migración de los datos del sistema actual, la capacitación, el alojamiento externo de los datos, el soporte, las actualizaciones y la entrega íntegra de los datos al término del contrato.
El software debe permitir la gestión y el control de pacientes, dispensación y venta, compras, inventario por lote y vencimiento, caja, fraccionamiento y reportes, conforme a los requisitos mínimos de las Bases Técnicas. La CORESAM no adquiere la propiedad del software; los datos que se registren son de su exclusiva propiedad.
El servicio es requerido por la Dirección de Salud de la CORESAM para asegurar la trazabilidad de los medicamentos, el control de stock y de caja y el registro de las dispensaciones de las Farmacias Comunales. 
La licitación se adjudicará en forma total a un solo oferente.</t>
        </is>
      </c>
      <c r="W4" s="5" t="str">
        <f>HYPERLINK("https://www.mercadopublico.cl/Procurement/Modules/Attachment/ViewAttachment.aspx?enc=lQHFNqYpkJbMwuIW2Wp8CJTwW0nVs8KBDS15UTen3ezYlaGrhNRl0h%2bN68cSb91eMlLB4PRIHJfrQUwPaBk5ta%2fArD%2fHdVdowGRAExoOfQrRc6XsLWpMY0PX1%2fQIYkJ9QMltZmUjGZMwP8pRSlyeLNpBT6TzOPBAV9%2bQ2KcoZH2MSTA2s%2bUFUVLkQRxkhNje3xrnsBvSwIeJFioGoC2lWhT2kzPnMe6GLEHtX0WF16dhsB1lbKAAAMcLE7viaqVg5yMXyyACd8tqa8eMjvr6G%2bR8uzKgiIHvfUdpWYwX6kwhpy4iikFN5cXNK8nO3Pn5","descargar bases")</f>
      </c>
    </row>
    <row r="5">
      <c r="A5" s="0" t="inlineStr">
        <is>
          <t xml:space="preserve">1461054-45-LP26</t>
        </is>
      </c>
      <c r="B5" s="4" t="inlineStr">
        <is>
          <t xml:space="preserve">PLATAFORMA DE GESTIÓN EDUCACIONAL PARA 77 E.E</t>
        </is>
      </c>
      <c r="C5" s="0" t="inlineStr">
        <is>
          <t xml:space="preserve">Publicada</t>
        </is>
      </c>
      <c r="D5" s="0" t="inlineStr">
        <is>
          <t xml:space="preserve">SERVICIO LOCAL DE EDUCACIÓN PÚBLICA DEL ELQUI</t>
        </is>
      </c>
      <c r="E5" s="0" t="inlineStr">
        <is>
          <t xml:space="preserve">P02 Establecimientos Educacionales</t>
        </is>
      </c>
      <c r="F5" s="0" t="inlineStr">
        <is>
          <t xml:space="preserve">Región de Coquimbo </t>
        </is>
      </c>
      <c r="G5" s="0" t="inlineStr">
        <is>
          <t xml:space="preserve">La Serena</t>
        </is>
      </c>
      <c r="H5" s="2">
        <v>46288.638889</v>
      </c>
      <c r="I5" s="2">
        <v>46328.645833</v>
      </c>
      <c r="J5" s="0">
        <v>11</v>
      </c>
      <c r="K5" s="3">
        <v>290234736.0</v>
      </c>
      <c r="L5" s="0" t="inlineStr">
        <is>
          <t xml:space="preserve">CLP</t>
        </is>
      </c>
      <c r="M5" s="0" t="inlineStr">
        <is>
          <t xml:space="preserve">LP</t>
        </is>
      </c>
      <c r="N5" s="4" t="inlineStr">
        <is>
          <t xml:space="preserve">Tecnologías de la información, telecomunicaciones y radiodifusión / Software / Software de consultas y gestión de datos</t>
        </is>
      </c>
      <c r="O5" s="4" t="inlineStr">
        <is>
          <t xml:space="preserve">1 Unidad · Software del sistema de administración de bases de datos</t>
        </is>
      </c>
      <c r="P5" s="2"/>
      <c r="Q5" s="2"/>
      <c r="R5" s="0" t="inlineStr">
        <is>
          <t xml:space="preserve">36 meses</t>
        </is>
      </c>
      <c r="S5" s="0" t="inlineStr">
        <is>
          <t xml:space="preserve">No</t>
        </is>
      </c>
      <c r="T5" s="4" t="inlineStr">
        <is>
          <t xml:space="preserve">No se permite la subcontratación para el presente proceso público, dado que, el servicio requerido será contratado de acuerdo a las condiciones más ventajosas que arroje la evaluación de los oferentes, entendiendo por estos, el conjunto de condiciones e</t>
        </is>
      </c>
      <c r="U5" s="0" t="inlineStr">
        <is>
          <t xml:space="preserve">Francisca Pérez García</t>
        </is>
      </c>
      <c r="V5" s="4" t="inlineStr">
        <is>
          <t xml:space="preserve">El Servicio Local de Educación Pública del Elqui (SLEP Elqui) requiere contratar la provisión, implementación, parametrización, puesta en marcha, operación, mantenimiento, actualización, soporte técnico y capacitación de una Plataforma de Gestión Educacional y Libro de Clases Digital, de carácter web y bajo modalidad Software as a Service (SaaS), destinada a los 77 establecimientos educacionales de su dependencia.</t>
        </is>
      </c>
      <c r="W5" s="5" t="str">
        <f>HYPERLINK("https://www.mercadopublico.cl/Procurement/Modules/Attachment/ViewAttachment.aspx?enc=NeJNKLin926AK1fL7S%2boyo5IJms1dk%2bMc%2fwwBx7qr6ukHk8VWC64KEyeAj4BByaz9e%2fDZ9lE7hGbKYKeYlkEMoZD6BNtx5PZkRZgohzWh%2bpcoeSe%2fUH5KeHwFUoMCqo%2bbJQa3KUBPcn06HvdiVP%2bB5dM%2feBBW5xEuWkixexcV%2b9WMyc7%2bQTG4s2JpWqR71iZbGQHGuFyyurcfj4R2zcj%2fFriqvXGHRopK%2bKgbKp%2bwonRg7tnp7uprqlUPrMX5rNdOL6C07b5OP294jhe0ZOis0uc65WY3ZDF7uvN%2fQ28ihnJNi5AipkahAlV739Cc447","descargar bases")</f>
      </c>
    </row>
    <row r="6">
      <c r="A6" s="0" t="inlineStr">
        <is>
          <t xml:space="preserve">1602-21-LE26</t>
        </is>
      </c>
      <c r="B6" s="4" t="inlineStr">
        <is>
          <t xml:space="preserve">ADQUISICIÓN DE LICENCIAS DE SOFTWARE VEEAM PREMIUM</t>
        </is>
      </c>
      <c r="C6" s="0" t="inlineStr">
        <is>
          <t xml:space="preserve">Publicada</t>
        </is>
      </c>
      <c r="D6" s="0" t="inlineStr">
        <is>
          <t xml:space="preserve">DIRECCION GENERAL DE AERONAUTICA CIVIL</t>
        </is>
      </c>
      <c r="E6" s="0" t="inlineStr">
        <is>
          <t xml:space="preserve">UNIDAD DE COMPRA SERVICIOS GENERALES</t>
        </is>
      </c>
      <c r="F6" s="0" t="inlineStr">
        <is>
          <t xml:space="preserve">Región Metropolitana de Santiago</t>
        </is>
      </c>
      <c r="G6" s="0" t="inlineStr">
        <is>
          <t xml:space="preserve">Providencia</t>
        </is>
      </c>
      <c r="H6" s="2">
        <v>46317.431111</v>
      </c>
      <c r="I6" s="2">
        <v>46330.5</v>
      </c>
      <c r="J6" s="0">
        <v>13</v>
      </c>
      <c r="K6" s="3">
        <v>30000000.0</v>
      </c>
      <c r="L6" s="0" t="inlineStr">
        <is>
          <t xml:space="preserve">CLP</t>
        </is>
      </c>
      <c r="M6" s="0" t="inlineStr">
        <is>
          <t xml:space="preserve">LE</t>
        </is>
      </c>
      <c r="N6" s="4" t="inlineStr">
        <is>
          <t xml:space="preserve">Tecnologías de la información, telecomunicaciones y radiodifusión / Software / Software de gestión</t>
        </is>
      </c>
      <c r="O6" s="4" t="inlineStr">
        <is>
          <t xml:space="preserve">15 Unidad · Software de gestión de licencias</t>
        </is>
      </c>
      <c r="P6" s="2"/>
      <c r="Q6" s="2"/>
      <c r="R6" s="0"/>
      <c r="S6" s="0" t="inlineStr">
        <is>
          <t xml:space="preserve">No</t>
        </is>
      </c>
      <c r="T6" s="4" t="inlineStr">
        <is>
          <t xml:space="preserve">No permite subcontratación DIRIGIRSE PUNTO: XX DE LA RESOLUCIÓN QUE SE ADJUNTA</t>
        </is>
      </c>
      <c r="U6" s="0" t="inlineStr">
        <is>
          <t xml:space="preserve">Jaime Leighton Castro</t>
        </is>
      </c>
      <c r="V6" s="4" t="inlineStr">
        <is>
          <t xml:space="preserve">Adquisición de Licencias de Veeam Data Platform Premium pack 10 instancias que multiplicado por la cantidad serían 150 instancias (jbt-147)</t>
        </is>
      </c>
      <c r="W6" s="5" t="str">
        <f>HYPERLINK("https://www.mercadopublico.cl/Procurement/Modules/Attachment/ViewAttachment.aspx?enc=C22a3F9%2bS7coDQRryGVLGqBpkjLdctbkidGHdQrpfLCoxIFErAZKK%2btpv8A77vsbAJtgt2nD6wla%2f7ZD2FKfpBtkHEUqZrbjFJOMFY2SbNxQM1RSM1gKYQrXTw0vNpiF0uMdNP8KsZ0t4Mu5YejO4T2j%2fmHhz4BSuIuhVGEokirRfjTtPtooxH946ueQfWTx3LzV%2bnkQtwhhvNxc4v%2f3YYyKQKez1dJZQzbrJjlnDpXh74zUPLoAXeTrY1HMsdhYOxtvVzS3ERdPvOIe0TS4atls5zYvk6WRufwQQcKdSJsnfEJlHm1Z8J%2f4KBzAxm0c","descargar bases")</f>
      </c>
    </row>
    <row r="7">
      <c r="A7" s="0" t="inlineStr">
        <is>
          <t xml:space="preserve">2713-199-LE26</t>
        </is>
      </c>
      <c r="B7" s="4" t="inlineStr">
        <is>
          <t xml:space="preserve">Equipamiento informático para oficinas municipales</t>
        </is>
      </c>
      <c r="C7" s="0" t="inlineStr">
        <is>
          <t xml:space="preserve">Publicada</t>
        </is>
      </c>
      <c r="D7" s="0" t="inlineStr">
        <is>
          <t xml:space="preserve">I MUNICIPALIDAD DE AYSEN</t>
        </is>
      </c>
      <c r="E7" s="0" t="inlineStr">
        <is>
          <t xml:space="preserve">I.MUNICIPALIDAD AYSEN-ADQUISICIONES</t>
        </is>
      </c>
      <c r="F7" s="0" t="inlineStr">
        <is>
          <t xml:space="preserve">Región Aysén del General Carlos Ibáñez del Campo</t>
        </is>
      </c>
      <c r="G7" s="0" t="inlineStr">
        <is>
          <t xml:space="preserve">Aysén</t>
        </is>
      </c>
      <c r="H7" s="2">
        <v>46317.447211</v>
      </c>
      <c r="I7" s="2">
        <v>46331.604167</v>
      </c>
      <c r="J7" s="0">
        <v>14</v>
      </c>
      <c r="K7" s="3"/>
      <c r="L7" s="0" t="inlineStr">
        <is>
          <t xml:space="preserve">CLP</t>
        </is>
      </c>
      <c r="M7" s="0" t="inlineStr">
        <is>
          <t xml:space="preserve">LE</t>
        </is>
      </c>
      <c r="N7" s="4" t="inlineStr">
        <is>
          <t xml:space="preserve">Tecnologías de la información, telecomunicaciones y radiodifusión / Equipos informáticos y accesorios / Accesorios de computador, Tecnologías de la información, telecomunicaciones y radiodifusión / Equipos informáticos y accesorios / Computadores, Tecnologías de la información, telecomunicaciones y radiodifusión / Equipos informáticos y accesorios / Dispositivos informáticos de entrada de datos, Tecnologías de la información, telecomunicaciones y radiodifusión / Equipos informáticos y accesorios / Impresoras, Tecnologías de la información, telecomunicaciones y radiodifusión / Equipos informáticos y accesorios / Pantallas o monitores de computador</t>
        </is>
      </c>
      <c r="O7" s="4" t="inlineStr">
        <is>
          <t xml:space="preserve">1 Unidad · Notebook, laptop o computador portátil excepto Tablet PC · 1 Unidad · Notebook, laptop o computador portátil excepto Tablet PC · 16 Unidad · Computadores personales · y 10 más</t>
        </is>
      </c>
      <c r="P7" s="2"/>
      <c r="Q7" s="2"/>
      <c r="R7" s="0"/>
      <c r="S7" s="0" t="inlineStr">
        <is>
          <t xml:space="preserve">No</t>
        </is>
      </c>
      <c r="T7" s="4"/>
      <c r="U7" s="0" t="inlineStr">
        <is>
          <t xml:space="preserve">Victor Godoy Tapia</t>
        </is>
      </c>
      <c r="V7" s="4" t="inlineStr">
        <is>
          <t xml:space="preserve">La institución requiere adquirir equipamiento de cómputo, digitalización, proyección e impresión para llevar a cabo la renovación programada de sus herramientas tecnológicas, reemplazando unidades en estado de obsolescencia o desgaste por uso continuo.</t>
        </is>
      </c>
      <c r="W7" s="5" t="str">
        <f>HYPERLINK("https://www.mercadopublico.cl/Procurement/Modules/Attachment/ViewAttachment.aspx?enc=qXmnObIjQbOHtKhh0CcSB%2bGMwb8Q8UBK1AekOJz42D2w4%2f7w7wzXRU3ybd1N5HHbkNGNKRDHfs6FHsnF%2frKvBYBbC5%2bbhY36pFU8Vy8X0tIlxy0gnO5L72FlQAxpGXFJMJQt4IYY4JsGHFnvm0uwroJGJDvsfuTDBocRdH2JxsHvhrFo1Scfsa62IlLfOpVMjOYadkpITfvtD%2bvHERYT5J%2bEX06xuelEX6%2b8nV1nd9eTUdU1ykoBVo0qjXxptMIOI4R3dKe34s3xBKEoDuOKgEpOYJGaDmOol4b3wqaU1w%2b5ssybFAgOsDUvb80Ca1Rm","descargar bases")</f>
      </c>
    </row>
    <row r="8">
      <c r="A8" s="0" t="inlineStr">
        <is>
          <t xml:space="preserve">5126-4-LE26</t>
        </is>
      </c>
      <c r="B8" s="4" t="inlineStr">
        <is>
          <t xml:space="preserve">Cambio de tablero y protecciones eléctricas del CCN</t>
        </is>
      </c>
      <c r="C8" s="0" t="inlineStr">
        <is>
          <t xml:space="preserve">Publicada</t>
        </is>
      </c>
      <c r="D8" s="0" t="inlineStr">
        <is>
          <t xml:space="preserve">ESTADO MAYOR CONJUNTO</t>
        </is>
      </c>
      <c r="E8" s="0" t="inlineStr">
        <is>
          <t xml:space="preserve">EMC-Comando Conjunto Norte</t>
        </is>
      </c>
      <c r="F8" s="0" t="inlineStr">
        <is>
          <t xml:space="preserve">Región de Tarapacá  </t>
        </is>
      </c>
      <c r="G8" s="0" t="inlineStr">
        <is>
          <t xml:space="preserve">Iquique</t>
        </is>
      </c>
      <c r="H8" s="2">
        <v>46317.495069</v>
      </c>
      <c r="I8" s="2">
        <v>46332.833333</v>
      </c>
      <c r="J8" s="0">
        <v>15</v>
      </c>
      <c r="K8" s="3">
        <v>14807000.0</v>
      </c>
      <c r="L8" s="0" t="inlineStr">
        <is>
          <t xml:space="preserve">CLP</t>
        </is>
      </c>
      <c r="M8" s="0" t="inlineStr">
        <is>
          <t xml:space="preserve">LE</t>
        </is>
      </c>
      <c r="N8" s="4" t="inlineStr">
        <is>
          <t xml:space="preserve">Maquinaria para generación y distribución de energía / Generación de energía / Equipo para control de producción de energía</t>
        </is>
      </c>
      <c r="O8" s="4" t="inlineStr">
        <is>
          <t xml:space="preserve">1 Unidad · Paneles de control eléctrico para generadores</t>
        </is>
      </c>
      <c r="P8" s="2"/>
      <c r="Q8" s="2"/>
      <c r="R8" s="0"/>
      <c r="S8" s="0" t="inlineStr">
        <is>
          <t xml:space="preserve">No</t>
        </is>
      </c>
      <c r="T8" s="4"/>
      <c r="U8" s="0" t="inlineStr">
        <is>
          <t xml:space="preserve">Capitán de Bandada Sebastián Leyton Arancibia</t>
        </is>
      </c>
      <c r="V8" s="4" t="inlineStr">
        <is>
          <t xml:space="preserve">Cambio de tablero y protecciones eléctricas pertenecientes al segundo piso del Comando Conjunto Norte.</t>
        </is>
      </c>
      <c r="W8" s="5" t="str">
        <f>HYPERLINK("https://www.mercadopublico.cl/Procurement/Modules/Attachment/ViewAttachment.aspx?enc=aV%2fyc0FW9vI7SJqjdYEyJYK4RSu3hOjS2gEX6i1%2fTFQ3ikUmL2r7dsuWejUjSVd%2fG3DMCfgVpJnItrSaR4GONv2tXOMIj2XjL%2f1djK273dZo1iPqbnuma%2bbdToXWbNKx7ue3%2bh4wSz6g6GVr3M%2bl741qassC6yecgRlXhq%2fI0VpBQI%2beM3iX2y1uSwNgzWo0pi%2fvFJ6brT1CHGbIvIEUKtnhJiV5hUJkUBJGbpXHcWFaMvLA1gErSx%2fVyhW181CSmqnX%2bufxpB61%2bFj2xK9pv%2br0EHWKE2RUuqYGvmoC2o5MnsXJMCBPOtuVW5BkuEcc","descargar bases")</f>
      </c>
    </row>
    <row r="9">
      <c r="A9" s="0" t="inlineStr">
        <is>
          <t xml:space="preserve">594965-31-LE26</t>
        </is>
      </c>
      <c r="B9" s="4" t="inlineStr">
        <is>
          <t xml:space="preserve">INSUMOS INFORMATICOS PARA REGION DE OHIGGINS</t>
        </is>
      </c>
      <c r="C9" s="0" t="inlineStr">
        <is>
          <t xml:space="preserve">Publicada</t>
        </is>
      </c>
      <c r="D9" s="0" t="inlineStr">
        <is>
          <t xml:space="preserve">FUNDACION EDUCACIONAL PARA EL DESAROLLO INTEGRAL DE LA NIÑEZ</t>
        </is>
      </c>
      <c r="E9" s="0" t="inlineStr">
        <is>
          <t xml:space="preserve">Regional Lib Bdo Ohiggins</t>
        </is>
      </c>
      <c r="F9" s="0" t="inlineStr">
        <is>
          <t xml:space="preserve">Región del Libertador General Bernardo O´Higgins</t>
        </is>
      </c>
      <c r="G9" s="0" t="inlineStr">
        <is>
          <t xml:space="preserve">Rancagua</t>
        </is>
      </c>
      <c r="H9" s="2">
        <v>46317.452975</v>
      </c>
      <c r="I9" s="2">
        <v>46335.625694</v>
      </c>
      <c r="J9" s="0">
        <v>18</v>
      </c>
      <c r="K9" s="3">
        <v>37984000.0</v>
      </c>
      <c r="L9" s="0" t="inlineStr">
        <is>
          <t xml:space="preserve">CLP</t>
        </is>
      </c>
      <c r="M9" s="0" t="inlineStr">
        <is>
          <t xml:space="preserve">LE</t>
        </is>
      </c>
      <c r="N9" s="4" t="inlineStr">
        <is>
          <t xml:space="preserve">Equipos, accesorios y suministros de oficina / Maquinarias, suministros y accesorios de oficina / Suministros para impresora, fax y fotocopiadora</t>
        </is>
      </c>
      <c r="O9" s="4" t="inlineStr">
        <is>
          <t xml:space="preserve">124 Unidad · Tóner · 139 Unidad · Tóner · 57 Unidad · Tóner · y 34 más</t>
        </is>
      </c>
      <c r="P9" s="2"/>
      <c r="Q9" s="2"/>
      <c r="R9" s="0"/>
      <c r="S9" s="0" t="inlineStr">
        <is>
          <t xml:space="preserve">No</t>
        </is>
      </c>
      <c r="T9" s="4" t="inlineStr">
        <is>
          <t xml:space="preserve">Durante la ejecución de la presente contratación, el Proveedor NO estará facultado para subcontratar las obligaciones objeto de la presente licitación.
No obstante, se permitirá la utilización de terceros para el transporte y la distribución de los prod</t>
        </is>
      </c>
      <c r="U9" s="0" t="inlineStr">
        <is>
          <t xml:space="preserve">MARIO ORTIZ ESPINOZA</t>
        </is>
      </c>
      <c r="V9" s="4" t="inlineStr">
        <is>
          <t xml:space="preserve">Fundación Integra requiere la adquisición de insumos informáticos para oficina regional y jardines infantiles de Fundación Integra en la región de O’Higgins, de conformidad a lo señalado en las presentes bases administrativas y a las especificaciones indicadas en las bases técnicas respectivas</t>
        </is>
      </c>
      <c r="W9" s="5" t="str">
        <f>HYPERLINK("https://www.mercadopublico.cl/Procurement/Modules/Attachment/ViewAttachment.aspx?enc=A3Hi4ispFiS21BJjBSm5GA7WdITuOOGzIKp8Eite1MLwnF2REpowVTwcvMWon96%2fS3qdqPjXbULMoevnJn7PUiIDbA%2b0pKnNhtjFakZufnMNNZuCs4MOHyte9Qa%2foCFBeMoyiwJ9CInfjTbj5QdUXPSGplzjBIJEwjd40FjNHtxIlBNo43ydwk0H6DS3JOUkRwkintLEtMGp95BtTlNzm9S8lG3bRgkxVe7asIz3G%2fc%2b1YX65MEvNrIo7Ne9b4FbIdeHArzUoj%2bED4zy6d0yu80d067Fe9lbW%2fDz88JHi5%2bsY6%2bdz%2b95KDuciGqeH0KO","descargar bases")</f>
      </c>
    </row>
    <row r="10">
      <c r="A10" s="0" t="inlineStr">
        <is>
          <t xml:space="preserve">1233623-47-LP26</t>
        </is>
      </c>
      <c r="B10" s="4" t="inlineStr">
        <is>
          <t xml:space="preserve">SOFTWARE PARA GESTION DE PERSONAS LICANCABUR</t>
        </is>
      </c>
      <c r="C10" s="0" t="inlineStr">
        <is>
          <t xml:space="preserve">Publicada</t>
        </is>
      </c>
      <c r="D10" s="0" t="inlineStr">
        <is>
          <t xml:space="preserve">Servicio Local de Educación Pública Licancabur</t>
        </is>
      </c>
      <c r="E10" s="0" t="inlineStr">
        <is>
          <t xml:space="preserve">Servicio Local de Educación Pública Licancabur</t>
        </is>
      </c>
      <c r="F10" s="0" t="inlineStr">
        <is>
          <t xml:space="preserve">Región de Antofagasta </t>
        </is>
      </c>
      <c r="G10" s="0" t="inlineStr">
        <is>
          <t xml:space="preserve">Calama</t>
        </is>
      </c>
      <c r="H10" s="2">
        <v>46316.519699</v>
      </c>
      <c r="I10" s="2">
        <v>46336.625</v>
      </c>
      <c r="J10" s="0">
        <v>19</v>
      </c>
      <c r="K10" s="3"/>
      <c r="L10" s="0" t="inlineStr">
        <is>
          <t xml:space="preserve">CLP</t>
        </is>
      </c>
      <c r="M10" s="0" t="inlineStr">
        <is>
          <t xml:space="preserve">LP</t>
        </is>
      </c>
      <c r="N10" s="4" t="inlineStr">
        <is>
          <t xml:space="preserve">Tecnologías de la información, telecomunicaciones y radiodifusión / Software / Software de gestión</t>
        </is>
      </c>
      <c r="O10" s="4" t="inlineStr">
        <is>
          <t xml:space="preserve">1 Unidad · Software de gestión de recursos humanos</t>
        </is>
      </c>
      <c r="P10" s="2"/>
      <c r="Q10" s="2"/>
      <c r="R10" s="0" t="inlineStr">
        <is>
          <t xml:space="preserve">36 meses</t>
        </is>
      </c>
      <c r="S10" s="0" t="inlineStr">
        <is>
          <t xml:space="preserve">No</t>
        </is>
      </c>
      <c r="T10" s="4"/>
      <c r="U10" s="0" t="inlineStr">
        <is>
          <t xml:space="preserve">BRUNO BERKHOFF</t>
        </is>
      </c>
      <c r="V10" s="4" t="inlineStr">
        <is>
          <t xml:space="preserve">SOFTWARE PARA GESTION DE PERSONAS SLEP LICANCABUR POR UN PERIODO DE 36 MESES SEGUN LO INDICADO EN LAS BASES ADMINISTRATIVAS Y TECNICAS. COMPLETAR LOS ANEXOS FIRMARLOS SUBIRLOS A LA PLATAFORMA Y REALIZAR EXPOSICION TECNICA REMOTA</t>
        </is>
      </c>
      <c r="W10" s="5" t="str">
        <f>HYPERLINK("https://www.mercadopublico.cl/Procurement/Modules/Attachment/ViewAttachment.aspx?enc=Hdi4SeIpk77Dj0hwuGFlor5ja8i9ZczXQzKD1ktthgEKxwULy2EIC5CXZJTUF2TZ1zRl5doecUroHZixWgNNDymCibXKmD19MeU8qaZBVGGQxMCbHx%2buSSoRnkzNzgS4wNBqraWZa5OdDRnL00HbCLcRDUgCZm34wDMKOU3jqkAqYl6a0P2OrWaWqOybq45%2fC3oxK%2f8ldBQrixxxWrvO2WIPIoYdgCxYDiiNqQaUehBqbhC50YP7RQ89pPBgPqAjTpfa7IAGO5s49FWQAeaEm4Pryjl5a%2fXXACOonUW1K27jRSiyDRXwz3NXPGmHdf0c","descargar bases")</f>
      </c>
    </row>
    <row r="11">
      <c r="A11" s="0" t="inlineStr">
        <is>
          <t xml:space="preserve">948354-157-LP26</t>
        </is>
      </c>
      <c r="B11" s="4" t="inlineStr">
        <is>
          <t xml:space="preserve">CONTRATACIÓN DEL SERVICIO DE ARRIENDO DE UNA CABINA SANITARIA CON EQUIPO MAMÓGRAFO PARA USO DE MAMOGRAFÍA DIGITALIZADA PORTÁTIL PARA EL HOSPITAL DIPRECA</t>
        </is>
      </c>
      <c r="C11" s="0" t="inlineStr">
        <is>
          <t xml:space="preserve">Publicada</t>
        </is>
      </c>
      <c r="D11" s="0" t="inlineStr">
        <is>
          <t xml:space="preserve">FONDO HOSPITAL DE LA DIRECCION DE PREVISION DE CARABINEROS DE CHILE</t>
        </is>
      </c>
      <c r="E11" s="0" t="inlineStr">
        <is>
          <t xml:space="preserve">Unidad de Compra de Bienes y Servicios</t>
        </is>
      </c>
      <c r="F11" s="0" t="inlineStr">
        <is>
          <t xml:space="preserve">Región Metropolitana de Santiago</t>
        </is>
      </c>
      <c r="G11" s="0" t="inlineStr">
        <is>
          <t xml:space="preserve">Las Condes</t>
        </is>
      </c>
      <c r="H11" s="2">
        <v>46316.642211</v>
      </c>
      <c r="I11" s="2">
        <v>46336.666667</v>
      </c>
      <c r="J11" s="0">
        <v>19</v>
      </c>
      <c r="K11" s="3"/>
      <c r="L11" s="0" t="inlineStr">
        <is>
          <t xml:space="preserve">CLP</t>
        </is>
      </c>
      <c r="M11" s="0" t="inlineStr">
        <is>
          <t xml:space="preserve">LP</t>
        </is>
      </c>
      <c r="N11" s="4" t="inlineStr">
        <is>
          <t xml:space="preserve">Equipamiento y suministros médicos / Productos para imágenes y de medicina nuclear / Artículos radiográficos de diagnóstico médico</t>
        </is>
      </c>
      <c r="O11" s="4" t="inlineStr">
        <is>
          <t xml:space="preserve">12 Mes · Equipo para radiografías mamográficas</t>
        </is>
      </c>
      <c r="P11" s="2"/>
      <c r="Q11" s="2"/>
      <c r="R11" s="0" t="inlineStr">
        <is>
          <t xml:space="preserve">12 meses</t>
        </is>
      </c>
      <c r="S11" s="0" t="inlineStr">
        <is>
          <t xml:space="preserve">No</t>
        </is>
      </c>
      <c r="T11" s="4"/>
      <c r="U11" s="0" t="inlineStr">
        <is>
          <t xml:space="preserve">Dra. Constanza Damm Araneda</t>
        </is>
      </c>
      <c r="V11" s="4" t="inlineStr">
        <is>
          <t xml:space="preserve">El Hospital de la Dirección de Previsión de Carabineros de Chile, ubicado en Vital Apoquindo N°1.200, Comuna de Las Condes, Región Metropolitana, en adelante “EL HOSPITAL”, llama a licitación pública para la Contratación del Servicio de Arriendo de una Cabina Sanitaria con Equipo Mamógrafo para Uso de Mamografía Digitalizada Portátil, en adelante “EL SERVICIO”, para un período de 12 meses, esta contratación se ejecutará bajo la modalidad de Contrato de Suministro para el referido Centro Asistencial, cuyas características y requisitos técnicos constan en las Bases Administrativas y Técnicas de esta Licitación con sus respectivos anexos.</t>
        </is>
      </c>
      <c r="W11" s="5" t="str">
        <f>HYPERLINK("https://www.mercadopublico.cl/Procurement/Modules/Attachment/ViewAttachment.aspx?enc=hJ0ceYkzgvLlyvsUB0Gj5ShYDxg4k8iWjR7cQXAdkJwHRR%2brb%2b7QD9QArUQF9F9D6a2Z8Cwg1%2bvtGvTGaOnZcuDUoi6n7sLe7OLDWCMwSOEQzu%2f%2ffF%2flAPDHMSnb8cvLeyHHbsx5RcExMbZv7AiJcO8ilJruK5kN3MWNLQvDFxCZZ0ZHmDqo%2fDeJoB6m%2bAtsEQesVffF1NX8zdDAEKxT5rXgtOslBNw93Mk9vFG6F6w7IfSU9V415mkvs1pjZl%2bANHQxvF7H4UeBO9dfhOq4xIDruzHjRXd%2f2QbSXjbyf9d5djQ9F4GC%2bB5zGs1s1x1b","descargar bases")</f>
      </c>
    </row>
  </sheetData>
  <autoFilter ref="A1:W11"/>
</worksheet>
</file>

<file path=xl/worksheets/sheet2.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1098710-30-LE26</t>
        </is>
      </c>
      <c r="B2" s="4" t="inlineStr">
        <is>
          <t xml:space="preserve">LICENCIAS SOFTWARE SLACK BUSINESS+ O EQUIVALENTE</t>
        </is>
      </c>
      <c r="C2" s="0" t="inlineStr">
        <is>
          <t xml:space="preserve">Publicada</t>
        </is>
      </c>
      <c r="D2" s="0" t="inlineStr">
        <is>
          <t xml:space="preserve">SUBSECRETARIA DE CIENCIA, TECNOLOGIA, CONOCIMIENTO E INNOVACION</t>
        </is>
      </c>
      <c r="E2" s="0" t="inlineStr">
        <is>
          <t xml:space="preserve">SUBSECRETARIA DE CIENCIA, TECNOLOGIA, CONOCIMIENTO E INNOVACION</t>
        </is>
      </c>
      <c r="F2" s="0" t="inlineStr">
        <is>
          <t xml:space="preserve">Región Metropolitana de Santiago</t>
        </is>
      </c>
      <c r="G2" s="0" t="inlineStr">
        <is>
          <t xml:space="preserve">Santiago</t>
        </is>
      </c>
      <c r="H2" s="2">
        <v>46314.443935</v>
      </c>
      <c r="I2" s="2">
        <v>46321.625</v>
      </c>
      <c r="J2" s="0">
        <v>4</v>
      </c>
      <c r="K2" s="3">
        <v>38556000.0</v>
      </c>
      <c r="L2" s="0" t="inlineStr">
        <is>
          <t xml:space="preserve">CLP</t>
        </is>
      </c>
      <c r="M2" s="0" t="inlineStr">
        <is>
          <t xml:space="preserve">LE</t>
        </is>
      </c>
      <c r="N2" s="4" t="inlineStr">
        <is>
          <t xml:space="preserve">Tecnologías de la información, telecomunicaciones y radiodifusión / Software / Software de gestión</t>
        </is>
      </c>
      <c r="O2" s="4" t="inlineStr">
        <is>
          <t xml:space="preserve">1 Unidad · Software de gestión de licencias</t>
        </is>
      </c>
      <c r="P2" s="2"/>
      <c r="Q2" s="2"/>
      <c r="R2" s="0"/>
      <c r="S2" s="0" t="inlineStr">
        <is>
          <t xml:space="preserve">No</t>
        </is>
      </c>
      <c r="T2" s="4" t="inlineStr">
        <is>
          <t xml:space="preserve">Lo indicado en punto 18 de Res. Ex. N°4632026 que llama a licitación y aprueba Bases Administrativas y Técnicas</t>
        </is>
      </c>
      <c r="U2" s="0" t="inlineStr">
        <is>
          <t xml:space="preserve">Patricio Echenique</t>
        </is>
      </c>
      <c r="V2" s="4" t="inlineStr">
        <is>
          <t xml:space="preserve">ADQUISICIÓN DE LICENCIAS DE SOFTWARE SLACK BUSINESS+ O EQUIVALENTE</t>
        </is>
      </c>
      <c r="W2" s="5" t="str">
        <f>HYPERLINK("https://www.mercadopublico.cl/Procurement/Modules/Attachment/ViewAttachment.aspx?enc=LaLxJEblT%2bVvpWf%2fIUGBouEV06XW4%2bTYxVq2pW8h7duM5GxQXbh8%2f18Hb64yHMWZ8aFLLb4j4MeB2XIT4JUhRY4QBTfIweNGzGpBiUD1AUuxXjbi08Lc14EldlHuckTWHpv%2bprfRBhq%2fMRee0uIK%2bdhMjJleC1sH3KH6feCSGpfTx3YHJiUZtltCvqXxvR%2b2X5gS5jtJ7lOLYaf44dzpEihjxHdb9z6h1tmSPJtMflEnQgZRYTgXCqLtleGl9NY73mhu0jFVEqCW%2fLYu5n1B6oPFNcrduD4RM5SOMgdLe%2bsVPpusJT9hBe32mKsAeSmu","descargar bases")</f>
      </c>
    </row>
    <row r="3">
      <c r="A3" s="0" t="inlineStr">
        <is>
          <t xml:space="preserve">1110404-232-L126</t>
        </is>
      </c>
      <c r="B3" s="4" t="inlineStr">
        <is>
          <t xml:space="preserve">ADQUISICIÓN DE PLATAFORMA INTEGRATE PIE PARA LICEO B. ARTISTICO DR. JUAN NOE CREVANI, PERT. AL SLEPCH</t>
        </is>
      </c>
      <c r="C3" s="0" t="inlineStr">
        <is>
          <t xml:space="preserve">Publicada</t>
        </is>
      </c>
      <c r="D3" s="0" t="inlineStr">
        <is>
          <t xml:space="preserve">SERVICIO LOCAL DE EDUCACION DE CHINCHORRO</t>
        </is>
      </c>
      <c r="E3" s="0" t="inlineStr">
        <is>
          <t xml:space="preserve">SLEPCH - EE - Programa 02</t>
        </is>
      </c>
      <c r="F3" s="0" t="inlineStr">
        <is>
          <t xml:space="preserve">Región de Arica y Parinacota</t>
        </is>
      </c>
      <c r="G3" s="0" t="inlineStr">
        <is>
          <t xml:space="preserve">Arica</t>
        </is>
      </c>
      <c r="H3" s="2">
        <v>46314.729734</v>
      </c>
      <c r="I3" s="2">
        <v>46321.625</v>
      </c>
      <c r="J3" s="0">
        <v>4</v>
      </c>
      <c r="K3" s="3">
        <v>3499600.0</v>
      </c>
      <c r="L3" s="0" t="inlineStr">
        <is>
          <t xml:space="preserve">CLP</t>
        </is>
      </c>
      <c r="M3" s="0" t="inlineStr">
        <is>
          <t xml:space="preserve">L1</t>
        </is>
      </c>
      <c r="N3" s="4" t="inlineStr">
        <is>
          <t xml:space="preserve">Tecnologías de la información, telecomunicaciones y radiodifusión / Software / Programas de desarrollo</t>
        </is>
      </c>
      <c r="O3" s="4" t="inlineStr">
        <is>
          <t xml:space="preserve">1 Global · Software de desarrollo de plataforma Web</t>
        </is>
      </c>
      <c r="P3" s="2"/>
      <c r="Q3" s="2"/>
      <c r="R3" s="0"/>
      <c r="S3" s="0" t="inlineStr">
        <is>
          <t xml:space="preserve">No</t>
        </is>
      </c>
      <c r="T3" s="4"/>
      <c r="U3" s="0"/>
      <c r="V3" s="4" t="inlineStr">
        <is>
          <t xml:space="preserve">El Servicio Local de Educación Pública Chinchorro requiere fortalecer la gestión pedagógica y administrativa del Programa de Integración Escolar (PIE), mediante la adquisición de la plataforma tecnológica Integrate PIE, destinada a optimizar los procesos asociados a la planificación, registro, seguimiento y evaluación de los apoyos entregados a estudiantes con Necesidades Educativas Especiales (NEE).</t>
        </is>
      </c>
      <c r="W3" s="5" t="str">
        <f>HYPERLINK("https://www.mercadopublico.cl/Procurement/Modules/Attachment/ViewAttachment.aspx?enc=ffDx4mYrwgDadgUDotKKB9dg0dn69sxS3BfkFizn4Tkjrw0K0ihD4%2bVh5KlOVu3jzNcTVGU4x98QXNuuXm5ZMuJUzUMOZzQXwI9LuoeYJgrgUp4zsobA%2buY%2fD0EkXFmbTxnintpkEqWD77%2fulSigX9LSf%2fanv9wsr9I4YL5XpZOd96o88Ft3EtlED3kh1i4IVPpNn6y4HOPqjIZFf9eZLfg5Xknp%2feMp7G3HTG%2bSWlifyjlGFjSaKJwpfvE%2bQcZT3URysEyrU6kiMTnOFSkw7YcN%2bg7J%2ffhbQbC66OPxJTy67vvKlgO1gfKhUnPmv1Ok","descargar bases")</f>
      </c>
    </row>
    <row r="4">
      <c r="A4" s="0" t="inlineStr">
        <is>
          <t xml:space="preserve">1591-25-LE26</t>
        </is>
      </c>
      <c r="B4" s="4" t="inlineStr">
        <is>
          <t xml:space="preserve">LICENCIA ADOBE CREATIVE CLOUD Y ADOBE ACROBAT PRO</t>
        </is>
      </c>
      <c r="C4" s="0" t="inlineStr">
        <is>
          <t xml:space="preserve">Publicada</t>
        </is>
      </c>
      <c r="D4" s="0" t="inlineStr">
        <is>
          <t xml:space="preserve">SERVICIO NACIONAL DE TURISMO</t>
        </is>
      </c>
      <c r="E4" s="0" t="inlineStr">
        <is>
          <t xml:space="preserve">Servicio Nacional de Turismo - Sernatur</t>
        </is>
      </c>
      <c r="F4" s="0" t="inlineStr">
        <is>
          <t xml:space="preserve">Región Metropolitana de Santiago</t>
        </is>
      </c>
      <c r="G4" s="0" t="inlineStr">
        <is>
          <t xml:space="preserve">Alhué</t>
        </is>
      </c>
      <c r="H4" s="2">
        <v>46311.58816</v>
      </c>
      <c r="I4" s="2">
        <v>46321.625</v>
      </c>
      <c r="J4" s="0">
        <v>4</v>
      </c>
      <c r="K4" s="3">
        <v>32104692.0</v>
      </c>
      <c r="L4" s="0" t="inlineStr">
        <is>
          <t xml:space="preserve">CLP</t>
        </is>
      </c>
      <c r="M4" s="0" t="inlineStr">
        <is>
          <t xml:space="preserve">LE</t>
        </is>
      </c>
      <c r="N4" s="4" t="inlineStr">
        <is>
          <t xml:space="preserve">Tecnologías de la información, telecomunicaciones y radiodifusión / Software / Software de gestión de contenidos</t>
        </is>
      </c>
      <c r="O4" s="4" t="inlineStr">
        <is>
          <t xml:space="preserve">1 Unidad · Programas de gestión de documentos</t>
        </is>
      </c>
      <c r="P4" s="2"/>
      <c r="Q4" s="2"/>
      <c r="R4" s="0"/>
      <c r="S4" s="0" t="inlineStr">
        <is>
          <t xml:space="preserve">No</t>
        </is>
      </c>
      <c r="T4" s="4"/>
      <c r="U4" s="0" t="inlineStr">
        <is>
          <t xml:space="preserve">Carlos Díaz Acevedo</t>
        </is>
      </c>
      <c r="V4" s="4" t="inlineStr">
        <is>
          <t xml:space="preserve">LICENCIA ADOBE CREATIVE CLOUD Y ADOBE ACROBAT PRO</t>
        </is>
      </c>
      <c r="W4" s="5" t="str">
        <f>HYPERLINK("https://www.mercadopublico.cl/Procurement/Modules/Attachment/ViewAttachment.aspx?enc=mw7no%2f6ZQ2ML2GaAqnlxtceSEckhOZZXc8uve0lzIvLSKxfM6J8pgXNvXQfIUEbtUOZ1bA28JJ8YTkUY55Z3tIZgSv%2fYZVYHTGDQRbD4Nz26cFYYq5oLqUcZdFp5pReActShkq9ja6YN6YukeblcKTtVv3NSthp3hkh3j6tA4vvRSxKYu0yK%2bRnen5BxgXMK%2fLzE%2fRrqQgy2zxnuIcxVWLA3mt53%2f2%2f8rjIs8vjeQkKFbo%2bQ7R%2bkkt33x5YmC28aiFQU9ppmzAyU%2fRwtoO9AtI5Jp6QESkS6qAjFXGq84bDf7pPgkkGmGLBVSaUQtwpj","descargar bases")</f>
      </c>
    </row>
    <row r="5">
      <c r="A5" s="0" t="inlineStr">
        <is>
          <t xml:space="preserve">2387-86-LE26</t>
        </is>
      </c>
      <c r="B5" s="4" t="inlineStr">
        <is>
          <t xml:space="preserve">SUMINISTRO SOFTWARE DE ALTA PROTECCION INFORMATICA</t>
        </is>
      </c>
      <c r="C5" s="0" t="inlineStr">
        <is>
          <t xml:space="preserve">Publicada</t>
        </is>
      </c>
      <c r="D5" s="0" t="inlineStr">
        <is>
          <t xml:space="preserve">I MUNICIPALIDAD DE PUCON</t>
        </is>
      </c>
      <c r="E5" s="0" t="inlineStr">
        <is>
          <t xml:space="preserve">Municipalidad de Pucon</t>
        </is>
      </c>
      <c r="F5" s="0" t="inlineStr">
        <is>
          <t xml:space="preserve">Región de la Araucanía </t>
        </is>
      </c>
      <c r="G5" s="0" t="inlineStr">
        <is>
          <t xml:space="preserve">Pucón</t>
        </is>
      </c>
      <c r="H5" s="2">
        <v>46314.657928</v>
      </c>
      <c r="I5" s="2">
        <v>46321.625</v>
      </c>
      <c r="J5" s="0">
        <v>4</v>
      </c>
      <c r="K5" s="3">
        <v>36003349.0</v>
      </c>
      <c r="L5" s="0" t="inlineStr">
        <is>
          <t xml:space="preserve">CLP</t>
        </is>
      </c>
      <c r="M5" s="0" t="inlineStr">
        <is>
          <t xml:space="preserve">LE</t>
        </is>
      </c>
      <c r="N5" s="4" t="inlineStr">
        <is>
          <t xml:space="preserve">Tecnologías de la información, telecomunicaciones y radiodifusión / Software / Software de seguridad y protección</t>
        </is>
      </c>
      <c r="O5" s="4" t="inlineStr">
        <is>
          <t xml:space="preserve">730 Unidad · Software de protección antivirus y de seguridad de transacciones</t>
        </is>
      </c>
      <c r="P5" s="2"/>
      <c r="Q5" s="2"/>
      <c r="R5" s="0" t="inlineStr">
        <is>
          <t xml:space="preserve">12 meses</t>
        </is>
      </c>
      <c r="S5" s="0" t="inlineStr">
        <is>
          <t xml:space="preserve">No</t>
        </is>
      </c>
      <c r="T5" s="4" t="inlineStr">
        <is>
          <t xml:space="preserve">Se prohíbe al Proveedor ceder o traspasar, a cualquier título, la posición contractual completa –esto es, el conjunto de derechos y obligaciones derivados del Contrato– a persona alguna.
La infracción de esta prohibición constituirá incumplimiento grave</t>
        </is>
      </c>
      <c r="U5" s="0" t="inlineStr">
        <is>
          <t xml:space="preserve">Municipalidad de Pucón</t>
        </is>
      </c>
      <c r="V5" s="4" t="inlineStr">
        <is>
          <t xml:space="preserve">Dotar de Software de alta protección informática antivirus y otros incluidos, para todo el equipamiento computacional Municipal, Salud y Educación para la protección de la información digital, y así evitar ataques informáticos  de todo tipo que vulneren la seguridad de la red institucional, servidores y computadores municipales.</t>
        </is>
      </c>
      <c r="W5" s="5" t="str">
        <f>HYPERLINK("https://www.mercadopublico.cl/Procurement/Modules/Attachment/ViewAttachment.aspx?enc=l889ZLO5TaIN8dVWEdeWG3qipr47UMuV45C08C7lwTkucn8SCOdNEm90AIAlG30TYDQZsci7pIXMbG3eknCrRNpncihcg8k5le8wVWd%2bMmNnPB%2ffjeuHny53cxjjE%2bW99FE9lf09KpdiutrvEgR41rNDztP1rq3hGz2PnNxnZsLJuxeJ%2bwrdMEaPeb8M%2bG%2fqEMop0DlPfjlDoNFlcg0RqDIGgBoerMlRvlrw2RBjR5u0WLe26o5f0J%2bhH0i0mbWW6avINFYeez2giUIzYgbpIp5qhuoARNI7j9IqE%2fJJaXpisTmCF289XGI0nqA4lPr1","descargar bases")</f>
      </c>
    </row>
    <row r="6">
      <c r="A6" s="0" t="inlineStr">
        <is>
          <t xml:space="preserve">2429-21-LE26</t>
        </is>
      </c>
      <c r="B6" s="4" t="inlineStr">
        <is>
          <t xml:space="preserve">ADQUISICIÓN DE LICENCIAS DE SOFTWARE DE ANTIVIRUS</t>
        </is>
      </c>
      <c r="C6" s="0" t="inlineStr">
        <is>
          <t xml:space="preserve">Publicada</t>
        </is>
      </c>
      <c r="D6" s="0" t="inlineStr">
        <is>
          <t xml:space="preserve">I MUNICIPALIDAD DE ANTOFAGASTA</t>
        </is>
      </c>
      <c r="E6" s="0" t="inlineStr">
        <is>
          <t xml:space="preserve">I MUNICIPALIDAD DE ANTOFAGASTA - FINANZAS</t>
        </is>
      </c>
      <c r="F6" s="0" t="inlineStr">
        <is>
          <t xml:space="preserve">Región de Antofagasta </t>
        </is>
      </c>
      <c r="G6" s="0" t="inlineStr">
        <is>
          <t xml:space="preserve">Antofagasta</t>
        </is>
      </c>
      <c r="H6" s="2">
        <v>46314.550081</v>
      </c>
      <c r="I6" s="2">
        <v>46321.625</v>
      </c>
      <c r="J6" s="0">
        <v>4</v>
      </c>
      <c r="K6" s="3"/>
      <c r="L6" s="0" t="inlineStr">
        <is>
          <t xml:space="preserve">CLP</t>
        </is>
      </c>
      <c r="M6" s="0" t="inlineStr">
        <is>
          <t xml:space="preserve">LE</t>
        </is>
      </c>
      <c r="N6" s="4" t="inlineStr">
        <is>
          <t xml:space="preserve">Tecnologías de la información, telecomunicaciones y radiodifusión / Software / Software de seguridad y protección</t>
        </is>
      </c>
      <c r="O6" s="4" t="inlineStr">
        <is>
          <t xml:space="preserve">1 Global · Software de protección antivirus y de seguridad de transacciones</t>
        </is>
      </c>
      <c r="P6" s="2"/>
      <c r="Q6" s="2"/>
      <c r="R6" s="0"/>
      <c r="S6" s="0" t="inlineStr">
        <is>
          <t xml:space="preserve">No</t>
        </is>
      </c>
      <c r="T6" s="4" t="inlineStr">
        <is>
          <t xml:space="preserve">SEGUN BASES ADMINISTRATIVAS</t>
        </is>
      </c>
      <c r="U6" s="0" t="inlineStr">
        <is>
          <t xml:space="preserve">SMILKA KOVACEVIC</t>
        </is>
      </c>
      <c r="V6" s="4" t="inlineStr">
        <is>
          <t xml:space="preserve">ADQUISICIÓN DE LICENCIAS DE SOFWARE DE ANTIVIRUS (EDR) CON ADMINISTRACIÓN
CENTRALIZADA</t>
        </is>
      </c>
      <c r="W6" s="5" t="str">
        <f>HYPERLINK("https://www.mercadopublico.cl/Procurement/Modules/Attachment/ViewAttachment.aspx?enc=Bq0Kgy7NxP6xjpqIavpfh6e3VX6wluCqK%2bLM5aqMY7T4j%2fZ%2bF6EvLqF7wQt9XWxonrVl8BBoYv5hzx6GcDomlZWtoFRGNqcWestvODwmYlhrH2lL4wFkh1iItsGiM7ScOvNkY%2fA729MGzmvF97Ym2y5%2fq06Npr7FFii40zNoChO2ANxbCvW%2fu8H0OQ1MPlN2%2fQgt3SSNDNaVqJCtDe5cxgCL6%2fb8EvBJGqrEHI%2bIZ1cyIvH3nFORIeRiW5wxONSDtG%2b4fpdm0SYJ2uF%2fd2LFrTuq0sljMU3gJOQ83w4qWtTgIQrHwSvlpoL8aai5R8SF","descargar bases")</f>
      </c>
    </row>
    <row r="7">
      <c r="A7" s="0" t="inlineStr">
        <is>
          <t xml:space="preserve">2563-43-LP26</t>
        </is>
      </c>
      <c r="B7" s="4" t="inlineStr">
        <is>
          <t xml:space="preserve">Adquisición de cámaras IA y radares de seguridad</t>
        </is>
      </c>
      <c r="C7" s="0" t="inlineStr">
        <is>
          <t xml:space="preserve">Publicada</t>
        </is>
      </c>
      <c r="D7" s="0" t="inlineStr">
        <is>
          <t xml:space="preserve">DIRECCION GENERAL DE AERONAUTICA CIVIL</t>
        </is>
      </c>
      <c r="E7" s="0" t="inlineStr">
        <is>
          <t xml:space="preserve">UNIDAD DE COMPRA CONTRATOS NACIONALES</t>
        </is>
      </c>
      <c r="F7" s="0" t="inlineStr">
        <is>
          <t xml:space="preserve">Región Metropolitana de Santiago</t>
        </is>
      </c>
      <c r="G7" s="0" t="inlineStr">
        <is>
          <t xml:space="preserve">Providencia</t>
        </is>
      </c>
      <c r="H7" s="2">
        <v>46293.538194</v>
      </c>
      <c r="I7" s="2">
        <v>46321.625</v>
      </c>
      <c r="J7" s="0">
        <v>4</v>
      </c>
      <c r="K7" s="3">
        <v>192000000.0</v>
      </c>
      <c r="L7" s="0" t="inlineStr">
        <is>
          <t xml:space="preserve">CLP</t>
        </is>
      </c>
      <c r="M7" s="0" t="inlineStr">
        <is>
          <t xml:space="preserve">LP</t>
        </is>
      </c>
      <c r="N7" s="4" t="inlineStr">
        <is>
          <t xml:space="preserve">Equipos y suministros de defensa, orden público, protección y seguridad / Seguridad, vigilancia y detección / Equipo de vigilancia y detección</t>
        </is>
      </c>
      <c r="O7" s="4" t="inlineStr">
        <is>
          <t xml:space="preserve">2 Unidad · Cámaras de seguridad · 2 Unidad · Cámaras de seguridad · 1 Unidad · Cámaras de seguridad · y 13 más</t>
        </is>
      </c>
      <c r="P7" s="2"/>
      <c r="Q7" s="2"/>
      <c r="R7" s="0"/>
      <c r="S7" s="0" t="inlineStr">
        <is>
          <t xml:space="preserve">No</t>
        </is>
      </c>
      <c r="T7" s="4"/>
      <c r="U7" s="0" t="inlineStr">
        <is>
          <t xml:space="preserve">Javier Pacheco</t>
        </is>
      </c>
      <c r="V7" s="4" t="inlineStr">
        <is>
          <t xml:space="preserve">adquisición, modalidad “llave en mano”, de cámaras  de videovigilancia con inteligencia artificial (IA) y radares de seguridad para el aeródromo El Loa de Calama, compuesta por grabador de video en red, servidor de gestión de video, discos duros, videowall, licencia, y demás elementos, componentes, y servicios asociados.</t>
        </is>
      </c>
      <c r="W7" s="5" t="str">
        <f>HYPERLINK("https://www.mercadopublico.cl/Procurement/Modules/Attachment/ViewAttachment.aspx?enc=YVqLq69%2fWvvQff4DdAMrWxtVHc0zOGetROkhDZZuqGSS8SMqtzDncehrUW6o81ZjyHloZntkMfmHzYIxwIAq1g2GSqcT1RYarkRtcS8BdmrrdecXwTYLS3tEQ5HP8duYoyRve8a4ew9974nJ6P1ciFPGJnS1PA0nPOaUSEfLmZ3gKrNTLopRy7%2b%2fyT8U7bCL3pJB2p%2f8UiWjcvLKEPKVAlVkKBIxY60sptWN6gpGQbqRhpMZJODF6tLmsESKL4IGUNcIC08BeF8sSFMQbqoJhRPg45EwkZzu6ptJtKbWP%2bXc%2f4%2bIBr%2f1EvjSqGcjlkOc","descargar bases")</f>
      </c>
    </row>
    <row r="8">
      <c r="A8" s="0" t="inlineStr">
        <is>
          <t xml:space="preserve">3047-60-LE26</t>
        </is>
      </c>
      <c r="B8" s="4" t="inlineStr">
        <is>
          <t xml:space="preserve">EQUIPAMIENTO INFORMÁTICO PARA IMPLEMENTAR SERVIDOR EN EL CENTRO DE INNOVACIÓN TECNOLÓGICA DE LA ARMADA</t>
        </is>
      </c>
      <c r="C8" s="0" t="inlineStr">
        <is>
          <t xml:space="preserve">Publicada</t>
        </is>
      </c>
      <c r="D8" s="0" t="inlineStr">
        <is>
          <t xml:space="preserve">DIRECCION DE ABASTECIMIENTO DE LA ARMADA</t>
        </is>
      </c>
      <c r="E8" s="0" t="inlineStr">
        <is>
          <t xml:space="preserve">ACADEMIA POLITECNICA NAVAL</t>
        </is>
      </c>
      <c r="F8" s="0" t="inlineStr">
        <is>
          <t xml:space="preserve">Región de Valparaíso </t>
        </is>
      </c>
      <c r="G8" s="0"/>
      <c r="H8" s="2">
        <v>46303.664468</v>
      </c>
      <c r="I8" s="2">
        <v>46321.625</v>
      </c>
      <c r="J8" s="0">
        <v>4</v>
      </c>
      <c r="K8" s="3">
        <v>60000000.0</v>
      </c>
      <c r="L8" s="0" t="inlineStr">
        <is>
          <t xml:space="preserve">CLP</t>
        </is>
      </c>
      <c r="M8" s="0" t="inlineStr">
        <is>
          <t xml:space="preserve">LE</t>
        </is>
      </c>
      <c r="N8" s="4" t="inlineStr">
        <is>
          <t xml:space="preserve">Tecnologías de la información, telecomunicaciones y radiodifusión / Equipos informáticos y accesorios / Computadores</t>
        </is>
      </c>
      <c r="O8" s="4" t="inlineStr">
        <is>
          <t xml:space="preserve">1 Unidad · Servidores</t>
        </is>
      </c>
      <c r="P8" s="2"/>
      <c r="Q8" s="2"/>
      <c r="R8" s="0"/>
      <c r="S8" s="0" t="inlineStr">
        <is>
          <t xml:space="preserve">No</t>
        </is>
      </c>
      <c r="T8" s="4"/>
      <c r="U8" s="0" t="inlineStr">
        <is>
          <t xml:space="preserve">FRANCISCO LAYMUNS HEILMAIER</t>
        </is>
      </c>
      <c r="V8" s="4" t="inlineStr">
        <is>
          <t xml:space="preserve">EQUIPAMIENTO INFORMÁTICO PARA IMPLEMENTAR SERVIDOR EN EL CENTRO DE INNOVACIÓN TECNOLÓGICA DE LA ARMADA</t>
        </is>
      </c>
      <c r="W8" s="5" t="str">
        <f>HYPERLINK("https://www.mercadopublico.cl/Procurement/Modules/Attachment/ViewAttachment.aspx?enc=dYUXFhENw9wHJQlh3Tvl3OaPJrXjsVINcs5ukKgwy1cQeOWMGucHb7DyxggW4Eayn%2bdvdC%2ffPggGnYvcMu8Y7nCccQtkPkGyUQbk88xBNFRFUe%2fysScp6bOzIxtsl44JGFjgj4kmOHVpJ8lhwwo1aGpwinKpNKorSD6oXBuQaNC0wMsmESR0EBZtK%2bRD4ACS2Xp56GDeWWxVxbuxCetZ3sMVIxoUo1h%2bs4cE9xmXTwcvZ%2bJu74vlH8AhI3sT%2fGVFdKQCEjCrdx%2fMKlN5zU0i6ubpFQEG2JcTJzDPhvfqZoDoN9hByrF05Zy6iONH7IDM","descargar bases")</f>
      </c>
    </row>
    <row r="9">
      <c r="A9" s="0" t="inlineStr">
        <is>
          <t xml:space="preserve">3671-80-LE26</t>
        </is>
      </c>
      <c r="B9" s="4" t="inlineStr">
        <is>
          <t xml:space="preserve">“HABILITACIÓN DE NUEVAS DEPENDENCIAS DE SEGURIDAD MUNICIPAL E INFORMÁTICA DE LA MUNICIPALIDAD DE CHILLÁN VIEJO”</t>
        </is>
      </c>
      <c r="C9" s="0" t="inlineStr">
        <is>
          <t xml:space="preserve">Publicada</t>
        </is>
      </c>
      <c r="D9" s="0" t="inlineStr">
        <is>
          <t xml:space="preserve">ILUSTRE MUNICIPALIDAD DE CHILLAN VIEJO</t>
        </is>
      </c>
      <c r="E9" s="0" t="inlineStr">
        <is>
          <t xml:space="preserve">Secplan</t>
        </is>
      </c>
      <c r="F9" s="0" t="inlineStr">
        <is>
          <t xml:space="preserve">Región del Ñuble</t>
        </is>
      </c>
      <c r="G9" s="0" t="inlineStr">
        <is>
          <t xml:space="preserve">Chillán Viejo</t>
        </is>
      </c>
      <c r="H9" s="2">
        <v>46304.695139</v>
      </c>
      <c r="I9" s="2">
        <v>46321.625</v>
      </c>
      <c r="J9" s="0">
        <v>4</v>
      </c>
      <c r="K9" s="3"/>
      <c r="L9" s="0" t="inlineStr">
        <is>
          <t xml:space="preserve">CLP</t>
        </is>
      </c>
      <c r="M9" s="0" t="inlineStr">
        <is>
          <t xml:space="preserve">LE</t>
        </is>
      </c>
      <c r="N9" s="4" t="inlineStr">
        <is>
          <t xml:space="preserve">Servicios de construcción y mantenimiento / Construcción de edificios en general / Construcción de obras civiles y infraestructuras</t>
        </is>
      </c>
      <c r="O9" s="4" t="inlineStr">
        <is>
          <t xml:space="preserve">1 Unidad · Construcción de obras civiles</t>
        </is>
      </c>
      <c r="P9" s="2"/>
      <c r="Q9" s="2"/>
      <c r="R9" s="0"/>
      <c r="S9" s="0" t="inlineStr">
        <is>
          <t xml:space="preserve">No</t>
        </is>
      </c>
      <c r="T9" s="4"/>
      <c r="U9" s="0" t="inlineStr">
        <is>
          <t xml:space="preserve">MARIA PAZ VASQUEZ RAMIREZ</t>
        </is>
      </c>
      <c r="V9" s="4" t="inlineStr">
        <is>
          <t xml:space="preserve">La presente licitación pública tiene como objeto la contratación de un servicio especializado de adquisición, instalación, cambio de equipamiento tecnológico y servicio de traslado de  infraestructura tecnológica y la habilitación de su nueva central de monitoreo. El proyecto debe garantizar la continuidad operativa y la integridad del equipamiento crítico.</t>
        </is>
      </c>
      <c r="W9" s="5" t="str">
        <f>HYPERLINK("https://www.mercadopublico.cl/Procurement/Modules/Attachment/ViewAttachment.aspx?enc=Qzv49ZfNyWC8fm2ET2DHhjAzA9t9kJcw1ynrZcYClS9c%2bAM%2bZROceMJrDfbEYJyQhAxXBj1F4E3UfYnDWLnGajPZcgaTAOWyszv59VT486z%2bJQeBJTfdwQ3FFR3CMyJWH1oVYu3rUdgEfyAcP3DMieyzfbA58UeNgYHwih01Laq4L0U%2fP2r13fss%2bA491a9n3pP7WN4sWoRr%2bPl1AYBGSnyBy%2bjjUhHNyy7PtakneunYwWgG7bmJcoKnbB9%2fiaO0ji2rjWABigBa1hedDZo5riEuUFIRyzpenPSc1zVd3CJruq5yQimCcbmkQod5uAtO","descargar bases")</f>
      </c>
    </row>
    <row r="10">
      <c r="A10" s="0" t="inlineStr">
        <is>
          <t xml:space="preserve">5586-164-LE26</t>
        </is>
      </c>
      <c r="B10" s="4" t="inlineStr">
        <is>
          <t xml:space="preserve">BC SERVICIO DE PLATAFORMA TECNOLÓGICA INTEGRAL PARA LA GESTIÓN DE EVENTO ACADÉMICO</t>
        </is>
      </c>
      <c r="C10" s="0" t="inlineStr">
        <is>
          <t xml:space="preserve">Publicada</t>
        </is>
      </c>
      <c r="D10" s="0" t="inlineStr">
        <is>
          <t xml:space="preserve">UNIVERSIDAD DE LA FRONTERA</t>
        </is>
      </c>
      <c r="E10" s="0" t="inlineStr">
        <is>
          <t xml:space="preserve">Universidad de la Frontera</t>
        </is>
      </c>
      <c r="F10" s="0" t="inlineStr">
        <is>
          <t xml:space="preserve">Región de la Araucanía </t>
        </is>
      </c>
      <c r="G10" s="0" t="inlineStr">
        <is>
          <t xml:space="preserve">Temuco</t>
        </is>
      </c>
      <c r="H10" s="2">
        <v>46311.770208</v>
      </c>
      <c r="I10" s="2">
        <v>46321.625</v>
      </c>
      <c r="J10" s="0">
        <v>4</v>
      </c>
      <c r="K10" s="3"/>
      <c r="L10" s="0" t="inlineStr">
        <is>
          <t xml:space="preserve">CLP</t>
        </is>
      </c>
      <c r="M10" s="0" t="inlineStr">
        <is>
          <t xml:space="preserve">LE</t>
        </is>
      </c>
      <c r="N10" s="4" t="inlineStr">
        <is>
          <t xml:space="preserve">Tecnologías de la información, telecomunicaciones y radiodifusión / Software / Software para trabajo en redes</t>
        </is>
      </c>
      <c r="O10" s="4" t="inlineStr">
        <is>
          <t xml:space="preserve">1 Unidad · Software de interconectividad de plataformas</t>
        </is>
      </c>
      <c r="P10" s="2"/>
      <c r="Q10" s="2"/>
      <c r="R10" s="0"/>
      <c r="S10" s="0" t="inlineStr">
        <is>
          <t xml:space="preserve">No</t>
        </is>
      </c>
      <c r="T10" s="4"/>
      <c r="U10" s="0" t="inlineStr">
        <is>
          <t xml:space="preserve">Claudio Vega Cáceres</t>
        </is>
      </c>
      <c r="V10" s="4" t="inlineStr">
        <is>
          <t xml:space="preserve">SERVICIO DE PLATAFORMA TECNOLÓGICA INTEGRAL PARA LA GESTIÓN DE EVENTO ACADÉMICO</t>
        </is>
      </c>
      <c r="W10" s="5" t="str">
        <f>HYPERLINK("https://www.mercadopublico.cl/Procurement/Modules/Attachment/ViewAttachment.aspx?enc=9fWQPqW7o1zCLhg6wRBSJVaNNRxW%2fkpqA9gZtBs6puDcCrifgXVXKyvKkitRZfkgsQpDxvalqOQpXvC2tYcyuL97rspTuVJA5bMFx7qtSd0v%2fC1Vt%2bHLUxmfHtuA3CABczpu42wgbxsMB6egGmM807me3c6ueg%2bEHuJzeidwFE664wfb28QXb0wU%2b3MakRsgorKyYPt%2bbvn4lTN0cnHojAvg7tnAw2qkqVa8boa%2fr3wn4Mdfw3z6kQq21MNQqhU5pRpKD8%2fWbDJiR1eX9nhqnAiGjyEowTxroLG94ju3cnZMyBuDSzeHsyzu%2bFwcxNrf","descargar bases")</f>
      </c>
    </row>
    <row r="11">
      <c r="A11" s="0" t="inlineStr">
        <is>
          <t xml:space="preserve">577290-4-LP26</t>
        </is>
      </c>
      <c r="B11" s="4" t="inlineStr">
        <is>
          <t xml:space="preserve">RENOVACIÓN Y ADQUISICIÓN DE LICENCIAS DE SOFTWARE</t>
        </is>
      </c>
      <c r="C11" s="0" t="inlineStr">
        <is>
          <t xml:space="preserve">Publicada</t>
        </is>
      </c>
      <c r="D11" s="0" t="inlineStr">
        <is>
          <t xml:space="preserve">SUBSECRETARIA DE TRANSPORTES</t>
        </is>
      </c>
      <c r="E11" s="0" t="inlineStr">
        <is>
          <t xml:space="preserve">Subsidio Nacional Transporte Publico</t>
        </is>
      </c>
      <c r="F11" s="0" t="inlineStr">
        <is>
          <t xml:space="preserve">Región Metropolitana de Santiago</t>
        </is>
      </c>
      <c r="G11" s="0" t="inlineStr">
        <is>
          <t xml:space="preserve">Santiago Centro</t>
        </is>
      </c>
      <c r="H11" s="2">
        <v>46301.443924</v>
      </c>
      <c r="I11" s="2">
        <v>46321.625</v>
      </c>
      <c r="J11" s="0">
        <v>4</v>
      </c>
      <c r="K11" s="3">
        <v>74076010.0</v>
      </c>
      <c r="L11" s="0" t="inlineStr">
        <is>
          <t xml:space="preserve">CLP</t>
        </is>
      </c>
      <c r="M11" s="0" t="inlineStr">
        <is>
          <t xml:space="preserve">LP</t>
        </is>
      </c>
      <c r="N11" s="4" t="inlineStr">
        <is>
          <t xml:space="preserve">Tecnologías de la información, telecomunicaciones y radiodifusión / Software / Software de gestión</t>
        </is>
      </c>
      <c r="O11" s="4" t="inlineStr">
        <is>
          <t xml:space="preserve">4 Unidad · Software de gestión de licencias · 1 Unidad · Software de gestión de licencias · 4 Unidad · Software de gestión de licencias · y 3 más</t>
        </is>
      </c>
      <c r="P11" s="2"/>
      <c r="Q11" s="2"/>
      <c r="R11" s="0"/>
      <c r="S11" s="0" t="inlineStr">
        <is>
          <t xml:space="preserve">No</t>
        </is>
      </c>
      <c r="T11" s="4" t="inlineStr">
        <is>
          <t xml:space="preserve">VER NUMERAL 2.34 SUBCONTRATACIÓN</t>
        </is>
      </c>
      <c r="U11" s="0" t="inlineStr">
        <is>
          <t xml:space="preserve">Mauricio Segovia Briceño</t>
        </is>
      </c>
      <c r="V11" s="4" t="inlineStr">
        <is>
          <t xml:space="preserve">La Subsecretaría de Transportes llama a participar en esta licitación a personas naturales y jurídicas, chilenas o extranjeras, con el objeto de renovar las licencias de software Toad y Adobe o equivalentes, y adquirir las licencias de software Devexpress y PowerDesigner o equivalentes, para la División de Transporte Público Regional. 
VER NUMERAL 1.2 OBJETIVO Y REQUERIMIENTOS</t>
        </is>
      </c>
      <c r="W11" s="5" t="str">
        <f>HYPERLINK("https://www.mercadopublico.cl/Procurement/Modules/Attachment/ViewAttachment.aspx?enc=vDrvqPIkUeiIq12o0Wpdx86esEhb%2bPCuKPxE2x5wFY1Dwd2hgRiT0rhEnym58jUGQ6W3OUSla6%2bZW%2f126BfMHaEP6FgT9atZNT52%2fvWL8c%2bqVXd%2bTf%2bnUAPUaFQLNn%2bo3RB6KLNQmQVfJwEmO7%2f0I3jZGaMGn9e3aDHX0ZwhAiDxN1roQ41UYsXrfaGSkBa%2bmGy7nFP%2fGUiruGZe%2fY5t%2bJ2RF48mjb3Fh3AQsfiBj8lGlrHRQcy0IczkdL2hl5DqROPFtT937ig1vDcc9mJ5yakOMc0eNjsS6n4bgPE2MUTwb58P6Ly5jxdR9Edb4vm8","descargar bases")</f>
      </c>
    </row>
    <row r="12">
      <c r="A12" s="0" t="inlineStr">
        <is>
          <t xml:space="preserve">618923-19-LP26</t>
        </is>
      </c>
      <c r="B12" s="4" t="inlineStr">
        <is>
          <t xml:space="preserve">ADQUISICIÓN E IMPLEMENTACIÓN SOFTWARE INVENTARIO</t>
        </is>
      </c>
      <c r="C12" s="0" t="inlineStr">
        <is>
          <t xml:space="preserve">Publicada</t>
        </is>
      </c>
      <c r="D12" s="0" t="inlineStr">
        <is>
          <t xml:space="preserve">SUBSECRETARIA PARA LAS FUERZAS ARMADAS</t>
        </is>
      </c>
      <c r="E12" s="0" t="inlineStr">
        <is>
          <t xml:space="preserve">Subsecretaría para las Fuerzas Armadas</t>
        </is>
      </c>
      <c r="F12" s="0" t="inlineStr">
        <is>
          <t xml:space="preserve">Región Metropolitana de Santiago</t>
        </is>
      </c>
      <c r="G12" s="0" t="inlineStr">
        <is>
          <t xml:space="preserve">Santiago</t>
        </is>
      </c>
      <c r="H12" s="2">
        <v>46311.425648</v>
      </c>
      <c r="I12" s="2">
        <v>46321.625</v>
      </c>
      <c r="J12" s="0">
        <v>4</v>
      </c>
      <c r="K12" s="3"/>
      <c r="L12" s="0" t="inlineStr">
        <is>
          <t xml:space="preserve">CLF</t>
        </is>
      </c>
      <c r="M12" s="0" t="inlineStr">
        <is>
          <t xml:space="preserve">LP</t>
        </is>
      </c>
      <c r="N12" s="4" t="inlineStr">
        <is>
          <t xml:space="preserve">Tecnologías de la información, telecomunicaciones y radiodifusión / Software / Software de consultas y gestión de datos</t>
        </is>
      </c>
      <c r="O12" s="4" t="inlineStr">
        <is>
          <t xml:space="preserve">1 Unidad · Software de administración de bases de datos orientado a objetos</t>
        </is>
      </c>
      <c r="P12" s="2"/>
      <c r="Q12" s="2"/>
      <c r="R12" s="0" t="inlineStr">
        <is>
          <t xml:space="preserve">12 meses</t>
        </is>
      </c>
      <c r="S12" s="0" t="inlineStr">
        <is>
          <t xml:space="preserve">No</t>
        </is>
      </c>
      <c r="T12" s="4"/>
      <c r="U12" s="0" t="inlineStr">
        <is>
          <t xml:space="preserve">Carlos Ortiz</t>
        </is>
      </c>
      <c r="V12" s="4" t="inlineStr">
        <is>
          <t xml:space="preserve">Se requiere implementar una solución integral, mediante un software de uso perpetuo, para el registro, control y valorización actualizada, del inventario de sus dependencias, el cual facilite la administración y gestión de los bienes muebles e inmuebles de la citada Repartición, acorde a la normativa vigente, sobre el Sistema de Contabilidad General de la Nación, basado en las “NICSP”</t>
        </is>
      </c>
      <c r="W12" s="5" t="str">
        <f>HYPERLINK("https://www.mercadopublico.cl/Procurement/Modules/Attachment/ViewAttachment.aspx?enc=IRQMFeQj7pJljox52m2r6ni66QZEhnSlILn2oumJ1GirqHEK6XSoOKvKh7jiJRKOoMbmnyDD5vDenwvMTnajfCHg3NeDjQkRTp4l2Zi8qM%2feNYWNtQyp1dSZ29moWVO6MXhldxNN8VvCSuaANX2vOGr7%2fb2QvGlSPrqgsudi6KFjzJfrnAEEgVRtUrnAn1pCNiK0iMgqDZXtWw%2bmF63ff6Yj8WIAokJhKGycJ2PP8kG2xsANS%2fcBp8Q26TZ5UOMaQwAK2AFV2st%2fcNxQwD5QO6iSBC3aVx6n%2fbzevfzZBFBjMFSxFnJc3DeWZe5ZSa2N","descargar bases")</f>
      </c>
    </row>
    <row r="13">
      <c r="A13" s="0" t="inlineStr">
        <is>
          <t xml:space="preserve">976-21-LE26</t>
        </is>
      </c>
      <c r="B13" s="4" t="inlineStr">
        <is>
          <t xml:space="preserve">Adquisición y renovación de licencias softwares</t>
        </is>
      </c>
      <c r="C13" s="0" t="inlineStr">
        <is>
          <t xml:space="preserve">Publicada</t>
        </is>
      </c>
      <c r="D13" s="0" t="inlineStr">
        <is>
          <t xml:space="preserve">MINISTERIO DE OBRAS PUBLICAS DIREC CION GRAL DE OO PP DCYF</t>
        </is>
      </c>
      <c r="E13" s="0" t="inlineStr">
        <is>
          <t xml:space="preserve">Dirección de Aeropuertos - MOPTT</t>
        </is>
      </c>
      <c r="F13" s="0" t="inlineStr">
        <is>
          <t xml:space="preserve">Región Metropolitana de Santiago</t>
        </is>
      </c>
      <c r="G13" s="0" t="inlineStr">
        <is>
          <t xml:space="preserve">Santiago Centro</t>
        </is>
      </c>
      <c r="H13" s="2">
        <v>46314.74985</v>
      </c>
      <c r="I13" s="2">
        <v>46321.625</v>
      </c>
      <c r="J13" s="0">
        <v>4</v>
      </c>
      <c r="K13" s="3">
        <v>62000000.0</v>
      </c>
      <c r="L13" s="0" t="inlineStr">
        <is>
          <t xml:space="preserve">CLP</t>
        </is>
      </c>
      <c r="M13" s="0" t="inlineStr">
        <is>
          <t xml:space="preserve">LE</t>
        </is>
      </c>
      <c r="N13" s="4" t="inlineStr">
        <is>
          <t xml:space="preserve">Tecnologías de la información, telecomunicaciones y radiodifusión / Software / Software de gestión</t>
        </is>
      </c>
      <c r="O13" s="4" t="inlineStr">
        <is>
          <t xml:space="preserve">5 Unidad · Software de gestión de licencias · 15 Unidad · Software de gestión de licencias · 3 Unidad · Software de gestión de licencias</t>
        </is>
      </c>
      <c r="P13" s="2"/>
      <c r="Q13" s="2"/>
      <c r="R13" s="0"/>
      <c r="S13" s="0" t="inlineStr">
        <is>
          <t xml:space="preserve">No</t>
        </is>
      </c>
      <c r="T13" s="4" t="inlineStr">
        <is>
          <t xml:space="preserve">según BA, numeral 10.5. Subcontratación: El adjudicatario no podrá subcontratar los servicios derivados de la ejecución de los servicios que se suscriba.</t>
        </is>
      </c>
      <c r="U13" s="0" t="inlineStr">
        <is>
          <t xml:space="preserve">Ana Belén Vera Donoso</t>
        </is>
      </c>
      <c r="V13" s="4" t="inlineStr">
        <is>
          <t xml:space="preserve">APRUEBA BASES ADMINISTRATIVAS, FORMULARIOS, ESPECIFICACIONES TÉCNICAS Y DESIGNA COMISIÓN DE EVALUACIÓN DE OFERTAS PARA LA ADQUISICIÓN Y RENOVACIÓN DE SUSCRIPCIONES DE LICENCIAS SOFTWARE PARA LA DIRECCIÓN DE AEROPUERTOS, NIVEL CENTRAL.</t>
        </is>
      </c>
      <c r="W13" s="5" t="str">
        <f>HYPERLINK("https://www.mercadopublico.cl/Procurement/Modules/Attachment/ViewAttachment.aspx?enc=g10oNnsPkTv%2fwiz2mPOCanrXCYaGblEQQtxx3xgX3OzhmOIAuVur2QWMBoo8C1JkSB1kJAGCXoAoPNFSK%2b5F%2bjTz%2b8rHEPyepgaOQLNxXuiQNIsi8i0pacniMR64yOVcna5cVcCxiwuHdd5Z0XUXQwn5lQJpy4RZx4vy4cRpERaHLZYqQZsO3rt12tVLpHKgiwBJgw0Y9HsyvqEPLMsFyRCUPbHbI1IbPgjrulH68RBGCBLqvuPHSLWoaO0eWsgcrswNc2x8EK4OCeD7nWPZGhVtEoCEHdZMy522NUK1I5%2bjQSXGhcwfUJR1dmKozjEw","descargar bases")</f>
      </c>
    </row>
    <row r="14">
      <c r="A14" s="0" t="inlineStr">
        <is>
          <t xml:space="preserve">2788-54-LE26</t>
        </is>
      </c>
      <c r="B14" s="4" t="inlineStr">
        <is>
          <t xml:space="preserve">ADQUISICION Y RENOVACION DE SOFTWARES</t>
        </is>
      </c>
      <c r="C14" s="0" t="inlineStr">
        <is>
          <t xml:space="preserve">Publicada</t>
        </is>
      </c>
      <c r="D14" s="0" t="inlineStr">
        <is>
          <t xml:space="preserve">I MUNICIPALIDAD DE PAINE</t>
        </is>
      </c>
      <c r="E14" s="0" t="inlineStr">
        <is>
          <t xml:space="preserve">DEPARTAMENTO DE ADQUISICIONES</t>
        </is>
      </c>
      <c r="F14" s="0" t="inlineStr">
        <is>
          <t xml:space="preserve">Región Metropolitana de Santiago</t>
        </is>
      </c>
      <c r="G14" s="0" t="inlineStr">
        <is>
          <t xml:space="preserve">Paine</t>
        </is>
      </c>
      <c r="H14" s="2">
        <v>46309.660741</v>
      </c>
      <c r="I14" s="2">
        <v>46321.625</v>
      </c>
      <c r="J14" s="0">
        <v>4</v>
      </c>
      <c r="K14" s="3"/>
      <c r="L14" s="0" t="inlineStr">
        <is>
          <t xml:space="preserve">CLP</t>
        </is>
      </c>
      <c r="M14" s="0" t="inlineStr">
        <is>
          <t xml:space="preserve">LE</t>
        </is>
      </c>
      <c r="N14" s="4" t="inlineStr">
        <is>
          <t xml:space="preserve">Tecnologías de la información, telecomunicaciones y radiodifusión / Software / Software de gestión</t>
        </is>
      </c>
      <c r="O14" s="4" t="inlineStr">
        <is>
          <t xml:space="preserve">1 Unidad · Software de gestión de licencias · 1 Unidad · Software de gestión de licencias · 1 Unidad · Software de gestión de licencias</t>
        </is>
      </c>
      <c r="P14" s="2"/>
      <c r="Q14" s="2"/>
      <c r="R14" s="0" t="inlineStr">
        <is>
          <t xml:space="preserve">12 meses</t>
        </is>
      </c>
      <c r="S14" s="0" t="inlineStr">
        <is>
          <t xml:space="preserve">No</t>
        </is>
      </c>
      <c r="T14" s="4"/>
      <c r="U14" s="0" t="inlineStr">
        <is>
          <t xml:space="preserve">NICOLAS HUIRCAN MOHOR</t>
        </is>
      </c>
      <c r="V14" s="4" t="inlineStr">
        <is>
          <t xml:space="preserve">ADQUISICION Y RENOVACION DE SOFTWARES PARA UTILIZACION EN SECPLA, COMUNICACIONES, DOM Y OTRAS DEPENDENCIAS MUNICIPALES</t>
        </is>
      </c>
      <c r="W14" s="5" t="str">
        <f>HYPERLINK("https://www.mercadopublico.cl/Procurement/Modules/Attachment/ViewAttachment.aspx?enc=xhiWOL6lWe5p8GWYIe48vmozRJyZAdcPW%2be3%2fflk2SpDe3GCyf%2bJAfKK7txWjOEFs%2f7kIsYiVzIFNLjUXkr18sWUs5sVBKNQcXTHBarww739Tu6knVnj9rdMeOVtxxnO%2bOwyx5jBk8TpJrZR4g5f6au3f4PgTBGwJ%2biYHaahVZmdnKD8yWSFXt3g8z3uNUNu1vWkQZPcsN8v05jmXvwnYgC34xHT6v1eUV4gaIueGJpuVaqBBSau5l99PV%2binBCnD7VeWh6ORZwb2T54jyFm99qbE5P6FKLFIHlTO3Hg2v3D4Pq8pZt7fQRm%2bUuzpguJ","descargar bases")</f>
      </c>
    </row>
    <row r="15">
      <c r="A15" s="0" t="inlineStr">
        <is>
          <t xml:space="preserve">1375735-16-LE26</t>
        </is>
      </c>
      <c r="B15" s="4" t="inlineStr">
        <is>
          <t xml:space="preserve">ADQUISICIÓN DE LICENCIAS INFORMÁTICAS DESTINADAS A ADMINISTRACIÓN CENTRAL DEL SERVICIO LOCAL DE EDUCACIÓN PÚBLICA DE ANTOFAGASTA 2DO. LLAMADO</t>
        </is>
      </c>
      <c r="C15" s="0" t="inlineStr">
        <is>
          <t xml:space="preserve">Publicada</t>
        </is>
      </c>
      <c r="D15" s="0" t="inlineStr">
        <is>
          <t xml:space="preserve">SERVICIO LOCAL DE EDUCACIÓN PÚBLICA ANTOFAGASTA</t>
        </is>
      </c>
      <c r="E15" s="0" t="inlineStr">
        <is>
          <t xml:space="preserve">P01 - COMPRAS Y LICITACIONES NIVEL CENTRAL</t>
        </is>
      </c>
      <c r="F15" s="0" t="inlineStr">
        <is>
          <t xml:space="preserve">Región de Antofagasta </t>
        </is>
      </c>
      <c r="G15" s="0"/>
      <c r="H15" s="2">
        <v>46310.731308</v>
      </c>
      <c r="I15" s="2">
        <v>46321.625694</v>
      </c>
      <c r="J15" s="0">
        <v>4</v>
      </c>
      <c r="K15" s="3">
        <v>37461310.0</v>
      </c>
      <c r="L15" s="0" t="inlineStr">
        <is>
          <t xml:space="preserve">CLP</t>
        </is>
      </c>
      <c r="M15" s="0" t="inlineStr">
        <is>
          <t xml:space="preserve">LE</t>
        </is>
      </c>
      <c r="N15" s="4" t="inlineStr">
        <is>
          <t xml:space="preserve">Tecnologías de la información, telecomunicaciones y radiodifusión / Software / Software de gestión</t>
        </is>
      </c>
      <c r="O15" s="4" t="inlineStr">
        <is>
          <t xml:space="preserve">1 Unidad · Software de gestión de licencias · 4 Unidad · Software de gestión de licencias · 1 Unidad · Software de gestión de licencias · y 3 más</t>
        </is>
      </c>
      <c r="P15" s="2"/>
      <c r="Q15" s="2"/>
      <c r="R15" s="0"/>
      <c r="S15" s="0" t="inlineStr">
        <is>
          <t xml:space="preserve">No</t>
        </is>
      </c>
      <c r="T15" s="4"/>
      <c r="U15" s="0" t="inlineStr">
        <is>
          <t xml:space="preserve">Subdirectora de Planificación y Control de Gestión</t>
        </is>
      </c>
      <c r="V15" s="4" t="inlineStr">
        <is>
          <t xml:space="preserve">Adquirir el licenciamiento de diversos programas informáticos para la administración central del SLEP de Antofagasta, requerido para el normal funcionamiento y cumplimiento de tareas encomendadas, contribuyendo así en la consecución de los objetivos estratégicos del organismo.</t>
        </is>
      </c>
      <c r="W15" s="5" t="str">
        <f>HYPERLINK("https://www.mercadopublico.cl/Procurement/Modules/Attachment/ViewAttachment.aspx?enc=70uFSIeY9XhJX5xifZVHVb%2bRcqmdjzw97KcGYixQCEwbLxdvogJQfDwGEmp%2bAyPfviaENLeZOH1uRwX2rvQKUOSMe0%2bo84WFd%2bTnnEjhc4OP2X0BfE05EpWCikpx8QG9B9X8%2bnWMWx%2fNgKCvQaQPfOvlg6GfUYaaQAVEYXH8yIAxkxNw3pKsIOJxb1BpodgBOeyScRUjU6ovA5wRwMpmwpywYT2IqC%2bm5uR3yYRZg4cRGJQ3Vp5uPA5ppTF6O2912JVB4yFp%2f9jsn1ej3XI6%2bYuSzbS5kIxNu%2fzlR5BwBfKCj5EMk1KMfBpo4pFRXFFi","descargar bases")</f>
      </c>
    </row>
    <row r="16">
      <c r="A16" s="0" t="inlineStr">
        <is>
          <t xml:space="preserve">1375753-42-LE26</t>
        </is>
      </c>
      <c r="B16" s="4" t="inlineStr">
        <is>
          <t xml:space="preserve">Adquisición de licencias informaticas</t>
        </is>
      </c>
      <c r="C16" s="0" t="inlineStr">
        <is>
          <t xml:space="preserve">Publicada</t>
        </is>
      </c>
      <c r="D16" s="0" t="inlineStr">
        <is>
          <t xml:space="preserve">SERVICIO LOCAL DE EDUCACIÓN PÚBLICA LOS ANDES</t>
        </is>
      </c>
      <c r="E16" s="0" t="inlineStr">
        <is>
          <t xml:space="preserve">COMPRAS Y LICITACIONES</t>
        </is>
      </c>
      <c r="F16" s="0" t="inlineStr">
        <is>
          <t xml:space="preserve">Región de Valparaíso </t>
        </is>
      </c>
      <c r="G16" s="0" t="inlineStr">
        <is>
          <t xml:space="preserve">Santiago</t>
        </is>
      </c>
      <c r="H16" s="2">
        <v>46311.66235</v>
      </c>
      <c r="I16" s="2">
        <v>46321.625694</v>
      </c>
      <c r="J16" s="0">
        <v>4</v>
      </c>
      <c r="K16" s="3">
        <v>8850899.0</v>
      </c>
      <c r="L16" s="0" t="inlineStr">
        <is>
          <t xml:space="preserve">CLP</t>
        </is>
      </c>
      <c r="M16" s="0" t="inlineStr">
        <is>
          <t xml:space="preserve">LE</t>
        </is>
      </c>
      <c r="N16" s="4" t="inlineStr">
        <is>
          <t xml:space="preserve">Tecnologías de la información, telecomunicaciones y radiodifusión / Software / Software de administración de redes</t>
        </is>
      </c>
      <c r="O16" s="4" t="inlineStr">
        <is>
          <t xml:space="preserve">3 Unidad · Software de administración · 22 Unidad · Software de administración · 20 Unidad · Software de administración</t>
        </is>
      </c>
      <c r="P16" s="2"/>
      <c r="Q16" s="2"/>
      <c r="R16" s="0"/>
      <c r="S16" s="0" t="inlineStr">
        <is>
          <t xml:space="preserve">No</t>
        </is>
      </c>
      <c r="T16" s="4" t="inlineStr">
        <is>
          <t xml:space="preserve">Según se indica en bases adjuntas.</t>
        </is>
      </c>
      <c r="U16" s="0" t="inlineStr">
        <is>
          <t xml:space="preserve">Marcelo Blanca</t>
        </is>
      </c>
      <c r="V16" s="4" t="inlineStr">
        <is>
          <t xml:space="preserve">Adquirir el licenciamiento de diversos programas informáticos para la administración central y establecimientos a cargo del SLEP Los Andes, requerido para el normal funcionamiento y cumplimiento de tareas encomendadas, contribuyendo así en la consecución de los objetivos estratégicos del organismo.</t>
        </is>
      </c>
      <c r="W16" s="5" t="str">
        <f>HYPERLINK("https://www.mercadopublico.cl/Procurement/Modules/Attachment/ViewAttachment.aspx?enc=4ncYAW6dO1ycJrEuhu5OUDoesi9SYEVzfRiC57kS0RZBDgdQxOd2uPGGID%2fVAInlMYEr4JX%2fRePTbZDj2VGSFDj9WCsmZB7TxZiR8Ovy%2fnroXnmJOumk9jLX1RRK%2fTIoHeQ4j9Ynd0K5OVui8E836BTlc1X69QZT%2bSd5zpwgj3bOwVQ0FpxrvDX0x3BcbQ9jKeGrfpxCG7DtHVgCx5vRZDLvupy30MwaGkkLAXOtkV7CDOoCVKHz5wgAoKrmZMMpQAqq0bL6UM9FQIlszFhrBW88FnTm4IZOaItQj07D2%2f83%2b0F8ObRIAIKgs%2f0JAQk8","descargar bases")</f>
      </c>
    </row>
    <row r="17">
      <c r="A17" s="0" t="inlineStr">
        <is>
          <t xml:space="preserve">2020-23-LE26</t>
        </is>
      </c>
      <c r="B17" s="4" t="inlineStr">
        <is>
          <t xml:space="preserve">SERVICIOS DE DIGITALIZACIÓN Y EXTRACCIÓN DE TÉXTO.</t>
        </is>
      </c>
      <c r="C17" s="0" t="inlineStr">
        <is>
          <t xml:space="preserve">Publicada</t>
        </is>
      </c>
      <c r="D17" s="0" t="inlineStr">
        <is>
          <t xml:space="preserve">Biblioteca del Congreso Nacional</t>
        </is>
      </c>
      <c r="E17" s="0" t="inlineStr">
        <is>
          <t xml:space="preserve">Biblioteca del Congreso Nacional</t>
        </is>
      </c>
      <c r="F17" s="0" t="inlineStr">
        <is>
          <t xml:space="preserve">Región Metropolitana de Santiago</t>
        </is>
      </c>
      <c r="G17" s="0" t="inlineStr">
        <is>
          <t xml:space="preserve">Santiago Centro</t>
        </is>
      </c>
      <c r="H17" s="2">
        <v>46309.468495</v>
      </c>
      <c r="I17" s="2">
        <v>46321.625694</v>
      </c>
      <c r="J17" s="0">
        <v>4</v>
      </c>
      <c r="K17" s="3">
        <v>72000000.0</v>
      </c>
      <c r="L17" s="0" t="inlineStr">
        <is>
          <t xml:space="preserve">CLP</t>
        </is>
      </c>
      <c r="M17" s="0" t="inlineStr">
        <is>
          <t xml:space="preserve">LE</t>
        </is>
      </c>
      <c r="N17" s="4" t="inlineStr">
        <is>
          <t xml:space="preserve">Servicios basados en ingeniería, ciencias sociales y tecnología de la información / Servicios informáticos / Servicios de datos</t>
        </is>
      </c>
      <c r="O17" s="4" t="inlineStr">
        <is>
          <t xml:space="preserve">1 Unidad · Servicios de digitalización de documentos</t>
        </is>
      </c>
      <c r="P17" s="2"/>
      <c r="Q17" s="2"/>
      <c r="R17" s="0" t="inlineStr">
        <is>
          <t xml:space="preserve">80 días</t>
        </is>
      </c>
      <c r="S17" s="0" t="inlineStr">
        <is>
          <t xml:space="preserve">No</t>
        </is>
      </c>
      <c r="T17" s="4" t="inlineStr">
        <is>
          <t xml:space="preserve">Según lo establecido en numeral 24. Subcontratación de las Bases de Licitación adjuntas.</t>
        </is>
      </c>
      <c r="U17" s="0" t="inlineStr">
        <is>
          <t xml:space="preserve">80 Días Hábiles. Unidad Requirente.</t>
        </is>
      </c>
      <c r="V17" s="4" t="inlineStr">
        <is>
          <t xml:space="preserve">SERVICIO ESPECIALIZADO DE DIGITALIZACIÓN Y EXTRACCIÓN INTELIGENTE DE TEXTO, DEL ARCHIVO DE PRENSA HISTÓRICA DE LA BIBLIOTECA DEL CONGRESO NACIONAL.</t>
        </is>
      </c>
      <c r="W17" s="5" t="str">
        <f>HYPERLINK("https://www.mercadopublico.cl/Procurement/Modules/Attachment/ViewAttachment.aspx?enc=NWDk%2bS9BOne4Ff%2fkWmsXbVufo255jRAaYsF4Bd1HKjdfMHhJbTOI0BjJ6YpKqOBAAdXQqRwNmMZLGsmIJMHrbIGhz3y1dB538nVhLVOYKe9OCNA4pw6dk3EmCxelbSqdByZHQ0uM3bneyl1ITOdSbMHCT5tRnu29C1C9kxXejco%2bLWaevZf1I%2fwWgDYgAljQk7A%2f50DUEH4n2hayrYTkonMfCvHR%2fJJOZP0ft2%2b06nnNH8czRs5HMnKgozmansPHxopmhTfm9mDyCTPd0jgJyNUacNiQdQNo9kbPTaMJFNUc2R7zlmYOIDPXK2bVpVDR","descargar bases")</f>
      </c>
    </row>
    <row r="18">
      <c r="A18" s="0" t="inlineStr">
        <is>
          <t xml:space="preserve">630-29-LE26</t>
        </is>
      </c>
      <c r="B18" s="4" t="inlineStr">
        <is>
          <t xml:space="preserve">SERVICIO DE GESTIÓN DOCUMENTAL EN MODALIDAD SAAS</t>
        </is>
      </c>
      <c r="C18" s="0" t="inlineStr">
        <is>
          <t xml:space="preserve">Publicada</t>
        </is>
      </c>
      <c r="D18" s="0" t="inlineStr">
        <is>
          <t xml:space="preserve">SUBSECRETARIA DEL TRABAJO</t>
        </is>
      </c>
      <c r="E18" s="0" t="inlineStr">
        <is>
          <t xml:space="preserve">Subsecretaria del Trabajo</t>
        </is>
      </c>
      <c r="F18" s="0" t="inlineStr">
        <is>
          <t xml:space="preserve">Región Metropolitana de Santiago</t>
        </is>
      </c>
      <c r="G18" s="0" t="inlineStr">
        <is>
          <t xml:space="preserve">Santiago</t>
        </is>
      </c>
      <c r="H18" s="2">
        <v>46300.575</v>
      </c>
      <c r="I18" s="2">
        <v>46321.625694</v>
      </c>
      <c r="J18" s="0">
        <v>4</v>
      </c>
      <c r="K18" s="3">
        <v>40000000.0</v>
      </c>
      <c r="L18" s="0" t="inlineStr">
        <is>
          <t xml:space="preserve">CLP</t>
        </is>
      </c>
      <c r="M18" s="0" t="inlineStr">
        <is>
          <t xml:space="preserve">LE</t>
        </is>
      </c>
      <c r="N18" s="4" t="inlineStr">
        <is>
          <t xml:space="preserve">Tecnologías de la información, telecomunicaciones y radiodifusión / Software / Software de gestión de contenidos</t>
        </is>
      </c>
      <c r="O18" s="4" t="inlineStr">
        <is>
          <t xml:space="preserve">1 Unidad · Programas de gestión de documentos</t>
        </is>
      </c>
      <c r="P18" s="2"/>
      <c r="Q18" s="2"/>
      <c r="R18" s="0" t="inlineStr">
        <is>
          <t xml:space="preserve">12 meses</t>
        </is>
      </c>
      <c r="S18" s="0" t="inlineStr">
        <is>
          <t xml:space="preserve">No</t>
        </is>
      </c>
      <c r="T18" s="4" t="inlineStr">
        <is>
          <t xml:space="preserve">SEGÚN REX N°1384 DE 02102026 QUE LLAMA A PROPUESTA PÚBLICA Y APRUEBA BASES ADMINISTRATIVAS, TÉCNICAS Y ANEXOS PARA LA CONTRATACIÓN DEL SERVICIO DE GESTIÓN DOCUMENTAL EN MODALIDAD SAAS SOFTWARE AS A SERVICE PARA LA SUBSECRETARÍA DEL TRABAJO. ADJUNTA</t>
        </is>
      </c>
      <c r="U18" s="0" t="inlineStr">
        <is>
          <t xml:space="preserve">JOSÉ VICENTE ELGUETA</t>
        </is>
      </c>
      <c r="V18" s="4" t="inlineStr">
        <is>
          <t xml:space="preserve">La Subsecretaría del Trabajo, en adelante “la Subsecretaría”, requiere contratar el servicio de un Gestor Documental en modalidad SaaS Software as a Service. El objetivo principal de esta licitación es implementar una plataforma integral que modernice la gestión, trazabilidad y seguridad de los documentos institucionales.</t>
        </is>
      </c>
      <c r="W18" s="5" t="str">
        <f>HYPERLINK("https://www.mercadopublico.cl/Procurement/Modules/Attachment/ViewAttachment.aspx?enc=YK09dNTIRMbKiFp%2b8gYA6hCdz3dfOFdYYKEAXhMmXqMAJtqzic7CzWaKfrGm4jX96BpqrcPmgyTjhxWXJm8uOZeSTfoCT%2b191vb%2fImBSrQd8I8cO7NrHbnFyOx%2bJ0HGLJ7%2fre0c9NHMTQ%2bazKKG%2bJb724FfkAH1wdPeQJ2oxpPsYElOWERURpyL4Q%2fQAPk6qOQwL42%2f2sKFUthT49EOiThWIfUpegG5FWrbSn86VeiB6seZqwU9My%2b1vIOSo14ADNApOBkGxjZy6qu8bkOBVORi8PF3dpYyeYXo7UogkRc44h%2f1KBwVPtyHrROyu1alC","descargar bases")</f>
      </c>
    </row>
    <row r="19">
      <c r="A19" s="0" t="inlineStr">
        <is>
          <t xml:space="preserve">761391-155-CO26</t>
        </is>
      </c>
      <c r="B19" s="4" t="inlineStr">
        <is>
          <t xml:space="preserve">EE-133-GUB-DAS-SVC. ARRI. EQUIPOS INFORMATICOS</t>
        </is>
      </c>
      <c r="C19" s="0" t="inlineStr">
        <is>
          <t xml:space="preserve">Publicada</t>
        </is>
      </c>
      <c r="D19" s="0" t="inlineStr">
        <is>
          <t xml:space="preserve">FUERZA AEREA DE CHILE COMANDO LOGISTICO</t>
        </is>
      </c>
      <c r="E19" s="0" t="inlineStr">
        <is>
          <t xml:space="preserve">Base Aérea El Bosque</t>
        </is>
      </c>
      <c r="F19" s="0" t="inlineStr">
        <is>
          <t xml:space="preserve">Región Metropolitana de Santiago</t>
        </is>
      </c>
      <c r="G19" s="0" t="inlineStr">
        <is>
          <t xml:space="preserve">El Bosque</t>
        </is>
      </c>
      <c r="H19" s="2">
        <v>46310.68897</v>
      </c>
      <c r="I19" s="2">
        <v>46321.625694</v>
      </c>
      <c r="J19" s="0">
        <v>4</v>
      </c>
      <c r="K19" s="3">
        <v>16333332.0</v>
      </c>
      <c r="L19" s="0" t="inlineStr">
        <is>
          <t xml:space="preserve">CLP</t>
        </is>
      </c>
      <c r="M19" s="0" t="inlineStr">
        <is>
          <t xml:space="preserve">CO</t>
        </is>
      </c>
      <c r="N19" s="4" t="inlineStr">
        <is>
          <t xml:space="preserve">Vehículos y equipamiento en general / Componentes para sistemas aeroespaciales / Sistemas de control principal del avión</t>
        </is>
      </c>
      <c r="O19" s="4" t="inlineStr">
        <is>
          <t xml:space="preserve">1 Global · Sistemas informáticos de vuelo</t>
        </is>
      </c>
      <c r="P19" s="2"/>
      <c r="Q19" s="2"/>
      <c r="R19" s="0" t="inlineStr">
        <is>
          <t xml:space="preserve">3 meses</t>
        </is>
      </c>
      <c r="S19" s="0" t="inlineStr">
        <is>
          <t xml:space="preserve">No</t>
        </is>
      </c>
      <c r="T19" s="4" t="inlineStr">
        <is>
          <t xml:space="preserve">EN CONFORMIDAD A LO ESTABLECIDO EN EL PARRAFO I.-NORMAS GENERALES DEL LLAMADO A PROPUESTA, LETRA P DE LAS BASES ADMINISTRATIVAS ADJUNTAS.</t>
        </is>
      </c>
      <c r="U19" s="0" t="inlineStr">
        <is>
          <t xml:space="preserve">RODRIGO INOSTROZA</t>
        </is>
      </c>
      <c r="V19" s="4" t="inlineStr">
        <is>
          <t xml:space="preserve">CONTRATACIÓN DEL SERVICIO DE ARRIENDO DE EQUIPOS INFORMATICOS PARA LA IMPLEMENTACIÓN DE SIMULADOR DE AIRBUS ACT ACADEMY PARA EL AÑO 2026, DE ACUERDO A BASES TÉCNICAS, BASES ADM Y ANEXOS.</t>
        </is>
      </c>
      <c r="W19" s="5" t="str">
        <f>HYPERLINK("https://www.mercadopublico.cl/Procurement/Modules/Attachment/ViewAttachment.aspx?enc=SSNs7n2vZghGjSD2GcnFBHWTNLWwGB0pf8okkI9E2%2f0LmbuTBlOiYsQda1LMsLeEsoyQFWwf4oOQqUiTDs8188%2fxHB2qPWzKjYIc4pW%2fXvch27jgyuPtmlxY2j6x5xgEjzBKpvpug%2bznBVA4zh3RSVIJPvDRIyuLQgoJPZfXIUSauCuoPDlSFhJce3WLc%2b5f5MjEmFJ2%2byA36r8rD0%2fLv6nLwRnzKHNtpydkuB8fF4C07j0478ZbzthQ5yT0JlFxsqbAk916i3Fw4BTm4wuJy94%2bCwty5r5nszVMx1re1pNhhsGrDSMoX3XgAL5g8eui","descargar bases")</f>
      </c>
    </row>
    <row r="20">
      <c r="A20" s="0" t="inlineStr">
        <is>
          <t xml:space="preserve">3656-167-L126</t>
        </is>
      </c>
      <c r="B20" s="4" t="inlineStr">
        <is>
          <t xml:space="preserve">SERVICIO MESA DE AYUDA PLATAFORMA SIFIM</t>
        </is>
      </c>
      <c r="C20" s="0" t="inlineStr">
        <is>
          <t xml:space="preserve">Publicada</t>
        </is>
      </c>
      <c r="D20" s="0" t="inlineStr">
        <is>
          <t xml:space="preserve">I MUNICIPALIDAD DE REQUINOA</t>
        </is>
      </c>
      <c r="E20" s="0" t="inlineStr">
        <is>
          <t xml:space="preserve">Ilustre Municipalidad de Requínoa</t>
        </is>
      </c>
      <c r="F20" s="0" t="inlineStr">
        <is>
          <t xml:space="preserve">Región del Libertador General Bernardo O´Higgins</t>
        </is>
      </c>
      <c r="G20" s="0" t="inlineStr">
        <is>
          <t xml:space="preserve">Requinoa</t>
        </is>
      </c>
      <c r="H20" s="2">
        <v>46309.733299</v>
      </c>
      <c r="I20" s="2">
        <v>46321.625694</v>
      </c>
      <c r="J20" s="0">
        <v>4</v>
      </c>
      <c r="K20" s="3"/>
      <c r="L20" s="0" t="inlineStr">
        <is>
          <t xml:space="preserve">CLP</t>
        </is>
      </c>
      <c r="M20" s="0" t="inlineStr">
        <is>
          <t xml:space="preserve">L1</t>
        </is>
      </c>
      <c r="N20" s="4" t="inlineStr">
        <is>
          <t xml:space="preserve">Servicios profesionales, administrativos y consultorías de gestión empresarial / Servicios de recursos humanos / Contratación de personal</t>
        </is>
      </c>
      <c r="O20" s="4" t="inlineStr">
        <is>
          <t xml:space="preserve">14 Mes · Profesionales</t>
        </is>
      </c>
      <c r="P20" s="2"/>
      <c r="Q20" s="2"/>
      <c r="R20" s="0" t="inlineStr">
        <is>
          <t xml:space="preserve">14 meses</t>
        </is>
      </c>
      <c r="S20" s="0" t="inlineStr">
        <is>
          <t xml:space="preserve">No</t>
        </is>
      </c>
      <c r="T20" s="4"/>
      <c r="U20" s="0" t="inlineStr">
        <is>
          <t xml:space="preserve">PAULINA FLORES</t>
        </is>
      </c>
      <c r="V20" s="4" t="inlineStr">
        <is>
          <t xml:space="preserve">SERVICIO MESA DE AYUDA PLATAFORMA SIFIM</t>
        </is>
      </c>
      <c r="W20" s="5" t="str">
        <f>HYPERLINK("https://www.mercadopublico.cl/Procurement/Modules/Attachment/ViewAttachment.aspx?enc=MQyKwNjZP85UrDVvGXSJsHEt5vXwJIbRafiTSSpozWRzP7n0E2zaRze4IIaCwUpTIXq5APtKyKvx5oYuKGgBN7JBt3onOFbA4IXcKiKsZhMkgdWHnEy7Q95D6Ms%2foD27Sy6p%2bNyf2BKiJCr%2frisulq1I2iUDXOOOe2xYvi8XP2uCgfbuiIq9aMOOagosvgDBAOEurXpW4ZtQ38G7hVyMvQyjhsiASoZU0rJ1hm1gKT%2bzxVhnFelCiya8E6%2fWdI4HHcpFDjln27%2b5i4qtmmJcUV17JpLXUOdLRQsNa8aUyRRF9LK83GQkyl31lopR2Ptp","descargar bases")</f>
      </c>
    </row>
    <row r="21">
      <c r="A21" s="0" t="inlineStr">
        <is>
          <t xml:space="preserve">5482-101-LR26</t>
        </is>
      </c>
      <c r="B21" s="4" t="inlineStr">
        <is>
          <t xml:space="preserve">Plataforma IA para video y seguridad urbana</t>
        </is>
      </c>
      <c r="C21" s="0" t="inlineStr">
        <is>
          <t xml:space="preserve">Publicada</t>
        </is>
      </c>
      <c r="D21" s="0" t="inlineStr">
        <is>
          <t xml:space="preserve">I MUNICIPALIDAD DE NUNOA</t>
        </is>
      </c>
      <c r="E21" s="0" t="inlineStr">
        <is>
          <t xml:space="preserve">SECPLANUNOA</t>
        </is>
      </c>
      <c r="F21" s="0" t="inlineStr">
        <is>
          <t xml:space="preserve">Región Metropolitana de Santiago</t>
        </is>
      </c>
      <c r="G21" s="0" t="inlineStr">
        <is>
          <t xml:space="preserve">Ñuñoa</t>
        </is>
      </c>
      <c r="H21" s="2">
        <v>46275.729861</v>
      </c>
      <c r="I21" s="2">
        <v>46321.625694</v>
      </c>
      <c r="J21" s="0">
        <v>4</v>
      </c>
      <c r="K21" s="3"/>
      <c r="L21" s="0" t="inlineStr">
        <is>
          <t xml:space="preserve">CLF</t>
        </is>
      </c>
      <c r="M21" s="0" t="inlineStr">
        <is>
          <t xml:space="preserve">LR</t>
        </is>
      </c>
      <c r="N21" s="4" t="inlineStr">
        <is>
          <t xml:space="preserve">Tecnologías de la información, telecomunicaciones y radiodifusión / Software / Programas de desarrollo</t>
        </is>
      </c>
      <c r="O21" s="4" t="inlineStr">
        <is>
          <t xml:space="preserve">1 Global · Software de desarrollo de plataforma Web · 26 Mes · Software de desarrollo de plataforma Web</t>
        </is>
      </c>
      <c r="P21" s="2"/>
      <c r="Q21" s="2"/>
      <c r="R21" s="0" t="inlineStr">
        <is>
          <t xml:space="preserve">26 meses</t>
        </is>
      </c>
      <c r="S21" s="0" t="inlineStr">
        <is>
          <t xml:space="preserve">No</t>
        </is>
      </c>
      <c r="T21" s="4"/>
      <c r="U21" s="0" t="inlineStr">
        <is>
          <t xml:space="preserve">Katherinne Ayala</t>
        </is>
      </c>
      <c r="V21" s="4" t="inlineStr">
        <is>
          <t xml:space="preserve">La presente licitación contempla como objetivo general, contratar el suministro,
implementación, puesta en marcha y soporte continuo de una plataforma de Inteligencia Artificial para analítica de video y gestión inteligente de alertas, que opere sobre la red decámaras yo el sistema VMS ya existentes de la Municipalidad de Ñuñoa.</t>
        </is>
      </c>
      <c r="W21" s="5" t="str">
        <f>HYPERLINK("https://www.mercadopublico.cl/Procurement/Modules/Attachment/ViewAttachment.aspx?enc=IZtaorUDNFEz6%2bLyCtSijlbaGnsMx8lo2bXI4%2bIvuznb8m98%2b02377vsC0xSSM%2bSJ2nhy3gVSwI0RI3tFHeniOakGOsLDRDu7OzzbaiXZ8Pj5lZKITZCTv5qCx%2fk3v5bFh9DIUkoJRbc1xYQ5PgYMPVfsLXcSIig2ZNGbVxX1DOSsQTeszY2N1Z0c2JROCha7lkU%2b%2b2%2bcm%2btiyBYgWixY%2f6BAO97MZDCxD3tY8FDMNtx1Q%2bzVUlgEPrC0JC%2fWMNqFEmN5%2faOZZEgTKF09nJSxnzieDoQJ6UdzEiafJwgR0hO2653nQEYdnIuUipNy%2fTB","descargar bases")</f>
      </c>
    </row>
    <row r="22">
      <c r="A22" s="0" t="inlineStr">
        <is>
          <t xml:space="preserve">1622-22-LP26</t>
        </is>
      </c>
      <c r="B22" s="4" t="inlineStr">
        <is>
          <t xml:space="preserve">ARRIENDO SISTEMA DE INFORMACIÓN DE LABORATORIO HSV</t>
        </is>
      </c>
      <c r="C22" s="0" t="inlineStr">
        <is>
          <t xml:space="preserve">Publicada</t>
        </is>
      </c>
      <c r="D22" s="0" t="inlineStr">
        <is>
          <t xml:space="preserve">SERVICIO DE SALUD HOSPITAL DE SAN VICENTE DE TAGUA TAGUA</t>
        </is>
      </c>
      <c r="E22" s="0" t="inlineStr">
        <is>
          <t xml:space="preserve">Hospital de San Vicente de Tagua Tagua</t>
        </is>
      </c>
      <c r="F22" s="0" t="inlineStr">
        <is>
          <t xml:space="preserve">Región del Libertador General Bernardo O´Higgins</t>
        </is>
      </c>
      <c r="G22" s="0" t="inlineStr">
        <is>
          <t xml:space="preserve">San Vicente de Tagua Tagua</t>
        </is>
      </c>
      <c r="H22" s="2">
        <v>46301.633356</v>
      </c>
      <c r="I22" s="2">
        <v>46321.645833</v>
      </c>
      <c r="J22" s="0">
        <v>4</v>
      </c>
      <c r="K22" s="3"/>
      <c r="L22" s="0" t="inlineStr">
        <is>
          <t xml:space="preserve">CLP</t>
        </is>
      </c>
      <c r="M22" s="0" t="inlineStr">
        <is>
          <t xml:space="preserve">LP</t>
        </is>
      </c>
      <c r="N22" s="4" t="inlineStr">
        <is>
          <t xml:space="preserve">Tecnologías de la información, telecomunicaciones y radiodifusión / Software / Software de consultas y gestión de datos</t>
        </is>
      </c>
      <c r="O22" s="4" t="inlineStr">
        <is>
          <t xml:space="preserve">1 Unidad · Software del sistema de administración de bases de datos</t>
        </is>
      </c>
      <c r="P22" s="2"/>
      <c r="Q22" s="2"/>
      <c r="R22" s="0" t="inlineStr">
        <is>
          <t xml:space="preserve">36 meses</t>
        </is>
      </c>
      <c r="S22" s="0" t="inlineStr">
        <is>
          <t xml:space="preserve">No</t>
        </is>
      </c>
      <c r="T22" s="4"/>
      <c r="U22" s="0" t="inlineStr">
        <is>
          <t xml:space="preserve">ANIBAL DONOSO MARTIN</t>
        </is>
      </c>
      <c r="V22" s="4" t="inlineStr">
        <is>
          <t xml:space="preserve">El Hospital San Vicente requiere contratar un Sistema de Información de Laboratorio Clínico LIS, incluyendo su implementación, configuración, parametrización, integración, soporte técnico, mantención y actualización, por un período de 36 meses, de acuerdo con las condiciones establecidas en las presentes Bases de Licitación.
El Sistema de Información de Laboratorio Clínico deberá permitir administrar y gestionar de manera integral la información asociada a los procesos realizados por el Servicio de Laboratorio Clínico del Hospital San Vicente.</t>
        </is>
      </c>
      <c r="W22" s="5" t="str">
        <f>HYPERLINK("https://www.mercadopublico.cl/Procurement/Modules/Attachment/ViewAttachment.aspx?enc=3R5YgH6CwCRZOS8m8eNsKdeLJK77WhlZMOimRJcSiTTNiO6xj%2bgaenhguzSdd1Ppwd8RueZ0m6L4Idkdv9D9PGpnClbXWJH3i4SFhYhZ5MKjNeLw2pWKyMrjJHEdfvINEUnn7qZmNMe9vkEv24TvOFqIs0wrzoreu4oMoUabiJ9XAHHAiV%2b4CTExo0jsI%2bH39jqExE7ctXI%2fjJGRj%2bP6gGK6woi6Oa9Ao2excO4A3KYCYZ%2fmpc%2bHzjMi1EzjtyqVgLGsMDeIwZ0as91p62b0u7J14%2byjlyzIL6hTtXV3gfebX0Jj%2bYbhtt%2b7NNio%2bPYD","descargar bases")</f>
      </c>
    </row>
    <row r="23">
      <c r="A23" s="0" t="inlineStr">
        <is>
          <t xml:space="preserve">634-92-LE26</t>
        </is>
      </c>
      <c r="B23" s="4" t="inlineStr">
        <is>
          <t xml:space="preserve">SISTEMA RADIOGRÁFICO ODONTOLÓGICO DIGITAL</t>
        </is>
      </c>
      <c r="C23" s="0" t="inlineStr">
        <is>
          <t xml:space="preserve">Publicada</t>
        </is>
      </c>
      <c r="D23" s="0" t="inlineStr">
        <is>
          <t xml:space="preserve">DIRECCION GENERAL DE GENDARMERIA DE CHIL</t>
        </is>
      </c>
      <c r="E23" s="0" t="inlineStr">
        <is>
          <t xml:space="preserve">Dirección Nacional</t>
        </is>
      </c>
      <c r="F23" s="0" t="inlineStr">
        <is>
          <t xml:space="preserve">Región Metropolitana de Santiago</t>
        </is>
      </c>
      <c r="G23" s="0" t="inlineStr">
        <is>
          <t xml:space="preserve">Santiago</t>
        </is>
      </c>
      <c r="H23" s="2">
        <v>46297.655498</v>
      </c>
      <c r="I23" s="2">
        <v>46321.645833</v>
      </c>
      <c r="J23" s="0">
        <v>4</v>
      </c>
      <c r="K23" s="3">
        <v>35009800.0</v>
      </c>
      <c r="L23" s="0" t="inlineStr">
        <is>
          <t xml:space="preserve">CLP</t>
        </is>
      </c>
      <c r="M23" s="0" t="inlineStr">
        <is>
          <t xml:space="preserve">LE</t>
        </is>
      </c>
      <c r="N23" s="4" t="inlineStr">
        <is>
          <t xml:space="preserve">Equipamiento y suministros médicos / Equipos y suministros odontológicos / Equipo y suministros para imágenes dentales</t>
        </is>
      </c>
      <c r="O23" s="4" t="inlineStr">
        <is>
          <t xml:space="preserve">1 Unidad · Unidades de Rayos X dentales</t>
        </is>
      </c>
      <c r="P23" s="2"/>
      <c r="Q23" s="2"/>
      <c r="R23" s="0"/>
      <c r="S23" s="0" t="inlineStr">
        <is>
          <t xml:space="preserve">No</t>
        </is>
      </c>
      <c r="T23" s="4"/>
      <c r="U23" s="0" t="inlineStr">
        <is>
          <t xml:space="preserve">José Silva Díaz</t>
        </is>
      </c>
      <c r="V23" s="4" t="inlineStr">
        <is>
          <t xml:space="preserve">DISPONE LLAMADO A LICITACIÓN PÚBLICA Y APRUEBA BASES ADMINISTRATIVAS, TÉCNICAS Y FORMULARIOS DESTINADOS A LA “ADQUISICIÓN, INSTALACIÓN, PUESTA EN MARCHA Y CAPACITACIÓN DE SISTEMA RADIOGRÁFICO ODONTOLÓGICO DIGITAL TIPO ORTOPANTOMÓGRAFO CON TECNOLOGÍA CBCT PARA EL SERVICIO DENTAL DEL HOSPITAL PENITENCIARIO”. E102RT9</t>
        </is>
      </c>
      <c r="W23" s="5" t="str">
        <f>HYPERLINK("https://www.mercadopublico.cl/Procurement/Modules/Attachment/ViewAttachment.aspx?enc=wx4kqr56n5tmP%2fyLpmWVvc4OlbxHJbu3rnY%2bDdIPYTJnbixG0k8%2b9yN%2bRHQoaituQI%2b3DNPGc7nVfO4WYwQx%2fyIk93D4Si5jUNqLbNUI8syYs0ob193fRW6e0EbVGUnMtXEIOKit0XkW81cJqiiHw3v%2fB%2fSWkDVc8I3WiI%2bkfx2x6h2o3bKt17YLB7P74Il2gzGzWSJp1NGxU9rqIXUKCa0iqDKBTIxsuVGsyA06QnPnYjeB4PODz3Plx1MW6r7GfNU%2fdyEDu9%2fBCX8xi9XGQVoCb730XDAURi%2fox8q%2bmrBwEsv0XqEp6YuZGmEsZKin","descargar bases")</f>
      </c>
    </row>
    <row r="24">
      <c r="A24" s="0" t="inlineStr">
        <is>
          <t xml:space="preserve">730566-31-LE26</t>
        </is>
      </c>
      <c r="B24" s="4" t="inlineStr">
        <is>
          <t xml:space="preserve">Servicio de Enlace de Datos</t>
        </is>
      </c>
      <c r="C24" s="0" t="inlineStr">
        <is>
          <t xml:space="preserve">Publicada</t>
        </is>
      </c>
      <c r="D24" s="0" t="inlineStr">
        <is>
          <t xml:space="preserve">SUBSECRETARIA DE EVALUACION SOCIAL</t>
        </is>
      </c>
      <c r="E24" s="0" t="inlineStr">
        <is>
          <t xml:space="preserve">Subsecretaría de Evaluación Social</t>
        </is>
      </c>
      <c r="F24" s="0" t="inlineStr">
        <is>
          <t xml:space="preserve">Región Metropolitana de Santiago</t>
        </is>
      </c>
      <c r="G24" s="0" t="inlineStr">
        <is>
          <t xml:space="preserve">Santiago</t>
        </is>
      </c>
      <c r="H24" s="2">
        <v>46311.573044</v>
      </c>
      <c r="I24" s="2">
        <v>46321.645833</v>
      </c>
      <c r="J24" s="0">
        <v>4</v>
      </c>
      <c r="K24" s="3">
        <v>67200000.0</v>
      </c>
      <c r="L24" s="0" t="inlineStr">
        <is>
          <t xml:space="preserve">CLP</t>
        </is>
      </c>
      <c r="M24" s="0" t="inlineStr">
        <is>
          <t xml:space="preserve">LE</t>
        </is>
      </c>
      <c r="N24" s="4" t="inlineStr">
        <is>
          <t xml:space="preserve">Servicios básicos y de información pública / Bibliotecas y otros centros de información pública / Comunicación social y de masas</t>
        </is>
      </c>
      <c r="O24" s="4" t="inlineStr">
        <is>
          <t xml:space="preserve">1 Unidad · Servicios relacionados con Internet</t>
        </is>
      </c>
      <c r="P24" s="2"/>
      <c r="Q24" s="2"/>
      <c r="R24" s="0" t="inlineStr">
        <is>
          <t xml:space="preserve">27 meses</t>
        </is>
      </c>
      <c r="S24" s="0" t="inlineStr">
        <is>
          <t xml:space="preserve">No</t>
        </is>
      </c>
      <c r="T24" s="4"/>
      <c r="U24" s="0" t="inlineStr">
        <is>
          <t xml:space="preserve">Joaquín Rojas</t>
        </is>
      </c>
      <c r="V24" s="4" t="inlineStr">
        <is>
          <t xml:space="preserve">El Ministerio de Desarrollo Social y Familia se encuentra desarrollando un proyecto integral de modernización y optimización de arquitectura tecnológica. Esta iniciativa contempla un uso intensivo de productos alojados en servicios de nube pública, lo que requiere conectividad de datos de forma dedicada para abordar los nuevos requerimientos a nivel de sistemas y bases de datos.</t>
        </is>
      </c>
      <c r="W24" s="5" t="str">
        <f>HYPERLINK("https://www.mercadopublico.cl/Procurement/Modules/Attachment/ViewAttachment.aspx?enc=SQY4mo%2f7I12R98y%2fXse1lyF022AJINzXzuOq9A4v%2blxCUkEtxKPOJla5j3WbLgQuFVQOKECzvZLJMW2EK5LFRVcSHT%2bvL4iGh9jbsuIESaWnIVk9hAUybwgwCAoPdAm4GElgJ4RfDtN95exkerEwM%2boUpcM4aBdANXRv%2bZ3xyP5fUuHYy7YSwzm5P%2by3Uef6ABbGn3gRmRFIBqD60lfURpN48z1ugUPpjT13ul6eNN602sTB%2fD%2fXmkIVeVWcfkKddkYT5RbIyVyRA48HY95HbmzfTzcTqbEGSpaulYicMic4jJ6Zvo4W9R04XganNb7H","descargar bases")</f>
      </c>
    </row>
    <row r="25">
      <c r="A25" s="0" t="inlineStr">
        <is>
          <t xml:space="preserve">752-39-LE26</t>
        </is>
      </c>
      <c r="B25" s="4" t="inlineStr">
        <is>
          <t xml:space="preserve">Adquisición y habilitación de Servidores para plataforma tecnológica</t>
        </is>
      </c>
      <c r="C25" s="0" t="inlineStr">
        <is>
          <t xml:space="preserve">Publicada</t>
        </is>
      </c>
      <c r="D25" s="0" t="inlineStr">
        <is>
          <t xml:space="preserve">GOBIERNO REGIONAL DECIMA REGION LOS LAGOS</t>
        </is>
      </c>
      <c r="E25" s="0" t="inlineStr">
        <is>
          <t xml:space="preserve">Gobierno Regional de Los Lagos</t>
        </is>
      </c>
      <c r="F25" s="0" t="inlineStr">
        <is>
          <t xml:space="preserve">Región de los Lagos </t>
        </is>
      </c>
      <c r="G25" s="0"/>
      <c r="H25" s="2">
        <v>46308.447917</v>
      </c>
      <c r="I25" s="2">
        <v>46321.645833</v>
      </c>
      <c r="J25" s="0">
        <v>4</v>
      </c>
      <c r="K25" s="3">
        <v>64000000.0</v>
      </c>
      <c r="L25" s="0" t="inlineStr">
        <is>
          <t xml:space="preserve">CLP</t>
        </is>
      </c>
      <c r="M25" s="0" t="inlineStr">
        <is>
          <t xml:space="preserve">LE</t>
        </is>
      </c>
      <c r="N25" s="4" t="inlineStr">
        <is>
          <t xml:space="preserve">Tecnologías de la información, telecomunicaciones y radiodifusión / Equipos informáticos y accesorios / Computadores</t>
        </is>
      </c>
      <c r="O25" s="4" t="inlineStr">
        <is>
          <t xml:space="preserve">1 Unidad · Servidores</t>
        </is>
      </c>
      <c r="P25" s="2"/>
      <c r="Q25" s="2"/>
      <c r="R25" s="0" t="inlineStr">
        <is>
          <t xml:space="preserve">90 días</t>
        </is>
      </c>
      <c r="S25" s="0" t="inlineStr">
        <is>
          <t xml:space="preserve">No</t>
        </is>
      </c>
      <c r="T25" s="4" t="inlineStr">
        <is>
          <t xml:space="preserve">Art. 32° Bases: se prohíbe subcontratar instalación, configuración, migración, retiro y borrado seguro, y personal del Anexo N°6. Solo se permite subcontratar trasladologística y soporte del fabricante, hasta 30% del contrato.</t>
        </is>
      </c>
      <c r="U25" s="0" t="inlineStr">
        <is>
          <t xml:space="preserve">Eduardo Madrid Osorio</t>
        </is>
      </c>
      <c r="V25" s="4" t="inlineStr">
        <is>
          <t xml:space="preserve">El Gobierno Regional de Los Lagos requiere la reposición, adquisición, instalación y habilitación de 2 servidores, con migración de máquinas virtuales y continuidad operacional, para su plataforma tecnológica.</t>
        </is>
      </c>
      <c r="W25" s="5" t="str">
        <f>HYPERLINK("https://www.mercadopublico.cl/Procurement/Modules/Attachment/ViewAttachment.aspx?enc=eEeNhiPYUSPr%2fYiuzdswom%2bBE6qE1mNDSnGaNwL6U07jjUUBSga9Bb2MgCJWcFXlLmk5kQ6GLQ%2buUqK%2b39rxYRyGY%2bzK5JpLqCbgmaA2RafTpppx976DGfxbFuFS6FNeWWTd8uanFyxx1qjTIceIvO75re%2bNVXoWCsBDUREbw5z8iv9QpHiY%2flnRMCX4sHFZklLTiASwQau95qedEkfPGnqGjPCcW1dwOdC5MEmmgKNSeBHtUUicFlU9LWtSec3WW1r%2fYZe3V8lO2C4fBr6ujUxEhO3bUr3jPvrGAVoZQdL5NukJFhncmpT3fPfx8IZ4","descargar bases")</f>
      </c>
    </row>
    <row r="26">
      <c r="A26" s="0" t="inlineStr">
        <is>
          <t xml:space="preserve">1057509-348-LE26</t>
        </is>
      </c>
      <c r="B26" s="4" t="inlineStr">
        <is>
          <t xml:space="preserve">CONTRATACIÓN DE SERVICIO DE CONECTIVIDAD DE DATOS PRIVADOS IPMPLS o EQUIVALENTE vps</t>
        </is>
      </c>
      <c r="C26" s="0" t="inlineStr">
        <is>
          <t xml:space="preserve">Publicada</t>
        </is>
      </c>
      <c r="D26" s="0" t="inlineStr">
        <is>
          <t xml:space="preserve">HOSPITAL CLINICO HERMINDA MARTIN</t>
        </is>
      </c>
      <c r="E26" s="0" t="inlineStr">
        <is>
          <t xml:space="preserve">Bienes y Servicios</t>
        </is>
      </c>
      <c r="F26" s="0" t="inlineStr">
        <is>
          <t xml:space="preserve">Región del Ñuble</t>
        </is>
      </c>
      <c r="G26" s="0" t="inlineStr">
        <is>
          <t xml:space="preserve">Chillán</t>
        </is>
      </c>
      <c r="H26" s="2">
        <v>46309.456655</v>
      </c>
      <c r="I26" s="2">
        <v>46321.666667</v>
      </c>
      <c r="J26" s="0">
        <v>4</v>
      </c>
      <c r="K26" s="3"/>
      <c r="L26" s="0" t="inlineStr">
        <is>
          <t xml:space="preserve">CLP</t>
        </is>
      </c>
      <c r="M26" s="0" t="inlineStr">
        <is>
          <t xml:space="preserve">LE</t>
        </is>
      </c>
      <c r="N26" s="4" t="inlineStr">
        <is>
          <t xml:space="preserve">Tecnologías de la información, telecomunicaciones y radiodifusión / Equipos informáticos y accesorios / Computadores</t>
        </is>
      </c>
      <c r="O26" s="4" t="inlineStr">
        <is>
          <t xml:space="preserve">1 Unidad no definida · Computadores personales</t>
        </is>
      </c>
      <c r="P26" s="2"/>
      <c r="Q26" s="2"/>
      <c r="R26" s="0" t="inlineStr">
        <is>
          <t xml:space="preserve">36 meses</t>
        </is>
      </c>
      <c r="S26" s="0" t="inlineStr">
        <is>
          <t xml:space="preserve">No</t>
        </is>
      </c>
      <c r="T26" s="4"/>
      <c r="U26" s="0" t="inlineStr">
        <is>
          <t xml:space="preserve">...</t>
        </is>
      </c>
      <c r="V26" s="4" t="inlineStr">
        <is>
          <t xml:space="preserve">Disponer de un servicio de datos privados WAN de 1 Gbps mediante fibra óptica, permanente y dedicado, entre los siguientes nodos institucionales:
•Sitio 1 – Enlace Principal: Hospital Clínico Herminda Martín – Avenida Francisco Ramírez N°10, Chillán.
•Sitio 2 – Enlace Secundario: Hospital Regional de Ñuble – Avenida Libertador Bernardo O'Higgins N°1625 (o N°1651 según registro vial), Chillán.
Duración del servicio: 36 meses continuos, contados desde la firma del acta de puesta en servicio y recepción conforme por parte del Hospital.</t>
        </is>
      </c>
      <c r="W26" s="5" t="str">
        <f>HYPERLINK("https://www.mercadopublico.cl/Procurement/Modules/Attachment/ViewAttachment.aspx?enc=CgsJy%2bEjY2crldU%2f93lcPV%2fQn1P8NhJB6w3xRaJpqj9pbEyyZcyqEBNhZL9%2fhg%2bEWVxQBArAZp24HCaFplg2n35yYWIMDINrPh11RE%2bwYALBpE6lzfv%2b1NvlnL2jyRlWTbBZvLE8ONqgnRX6o6eT%2bjowm7PLTNjKfI8rytZYY%2bb%2f9QAICrptxPmT0KDOHCFXHKT8u3UGub8yaQPpNPgQP%2bXeu%2bk32%2fyKbb72rVSv%2fqw2piAbHPw27Hi2DwOam4Vvs%2bo4KUzTRKdA3wiXH8zHVbl8qxW4bSyukfwXXBgyGwul7Zy%2blGEPh3np1LXgVqM6","descargar bases")</f>
      </c>
    </row>
    <row r="27">
      <c r="A27" s="0" t="inlineStr">
        <is>
          <t xml:space="preserve">3755-6-LP26</t>
        </is>
      </c>
      <c r="B27" s="4" t="inlineStr">
        <is>
          <t xml:space="preserve">Serv datos de tránsito y tráfico de dispositivos</t>
        </is>
      </c>
      <c r="C27" s="0" t="inlineStr">
        <is>
          <t xml:space="preserve">Publicada</t>
        </is>
      </c>
      <c r="D27" s="0" t="inlineStr">
        <is>
          <t xml:space="preserve">SUBSECRETARIA DE TRANSPORTES</t>
        </is>
      </c>
      <c r="E27" s="0" t="inlineStr">
        <is>
          <t xml:space="preserve">Fiscalización y Control</t>
        </is>
      </c>
      <c r="F27" s="0" t="inlineStr">
        <is>
          <t xml:space="preserve">Región Metropolitana de Santiago</t>
        </is>
      </c>
      <c r="G27" s="0" t="inlineStr">
        <is>
          <t xml:space="preserve">Santiago</t>
        </is>
      </c>
      <c r="H27" s="2">
        <v>46301.501343</v>
      </c>
      <c r="I27" s="2">
        <v>46321.666667</v>
      </c>
      <c r="J27" s="0">
        <v>4</v>
      </c>
      <c r="K27" s="3"/>
      <c r="L27" s="0" t="inlineStr">
        <is>
          <t xml:space="preserve">CLP</t>
        </is>
      </c>
      <c r="M27" s="0" t="inlineStr">
        <is>
          <t xml:space="preserve">LP</t>
        </is>
      </c>
      <c r="N27" s="4" t="inlineStr">
        <is>
          <t xml:space="preserve">Tecnologías de la información, telecomunicaciones y radiodifusión / Software / Software de consultas y gestión de datos</t>
        </is>
      </c>
      <c r="O27" s="4" t="inlineStr">
        <is>
          <t xml:space="preserve">1 Global · Software de extracción de datos</t>
        </is>
      </c>
      <c r="P27" s="2"/>
      <c r="Q27" s="2"/>
      <c r="R27" s="0" t="inlineStr">
        <is>
          <t xml:space="preserve">12 meses</t>
        </is>
      </c>
      <c r="S27" s="0" t="inlineStr">
        <is>
          <t xml:space="preserve">No</t>
        </is>
      </c>
      <c r="T27" s="4"/>
      <c r="U27" s="0" t="inlineStr">
        <is>
          <t xml:space="preserve">CARLOS TORO ARAYA</t>
        </is>
      </c>
      <c r="V27" s="4" t="inlineStr">
        <is>
          <t xml:space="preserve">Se requiere contratar el servicio de suscripción o acceso a una plataforma de datos, servicios web o bases de datos que entregue información sobre la velocidad de circulación, volúmenes o cantidad de vehículos, con cobertura para la red vial terrestre urbana y rural de Chile en que exista la disponibilidad de los datos.</t>
        </is>
      </c>
      <c r="W27" s="5" t="str">
        <f>HYPERLINK("https://www.mercadopublico.cl/Procurement/Modules/Attachment/ViewAttachment.aspx?enc=jSxhSgI2gL5%2bgKwgw9ZrjM7QJgJ1wSWr5YkP79V3%2fbCIVNYCr0gFvJGEs11g%2flSJ9J8GjjgdmfQFzM30Eb1JIAu0jxyZu%2bmktF7nnHb6m4J7ZSGW72Xqd%2fXqlBnkwyPoF35LIhAaC5ZGuLRxii%2b3Um%2f%2bjXcrkoCrS9AXp1suP1BVavOHKBGcbKpogEYlYttO2EjLjeRke0Hoc4J48Ewi3kzl1FSTaBSY%2f5nakttaVZIRyZyBapsUZSImNUg0fmozbyeCKzvtqaQRhsSLzFn9%2buGezKSWpnSlcMH2CP%2f13Oc2jb%2b0glY3tkRHVbYJSkb5","descargar bases")</f>
      </c>
    </row>
    <row r="28">
      <c r="A28" s="0" t="inlineStr">
        <is>
          <t xml:space="preserve">885-100-LE26</t>
        </is>
      </c>
      <c r="B28" s="4" t="inlineStr">
        <is>
          <t xml:space="preserve">Servicio de soporte y mantenimiento para plataforma de seguridad de la CGR</t>
        </is>
      </c>
      <c r="C28" s="0" t="inlineStr">
        <is>
          <t xml:space="preserve">Publicada</t>
        </is>
      </c>
      <c r="D28" s="0" t="inlineStr">
        <is>
          <t xml:space="preserve">CONTRALORIA GENERAL DE LA REPUBLICA</t>
        </is>
      </c>
      <c r="E28" s="0" t="inlineStr">
        <is>
          <t xml:space="preserve">Contraloría General de la República</t>
        </is>
      </c>
      <c r="F28" s="0" t="inlineStr">
        <is>
          <t xml:space="preserve">Región Metropolitana de Santiago</t>
        </is>
      </c>
      <c r="G28" s="0" t="inlineStr">
        <is>
          <t xml:space="preserve">Santiago</t>
        </is>
      </c>
      <c r="H28" s="2">
        <v>46310.693785</v>
      </c>
      <c r="I28" s="2">
        <v>46321.666667</v>
      </c>
      <c r="J28" s="0">
        <v>4</v>
      </c>
      <c r="K28" s="3">
        <v>20000000.0</v>
      </c>
      <c r="L28" s="0" t="inlineStr">
        <is>
          <t xml:space="preserve">CLP</t>
        </is>
      </c>
      <c r="M28" s="0" t="inlineStr">
        <is>
          <t xml:space="preserve">LE</t>
        </is>
      </c>
      <c r="N28" s="4" t="inlineStr">
        <is>
          <t xml:space="preserve">Tecnologías de la información, telecomunicaciones y radiodifusión / Equipos, plataformas y accesorios de redes multimedia, voz y datos / Equipos de seguridad de red</t>
        </is>
      </c>
      <c r="O28" s="4" t="inlineStr">
        <is>
          <t xml:space="preserve">1 Global · Equipo de seguridad de red de firewall</t>
        </is>
      </c>
      <c r="P28" s="2"/>
      <c r="Q28" s="2"/>
      <c r="R28" s="0" t="inlineStr">
        <is>
          <t xml:space="preserve">12 meses</t>
        </is>
      </c>
      <c r="S28" s="0" t="inlineStr">
        <is>
          <t xml:space="preserve">No</t>
        </is>
      </c>
      <c r="T28" s="4"/>
      <c r="U28" s="0" t="inlineStr">
        <is>
          <t xml:space="preserve">Tania Cornejo Abarca</t>
        </is>
      </c>
      <c r="V28" s="4" t="inlineStr">
        <is>
          <t xml:space="preserve">La Contraloría General de la República requiere contratar el servicio especializados de soporte y mantenimiento de la plataforma de seguridad de producción, incluyendo equipos y licencias de infraestructuras de Checkpoint Quantum, Infinity XDR/XPR y Harmony EDR, a prestarse en dependencias de la Contraloría ubicadas en las ciudades de Santiago y Valparaíso, por un período de doce (12) meses.</t>
        </is>
      </c>
      <c r="W28" s="5" t="str">
        <f>HYPERLINK("https://www.mercadopublico.cl/Procurement/Modules/Attachment/ViewAttachment.aspx?enc=ICrmW3Nu7F2%2fsD5yE%2fplE%2bkx6rZu%2f0V0iBsrRBwwZSOOItvGZyQwUbJg2nOHTwzC%2fT22KjfdUtssycaiHU9edpgycYovKl3QCzyGDoHpARx1FhfTkFscta0BGGPWfEyHa29WwPdEZxnlOx1PbBTtOPpnnNdO%2f%2b5ppkoSbByd6LjMoghS1njHzCO24sgTboo1fVFW%2f329e9Mq8MH7wYPLQbZl9Zzim3rj5%2fiQavjWC%2bSURuIVHgAxQU22V08%2bDqs0t9xfPKScIKZ71FvvpOKNuEmPJ550WVhnpwvyTMdvPakpy5cO0skzlhpII1oHwVry","descargar bases")</f>
      </c>
    </row>
    <row r="29">
      <c r="A29" s="0" t="inlineStr">
        <is>
          <t xml:space="preserve">932-34-LE26</t>
        </is>
      </c>
      <c r="B29" s="4" t="inlineStr">
        <is>
          <t xml:space="preserve">SERVICIO DE MANTENIMIENTO PREVENTIVO Y CORRECTIVO HABITUAL DEL SISTEMA ELÉCTRICO CORRIENTES DÉBILES E INFRAESTRUCTURA DE DATOS PARA EL CENTRO DEPORTIVO COMUNITARIO DE RANCAGUA</t>
        </is>
      </c>
      <c r="C29" s="0" t="inlineStr">
        <is>
          <t xml:space="preserve">Publicada</t>
        </is>
      </c>
      <c r="D29" s="0" t="inlineStr">
        <is>
          <t xml:space="preserve">INSTITUTO NACIONAL DE DEPORTES DE CHILE</t>
        </is>
      </c>
      <c r="E29" s="0" t="inlineStr">
        <is>
          <t xml:space="preserve">I.N.D. REGION VI</t>
        </is>
      </c>
      <c r="F29" s="0" t="inlineStr">
        <is>
          <t xml:space="preserve">Región del Libertador General Bernardo O´Higgins</t>
        </is>
      </c>
      <c r="G29" s="0" t="inlineStr">
        <is>
          <t xml:space="preserve">Rancagua</t>
        </is>
      </c>
      <c r="H29" s="2">
        <v>46310.703773</v>
      </c>
      <c r="I29" s="2">
        <v>46321.666667</v>
      </c>
      <c r="J29" s="0">
        <v>4</v>
      </c>
      <c r="K29" s="3">
        <v>30000000.0</v>
      </c>
      <c r="L29" s="0" t="inlineStr">
        <is>
          <t xml:space="preserve">CLP</t>
        </is>
      </c>
      <c r="M29" s="0" t="inlineStr">
        <is>
          <t xml:space="preserve">LE</t>
        </is>
      </c>
      <c r="N29" s="4" t="inlineStr">
        <is>
          <t xml:space="preserve">Servicios de producción y fabricación industrial / Servicios de apoyo o soporte a la fabricación / Servicios de mantenimiento y reparación de equipo de fabricación</t>
        </is>
      </c>
      <c r="O29" s="4" t="inlineStr">
        <is>
          <t xml:space="preserve">1 Unidad · Servicio de mantenimiento de equipo de fabricación</t>
        </is>
      </c>
      <c r="P29" s="2"/>
      <c r="Q29" s="2"/>
      <c r="R29" s="0" t="inlineStr">
        <is>
          <t xml:space="preserve">11 meses</t>
        </is>
      </c>
      <c r="S29" s="0" t="inlineStr">
        <is>
          <t xml:space="preserve">No</t>
        </is>
      </c>
      <c r="T29" s="4"/>
      <c r="U29" s="0" t="inlineStr">
        <is>
          <t xml:space="preserve">Cristina Alfonso Aguirre</t>
        </is>
      </c>
      <c r="V29" s="4" t="inlineStr">
        <is>
          <t xml:space="preserve">EL IND DE RANCAGUA, REQUIERE LA CONTRATACIÓN DEL SERVICIO DE MANTENIMIENTO PREVENTIVO Y CORRECTIVO HABITUAL DEL SISTEMA ELÉCTRICO CORRIENTES DÉBILES E INFRAESTRUCTURA DE DATOS PARA EL CENTRO DEPORTIVO COMUNITARIO DE RANCAGUA, mediante un proceso de Licitación Pública, siendo necesario aprobar, previamente, las Bases Administrativas, Técnicas y Anexos que regularán dicho proceso de contratación.</t>
        </is>
      </c>
      <c r="W29" s="5" t="str">
        <f>HYPERLINK("https://www.mercadopublico.cl/Procurement/Modules/Attachment/ViewAttachment.aspx?enc=wiCfkGIRW4r6bpzlqxPZWJL34I1kVRYuAYnORoDNVnVV3g2jxW5bppLGyUYY4DB8d8ozVB10A2rW5azCi%2brAcoMd9PRydRSwpJRYwZ%2bMUicusuGpfzCQeYFbyDr3aJR4tLnEN8sQiZXC5ck5leNLIg%2bk4mjraYBPhaJl1ZTP%2fyTCifWdZY997Q3964BA6PproxdTeswAFP56quWJyFaT9MheLtn69cC8OsUZ6yHeXWDmlUGyBkmGfeZRKPUVq0jKS6n1hi52MVMlNB802HK1cGsV3jFeUODkSVgghI1ew8csVD6h6N2uiUT1PTP67CmD","descargar bases")</f>
      </c>
    </row>
    <row r="30">
      <c r="A30" s="0" t="inlineStr">
        <is>
          <t xml:space="preserve">4829-56-LE26</t>
        </is>
      </c>
      <c r="B30" s="4" t="inlineStr">
        <is>
          <t xml:space="preserve">CONV.SUMINISTRO DIFUSION RADIAR Y DIGITAL MUNIC</t>
        </is>
      </c>
      <c r="C30" s="0" t="inlineStr">
        <is>
          <t xml:space="preserve">Publicada</t>
        </is>
      </c>
      <c r="D30" s="0" t="inlineStr">
        <is>
          <t xml:space="preserve">ILUSTRE MUNICIPALIDAD DE ALTO BIOBIO</t>
        </is>
      </c>
      <c r="E30" s="0" t="inlineStr">
        <is>
          <t xml:space="preserve">Departamento Finanzas</t>
        </is>
      </c>
      <c r="F30" s="0" t="inlineStr">
        <is>
          <t xml:space="preserve">Región del Biobío </t>
        </is>
      </c>
      <c r="G30" s="0" t="inlineStr">
        <is>
          <t xml:space="preserve">Alto Bio Bio</t>
        </is>
      </c>
      <c r="H30" s="2">
        <v>46311.694456</v>
      </c>
      <c r="I30" s="2">
        <v>46321.679167</v>
      </c>
      <c r="J30" s="0">
        <v>4</v>
      </c>
      <c r="K30" s="3"/>
      <c r="L30" s="0" t="inlineStr">
        <is>
          <t xml:space="preserve">CLP</t>
        </is>
      </c>
      <c r="M30" s="0" t="inlineStr">
        <is>
          <t xml:space="preserve">LE</t>
        </is>
      </c>
      <c r="N30" s="4" t="inlineStr">
        <is>
          <t xml:space="preserve">Servicios básicos y de información pública / Bibliotecas y otros centros de información pública / Comunicación social y de masas</t>
        </is>
      </c>
      <c r="O30" s="4" t="inlineStr">
        <is>
          <t xml:space="preserve">1 Unidad no definida · Servicios relacionados con la radio · 1 Unidad no definida · Servicios relacionados con Internet</t>
        </is>
      </c>
      <c r="P30" s="2"/>
      <c r="Q30" s="2"/>
      <c r="R30" s="0"/>
      <c r="S30" s="0" t="inlineStr">
        <is>
          <t xml:space="preserve">No</t>
        </is>
      </c>
      <c r="T30" s="4"/>
      <c r="U30" s="0" t="inlineStr">
        <is>
          <t xml:space="preserve">EDUARDO VIVANCO GONZALEZ</t>
        </is>
      </c>
      <c r="V30" s="4" t="inlineStr">
        <is>
          <t xml:space="preserve">Servicio de difusión radial y digital orientado a fortalecer la promoción turística de la comuna y aumentar el conocimiento de su oferta territorial en audiencias de la provincia de Biobío y, cuando la cobertura de la emisora lo permita, regionales e interregionales.</t>
        </is>
      </c>
      <c r="W30" s="5" t="str">
        <f>HYPERLINK("https://www.mercadopublico.cl/Procurement/Modules/Attachment/ViewAttachment.aspx?enc=cLB3LIzsvQJYbOWTtzZt1%2bZQL8it0egCmAmqSntOMV7Vwvq6Gsy6m02ZnMbFwAPEnL2VxQXtIo%2bh3u%2b2LA%2f1bYAQVfzu6w2FLiTUkE1vHpQV3lMkFoSGAKBDNZLvGoVQ%2ftU8u1J5M6QrwLksV2m3NF9IrzFB%2fMjJIKRNIURBSSIr6NYWofDb1oknmJPQ4O%2b9voVee9gVQUk%2fiqVgSWrCxs5XAGPENx0CFbKWvBm9PsGPV6qSMRYoM3b6a3rOsnzDbKNqm0gCBnVwFa8OhzejB0pL5ufaVLYNX7hydaPbbiqIqpux1MBK%2fCnFLaJuHaSt","descargar bases")</f>
      </c>
    </row>
    <row r="31">
      <c r="A31" s="0" t="inlineStr">
        <is>
          <t xml:space="preserve">1375758-7-LE26</t>
        </is>
      </c>
      <c r="B31" s="4" t="inlineStr">
        <is>
          <t xml:space="preserve">PLATAFORMA INTEGRAL PARA LA PLANIFICACIÓN CONTROL DE DOTACIÓN ESCOLAR Y GESTIÓN DE SOLICITUDES DE CONTRATACIÓN</t>
        </is>
      </c>
      <c r="C31" s="0" t="inlineStr">
        <is>
          <t xml:space="preserve">Publicada</t>
        </is>
      </c>
      <c r="D31" s="0" t="inlineStr">
        <is>
          <t xml:space="preserve">SERVICIO LOCAL DE EDUCACIÓN PÚBLICA SANTIAGO CENTRO</t>
        </is>
      </c>
      <c r="E31" s="0" t="inlineStr">
        <is>
          <t xml:space="preserve">NIVEL CENTRAL SLEP SANTIAGO CENTRO P01</t>
        </is>
      </c>
      <c r="F31" s="0" t="inlineStr">
        <is>
          <t xml:space="preserve">Región Metropolitana de Santiago</t>
        </is>
      </c>
      <c r="G31" s="0" t="inlineStr">
        <is>
          <t xml:space="preserve">Santiago</t>
        </is>
      </c>
      <c r="H31" s="2">
        <v>46301.667361</v>
      </c>
      <c r="I31" s="2">
        <v>46321.6875</v>
      </c>
      <c r="J31" s="0">
        <v>4</v>
      </c>
      <c r="K31" s="3"/>
      <c r="L31" s="0" t="inlineStr">
        <is>
          <t xml:space="preserve">CLP</t>
        </is>
      </c>
      <c r="M31" s="0" t="inlineStr">
        <is>
          <t xml:space="preserve">LE</t>
        </is>
      </c>
      <c r="N31" s="4" t="inlineStr">
        <is>
          <t xml:space="preserve">Servicios basados en ingeniería, ciencias sociales y tecnología de la información / Servicios informáticos / Ingeniería en computación e informática</t>
        </is>
      </c>
      <c r="O31" s="4" t="inlineStr">
        <is>
          <t xml:space="preserve">24 Mes · Desarrollo de Aplicaciones de Recursos Empresariales (ERP)</t>
        </is>
      </c>
      <c r="P31" s="2"/>
      <c r="Q31" s="2"/>
      <c r="R31" s="0" t="inlineStr">
        <is>
          <t xml:space="preserve">24 meses</t>
        </is>
      </c>
      <c r="S31" s="0" t="inlineStr">
        <is>
          <t xml:space="preserve">No</t>
        </is>
      </c>
      <c r="T31" s="4"/>
      <c r="U31" s="0" t="inlineStr">
        <is>
          <t xml:space="preserve">Christian Rivillo</t>
        </is>
      </c>
      <c r="V31" s="4" t="inlineStr">
        <is>
          <t xml:space="preserve">SE REQUEIRE CONTRATAR PLATAFORMA INTEGRAL PARA LA PLANIFICACIÓN, CONTROL DE DOTACIÓN ESCOLAR Y GESTIÓN DE SOLICITUDES DE CONTRATACIÓN, SEGÚN BASES ADJUNTAS, APROBADAS POR RES. EXENTA N°</t>
        </is>
      </c>
      <c r="W31" s="5" t="str">
        <f>HYPERLINK("https://www.mercadopublico.cl/Procurement/Modules/Attachment/ViewAttachment.aspx?enc=sA6goAkK56PS5JqA5K5qyQI5nnDuHQaU36jViJ8rA%2bRfgPbcfs4p1agKudXkt3KWfzgnGbWaAUsgL%2byTvrMZEqJKCzCBm008h4tgZ1SIybh6H5qVWKYPUTsWx74IdgVf06FrMj%2bUWntwYT9%2fpoxpePPW%2b4l%2fSilA91a7L1mfxrfytIdgLhcZCmkX0Y5pVtND3dzv%2f0XUIjtvcGs4EP32UU7Hmw5RLxeH3jbm7m13yY917mxs8%2bTipWboMasIhtG%2b8QfVQFqtA%2bqYe5CwAz737azDz3iJORoPCq2qERclFKSPZQkRE61LtX1UmWMUWDSY","descargar bases")</f>
      </c>
    </row>
    <row r="32">
      <c r="A32" s="0" t="inlineStr">
        <is>
          <t xml:space="preserve">2933-73-LE26</t>
        </is>
      </c>
      <c r="B32" s="4" t="inlineStr">
        <is>
          <t xml:space="preserve">2DO LLAMADO SISTEMA DE INFORMACION Y GESTIÓN 2026</t>
        </is>
      </c>
      <c r="C32" s="0" t="inlineStr">
        <is>
          <t xml:space="preserve">Publicada</t>
        </is>
      </c>
      <c r="D32" s="0" t="inlineStr">
        <is>
          <t xml:space="preserve">I MUNICIPALIDAD DE ALHUE</t>
        </is>
      </c>
      <c r="E32" s="0" t="inlineStr">
        <is>
          <t xml:space="preserve">DPTO. MUNICIPALIDAD</t>
        </is>
      </c>
      <c r="F32" s="0" t="inlineStr">
        <is>
          <t xml:space="preserve">Región Metropolitana de Santiago</t>
        </is>
      </c>
      <c r="G32" s="0" t="inlineStr">
        <is>
          <t xml:space="preserve">Alhué</t>
        </is>
      </c>
      <c r="H32" s="2">
        <v>46309.768056</v>
      </c>
      <c r="I32" s="2">
        <v>46321.6875</v>
      </c>
      <c r="J32" s="0">
        <v>4</v>
      </c>
      <c r="K32" s="3"/>
      <c r="L32" s="0" t="inlineStr">
        <is>
          <t xml:space="preserve">CLP</t>
        </is>
      </c>
      <c r="M32" s="0" t="inlineStr">
        <is>
          <t xml:space="preserve">LE</t>
        </is>
      </c>
      <c r="N32" s="4" t="inlineStr">
        <is>
          <t xml:space="preserve">Tecnologías de la información, telecomunicaciones y radiodifusión / Software / Software de planificación de recursos empresariales (ERP) y contabilidad financiera</t>
        </is>
      </c>
      <c r="O32" s="4" t="inlineStr">
        <is>
          <t xml:space="preserve">1 Unidad · Programas de contabilidad</t>
        </is>
      </c>
      <c r="P32" s="2"/>
      <c r="Q32" s="2"/>
      <c r="R32" s="0"/>
      <c r="S32" s="0" t="inlineStr">
        <is>
          <t xml:space="preserve">No</t>
        </is>
      </c>
      <c r="T32" s="4" t="inlineStr">
        <is>
          <t xml:space="preserve">Según punto 3.4 Bases Administrativas especiales</t>
        </is>
      </c>
      <c r="U32" s="0" t="inlineStr">
        <is>
          <t xml:space="preserve">Arnoldo Llanos Fuentes</t>
        </is>
      </c>
      <c r="V32" s="4" t="inlineStr">
        <is>
          <t xml:space="preserve">El objetivo de la presente licitación es dar solución a las necesidades a las oficinas de Administración y Finanzas, para el buen funcionamiento administrativos de esta área.</t>
        </is>
      </c>
      <c r="W32" s="5" t="str">
        <f>HYPERLINK("https://www.mercadopublico.cl/Procurement/Modules/Attachment/ViewAttachment.aspx?enc=BSBeQ8kndW%2fJXhM13VAtastqQXEWxNZsOam%2f7Den350bnUR419%2bDYspGWcdnf7gVuO10UajBWjZMKTSoLtGKGL44UsgP3%2fR5zDRItpizRgsryVdlFD9tDfZ%2fkWTC0aNEk8LPlSlyED5PJDJWsN067vsdfKu9%2br8TABN0RbyRjciztSk1u%2funt3TdwxbcdlU%2f%2faWmIHUK08qv7KuSzY5OeHLCtBLYrz8BlDFhQc2DYjST8nvB462FapEPDhekMHUIaY6OgalUqIRHTTUxF2wE8smyq%2f0Bt9RmJDYb1csgcne6y9pMjMUQPycGTDiqxNnO","descargar bases")</f>
      </c>
    </row>
    <row r="33">
      <c r="A33" s="0" t="inlineStr">
        <is>
          <t xml:space="preserve">765-25-L126</t>
        </is>
      </c>
      <c r="B33" s="4" t="inlineStr">
        <is>
          <t xml:space="preserve">Desarrollo de soluciones informáticas para la implementación del plan de transformación digital de la CONADI 2026-2029</t>
        </is>
      </c>
      <c r="C33" s="0" t="inlineStr">
        <is>
          <t xml:space="preserve">Publicada</t>
        </is>
      </c>
      <c r="D33" s="0" t="inlineStr">
        <is>
          <t xml:space="preserve">CORP NACIONAL DE DESARROLLO INDIGENA</t>
        </is>
      </c>
      <c r="E33" s="0" t="inlineStr">
        <is>
          <t xml:space="preserve">CORP NACIONAL DE DESARROLLO INDIGENA</t>
        </is>
      </c>
      <c r="F33" s="0" t="inlineStr">
        <is>
          <t xml:space="preserve">Región del Biobío </t>
        </is>
      </c>
      <c r="G33" s="0" t="inlineStr">
        <is>
          <t xml:space="preserve">Concepción</t>
        </is>
      </c>
      <c r="H33" s="2">
        <v>46308.40066</v>
      </c>
      <c r="I33" s="2">
        <v>46321.700694</v>
      </c>
      <c r="J33" s="0">
        <v>4</v>
      </c>
      <c r="K33" s="3">
        <v>6000000.0</v>
      </c>
      <c r="L33" s="0" t="inlineStr">
        <is>
          <t xml:space="preserve">CLP</t>
        </is>
      </c>
      <c r="M33" s="0" t="inlineStr">
        <is>
          <t xml:space="preserve">L1</t>
        </is>
      </c>
      <c r="N33" s="4" t="inlineStr">
        <is>
          <t xml:space="preserve">Tecnologías de la información, telecomunicaciones y radiodifusión / Software / Software para trabajo en redes</t>
        </is>
      </c>
      <c r="O33" s="4" t="inlineStr">
        <is>
          <t xml:space="preserve">1 Unidad · Firmware y software de conmutación de WAN</t>
        </is>
      </c>
      <c r="P33" s="2"/>
      <c r="Q33" s="2"/>
      <c r="R33" s="0"/>
      <c r="S33" s="0" t="inlineStr">
        <is>
          <t xml:space="preserve">No</t>
        </is>
      </c>
      <c r="T33" s="4"/>
      <c r="U33" s="0"/>
      <c r="V33" s="4" t="inlineStr">
        <is>
          <t xml:space="preserve">Plan de Transformación Digital institucional período 2026-2029 establece las siguientes iniciativas para el 2026:
PTD-D1-01. Implementación de autenticación oficial en procedimientos
administrativos priorizados
PTD-D1-02. Integración a la red de interoperabilidad del estado
PTD-D1-04. Digitalización del ingreso de solicitudes, formularios y documentos</t>
        </is>
      </c>
      <c r="W33" s="5" t="str">
        <f>HYPERLINK("https://www.mercadopublico.cl/Procurement/Modules/Attachment/ViewAttachment.aspx?enc=UTn6B0IS8BXgiWPONQUQjmgvHhqGyn7ZBmai8p5AwfOuBMp17zMNBbd%2fZxL77KXx62p4g59SJJ0Xw87zwLys0qTsyhs5VoIFot%2faXtCgd2f16XL3%2be8aLrVMPFJZp6QpXl1oZQ0xDMhTO6Fv%2b8Ydw8g6lqvusK%2bZx0yPc7ZxKjCqzMIAc8tPYsFJyJciMz6R%2flNPXKbMk5uYNbo1Yl13W%2bvGIi1jMsoIbFR%2b6Koq%2fV4XPNEudH8B1G1A7aaZr%2bn8Gn5H2y1MSNMgSrAW3PBU2VY7GD%2ftLMNsL0N9E2lJc6Hj9pR775NdqtveUJARLd1l","descargar bases")</f>
      </c>
    </row>
    <row r="34">
      <c r="A34" s="0" t="inlineStr">
        <is>
          <t xml:space="preserve">610-20-LE26</t>
        </is>
      </c>
      <c r="B34" s="4" t="inlineStr">
        <is>
          <t xml:space="preserve">Proyecto de Automatización y uso de Inteligencia Artificial en los modelos de Proyección de Demanda</t>
        </is>
      </c>
      <c r="C34" s="0" t="inlineStr">
        <is>
          <t xml:space="preserve">Publicada</t>
        </is>
      </c>
      <c r="D34" s="0" t="inlineStr">
        <is>
          <t xml:space="preserve">Comisión Nacional de Energía</t>
        </is>
      </c>
      <c r="E34" s="0" t="inlineStr">
        <is>
          <t xml:space="preserve">Comisión Nacional de Energía</t>
        </is>
      </c>
      <c r="F34" s="0" t="inlineStr">
        <is>
          <t xml:space="preserve">Región Metropolitana de Santiago</t>
        </is>
      </c>
      <c r="G34" s="0" t="inlineStr">
        <is>
          <t xml:space="preserve">Santiago Centro</t>
        </is>
      </c>
      <c r="H34" s="2">
        <v>46309.432894</v>
      </c>
      <c r="I34" s="2">
        <v>46321.708333</v>
      </c>
      <c r="J34" s="0">
        <v>4</v>
      </c>
      <c r="K34" s="3">
        <v>20467000.0</v>
      </c>
      <c r="L34" s="0" t="inlineStr">
        <is>
          <t xml:space="preserve">CLP</t>
        </is>
      </c>
      <c r="M34" s="0" t="inlineStr">
        <is>
          <t xml:space="preserve">LE</t>
        </is>
      </c>
      <c r="N34" s="4" t="inlineStr">
        <is>
          <t xml:space="preserve">Servicios basados en ingeniería, ciencias sociales y tecnología de la información / Servicios profesionales de ingeniería / Ingeniería eléctrica y electrónica</t>
        </is>
      </c>
      <c r="O34" s="4" t="inlineStr">
        <is>
          <t xml:space="preserve">1 Unidad · Ingeniería eléctrica</t>
        </is>
      </c>
      <c r="P34" s="2"/>
      <c r="Q34" s="2"/>
      <c r="R34" s="0" t="inlineStr">
        <is>
          <t xml:space="preserve">180 días</t>
        </is>
      </c>
      <c r="S34" s="0" t="inlineStr">
        <is>
          <t xml:space="preserve">No</t>
        </is>
      </c>
      <c r="T34" s="4" t="inlineStr">
        <is>
          <t xml:space="preserve">De acuerdo a lo establecido en Bases de Licitación adjuntas.</t>
        </is>
      </c>
      <c r="U34" s="0" t="inlineStr">
        <is>
          <t xml:space="preserve">Martín Osorio Campusano</t>
        </is>
      </c>
      <c r="V34" s="4" t="inlineStr">
        <is>
          <t xml:space="preserve">Sistematizar con inteligencia artificial, la información y datos disponibles de demanda horaria, para tener la modelación para el año inicial con distintos niveles de desagregación y agrupación. En base a lo anterior, construir modelos de proyección de demanda que logren obtener resultados que minimicen errores, permitan trabajar los datos de manera simple y sean dinámicos para poder adecuarse a las posibles nuevas variables que vayan explicando el comportamiento de la demanda eléctrica.</t>
        </is>
      </c>
      <c r="W34" s="5" t="str">
        <f>HYPERLINK("https://www.mercadopublico.cl/Procurement/Modules/Attachment/ViewAttachment.aspx?enc=HTG2M0Q%2f3roVzE07Mf00lxcMWCHKmilrUpLEvFuRJA%2fnuIQrVKWpbgCFYLJ1y4UI%2f8JbnXAXR2jJG8T00Ec5s5uSKcEAA53Y1K4r0b%2bi6itoZZt59Bv%2bEEK93cYVdzKe0FdrK9wcw55rzsvGDUfhls3ugtyM10g0HX7AranXOLG2BWBKABkPZRIDgtgwx4Basi1iBOPH06pgaxz9AwtQ8veRnFFhd02MJ%2fOvdZj%2fhOpIhooB8e4gPJWTMyRLunrq8dPXzponOVkqP5C0943Ckc%2fMVZWAWJYzl9xsMJkMXaDFQpWk9DfS%2fMLv3bxkgebj","descargar bases")</f>
      </c>
    </row>
    <row r="35">
      <c r="A35" s="0" t="inlineStr">
        <is>
          <t xml:space="preserve">799595-5-LP26</t>
        </is>
      </c>
      <c r="B35" s="4" t="inlineStr">
        <is>
          <t xml:space="preserve">Servicio de Cloud Computing MINDEP</t>
        </is>
      </c>
      <c r="C35" s="0" t="inlineStr">
        <is>
          <t xml:space="preserve">Publicada</t>
        </is>
      </c>
      <c r="D35" s="0" t="inlineStr">
        <is>
          <t xml:space="preserve">SUBSECRETARIA DEL DEPORTE</t>
        </is>
      </c>
      <c r="E35" s="0" t="inlineStr">
        <is>
          <t xml:space="preserve">Subsecretaría del Deporte</t>
        </is>
      </c>
      <c r="F35" s="0" t="inlineStr">
        <is>
          <t xml:space="preserve">Región Metropolitana de Santiago</t>
        </is>
      </c>
      <c r="G35" s="0" t="inlineStr">
        <is>
          <t xml:space="preserve">Providencia</t>
        </is>
      </c>
      <c r="H35" s="2">
        <v>46301.788206</v>
      </c>
      <c r="I35" s="2">
        <v>46321.708333</v>
      </c>
      <c r="J35" s="0">
        <v>4</v>
      </c>
      <c r="K35" s="3">
        <v>106618.0</v>
      </c>
      <c r="L35" s="0" t="inlineStr">
        <is>
          <t xml:space="preserve">USD</t>
        </is>
      </c>
      <c r="M35" s="0" t="inlineStr">
        <is>
          <t xml:space="preserve">LP</t>
        </is>
      </c>
      <c r="N35" s="4" t="inlineStr">
        <is>
          <t xml:space="preserve">Servicios basados en ingeniería, ciencias sociales y tecnología de la información / Servicios informáticos / Servicios de datos</t>
        </is>
      </c>
      <c r="O35" s="4" t="inlineStr">
        <is>
          <t xml:space="preserve">1 Unidad · Centro de servicios de datos</t>
        </is>
      </c>
      <c r="P35" s="2"/>
      <c r="Q35" s="2"/>
      <c r="R35" s="0" t="inlineStr">
        <is>
          <t xml:space="preserve">36 meses</t>
        </is>
      </c>
      <c r="S35" s="0" t="inlineStr">
        <is>
          <t xml:space="preserve">No</t>
        </is>
      </c>
      <c r="T35" s="4"/>
      <c r="U35" s="0" t="inlineStr">
        <is>
          <t xml:space="preserve">Ignacio Sáez</t>
        </is>
      </c>
      <c r="V35" s="4" t="inlineStr">
        <is>
          <t xml:space="preserve">Servicio de Cloud Computing y Servicios Asociados para la Subsecretaría del Deporte</t>
        </is>
      </c>
      <c r="W35" s="5" t="str">
        <f>HYPERLINK("https://www.mercadopublico.cl/Procurement/Modules/Attachment/ViewAttachment.aspx?enc=IqRHyVmq8pBBY%2bt83%2bv4b3mlcEJGb%2fP%2bad%2fNT0ebM%2bnKzwVggEGy6T0uxhUBNeAP94A7Z5wm9vGk57rzezTcIMXSf9fNTGva0pEi9vygUwdmb2IiuBiJ1Nv2fpdhpzaFt04g4G3s92CZx7advszp%2f3gG%2f6gepCdlQl7vD5bPN9DO5LShqZkA9yuPLPN%2fq9uqME%2fEWcNvt5PHiFieWbjTj01YxpOljF9pitOHojHNSOZKZ9Cn7Y%2f6r3Ug6tWa6CCaUqQ1%2bFQwHpzxCjlBD0SzynsHXVXWJhbx9L0SAHbADP4Cj%2fW0WFFE%2fXPsHNw4oi6Q","descargar bases")</f>
      </c>
    </row>
    <row r="36">
      <c r="A36" s="0" t="inlineStr">
        <is>
          <t xml:space="preserve">2048-78-LE26</t>
        </is>
      </c>
      <c r="B36" s="4" t="inlineStr">
        <is>
          <t xml:space="preserve">COMPRA SERVICIOS PROFESIONALES PARA U.INFORMÁTICA</t>
        </is>
      </c>
      <c r="C36" s="0" t="inlineStr">
        <is>
          <t xml:space="preserve">Publicada</t>
        </is>
      </c>
      <c r="D36" s="0" t="inlineStr">
        <is>
          <t xml:space="preserve">SERVICIO DE SALUD CHILOE</t>
        </is>
      </c>
      <c r="E36" s="0" t="inlineStr">
        <is>
          <t xml:space="preserve">Hospital de Ancud</t>
        </is>
      </c>
      <c r="F36" s="0" t="inlineStr">
        <is>
          <t xml:space="preserve">Región de los Lagos </t>
        </is>
      </c>
      <c r="G36" s="0"/>
      <c r="H36" s="2">
        <v>46310.37581</v>
      </c>
      <c r="I36" s="2">
        <v>46321.708333</v>
      </c>
      <c r="J36" s="0">
        <v>4</v>
      </c>
      <c r="K36" s="3"/>
      <c r="L36" s="0" t="inlineStr">
        <is>
          <t xml:space="preserve">CLP</t>
        </is>
      </c>
      <c r="M36" s="0" t="inlineStr">
        <is>
          <t xml:space="preserve">LE</t>
        </is>
      </c>
      <c r="N36" s="4" t="inlineStr">
        <is>
          <t xml:space="preserve">Servicios profesionales, administrativos y consultorías de gestión empresarial / Servicios de recursos humanos / Contratación de personal</t>
        </is>
      </c>
      <c r="O36" s="4" t="inlineStr">
        <is>
          <t xml:space="preserve">1 Hora/Hombre · Profesionales</t>
        </is>
      </c>
      <c r="P36" s="2"/>
      <c r="Q36" s="2"/>
      <c r="R36" s="0" t="inlineStr">
        <is>
          <t xml:space="preserve">12 meses</t>
        </is>
      </c>
      <c r="S36" s="0" t="inlineStr">
        <is>
          <t xml:space="preserve">No</t>
        </is>
      </c>
      <c r="T36" s="4" t="inlineStr">
        <is>
          <t xml:space="preserve">El adjudicatario no podrá ceder ni transferir en forma alguna, total ni parcialmente los derechos y obligaciones que nacen del desarrollo de la licitación. No se permite subcontratación.</t>
        </is>
      </c>
      <c r="U36" s="0" t="inlineStr">
        <is>
          <t xml:space="preserve">deisy cardenas</t>
        </is>
      </c>
      <c r="V36" s="4" t="inlineStr">
        <is>
          <t xml:space="preserve">El Hospital de Ancud requiere realizar Convenio para la compra de servicios de 01 profesionales a honorarios para la Unidad de Informática. A su vez estas bases se encuentran complementadas con las bases administrativas, especificaciones técnicas y respectivos anexos.</t>
        </is>
      </c>
      <c r="W36" s="5" t="str">
        <f>HYPERLINK("https://www.mercadopublico.cl/Procurement/Modules/Attachment/ViewAttachment.aspx?enc=fr%2bxeJBLF6t0Xw3D6UEEFx3GF89LpTZuaU3KMfJHOH8GCVZGq%2bC1blwpYlYW2Co0Pgps%2fgzVFqlxcagcEX6%2f6xSrMJmMEjsu1xf6d2%2fU4ySz6qT%2bhitDtMX6bWdR8QmpCE8YhnJp8zSJLDKv1UW%2bklk0ZXpU3W2E%2bKb82mYcjd1DRcLSiWzWNoWtaNKf%2b2w%2bCmjE0hfTq7ruBrFawhV18qawegbWPpLxX8wK5QVp64pPF8XhYgIvyqfphZQLlWmAOjWLnphuRWu1irOtQ5susGijFGxr35FHqIlu14IfQusjAcxOc6q5kjklGTMclXMb","descargar bases")</f>
      </c>
    </row>
    <row r="37">
      <c r="A37" s="0" t="inlineStr">
        <is>
          <t xml:space="preserve">4375-142-LE26</t>
        </is>
      </c>
      <c r="B37" s="4" t="inlineStr">
        <is>
          <t xml:space="preserve">ARRIENDO SOFTWARE Y EQUIPOS PARA SISTEMA GESTOR DE FILAS</t>
        </is>
      </c>
      <c r="C37" s="0" t="inlineStr">
        <is>
          <t xml:space="preserve">Publicada</t>
        </is>
      </c>
      <c r="D37" s="0" t="inlineStr">
        <is>
          <t xml:space="preserve">HOSPITAL GUILLERMO GRANT BENAVENTE DE CO</t>
        </is>
      </c>
      <c r="E37" s="0" t="inlineStr">
        <is>
          <t xml:space="preserve">Abastecimiento General</t>
        </is>
      </c>
      <c r="F37" s="0" t="inlineStr">
        <is>
          <t xml:space="preserve">Región del Biobío </t>
        </is>
      </c>
      <c r="G37" s="0" t="inlineStr">
        <is>
          <t xml:space="preserve">Santiago</t>
        </is>
      </c>
      <c r="H37" s="2">
        <v>46310.46787</v>
      </c>
      <c r="I37" s="2">
        <v>46321.708333</v>
      </c>
      <c r="J37" s="0">
        <v>4</v>
      </c>
      <c r="K37" s="3"/>
      <c r="L37" s="0" t="inlineStr">
        <is>
          <t xml:space="preserve">CLP</t>
        </is>
      </c>
      <c r="M37" s="0" t="inlineStr">
        <is>
          <t xml:space="preserve">LE</t>
        </is>
      </c>
      <c r="N37" s="4" t="inlineStr">
        <is>
          <t xml:space="preserve">Equipos y suministros de defensa, orden público, protección y seguridad / Equipos para orden público / Equipo para control de disturbios</t>
        </is>
      </c>
      <c r="O37" s="4" t="inlineStr">
        <is>
          <t xml:space="preserve">24 Mes · Sistemas de control de formación de filas</t>
        </is>
      </c>
      <c r="P37" s="2"/>
      <c r="Q37" s="2"/>
      <c r="R37" s="0" t="inlineStr">
        <is>
          <t xml:space="preserve">24 meses</t>
        </is>
      </c>
      <c r="S37" s="0" t="inlineStr">
        <is>
          <t xml:space="preserve">No</t>
        </is>
      </c>
      <c r="T37" s="4" t="inlineStr">
        <is>
          <t xml:space="preserve">Se Prohíbe la  subcontratación</t>
        </is>
      </c>
      <c r="U37" s="0" t="inlineStr">
        <is>
          <t xml:space="preserve">Lisette Garcés Carrasco</t>
        </is>
      </c>
      <c r="V37" s="4" t="inlineStr">
        <is>
          <t xml:space="preserve">ARRIENDO SOFTWARE Y EQUIPOS PARA SISTEMA GESTOR DE FILAS</t>
        </is>
      </c>
      <c r="W37" s="5" t="str">
        <f>HYPERLINK("https://www.mercadopublico.cl/Procurement/Modules/Attachment/ViewAttachment.aspx?enc=OUH9DX7Yw4UXsSlyIe08ySj%2boiVkudlsTo6F8Sme45jV%2fbF31MLPKJmriNJYPY4q%2fTePa3jI6tS0SjtSGMpNHj0qvGuK3bWUlcFlbzgSZNmjY3thKS%2fO5resGWEirZ0DQgIKTnEW7lZT%2bj8sjtpdxjwYet1h0WIJMFs7hN5AhIczvooyrCk5fMk83dEa5mn4HYNxNIAWk5KC2kEK1li3L%2bAfc3cDuNReh%2fhTndk36iLMoqQcBSf%2bKDWF2n80NNx6kM5cHCtNF%2bdunVqQkdQIPNeMj6ca%2bhaJpqpxXSWvO%2fOWTrDvCTPX%2fRRuhIgCZcTm","descargar bases")</f>
      </c>
    </row>
    <row r="38">
      <c r="A38" s="0" t="inlineStr">
        <is>
          <t xml:space="preserve">538598-41-LE26</t>
        </is>
      </c>
      <c r="B38" s="4" t="inlineStr">
        <is>
          <t xml:space="preserve">Servicio LME - arriendo de lectores huella digital</t>
        </is>
      </c>
      <c r="C38" s="0" t="inlineStr">
        <is>
          <t xml:space="preserve">Publicada</t>
        </is>
      </c>
      <c r="D38" s="0" t="inlineStr">
        <is>
          <t xml:space="preserve">HOSPITAL METROPOLITANO DE SANTIAGO</t>
        </is>
      </c>
      <c r="E38" s="0" t="inlineStr">
        <is>
          <t xml:space="preserve">ABASTECIMIENTO</t>
        </is>
      </c>
      <c r="F38" s="0" t="inlineStr">
        <is>
          <t xml:space="preserve">Región Metropolitana de Santiago</t>
        </is>
      </c>
      <c r="G38" s="0" t="inlineStr">
        <is>
          <t xml:space="preserve">Providencia</t>
        </is>
      </c>
      <c r="H38" s="2">
        <v>46310.430903</v>
      </c>
      <c r="I38" s="2">
        <v>46321.708333</v>
      </c>
      <c r="J38" s="0">
        <v>4</v>
      </c>
      <c r="K38" s="3"/>
      <c r="L38" s="0" t="inlineStr">
        <is>
          <t xml:space="preserve">CLP</t>
        </is>
      </c>
      <c r="M38" s="0" t="inlineStr">
        <is>
          <t xml:space="preserve">LE</t>
        </is>
      </c>
      <c r="N38" s="4" t="inlineStr">
        <is>
          <t xml:space="preserve">Artículos de electrónica / Circuitos electrónicos / Circuitos integrados, memorias y microprocesadores, Tecnologías de la información, telecomunicaciones y radiodifusión / Software / Software de consultas y gestión de datos, Tecnologías de la información, telecomunicaciones y radiodifusión / Software / Software de gestión</t>
        </is>
      </c>
      <c r="O38" s="4" t="inlineStr">
        <is>
          <t xml:space="preserve">1 Unidad · Software de sistema experto · 1 Unidad · Software del sistema de administración de bases de datos · 28 Unidad · Circuitos integrados digitales</t>
        </is>
      </c>
      <c r="P38" s="2"/>
      <c r="Q38" s="2"/>
      <c r="R38" s="0" t="inlineStr">
        <is>
          <t xml:space="preserve">36 meses</t>
        </is>
      </c>
      <c r="S38" s="0" t="inlineStr">
        <is>
          <t xml:space="preserve">No</t>
        </is>
      </c>
      <c r="T38" s="4"/>
      <c r="U38" s="0" t="inlineStr">
        <is>
          <t xml:space="preserve">Nicole Cañete Moya</t>
        </is>
      </c>
      <c r="V38" s="4" t="inlineStr">
        <is>
          <t xml:space="preserve">Hospital Metropolitano desea implementar solución tecnológica integral compuesta por 2 sistemas servicio de emisión de licencias médicas electrónicas y consulta en línea de previsión de pacientes y datos demográficos más 28 lectores de huella digital en arriendo.</t>
        </is>
      </c>
      <c r="W38" s="5" t="str">
        <f>HYPERLINK("https://www.mercadopublico.cl/Procurement/Modules/Attachment/ViewAttachment.aspx?enc=uwyss%2bs0Qw2x0dRQkaPfDdg8eBfNYxbg47w5KgZHzBH3xWeV5eV4NfT4RDWM4lZ0hm08OcjoxJxmefSDAdOepaDoh7PRUyU3hvoRL6v1HCLH6%2bzRNVSlQfWRgAUBMVsZTBkcYwLeE8rk1sFKM7O2z0Zs3h58VQaWkPUvTTIg33YYJ2ye0VlEcrNJUwxJ1riA348YTiqXaQxCWsMwvuoZf%2bsq4YxIoRjF4SMjZzkGazajwufMFNh6Cvo6WJ9pBG7CCIjPJg4i%2fCKawZbrv2Jc2Zdu3r4ZkIl5%2b91YAftYIFgza1h1i95bYlvBm4pOMeyi","descargar bases")</f>
      </c>
    </row>
    <row r="39">
      <c r="A39" s="0" t="inlineStr">
        <is>
          <t xml:space="preserve">847-59-L126</t>
        </is>
      </c>
      <c r="B39" s="4" t="inlineStr">
        <is>
          <t xml:space="preserve">PLANI - II Adquisición de Equipos Informáticos para J.I. Santa Julia_SC 61362</t>
        </is>
      </c>
      <c r="C39" s="0" t="inlineStr">
        <is>
          <t xml:space="preserve">Publicada</t>
        </is>
      </c>
      <c r="D39" s="0" t="inlineStr">
        <is>
          <t xml:space="preserve">JUNTA NACIONAL DE JARDINES         INFANTILES</t>
        </is>
      </c>
      <c r="E39" s="0" t="inlineStr">
        <is>
          <t xml:space="preserve">Junji - V Región</t>
        </is>
      </c>
      <c r="F39" s="0" t="inlineStr">
        <is>
          <t xml:space="preserve">Región de Valparaíso </t>
        </is>
      </c>
      <c r="G39" s="0" t="inlineStr">
        <is>
          <t xml:space="preserve">Viña del Mar</t>
        </is>
      </c>
      <c r="H39" s="2">
        <v>46311.481481</v>
      </c>
      <c r="I39" s="2">
        <v>46321.75</v>
      </c>
      <c r="J39" s="0">
        <v>4</v>
      </c>
      <c r="K39" s="3">
        <v>3886503.0</v>
      </c>
      <c r="L39" s="0" t="inlineStr">
        <is>
          <t xml:space="preserve">CLP</t>
        </is>
      </c>
      <c r="M39" s="0" t="inlineStr">
        <is>
          <t xml:space="preserve">L1</t>
        </is>
      </c>
      <c r="N39" s="4" t="inlineStr">
        <is>
          <t xml:space="preserve">Equipos y suministros de imprenta, fotográficos y audiovisuales / Equipos de composición y presentación audiovisual / Proyectores y suministros, Tecnologías de la información, telecomunicaciones y radiodifusión / Equipos informáticos y accesorios / Computadores</t>
        </is>
      </c>
      <c r="O39" s="4" t="inlineStr">
        <is>
          <t xml:space="preserve">4 Unidad · Notebook, laptop o computador portátil excepto Tablet PC · 2 Unidad · Proyectores de diapositivas</t>
        </is>
      </c>
      <c r="P39" s="2"/>
      <c r="Q39" s="2"/>
      <c r="R39" s="0"/>
      <c r="S39" s="0" t="inlineStr">
        <is>
          <t xml:space="preserve">No</t>
        </is>
      </c>
      <c r="T39" s="4"/>
      <c r="U39" s="0"/>
      <c r="V39" s="4" t="inlineStr">
        <is>
          <t xml:space="preserve">Según resolución exenta N°1117 de fecha 15 de noviembre de 2026</t>
        </is>
      </c>
      <c r="W39" s="5" t="str">
        <f>HYPERLINK("https://www.mercadopublico.cl/Procurement/Modules/Attachment/ViewAttachment.aspx?enc=iC3Zg9ZmucO0Ls8dfJdvdDqFGO7SuID8bnDd8UU06osAu9PKqVwQcIeIRCsaD8wOAiXWCmBaAqe1m6CtZagBpQsch%2bfA72SfeUdydmiMne6HGL9IZlHm5tIfd8%2f%2fxoL16U8k5kn9puX5I58rxpNRd6cQ4Qwubq%2batLBHh4Zth7OTTSch%2bfUI9vuqE50BxeYPND4o4lt6Jd0dt%2fHXYgjyCOVjufYwJHpb50GzU5EWaq5GFr3LcUBHs6RufC%2f5BfRaXgXxVaNyh0u5EP0ZVrLkzntcdQ7xfeHl6i5u1gajsfPKCDmMXNjZjcE0s6%2bCUuDE","descargar bases")</f>
      </c>
    </row>
    <row r="40">
      <c r="A40" s="0" t="inlineStr">
        <is>
          <t xml:space="preserve">1375761-51-LP26</t>
        </is>
      </c>
      <c r="B40" s="4" t="inlineStr">
        <is>
          <t xml:space="preserve">SIST. INF PLATAFORMA DE GESTION ESCOLAR SLEP V.D</t>
        </is>
      </c>
      <c r="C40" s="0" t="inlineStr">
        <is>
          <t xml:space="preserve">Publicada</t>
        </is>
      </c>
      <c r="D40" s="0" t="inlineStr">
        <is>
          <t xml:space="preserve">SERVICIO LOCAL DE EDUCACIÓN PÚBLICA VALLE DIGUILLÍN</t>
        </is>
      </c>
      <c r="E40" s="0" t="inlineStr">
        <is>
          <t xml:space="preserve">COMPRAS Y LICITACIONES</t>
        </is>
      </c>
      <c r="F40" s="0" t="inlineStr">
        <is>
          <t xml:space="preserve">Región del Ñuble</t>
        </is>
      </c>
      <c r="G40" s="0"/>
      <c r="H40" s="2">
        <v>46300.620139</v>
      </c>
      <c r="I40" s="2">
        <v>46321.751389</v>
      </c>
      <c r="J40" s="0">
        <v>4</v>
      </c>
      <c r="K40" s="3"/>
      <c r="L40" s="0" t="inlineStr">
        <is>
          <t xml:space="preserve">CLP</t>
        </is>
      </c>
      <c r="M40" s="0" t="inlineStr">
        <is>
          <t xml:space="preserve">LP</t>
        </is>
      </c>
      <c r="N40" s="4" t="inlineStr">
        <is>
          <t xml:space="preserve">Tecnologías de la información, telecomunicaciones y radiodifusión / Software / Software de consultas y gestión de datos</t>
        </is>
      </c>
      <c r="O40" s="4" t="inlineStr">
        <is>
          <t xml:space="preserve">1 Unidad · Software del sistema de administración de bases de datos</t>
        </is>
      </c>
      <c r="P40" s="2"/>
      <c r="Q40" s="2"/>
      <c r="R40" s="0" t="inlineStr">
        <is>
          <t xml:space="preserve">24 meses</t>
        </is>
      </c>
      <c r="S40" s="0" t="inlineStr">
        <is>
          <t xml:space="preserve">No</t>
        </is>
      </c>
      <c r="T40" s="4"/>
      <c r="U40" s="0" t="inlineStr">
        <is>
          <t xml:space="preserve">Subdirector de Apoyo Técnico Pedagógico</t>
        </is>
      </c>
      <c r="V40" s="4" t="inlineStr">
        <is>
          <t xml:space="preserve">Dotar a las unidades educativas con los distintos suministros, insumos y servicios necesarios, para una gestión y comunicación más eficiente y ordenada para los miembros de las comunidades educativas dependientes del Servicio Local de Educación Valle Diguillín.</t>
        </is>
      </c>
      <c r="W40" s="5" t="str">
        <f>HYPERLINK("https://www.mercadopublico.cl/Procurement/Modules/Attachment/ViewAttachment.aspx?enc=r4ED2Tf1HpZwZSYCoNGV%2bDfcU%2b1%2fP2YqvmODm9GBwL9oLCsCGYocR%2fHI4E6cflOb7JnNmbJgeeoyJRiQa9vCMRAmkdlceDkA1zhuKDGDHCOj%2fRas08iElmTXa0A%2b8PZwkAlOFH7fIkt7wLzfpcJYS%2b%2bb1U6VMnmK6UBdkI3AoSPDmifoUAxFgx530cQvu2ZObxG7gmYrhS%2fKPFjjpexRcva2sW0stygXf9l%2bJHUnke7RhG8IzA%2bGa4j6B5%2fDsanclFlRGjJz6xfmLJbBf2SZ55PyrLWWXW6nMC%2bJb1RuRQo0X1IMbABzW%2bqXbLfi0F7j","descargar bases")</f>
      </c>
    </row>
    <row r="41">
      <c r="A41" s="0" t="inlineStr">
        <is>
          <t xml:space="preserve">2440-63-LE26</t>
        </is>
      </c>
      <c r="B41" s="4" t="inlineStr">
        <is>
          <t xml:space="preserve">Habilitación y Adquisición de Equipo Informático para la Instalación conexión y Administración de la RED de datos e Iluminación WIFI para el Establecimiento Educacional Instituto Ingles de Curicó</t>
        </is>
      </c>
      <c r="C41" s="0" t="inlineStr">
        <is>
          <t xml:space="preserve">Publicada</t>
        </is>
      </c>
      <c r="D41" s="0" t="inlineStr">
        <is>
          <t xml:space="preserve">I MUNICIPALIDAD DE CURICO</t>
        </is>
      </c>
      <c r="E41" s="0" t="inlineStr">
        <is>
          <t xml:space="preserve">Municipalidad de Curicó - Educación - Adquisiciones</t>
        </is>
      </c>
      <c r="F41" s="0" t="inlineStr">
        <is>
          <t xml:space="preserve">Región del Maule </t>
        </is>
      </c>
      <c r="G41" s="0"/>
      <c r="H41" s="2">
        <v>46311.545718</v>
      </c>
      <c r="I41" s="2">
        <v>46321.776389</v>
      </c>
      <c r="J41" s="0">
        <v>4</v>
      </c>
      <c r="K41" s="3"/>
      <c r="L41" s="0" t="inlineStr">
        <is>
          <t xml:space="preserve">CLP</t>
        </is>
      </c>
      <c r="M41" s="0" t="inlineStr">
        <is>
          <t xml:space="preserve">LE</t>
        </is>
      </c>
      <c r="N41" s="4" t="inlineStr">
        <is>
          <t xml:space="preserve">Tecnologías de la información, telecomunicaciones y radiodifusión / Equipos, plataformas y accesorios de redes multimedia, voz y datos / Equipos de servicio de red</t>
        </is>
      </c>
      <c r="O41" s="4" t="inlineStr">
        <is>
          <t xml:space="preserve">1 Unidad · Equipo de red de video</t>
        </is>
      </c>
      <c r="P41" s="2"/>
      <c r="Q41" s="2"/>
      <c r="R41" s="0"/>
      <c r="S41" s="0" t="inlineStr">
        <is>
          <t xml:space="preserve">No</t>
        </is>
      </c>
      <c r="T41" s="4"/>
      <c r="U41" s="0" t="inlineStr">
        <is>
          <t xml:space="preserve">Gonzalo Pino Muñoz</t>
        </is>
      </c>
      <c r="V41" s="4" t="inlineStr">
        <is>
          <t xml:space="preserve">El Departamento de Administración de Educación Municipal de Curicó requiere  contratar Habilitacion y Adquisición de Equipo Informático para la Instalación, conexión y Administración de la RED de datos e Iluminación WIFI para el Establecimiento Educacional Instituto Ingles de Curicó</t>
        </is>
      </c>
      <c r="W41" s="5" t="str">
        <f>HYPERLINK("https://www.mercadopublico.cl/Procurement/Modules/Attachment/ViewAttachment.aspx?enc=s%2b29yc8Fqr78RASS%2bvYSgP%2bjC8T7S1dFD%2bDW6WZelD69yqlUyWJV6i%2fhyTkoCi%2bEr8veMvWOqtobQDyG3EobQfvkNEWxyZgjUWNMrdTxiNl7KKKmNBeoVsG368oFB%2b6qjw4h1%2fqZ6Vt82wyOHXIDEKZYxIuC7WkT5Jd2F%2fkwtkOBRl1BP9pREWA1knp%2fI2DcF1li5MHRrqEwQIli7S3iDT7ZP0N31NxKBEm9Xx00bY%2fLCljwkalO4EV%2bgegixq7XBWuUxk9OQOmFQoRJgAwrMaKMvxUbTZdFR3yxGvhQnU5fNnfxiIHuzlFU4fhHdIfU","descargar bases")</f>
      </c>
    </row>
    <row r="42">
      <c r="A42" s="0" t="inlineStr">
        <is>
          <t xml:space="preserve">434-110-LP26</t>
        </is>
      </c>
      <c r="B42" s="4" t="inlineStr">
        <is>
          <t xml:space="preserve">SISTEMA DE GESTIÓN DOCUMENTAL SEGÚN LEY N°21.180</t>
        </is>
      </c>
      <c r="C42" s="0" t="inlineStr">
        <is>
          <t xml:space="preserve">Publicada</t>
        </is>
      </c>
      <c r="D42" s="0" t="inlineStr">
        <is>
          <t xml:space="preserve">I MUNICIPALIDAD DE CAUQUENES</t>
        </is>
      </c>
      <c r="E42" s="0" t="inlineStr">
        <is>
          <t xml:space="preserve">Adquisiciones</t>
        </is>
      </c>
      <c r="F42" s="0" t="inlineStr">
        <is>
          <t xml:space="preserve">Región del Maule </t>
        </is>
      </c>
      <c r="G42" s="0" t="inlineStr">
        <is>
          <t xml:space="preserve">Cauquenes</t>
        </is>
      </c>
      <c r="H42" s="2">
        <v>46302.681944</v>
      </c>
      <c r="I42" s="2">
        <v>46322.375</v>
      </c>
      <c r="J42" s="0">
        <v>5</v>
      </c>
      <c r="K42" s="3">
        <v>75000000.0</v>
      </c>
      <c r="L42" s="0" t="inlineStr">
        <is>
          <t xml:space="preserve">CLP</t>
        </is>
      </c>
      <c r="M42" s="0" t="inlineStr">
        <is>
          <t xml:space="preserve">LP</t>
        </is>
      </c>
      <c r="N42" s="4" t="inlineStr">
        <is>
          <t xml:space="preserve">Artículos para estructuras, obras y construcciones / Construcciones permanentes / Construcciones para educación e investigación</t>
        </is>
      </c>
      <c r="O42" s="4" t="inlineStr">
        <is>
          <t xml:space="preserve">1 Unidad · Servicios de investigación o medición · 1 Unidad · Servicios de investigación o medición</t>
        </is>
      </c>
      <c r="P42" s="2"/>
      <c r="Q42" s="2"/>
      <c r="R42" s="0" t="inlineStr">
        <is>
          <t xml:space="preserve">36 meses</t>
        </is>
      </c>
      <c r="S42" s="0" t="inlineStr">
        <is>
          <t xml:space="preserve">No</t>
        </is>
      </c>
      <c r="T42" s="4"/>
      <c r="U42" s="0" t="inlineStr">
        <is>
          <t xml:space="preserve">CHRISTIAN AGUILERA LETELIER</t>
        </is>
      </c>
      <c r="V42" s="4" t="inlineStr">
        <is>
          <t xml:space="preserve">TENER UN SISTEMA PARA ACOMPAÑAMIENTO EN LA IMPLEMENTACIÓN DE LA LEY DE TRANSFORMACIÓN DIGITAL DEL ESTADO.</t>
        </is>
      </c>
      <c r="W42" s="5" t="str">
        <f>HYPERLINK("https://www.mercadopublico.cl/Procurement/Modules/Attachment/ViewAttachment.aspx?enc=s2fJY2bBu6HTe%2fWdDg28T%2btYVqqVlv5A0u%2bKDoSrxOT2wRqYRHMtW6Gj%2btjtsFex0Y2KgXT8VMSfNzA5WIW%2ftLdDMIEiDOi%2bpeO7MjeSCaiF8pNKTN2GreyNcFXRExbXrh5rjvVUepmn9iwYWRsdK4c7613gTuxQpw%2fjqRe3RF5KCY8cLjG8QCwBsm6RQoI76DXQ5QLIPhpl9wzFXLxzt05WVNzCN9nth63N3O1pdrx1TB9xpENWKWLnQV8dq3MveZJvZN7M5WcvyeNIULcy5g%2f5TcwDgL%2fbc853eaOe4jLwOTeV1dbNiF4DzdMvqixF","descargar bases")</f>
      </c>
    </row>
    <row r="43">
      <c r="A43" s="0" t="inlineStr">
        <is>
          <t xml:space="preserve">2308-90-LE26</t>
        </is>
      </c>
      <c r="B43" s="4" t="inlineStr">
        <is>
          <t xml:space="preserve">REPARACIÓN MODERNIZACIÓN PUESTA EN MARCHA Y CERTIFICACIÓN DEL ASCENSOR DEL EDIFICIO CONSISTORIAL OSORNO</t>
        </is>
      </c>
      <c r="C43" s="0" t="inlineStr">
        <is>
          <t xml:space="preserve">Publicada</t>
        </is>
      </c>
      <c r="D43" s="0" t="inlineStr">
        <is>
          <t xml:space="preserve">I MUNICIPALIDAD DE OSORNO</t>
        </is>
      </c>
      <c r="E43" s="0" t="inlineStr">
        <is>
          <t xml:space="preserve">SECRETARIA DE PLANIFICACION</t>
        </is>
      </c>
      <c r="F43" s="0" t="inlineStr">
        <is>
          <t xml:space="preserve">Región de los Lagos </t>
        </is>
      </c>
      <c r="G43" s="0" t="inlineStr">
        <is>
          <t xml:space="preserve">Osorno</t>
        </is>
      </c>
      <c r="H43" s="2">
        <v>46303.685648</v>
      </c>
      <c r="I43" s="2">
        <v>46322.416667</v>
      </c>
      <c r="J43" s="0">
        <v>5</v>
      </c>
      <c r="K43" s="3"/>
      <c r="L43" s="0" t="inlineStr">
        <is>
          <t xml:space="preserve">CLP</t>
        </is>
      </c>
      <c r="M43" s="0" t="inlineStr">
        <is>
          <t xml:space="preserve">LE</t>
        </is>
      </c>
      <c r="N43" s="4" t="inlineStr">
        <is>
          <t xml:space="preserve">Servicios de construcción y mantenimiento / Servicios de atención, mantenimiento y reparaciones de edificios / Servicios de apoyo para la construcción</t>
        </is>
      </c>
      <c r="O43" s="4" t="inlineStr">
        <is>
          <t xml:space="preserve">1 Unidad · Servicios de mantenimiento de ascensores</t>
        </is>
      </c>
      <c r="P43" s="2"/>
      <c r="Q43" s="2"/>
      <c r="R43" s="0"/>
      <c r="S43" s="0" t="inlineStr">
        <is>
          <t xml:space="preserve">No</t>
        </is>
      </c>
      <c r="T43" s="4"/>
      <c r="U43" s="0" t="inlineStr">
        <is>
          <t xml:space="preserve">I.MUNICIPALIDAD DE OSORNO</t>
        </is>
      </c>
      <c r="V43" s="4" t="inlineStr">
        <is>
          <t xml:space="preserve">La iniciativa tiene por objeto la contratación de un servicio técnico especializado para ejecutar las obras de reparación, pruebas, puesta en marcha y certificación del sistema de tracción y componentes críticos de Ascensor del Edificio Consistorial, garantizando la total seguridad y continuidad operativa del edificio., el cual se deberá ejecutar conforme a los requerimientos establecidos en las presentes bases administrativas y bases técnicas adjuntas.</t>
        </is>
      </c>
      <c r="W43" s="5" t="str">
        <f>HYPERLINK("https://www.mercadopublico.cl/Procurement/Modules/Attachment/ViewAttachment.aspx?enc=oGzyxlePLnItT9iw9Dj4yxpFWvGWCqTn6GDrTCi3boYdaBUlvcNR1YIQkLLr4ZQ5KyCjv4VaO2GL7K5GmgDJGED0zRBqVbaU%2bEJfUiFpVVZvr%2bdH1pEolCrNZqMiZ8VFp0Bzx4qxKeL%2bQB50em%2b6ZxjZ%2baF4bo4PkVjZnkX7%2bgn27XputRFwc6XPs6qQZuhRQqmg3MAuC3KDKEP1bPOzuQxeAczpjUQfsfoTnaMiV%2fdmIIb12SAzJoreqYTmRRbNetEYn1AxPyHL3AKsZF%2bFM1wof4ecqhz%2bWah2B9EHc7ZDtdsQK0Re5W3JmZri6vK5","descargar bases")</f>
      </c>
    </row>
    <row r="44">
      <c r="A44" s="0" t="inlineStr">
        <is>
          <t xml:space="preserve">5482-94-LP26</t>
        </is>
      </c>
      <c r="B44" s="4" t="inlineStr">
        <is>
          <t xml:space="preserve">SERVICIO DE ARRIENDO MANTENCIÓN Y SOPORTE DE PLATAFORMA DOM</t>
        </is>
      </c>
      <c r="C44" s="0" t="inlineStr">
        <is>
          <t xml:space="preserve">Publicada</t>
        </is>
      </c>
      <c r="D44" s="0" t="inlineStr">
        <is>
          <t xml:space="preserve">I MUNICIPALIDAD DE NUNOA</t>
        </is>
      </c>
      <c r="E44" s="0" t="inlineStr">
        <is>
          <t xml:space="preserve">SECPLANUNOA</t>
        </is>
      </c>
      <c r="F44" s="0" t="inlineStr">
        <is>
          <t xml:space="preserve">Región Metropolitana de Santiago</t>
        </is>
      </c>
      <c r="G44" s="0" t="inlineStr">
        <is>
          <t xml:space="preserve">Ñuñoa</t>
        </is>
      </c>
      <c r="H44" s="2">
        <v>46300.41875</v>
      </c>
      <c r="I44" s="2">
        <v>46322.416667</v>
      </c>
      <c r="J44" s="0">
        <v>5</v>
      </c>
      <c r="K44" s="3"/>
      <c r="L44" s="0" t="inlineStr">
        <is>
          <t xml:space="preserve">CLP</t>
        </is>
      </c>
      <c r="M44" s="0" t="inlineStr">
        <is>
          <t xml:space="preserve">LP</t>
        </is>
      </c>
      <c r="N44" s="4" t="inlineStr">
        <is>
          <t xml:space="preserve">Tecnologías de la información, telecomunicaciones y radiodifusión / Software / Programas de desarrollo</t>
        </is>
      </c>
      <c r="O44" s="4" t="inlineStr">
        <is>
          <t xml:space="preserve">1 Unidad · Software de desarrollo de plataforma Web</t>
        </is>
      </c>
      <c r="P44" s="2"/>
      <c r="Q44" s="2"/>
      <c r="R44" s="0" t="inlineStr">
        <is>
          <t xml:space="preserve">36 meses</t>
        </is>
      </c>
      <c r="S44" s="0" t="inlineStr">
        <is>
          <t xml:space="preserve">No</t>
        </is>
      </c>
      <c r="T44" s="4"/>
      <c r="U44" s="0" t="inlineStr">
        <is>
          <t xml:space="preserve">Katherine Ayala</t>
        </is>
      </c>
      <c r="V44" s="4" t="inlineStr">
        <is>
          <t xml:space="preserve">contratar una solución tecnológica integral que permita la implementación,
parametrización, operación, soporte, mantención y alojamiento de un sistema
informático especializado para la Dirección de Obras Municipales de Ñuñoa (en
adelante DOM).</t>
        </is>
      </c>
      <c r="W44" s="5" t="str">
        <f>HYPERLINK("https://www.mercadopublico.cl/Procurement/Modules/Attachment/ViewAttachment.aspx?enc=YZXL%2fxsaOjOEgo3UTxxP28wXplSJrVx%2fmnTTlmXSekwHsuw9ateEDn1aV%2fK9An4Z%2fV1mZ3KBS2WzAE1uL%2bWRLql0K0aWt6bng4Kk5C6JKAyinxs%2fzjxypCsajJbPdd3PIpTykNwTbdEM1N3GPfgsre3giuRjylMGeHIb2K98ZRXbKNGAqloXF4XM68%2bq4hTLKlQF2SLVyikRCXawUIWhbulVSTGAxW%2f1Rb3DIHXJOyajRyTSU0zbZhppOOK3IeVUMyqHCT0QrX2mQi%2biMC1VI6WVTabmaEQRf%2b3eX0xKhNeEW4so03EmvgROSrBFbSDC","descargar bases")</f>
      </c>
    </row>
    <row r="45">
      <c r="A45" s="0" t="inlineStr">
        <is>
          <t xml:space="preserve">735950-4-LE26</t>
        </is>
      </c>
      <c r="B45" s="4" t="inlineStr">
        <is>
          <t xml:space="preserve">Sistema de conferencia digital.-</t>
        </is>
      </c>
      <c r="C45" s="0" t="inlineStr">
        <is>
          <t xml:space="preserve">Publicada</t>
        </is>
      </c>
      <c r="D45" s="0" t="inlineStr">
        <is>
          <t xml:space="preserve">I MUNICIPALIDAD DE VILLARRICA</t>
        </is>
      </c>
      <c r="E45" s="0" t="inlineStr">
        <is>
          <t xml:space="preserve">Informática</t>
        </is>
      </c>
      <c r="F45" s="0" t="inlineStr">
        <is>
          <t xml:space="preserve">Región de la Araucanía </t>
        </is>
      </c>
      <c r="G45" s="0" t="inlineStr">
        <is>
          <t xml:space="preserve">Villarrica</t>
        </is>
      </c>
      <c r="H45" s="2">
        <v>46316.66059</v>
      </c>
      <c r="I45" s="2">
        <v>46322.458333</v>
      </c>
      <c r="J45" s="0">
        <v>5</v>
      </c>
      <c r="K45" s="3">
        <v>13000000.0</v>
      </c>
      <c r="L45" s="0" t="inlineStr">
        <is>
          <t xml:space="preserve">CLP</t>
        </is>
      </c>
      <c r="M45" s="0" t="inlineStr">
        <is>
          <t xml:space="preserve">LE</t>
        </is>
      </c>
      <c r="N45" s="4" t="inlineStr">
        <is>
          <t xml:space="preserve">Equipos y suministros de imprenta, fotográficos y audiovisuales / Equipos de composición y presentación audiovisual / Equipos, hardware y controladores para sistemas de teleconferencia y videoconferencia</t>
        </is>
      </c>
      <c r="O45" s="4" t="inlineStr">
        <is>
          <t xml:space="preserve">1 Paquete · Sistemas de aprendizaje a distancia</t>
        </is>
      </c>
      <c r="P45" s="2"/>
      <c r="Q45" s="2"/>
      <c r="R45" s="0"/>
      <c r="S45" s="0" t="inlineStr">
        <is>
          <t xml:space="preserve">No</t>
        </is>
      </c>
      <c r="T45" s="4" t="inlineStr">
        <is>
          <t xml:space="preserve">Bajo ninguna circunstancia el Adjudicatario podrá ceder total la posición jurídica contractual a un tercero.</t>
        </is>
      </c>
      <c r="U45" s="0" t="inlineStr">
        <is>
          <t xml:space="preserve">ALVARO RODRIGUEZ</t>
        </is>
      </c>
      <c r="V45" s="4" t="inlineStr">
        <is>
          <t xml:space="preserve">“ADQUISICIÓN DE SISTEMA DE CONFERENCIA DIGITAL PARA EL CONCEJO MUNICIPAL DE VILLARRICA”. Se requiere adquirir una solución integral para el desarrollo presencial de las sesiones del Concejo Municipal, permitiendo capturar con claridad las intervenciones de sus integrantes, administrar los turnos de palabra, obtener audio digital de alta calidad para grabación y streaming, efectuar seguimiento automático del orador y disponer de una pantalla profesional para apoyo visual y presentaciones.
Todo equipamiento deberá ser nuevo, sin uso anterior, de fabricación vigente y contar con garantía y soporte técnico en Chile.</t>
        </is>
      </c>
      <c r="W45" s="5" t="str">
        <f>HYPERLINK("https://www.mercadopublico.cl/Procurement/Modules/Attachment/ViewAttachment.aspx?enc=R9QWyxZPZ7lOEnBzmnKwiIhzThxymJCicSnxjUYO3w38bXjWS%2frsodU%2fkMCEAZC24SAn7XV5NoErSf7naaIJsYQg8M7L3abWSS%2fHkFkvCrDtowBZ1cFEpkVjJnjtMTVXuGrANvkRUvPEU9QSK8ID04gvpcHTjF2VnxWNZgqLJ1%2fyAydc4FA1293%2buIGjuBe3urp7K62%2foDcMfV%2f0XkfOzTVGHTyxw16iLce5bCNPaSNqFTwBTT%2bvAxTHLu%2bq4XzJ4V2AG5ajOgji3gLjv2IoSu4HW7uShnuB6xASFLSlCwnBasBPwF0x4dY8%2f%2b%2b56opR","descargar bases")</f>
      </c>
    </row>
    <row r="46">
      <c r="A46" s="0" t="inlineStr">
        <is>
          <t xml:space="preserve">1514-113-LE26</t>
        </is>
      </c>
      <c r="B46" s="4" t="inlineStr">
        <is>
          <t xml:space="preserve">Convenio de Sistema de Gestión de Calidad en Salud GCS bajo modalidad Cloud</t>
        </is>
      </c>
      <c r="C46" s="0" t="inlineStr">
        <is>
          <t xml:space="preserve">Publicada</t>
        </is>
      </c>
      <c r="D46" s="0" t="inlineStr">
        <is>
          <t xml:space="preserve">SERVICIO DE SALUD CHILOE</t>
        </is>
      </c>
      <c r="E46" s="0" t="inlineStr">
        <is>
          <t xml:space="preserve">Hospital de Castro</t>
        </is>
      </c>
      <c r="F46" s="0" t="inlineStr">
        <is>
          <t xml:space="preserve">Región de los Lagos </t>
        </is>
      </c>
      <c r="G46" s="0" t="inlineStr">
        <is>
          <t xml:space="preserve">Ancud</t>
        </is>
      </c>
      <c r="H46" s="2">
        <v>46310.637083</v>
      </c>
      <c r="I46" s="2">
        <v>46322.625</v>
      </c>
      <c r="J46" s="0">
        <v>5</v>
      </c>
      <c r="K46" s="3"/>
      <c r="L46" s="0" t="inlineStr">
        <is>
          <t xml:space="preserve">CLP</t>
        </is>
      </c>
      <c r="M46" s="0" t="inlineStr">
        <is>
          <t xml:space="preserve">LE</t>
        </is>
      </c>
      <c r="N46" s="4" t="inlineStr">
        <is>
          <t xml:space="preserve">Tecnologías de la información, telecomunicaciones y radiodifusión / Software / Programas de desarrollo</t>
        </is>
      </c>
      <c r="O46" s="4" t="inlineStr">
        <is>
          <t xml:space="preserve">36 Mes · Programas de gestión de configuración</t>
        </is>
      </c>
      <c r="P46" s="2"/>
      <c r="Q46" s="2"/>
      <c r="R46" s="0" t="inlineStr">
        <is>
          <t xml:space="preserve">36 meses</t>
        </is>
      </c>
      <c r="S46" s="0" t="inlineStr">
        <is>
          <t xml:space="preserve">No</t>
        </is>
      </c>
      <c r="T46" s="4" t="inlineStr">
        <is>
          <t xml:space="preserve">DE ACUERDO A BASES ADMINISTRATIVAS</t>
        </is>
      </c>
      <c r="U46" s="0" t="inlineStr">
        <is>
          <t xml:space="preserve">Alex Gomez De La Torre</t>
        </is>
      </c>
      <c r="V46" s="4" t="inlineStr">
        <is>
          <t xml:space="preserve">Hospital de Castro requiere realizar Licitación Pública para establecer dicho Convenio de Sistema de Gestión de Calidad en Salud (GCS) bajo modalidad Cloud y con ello permitir el normal funcionamiento del Hospital</t>
        </is>
      </c>
      <c r="W46" s="5" t="str">
        <f>HYPERLINK("https://www.mercadopublico.cl/Procurement/Modules/Attachment/ViewAttachment.aspx?enc=t6hiiZIMH9RqHvM3BVRIdqx3U6Iart4OV%2foUyTkKroYxLmp0JFEJJniqjVgDYsUGhUA6eGbJqUIbR%2bcvsNk8XPP7coZSZm9nWIztrlrONzr38JiY7SxEjUm4zOzmATUWoBVxF2aXuNEOyXYSz9T0WIBNJng%2bymI23lUKFFXYAYQCymA6LI0jD%2bLy%2f9yYQiM0kaoZ3HIwrNI344VblyEK5UXSmFzluptSExEYxhAyiWKA39CLQNABpbHKY%2brL6kqTTtx6pI5tI2k77fHVLlfe5KwfnwgpPyQd7lagJAlTmIQjB714qSkr2jTTWJFQ%2fbkt","descargar bases")</f>
      </c>
    </row>
    <row r="47">
      <c r="A47" s="0" t="inlineStr">
        <is>
          <t xml:space="preserve">1606-34-LE26</t>
        </is>
      </c>
      <c r="B47" s="4" t="inlineStr">
        <is>
          <t xml:space="preserve">Consultoría para la digitalización de rutas de taxis colectivos. Proyecto Apoyo a la estrategia Chilena de transporte sostenible - CLETS Financiado por la GEF e implementado por CAF</t>
        </is>
      </c>
      <c r="C47" s="0" t="inlineStr">
        <is>
          <t xml:space="preserve">Publicada</t>
        </is>
      </c>
      <c r="D47" s="0" t="inlineStr">
        <is>
          <t xml:space="preserve">AGENCIA CHILENA DE COOPERACION INTERNACIONAL PARA EL DESARROLLO</t>
        </is>
      </c>
      <c r="E47" s="0" t="inlineStr">
        <is>
          <t xml:space="preserve">AGCID</t>
        </is>
      </c>
      <c r="F47" s="0" t="inlineStr">
        <is>
          <t xml:space="preserve">Región Metropolitana de Santiago</t>
        </is>
      </c>
      <c r="G47" s="0" t="inlineStr">
        <is>
          <t xml:space="preserve">Santiago</t>
        </is>
      </c>
      <c r="H47" s="2">
        <v>46303.53125</v>
      </c>
      <c r="I47" s="2">
        <v>46322.625</v>
      </c>
      <c r="J47" s="0">
        <v>5</v>
      </c>
      <c r="K47" s="3">
        <v>20000.0</v>
      </c>
      <c r="L47" s="0" t="inlineStr">
        <is>
          <t xml:space="preserve">USD</t>
        </is>
      </c>
      <c r="M47" s="0" t="inlineStr">
        <is>
          <t xml:space="preserve">LE</t>
        </is>
      </c>
      <c r="N47" s="4" t="inlineStr">
        <is>
          <t xml:space="preserve">Servicios profesionales, administrativos y consultorías de gestión empresarial / Consultorías o asesorías en gestión empresarial / Servicios de consultoría en gestión de empresas</t>
        </is>
      </c>
      <c r="O47" s="4" t="inlineStr">
        <is>
          <t xml:space="preserve">1 Unidad · Asesorías en planificación estratégica</t>
        </is>
      </c>
      <c r="P47" s="2"/>
      <c r="Q47" s="2"/>
      <c r="R47" s="0" t="inlineStr">
        <is>
          <t xml:space="preserve">7 meses</t>
        </is>
      </c>
      <c r="S47" s="0" t="inlineStr">
        <is>
          <t xml:space="preserve">No</t>
        </is>
      </c>
      <c r="T47" s="4" t="inlineStr">
        <is>
          <t xml:space="preserve">Según numeral 11.8 de Cesión y subcontratación de la Resolución Exenta de AGCID 305, de fecha 07 de octubre del 2026</t>
        </is>
      </c>
      <c r="U47" s="0" t="inlineStr">
        <is>
          <t xml:space="preserve">Paula Krautz Vargas</t>
        </is>
      </c>
      <c r="V47" s="4" t="inlineStr">
        <is>
          <t xml:space="preserve">Diseñar, desarrollar, probar, sistematizar e implementar una plataforma digital interoperable, compuesta por un Módulo Operador y un Módulo Ministerio, que permita administrar el ciclo completo de registro, revisión, validación y actualización de digitalización de recorridos y atributos operacionales de los servicios de taxis colectivos, integrándose con las plataformas institucionales existentes y validando su funcionamiento mediante una implementación piloto.</t>
        </is>
      </c>
      <c r="W47" s="5" t="str">
        <f>HYPERLINK("https://www.mercadopublico.cl/Procurement/Modules/Attachment/ViewAttachment.aspx?enc=%2fVKmBN%2b3eNW4lmbzsqQy25gZCgchdpiWNcjpjvAxeK0RxWT8iifwtk9T3Ew0sNOz0yyA5mOQlwvRaZOmTqWeEeaGwh3L7RA08oanCCODuHbrUJdPHEhM0cuDAaDlsEOdvVWfxaMi07lqbVkEcQLY1ZrFqcjaxuL8tVFgVh5TT%2feEUrRnvXYwqA5yJ7W05obUP4oi%2fVXJSr14PzlU2RUEfkL5xflSrwXkyFxBhRSfjO35XHLxZK7AuQUohVyIuNtguos6HU2qVyufGil%2flI6R%2bL5WMjqdOqZlBzC1%2bpc5oMoBjx7Wq9Np%2bdoz8JTQphJ7","descargar bases")</f>
      </c>
    </row>
    <row r="48">
      <c r="A48" s="0" t="inlineStr">
        <is>
          <t xml:space="preserve">2667-71-LR26</t>
        </is>
      </c>
      <c r="B48" s="4" t="inlineStr">
        <is>
          <t xml:space="preserve">ARRIENDO SOPORTE Y MANTENCIÓN DE CENTRAL TELEFONICA IP TELEFONOS IP Y PLATAFORMA DE CONTACT CENTER</t>
        </is>
      </c>
      <c r="C48" s="0" t="inlineStr">
        <is>
          <t xml:space="preserve">Publicada</t>
        </is>
      </c>
      <c r="D48" s="0" t="inlineStr">
        <is>
          <t xml:space="preserve">I MUNICIPALIDAD DE VITACURA</t>
        </is>
      </c>
      <c r="E48" s="0" t="inlineStr">
        <is>
          <t xml:space="preserve">SECPLA</t>
        </is>
      </c>
      <c r="F48" s="0" t="inlineStr">
        <is>
          <t xml:space="preserve">Región Metropolitana de Santiago</t>
        </is>
      </c>
      <c r="G48" s="0" t="inlineStr">
        <is>
          <t xml:space="preserve">Vitacura</t>
        </is>
      </c>
      <c r="H48" s="2">
        <v>46282.543056</v>
      </c>
      <c r="I48" s="2">
        <v>46322.625</v>
      </c>
      <c r="J48" s="0">
        <v>5</v>
      </c>
      <c r="K48" s="3"/>
      <c r="L48" s="0" t="inlineStr">
        <is>
          <t xml:space="preserve">CLF</t>
        </is>
      </c>
      <c r="M48" s="0" t="inlineStr">
        <is>
          <t xml:space="preserve">LR</t>
        </is>
      </c>
      <c r="N48" s="4" t="inlineStr">
        <is>
          <t xml:space="preserve">Equipos y suministros de defensa, orden público, protección y seguridad / Seguridad, vigilancia y detección / Equipo de vigilancia y detección</t>
        </is>
      </c>
      <c r="O48" s="4" t="inlineStr">
        <is>
          <t xml:space="preserve">1 Global · Sistemas de alarma</t>
        </is>
      </c>
      <c r="P48" s="2"/>
      <c r="Q48" s="2"/>
      <c r="R48" s="0" t="inlineStr">
        <is>
          <t xml:space="preserve">48 meses</t>
        </is>
      </c>
      <c r="S48" s="0" t="inlineStr">
        <is>
          <t xml:space="preserve">No</t>
        </is>
      </c>
      <c r="T48" s="4"/>
      <c r="U48" s="0" t="inlineStr">
        <is>
          <t xml:space="preserve">Gonzalo Fuentes Osses</t>
        </is>
      </c>
      <c r="V48" s="4" t="inlineStr">
        <is>
          <t xml:space="preserve">La presente licitación tiene por objeto dar a conocer los requerimientos administrativos y técnicos para la renovación y modernización del servicio telefónico de la Municipalidad de Vitacura. Para ello, se contempla la contratación, bajo modalidad de arriendo, de una Central Telefónica IP, equipos telefónicos y una plataforma de contact center para todas sus dependencias.
El servicio deberá incluir la instalación, puesta en marcha, soporte y mantención de la solución, por un período de 48 meses (4 años), de acuerdo con lo establecido en las presentes Bases Técnicas (BT), Bases Administrativas Especiales (BAE) y demás documentos que forman parte del presente proceso licitatorio.</t>
        </is>
      </c>
      <c r="W48" s="5" t="str">
        <f>HYPERLINK("https://www.mercadopublico.cl/Procurement/Modules/Attachment/ViewAttachment.aspx?enc=IfB9XhrCqPOU5DUO5akPwqwLDURcFhx0%2fPCid5NMsrfFa2Dfc1xkoWKzpK4ogqpJbwBLIaYKQP4phmE08V2l5T4Uj2fprwKLAIWdtWhKbHLWx5T2aC55Vy92rAy51CinYOwNv1UjZ%2bdorfNfsvafpgeEaca4R3jFU8UOShiJ629oqxoi7Rlpb7AsX1QqaCkCtigzP4yCKlOae7E7m4ss%2fln9Jwe2CRNm9KqEXmPmnfz4PEiiVNq9LKmsfHUpnUpKGQYZla2a65yZt0Nts%2bZDXR84xgqPlgmRxoSWDw7acjTYqswkhWd%2f910puCvY4t4X","descargar bases")</f>
      </c>
    </row>
    <row r="49">
      <c r="A49" s="0" t="inlineStr">
        <is>
          <t xml:space="preserve">2981-293-LE26</t>
        </is>
      </c>
      <c r="B49" s="4" t="inlineStr">
        <is>
          <t xml:space="preserve">ADQUISICIÓN DE 100 GPS TRACKER CON PLATAFORMA INTEGRADA GEOESPACIAL Y DE TRAZABILIDAD Y SU RESPECTIVO EQUIPAMIENTO EJECUCIÓN DEL PLAN CALLE SIN VIOLENCIA</t>
        </is>
      </c>
      <c r="C49" s="0" t="inlineStr">
        <is>
          <t xml:space="preserve">Publicada</t>
        </is>
      </c>
      <c r="D49" s="0" t="inlineStr">
        <is>
          <t xml:space="preserve">POLICIA DE INVESTIGACIONES DE CHILE</t>
        </is>
      </c>
      <c r="E49" s="0" t="inlineStr">
        <is>
          <t xml:space="preserve">DEPARTAMENTO ADMINISTRATIVO</t>
        </is>
      </c>
      <c r="F49" s="0" t="inlineStr">
        <is>
          <t xml:space="preserve">Región Metropolitana de Santiago</t>
        </is>
      </c>
      <c r="G49" s="0" t="inlineStr">
        <is>
          <t xml:space="preserve">Santiago Centro</t>
        </is>
      </c>
      <c r="H49" s="2">
        <v>46304.490972</v>
      </c>
      <c r="I49" s="2">
        <v>46322.625</v>
      </c>
      <c r="J49" s="0">
        <v>5</v>
      </c>
      <c r="K49" s="3"/>
      <c r="L49" s="0" t="inlineStr">
        <is>
          <t xml:space="preserve">CLP</t>
        </is>
      </c>
      <c r="M49" s="0" t="inlineStr">
        <is>
          <t xml:space="preserve">LE</t>
        </is>
      </c>
      <c r="N49" s="4" t="inlineStr">
        <is>
          <t xml:space="preserve">Muebles, accesorios, electrodomésticos y productos electrónicos / Equipos y accesorios audiovisuales / Equipos audiovisuales y de electrónica menor</t>
        </is>
      </c>
      <c r="O49" s="4" t="inlineStr">
        <is>
          <t xml:space="preserve">100 Unidad · Receptores GPS</t>
        </is>
      </c>
      <c r="P49" s="2"/>
      <c r="Q49" s="2"/>
      <c r="R49" s="0"/>
      <c r="S49" s="0" t="inlineStr">
        <is>
          <t xml:space="preserve">No</t>
        </is>
      </c>
      <c r="T49" s="4" t="inlineStr">
        <is>
          <t xml:space="preserve">SEGÚN ART. 51 DE RESOLEX N°851 DE 08.OCT.026, DEPADM</t>
        </is>
      </c>
      <c r="U49" s="0" t="inlineStr">
        <is>
          <t xml:space="preserve">DAYANA MORI GONZALEZ</t>
        </is>
      </c>
      <c r="V49" s="4" t="inlineStr">
        <is>
          <t xml:space="preserve">ADQUISICIÓN DE 100 GPS TRACKER CON PLATAFORMA INTEGRADA GEOESPACIAL Y DE TRAZABILIDAD Y SU RESPECTIVO EQUIPAMIENTO EJECUCIÓN DEL PLAN CALLE SIN VIOLENCIA</t>
        </is>
      </c>
      <c r="W49" s="5" t="str">
        <f>HYPERLINK("https://www.mercadopublico.cl/Procurement/Modules/Attachment/ViewAttachment.aspx?enc=Z0TK7nMvgo77ErrDoiWHDTLzlqfG0382zIpxkn5sdz1DY7H0%2feGGv4DTBYEFiYXoiavEvjk3Mxv%2fBfB4tpSiYdQF0rR7wtH%2fGjhWc67jA9sqbcBVIuMcjOn%2f8hHC5BYh5lu0AS3s2JavP5bO%2beL6kNe0dn2J5OfiVwtZQJBea3KEE%2bLxBSg4c%2bZ50gSly5wDcQ69yFLgwtX3Ude%2b1ZWjRk3Ov8k4NyH6cevWTDskRlR2CBE%2blg2kmg%2btUUIlZ1Y2rHfOose3ytal8dHCa9vrPHqyQS6lyrVyJ7Wjn0JJfUHJxottMlKd7zpaQEwY0a3%2f","descargar bases")</f>
      </c>
    </row>
    <row r="50">
      <c r="A50" s="0" t="inlineStr">
        <is>
          <t xml:space="preserve">622-64-L126</t>
        </is>
      </c>
      <c r="B50" s="4" t="inlineStr">
        <is>
          <t xml:space="preserve">CONTRATACIÓN DEL CURSO INTELIGENCIA ARTIFICIAL APLICADA A LA GESTIÓN GREMIAL Y LA FUNCIÓN PÚBLICA</t>
        </is>
      </c>
      <c r="C50" s="0" t="inlineStr">
        <is>
          <t xml:space="preserve">Publicada</t>
        </is>
      </c>
      <c r="D50" s="0" t="inlineStr">
        <is>
          <t xml:space="preserve">TESORERIA GENERAL DE LA REPUBLICA</t>
        </is>
      </c>
      <c r="E50" s="0" t="inlineStr">
        <is>
          <t xml:space="preserve">Tesorería General de la República</t>
        </is>
      </c>
      <c r="F50" s="0" t="inlineStr">
        <is>
          <t xml:space="preserve">Región Metropolitana de Santiago</t>
        </is>
      </c>
      <c r="G50" s="0" t="inlineStr">
        <is>
          <t xml:space="preserve">Ñuñoa</t>
        </is>
      </c>
      <c r="H50" s="2">
        <v>46304.640752</v>
      </c>
      <c r="I50" s="2">
        <v>46322.625</v>
      </c>
      <c r="J50" s="0">
        <v>5</v>
      </c>
      <c r="K50" s="3">
        <v>5000000.0</v>
      </c>
      <c r="L50" s="0" t="inlineStr">
        <is>
          <t xml:space="preserve">CLP</t>
        </is>
      </c>
      <c r="M50" s="0" t="inlineStr">
        <is>
          <t xml:space="preserve">L1</t>
        </is>
      </c>
      <c r="N50" s="4" t="inlineStr">
        <is>
          <t xml:space="preserve">Educación, formación, entrenamiento y capacitación / Sistemas educativos complementarios / Educación de adultos</t>
        </is>
      </c>
      <c r="O50" s="4" t="inlineStr">
        <is>
          <t xml:space="preserve">1 Unidad · Capacitación a empleados</t>
        </is>
      </c>
      <c r="P50" s="2"/>
      <c r="Q50" s="2"/>
      <c r="R50" s="0"/>
      <c r="S50" s="0" t="inlineStr">
        <is>
          <t xml:space="preserve">No</t>
        </is>
      </c>
      <c r="T50" s="4"/>
      <c r="U50" s="0"/>
      <c r="V50" s="4" t="inlineStr">
        <is>
          <t xml:space="preserve">Contratar a un Organismo Técnico de Capacitación (OTEC) o empresa consultora para la ejecución del curso de capacitación “Inteligencia Artificial aplicada a la Gestión Gremial y la Función Pública”, de 16 horas cronológicas, dirigido a las y los dirigentes de la Asociación de Funcionarios de la Tesorería General de la República (AET). El propósito es capacitar a los participantes en el uso práctico de herramientas de Inteligencia Artificial (IA) generativa para optimizar la redacción de document</t>
        </is>
      </c>
      <c r="W50" s="5" t="str">
        <f>HYPERLINK("https://www.mercadopublico.cl/Procurement/Modules/Attachment/ViewAttachment.aspx?enc=Oa%2bqbOmqbeir5MkSgn0Zhsy7e6Ul38KH2x%2bSqvJB4COJLaHvi%2bIzSt32b2WGyoMooJpKyeduVTHp%2fMZkV5YGpzVACPmhPnlnQA4Kt4%2bn4e9oLP1yrhd1%2fVzqmyLORkpX9CL2hDZltg7%2fQxEE822sggFyuoagSlt33x7IxCznHmry7pvalyraNExtmgi8YJTkt3u9AY73XVqJMmtUN3%2bf%2fRCXIH7KyVgo5ySisYIcDhdLdqEn%2bjZO3TNGARmJcKTPxrsC5FCDPAINvEGirqlYLEe3EBF%2f7xvbgmz4BC65nboaOJdAR1BeQDeZnJdMP1H9","descargar bases")</f>
      </c>
    </row>
    <row r="51">
      <c r="A51" s="0" t="inlineStr">
        <is>
          <t xml:space="preserve">5360-5-LP26</t>
        </is>
      </c>
      <c r="B51" s="4" t="inlineStr">
        <is>
          <t xml:space="preserve">SERVICIOS DE ELECTRICIDAD Y DATOS UTA - ARICA</t>
        </is>
      </c>
      <c r="C51" s="0" t="inlineStr">
        <is>
          <t xml:space="preserve">Publicada</t>
        </is>
      </c>
      <c r="D51" s="0" t="inlineStr">
        <is>
          <t xml:space="preserve">UNIVERSIDAD DE TARAPACA</t>
        </is>
      </c>
      <c r="E51" s="0" t="inlineStr">
        <is>
          <t xml:space="preserve">DIRECCIÓN DE SERVICIOS Y  LOGÍSTICA</t>
        </is>
      </c>
      <c r="F51" s="0" t="inlineStr">
        <is>
          <t xml:space="preserve">Región de Arica y Parinacota</t>
        </is>
      </c>
      <c r="G51" s="0" t="inlineStr">
        <is>
          <t xml:space="preserve">Arica</t>
        </is>
      </c>
      <c r="H51" s="2">
        <v>46302.721933</v>
      </c>
      <c r="I51" s="2">
        <v>46322.666667</v>
      </c>
      <c r="J51" s="0">
        <v>5</v>
      </c>
      <c r="K51" s="3"/>
      <c r="L51" s="0" t="inlineStr">
        <is>
          <t xml:space="preserve">CLP</t>
        </is>
      </c>
      <c r="M51" s="0" t="inlineStr">
        <is>
          <t xml:space="preserve">LP</t>
        </is>
      </c>
      <c r="N51" s="4" t="inlineStr">
        <is>
          <t xml:space="preserve">Servicios de construcción y mantenimiento / Servicios de atención, mantenimiento y reparaciones de edificios / Servicios eléctricos</t>
        </is>
      </c>
      <c r="O51" s="4" t="inlineStr">
        <is>
          <t xml:space="preserve">1 Unidad · Instalación o servicio de sistemas de energía eléctrica</t>
        </is>
      </c>
      <c r="P51" s="2"/>
      <c r="Q51" s="2"/>
      <c r="R51" s="0" t="inlineStr">
        <is>
          <t xml:space="preserve">24 meses</t>
        </is>
      </c>
      <c r="S51" s="0" t="inlineStr">
        <is>
          <t xml:space="preserve">No</t>
        </is>
      </c>
      <c r="T51" s="4" t="inlineStr">
        <is>
          <t xml:space="preserve">No permite subcontratación. De acuerdo al Capítulo VIII Contrato de suministro
y servicio, párrafo 4 Cesión y subcontratación, Artículo 128 reglamento.
Subcontratación del reglamento de Ley Nº 19.886 sobre compras Públicas.</t>
        </is>
      </c>
      <c r="U51" s="0" t="inlineStr">
        <is>
          <t xml:space="preserve">Armando Villalobos</t>
        </is>
      </c>
      <c r="V51" s="4" t="inlineStr">
        <is>
          <t xml:space="preserve">Proveer el suministro servicios de electricidad y datos en dependencias de la Universidad de Tarapacá en la Comuna de Arica. La presente licitación dará origen a un contrato de servicios por un periodo de 24 meses. Con cargo al
Centro de Costo 188 Unidad de Servicios y Logística.</t>
        </is>
      </c>
      <c r="W51" s="5" t="str">
        <f>HYPERLINK("https://www.mercadopublico.cl/Procurement/Modules/Attachment/ViewAttachment.aspx?enc=y07WiE6X0qICBaLE1NpcsfP8B4x03%2bLFrSFg7XtsrKG7k32G%2bgPcW%2bwB8HGKcN8BeRFiAN%2bNFxnqiYGx%2bgk6k9IhtcDcqEX4tkAbTo4sW4GbZXxiDpYTcArWsM%2bGCT9CAi9elvu2Ui4sl1%2fkxxcJYI5TUZDlKhyg40%2bnLld30oIlU0Cw6C0qPDA3sBYRYfXtC0vIpKcFh%2fDOFrkNmdU%2bbWf%2ftREf6%2fUWuT0BbbiIv7QmTxvnjrWWKjvNFAoOTIO7lmvjVOYI37QHKw%2foBNWpx%2bluVEC2KJ98QXPrcvxGOBKiDbDOg%2f1SxILawZ%2fzkm%2fa","descargar bases")</f>
      </c>
    </row>
    <row r="52">
      <c r="A52" s="0" t="inlineStr">
        <is>
          <t xml:space="preserve">1469-303-L126</t>
        </is>
      </c>
      <c r="B52" s="4" t="inlineStr">
        <is>
          <t xml:space="preserve">“PRESENCIA DIGITAL EN VIA PUBLICA PARA LAS CIUDADES DE RANCAGUA, SAN FERNANDO, SANTIAGO Y CHILLÁN”</t>
        </is>
      </c>
      <c r="C52" s="0" t="inlineStr">
        <is>
          <t xml:space="preserve">Publicada</t>
        </is>
      </c>
      <c r="D52" s="0" t="inlineStr">
        <is>
          <t xml:space="preserve">UNIVERSIDAD DE TALCA</t>
        </is>
      </c>
      <c r="E52" s="0" t="inlineStr">
        <is>
          <t xml:space="preserve">Universidad de Talca</t>
        </is>
      </c>
      <c r="F52" s="0" t="inlineStr">
        <is>
          <t xml:space="preserve">Región del Maule </t>
        </is>
      </c>
      <c r="G52" s="0" t="inlineStr">
        <is>
          <t xml:space="preserve">Talca</t>
        </is>
      </c>
      <c r="H52" s="2">
        <v>46315.735081</v>
      </c>
      <c r="I52" s="2">
        <v>46323.416667</v>
      </c>
      <c r="J52" s="0">
        <v>6</v>
      </c>
      <c r="K52" s="3"/>
      <c r="L52" s="0" t="inlineStr">
        <is>
          <t xml:space="preserve">CLP</t>
        </is>
      </c>
      <c r="M52" s="0" t="inlineStr">
        <is>
          <t xml:space="preserve">L1</t>
        </is>
      </c>
      <c r="N52" s="4" t="inlineStr">
        <is>
          <t xml:space="preserve">Servicios editoriales, de diseño, publicidad, gráficos y artistas / Publicidad / Agencias de publicidad</t>
        </is>
      </c>
      <c r="O52" s="4" t="inlineStr">
        <is>
          <t xml:space="preserve">1 Unidad · Campañas publicitarias · 1 Unidad · Campañas publicitarias · 1 Unidad · Campañas publicitarias · y 4 más</t>
        </is>
      </c>
      <c r="P52" s="2"/>
      <c r="Q52" s="2"/>
      <c r="R52" s="0"/>
      <c r="S52" s="0" t="inlineStr">
        <is>
          <t xml:space="preserve">No</t>
        </is>
      </c>
      <c r="T52" s="4"/>
      <c r="U52" s="0"/>
      <c r="V52" s="4" t="inlineStr">
        <is>
          <t xml:space="preserve">La Universidad de Talca necesita aumentar su presencia de marca en las ciudades
de Rancagua, San Fernando, Santiago y Chillan</t>
        </is>
      </c>
      <c r="W52" s="5" t="str">
        <f>HYPERLINK("https://www.mercadopublico.cl/Procurement/Modules/Attachment/ViewAttachment.aspx?enc=p1whxO7VrVJPsRahD0EO9rhtA0LUeswBviOdg3Xj%2f32CsiKbiGta9FL1wWAPmatTokJ09IjAZxtgIMQZdFQOtSAJPt0dFpywfywOFfWY%2fsBm5AXkhLPbv8hGHQ8HFCmB7A2QkPPkWQ5%2fYrRKdZmUVprMT5ADBDnEHH6Xg4eNbV%2bQOkCoViuNjAawHym85SNyaLEzmanV7K%2fhqNwusJ8PzT2cWLBZOBH%2f4Qfh5XFkox%2fRy%2f8uMM7w%2fZP1aSdEV1uC2Cmkj6OHv35OkIiJc1O4U0IMg11IRpLLzpuOi9kA%2fvfYWDgaelf6urjJVuooajq8","descargar bases")</f>
      </c>
    </row>
    <row r="53">
      <c r="A53" s="0" t="inlineStr">
        <is>
          <t xml:space="preserve">3111-2-L126</t>
        </is>
      </c>
      <c r="B53" s="4" t="inlineStr">
        <is>
          <t xml:space="preserve">DIPLOMADO EN ACELERACIÓN DIGITAL BASADA EN ARQUITECTURA AGÉNTICA</t>
        </is>
      </c>
      <c r="C53" s="0" t="inlineStr">
        <is>
          <t xml:space="preserve">Publicada</t>
        </is>
      </c>
      <c r="D53" s="0" t="inlineStr">
        <is>
          <t xml:space="preserve">DIRECCION DE ABASTECIMIENTO DE LA ARMADA</t>
        </is>
      </c>
      <c r="E53" s="0" t="inlineStr">
        <is>
          <t xml:space="preserve">DIRECCION GENERAL DE FINANZAS DE LA ARMADA</t>
        </is>
      </c>
      <c r="F53" s="0" t="inlineStr">
        <is>
          <t xml:space="preserve">Región de Valparaíso </t>
        </is>
      </c>
      <c r="G53" s="0" t="inlineStr">
        <is>
          <t xml:space="preserve">Valparaíso</t>
        </is>
      </c>
      <c r="H53" s="2">
        <v>46316.457535</v>
      </c>
      <c r="I53" s="2">
        <v>46323.458333</v>
      </c>
      <c r="J53" s="0">
        <v>6</v>
      </c>
      <c r="K53" s="3">
        <v>3500000.0</v>
      </c>
      <c r="L53" s="0" t="inlineStr">
        <is>
          <t xml:space="preserve">CLP</t>
        </is>
      </c>
      <c r="M53" s="0" t="inlineStr">
        <is>
          <t xml:space="preserve">L1</t>
        </is>
      </c>
      <c r="N53" s="4" t="inlineStr">
        <is>
          <t xml:space="preserve">Educación, formación, entrenamiento y capacitación / Sistemas educativos complementarios / Educación de adultos</t>
        </is>
      </c>
      <c r="O53" s="4" t="inlineStr">
        <is>
          <t xml:space="preserve">2 Unidad no definida · Capacitación a empleados</t>
        </is>
      </c>
      <c r="P53" s="2"/>
      <c r="Q53" s="2"/>
      <c r="R53" s="0"/>
      <c r="S53" s="0" t="inlineStr">
        <is>
          <t xml:space="preserve">No</t>
        </is>
      </c>
      <c r="T53" s="4"/>
      <c r="U53" s="0"/>
      <c r="V53" s="4" t="inlineStr">
        <is>
          <t xml:space="preserve">CONTRATAR CURSOS DE CAPACITACIÓN (02) EXTRAINSTITUCIONALES: DIPLOMADO EN ACELERACIÓN DIGITAL BASADA EN ARQUITECTURA AGÉNTICA. O SIMILAR</t>
        </is>
      </c>
      <c r="W53" s="5" t="str">
        <f>HYPERLINK("https://www.mercadopublico.cl/Procurement/Modules/Attachment/ViewAttachment.aspx?enc=oeeMBnU%2f%2fZFJekvRzWKFrTRoLc6MVJt8koQkqHAjaygMY6CWaKRTMUq0MLqNq%2bDyvUAu1FdYVwfvZ94dn4QtQfcDz%2faoq9wZeOg2MG2Oou9juzcsAT5BZleAhFBPMyKvbJd4dsGJqec14bF6152J2IzybA8DQa9WwWqaikgUy%2f9cUvX2DTjGutiEJwc%2fCocEIW%2bXlQDrtYgwiFrdUYklOPuuQWEjsPI7xOpE7H2mC8GXfxsdrFngVXcP6uwD5bfrSAyTqcJCw3D7v%2fRq%2bYlzE%2fYFFTHvZEwgZzAlsiTSKHi4hqXwRKQdIaRi63FDtrKf","descargar bases")</f>
      </c>
    </row>
    <row r="54">
      <c r="A54" s="0" t="inlineStr">
        <is>
          <t xml:space="preserve">2981-287-LP26</t>
        </is>
      </c>
      <c r="B54" s="4" t="inlineStr">
        <is>
          <t xml:space="preserve">CIBERSEGURIDAD- CONSULTORIA</t>
        </is>
      </c>
      <c r="C54" s="0" t="inlineStr">
        <is>
          <t xml:space="preserve">Publicada</t>
        </is>
      </c>
      <c r="D54" s="0" t="inlineStr">
        <is>
          <t xml:space="preserve">POLICIA DE INVESTIGACIONES DE CHILE</t>
        </is>
      </c>
      <c r="E54" s="0" t="inlineStr">
        <is>
          <t xml:space="preserve">DEPARTAMENTO ADMINISTRATIVO</t>
        </is>
      </c>
      <c r="F54" s="0" t="inlineStr">
        <is>
          <t xml:space="preserve">Región Metropolitana de Santiago</t>
        </is>
      </c>
      <c r="G54" s="0" t="inlineStr">
        <is>
          <t xml:space="preserve">Santiago Centro</t>
        </is>
      </c>
      <c r="H54" s="2">
        <v>46303.658333</v>
      </c>
      <c r="I54" s="2">
        <v>46323.625</v>
      </c>
      <c r="J54" s="0">
        <v>6</v>
      </c>
      <c r="K54" s="3">
        <v>80000000.0</v>
      </c>
      <c r="L54" s="0" t="inlineStr">
        <is>
          <t xml:space="preserve">CLP</t>
        </is>
      </c>
      <c r="M54" s="0" t="inlineStr">
        <is>
          <t xml:space="preserve">LP</t>
        </is>
      </c>
      <c r="N54" s="4" t="inlineStr">
        <is>
          <t xml:space="preserve">Servicios profesionales, administrativos y consultorías de gestión empresarial / Consultorías o asesorías en gestión empresarial / Servicios de consultoría en gestión de empresas</t>
        </is>
      </c>
      <c r="O54" s="4" t="inlineStr">
        <is>
          <t xml:space="preserve">1 Unidad · Asesorías en gestión estratégica</t>
        </is>
      </c>
      <c r="P54" s="2"/>
      <c r="Q54" s="2"/>
      <c r="R54" s="0" t="inlineStr">
        <is>
          <t xml:space="preserve">12 meses</t>
        </is>
      </c>
      <c r="S54" s="0" t="inlineStr">
        <is>
          <t xml:space="preserve">No</t>
        </is>
      </c>
      <c r="T54" s="4" t="inlineStr">
        <is>
          <t xml:space="preserve">No permite subcontratacion, Art 53 de las bases</t>
        </is>
      </c>
      <c r="U54" s="0" t="inlineStr">
        <is>
          <t xml:space="preserve">CRISTOPHER SILVA GUZMAN</t>
        </is>
      </c>
      <c r="V54" s="4" t="inlineStr">
        <is>
          <t xml:space="preserve">SE REQUIERE CONTRATAR LOS SERVICIOS DE CONSULTORIA SEGUN BASES ADMINISTRATIVAS, TECNICAS Y ANEXOS ADJUNTOS.</t>
        </is>
      </c>
      <c r="W54" s="5" t="str">
        <f>HYPERLINK("https://www.mercadopublico.cl/Procurement/Modules/Attachment/ViewAttachment.aspx?enc=8KTX1COgxGdlS1a8l2t56U1OaEno4oHTuLtlMyDqIB7vKyAU%2fN%2f%2bhYAfMLSVbpwfmrfGToJC2Hb1BtXd2mul8OxDsD4ArNKvrTVOG6PNXL93%2fx9UnlKqZ3MkStgjm%2bnSNwWLI6CqnaP0JZLQQppIm9fNF3Hnql8g%2b%2bfbf%2bduQE7HEliuzCDmWFY0VmzJVYQawu8t1w9QtxG8OvN6zhF%2fFo3uJfbdmEBmUjfoIHZ3OB7cPovC5WmTIwtOiZ5QbDqmScbWGGBx0T0T8rZyylfj6HhL7TIwupwpgg2T%2fNdd2CS7GwTDFLQ8lar7pip32ZZK","descargar bases")</f>
      </c>
    </row>
    <row r="55">
      <c r="A55" s="0" t="inlineStr">
        <is>
          <t xml:space="preserve">622-66-LE26</t>
        </is>
      </c>
      <c r="B55" s="4" t="inlineStr">
        <is>
          <t xml:space="preserve">ADQUISICIÓN DE LICENCIAS PARA SOFTWARE DLP</t>
        </is>
      </c>
      <c r="C55" s="0" t="inlineStr">
        <is>
          <t xml:space="preserve">Publicada</t>
        </is>
      </c>
      <c r="D55" s="0" t="inlineStr">
        <is>
          <t xml:space="preserve">TESORERIA GENERAL DE LA REPUBLICA</t>
        </is>
      </c>
      <c r="E55" s="0" t="inlineStr">
        <is>
          <t xml:space="preserve">Tesorería General de la República</t>
        </is>
      </c>
      <c r="F55" s="0" t="inlineStr">
        <is>
          <t xml:space="preserve">Región Metropolitana de Santiago</t>
        </is>
      </c>
      <c r="G55" s="0" t="inlineStr">
        <is>
          <t xml:space="preserve">Santiago</t>
        </is>
      </c>
      <c r="H55" s="2">
        <v>46303.43956</v>
      </c>
      <c r="I55" s="2">
        <v>46323.625</v>
      </c>
      <c r="J55" s="0">
        <v>6</v>
      </c>
      <c r="K55" s="3">
        <v>69700000.0</v>
      </c>
      <c r="L55" s="0" t="inlineStr">
        <is>
          <t xml:space="preserve">CLP</t>
        </is>
      </c>
      <c r="M55" s="0" t="inlineStr">
        <is>
          <t xml:space="preserve">LE</t>
        </is>
      </c>
      <c r="N55" s="4" t="inlineStr">
        <is>
          <t xml:space="preserve">Tecnologías de la información, telecomunicaciones y radiodifusión / Software / Software de gestión</t>
        </is>
      </c>
      <c r="O55" s="4" t="inlineStr">
        <is>
          <t xml:space="preserve">1 Unidad · Software de gestión de licencias</t>
        </is>
      </c>
      <c r="P55" s="2"/>
      <c r="Q55" s="2"/>
      <c r="R55" s="0" t="inlineStr">
        <is>
          <t xml:space="preserve">24 meses</t>
        </is>
      </c>
      <c r="S55" s="0" t="inlineStr">
        <is>
          <t xml:space="preserve">No</t>
        </is>
      </c>
      <c r="T55" s="4" t="inlineStr">
        <is>
          <t xml:space="preserve">SUBCONTRATACIÓN.
En esta licitación pública no se permitirá la subcontratación, por lo que el oferente no podrá entregar todo o parte de la ejecución del contrato a subcontratistas, atendida la naturaleza de la contratación y la necesidad de contar con</t>
        </is>
      </c>
      <c r="U55" s="0" t="inlineStr">
        <is>
          <t xml:space="preserve">Será indicado en el contrato a suscribir.</t>
        </is>
      </c>
      <c r="V55" s="4" t="inlineStr">
        <is>
          <t xml:space="preserve">Adquisición e implementación integral de la suscripción y licenciamiento de una solución de Prevención de Pérdida de Datos en el Endpoint Endpoint Data Loss Prevention - DLP, tipo Trellix DLP Endpoint Complete o equivalente técnico, orientada a proteger la información crítica del Servicio frente a fugas accidentales o exfiltración maliciosa, para lo cual el adjudicatario contará con la información entregada en las Bases Técnicas, y respuestas a las aclaraciones, si las hubiere.</t>
        </is>
      </c>
      <c r="W55" s="5" t="str">
        <f>HYPERLINK("https://www.mercadopublico.cl/Procurement/Modules/Attachment/ViewAttachment.aspx?enc=ML6TIB%2fTsomVuUEByGS3D%2btnrgM%2bzBjoEhDjUFPvi6IqajBNjDMJ%2bj%2b8bqT3xk33Ekk%2bdIUoW8VejzrHSDSbXlriMYdp3psjoWJm5iksJ9zipOOEzpj37ElQe33xuLIij6LjBZKiztEkaHo3ezIZUQj9KRrbbc89ZtYcgJTuw%2bk%2bn10xkjgG1tgsli4TaZRAOBFEx8avikcbhqQhTvJ0B%2bLcGBxYifWi3OmEv%2fKV0fr5J7A38aca3GIjH6sq4kYqfhmvalhugj2%2bGjhOpnjKmDnsbNV5zkI4x%2f7DimbWjQTscUWRQnLYam%2bWaoE6u6eE","descargar bases")</f>
      </c>
    </row>
    <row r="56">
      <c r="A56" s="0" t="inlineStr">
        <is>
          <t xml:space="preserve">542429-9-L126</t>
        </is>
      </c>
      <c r="B56" s="4" t="inlineStr">
        <is>
          <t xml:space="preserve">CURSO INTELIGENCIA ARTIFICIAL APLICADA AL EJERCICIO JURÍDICO</t>
        </is>
      </c>
      <c r="C56" s="0" t="inlineStr">
        <is>
          <t xml:space="preserve">Publicada</t>
        </is>
      </c>
      <c r="D56" s="0" t="inlineStr">
        <is>
          <t xml:space="preserve">UNIDAD ADMINISTRADORA DE LOS TRIBUNALES TRIBUTARIOS Y ADUANEROS</t>
        </is>
      </c>
      <c r="E56" s="0" t="inlineStr">
        <is>
          <t xml:space="preserve">UNIDAD ADMINISTRADORA DE LOS TRIBUNALES TRIBUTARIOS Y ADUANEROS</t>
        </is>
      </c>
      <c r="F56" s="0" t="inlineStr">
        <is>
          <t xml:space="preserve">Región Metropolitana de Santiago</t>
        </is>
      </c>
      <c r="G56" s="0" t="inlineStr">
        <is>
          <t xml:space="preserve">Santiago</t>
        </is>
      </c>
      <c r="H56" s="2">
        <v>46315.61934</v>
      </c>
      <c r="I56" s="2">
        <v>46323.645833</v>
      </c>
      <c r="J56" s="0">
        <v>6</v>
      </c>
      <c r="K56" s="3"/>
      <c r="L56" s="0" t="inlineStr">
        <is>
          <t xml:space="preserve">CLP</t>
        </is>
      </c>
      <c r="M56" s="0" t="inlineStr">
        <is>
          <t xml:space="preserve">L1</t>
        </is>
      </c>
      <c r="N56" s="4" t="inlineStr">
        <is>
          <t xml:space="preserve">Educación, formación, entrenamiento y capacitación / Sistemas educativos complementarios / Educación de adultos</t>
        </is>
      </c>
      <c r="O56" s="4" t="inlineStr">
        <is>
          <t xml:space="preserve">1 Unidad · Capacitación a empleados</t>
        </is>
      </c>
      <c r="P56" s="2"/>
      <c r="Q56" s="2"/>
      <c r="R56" s="0"/>
      <c r="S56" s="0" t="inlineStr">
        <is>
          <t xml:space="preserve">No</t>
        </is>
      </c>
      <c r="T56" s="4"/>
      <c r="U56" s="0"/>
      <c r="V56" s="4" t="inlineStr">
        <is>
          <t xml:space="preserve">Desarrollar competencias prácticas para utilizar herramientas de Inteligencia Artificial generativa y analítica como apoyo al ejercicio jurídico, fortaleciendo la investigación, el análisis documental, la comparación normativa , la redacción asistida y la verificación de resultados, bajo criterios de uso responsable y confidencialidad.</t>
        </is>
      </c>
      <c r="W56" s="5" t="str">
        <f>HYPERLINK("https://www.mercadopublico.cl/Procurement/Modules/Attachment/ViewAttachment.aspx?enc=NvNWlyZOJgod60%2fkM183IjWOVNfpPxnaGx5Q8ibbWVhYDLBDkSvUZIcKn5Nq8mCnrWM4NOtS9NZGYb6LZsriuAwLogNTdQFqBZuIajF%2bAtcnDwYm0SXIH3hCrEhmewfKXf0lWoU8ZtOT2rzhFgxkRwxHOinI4EoKgcCC4ujmvKMdXXABP80rRRlkhyE0tcMKHlSEGRDfDCxQ1XsGEIWMyS4TRbWeNC2VsO5UBNEylVkyFRYWw8uh%2fGGBsfW0EZptGZLwC5o4RbD9mrcE%2fMv24zJEzPS4PfrbSV4MMTSMBcDfL8iMftmgXfXvkG9kp%2b4R","descargar bases")</f>
      </c>
    </row>
    <row r="57">
      <c r="A57" s="0" t="inlineStr">
        <is>
          <t xml:space="preserve">1057049-376-LP26</t>
        </is>
      </c>
      <c r="B57" s="4" t="inlineStr">
        <is>
          <t xml:space="preserve">PROV E INSTALACIÓN DE PLATAFORMAS DE SEGURIDAD PARA SHAFTS DEL HOSPITAL CLÍNICO SAN BORJA ARRIARÁN</t>
        </is>
      </c>
      <c r="C57" s="0" t="inlineStr">
        <is>
          <t xml:space="preserve">Publicada</t>
        </is>
      </c>
      <c r="D57" s="0" t="inlineStr">
        <is>
          <t xml:space="preserve">SERV SALUD METROPOLITANO CENTRAL HOSPITAL CLINICO SAN BORJA ARRIARAN</t>
        </is>
      </c>
      <c r="E57" s="0" t="inlineStr">
        <is>
          <t xml:space="preserve">Bienes y Servicios</t>
        </is>
      </c>
      <c r="F57" s="0" t="inlineStr">
        <is>
          <t xml:space="preserve">Región Metropolitana de Santiago</t>
        </is>
      </c>
      <c r="G57" s="0" t="inlineStr">
        <is>
          <t xml:space="preserve">Santiago</t>
        </is>
      </c>
      <c r="H57" s="2">
        <v>46303.592002</v>
      </c>
      <c r="I57" s="2">
        <v>46323.645833</v>
      </c>
      <c r="J57" s="0">
        <v>6</v>
      </c>
      <c r="K57" s="3"/>
      <c r="L57" s="0" t="inlineStr">
        <is>
          <t xml:space="preserve">CLP</t>
        </is>
      </c>
      <c r="M57" s="0" t="inlineStr">
        <is>
          <t xml:space="preserve">LP</t>
        </is>
      </c>
      <c r="N57" s="4" t="inlineStr">
        <is>
          <t xml:space="preserve">Maquinaria para construcción y edificación / Maquinaria pesada de construcción / Elevadores</t>
        </is>
      </c>
      <c r="O57" s="4" t="inlineStr">
        <is>
          <t xml:space="preserve">1 Global · Plataforma elevadora</t>
        </is>
      </c>
      <c r="P57" s="2"/>
      <c r="Q57" s="2"/>
      <c r="R57" s="0"/>
      <c r="S57" s="0" t="inlineStr">
        <is>
          <t xml:space="preserve">No</t>
        </is>
      </c>
      <c r="T57" s="4"/>
      <c r="U57" s="0" t="inlineStr">
        <is>
          <t xml:space="preserve">Andres Muñoz</t>
        </is>
      </c>
      <c r="V57" s="4" t="inlineStr">
        <is>
          <t xml:space="preserve">El objetivo de la Propuesta es la contratación de PROVISIÓN E INSTALACIÓN DE PLATAFORMAS DE SEGURIDAD PARA SHAFTS DEL HOSPITAL CLÍNICO SAN BORJA ARRIARÁN, solicitados en las especificaciones técnicas, en concordancia con las Bases Administrativas, Técnicas, Formularios, aclaraciones y otros documentos que pudieran formularse en el transcurso de la licitación.
Se entenderá que todo proveedor conoce y acepta irrevocablemente el contenido de las Bases de licitación, por el solo hecho de presentar ofertas en este proceso de licitación.</t>
        </is>
      </c>
      <c r="W57" s="5" t="str">
        <f>HYPERLINK("https://www.mercadopublico.cl/Procurement/Modules/Attachment/ViewAttachment.aspx?enc=zJq4DSN5afIFt2oMKfL2KIvcFF%2f0AHDjCFos4avieUIuKLvvW4uiTG0pIO1p9xC3fyWPtQ%2bDcYS%2f2LajHRwNMt2DatlhHPZbbBoYGmsT8FPAuq6vWlnXiIdvD68zCRyOPICwgByhxMAtLlVs58zTJZaKFcj4oFPb5IJS%2bGaEgqenc6BKbGfeCks0s8A712Dw1PK4eruqKFMZ7m1XY%2bt%2b9RaJCnA3A4aT9q4bIha0jQXe7OZv8BI3Rld%2b5Bt90VnijxNjrvD8jUQz3d37zz0iGdpUZAkXrVhE4MyCc%2bw3rqq9GGpnfU0ibc8HuyF7Xs7w","descargar bases")</f>
      </c>
    </row>
    <row r="58">
      <c r="A58" s="0" t="inlineStr">
        <is>
          <t xml:space="preserve">1005498-24-LP26</t>
        </is>
      </c>
      <c r="B58" s="4" t="inlineStr">
        <is>
          <t xml:space="preserve">SUSCRIPCIÓN DE LICENCIAS EN MODALIDAD CLOUD</t>
        </is>
      </c>
      <c r="C58" s="0" t="inlineStr">
        <is>
          <t xml:space="preserve">Publicada</t>
        </is>
      </c>
      <c r="D58" s="0" t="inlineStr">
        <is>
          <t xml:space="preserve">COMISION PARA EL MERCADO FINANCIERO</t>
        </is>
      </c>
      <c r="E58" s="0" t="inlineStr">
        <is>
          <t xml:space="preserve">COMISION PARA EL MERCADO FINANCIERO</t>
        </is>
      </c>
      <c r="F58" s="0" t="inlineStr">
        <is>
          <t xml:space="preserve">Región Metropolitana de Santiago</t>
        </is>
      </c>
      <c r="G58" s="0" t="inlineStr">
        <is>
          <t xml:space="preserve">Santiago Centro</t>
        </is>
      </c>
      <c r="H58" s="2">
        <v>46303.688009</v>
      </c>
      <c r="I58" s="2">
        <v>46323.666667</v>
      </c>
      <c r="J58" s="0">
        <v>6</v>
      </c>
      <c r="K58" s="3">
        <v>196000.0</v>
      </c>
      <c r="L58" s="0" t="inlineStr">
        <is>
          <t xml:space="preserve">USD</t>
        </is>
      </c>
      <c r="M58" s="0" t="inlineStr">
        <is>
          <t xml:space="preserve">LP</t>
        </is>
      </c>
      <c r="N58" s="4" t="inlineStr">
        <is>
          <t xml:space="preserve">Servicios basados en ingeniería, ciencias sociales y tecnología de la información / Servicios informáticos / Mantenimiento y soporte de software</t>
        </is>
      </c>
      <c r="O58" s="4" t="inlineStr">
        <is>
          <t xml:space="preserve">1 Global · Up grade de software</t>
        </is>
      </c>
      <c r="P58" s="2"/>
      <c r="Q58" s="2"/>
      <c r="R58" s="0" t="inlineStr">
        <is>
          <t xml:space="preserve">36 meses</t>
        </is>
      </c>
      <c r="S58" s="0" t="inlineStr">
        <is>
          <t xml:space="preserve">No</t>
        </is>
      </c>
      <c r="T58" s="4" t="inlineStr">
        <is>
          <t xml:space="preserve">No se permite según Art.13.2.2 de Bases de licitación</t>
        </is>
      </c>
      <c r="U58" s="0" t="inlineStr">
        <is>
          <t xml:space="preserve">CHRISTIAN METCALFE</t>
        </is>
      </c>
      <c r="V58" s="4" t="inlineStr">
        <is>
          <t xml:space="preserve">La CMF llama a presentar ofertas en la licitación pública para contratar la “Suscripción de Licencias en modalidad Cloud Computing SaaS con soporte local y mantención” para la CMF, de acuerdo con las características que se han definido en las presentes bases administrativas, bases técnicas y sus anexos.</t>
        </is>
      </c>
      <c r="W58" s="5" t="str">
        <f>HYPERLINK("https://www.mercadopublico.cl/Procurement/Modules/Attachment/ViewAttachment.aspx?enc=eAKL%2bZI%2b67y8iI9rFjC9kDdthlj2LeaGB%2bMsviTrjGdOct4q37SGRc%2f0KnwmrOMUcc8MSeiM4TVcKMhcaY1ue%2f6ih0cBC5X8YaZoJCdhCE7dPe9WUNWaEe5SJnYMx91xJQAzXBO8CUsw2gd5GtyJlVJPG2wXkY5RYf70c9TCW%2f6%2bC4thO06HTRo5hv559kusYBdbhfDapNcbzzE9yFPv2lXzIBByawSqJK1BTSlIbOn8yEczM0wEEkvokIbZxxeAO%2b8Px2qlije1XGMRRS%2bfmIjPEDRMkNsh6JSN1sXwyGzUFXxTwhRI%2bCVNrt9LB%2bTN","descargar bases")</f>
      </c>
    </row>
    <row r="59">
      <c r="A59" s="0" t="inlineStr">
        <is>
          <t xml:space="preserve">5512-18-LE26</t>
        </is>
      </c>
      <c r="B59" s="4" t="inlineStr">
        <is>
          <t xml:space="preserve">ADQUISICIÓN DE MINICOMPUTADORES PARA IA PROYECTO UTA 22991</t>
        </is>
      </c>
      <c r="C59" s="0" t="inlineStr">
        <is>
          <t xml:space="preserve">Publicada</t>
        </is>
      </c>
      <c r="D59" s="0" t="inlineStr">
        <is>
          <t xml:space="preserve">UNIVERSIDAD DE TARAPACA</t>
        </is>
      </c>
      <c r="E59" s="0" t="inlineStr">
        <is>
          <t xml:space="preserve">Convenio de Desempeño</t>
        </is>
      </c>
      <c r="F59" s="0" t="inlineStr">
        <is>
          <t xml:space="preserve">Región de Arica y Parinacota</t>
        </is>
      </c>
      <c r="G59" s="0" t="inlineStr">
        <is>
          <t xml:space="preserve">Iquique</t>
        </is>
      </c>
      <c r="H59" s="2">
        <v>46304.456655</v>
      </c>
      <c r="I59" s="2">
        <v>46323.666667</v>
      </c>
      <c r="J59" s="0">
        <v>6</v>
      </c>
      <c r="K59" s="3">
        <v>30000000.0</v>
      </c>
      <c r="L59" s="0" t="inlineStr">
        <is>
          <t xml:space="preserve">CLP</t>
        </is>
      </c>
      <c r="M59" s="0" t="inlineStr">
        <is>
          <t xml:space="preserve">LE</t>
        </is>
      </c>
      <c r="N59" s="4" t="inlineStr">
        <is>
          <t xml:space="preserve">Tecnologías de la información, telecomunicaciones y radiodifusión / Equipos informáticos y accesorios / Computadores</t>
        </is>
      </c>
      <c r="O59" s="4" t="inlineStr">
        <is>
          <t xml:space="preserve">3 Unidad · Computadores de escritorio</t>
        </is>
      </c>
      <c r="P59" s="2"/>
      <c r="Q59" s="2"/>
      <c r="R59" s="0"/>
      <c r="S59" s="0" t="inlineStr">
        <is>
          <t xml:space="preserve">No</t>
        </is>
      </c>
      <c r="T59" s="4" t="inlineStr">
        <is>
          <t xml:space="preserve">No permite subcontratación De acuerdo al Capítulo IX Contrato de suministro y servicio, párrafo 4 Cesión y subcontratación, Artículo 128. Subcontratación del reglamento de Ley Nº 19.886 sobre compras Públicas.</t>
        </is>
      </c>
      <c r="U59" s="0" t="inlineStr">
        <is>
          <t xml:space="preserve">Jefe de Proyecto, UTA 22991</t>
        </is>
      </c>
      <c r="V59" s="4" t="inlineStr">
        <is>
          <t xml:space="preserve">La Universidad de Tarapacá requiere la adquisición de tres (3) minicomputadores o nodos de cómputo especializados para Inteligencia Artificial, junto con tres (3) cables de interconexión directa tipo QSFP. A través del Proyecto UTA22991, enmarcado en el Plan de Fortalecimiento institucional 2030, según las especoficaciones técnicas descritas en el Anexo N°2. SC 2026090341.</t>
        </is>
      </c>
      <c r="W59" s="5" t="str">
        <f>HYPERLINK("https://www.mercadopublico.cl/Procurement/Modules/Attachment/ViewAttachment.aspx?enc=TqRHf6yF1rbaTcU671G6qyUnDnzRVaHlRl2TwzEthPW4qjagxBwdDiXtc0gwIdyeMdTBPOL1NUaWBTEzzNhBeI8ufEztdqR4by1Vb3cknITkCTczhLISOVc4BxSmPH14DKR0CRrlNnnlWfXn2ZHLC7kxNhePuQEZCEIhg9vR3x3cI3CdxJhidwsZ4lDXAl%2fSbAyieuWqg9Nf0MQUoG%2bJyVQrOTSjNXr%2bMWbXC%2b4gMcjiWAUbr7bPIsh9sJYpI%2bmSHM4RSHM%2fdOoSDidioDpZTNrIeSHP3Z%2fh3xikpcCbQ8%2fEmiGfI7hQOF9IW4mYvowE","descargar bases")</f>
      </c>
    </row>
    <row r="60">
      <c r="A60" s="0" t="inlineStr">
        <is>
          <t xml:space="preserve">1469-297-L126</t>
        </is>
      </c>
      <c r="B60" s="4" t="inlineStr">
        <is>
          <t xml:space="preserve">“Servicio de mantenimiento preventivo y correctivo para equipos de clima de precisión Liebert CRV y UPS Tripp Lite del Centro de Datos del Campus Curicó de la Universidad de Talca”</t>
        </is>
      </c>
      <c r="C60" s="0" t="inlineStr">
        <is>
          <t xml:space="preserve">Publicada</t>
        </is>
      </c>
      <c r="D60" s="0" t="inlineStr">
        <is>
          <t xml:space="preserve">UNIVERSIDAD DE TALCA</t>
        </is>
      </c>
      <c r="E60" s="0" t="inlineStr">
        <is>
          <t xml:space="preserve">Universidad de Talca</t>
        </is>
      </c>
      <c r="F60" s="0" t="inlineStr">
        <is>
          <t xml:space="preserve">Región del Maule </t>
        </is>
      </c>
      <c r="G60" s="0" t="inlineStr">
        <is>
          <t xml:space="preserve">Talca</t>
        </is>
      </c>
      <c r="H60" s="2">
        <v>46315.7339</v>
      </c>
      <c r="I60" s="2">
        <v>46324.416667</v>
      </c>
      <c r="J60" s="0">
        <v>7</v>
      </c>
      <c r="K60" s="3"/>
      <c r="L60" s="0" t="inlineStr">
        <is>
          <t xml:space="preserve">CLP</t>
        </is>
      </c>
      <c r="M60" s="0" t="inlineStr">
        <is>
          <t xml:space="preserve">L1</t>
        </is>
      </c>
      <c r="N60" s="4" t="inlineStr">
        <is>
          <t xml:space="preserve">Servicios de producción y fabricación industrial / Servicios de apoyo o soporte a la fabricación / Servicios de mantenimiento y reparación de equipo de fabricación</t>
        </is>
      </c>
      <c r="O60" s="4" t="inlineStr">
        <is>
          <t xml:space="preserve">1 Unidad · Servicio de reparación de equipo de fabricación</t>
        </is>
      </c>
      <c r="P60" s="2"/>
      <c r="Q60" s="2"/>
      <c r="R60" s="0"/>
      <c r="S60" s="0" t="inlineStr">
        <is>
          <t xml:space="preserve">No</t>
        </is>
      </c>
      <c r="T60" s="4"/>
      <c r="U60" s="0"/>
      <c r="V60" s="4" t="inlineStr">
        <is>
          <t xml:space="preserve">Se requiere la realización de servicio de mantenimiento preventivo y soporte técnico correctivo para el Equipo de Clima de Precisión Liebert CRV y la UPS Tripp Lite del Centro de Datos del Campus Curicó de la Universidad de Talca con el objetivo de asegurar la continuidad operativa de la infraestructura critica por un periodo de 12 meses.
Actualmente, el equipo UPS carece de tarjeta de red para su monitoreo remoto, por lo que el servicio requiere la incorporación de dicho componente para la ges</t>
        </is>
      </c>
      <c r="W60" s="5" t="str">
        <f>HYPERLINK("https://www.mercadopublico.cl/Procurement/Modules/Attachment/ViewAttachment.aspx?enc=n7T62f6%2bnITFmcqZRqvOhwV6nUqBbLPtda%2fqLTU9DCd8llAY8DPZfvirm3N4rqrKsZLCF4uDp08skeVBIsY3itpNiB1qQkONj7XJ80BuQmTYvjgK1DVS%2bDe7YZUCoji8pH3JCliY1qc4G%2bngI58UmD%2bYTKG4LtDGhgBtXku7dOvcWlLv49om4Ifi2eWNXn7t%2fkPyg24JolAbkKf9f2dHNCR7QdccQdw0MZ%2bl%2b%2fKBy7Bi94WbPaGg5OxG3KkK5SSHxQbQ8Pro5rcORZJJtSLRcUqfH64XuGGIsw9VDDHLIzBROKYSIddtK5ZZSwp5bwzB","descargar bases")</f>
      </c>
    </row>
    <row r="61">
      <c r="A61" s="0" t="inlineStr">
        <is>
          <t xml:space="preserve">1469-302-L126</t>
        </is>
      </c>
      <c r="B61" s="4" t="inlineStr">
        <is>
          <t xml:space="preserve">“TABLERO PARA BOMBA SUMERGIBLE, CAMPUS TALCA, UNIVERSIDAD DE TALCA”</t>
        </is>
      </c>
      <c r="C61" s="0" t="inlineStr">
        <is>
          <t xml:space="preserve">Publicada</t>
        </is>
      </c>
      <c r="D61" s="0" t="inlineStr">
        <is>
          <t xml:space="preserve">UNIVERSIDAD DE TALCA</t>
        </is>
      </c>
      <c r="E61" s="0" t="inlineStr">
        <is>
          <t xml:space="preserve">Universidad de Talca</t>
        </is>
      </c>
      <c r="F61" s="0" t="inlineStr">
        <is>
          <t xml:space="preserve">Región del Maule </t>
        </is>
      </c>
      <c r="G61" s="0" t="inlineStr">
        <is>
          <t xml:space="preserve">Talca</t>
        </is>
      </c>
      <c r="H61" s="2">
        <v>46316.764236</v>
      </c>
      <c r="I61" s="2">
        <v>46324.416667</v>
      </c>
      <c r="J61" s="0">
        <v>7</v>
      </c>
      <c r="K61" s="3"/>
      <c r="L61" s="0" t="inlineStr">
        <is>
          <t xml:space="preserve">CLP</t>
        </is>
      </c>
      <c r="M61" s="0" t="inlineStr">
        <is>
          <t xml:space="preserve">L1</t>
        </is>
      </c>
      <c r="N61" s="4" t="inlineStr">
        <is>
          <t xml:space="preserve">Artículos eléctricos y de iluminación / Equipamiento y artículos eléctricos / Distribución de cableado y barras colectoras</t>
        </is>
      </c>
      <c r="O61" s="4" t="inlineStr">
        <is>
          <t xml:space="preserve">1 Unidad · Conductos eléctricos</t>
        </is>
      </c>
      <c r="P61" s="2"/>
      <c r="Q61" s="2"/>
      <c r="R61" s="0"/>
      <c r="S61" s="0" t="inlineStr">
        <is>
          <t xml:space="preserve">No</t>
        </is>
      </c>
      <c r="T61" s="4"/>
      <c r="U61" s="0"/>
      <c r="V61" s="4" t="inlineStr">
        <is>
          <t xml:space="preserve">La Universidad de Talca requiere de los servicios de retiro e instalación de nuevo tablero de control para bomba sumergible.</t>
        </is>
      </c>
      <c r="W61" s="5" t="str">
        <f>HYPERLINK("https://www.mercadopublico.cl/Procurement/Modules/Attachment/ViewAttachment.aspx?enc=4BtVIKXowAwH%2b6%2fQ7OrTgz4LeXsGbWEVj%2b4DkZSQRq7AQhaCsg40cYB%2bV9R%2f9JmDADzRE%2bzs6oWMb1fe7OUfaxCCoS8vtB9Iq1LTbFKpvcRro3ybB2AQYIVkycoauuCz3XWivCOuaaBFNy5shcu4VRRIERdCPTbIWnIZzE3DuqbsX%2f9%2fQvTfMPvt%2bP8CNkidZO0pZoFQcKQEfsLg2vzsmTD7LvAbqiNAaXXm9iwlUkd%2bQiNuEj%2bGwEUWkpDIASss3bcCtCU%2fWQBbYMXPWNhJ8SvKAzfH%2b9liYH0Qc8w3Q1gzCHHNl70BowGn3eRGTb8O","descargar bases")</f>
      </c>
    </row>
    <row r="62">
      <c r="A62" s="0" t="inlineStr">
        <is>
          <t xml:space="preserve">1020-55-LE26</t>
        </is>
      </c>
      <c r="B62" s="4" t="inlineStr">
        <is>
          <t xml:space="preserve">Adq. Sopor. y Actual. Software ServiceTonic MOP.</t>
        </is>
      </c>
      <c r="C62" s="0" t="inlineStr">
        <is>
          <t xml:space="preserve">Publicada</t>
        </is>
      </c>
      <c r="D62" s="0" t="inlineStr">
        <is>
          <t xml:space="preserve">MINISTERIO DE OBRAS PUBLICAS DIREC CION GRAL DE OO PP DCYF</t>
        </is>
      </c>
      <c r="E62" s="0" t="inlineStr">
        <is>
          <t xml:space="preserve">MOP Subsecretaría </t>
        </is>
      </c>
      <c r="F62" s="0" t="inlineStr">
        <is>
          <t xml:space="preserve">Región Metropolitana de Santiago</t>
        </is>
      </c>
      <c r="G62" s="0"/>
      <c r="H62" s="2">
        <v>46308.512766</v>
      </c>
      <c r="I62" s="2">
        <v>46324.625</v>
      </c>
      <c r="J62" s="0">
        <v>7</v>
      </c>
      <c r="K62" s="3">
        <v>22500000.0</v>
      </c>
      <c r="L62" s="0" t="inlineStr">
        <is>
          <t xml:space="preserve">CLP</t>
        </is>
      </c>
      <c r="M62" s="0" t="inlineStr">
        <is>
          <t xml:space="preserve">LE</t>
        </is>
      </c>
      <c r="N62" s="4" t="inlineStr">
        <is>
          <t xml:space="preserve">Tecnologías de la información, telecomunicaciones y radiodifusión / Software / Software de gestión</t>
        </is>
      </c>
      <c r="O62" s="4" t="inlineStr">
        <is>
          <t xml:space="preserve">50 Unidad · Software de gestión de licencias</t>
        </is>
      </c>
      <c r="P62" s="2"/>
      <c r="Q62" s="2"/>
      <c r="R62" s="0"/>
      <c r="S62" s="0" t="inlineStr">
        <is>
          <t xml:space="preserve">No</t>
        </is>
      </c>
      <c r="T62" s="4" t="inlineStr">
        <is>
          <t xml:space="preserve">El oferente adjudicado no podrá subcontratar los servicios derivados de la ejecución del contrato. VER NUMERAL 10.6 de las BA.</t>
        </is>
      </c>
      <c r="U62" s="0" t="inlineStr">
        <is>
          <t xml:space="preserve">Francisco Bórquez B.</t>
        </is>
      </c>
      <c r="V62" s="4" t="inlineStr">
        <is>
          <t xml:space="preserve">Que, el objetivo es la Adquisición de Soporte y Actualizaciones Software ServiceTonic Licencias en modalidad On-Premise, usuarios nombrados, por 12 meses.</t>
        </is>
      </c>
      <c r="W62" s="5" t="str">
        <f>HYPERLINK("https://www.mercadopublico.cl/Procurement/Modules/Attachment/ViewAttachment.aspx?enc=AMVx8zfCdAM1xuD5gPeRI1RN%2b5fYuyEQnsazL54fiM0X%2fnadtkv%2fDBIrHMg%2f1JBADndANFYmsvtpSVsvxunF8U2bwlzDmF8xngHQEQfeiPKTQnb9K9vuHsqTkDONa6oRnNnj1wcqQ6J24Mvo72udXxy2m2iw6Xbw0wFfdunXhxLp41tOdb3K6Kc2%2fEVomDOmX5GbLTV1utwM86p2SS3YeDrrS1CQNPIzdXD2xxxjIOmWPHN1W%2bNRzb34c2o7YSPAYEgqsscJHqQzosyXdyEh9XxKykVphJB7VV%2b%2f9PW6KGFK0bDmEao32co8F2FZyUn4","descargar bases")</f>
      </c>
    </row>
    <row r="63">
      <c r="A63" s="0" t="inlineStr">
        <is>
          <t xml:space="preserve">1067778-4-LP26</t>
        </is>
      </c>
      <c r="B63" s="4" t="inlineStr">
        <is>
          <t xml:space="preserve">ARRIENDO CON OPCION DE COMPRA  DE SERVIDOR PARA IA</t>
        </is>
      </c>
      <c r="C63" s="0" t="inlineStr">
        <is>
          <t xml:space="preserve">Publicada</t>
        </is>
      </c>
      <c r="D63" s="0" t="inlineStr">
        <is>
          <t xml:space="preserve">FISCALIA NACIONAL ECONOMICA</t>
        </is>
      </c>
      <c r="E63" s="0" t="inlineStr">
        <is>
          <t xml:space="preserve">Tecnologías de Información</t>
        </is>
      </c>
      <c r="F63" s="0" t="inlineStr">
        <is>
          <t xml:space="preserve">Región Metropolitana de Santiago</t>
        </is>
      </c>
      <c r="G63" s="0" t="inlineStr">
        <is>
          <t xml:space="preserve">Santiago Centro</t>
        </is>
      </c>
      <c r="H63" s="2">
        <v>46302.538113</v>
      </c>
      <c r="I63" s="2">
        <v>46324.625</v>
      </c>
      <c r="J63" s="0">
        <v>7</v>
      </c>
      <c r="K63" s="3">
        <v>75203.0</v>
      </c>
      <c r="L63" s="0" t="inlineStr">
        <is>
          <t xml:space="preserve">USD</t>
        </is>
      </c>
      <c r="M63" s="0" t="inlineStr">
        <is>
          <t xml:space="preserve">LP</t>
        </is>
      </c>
      <c r="N63" s="4" t="inlineStr">
        <is>
          <t xml:space="preserve">Tecnologías de la información, telecomunicaciones y radiodifusión / Equipos informáticos y accesorios / Computadores</t>
        </is>
      </c>
      <c r="O63" s="4" t="inlineStr">
        <is>
          <t xml:space="preserve">60 Mes · Servidores</t>
        </is>
      </c>
      <c r="P63" s="2"/>
      <c r="Q63" s="2"/>
      <c r="R63" s="0" t="inlineStr">
        <is>
          <t xml:space="preserve">60 meses</t>
        </is>
      </c>
      <c r="S63" s="0" t="inlineStr">
        <is>
          <t xml:space="preserve">No</t>
        </is>
      </c>
      <c r="T63" s="4" t="inlineStr">
        <is>
          <t xml:space="preserve">No permite subcontratación. En razón de la naturaleza del servicio que se contrata. Durante la ejecución del contrato, el adjudicatario no podrá subcontratar todo o parte de sus obligaciones. La FNE contratará directamente con la empresa que preste el s</t>
        </is>
      </c>
      <c r="U63" s="0" t="inlineStr">
        <is>
          <t xml:space="preserve">Cristian Mella Cisterna</t>
        </is>
      </c>
      <c r="V63" s="4" t="inlineStr">
        <is>
          <t xml:space="preserve">Contar con una infraestructura tecnológica robusta, segura y escalable que permita alojar y soportar los desarrollos tecnológicos actuales y futuros de la Fiscalía Nacional Económica.</t>
        </is>
      </c>
      <c r="W63" s="5" t="str">
        <f>HYPERLINK("https://www.mercadopublico.cl/Procurement/Modules/Attachment/ViewAttachment.aspx?enc=bqrcEU38wfmWcBiO12rxvVr0yqytWQEFsOz5RhpkP%2fjPUkb4mEPfvQL3gghqhnQeHabkJA8meWEPLnzI4uDfciryvBXWBByF9M%2ffYETk0U6Q3XkEb2VpNow4XeBsBn1dneXjLoFIKQoedtFyTlHgFH3uBh6ndJlwKUJ12JPP77HsETUnHXvVVhxC%2fvabWl1jm7AVfHq%2bzIL5HSowAksViVa3RgB2Txgf5YYwF5fe%2bkn4rpdTPaGSVnRey2ysSRKX9dGc5Vx7Eslwv8vh%2b9suWQpBC9%2f%2feEAwcfOe2gMy1OWUtjXy6we64hZPnIo92xd2","descargar bases")</f>
      </c>
    </row>
    <row r="64">
      <c r="A64" s="0" t="inlineStr">
        <is>
          <t xml:space="preserve">2318-79-LE26</t>
        </is>
      </c>
      <c r="B64" s="4" t="inlineStr">
        <is>
          <t xml:space="preserve">SISTEMA DE GESTIÓN DOCUMENTAL</t>
        </is>
      </c>
      <c r="C64" s="0" t="inlineStr">
        <is>
          <t xml:space="preserve">Publicada</t>
        </is>
      </c>
      <c r="D64" s="0" t="inlineStr">
        <is>
          <t xml:space="preserve">I MUNICIPALIDAD DE SAN JAVIER</t>
        </is>
      </c>
      <c r="E64" s="0" t="inlineStr">
        <is>
          <t xml:space="preserve">IMUNI_SAN JAVIER DEPTO. ADQUISICIONES</t>
        </is>
      </c>
      <c r="F64" s="0" t="inlineStr">
        <is>
          <t xml:space="preserve">Región del Maule </t>
        </is>
      </c>
      <c r="G64" s="0" t="inlineStr">
        <is>
          <t xml:space="preserve">San Javier</t>
        </is>
      </c>
      <c r="H64" s="2">
        <v>46314.657778</v>
      </c>
      <c r="I64" s="2">
        <v>46324.625</v>
      </c>
      <c r="J64" s="0">
        <v>7</v>
      </c>
      <c r="K64" s="3">
        <v>28560000.0</v>
      </c>
      <c r="L64" s="0" t="inlineStr">
        <is>
          <t xml:space="preserve">CLP</t>
        </is>
      </c>
      <c r="M64" s="0" t="inlineStr">
        <is>
          <t xml:space="preserve">LE</t>
        </is>
      </c>
      <c r="N64" s="4" t="inlineStr">
        <is>
          <t xml:space="preserve">Tecnologías de la información, telecomunicaciones y radiodifusión / Software / Software de gestión</t>
        </is>
      </c>
      <c r="O64" s="4" t="inlineStr">
        <is>
          <t xml:space="preserve">1 Global · Software de gestión de licencias</t>
        </is>
      </c>
      <c r="P64" s="2"/>
      <c r="Q64" s="2"/>
      <c r="R64" s="0" t="inlineStr">
        <is>
          <t xml:space="preserve">12 meses</t>
        </is>
      </c>
      <c r="S64" s="0" t="inlineStr">
        <is>
          <t xml:space="preserve">No</t>
        </is>
      </c>
      <c r="T64" s="4"/>
      <c r="U64" s="0" t="inlineStr">
        <is>
          <t xml:space="preserve">MARCELO COFRE DOTE</t>
        </is>
      </c>
      <c r="V64" s="4" t="inlineStr">
        <is>
          <t xml:space="preserve">Arriendo de sistema de gestión documental Ilustre Municipalidad de San Javier</t>
        </is>
      </c>
      <c r="W64" s="5" t="str">
        <f>HYPERLINK("https://www.mercadopublico.cl/Procurement/Modules/Attachment/ViewAttachment.aspx?enc=GrqWrs%2bAYU%2bF7noZp4nALyo35P1BBZcajYbGh5nUC3gKldJHCGgqOiVgP9YgVyN1ReHGz9gAv2DkN8i%2bZaVwt94JbmBwQPNruFjlGWGi5L%2b4IOOdAkMemYb8Jrp1RaJsNXp7ih%2bKI%2fq583pXcCrxgw9SlNVNt%2bM%2fChXJU1iFwGSDZLPBd00%2bcCUroM2NOir0jkabteUUPmPyjt6LjBRWiEXYrvNG03MdJVJGXB8rcsDi3WVeNE7h4XFLihlx3QYGq%2f2riACKKf1Df3J7AMVEyAx9kgP6p8%2fe%2bxbiu4E0mpJT8M28c5Tpv9siA2WNtniW","descargar bases")</f>
      </c>
    </row>
    <row r="65">
      <c r="A65" s="0" t="inlineStr">
        <is>
          <t xml:space="preserve">3825-26-LE26</t>
        </is>
      </c>
      <c r="B65" s="4" t="inlineStr">
        <is>
          <t xml:space="preserve">Compra de Licencias Digitales Informatica</t>
        </is>
      </c>
      <c r="C65" s="0" t="inlineStr">
        <is>
          <t xml:space="preserve">Publicada</t>
        </is>
      </c>
      <c r="D65" s="0" t="inlineStr">
        <is>
          <t xml:space="preserve">I MUNICIPALIDAD DE PADRE HURTADO</t>
        </is>
      </c>
      <c r="E65" s="0" t="inlineStr">
        <is>
          <t xml:space="preserve">Direccion De Administracion Y Finanzas</t>
        </is>
      </c>
      <c r="F65" s="0" t="inlineStr">
        <is>
          <t xml:space="preserve">Región Metropolitana de Santiago</t>
        </is>
      </c>
      <c r="G65" s="0" t="inlineStr">
        <is>
          <t xml:space="preserve">Padre Hurtado</t>
        </is>
      </c>
      <c r="H65" s="2">
        <v>46314.674954</v>
      </c>
      <c r="I65" s="2">
        <v>46324.625</v>
      </c>
      <c r="J65" s="0">
        <v>7</v>
      </c>
      <c r="K65" s="3"/>
      <c r="L65" s="0" t="inlineStr">
        <is>
          <t xml:space="preserve">CLP</t>
        </is>
      </c>
      <c r="M65" s="0" t="inlineStr">
        <is>
          <t xml:space="preserve">LE</t>
        </is>
      </c>
      <c r="N65" s="4" t="inlineStr">
        <is>
          <t xml:space="preserve">Tecnologías de la información, telecomunicaciones y radiodifusión / Software / Software de controladores de dispositivos y utilidades, Tecnologías de la información, telecomunicaciones y radiodifusión / Software / Software para trabajo en redes</t>
        </is>
      </c>
      <c r="O65" s="4" t="inlineStr">
        <is>
          <t xml:space="preserve">12 Unidad · Software de conversión de datos · 4 Unidad · Software de interconectividad de plataformas</t>
        </is>
      </c>
      <c r="P65" s="2"/>
      <c r="Q65" s="2"/>
      <c r="R65" s="0"/>
      <c r="S65" s="0" t="inlineStr">
        <is>
          <t xml:space="preserve">No</t>
        </is>
      </c>
      <c r="T65" s="4"/>
      <c r="U65" s="0" t="inlineStr">
        <is>
          <t xml:space="preserve">Miguel Muoz Verdugo</t>
        </is>
      </c>
      <c r="V65" s="4" t="inlineStr">
        <is>
          <t xml:space="preserve">La necesidad de efectuar el llamado a licitación pública de la “COMPRA DE LICENCIAS DE EDITOR DE ARCHIVO DE PDF Y LICENCIAS DE IA PARA PROGRAMACIÓN, SOLICITADO POR LA UNIDAD DE INFORMÁTICA DE LA SECPLA”.</t>
        </is>
      </c>
      <c r="W65" s="5" t="str">
        <f>HYPERLINK("https://www.mercadopublico.cl/Procurement/Modules/Attachment/ViewAttachment.aspx?enc=LO%2b7taR5IyuDmNChZBvB3IGznzUi9UBjlOhAl0CHfZh1st7vVxeUKgZ9nWHp52hXU9MdShgySa4qQFzUcgljMFBnkbbWZ1cB3FFyrPr7q%2bYeVcXUUuuMzzjINAQU621MgslQ66irZI0Nj1WwroZ8nvKKuSKGLocD7Y6r7T%2fPGSKy3UiSq65iVLfV%2bUzVmhbJOWutyA4OeWiPuIjL%2bjkRy0YyKHcfyB6LN81SbQdUPu5ZKIwzP8y19cosedfYhPl0Kx4vf4l3YlMRheTDETJHCjNRZXruR8SXQORxGpMHzt%2fns03WtqJe4ZOfMLB5L2Jp","descargar bases")</f>
      </c>
    </row>
    <row r="66">
      <c r="A66" s="0" t="inlineStr">
        <is>
          <t xml:space="preserve">629373-23-LE26</t>
        </is>
      </c>
      <c r="B66" s="4" t="inlineStr">
        <is>
          <t xml:space="preserve">SERVICIO DE TÓTEMS DE AUTOATENCIÓN</t>
        </is>
      </c>
      <c r="C66" s="0" t="inlineStr">
        <is>
          <t xml:space="preserve">Publicada</t>
        </is>
      </c>
      <c r="D66" s="0" t="inlineStr">
        <is>
          <t xml:space="preserve">CORP MUNICIPAL DE SAN MIGUEL</t>
        </is>
      </c>
      <c r="E66" s="0" t="inlineStr">
        <is>
          <t xml:space="preserve">Corporación Municipal de San Miguel</t>
        </is>
      </c>
      <c r="F66" s="0" t="inlineStr">
        <is>
          <t xml:space="preserve">Región Metropolitana de Santiago</t>
        </is>
      </c>
      <c r="G66" s="0" t="inlineStr">
        <is>
          <t xml:space="preserve">San Miguel</t>
        </is>
      </c>
      <c r="H66" s="2">
        <v>46314.671123</v>
      </c>
      <c r="I66" s="2">
        <v>46324.625</v>
      </c>
      <c r="J66" s="0">
        <v>7</v>
      </c>
      <c r="K66" s="3">
        <v>70000000.0</v>
      </c>
      <c r="L66" s="0" t="inlineStr">
        <is>
          <t xml:space="preserve">CLP</t>
        </is>
      </c>
      <c r="M66" s="0" t="inlineStr">
        <is>
          <t xml:space="preserve">LE</t>
        </is>
      </c>
      <c r="N66" s="4" t="inlineStr">
        <is>
          <t xml:space="preserve">Equipos y suministros de defensa, orden público, protección y seguridad / Equipos para orden público / Equipo para control de disturbios</t>
        </is>
      </c>
      <c r="O66" s="4" t="inlineStr">
        <is>
          <t xml:space="preserve">1 Global · Sistemas de control de formación de filas</t>
        </is>
      </c>
      <c r="P66" s="2"/>
      <c r="Q66" s="2"/>
      <c r="R66" s="0" t="inlineStr">
        <is>
          <t xml:space="preserve">24 meses</t>
        </is>
      </c>
      <c r="S66" s="0" t="inlineStr">
        <is>
          <t xml:space="preserve">No</t>
        </is>
      </c>
      <c r="T66" s="4"/>
      <c r="U66" s="0" t="inlineStr">
        <is>
          <t xml:space="preserve">Karen Escobar</t>
        </is>
      </c>
      <c r="V66" s="4" t="inlineStr">
        <is>
          <t xml:space="preserve">La Corporación Municipal de San Miguel, a través de su Dirección de Salud, requiere contratar un servicio de administración de filas mediante tótems de autoatención en los Centros de Salud Familiar CESFAM Barros Luco, Recreo y CECOSF Atacama, ubicados en la comuna de San Miguel.</t>
        </is>
      </c>
      <c r="W66" s="5" t="str">
        <f>HYPERLINK("https://www.mercadopublico.cl/Procurement/Modules/Attachment/ViewAttachment.aspx?enc=Z5fA5qa8zX2WEMSlM7Dt5k0VZocOgeQ2kwu7ZPwSwMqXkfmGK%2bKCJ00dyjmbA%2fdZg7SZxsQHXho3caY3BxMbuQ7UIGM5246RV1A5tPFbuMPlrNcA%2fKJRmnECEMalJXxsAYypU73yfXkvtmxgTCVIKpgWMBSx%2ffLuNat0dSTUdqnYoST4JAiGRX66yA9Nk8aMKlYoJt0HZSXx8GQ%2f4CQpXcswl5vSZxR4Fhq6qwBzNu0Hll7oNKZrwvE3KMkzlFdQlE8wFD5B9PA0U%2bykoNmW3p2ltxp%2f5aUMn5u%2bxFauO43vyD%2bmmtTtp42IEWJHeeOE","descargar bases")</f>
      </c>
    </row>
    <row r="67">
      <c r="A67" s="0" t="inlineStr">
        <is>
          <t xml:space="preserve">2656-77-LP26</t>
        </is>
      </c>
      <c r="B67" s="4" t="inlineStr">
        <is>
          <t xml:space="preserve">ARRIENDO SISTEMAS MUNICIPALES Y CLOUD COMPUTING</t>
        </is>
      </c>
      <c r="C67" s="0" t="inlineStr">
        <is>
          <t xml:space="preserve">Publicada</t>
        </is>
      </c>
      <c r="D67" s="0" t="inlineStr">
        <is>
          <t xml:space="preserve">I MUNICIPALIDAD DE TOME</t>
        </is>
      </c>
      <c r="E67" s="0" t="inlineStr">
        <is>
          <t xml:space="preserve">Dirección de Administración y Finanzas</t>
        </is>
      </c>
      <c r="F67" s="0" t="inlineStr">
        <is>
          <t xml:space="preserve">Región del Biobío </t>
        </is>
      </c>
      <c r="G67" s="0" t="inlineStr">
        <is>
          <t xml:space="preserve">Tomé</t>
        </is>
      </c>
      <c r="H67" s="2">
        <v>46304.85662</v>
      </c>
      <c r="I67" s="2">
        <v>46324.625694</v>
      </c>
      <c r="J67" s="0">
        <v>7</v>
      </c>
      <c r="K67" s="3">
        <v>3907.0</v>
      </c>
      <c r="L67" s="0" t="inlineStr">
        <is>
          <t xml:space="preserve">CLF</t>
        </is>
      </c>
      <c r="M67" s="0" t="inlineStr">
        <is>
          <t xml:space="preserve">LP</t>
        </is>
      </c>
      <c r="N67" s="4" t="inlineStr">
        <is>
          <t xml:space="preserve">Tecnologías de la información, telecomunicaciones y radiodifusión / Software / Software de entorno operativo</t>
        </is>
      </c>
      <c r="O67" s="4" t="inlineStr">
        <is>
          <t xml:space="preserve">1 Pack · Software de sistema de archivos</t>
        </is>
      </c>
      <c r="P67" s="2"/>
      <c r="Q67" s="2"/>
      <c r="R67" s="0"/>
      <c r="S67" s="0" t="inlineStr">
        <is>
          <t xml:space="preserve">No</t>
        </is>
      </c>
      <c r="T67" s="4"/>
      <c r="U67" s="0" t="inlineStr">
        <is>
          <t xml:space="preserve">patricio parra</t>
        </is>
      </c>
      <c r="V67" s="4" t="inlineStr">
        <is>
          <t xml:space="preserve">La Ilustre Municipalidad de Tomé requiere contratar servicios de Cloud Computing y arriendo de sistemas computacionales de aplicación municipal, destinados a garantizar la continuidad operativa y eficiencia de la gestión municipal, incluyendo implementación, configuración, migración de datos, integración, capacitación, soporte técnico y mantención, conforme a las bases y especificaciones técnicas.</t>
        </is>
      </c>
      <c r="W67" s="5" t="str">
        <f>HYPERLINK("https://www.mercadopublico.cl/Procurement/Modules/Attachment/ViewAttachment.aspx?enc=TZeeZxsd5qB%2bsHPmitzamlqdChjt%2b6moufSRiJDWfvBz5vCmlrs8KkwvuQPhfHH3i%2f8IhoewM5c3epMsDvE2crfU3HsDyiR2BqFOcpnV8IsaHmuhFQIWkYbEdWoxTj03PCvfqfl%2fhjg5wADaWT3r1zjxG4kQ0gMJR2yvQz6bUoUcm1uF606O4Uwyy3U9nCSuQTlNcVOV6KcmPjP%2b8im49RtNN%2f0YuLA0fh0nJo8TAECUIkYpxHiVPR5qM0Z4otIZqlTVb6HOV0Is%2boMVObnogkUFe5yzy8uvs3lj8%2f7z2cv7uJwhUMTHK%2f7iuFAPydZc","descargar bases")</f>
      </c>
    </row>
    <row r="68">
      <c r="A68" s="0" t="inlineStr">
        <is>
          <t xml:space="preserve">5586-166-LE26</t>
        </is>
      </c>
      <c r="B68" s="4" t="inlineStr">
        <is>
          <t xml:space="preserve">CONTRATO DE SUMINISTRO DEL SERVICIO DE ENVÍO DE CARTA CERTIFICADA DOCUMENTO Y PAQUETERÍA EXPRESS PARA EL INSTITUTO DE INFORMÁTICA EDUCATIVA DE LA UNIVERSIDAD DE LA FRONTERA</t>
        </is>
      </c>
      <c r="C68" s="0" t="inlineStr">
        <is>
          <t xml:space="preserve">Publicada</t>
        </is>
      </c>
      <c r="D68" s="0" t="inlineStr">
        <is>
          <t xml:space="preserve">UNIVERSIDAD DE LA FRONTERA</t>
        </is>
      </c>
      <c r="E68" s="0" t="inlineStr">
        <is>
          <t xml:space="preserve">Universidad de la Frontera</t>
        </is>
      </c>
      <c r="F68" s="0" t="inlineStr">
        <is>
          <t xml:space="preserve">Región de la Araucanía </t>
        </is>
      </c>
      <c r="G68" s="0" t="inlineStr">
        <is>
          <t xml:space="preserve">Temuco</t>
        </is>
      </c>
      <c r="H68" s="2">
        <v>46314.682963</v>
      </c>
      <c r="I68" s="2">
        <v>46324.645833</v>
      </c>
      <c r="J68" s="0">
        <v>7</v>
      </c>
      <c r="K68" s="3"/>
      <c r="L68" s="0" t="inlineStr">
        <is>
          <t xml:space="preserve">CLP</t>
        </is>
      </c>
      <c r="M68" s="0" t="inlineStr">
        <is>
          <t xml:space="preserve">LE</t>
        </is>
      </c>
      <c r="N68" s="4" t="inlineStr">
        <is>
          <t xml:space="preserve">Servicios de transporte, almacenaje y correo / Transporte de correo y carga / Servicios postales de pequeños paquetes y mensajería</t>
        </is>
      </c>
      <c r="O68" s="4" t="inlineStr">
        <is>
          <t xml:space="preserve">1 Global · Servicios de entrega postal nacional</t>
        </is>
      </c>
      <c r="P68" s="2"/>
      <c r="Q68" s="2"/>
      <c r="R68" s="0" t="inlineStr">
        <is>
          <t xml:space="preserve">14 meses</t>
        </is>
      </c>
      <c r="S68" s="0" t="inlineStr">
        <is>
          <t xml:space="preserve">No</t>
        </is>
      </c>
      <c r="T68" s="4" t="inlineStr">
        <is>
          <t xml:space="preserve">de conformidad con lo establecido en el artículo 15 de la Ley N.º 19.886 y el artículo 128 de su Reglamento.</t>
        </is>
      </c>
      <c r="U68" s="0" t="inlineStr">
        <is>
          <t xml:space="preserve">Christian Labbé Barrientos</t>
        </is>
      </c>
      <c r="V68" s="4" t="inlineStr">
        <is>
          <t xml:space="preserve">CONTRATO DE SUMINISTRO DEL SERVICIO DE ENVÍO DE CARTA CERTIFICADA, DOCUMENTO Y
PAQUETERÍA EXPRESS PARA EL INSTITUTO DE INFORMÁTICA EDUCATIVA DE LA UNIVERSIDAD DE LA FRONTERA</t>
        </is>
      </c>
      <c r="W68" s="5" t="str">
        <f>HYPERLINK("https://www.mercadopublico.cl/Procurement/Modules/Attachment/ViewAttachment.aspx?enc=%2bzvmsS3vgsc4wm5rWqWKf%2f0YteQ5Yt6EXN9%2b75vp%2bj6I1et0ssjAlFq%2bGqjhUDZJkVYGStBn2vi9oI6cN55u3WbRYB5j%2fTmW7zpK9CsupECm9bkINTEeaD2mqJkpduoXbdqHVbxq04keFH9ikcjvwBDMjVCrasQtssET76JrlNEiHFUiY85VCIQglG%2bJGmpkmNpRVBgrLhl4Se9L6o8X%2fVjqvsRY3OLI6WiVeI5ySZ2uZzU%2bxZnHkhqMBe9gk9Ge4hk4rUi7nNi%2fDj5zgbeAXfHUQswVewMELXZqxgqnCs6nXyFkSTiqM%2fldCEsTtGRV","descargar bases")</f>
      </c>
    </row>
    <row r="69">
      <c r="A69" s="0" t="inlineStr">
        <is>
          <t xml:space="preserve">885-103-LE26</t>
        </is>
      </c>
      <c r="B69" s="4" t="inlineStr">
        <is>
          <t xml:space="preserve">Servicio de operación mantenimiento preventivo y soporte técnico para plataforma FortiNAC por un período de 12 meses para la Contraloría General de la República</t>
        </is>
      </c>
      <c r="C69" s="0" t="inlineStr">
        <is>
          <t xml:space="preserve">Publicada</t>
        </is>
      </c>
      <c r="D69" s="0" t="inlineStr">
        <is>
          <t xml:space="preserve">CONTRALORIA GENERAL DE LA REPUBLICA</t>
        </is>
      </c>
      <c r="E69" s="0" t="inlineStr">
        <is>
          <t xml:space="preserve">Contraloría General de la República</t>
        </is>
      </c>
      <c r="F69" s="0" t="inlineStr">
        <is>
          <t xml:space="preserve">Región Metropolitana de Santiago</t>
        </is>
      </c>
      <c r="G69" s="0"/>
      <c r="H69" s="2">
        <v>46314.721655</v>
      </c>
      <c r="I69" s="2">
        <v>46324.666667</v>
      </c>
      <c r="J69" s="0">
        <v>7</v>
      </c>
      <c r="K69" s="3">
        <v>36000000.0</v>
      </c>
      <c r="L69" s="0" t="inlineStr">
        <is>
          <t xml:space="preserve">CLP</t>
        </is>
      </c>
      <c r="M69" s="0" t="inlineStr">
        <is>
          <t xml:space="preserve">LE</t>
        </is>
      </c>
      <c r="N69" s="4" t="inlineStr">
        <is>
          <t xml:space="preserve">Tecnologías de la información, telecomunicaciones y radiodifusión / Equipos, plataformas y accesorios de redes multimedia, voz y datos / Equipos de seguridad de red</t>
        </is>
      </c>
      <c r="O69" s="4" t="inlineStr">
        <is>
          <t xml:space="preserve">1 Unidad · Equipo de seguridad de red de firewall</t>
        </is>
      </c>
      <c r="P69" s="2"/>
      <c r="Q69" s="2"/>
      <c r="R69" s="0" t="inlineStr">
        <is>
          <t xml:space="preserve">12 meses</t>
        </is>
      </c>
      <c r="S69" s="0" t="inlineStr">
        <is>
          <t xml:space="preserve">No</t>
        </is>
      </c>
      <c r="T69" s="4"/>
      <c r="U69" s="0" t="inlineStr">
        <is>
          <t xml:space="preserve">Irma del Carmen Garcés Ramírez</t>
        </is>
      </c>
      <c r="V69" s="4" t="inlineStr">
        <is>
          <t xml:space="preserve">La Contraloría General de la República –en adelante también “CGR” o “Contraloría”– llama a presentar ofertas para contratar un servicio de operación, mantenimiento preventivo y soporte técnico especializado de su plataforma FortiNAC, por un período de 12 meses. La contratación comprende únicamente servicios y excluye el suministro, renovación o ampliación de licencias, suscripciones, coberturas de soporte del fabricante y hardware.</t>
        </is>
      </c>
      <c r="W69" s="5" t="str">
        <f>HYPERLINK("https://www.mercadopublico.cl/Procurement/Modules/Attachment/ViewAttachment.aspx?enc=gAIyZR7xcjJ3et3DUgyqCnK083TIh3cP1J9sxoNPDE1v6935dIQ8A7ohFXUrnDB%2bVTIyT%2fAmpIfAqFnoeiHb%2bwSkV8LW9W5ImmHb8dq%2frASxPiWfZoxkIlGpzvnOwihjfRxZunOfbFKKM2m9ZGM7ybyL7b%2bMsmLSdstpv58Ear7wgEZf0T2bUnDnAiPrVkyjdwWJs5ecQ9fIH1fKIJy18vWXBNnTMjBm%2f2g96C%2b8CMEVbHyHMXNmOikTPIYP8FT6Ur3HBI6fj4FtJWBtK5WMpNeaUWrRQ2BF7midVAMzHZ8Uwbag6m22ozp26qdzRw8g","descargar bases")</f>
      </c>
    </row>
    <row r="70">
      <c r="A70" s="0" t="inlineStr">
        <is>
          <t xml:space="preserve">838794-12-LE26</t>
        </is>
      </c>
      <c r="B70" s="4" t="inlineStr">
        <is>
          <t xml:space="preserve">Tótem gestor de fila CAPSVILLA</t>
        </is>
      </c>
      <c r="C70" s="0" t="inlineStr">
        <is>
          <t xml:space="preserve">Publicada</t>
        </is>
      </c>
      <c r="D70" s="0" t="inlineStr">
        <is>
          <t xml:space="preserve">DIRECCION DE ABASTECIMIENTO DE LA ARMADA</t>
        </is>
      </c>
      <c r="E70" s="0" t="inlineStr">
        <is>
          <t xml:space="preserve">CENTRAL DE ATENCION PRIMARIA DE SALUD DE LA ARMADA</t>
        </is>
      </c>
      <c r="F70" s="0" t="inlineStr">
        <is>
          <t xml:space="preserve">Región de Valparaíso </t>
        </is>
      </c>
      <c r="G70" s="0" t="inlineStr">
        <is>
          <t xml:space="preserve">Viña del Mar</t>
        </is>
      </c>
      <c r="H70" s="2">
        <v>46309.66228</v>
      </c>
      <c r="I70" s="2">
        <v>46324.666667</v>
      </c>
      <c r="J70" s="0">
        <v>7</v>
      </c>
      <c r="K70" s="3"/>
      <c r="L70" s="0" t="inlineStr">
        <is>
          <t xml:space="preserve">CLP</t>
        </is>
      </c>
      <c r="M70" s="0" t="inlineStr">
        <is>
          <t xml:space="preserve">LE</t>
        </is>
      </c>
      <c r="N70" s="4" t="inlineStr">
        <is>
          <t xml:space="preserve">Equipos y suministros de defensa, orden público, protección y seguridad / Equipos para orden público / Equipo para control de disturbios</t>
        </is>
      </c>
      <c r="O70" s="4" t="inlineStr">
        <is>
          <t xml:space="preserve">1 Unidad · Sistemas de control de formación de filas</t>
        </is>
      </c>
      <c r="P70" s="2"/>
      <c r="Q70" s="2"/>
      <c r="R70" s="0"/>
      <c r="S70" s="0" t="inlineStr">
        <is>
          <t xml:space="preserve">No</t>
        </is>
      </c>
      <c r="T70" s="4" t="inlineStr">
        <is>
          <t xml:space="preserve">CAPITULO XVIII DE LAS BASES ADMINISTRATIVAS DE LA PRESENTE LICITACION.</t>
        </is>
      </c>
      <c r="U70" s="0" t="inlineStr">
        <is>
          <t xml:space="preserve">VICTOR LABRIN TAPIA</t>
        </is>
      </c>
      <c r="V70" s="4" t="inlineStr">
        <is>
          <t xml:space="preserve">Ordenar la espera de atención de pacientes que asisten a los Centros de Atención Primaria de Salud de Villa Alemana, en adelante CAPSVILLA.</t>
        </is>
      </c>
      <c r="W70" s="5" t="str">
        <f>HYPERLINK("https://www.mercadopublico.cl/Procurement/Modules/Attachment/ViewAttachment.aspx?enc=i%2fDsawW222z2t6FaRO5ajuORHqOZWMBmfKhM9NjkUG9aCUmpEm5qGozP2SMOJzSo5Xz3OZiiR7yfmq6QI0D7mwiEIjmx3Nd3j99%2fBXDhxhadzLuUcnW%2flUJBoL7lYp7XQbDv6jgSh89kJcqRl7e76%2fBinFxNPQuZBfc8z2V7kOjSNjf0CByBsgBfFeWNU1kq6mhQiASJsIWN3Msbq%2fExf1FMRBOZyICfLopB2DxzIKEGoBs3JJX%2fW6YjnOoexG5Ukf9%2fmieU0f%2bcP%2b%2fjbVVFaEiJDVGj21VPRhCpjSqaeiLX1JlJOjY%2bs1adSq3AlsGX","descargar bases")</f>
      </c>
    </row>
    <row r="71">
      <c r="A71" s="0" t="inlineStr">
        <is>
          <t xml:space="preserve">1079576-54-LE26</t>
        </is>
      </c>
      <c r="B71" s="4" t="inlineStr">
        <is>
          <t xml:space="preserve">ADQUISICIÓN DE CAJAS FUERTES ELECTRÓNICAS DIGITALES DE SEGURIDAD ZONA BIOBÍO</t>
        </is>
      </c>
      <c r="C71" s="0" t="inlineStr">
        <is>
          <t xml:space="preserve">Publicada</t>
        </is>
      </c>
      <c r="D71" s="0" t="inlineStr">
        <is>
          <t xml:space="preserve">DIRECCION DE LOGISTICA DE CARABINEROS</t>
        </is>
      </c>
      <c r="E71" s="0" t="inlineStr">
        <is>
          <t xml:space="preserve">SECCIÓN COMPRAS ZONA DE CARABINEROS BIOBIO</t>
        </is>
      </c>
      <c r="F71" s="0" t="inlineStr">
        <is>
          <t xml:space="preserve">Región del Biobío </t>
        </is>
      </c>
      <c r="G71" s="0" t="inlineStr">
        <is>
          <t xml:space="preserve">Concepción</t>
        </is>
      </c>
      <c r="H71" s="2">
        <v>46315.635729</v>
      </c>
      <c r="I71" s="2">
        <v>46324.75</v>
      </c>
      <c r="J71" s="0">
        <v>7</v>
      </c>
      <c r="K71" s="3">
        <v>8800000.0</v>
      </c>
      <c r="L71" s="0" t="inlineStr">
        <is>
          <t xml:space="preserve">CLP</t>
        </is>
      </c>
      <c r="M71" s="0" t="inlineStr">
        <is>
          <t xml:space="preserve">LE</t>
        </is>
      </c>
      <c r="N71" s="4" t="inlineStr">
        <is>
          <t xml:space="preserve">Equipos y suministros de defensa, orden público, protección y seguridad / Seguridad, vigilancia y detección / Cerraduras, elementos de seguridad y accesorios</t>
        </is>
      </c>
      <c r="O71" s="4" t="inlineStr">
        <is>
          <t xml:space="preserve">1 Unidad · Cajas fuertes</t>
        </is>
      </c>
      <c r="P71" s="2"/>
      <c r="Q71" s="2"/>
      <c r="R71" s="0"/>
      <c r="S71" s="0" t="inlineStr">
        <is>
          <t xml:space="preserve">No</t>
        </is>
      </c>
      <c r="T71" s="4" t="inlineStr">
        <is>
          <t xml:space="preserve">Según Bases Administrativas</t>
        </is>
      </c>
      <c r="U71" s="0" t="inlineStr">
        <is>
          <t xml:space="preserve">SERGIO FIGUEROA VARGAS</t>
        </is>
      </c>
      <c r="V71" s="4" t="inlineStr">
        <is>
          <t xml:space="preserve">ADQUISICIÓN DE CAJAS FUERTES ELECTRÓNICAS DIGITALES DE SEGURIDAD, ZONA BIOBÍO</t>
        </is>
      </c>
      <c r="W71" s="5" t="str">
        <f>HYPERLINK("https://www.mercadopublico.cl/Procurement/Modules/Attachment/ViewAttachment.aspx?enc=tnJ2Np1AeeTnIwotdu5k5hipE%2bcKckihE%2fHiSNsfTS2fpiYincqr2CO4id9%2fYISmY02VbFXdPdieaVPBeUE%2fBMpyxsX6ADxFSs3MrzJnOu017vhFafkX6jyNZatbPLfthm%2fPkeYPh32AI59tZw34kAP2f2mtsIt%2b9udfe8kSzJSwwFU%2fsdbP54g%2fcgERKDgLqTLAU99ySHWyYOqXwYJaHvakwHp7x9nd4oNEm0fSjh7MbZXmbXYE84wVKabnLMPCzIQZIwjLKdd7dZNV%2fuoNGnXvmKurlCkrujTq6ej1GrzUNmO6ZxQfOh3ugYvl52t9","descargar bases")</f>
      </c>
    </row>
    <row r="72">
      <c r="A72" s="0" t="inlineStr">
        <is>
          <t xml:space="preserve">557639-100-LE26</t>
        </is>
      </c>
      <c r="B72" s="4" t="inlineStr">
        <is>
          <t xml:space="preserve">PLATAFORMA DE GESTIÓN DE EST. EDUCACIONALES CORMUN</t>
        </is>
      </c>
      <c r="C72" s="0" t="inlineStr">
        <is>
          <t xml:space="preserve">Publicada</t>
        </is>
      </c>
      <c r="D72" s="0" t="inlineStr">
        <is>
          <t xml:space="preserve">CORP MUNICIPAL DE SERVICIOS PUBLICOS TRASPASADOS DE RANCAGUA</t>
        </is>
      </c>
      <c r="E72" s="0" t="inlineStr">
        <is>
          <t xml:space="preserve">CORMUN RANCAGUA - ADMINISTRACIÓN CENTRAL</t>
        </is>
      </c>
      <c r="F72" s="0" t="inlineStr">
        <is>
          <t xml:space="preserve">Región del Libertador General Bernardo O´Higgins</t>
        </is>
      </c>
      <c r="G72" s="0" t="inlineStr">
        <is>
          <t xml:space="preserve">Rancagua</t>
        </is>
      </c>
      <c r="H72" s="2">
        <v>46314.954398</v>
      </c>
      <c r="I72" s="2">
        <v>46324.75</v>
      </c>
      <c r="J72" s="0">
        <v>7</v>
      </c>
      <c r="K72" s="3">
        <v>38900000.0</v>
      </c>
      <c r="L72" s="0" t="inlineStr">
        <is>
          <t xml:space="preserve">CLP</t>
        </is>
      </c>
      <c r="M72" s="0" t="inlineStr">
        <is>
          <t xml:space="preserve">LE</t>
        </is>
      </c>
      <c r="N72" s="4" t="inlineStr">
        <is>
          <t xml:space="preserve">Tecnologías de la información, telecomunicaciones y radiodifusión / Software / Programas de desarrollo</t>
        </is>
      </c>
      <c r="O72" s="4" t="inlineStr">
        <is>
          <t xml:space="preserve">1 Unidad · Software de desarrollo de plataforma Web</t>
        </is>
      </c>
      <c r="P72" s="2"/>
      <c r="Q72" s="2"/>
      <c r="R72" s="0" t="inlineStr">
        <is>
          <t xml:space="preserve">12 meses</t>
        </is>
      </c>
      <c r="S72" s="0" t="inlineStr">
        <is>
          <t xml:space="preserve">No</t>
        </is>
      </c>
      <c r="T72" s="4"/>
      <c r="U72" s="0" t="inlineStr">
        <is>
          <t xml:space="preserve">PAULA PONCE</t>
        </is>
      </c>
      <c r="V72" s="4" t="inlineStr">
        <is>
          <t xml:space="preserve">Implementar una Plataforma de Gestión de Establecimientos Educacionales que permita optimizar la administración académica, administrativa y comunicacional de los establecimientos educacionales, facilitando la gestión de información, el seguimiento de procesos escolares, el control de asistencia entre otras.</t>
        </is>
      </c>
      <c r="W72" s="5" t="str">
        <f>HYPERLINK("https://www.mercadopublico.cl/Procurement/Modules/Attachment/ViewAttachment.aspx?enc=o6PASLnxzcvN2uMSnpaxcl3KUz4%2bcNuZ0FVuchYKL6mTChs9Dh1XkwhMz9RpdBbv0LL6u%2fqJvXWAFAQVIch7ZRzoXjRiSrOkDGf0K3LZ7uKKY9xw1QZcFUmiacEshKNH3nDKrYUFsYQhNBc8KuJgtPS%2fwZA4oATmOf6ZhBQOjMfvI5fta%2f8sypP3K1DXRa5Z2z9hRhxxoJ6Z%2f2ZoDZKETCJXRriuLnspeFsXjhJLah2NKHjswXf5QNDmd6wGKVMMRZF9tKeg06S83LHUUstaTR3V5SPcNtCOkCOFoxMAA%2bpBYjQwRFV74tKGdbDQvK7C","descargar bases")</f>
      </c>
    </row>
    <row r="73">
      <c r="A73" s="0" t="inlineStr">
        <is>
          <t xml:space="preserve">727202-90-LE26</t>
        </is>
      </c>
      <c r="B73" s="4" t="inlineStr">
        <is>
          <t xml:space="preserve">ADQUISICIÓN DE LICENCIAS DE SOFTWARE DE DISEÑO</t>
        </is>
      </c>
      <c r="C73" s="0" t="inlineStr">
        <is>
          <t xml:space="preserve">Publicada</t>
        </is>
      </c>
      <c r="D73" s="0" t="inlineStr">
        <is>
          <t xml:space="preserve">I MUNICIPALIDAD DE VICUNA</t>
        </is>
      </c>
      <c r="E73" s="0" t="inlineStr">
        <is>
          <t xml:space="preserve">Secplan</t>
        </is>
      </c>
      <c r="F73" s="0" t="inlineStr">
        <is>
          <t xml:space="preserve">Región de Coquimbo </t>
        </is>
      </c>
      <c r="G73" s="0" t="inlineStr">
        <is>
          <t xml:space="preserve">Vicuña</t>
        </is>
      </c>
      <c r="H73" s="2">
        <v>46316.41537</v>
      </c>
      <c r="I73" s="2">
        <v>46325.375</v>
      </c>
      <c r="J73" s="0">
        <v>8</v>
      </c>
      <c r="K73" s="3">
        <v>17000000.0</v>
      </c>
      <c r="L73" s="0" t="inlineStr">
        <is>
          <t xml:space="preserve">CLP</t>
        </is>
      </c>
      <c r="M73" s="0" t="inlineStr">
        <is>
          <t xml:space="preserve">LE</t>
        </is>
      </c>
      <c r="N73" s="4" t="inlineStr">
        <is>
          <t xml:space="preserve">Tecnologías de la información, telecomunicaciones y radiodifusión / Software / Software de gestión</t>
        </is>
      </c>
      <c r="O73" s="4" t="inlineStr">
        <is>
          <t xml:space="preserve">1 Global · Software de gestión de licencias</t>
        </is>
      </c>
      <c r="P73" s="2"/>
      <c r="Q73" s="2"/>
      <c r="R73" s="0" t="inlineStr">
        <is>
          <t xml:space="preserve">24 meses</t>
        </is>
      </c>
      <c r="S73" s="0" t="inlineStr">
        <is>
          <t xml:space="preserve">No</t>
        </is>
      </c>
      <c r="T73" s="4"/>
      <c r="U73" s="0" t="inlineStr">
        <is>
          <t xml:space="preserve">Mario Aros Carvajal</t>
        </is>
      </c>
      <c r="V73" s="4" t="inlineStr">
        <is>
          <t xml:space="preserve">ADQUISICIÓN DE LICENCIAS DE SOFTWARE PARA DISEÑO GRÁFICO PARA LA UNIDAD DE SECPLAN, CONFORME A LA DOCUMENTACIÓN ADJUNTA.</t>
        </is>
      </c>
      <c r="W73" s="5" t="str">
        <f>HYPERLINK("https://www.mercadopublico.cl/Procurement/Modules/Attachment/ViewAttachment.aspx?enc=ne%2f4g%2fO1%2bQQ7NeHQ6V3amDHOppGJpPQBj5YjxHQ0D7eeRavuI7OG1GRLsNAJCltVHUlReEP18BL1lVI6WtoQkFnsHMtERHn4YsXM1ggoxOfzN7Zrd1yL2h8zbRuhd9edyrz8pelssUYP0Wpa06hOlrWIzHs3knAVUSkH7JtTisO9hacL2dh2vtCpUuBSQjsE%2bDPxO4HMgq9lfbADUFgwu%2bXJ%2bTH%2fWNu0hVuS8Dl3wAYE6RceCtoiz6diKubFFRsThKiQBnhTVbPkx6fTrNKJonT%2bRPGjRoK69iiNFrDaIMB3bTUrT46YkfW7mWsPqnF7","descargar bases")</f>
      </c>
    </row>
    <row r="74">
      <c r="A74" s="0" t="inlineStr">
        <is>
          <t xml:space="preserve">976-18-O126</t>
        </is>
      </c>
      <c r="B74" s="4" t="inlineStr">
        <is>
          <t xml:space="preserve">ATIF Ampliación Plataformas Comercial y General Ad. El Loa</t>
        </is>
      </c>
      <c r="C74" s="0" t="inlineStr">
        <is>
          <t xml:space="preserve">Publicada</t>
        </is>
      </c>
      <c r="D74" s="0" t="inlineStr">
        <is>
          <t xml:space="preserve">MINISTERIO DE OBRAS PUBLICAS DIREC CION GRAL DE OO PP DCYF</t>
        </is>
      </c>
      <c r="E74" s="0" t="inlineStr">
        <is>
          <t xml:space="preserve">Dirección de Aeropuertos - MOPTT</t>
        </is>
      </c>
      <c r="F74" s="0" t="inlineStr">
        <is>
          <t xml:space="preserve">Región de Antofagasta </t>
        </is>
      </c>
      <c r="G74" s="0" t="inlineStr">
        <is>
          <t xml:space="preserve">Santiago</t>
        </is>
      </c>
      <c r="H74" s="2">
        <v>46290.38125</v>
      </c>
      <c r="I74" s="2">
        <v>46325.375</v>
      </c>
      <c r="J74" s="0">
        <v>8</v>
      </c>
      <c r="K74" s="3"/>
      <c r="L74" s="0" t="inlineStr">
        <is>
          <t xml:space="preserve">CLP</t>
        </is>
      </c>
      <c r="M74" s="0" t="inlineStr">
        <is>
          <t xml:space="preserve">O1</t>
        </is>
      </c>
      <c r="N74" s="4" t="inlineStr">
        <is>
          <t xml:space="preserve">Consultoria / Consultoria / Planificación y Factibilidad</t>
        </is>
      </c>
      <c r="O74" s="4" t="inlineStr">
        <is>
          <t xml:space="preserve">1 Unidad · Licitación Pública de Consultoria</t>
        </is>
      </c>
      <c r="P74" s="2"/>
      <c r="Q74" s="2"/>
      <c r="R74" s="0"/>
      <c r="S74" s="0" t="inlineStr">
        <is>
          <t xml:space="preserve">No</t>
        </is>
      </c>
      <c r="T74" s="4"/>
      <c r="U74" s="0"/>
      <c r="V74" s="4" t="inlineStr">
        <is>
          <t xml:space="preserve">ESTA DIRECCIÓN NECESITA CONTRATAR ASESORÍA TECNICA DE INSPECCIÓN FISCAL PARA EL CONTRATO DE OBRA AMPLICACION PLATAFORMAS COMERCIAL Y GENERAL AERÓDROMO EL LOA</t>
        </is>
      </c>
      <c r="W74" s="5" t="str">
        <f>HYPERLINK("https://www.mercadopublico.cl/Procurement/Modules/Attachment/ViewAttachment.aspx?enc=AjbSUKJvuzjFAy2TBrLANuENh6XfKj4i6xLuJUVF5EdRao5%2bh9wzsmB6PxqkDscvnRdlYbit76BU5ARcIQVWjg423dt0o1cJ%2bDhAr57MRbupwlSuBQ3ihwMY0JjgZoAgNMOq7b9zCzgO20f4Evw3QUudg5HroAWqdgz6HwC9R8lxIA21OjnrcdNIOxzZABPcjDqT%2br5VIPFWMoufssUwLdlte5W8WjBPEDRYqECG1xDD8x1hlEmd39BbLiKBIdbJozDgxr22VxWCYECLtNKLqo6m4nB8WLQadf3pw5qxtIPoihMrqP0xgPCzoej73LyS","descargar bases")</f>
      </c>
    </row>
    <row r="75">
      <c r="A75" s="0" t="inlineStr">
        <is>
          <t xml:space="preserve">4037-69-LE26</t>
        </is>
      </c>
      <c r="B75" s="4" t="inlineStr">
        <is>
          <t xml:space="preserve">CONTRATACION DEL SERVICIO DE SERVIDOR VIRTUAL HOSTING munifresia.cl  SOPORTE Y MANTENCION DE LA PAGINA WEB SEGUN  BASES ADMINISTRATIVAS Y TECNICAS ADJUNTAS</t>
        </is>
      </c>
      <c r="C75" s="0" t="inlineStr">
        <is>
          <t xml:space="preserve">Publicada</t>
        </is>
      </c>
      <c r="D75" s="0" t="inlineStr">
        <is>
          <t xml:space="preserve">I MUNICIPALIDAD DE FRESIA</t>
        </is>
      </c>
      <c r="E75" s="0" t="inlineStr">
        <is>
          <t xml:space="preserve">Departamento de adquisiciones y abastecimiento</t>
        </is>
      </c>
      <c r="F75" s="0" t="inlineStr">
        <is>
          <t xml:space="preserve">Región de los Lagos </t>
        </is>
      </c>
      <c r="G75" s="0" t="inlineStr">
        <is>
          <t xml:space="preserve">Fresia</t>
        </is>
      </c>
      <c r="H75" s="2">
        <v>46314.705741</v>
      </c>
      <c r="I75" s="2">
        <v>46325.416667</v>
      </c>
      <c r="J75" s="0">
        <v>8</v>
      </c>
      <c r="K75" s="3">
        <v>9000000.0</v>
      </c>
      <c r="L75" s="0" t="inlineStr">
        <is>
          <t xml:space="preserve">CLP</t>
        </is>
      </c>
      <c r="M75" s="0" t="inlineStr">
        <is>
          <t xml:space="preserve">LE</t>
        </is>
      </c>
      <c r="N75" s="4" t="inlineStr">
        <is>
          <t xml:space="preserve">Servicios basados en ingeniería, ciencias sociales y tecnología de la información / Servicios informáticos / Servicios para internet</t>
        </is>
      </c>
      <c r="O75" s="4" t="inlineStr">
        <is>
          <t xml:space="preserve">1 Unidad · Web Hosting</t>
        </is>
      </c>
      <c r="P75" s="2"/>
      <c r="Q75" s="2"/>
      <c r="R75" s="0" t="inlineStr">
        <is>
          <t xml:space="preserve">12 meses</t>
        </is>
      </c>
      <c r="S75" s="0" t="inlineStr">
        <is>
          <t xml:space="preserve">No</t>
        </is>
      </c>
      <c r="T75" s="4"/>
      <c r="U75" s="0" t="inlineStr">
        <is>
          <t xml:space="preserve">ALEXIS ASENCIO</t>
        </is>
      </c>
      <c r="V75" s="4" t="inlineStr">
        <is>
          <t xml:space="preserve">CONTRATACION DEL SERVICIO DE SERVIDOR VIRTUAL HOSTING munifresia.cl , SOPORTE Y MANTENCION DE LA PAGINA WEB, SEGUN  BASES ADMINISTRATIVAS Y TECNICAS ADJUNTAS, DECRETO ALCALDICIO N° 1973 DE FECHA 19/10/2026</t>
        </is>
      </c>
      <c r="W75" s="5" t="str">
        <f>HYPERLINK("https://www.mercadopublico.cl/Procurement/Modules/Attachment/ViewAttachment.aspx?enc=pqtuuht6sA9v4sp2g3kqkunlWLmv8vhj04IJsDBgpIaTPOvIy21C7GpnPOpJve7aQkvFrcEO5Df66PvM57Q%2boelrRQ3mh0FFKkIRhCVjZdZAFTm7GaliggNVZzz9CFoiqqf%2fMypI02SDsTZBtvGUOPNoTkATkiUEYRnI45s2CucFidIkCiWgy1VZR%2fDmy%2f%2bKJKU7vjONh3qk2fxn99WUgEnX%2br%2bQ0LBulAV%2fY32OYfUhWidv2iOfuzch3k%2bzsXf%2fkT6PqL5i27Trvy%2bfLFTtELOL5n4ft1IRF1GwPizsIlcXTCXv1MXZwPq4Huky9ofv","descargar bases")</f>
      </c>
    </row>
    <row r="76">
      <c r="A76" s="0" t="inlineStr">
        <is>
          <t xml:space="preserve">2403-73-LR26</t>
        </is>
      </c>
      <c r="B76" s="4" t="inlineStr">
        <is>
          <t xml:space="preserve">Servicios de conectividad telecomunicaciones operación de infraestructura y gestión de ciberseguridad.</t>
        </is>
      </c>
      <c r="C76" s="0" t="inlineStr">
        <is>
          <t xml:space="preserve">Publicada</t>
        </is>
      </c>
      <c r="D76" s="0" t="inlineStr">
        <is>
          <t xml:space="preserve">I MUNICIPALIDAD DE PENALOLEN</t>
        </is>
      </c>
      <c r="E76" s="0" t="inlineStr">
        <is>
          <t xml:space="preserve">I.MUNICIPALIDAD DE PEÑALOLEN</t>
        </is>
      </c>
      <c r="F76" s="0" t="inlineStr">
        <is>
          <t xml:space="preserve">Región Metropolitana de Santiago</t>
        </is>
      </c>
      <c r="G76" s="0" t="inlineStr">
        <is>
          <t xml:space="preserve">Peñalolén</t>
        </is>
      </c>
      <c r="H76" s="2">
        <v>46288.604861</v>
      </c>
      <c r="I76" s="2">
        <v>46325.5</v>
      </c>
      <c r="J76" s="0">
        <v>8</v>
      </c>
      <c r="K76" s="3">
        <v>1910656000.0</v>
      </c>
      <c r="L76" s="0" t="inlineStr">
        <is>
          <t xml:space="preserve">CLP</t>
        </is>
      </c>
      <c r="M76" s="0" t="inlineStr">
        <is>
          <t xml:space="preserve">LR</t>
        </is>
      </c>
      <c r="N76" s="4" t="inlineStr">
        <is>
          <t xml:space="preserve">Servicios de construcción y mantenimiento / Servicios de atención, mantenimiento y reparaciones de edificios / Servicios eléctricos</t>
        </is>
      </c>
      <c r="O76" s="4" t="inlineStr">
        <is>
          <t xml:space="preserve">1 Global · Instalación de sistemas de seguridad</t>
        </is>
      </c>
      <c r="P76" s="2"/>
      <c r="Q76" s="2"/>
      <c r="R76" s="0" t="inlineStr">
        <is>
          <t xml:space="preserve">51 meses</t>
        </is>
      </c>
      <c r="S76" s="0" t="inlineStr">
        <is>
          <t xml:space="preserve">No</t>
        </is>
      </c>
      <c r="T76" s="4" t="inlineStr">
        <is>
          <t xml:space="preserve">Previa autorización de la inspección técnica, y siempre que no supere el 30% del precio total de la contratación.</t>
        </is>
      </c>
      <c r="U76" s="0" t="inlineStr">
        <is>
          <t xml:space="preserve">Matías Allende Contreras</t>
        </is>
      </c>
      <c r="V76" s="4" t="inlineStr">
        <is>
          <t xml:space="preserve">La Municipalidad de Peñalolén requiere dar continuidad integral de los servicios de conectividad, telecomunicaciones, operación de infraestructura y gestión de ciberseguridad actualmente en producción, incluyendo conectividad institucional, telefonía IP, Contact Center, redes cableadas e inalámbricas, NAC, seguridad perimetral, CSOC, SIEM, housing, soporte, implementación, SLA y capacitación, asegurando continuidad operativa, seguridad y cumplimiento normativo.</t>
        </is>
      </c>
      <c r="W76" s="5" t="str">
        <f>HYPERLINK("https://www.mercadopublico.cl/Procurement/Modules/Attachment/ViewAttachment.aspx?enc=j8N3%2b17ATanA9lSdYSIe1AzuDekBcVGhgNRIqBTqwgrZPMuo2ygCMH8HafQJZzL5KIoqYnnSUxAKyhReMzh8HM1h5n42AbETV26ZZWDw%2brSq7kOukBKJJss7PZn19q7tXLC0lWSXTYdCG7ybgHBAN1p3ita2%2fctmJ3GxJlBpVP7%2fAKF0P8hu3eMIoGd2m7KkZ4TT4eCKkbCP5fRPqIg8Ru6s1DQzv4gYxP29Yl1%2fNEGpOsmAFtd2buOQWdPu65x0ppR0Faw%2fdpeqasiEIVyy%2fvPJNPbtxeaLZgJlvbmlX2e91Wfe5IrGkdzZwvEZnECY","descargar bases")</f>
      </c>
    </row>
    <row r="77">
      <c r="A77" s="0" t="inlineStr">
        <is>
          <t xml:space="preserve">2467-120-LE26</t>
        </is>
      </c>
      <c r="B77" s="4" t="inlineStr">
        <is>
          <t xml:space="preserve">ADQUISICIÓN DE LICENCIA DE SOFTWARE</t>
        </is>
      </c>
      <c r="C77" s="0" t="inlineStr">
        <is>
          <t xml:space="preserve">Publicada</t>
        </is>
      </c>
      <c r="D77" s="0" t="inlineStr">
        <is>
          <t xml:space="preserve">I MUNICIPALIDAD DE CHILLAN</t>
        </is>
      </c>
      <c r="E77" s="0" t="inlineStr">
        <is>
          <t xml:space="preserve">IMUNI_CHILLAN ADQUISICIONES</t>
        </is>
      </c>
      <c r="F77" s="0" t="inlineStr">
        <is>
          <t xml:space="preserve">Región del Ñuble</t>
        </is>
      </c>
      <c r="G77" s="0" t="inlineStr">
        <is>
          <t xml:space="preserve">Chillán</t>
        </is>
      </c>
      <c r="H77" s="2">
        <v>46315.664502</v>
      </c>
      <c r="I77" s="2">
        <v>46325.525</v>
      </c>
      <c r="J77" s="0">
        <v>8</v>
      </c>
      <c r="K77" s="3">
        <v>15000000.0</v>
      </c>
      <c r="L77" s="0" t="inlineStr">
        <is>
          <t xml:space="preserve">CLP</t>
        </is>
      </c>
      <c r="M77" s="0" t="inlineStr">
        <is>
          <t xml:space="preserve">LE</t>
        </is>
      </c>
      <c r="N77" s="4" t="inlineStr">
        <is>
          <t xml:space="preserve">Tecnologías de la información, telecomunicaciones y radiodifusión / Software / Software de gestión</t>
        </is>
      </c>
      <c r="O77" s="4" t="inlineStr">
        <is>
          <t xml:space="preserve">1 Unidad · Software de gestión de licencias</t>
        </is>
      </c>
      <c r="P77" s="2"/>
      <c r="Q77" s="2"/>
      <c r="R77" s="0"/>
      <c r="S77" s="0" t="inlineStr">
        <is>
          <t xml:space="preserve">No</t>
        </is>
      </c>
      <c r="T77" s="4"/>
      <c r="U77" s="0" t="inlineStr">
        <is>
          <t xml:space="preserve">RODRIGO CHAMORRO</t>
        </is>
      </c>
      <c r="V77" s="4" t="inlineStr">
        <is>
          <t xml:space="preserve">La I. Municipalidad de Chillan, a través del Departamento de Informática solicita la adquisición de Software de seguimiento y gestión de causas judiciales, con integración mediante API interfaz de programación de aplicaciones con los sistemas del Poder Judicial de Chile, para el seguimiento, supervisión, gestión automatizada y control de procesos judiciales.</t>
        </is>
      </c>
      <c r="W77" s="5" t="str">
        <f>HYPERLINK("https://www.mercadopublico.cl/Procurement/Modules/Attachment/ViewAttachment.aspx?enc=zZalH1fcLS2hp50TFZEQkDbkQzvCm7Y1swPlm%2fTMqHRirLIL5aKBA6oNDvP3lKJNadIrmCOsCgHa2431lO%2fIw1AqDGAlejkSMyiEejTuhGhBHbAKvor0npm4%2ffiCKZAXksFkiDQhO%2bHHIZdzDpKuiYuW21eODkJ5ryDvuYFVO2mbpEDuD0KP1JfDeFT09PZizzjnwpuAmLsZZUS%2fDfSA5V6BWcErJjI%2famnK0dAPwLAlXXhoYXy3ETVPSNoilT6KURzXfrVnNqXefEp5szYVuUL%2fwttwgTduOJGrXHhF261NsqdsGkmIHKsHpZDgUnhl","descargar bases")</f>
      </c>
    </row>
    <row r="78">
      <c r="A78" s="0" t="inlineStr">
        <is>
          <t xml:space="preserve">2448-144-LE26</t>
        </is>
      </c>
      <c r="B78" s="4" t="inlineStr">
        <is>
          <t xml:space="preserve">ADQ. ELECTROCARDIOGRAFO DIGITAL</t>
        </is>
      </c>
      <c r="C78" s="0" t="inlineStr">
        <is>
          <t xml:space="preserve">Publicada</t>
        </is>
      </c>
      <c r="D78" s="0" t="inlineStr">
        <is>
          <t xml:space="preserve">I MUNICIPALIDAD DE COQUIMBO</t>
        </is>
      </c>
      <c r="E78" s="0" t="inlineStr">
        <is>
          <t xml:space="preserve">Departamento de Salud</t>
        </is>
      </c>
      <c r="F78" s="0" t="inlineStr">
        <is>
          <t xml:space="preserve">Región de Coquimbo </t>
        </is>
      </c>
      <c r="G78" s="0" t="inlineStr">
        <is>
          <t xml:space="preserve">Coquimbo</t>
        </is>
      </c>
      <c r="H78" s="2">
        <v>46315.505995</v>
      </c>
      <c r="I78" s="2">
        <v>46325.541667</v>
      </c>
      <c r="J78" s="0">
        <v>8</v>
      </c>
      <c r="K78" s="3"/>
      <c r="L78" s="0" t="inlineStr">
        <is>
          <t xml:space="preserve">CLP</t>
        </is>
      </c>
      <c r="M78" s="0" t="inlineStr">
        <is>
          <t xml:space="preserve">LE</t>
        </is>
      </c>
      <c r="N78" s="4" t="inlineStr">
        <is>
          <t xml:space="preserve">Equipamiento y suministros médicos / Productos para exámenes y control de pacientes / Unidades de electrocardiografía (ECG) y productos relacionados</t>
        </is>
      </c>
      <c r="O78" s="4" t="inlineStr">
        <is>
          <t xml:space="preserve">10 Unidad · Unidades de electrocardiografía (ECG)</t>
        </is>
      </c>
      <c r="P78" s="2"/>
      <c r="Q78" s="2"/>
      <c r="R78" s="0"/>
      <c r="S78" s="0" t="inlineStr">
        <is>
          <t xml:space="preserve">No</t>
        </is>
      </c>
      <c r="T78" s="4"/>
      <c r="U78" s="0" t="inlineStr">
        <is>
          <t xml:space="preserve">PAMELA MASSERANO SCHIAPPACASSE</t>
        </is>
      </c>
      <c r="V78" s="4" t="inlineStr">
        <is>
          <t xml:space="preserve">Equipos de ECG locales en urgencias APS de Coquimbo SAPUSAR garantizan respuesta inmediata y autónoma ante sospechas de infarto, sin depender de internet. Permiten al médico una evaluación directa y crítica en minutos. Al combinarse con telemedicina, ofrecen seguridad redundante: agilizan traslados justificados y aportan el respaldo remoto de especialistas sin perder autonomía operativa.</t>
        </is>
      </c>
      <c r="W78" s="5" t="str">
        <f>HYPERLINK("https://www.mercadopublico.cl/Procurement/Modules/Attachment/ViewAttachment.aspx?enc=Dq27a0%2ff0hClnx7vhaZuvkjY8OzRB1A090DwdymCV1VM7TsfLXFz%2fw%2bR4bK5Dk%2bUvC2%2beLpzYElPFusjRGUvJN4LO39YchNWs%2fNM0RZufsvrnkfX5NWolkMnH%2fTWTAVtCPiE1vMa%2bO06NC%2fScYfkocHUGZiv9qMZpNo8vS8uYRTKoNhOOWEtziTxAN4GJlqhTZgMMZDOSXOCaJ6R7iKHaYvz0eNHACLrSt34lWLWNjoOG4TzDAarSUBThaVJk6RUF%2fblSGDa3YjRfJPXCZYTSvbbrzVpDc%2fpBYJx4RKXYC%2b55ra7z1TSXw97FwPimxZs","descargar bases")</f>
      </c>
    </row>
    <row r="79">
      <c r="A79" s="0" t="inlineStr">
        <is>
          <t xml:space="preserve">2490-91-LP26</t>
        </is>
      </c>
      <c r="B79" s="4" t="inlineStr">
        <is>
          <t xml:space="preserve">ARRIENDO SOPORTE Y MANTENCIÓN DE GABINETES PSICOSENSOMÉTRICOS Y EQUIPOS COMPUTACIONALES CON SOFTWARE SPI INTEGRADO 2027-2031</t>
        </is>
      </c>
      <c r="C79" s="0" t="inlineStr">
        <is>
          <t xml:space="preserve">Publicada</t>
        </is>
      </c>
      <c r="D79" s="0" t="inlineStr">
        <is>
          <t xml:space="preserve">I MUNICIPALIDAD DE PROVIDENCIA</t>
        </is>
      </c>
      <c r="E79" s="0" t="inlineStr">
        <is>
          <t xml:space="preserve">Dirección de Secpla</t>
        </is>
      </c>
      <c r="F79" s="0" t="inlineStr">
        <is>
          <t xml:space="preserve">Región Metropolitana de Santiago</t>
        </is>
      </c>
      <c r="G79" s="0" t="inlineStr">
        <is>
          <t xml:space="preserve">Providencia</t>
        </is>
      </c>
      <c r="H79" s="2">
        <v>46296.700741</v>
      </c>
      <c r="I79" s="2">
        <v>46325.541667</v>
      </c>
      <c r="J79" s="0">
        <v>8</v>
      </c>
      <c r="K79" s="3">
        <v>190000000.0</v>
      </c>
      <c r="L79" s="0" t="inlineStr">
        <is>
          <t xml:space="preserve">CLP</t>
        </is>
      </c>
      <c r="M79" s="0" t="inlineStr">
        <is>
          <t xml:space="preserve">LP</t>
        </is>
      </c>
      <c r="N79" s="4" t="inlineStr">
        <is>
          <t xml:space="preserve">Equipos y suministros de defensa, orden público, protección y seguridad / Seguridad y control público / Control de tráfico</t>
        </is>
      </c>
      <c r="O79" s="4" t="inlineStr">
        <is>
          <t xml:space="preserve">1 Global · Señales de tránsito</t>
        </is>
      </c>
      <c r="P79" s="2"/>
      <c r="Q79" s="2"/>
      <c r="R79" s="0" t="inlineStr">
        <is>
          <t xml:space="preserve">48 meses</t>
        </is>
      </c>
      <c r="S79" s="0" t="inlineStr">
        <is>
          <t xml:space="preserve">No</t>
        </is>
      </c>
      <c r="T79" s="4"/>
      <c r="U79" s="0" t="inlineStr">
        <is>
          <t xml:space="preserve">Luis Barrientos Echavarría</t>
        </is>
      </c>
      <c r="V79" s="4" t="inlineStr">
        <is>
          <t xml:space="preserve">La Municipalidad de Providencia, mediante el presente proceso de licitación pública, requiere contratar el servicio de “ARRIENDO, SOPORTE Y MANTENCIÓN DE GABINETES PSICOSENSOMÉTRICOS Y EQUIPOS COMPUTACIONALES CON SOFTWARE SPI INTEGRADO 2027-2031”, con el objetivo de contar con 05 gabinetes equipados que permita la evaluación objetiva de aptitudes físicas y psíquicas de los postulantes a licencias de conductor, en total cumplimiento con la normativa vigente.</t>
        </is>
      </c>
      <c r="W79" s="5" t="str">
        <f>HYPERLINK("https://www.mercadopublico.cl/Procurement/Modules/Attachment/ViewAttachment.aspx?enc=aS%2bYMjPK57B6fyFes5%2b6td5020E8jGia3bkeWXx%2fw7KKcC6BsCgw1LtSG54%2b8zifBDPTNZFedaQ6Pbh37o%2fwZK9zcNI67K6yJMH%2f9yOnsP7QtPjk%2fUJi3dWlmljoLMeZ1j4Jum5wR7M9Ir9ZyUiglwYVIPcYi3R6X7E1seEtb7c25WtAvFdaE9k0oZ3iuksRhf9BvTIuWf5DbfPTd1gbc4OnG7H4yh3VcnmlS5B9SX2tbKopiouFcoMweBEMqtQIQ2Dtm%2b6H%2f%2briGNxQY7b4n3BhEPMI7HTSJrnbadtHx2jsp%2bP%2bAA5M0Y4mrDBJdD13","descargar bases")</f>
      </c>
    </row>
    <row r="80">
      <c r="A80" s="0" t="inlineStr">
        <is>
          <t xml:space="preserve">1457282-6-LE26</t>
        </is>
      </c>
      <c r="B80" s="4" t="inlineStr">
        <is>
          <t xml:space="preserve">ADQUISICIÓN DE RADIOS DIGITALES PORTÁTILES</t>
        </is>
      </c>
      <c r="C80" s="0" t="inlineStr">
        <is>
          <t xml:space="preserve">Publicada</t>
        </is>
      </c>
      <c r="D80" s="0" t="inlineStr">
        <is>
          <t xml:space="preserve">CORPORACION CENTRO CULTURAL GABRIELA MISTRAL</t>
        </is>
      </c>
      <c r="E80" s="0" t="inlineStr">
        <is>
          <t xml:space="preserve">CORPORACION CENTRO CULTURAL GABRIELA MISTRAL</t>
        </is>
      </c>
      <c r="F80" s="0" t="inlineStr">
        <is>
          <t xml:space="preserve">Región Metropolitana de Santiago</t>
        </is>
      </c>
      <c r="G80" s="0" t="inlineStr">
        <is>
          <t xml:space="preserve">Santiago</t>
        </is>
      </c>
      <c r="H80" s="2">
        <v>46311.501956</v>
      </c>
      <c r="I80" s="2">
        <v>46325.625</v>
      </c>
      <c r="J80" s="0">
        <v>8</v>
      </c>
      <c r="K80" s="3">
        <v>17000000.0</v>
      </c>
      <c r="L80" s="0" t="inlineStr">
        <is>
          <t xml:space="preserve">CLP</t>
        </is>
      </c>
      <c r="M80" s="0" t="inlineStr">
        <is>
          <t xml:space="preserve">LE</t>
        </is>
      </c>
      <c r="N80" s="4" t="inlineStr">
        <is>
          <t xml:space="preserve">Tecnologías de la información, telecomunicaciones y radiodifusión / Equipos informáticos y accesorios / Dispositivos informáticos de entrada de datos</t>
        </is>
      </c>
      <c r="O80" s="4" t="inlineStr">
        <is>
          <t xml:space="preserve">1 Global · Dispositivos de identificación de radiofrecuencias</t>
        </is>
      </c>
      <c r="P80" s="2"/>
      <c r="Q80" s="2"/>
      <c r="R80" s="0"/>
      <c r="S80" s="0" t="inlineStr">
        <is>
          <t xml:space="preserve">No</t>
        </is>
      </c>
      <c r="T80" s="4"/>
      <c r="U80" s="0" t="inlineStr">
        <is>
          <t xml:space="preserve">No hay información</t>
        </is>
      </c>
      <c r="V80" s="4" t="inlineStr">
        <is>
          <t xml:space="preserve">El sistema deberá considerar la adquisición y configuración de 55 radios digitales portátiles, la instalación de una estación base con su respectiva fuente de poder y conectores, además de los cargadores, accesorios e infraestructura complementaria que resulte necesaria para garantizar la cobertura requerida.</t>
        </is>
      </c>
      <c r="W80" s="5" t="str">
        <f>HYPERLINK("https://www.mercadopublico.cl/Procurement/Modules/Attachment/ViewAttachment.aspx?enc=or%2bsYapkZgQVEyEqB3lfBc2evbd8bdDyk%2fmHkQssNAIlQEir%2ft9EwHY4NbtjFM5V6IXm0iGKOnXHIBGMlgFZLJYfeN7JqEktiK0daI1XsvvZiX0WQxyF83t7%2btiq9c9F5DWzN82BXIWmP1nbKqxZvsnWv8Gr%2fK8Qyclxx6lKkeypBgyawfbspD0XZFUVQLd4nloeSnA3hiSRWo%2bamPZ6A8Vb9%2brmui8VKC%2fDwLcwrnq5qNJ1bGcU3Rkvj%2bvLFVDFGW0Pa5x%2bTCVq%2fBkWOlGE%2fSnv9VL2W%2f%2fZ8pwI6rXfxZwCd7Uw709KX6BAr08YJF0m","descargar bases")</f>
      </c>
    </row>
    <row r="81">
      <c r="A81" s="0" t="inlineStr">
        <is>
          <t xml:space="preserve">3053-4-LE26</t>
        </is>
      </c>
      <c r="B81" s="4" t="inlineStr">
        <is>
          <t xml:space="preserve">Adquisición de insumos informáticos para la Municipalidad de San Pedro de Atacama.</t>
        </is>
      </c>
      <c r="C81" s="0" t="inlineStr">
        <is>
          <t xml:space="preserve">Publicada</t>
        </is>
      </c>
      <c r="D81" s="0" t="inlineStr">
        <is>
          <t xml:space="preserve">I MUNICIPALIDAD DE SAN PEDRO DE ATACAMA</t>
        </is>
      </c>
      <c r="E81" s="0" t="inlineStr">
        <is>
          <t xml:space="preserve">Depto. de Finanzas</t>
        </is>
      </c>
      <c r="F81" s="0" t="inlineStr">
        <is>
          <t xml:space="preserve">Región de Antofagasta </t>
        </is>
      </c>
      <c r="G81" s="0" t="inlineStr">
        <is>
          <t xml:space="preserve">San Pedro de Atacama</t>
        </is>
      </c>
      <c r="H81" s="2">
        <v>46314.63728</v>
      </c>
      <c r="I81" s="2">
        <v>46325.625</v>
      </c>
      <c r="J81" s="0">
        <v>8</v>
      </c>
      <c r="K81" s="3"/>
      <c r="L81" s="0" t="inlineStr">
        <is>
          <t xml:space="preserve">CLP</t>
        </is>
      </c>
      <c r="M81" s="0" t="inlineStr">
        <is>
          <t xml:space="preserve">LE</t>
        </is>
      </c>
      <c r="N81" s="4" t="inlineStr">
        <is>
          <t xml:space="preserve">Tecnologías de la información, telecomunicaciones y radiodifusión / Equipos informáticos y accesorios / Impresoras</t>
        </is>
      </c>
      <c r="O81" s="4" t="inlineStr">
        <is>
          <t xml:space="preserve">1 Global · Impresoras multifunción o multifuncionales</t>
        </is>
      </c>
      <c r="P81" s="2"/>
      <c r="Q81" s="2"/>
      <c r="R81" s="0"/>
      <c r="S81" s="0" t="inlineStr">
        <is>
          <t xml:space="preserve">No</t>
        </is>
      </c>
      <c r="T81" s="4" t="inlineStr">
        <is>
          <t xml:space="preserve">El adjudicatario no podrá subcontratar, salvo autorización escrita de la Municipalidad de San Pedro de Atacama.</t>
        </is>
      </c>
      <c r="U81" s="0" t="inlineStr">
        <is>
          <t xml:space="preserve">DIAZ, CESAR</t>
        </is>
      </c>
      <c r="V81" s="4" t="inlineStr">
        <is>
          <t xml:space="preserve">La Municipalidad de San Pedro de Atacama invita a participar en el proceso de contratación para la Adquisición de insumos informáticos para la Municipalidad de San Pedro de Atacama, con el objeto de mantener la operatividad de los computadores e impresoras de la Municipalidad.</t>
        </is>
      </c>
      <c r="W81" s="5" t="str">
        <f>HYPERLINK("https://www.mercadopublico.cl/Procurement/Modules/Attachment/ViewAttachment.aspx?enc=qwH1FFhHtu8SVfmvh3pQoYT6kycVkN21H3VwscFo0CPk0LgohkSTl0LPUx2hAt%2fZIYexrMC25ZUUSPtdN6zds3Y6%2bDImjbW5EE%2fqCQtVBQOwLGANS%2fpNjtlsF7Q2lmrACQMof1rqAnMms4L3lhy8VTAtNGqfws7T5Ts28hAnDJyGfcOhLO%2fh3rw7Vs1poCYmbRqpvgfkAP0KrAKWyuUA%2fxEdTuxGVVzmugBMgJfgHYKeTr%2ba24ku25DoVG0sJZmw8wZ1Qjqh9d2xwEJ5Ysyv5U4HAtmhQpao7Zi1UuhkVdLwDq%2fVCaCSHXzMFcsiFWsj","descargar bases")</f>
      </c>
    </row>
    <row r="82">
      <c r="A82" s="0" t="inlineStr">
        <is>
          <t xml:space="preserve">1221019-17-LE26</t>
        </is>
      </c>
      <c r="B82" s="4" t="inlineStr">
        <is>
          <t xml:space="preserve">Plataforma de Venta de Entradas para Evento.</t>
        </is>
      </c>
      <c r="C82" s="0" t="inlineStr">
        <is>
          <t xml:space="preserve">Publicada</t>
        </is>
      </c>
      <c r="D82" s="0" t="inlineStr">
        <is>
          <t xml:space="preserve">Corporación Municipal de Deporte  de Vitacura</t>
        </is>
      </c>
      <c r="E82" s="0" t="inlineStr">
        <is>
          <t xml:space="preserve">Corporación</t>
        </is>
      </c>
      <c r="F82" s="0" t="inlineStr">
        <is>
          <t xml:space="preserve">Región Metropolitana de Santiago</t>
        </is>
      </c>
      <c r="G82" s="0" t="inlineStr">
        <is>
          <t xml:space="preserve">Vitacura</t>
        </is>
      </c>
      <c r="H82" s="2">
        <v>46311.643079</v>
      </c>
      <c r="I82" s="2">
        <v>46325.645833</v>
      </c>
      <c r="J82" s="0">
        <v>8</v>
      </c>
      <c r="K82" s="3">
        <v>25000000.0</v>
      </c>
      <c r="L82" s="0" t="inlineStr">
        <is>
          <t xml:space="preserve">CLP</t>
        </is>
      </c>
      <c r="M82" s="0" t="inlineStr">
        <is>
          <t xml:space="preserve">LE</t>
        </is>
      </c>
      <c r="N82" s="4" t="inlineStr">
        <is>
          <t xml:space="preserve">Tecnologías de la información, telecomunicaciones y radiodifusión / Software / Programas de desarrollo</t>
        </is>
      </c>
      <c r="O82" s="4" t="inlineStr">
        <is>
          <t xml:space="preserve">1 Unidad · Software de desarrollo de plataforma Web</t>
        </is>
      </c>
      <c r="P82" s="2"/>
      <c r="Q82" s="2"/>
      <c r="R82" s="0"/>
      <c r="S82" s="0" t="inlineStr">
        <is>
          <t xml:space="preserve">No</t>
        </is>
      </c>
      <c r="T82" s="4"/>
      <c r="U82" s="0" t="inlineStr">
        <is>
          <t xml:space="preserve">Víctor Banda Carrasco</t>
        </is>
      </c>
      <c r="V82" s="4" t="inlineStr">
        <is>
          <t xml:space="preserve">La presente propuesta, tiene por finalidad contratar el servicio de ticketera, para la Implementación, Administración y Operación de Plataforma de Venta de Entradas para Evento “Sport Fest Vitacura 2026, con el objeto de automatizar y optimizar la venta de entradas, el cobro digital y el control de acceso del público de forma segura y centralizada.</t>
        </is>
      </c>
      <c r="W82" s="5" t="str">
        <f>HYPERLINK("https://www.mercadopublico.cl/Procurement/Modules/Attachment/ViewAttachment.aspx?enc=1bV7D8%2fG8a7C4mgecBtohJEl2%2fs9az%2bqPJJoOLvCPeA9Rl4%2bLT4YNfV0ZyfJmUlxdi9Ntcbpdn0Sr52zpRWuIBL9iZqL%2bBfjs5MSynkYihqqN0Je8TI8Wp4rLf99DBgpwPJPW4kUWd%2bcSyjBLngX7eG4bI8JxuOZKN3uniqCasLYLg%2frPLLyFcG5lH6ekHo9t718fA8hfGypNTkY2a33qNwWqkkuwUEQA6bY6JOH7mpYOVuhm30XxlOIDLHh2gqxThUoboF2w3SxPQzcOVFtBjIoFR8Sd2UsNeiWrsiXHauXwpxENS%2fClzijoG%2bvZc8P","descargar bases")</f>
      </c>
    </row>
    <row r="83">
      <c r="A83" s="0" t="inlineStr">
        <is>
          <t xml:space="preserve">680504-3-L126</t>
        </is>
      </c>
      <c r="B83" s="4" t="inlineStr">
        <is>
          <t xml:space="preserve">Mantención Anual Tableros Eléctricos del Edificio RPP Curicó</t>
        </is>
      </c>
      <c r="C83" s="0" t="inlineStr">
        <is>
          <t xml:space="preserve">Publicada</t>
        </is>
      </c>
      <c r="D83" s="0" t="inlineStr">
        <is>
          <t xml:space="preserve">CORP ADMINISTRATIVA DEL PODER JUDICIAL</t>
        </is>
      </c>
      <c r="E83" s="0" t="inlineStr">
        <is>
          <t xml:space="preserve">TOP de Curico</t>
        </is>
      </c>
      <c r="F83" s="0" t="inlineStr">
        <is>
          <t xml:space="preserve">Región del Maule </t>
        </is>
      </c>
      <c r="G83" s="0" t="inlineStr">
        <is>
          <t xml:space="preserve">Curicó</t>
        </is>
      </c>
      <c r="H83" s="2">
        <v>46315.490579</v>
      </c>
      <c r="I83" s="2">
        <v>46325.666667</v>
      </c>
      <c r="J83" s="0">
        <v>8</v>
      </c>
      <c r="K83" s="3">
        <v>128.8</v>
      </c>
      <c r="L83" s="0" t="inlineStr">
        <is>
          <t xml:space="preserve">CLF</t>
        </is>
      </c>
      <c r="M83" s="0" t="inlineStr">
        <is>
          <t xml:space="preserve">L1</t>
        </is>
      </c>
      <c r="N83" s="4" t="inlineStr">
        <is>
          <t xml:space="preserve">Servicios de construcción y mantenimiento / Servicios de atención, mantenimiento y reparaciones de edificios / Servicios eléctricos</t>
        </is>
      </c>
      <c r="O83" s="4" t="inlineStr">
        <is>
          <t xml:space="preserve">1 Unidad · Instalación o servicio de sistemas de energía eléctrica</t>
        </is>
      </c>
      <c r="P83" s="2"/>
      <c r="Q83" s="2"/>
      <c r="R83" s="0"/>
      <c r="S83" s="0" t="inlineStr">
        <is>
          <t xml:space="preserve">No</t>
        </is>
      </c>
      <c r="T83" s="4"/>
      <c r="U83" s="0"/>
      <c r="V83" s="4" t="inlineStr">
        <is>
          <t xml:space="preserve">Mantención Anual Tableros Eléctricos del Edificio RPP Curicó por un periodo de 36 meses</t>
        </is>
      </c>
      <c r="W83" s="5" t="str">
        <f>HYPERLINK("https://www.mercadopublico.cl/Procurement/Modules/Attachment/ViewAttachment.aspx?enc=RUQNrKE01Nu9LWW0QUbWapCYEfnTin7pNbYQcnKyFQVXEcRrUmHaZZXdWrubqI2WQmD9EQWFXWhCNonS4ZvmndKoiw9n5nIkIXlCa8VC0SFThzbiRN6TnKrK8UYYfBkJXB5YN5CXSuFigso38MT9YfRb2HVfnjmMR%2faPzu7WSUJiyhIxdKJfhMGZM8AfTw%2b8d8aeRmSbm0RfBce83mEh6dNc5Hsfv3B%2bTuFzwQdbuEt%2fLYj7ftXL%2bDkumVjHa%2fvOX2KKsDGLjKfW1WvRcjtyG6eX0Fczea7Mp14qD1DI0EdOJrbZMQX3s2FKAW4QbsWU","descargar bases")</f>
      </c>
    </row>
    <row r="84">
      <c r="A84" s="0" t="inlineStr">
        <is>
          <t xml:space="preserve">662237-34-LE26</t>
        </is>
      </c>
      <c r="B84" s="4" t="inlineStr">
        <is>
          <t xml:space="preserve">Adquisición de licencias software antivirus</t>
        </is>
      </c>
      <c r="C84" s="0" t="inlineStr">
        <is>
          <t xml:space="preserve">Publicada</t>
        </is>
      </c>
      <c r="D84" s="0" t="inlineStr">
        <is>
          <t xml:space="preserve">SERVICIO NACIONAL PARA LA PREVENCION Y REHABILITACION DEL CONSUMO DE D</t>
        </is>
      </c>
      <c r="E84" s="0" t="inlineStr">
        <is>
          <t xml:space="preserve">SENDA NACIONAL</t>
        </is>
      </c>
      <c r="F84" s="0" t="inlineStr">
        <is>
          <t xml:space="preserve">Región Metropolitana de Santiago</t>
        </is>
      </c>
      <c r="G84" s="0" t="inlineStr">
        <is>
          <t xml:space="preserve">Santiago Centro</t>
        </is>
      </c>
      <c r="H84" s="2">
        <v>46315.769051</v>
      </c>
      <c r="I84" s="2">
        <v>46325.770833</v>
      </c>
      <c r="J84" s="0">
        <v>8</v>
      </c>
      <c r="K84" s="3">
        <v>14500000.0</v>
      </c>
      <c r="L84" s="0" t="inlineStr">
        <is>
          <t xml:space="preserve">CLP</t>
        </is>
      </c>
      <c r="M84" s="0" t="inlineStr">
        <is>
          <t xml:space="preserve">LE</t>
        </is>
      </c>
      <c r="N84" s="4" t="inlineStr">
        <is>
          <t xml:space="preserve">Tecnologías de la información, telecomunicaciones y radiodifusión / Software / Software de seguridad y protección</t>
        </is>
      </c>
      <c r="O84" s="4" t="inlineStr">
        <is>
          <t xml:space="preserve">1 Unidad · Software de protección antivirus y de seguridad de transacciones</t>
        </is>
      </c>
      <c r="P84" s="2"/>
      <c r="Q84" s="2"/>
      <c r="R84" s="0"/>
      <c r="S84" s="0" t="inlineStr">
        <is>
          <t xml:space="preserve">No</t>
        </is>
      </c>
      <c r="T84" s="4" t="inlineStr">
        <is>
          <t xml:space="preserve">No podrá subcontratar las prestaciones esenciales, especialmente la provisión y administración del licenciamiento, la habilitación,
el soporte principal y la responsabilidad frente a SENDA.</t>
        </is>
      </c>
      <c r="U84" s="0" t="inlineStr">
        <is>
          <t xml:space="preserve">Santiago Campos</t>
        </is>
      </c>
      <c r="V84" s="4" t="inlineStr">
        <is>
          <t xml:space="preserve">El Área de Tecnologías de la Información, mediante la Solicitud de Recursos N°356  REC 35626, requirió efectuar
una licitación pública para adquirir por doce meses 530 licencias de software antivirus para el equipamiento de la red
nacional de SENDA</t>
        </is>
      </c>
      <c r="W84" s="5" t="str">
        <f>HYPERLINK("https://www.mercadopublico.cl/Procurement/Modules/Attachment/ViewAttachment.aspx?enc=xaXA%2bRlcD2Wss0gax5UX3zElWiYVtQoWCKqG18zIsIevfO28CXHs8sKD2fDd6CYCxiB9P7TbN33rc5icGv%2bX04xkZMQjcaP%2fyROPNgRGNzp63vS125V9upvhOgVG2UflXq%2bDEqgj9JDgojDra43vWyjXkmwF14EUfL7i40Frwn4gq8acR3G34smfmy8bHZH4eIkmeRlENY2R5Gz0Yf%2faT%2fRaiUNeVR%2fX1v5CGQEguLeVs0McLLjYzGoQE6m6D19FYHEUCG66XrnvrjDtEjm435LP5HEEB5P9gqsYcpRroYhrildbu%2bJGWKu8G209eKM%2b","descargar bases")</f>
      </c>
    </row>
    <row r="85">
      <c r="A85" s="0" t="inlineStr">
        <is>
          <t xml:space="preserve">2111-304-LP26</t>
        </is>
      </c>
      <c r="B85" s="4" t="inlineStr">
        <is>
          <t xml:space="preserve">SERV. ALMACENAJE CUSTODIA Y ADM. DE DATOS FÍSICOS</t>
        </is>
      </c>
      <c r="C85" s="0" t="inlineStr">
        <is>
          <t xml:space="preserve">Publicada</t>
        </is>
      </c>
      <c r="D85" s="0" t="inlineStr">
        <is>
          <t xml:space="preserve">HOSPITAL DE URGENCIA ASISTENCIA PUBLICA DR ALEJANDRO DEL RIO</t>
        </is>
      </c>
      <c r="E85" s="0" t="inlineStr">
        <is>
          <t xml:space="preserve">Hospital de Urgencia Asistencia Pública</t>
        </is>
      </c>
      <c r="F85" s="0" t="inlineStr">
        <is>
          <t xml:space="preserve">Región Metropolitana de Santiago</t>
        </is>
      </c>
      <c r="G85" s="0" t="inlineStr">
        <is>
          <t xml:space="preserve">Santiago</t>
        </is>
      </c>
      <c r="H85" s="2">
        <v>46315.4939</v>
      </c>
      <c r="I85" s="2">
        <v>46328.625694</v>
      </c>
      <c r="J85" s="0">
        <v>11</v>
      </c>
      <c r="K85" s="3"/>
      <c r="L85" s="0" t="inlineStr">
        <is>
          <t xml:space="preserve">CLP</t>
        </is>
      </c>
      <c r="M85" s="0" t="inlineStr">
        <is>
          <t xml:space="preserve">LP</t>
        </is>
      </c>
      <c r="N85" s="4" t="inlineStr">
        <is>
          <t xml:space="preserve">Servicios de transporte, almacenaje y correo / Almacenaje / Almacenaje de mercancía en general</t>
        </is>
      </c>
      <c r="O85" s="4" t="inlineStr">
        <is>
          <t xml:space="preserve">1 Unidad · Almacenaje de documentos en carpetas</t>
        </is>
      </c>
      <c r="P85" s="2"/>
      <c r="Q85" s="2"/>
      <c r="R85" s="0" t="inlineStr">
        <is>
          <t xml:space="preserve">36 meses</t>
        </is>
      </c>
      <c r="S85" s="0" t="inlineStr">
        <is>
          <t xml:space="preserve">No</t>
        </is>
      </c>
      <c r="T85" s="4" t="inlineStr">
        <is>
          <t xml:space="preserve">SEGÚN LO ESTIPULADO EN BASES</t>
        </is>
      </c>
      <c r="U85" s="0" t="inlineStr">
        <is>
          <t xml:space="preserve">HUAP</t>
        </is>
      </c>
      <c r="V85" s="4" t="inlineStr">
        <is>
          <t xml:space="preserve">SE REQUIERE SERVICIO DE ALMACENAJE, CUSTODIA Y ADMINISTRACIÓN DE DATOS FÍSICOS PARA EL HUAP.</t>
        </is>
      </c>
      <c r="W85" s="5" t="str">
        <f>HYPERLINK("https://www.mercadopublico.cl/Procurement/Modules/Attachment/ViewAttachment.aspx?enc=oJLWBr2y5W1XGup1h4Ej46GD%2b1ilHNO%2belbVecbx1GxdFLicLUz5CRGag252cbQBZCJ2bn67h6b2Ludjr%2bEXcYNWSyWvGCWUCGnfbas5rHyFE%2fbMrTBnEczun4Fxx2bOthlZMKaf01QQUErrVp657fimueuFN426v1wZHSOQCvGScN7jpAOI%2fPUBtLGm%2bopOa%2bzcx8Bx1iIkYdMqNpleKs69xlYvXd3GNQVYhDiDfOXMk%2fa9PtWZWFtH9yUcSsn3cjEI0V1VKHcxvNR9XqBtuOU43E99zV0oUZP3MPXNWusnZQ%2f53%2f6BuXuXUt6RhqR3","descargar bases")</f>
      </c>
    </row>
    <row r="86">
      <c r="A86" s="0" t="inlineStr">
        <is>
          <t xml:space="preserve">2342-36-LR26</t>
        </is>
      </c>
      <c r="B86" s="4" t="inlineStr">
        <is>
          <t xml:space="preserve">CONCESIÓN DE ESTACIONAMIENTOS EN CALLES DE LA ZONA CENTRO DE LA COMUNA DE SAN BERNARDO APLICANDO SISTEMA DE CONTROL DE TIEMPO DE USO CAPTADORES DE DATOS</t>
        </is>
      </c>
      <c r="C86" s="0" t="inlineStr">
        <is>
          <t xml:space="preserve">Publicada</t>
        </is>
      </c>
      <c r="D86" s="0" t="inlineStr">
        <is>
          <t xml:space="preserve">I MUNICIPALIDAD DE SAN BERNARDO</t>
        </is>
      </c>
      <c r="E86" s="0" t="inlineStr">
        <is>
          <t xml:space="preserve">SECRETARIA COMUNAL DE PLANIFICACION</t>
        </is>
      </c>
      <c r="F86" s="0" t="inlineStr">
        <is>
          <t xml:space="preserve">Región Metropolitana de Santiago</t>
        </is>
      </c>
      <c r="G86" s="0" t="inlineStr">
        <is>
          <t xml:space="preserve">San Bernardo</t>
        </is>
      </c>
      <c r="H86" s="2">
        <v>46289.689583</v>
      </c>
      <c r="I86" s="2">
        <v>46328.625694</v>
      </c>
      <c r="J86" s="0">
        <v>11</v>
      </c>
      <c r="K86" s="3"/>
      <c r="L86" s="0" t="inlineStr">
        <is>
          <t xml:space="preserve">UTM</t>
        </is>
      </c>
      <c r="M86" s="0" t="inlineStr">
        <is>
          <t xml:space="preserve">LR</t>
        </is>
      </c>
      <c r="N86" s="4" t="inlineStr">
        <is>
          <t xml:space="preserve">Servicios de transporte, almacenaje y correo / Servicios de mantención o reparaciones de transportes / Combustible para vehículos de transporte, estacionamiento y otros servicios de apoyo</t>
        </is>
      </c>
      <c r="O86" s="4" t="inlineStr">
        <is>
          <t xml:space="preserve">1 Unidad · Estacionamientos</t>
        </is>
      </c>
      <c r="P86" s="2"/>
      <c r="Q86" s="2"/>
      <c r="R86" s="0" t="inlineStr">
        <is>
          <t xml:space="preserve">36 meses</t>
        </is>
      </c>
      <c r="S86" s="0" t="inlineStr">
        <is>
          <t xml:space="preserve">No</t>
        </is>
      </c>
      <c r="T86" s="4"/>
      <c r="U86" s="0" t="inlineStr">
        <is>
          <t xml:space="preserve">JUAN CARLOS CABRERA CAMPOS</t>
        </is>
      </c>
      <c r="V86" s="4" t="inlineStr">
        <is>
          <t xml:space="preserve">CONCESIÓN DE ESTACIONAMIENTOS EN CALLES DE LA ZONA CENTRO DE LA COMUNA DE SAN BERNARDO, APLICANDO SISTEMA DE CONTROL DE TIEMPO DE USO CAPTADORES DE DATOS</t>
        </is>
      </c>
      <c r="W86" s="5" t="str">
        <f>HYPERLINK("https://www.mercadopublico.cl/Procurement/Modules/Attachment/ViewAttachment.aspx?enc=amMBvlKFxLkd06k1bygqRbRjbWhmHRXpyt8ZW5pemppo%2fZi979YAQ0qIzkg9t8Mp%2bZ1LG5MyIYFiw%2bM5C13sHaWXDozXe9yymrLhJpV5XfCyKWulxoFoMmjlwGMjQPaFA4xPFere1bBGILsS%2baLAX0IvUw1JSs51cZ%2fRhInE%2fYZZEsFAryVwWxUvnU6NLcAeCtzQtSNDXyzrbXj21SCu%2fv9c5QiCtsvz50W0c9eoMgOGhQOn6sKEJHIgkTgRBP72jgydyX1LSajnaEAjkMrOXW6HZ39neKaIo30b1cP%2f4nOKjiFVOlp1cgQYpOq3W5oi","descargar bases")</f>
      </c>
    </row>
    <row r="87">
      <c r="A87" s="0" t="inlineStr">
        <is>
          <t xml:space="preserve">2446-315-LE26</t>
        </is>
      </c>
      <c r="B87" s="4" t="inlineStr">
        <is>
          <t xml:space="preserve">ADQUISICIÓN DE LICENCIAS DE SOFTWARE INSTITUCIONAL</t>
        </is>
      </c>
      <c r="C87" s="0" t="inlineStr">
        <is>
          <t xml:space="preserve">Publicada</t>
        </is>
      </c>
      <c r="D87" s="0" t="inlineStr">
        <is>
          <t xml:space="preserve">I MUNICIPALIDAD DE COQUIMBO</t>
        </is>
      </c>
      <c r="E87" s="0" t="inlineStr">
        <is>
          <t xml:space="preserve">IMUNI_COQUIMBO</t>
        </is>
      </c>
      <c r="F87" s="0" t="inlineStr">
        <is>
          <t xml:space="preserve">Región de Coquimbo </t>
        </is>
      </c>
      <c r="G87" s="0" t="inlineStr">
        <is>
          <t xml:space="preserve">Coquimbo</t>
        </is>
      </c>
      <c r="H87" s="2">
        <v>46312.805787</v>
      </c>
      <c r="I87" s="2">
        <v>46328.625694</v>
      </c>
      <c r="J87" s="0">
        <v>11</v>
      </c>
      <c r="K87" s="3">
        <v>19200000.0</v>
      </c>
      <c r="L87" s="0" t="inlineStr">
        <is>
          <t xml:space="preserve">CLP</t>
        </is>
      </c>
      <c r="M87" s="0" t="inlineStr">
        <is>
          <t xml:space="preserve">LE</t>
        </is>
      </c>
      <c r="N87" s="4" t="inlineStr">
        <is>
          <t xml:space="preserve">Tecnologías de la información, telecomunicaciones y radiodifusión / Software / Software de gestión</t>
        </is>
      </c>
      <c r="O87" s="4" t="inlineStr">
        <is>
          <t xml:space="preserve">1 Global · Paquetes de software para oficinas · 1 Global · Paquetes de software para oficinas · 1 Global · Paquetes de software para oficinas · y 2 más</t>
        </is>
      </c>
      <c r="P87" s="2"/>
      <c r="Q87" s="2"/>
      <c r="R87" s="0" t="inlineStr">
        <is>
          <t xml:space="preserve">7 días</t>
        </is>
      </c>
      <c r="S87" s="0" t="inlineStr">
        <is>
          <t xml:space="preserve">No</t>
        </is>
      </c>
      <c r="T87" s="4"/>
      <c r="U87" s="0" t="inlineStr">
        <is>
          <t xml:space="preserve">Felipe Alegre Monroy</t>
        </is>
      </c>
      <c r="V87" s="4" t="inlineStr">
        <is>
          <t xml:space="preserve">Se requiere licitar la adquisición de adquisición de licencias de software para gestión audiovisual, soporte tecnológico, análisis de datos e inteligencia artificial, según lo solicitado en las presentes Bases Administrativas y Especificaciones Técnicas.</t>
        </is>
      </c>
      <c r="W87" s="5" t="str">
        <f>HYPERLINK("https://www.mercadopublico.cl/Procurement/Modules/Attachment/ViewAttachment.aspx?enc=tRGJ8U%2fm6tU8rqlDj2VDfRb6kaLDZ4jza%2ff6bBQOLmyxZPBjb1OAYBYEIVYY4bqgUYkGDNvULB5%2fZt%2bSu1Q%2bVd5LNLINbrLZabGeAKoy6xeOeQACROgT851Spu%2b2zVoI3JyEZuyzpomRjIDadVdo%2f8INFSOyPGLbftPT9NgyE339o4r0IyZm6uhbmjecipey76SHoMNIUQ3VoAijgbCmelAnVvK2tJKT2x5%2fv34tkSi5R8LsJ1JLu%2f%2buHyrgaFV8gdXeXMQrhGn%2fnjO0GB%2fmcn9lVpUKFQ2wtcqjAnFQCzSAnTH8xkJLxDYZdZOY2%2fFG","descargar bases")</f>
      </c>
    </row>
    <row r="88">
      <c r="A88" s="0" t="inlineStr">
        <is>
          <t xml:space="preserve">5441-12-LP26</t>
        </is>
      </c>
      <c r="B88" s="4" t="inlineStr">
        <is>
          <t xml:space="preserve">Generador 500 kVA y Tablero de Transf. Autom. 800A</t>
        </is>
      </c>
      <c r="C88" s="0" t="inlineStr">
        <is>
          <t xml:space="preserve">Publicada</t>
        </is>
      </c>
      <c r="D88" s="0" t="inlineStr">
        <is>
          <t xml:space="preserve">UNIVERSIDAD DE CHILE</t>
        </is>
      </c>
      <c r="E88" s="0" t="inlineStr">
        <is>
          <t xml:space="preserve">UCHILE Facultad Cs.Veterinarias</t>
        </is>
      </c>
      <c r="F88" s="0" t="inlineStr">
        <is>
          <t xml:space="preserve">Región Metropolitana de Santiago</t>
        </is>
      </c>
      <c r="G88" s="0" t="inlineStr">
        <is>
          <t xml:space="preserve">La Pintana</t>
        </is>
      </c>
      <c r="H88" s="2">
        <v>46302.464919</v>
      </c>
      <c r="I88" s="2">
        <v>46328.625694</v>
      </c>
      <c r="J88" s="0">
        <v>11</v>
      </c>
      <c r="K88" s="3"/>
      <c r="L88" s="0" t="inlineStr">
        <is>
          <t xml:space="preserve">CLP</t>
        </is>
      </c>
      <c r="M88" s="0" t="inlineStr">
        <is>
          <t xml:space="preserve">LP</t>
        </is>
      </c>
      <c r="N88" s="4" t="inlineStr">
        <is>
          <t xml:space="preserve">Maquinaria para generación y distribución de energía / Generación de energía / Equipo para control de producción de energía, Maquinaria para generación y distribución de energía / Transmisión de energía eléctrica, mecánica y cinética / Grupos electrógenos</t>
        </is>
      </c>
      <c r="O88" s="4" t="inlineStr">
        <is>
          <t xml:space="preserve">1 Unidad · Generadores diesel · 1 Unidad · Paneles de control eléctrico para generadores</t>
        </is>
      </c>
      <c r="P88" s="2"/>
      <c r="Q88" s="2"/>
      <c r="R88" s="0"/>
      <c r="S88" s="0" t="inlineStr">
        <is>
          <t xml:space="preserve">No</t>
        </is>
      </c>
      <c r="T88" s="4"/>
      <c r="U88" s="0" t="inlineStr">
        <is>
          <t xml:space="preserve">Carlos Miranda</t>
        </is>
      </c>
      <c r="V88" s="4" t="inlineStr">
        <is>
          <t xml:space="preserve">Se requiere la adquisición de un generador de 500 kVA y un Tablero de Transferencia Automática de 800A, para ser instalado en la subestación N°1 de la FAVET, el que cubrirá todos los recintos que conectan de ella, con el fin de respaldar la energía de los equipos que se encuentran ubicados en el Hospital de Animales Pequeños, Cirugía Pequeños, Laboratorios, Canil, UMAs, entre otros.</t>
        </is>
      </c>
      <c r="W88" s="5" t="str">
        <f>HYPERLINK("https://www.mercadopublico.cl/Procurement/Modules/Attachment/ViewAttachment.aspx?enc=wYK5v8oTBBUAHP98xy68FJCzgAoQ745R1zgJeRoeBcbr2htYMzI749FAKTZJbmaostXXPRrG0IxeUbZS1iMLsbTR8AasXttkhrb8jZy0kMqiwevVYPB%2bMiljV6T1mb9OTtONEaJxrHzGt8Opl%2fn10XvNQfkEv36D8FbveUgRdhzkrYwZ%2faGSLyL5hnVrDoMEiLtfCsv8OfWu6K8x2cf8We%2bgKlGXQiekLGSCCnuCq76Jhoh2XA3I14%2bw%2bOWXbC%2fC2sEM%2b87NjwPu5DsBwvvugesdS3%2fZ%2f%2fgrHo5Csc%2b4YpL9l5dh9B%2fvoCnU1bf%2btx3R","descargar bases")</f>
      </c>
    </row>
    <row r="89">
      <c r="A89" s="0" t="inlineStr">
        <is>
          <t xml:space="preserve">587-47-LE26</t>
        </is>
      </c>
      <c r="B89" s="4" t="inlineStr">
        <is>
          <t xml:space="preserve">RENOVACIÓN DE LICENCIAS DE SOFTWARE</t>
        </is>
      </c>
      <c r="C89" s="0" t="inlineStr">
        <is>
          <t xml:space="preserve">Publicada</t>
        </is>
      </c>
      <c r="D89" s="0" t="inlineStr">
        <is>
          <t xml:space="preserve">SUBSECRETARIA DEL MINISTERIO DE LA VIVIENDA Y URBANISMO</t>
        </is>
      </c>
      <c r="E89" s="0" t="inlineStr">
        <is>
          <t xml:space="preserve">Ministerio de Vivienda y Urbanismo(766)</t>
        </is>
      </c>
      <c r="F89" s="0" t="inlineStr">
        <is>
          <t xml:space="preserve">Región Metropolitana de Santiago</t>
        </is>
      </c>
      <c r="G89" s="0"/>
      <c r="H89" s="2">
        <v>46302.47669</v>
      </c>
      <c r="I89" s="2">
        <v>46328.631944</v>
      </c>
      <c r="J89" s="0">
        <v>11</v>
      </c>
      <c r="K89" s="3">
        <v>52000.0</v>
      </c>
      <c r="L89" s="0" t="inlineStr">
        <is>
          <t xml:space="preserve">USD</t>
        </is>
      </c>
      <c r="M89" s="0" t="inlineStr">
        <is>
          <t xml:space="preserve">LE</t>
        </is>
      </c>
      <c r="N89" s="4" t="inlineStr">
        <is>
          <t xml:space="preserve">Tecnologías de la información, telecomunicaciones y radiodifusión / Software / Software de gestión</t>
        </is>
      </c>
      <c r="O89" s="4" t="inlineStr">
        <is>
          <t xml:space="preserve">12 Unidad · Software de gestión de licencias</t>
        </is>
      </c>
      <c r="P89" s="2"/>
      <c r="Q89" s="2"/>
      <c r="R89" s="0" t="inlineStr">
        <is>
          <t xml:space="preserve">12 meses</t>
        </is>
      </c>
      <c r="S89" s="0" t="inlineStr">
        <is>
          <t xml:space="preserve">No</t>
        </is>
      </c>
      <c r="T89" s="4" t="inlineStr">
        <is>
          <t xml:space="preserve">NO PERMITE SUBCONTRATACIÓN VER PUNTO 1.13.5.7. “SUBCONTRATACIÓN” DE LAS BASES ADMINISTRATIVAS.</t>
        </is>
      </c>
      <c r="U89" s="0" t="inlineStr">
        <is>
          <t xml:space="preserve">Adrian Muñoz Brevis</t>
        </is>
      </c>
      <c r="V89" s="4" t="inlineStr">
        <is>
          <t xml:space="preserve">Renovar licencias de software por el período comprendido entre el 31 de diciembre 2026 al 30 de diciembre del 2027, de cinco 05 Licencias de Software FORTINET o equivalentes, por un período de doce 12 meses, divididos de la siguiente manera: dos 02 Firewalls FORTINET WAF400E, dos 02 Firewalls FORTINET 600E y un 01 Firewall FORTINET FortiAnalyzer 1000F”.</t>
        </is>
      </c>
      <c r="W89" s="5" t="str">
        <f>HYPERLINK("https://www.mercadopublico.cl/Procurement/Modules/Attachment/ViewAttachment.aspx?enc=5Yj9mElx2iTMkd3fN3qi1DGjrsDn9QmAsptWeJU4GUo3SJZHP9BA3LrEgrtuTVn0%2b6zr7nHTHPIZ6rhS8uD%2bh0kw4VLgfHWLRXMOeYRn6UN18TAAlSGi%2fngoFrCC139DFA0jA0rX03VRey6jFyeKH0FXUiaiR6L08ObJ%2bI00CdcdQdvCviZum9JjJUUaQqkRjL1EoUkl2T5zgPZT%2bYHtiNSoisWRQbPyVgiN87TLLNKHiHTU45Nz9R6Jw3d%2fD2eRcZeajVhTCX5vhKrxBTN0k3PlkC7STLeI%2ftFTs56nLuNSWr%2fZ5JhoLw87fbwd9q70","descargar bases")</f>
      </c>
    </row>
    <row r="90">
      <c r="A90" s="0" t="inlineStr">
        <is>
          <t xml:space="preserve">2107-164-LE26</t>
        </is>
      </c>
      <c r="B90" s="4" t="inlineStr">
        <is>
          <t xml:space="preserve">ARRIENDO DE TOTEMS AUTOADMINISTRADOS PARA HSC</t>
        </is>
      </c>
      <c r="C90" s="0" t="inlineStr">
        <is>
          <t xml:space="preserve">Publicada</t>
        </is>
      </c>
      <c r="D90" s="0" t="inlineStr">
        <is>
          <t xml:space="preserve">SERVICIO DE SALUD HOSPITAL DE SANTA CRUZ</t>
        </is>
      </c>
      <c r="E90" s="0" t="inlineStr">
        <is>
          <t xml:space="preserve">Hospital de Santa Cruz</t>
        </is>
      </c>
      <c r="F90" s="0" t="inlineStr">
        <is>
          <t xml:space="preserve">Región del Libertador General Bernardo O´Higgins</t>
        </is>
      </c>
      <c r="G90" s="0" t="inlineStr">
        <is>
          <t xml:space="preserve">Santa Cruz</t>
        </is>
      </c>
      <c r="H90" s="2">
        <v>46315.382361</v>
      </c>
      <c r="I90" s="2">
        <v>46328.645833</v>
      </c>
      <c r="J90" s="0">
        <v>11</v>
      </c>
      <c r="K90" s="3"/>
      <c r="L90" s="0" t="inlineStr">
        <is>
          <t xml:space="preserve">CLP</t>
        </is>
      </c>
      <c r="M90" s="0" t="inlineStr">
        <is>
          <t xml:space="preserve">LE</t>
        </is>
      </c>
      <c r="N90" s="4" t="inlineStr">
        <is>
          <t xml:space="preserve">Tecnologías de la información, telecomunicaciones y radiodifusión / Equipos informáticos y accesorios / Computadores</t>
        </is>
      </c>
      <c r="O90" s="4" t="inlineStr">
        <is>
          <t xml:space="preserve">36 Mes · Servidores de gama alta · 2000 Unidad · Servidores de gama alta</t>
        </is>
      </c>
      <c r="P90" s="2"/>
      <c r="Q90" s="2"/>
      <c r="R90" s="0" t="inlineStr">
        <is>
          <t xml:space="preserve">36 meses</t>
        </is>
      </c>
      <c r="S90" s="0" t="inlineStr">
        <is>
          <t xml:space="preserve">No</t>
        </is>
      </c>
      <c r="T90" s="4"/>
      <c r="U90" s="0" t="inlineStr">
        <is>
          <t xml:space="preserve">Nicolás Salgado Marín</t>
        </is>
      </c>
      <c r="V90" s="4" t="inlineStr">
        <is>
          <t xml:space="preserve">ARRIENDO DE TOTEMS AUTOADMINISTRADOS PARA HSC</t>
        </is>
      </c>
      <c r="W90" s="5" t="str">
        <f>HYPERLINK("https://www.mercadopublico.cl/Procurement/Modules/Attachment/ViewAttachment.aspx?enc=Amt0jd9AtHh%2fkKF9Mufra5ZCg2P8gCFi76Iob%2fNVzQTDRkVRAqtFWLZqINU5fhyedYdxU0CR0r4E0eCUHU141CdW8CpSnxo7cXDLPDJWBMAHtzm49qylmbtvQa1j%2fNMkyfYbG60tmcbFJumjezmUAblmjOefU%2ffEYb73xK0wlQwHR4MJymY1YaCXCnBY%2bR0lJLaSx0NGHcuIC9zy659cB8EzbhfSB1zGqq7apU8hlmr3fDJ7WENYj1k18%2bXx%2fJbvZWLhPZ6sns8%2fC6Gf90iqjicYI7QCwoRjYCmAgX4DKFLj4WyqKP4WVYU2ClLtdrBm","descargar bases")</f>
      </c>
    </row>
    <row r="91">
      <c r="A91" s="0" t="inlineStr">
        <is>
          <t xml:space="preserve">1461054-45-LP26</t>
        </is>
      </c>
      <c r="B91" s="4" t="inlineStr">
        <is>
          <t xml:space="preserve">PLATAFORMA DE GESTIÓN EDUCACIONAL PARA 77 E.E</t>
        </is>
      </c>
      <c r="C91" s="0" t="inlineStr">
        <is>
          <t xml:space="preserve">Publicada</t>
        </is>
      </c>
      <c r="D91" s="0" t="inlineStr">
        <is>
          <t xml:space="preserve">SERVICIO LOCAL DE EDUCACIÓN PÚBLICA DEL ELQUI</t>
        </is>
      </c>
      <c r="E91" s="0" t="inlineStr">
        <is>
          <t xml:space="preserve">P02 Establecimientos Educacionales</t>
        </is>
      </c>
      <c r="F91" s="0" t="inlineStr">
        <is>
          <t xml:space="preserve">Región de Coquimbo </t>
        </is>
      </c>
      <c r="G91" s="0" t="inlineStr">
        <is>
          <t xml:space="preserve">La Serena</t>
        </is>
      </c>
      <c r="H91" s="2">
        <v>46288.638889</v>
      </c>
      <c r="I91" s="2">
        <v>46328.645833</v>
      </c>
      <c r="J91" s="0">
        <v>11</v>
      </c>
      <c r="K91" s="3">
        <v>290234736.0</v>
      </c>
      <c r="L91" s="0" t="inlineStr">
        <is>
          <t xml:space="preserve">CLP</t>
        </is>
      </c>
      <c r="M91" s="0" t="inlineStr">
        <is>
          <t xml:space="preserve">LP</t>
        </is>
      </c>
      <c r="N91" s="4" t="inlineStr">
        <is>
          <t xml:space="preserve">Tecnologías de la información, telecomunicaciones y radiodifusión / Software / Software de consultas y gestión de datos</t>
        </is>
      </c>
      <c r="O91" s="4" t="inlineStr">
        <is>
          <t xml:space="preserve">1 Unidad · Software del sistema de administración de bases de datos</t>
        </is>
      </c>
      <c r="P91" s="2"/>
      <c r="Q91" s="2"/>
      <c r="R91" s="0" t="inlineStr">
        <is>
          <t xml:space="preserve">36 meses</t>
        </is>
      </c>
      <c r="S91" s="0" t="inlineStr">
        <is>
          <t xml:space="preserve">No</t>
        </is>
      </c>
      <c r="T91" s="4" t="inlineStr">
        <is>
          <t xml:space="preserve">No se permite la subcontratación para el presente proceso público, dado que, el servicio requerido será contratado de acuerdo a las condiciones más ventajosas que arroje la evaluación de los oferentes, entendiendo por estos, el conjunto de condiciones e</t>
        </is>
      </c>
      <c r="U91" s="0" t="inlineStr">
        <is>
          <t xml:space="preserve">Francisca Pérez García</t>
        </is>
      </c>
      <c r="V91" s="4" t="inlineStr">
        <is>
          <t xml:space="preserve">El Servicio Local de Educación Pública del Elqui (SLEP Elqui) requiere contratar la provisión, implementación, parametrización, puesta en marcha, operación, mantenimiento, actualización, soporte técnico y capacitación de una Plataforma de Gestión Educacional y Libro de Clases Digital, de carácter web y bajo modalidad Software as a Service (SaaS), destinada a los 77 establecimientos educacionales de su dependencia.</t>
        </is>
      </c>
      <c r="W91" s="5" t="str">
        <f>HYPERLINK("https://www.mercadopublico.cl/Procurement/Modules/Attachment/ViewAttachment.aspx?enc=NeJNKLin926AK1fL7S%2boyo5IJms1dk%2bMc%2fwwBx7qr6ukHk8VWC64KEyeAj4BByaz9e%2fDZ9lE7hGbKYKeYlkEMoZD6BNtx5PZkRZgohzWh%2bpcoeSe%2fUH5KeHwFUoMCqo%2bbJQa3KUBPcn06HvdiVP%2bB5dM%2feBBW5xEuWkixexcV%2b9WMyc7%2bQTG4s2JpWqR71iZbGQHGuFyyurcfj4R2zcj%2fFriqvXGHRopK%2bKgbKp%2bwonRg7tnp7uprqlUPrMX5rNdOL6C07b5OP294jhe0ZOis0uc65WY3ZDF7uvN%2fQ28ihnJNi5AipkahAlV739Cc447","descargar bases")</f>
      </c>
    </row>
    <row r="92">
      <c r="A92" s="0" t="inlineStr">
        <is>
          <t xml:space="preserve">1247197-81-LE26</t>
        </is>
      </c>
      <c r="B92" s="4" t="inlineStr">
        <is>
          <t xml:space="preserve">SOFTWARE PARA FARMACIAS COMUNALES RES. 556</t>
        </is>
      </c>
      <c r="C92" s="0" t="inlineStr">
        <is>
          <t xml:space="preserve">Publicada</t>
        </is>
      </c>
      <c r="D92" s="0" t="inlineStr">
        <is>
          <t xml:space="preserve">CORP MUNICIPAL DE CONCHALI DE EDUCACION SALUD Y ATENCION DE MENORES</t>
        </is>
      </c>
      <c r="E92" s="0" t="inlineStr">
        <is>
          <t xml:space="preserve">Planificación</t>
        </is>
      </c>
      <c r="F92" s="0" t="inlineStr">
        <is>
          <t xml:space="preserve">Región Metropolitana de Santiago</t>
        </is>
      </c>
      <c r="G92" s="0" t="inlineStr">
        <is>
          <t xml:space="preserve">Conchalí</t>
        </is>
      </c>
      <c r="H92" s="2">
        <v>46317.403877</v>
      </c>
      <c r="I92" s="2">
        <v>46328.646528</v>
      </c>
      <c r="J92" s="0">
        <v>11</v>
      </c>
      <c r="K92" s="3">
        <v>11352600.0</v>
      </c>
      <c r="L92" s="0" t="inlineStr">
        <is>
          <t xml:space="preserve">CLP</t>
        </is>
      </c>
      <c r="M92" s="0" t="inlineStr">
        <is>
          <t xml:space="preserve">LE</t>
        </is>
      </c>
      <c r="N92" s="4" t="inlineStr">
        <is>
          <t xml:space="preserve">Tecnologías de la información, telecomunicaciones y radiodifusión / Software / Software de administración de redes</t>
        </is>
      </c>
      <c r="O92" s="4" t="inlineStr">
        <is>
          <t xml:space="preserve">1 Unidad · Software de administración</t>
        </is>
      </c>
      <c r="P92" s="2"/>
      <c r="Q92" s="2"/>
      <c r="R92" s="0" t="inlineStr">
        <is>
          <t xml:space="preserve">24 meses</t>
        </is>
      </c>
      <c r="S92" s="0" t="inlineStr">
        <is>
          <t xml:space="preserve">No</t>
        </is>
      </c>
      <c r="T92" s="4" t="inlineStr">
        <is>
          <t xml:space="preserve">El proveedor no podrá ceder ni transferir, total ni parcialmente, los derechos y obligaciones del contrato, sin perjuicio de la transferencia de créditos conforme a las reglas generales art. 14 de la ley N°19.886; art. 126 del Reglamento.</t>
        </is>
      </c>
      <c r="U92" s="0" t="inlineStr">
        <is>
          <t xml:space="preserve">Alisson Montecinos</t>
        </is>
      </c>
      <c r="V92" s="4" t="inlineStr">
        <is>
          <t xml:space="preserve">La Corporación de Educación, Salud y Atención de Menores de la Comuna de Conchalí CORESAM llama a licitación pública para contratar el servicio de un software de gestión farmacéutica para las dos Farmacias Comunales de Conchalí, en modalidad de servicio suscripción. El servicio incluye la implementación, la migración de los datos del sistema actual, la capacitación, el alojamiento externo de los datos, el soporte, las actualizaciones y la entrega íntegra de los datos al término del contrato.
El software debe permitir la gestión y el control de pacientes, dispensación y venta, compras, inventario por lote y vencimiento, caja, fraccionamiento y reportes, conforme a los requisitos mínimos de las Bases Técnicas. La CORESAM no adquiere la propiedad del software; los datos que se registren son de su exclusiva propiedad.
El servicio es requerido por la Dirección de Salud de la CORESAM para asegurar la trazabilidad de los medicamentos, el control de stock y de caja y el registro de las dispensaciones de las Farmacias Comunales. 
La licitación se adjudicará en forma total a un solo oferente.</t>
        </is>
      </c>
      <c r="W92" s="5" t="str">
        <f>HYPERLINK("https://www.mercadopublico.cl/Procurement/Modules/Attachment/ViewAttachment.aspx?enc=lQHFNqYpkJbMwuIW2Wp8CJTwW0nVs8KBDS15UTen3ezYlaGrhNRl0h%2bN68cSb91eMlLB4PRIHJfrQUwPaBk5ta%2fArD%2fHdVdowGRAExoOfQrRc6XsLWpMY0PX1%2fQIYkJ9QMltZmUjGZMwP8pRSlyeLNpBT6TzOPBAV9%2bQ2KcoZH2MSTA2s%2bUFUVLkQRxkhNje3xrnsBvSwIeJFioGoC2lWhT2kzPnMe6GLEHtX0WF16dhsB1lbKAAAMcLE7viaqVg5yMXyyACd8tqa8eMjvr6G%2bR8uzKgiIHvfUdpWYwX6kwhpy4iikFN5cXNK8nO3Pn5","descargar bases")</f>
      </c>
    </row>
    <row r="93">
      <c r="A93" s="0" t="inlineStr">
        <is>
          <t xml:space="preserve">519302-9-LE26</t>
        </is>
      </c>
      <c r="B93" s="4" t="inlineStr">
        <is>
          <t xml:space="preserve">DISEÑO IMPLEMENTACIÓN MEDICION MARKETING DIGITAL</t>
        </is>
      </c>
      <c r="C93" s="0" t="inlineStr">
        <is>
          <t xml:space="preserve">Publicada</t>
        </is>
      </c>
      <c r="D93" s="0" t="inlineStr">
        <is>
          <t xml:space="preserve">INSTITUTO NACIONAL DE PROPIEDAD INDUSTRIAL</t>
        </is>
      </c>
      <c r="E93" s="0" t="inlineStr">
        <is>
          <t xml:space="preserve">Servicios Generales</t>
        </is>
      </c>
      <c r="F93" s="0" t="inlineStr">
        <is>
          <t xml:space="preserve">Región Metropolitana de Santiago</t>
        </is>
      </c>
      <c r="G93" s="0" t="inlineStr">
        <is>
          <t xml:space="preserve">Santiago</t>
        </is>
      </c>
      <c r="H93" s="2">
        <v>46304.665139</v>
      </c>
      <c r="I93" s="2">
        <v>46328.666667</v>
      </c>
      <c r="J93" s="0">
        <v>11</v>
      </c>
      <c r="K93" s="3"/>
      <c r="L93" s="0" t="inlineStr">
        <is>
          <t xml:space="preserve">CLP</t>
        </is>
      </c>
      <c r="M93" s="0" t="inlineStr">
        <is>
          <t xml:space="preserve">LE</t>
        </is>
      </c>
      <c r="N93" s="4" t="inlineStr">
        <is>
          <t xml:space="preserve">Servicios profesionales, administrativos y consultorías de gestión empresarial / Servicios para la comercialización y distribución / Ventas y marketing</t>
        </is>
      </c>
      <c r="O93" s="4" t="inlineStr">
        <is>
          <t xml:space="preserve">1 Unidad · Campañas publicitarias o de marketing</t>
        </is>
      </c>
      <c r="P93" s="2"/>
      <c r="Q93" s="2"/>
      <c r="R93" s="0" t="inlineStr">
        <is>
          <t xml:space="preserve">3 meses</t>
        </is>
      </c>
      <c r="S93" s="0" t="inlineStr">
        <is>
          <t xml:space="preserve">No</t>
        </is>
      </c>
      <c r="T93" s="4"/>
      <c r="U93" s="0" t="inlineStr">
        <is>
          <t xml:space="preserve">Francisco Carrasco Ramírez</t>
        </is>
      </c>
      <c r="V93" s="4" t="inlineStr">
        <is>
          <t xml:space="preserve">El Instituto Nacional de Propiedad Industrial, requiere contratar el “DISEÑO, PLANIFICACIÓN, IMPLEMENTACIÓN, ADMINISTRACIÓN, OPTIMIZACIÓN Y MEDICIÓN DE CAMPAÑAS DE MARKETING DIGITAL PARA LA DIFUSIÓN DE ACTIVIDADES, CONTENIDOS Y HERRAMIENTAS ONLINE”.</t>
        </is>
      </c>
      <c r="W93" s="5" t="str">
        <f>HYPERLINK("https://www.mercadopublico.cl/Procurement/Modules/Attachment/ViewAttachment.aspx?enc=AfhJqT0jBoyf507psomZYjcyoupNNcUwHb%2bnqfjFyNN%2bmEciIb9d1APQ1Q5UdWZvDL9BQ4%2bmHoQ2mZ6VDbS%2bjZnlXeNzMvk7DkCYpnXqkXOc%2fwQuTfHqeB2rTeOmM8emIs4%2bAQ7GNaRdyz4Z0QiPs%2bQLlAGOTp2YwBi0zZ6aqNm2b6w5XcKFvwLM%2f%2bYUslA8WGCAUz8WAAxA4Pj5wh2B66s5gTzsEH3WdOj9KXlFH25t5MJDcgQj4vv5HN4E0uYuGSkzR3fzwzoFcs%2fmYUk9dg%2fMVxtg9mzb3kEIkvyG4Qbnymx5qyI10yI4aJAv65qz","descargar bases")</f>
      </c>
    </row>
    <row r="94">
      <c r="A94" s="0" t="inlineStr">
        <is>
          <t xml:space="preserve">621-909-LR26</t>
        </is>
      </c>
      <c r="B94" s="4" t="inlineStr">
        <is>
          <t xml:space="preserve">TERMOGRAFO DIGITAL MONITOREO TEMPERATURA 1000023277</t>
        </is>
      </c>
      <c r="C94" s="0" t="inlineStr">
        <is>
          <t xml:space="preserve">Publicada</t>
        </is>
      </c>
      <c r="D94" s="0" t="inlineStr">
        <is>
          <t xml:space="preserve">CENTRAL DE ABASTECIMIENTO DEL SISTEMA NACIONAL DE SERVICIO DE SALUD</t>
        </is>
      </c>
      <c r="E94" s="0" t="inlineStr">
        <is>
          <t xml:space="preserve">Compras del Giro 621</t>
        </is>
      </c>
      <c r="F94" s="0" t="inlineStr">
        <is>
          <t xml:space="preserve">Región Metropolitana de Santiago</t>
        </is>
      </c>
      <c r="G94" s="0" t="inlineStr">
        <is>
          <t xml:space="preserve">Santiago Centro</t>
        </is>
      </c>
      <c r="H94" s="2">
        <v>46297.536181</v>
      </c>
      <c r="I94" s="2">
        <v>46328.666667</v>
      </c>
      <c r="J94" s="0">
        <v>11</v>
      </c>
      <c r="K94" s="3">
        <v>533715000.0</v>
      </c>
      <c r="L94" s="0" t="inlineStr">
        <is>
          <t xml:space="preserve">CLP</t>
        </is>
      </c>
      <c r="M94" s="0" t="inlineStr">
        <is>
          <t xml:space="preserve">LR</t>
        </is>
      </c>
      <c r="N94" s="4" t="inlineStr">
        <is>
          <t xml:space="preserve">Equipamiento para laboratorios / Instrumentos de medida y experimentación / Instrumentos para medir temperatura y calor</t>
        </is>
      </c>
      <c r="O94" s="4" t="inlineStr">
        <is>
          <t xml:space="preserve">3000 Unidad · Termómetros de tele indicación</t>
        </is>
      </c>
      <c r="P94" s="2"/>
      <c r="Q94" s="2"/>
      <c r="R94" s="0" t="inlineStr">
        <is>
          <t xml:space="preserve">14 meses</t>
        </is>
      </c>
      <c r="S94" s="0" t="inlineStr">
        <is>
          <t xml:space="preserve">No</t>
        </is>
      </c>
      <c r="T94" s="4"/>
      <c r="U94" s="0" t="inlineStr">
        <is>
          <t xml:space="preserve">Gisela Teresa Castro Gomez</t>
        </is>
      </c>
      <c r="V94" s="4" t="inlineStr">
        <is>
          <t xml:space="preserve">BASES ADMINISTRATIVAS Y TÉCNICAS TIPO, POR LAS QUE SE REGIRÁN LOS PROCESOS DE LICITACIÓN PARA LA ADQUISICIÓN DE PRODUCTOS FARMACÉUTICOS, COSMÉTICOS, VACUNAS, INSUMOS, DISPOSITIVOS, Y/O ALIMENTOS DE USO MÉDICO, DESTINADO AL EJERCICIO DE ACCIONES DE SALUD</t>
        </is>
      </c>
      <c r="W94" s="5" t="str">
        <f>HYPERLINK("https://www.mercadopublico.cl/Procurement/Modules/Attachment/ViewAttachment.aspx?enc=X98YHNm48zDPlGmDFyPfneooujTODQDGh%2flv%2f%2fWG8t9VnI0PUnvUid5tQcmhfpUw48Dx9%2fLjD7P78tnfn2c4VGgkDo8VHOiIZwl3aKA44bGJ5h78%2fIBDvXQ%2fVr5eanzF1ODY38TQz1ophoe20U3Sz%2bQ4Bh8LR9LS3DwZPPjHYmHdL4x%2fzu8PYhhsqHLTWOZTSq%2f0Qx3XJNebWmmg%2fchUkGjsXft4KRvmS5RcD%2ffH2AD4VQy0iowcTzchIpJNMTDAWzW4%2fV%2fflb2gaudGnm%2bGxKUX71RTyywWzbbzfgN3zLIsdykkAH%2bC6sYj%2fu0NoSzu","descargar bases")</f>
      </c>
    </row>
    <row r="95">
      <c r="A95" s="0" t="inlineStr">
        <is>
          <t xml:space="preserve">1389183-69-LE26</t>
        </is>
      </c>
      <c r="B95" s="4" t="inlineStr">
        <is>
          <t xml:space="preserve">EQUIPOS INFORMATICOS PARA LICEOS TP</t>
        </is>
      </c>
      <c r="C95" s="0" t="inlineStr">
        <is>
          <t xml:space="preserve">Publicada</t>
        </is>
      </c>
      <c r="D95" s="0" t="inlineStr">
        <is>
          <t xml:space="preserve">SERVICIO LOCAL DE EDUCACIÓN PÚBLICA DE ANDALIÉN COSTA</t>
        </is>
      </c>
      <c r="E95" s="0" t="inlineStr">
        <is>
          <t xml:space="preserve">SERVICIO EDUCATIVO ANDALIEN COSTA</t>
        </is>
      </c>
      <c r="F95" s="0" t="inlineStr">
        <is>
          <t xml:space="preserve">Región del Biobío </t>
        </is>
      </c>
      <c r="G95" s="0" t="inlineStr">
        <is>
          <t xml:space="preserve">Coronel</t>
        </is>
      </c>
      <c r="H95" s="2">
        <v>46316.435405</v>
      </c>
      <c r="I95" s="2">
        <v>46328.708333</v>
      </c>
      <c r="J95" s="0">
        <v>11</v>
      </c>
      <c r="K95" s="3">
        <v>38589789.0</v>
      </c>
      <c r="L95" s="0" t="inlineStr">
        <is>
          <t xml:space="preserve">CLP</t>
        </is>
      </c>
      <c r="M95" s="0" t="inlineStr">
        <is>
          <t xml:space="preserve">LE</t>
        </is>
      </c>
      <c r="N95" s="4" t="inlineStr">
        <is>
          <t xml:space="preserve">Tecnologías de la información, telecomunicaciones y radiodifusión / Equipos informáticos y accesorios / Computadores</t>
        </is>
      </c>
      <c r="O95" s="4" t="inlineStr">
        <is>
          <t xml:space="preserve">1 Unidad · Notebook, laptop o computador portátil excepto Tablet PC · 1 Unidad · Notebook, laptop o computador portátil excepto Tablet PC · 1 Unidad · Notebook, laptop o computador portátil excepto Tablet PC · y 2 más</t>
        </is>
      </c>
      <c r="P95" s="2"/>
      <c r="Q95" s="2"/>
      <c r="R95" s="0"/>
      <c r="S95" s="0" t="inlineStr">
        <is>
          <t xml:space="preserve">No</t>
        </is>
      </c>
      <c r="T95" s="4"/>
      <c r="U95" s="0" t="inlineStr">
        <is>
          <t xml:space="preserve">Ingrid Cortes</t>
        </is>
      </c>
      <c r="V95" s="4" t="inlineStr">
        <is>
          <t xml:space="preserve">EQUIPOS INFORMATICOS PARA LICEOS TP</t>
        </is>
      </c>
      <c r="W95" s="5" t="str">
        <f>HYPERLINK("https://www.mercadopublico.cl/Procurement/Modules/Attachment/ViewAttachment.aspx?enc=D9euBDSEjXQzkmhGtQWZEOZ%2bQkpdVEVYT%2fKN6vPIIFSWou1yoJdxEHUHgFFxbi3JMenKW10vMPP9lyfWqN%2f0VmFvCT8DolRYP%2fmxeaq%2bYwrXxW%2f31CRxU7G6UOG5wZYuZhHh3pJ8%2bzEQirQ3lasJ6FenxjT9%2b%2b7poWS%2fyOE0O%2f9gI04OFNWmS%2fQfdRpkMyVQayJWsXkc7PUELBtyOehyxMbZvSrfl8EQ59723F2h6Dkw7mig%2bV2pZiQ%2f%2bdLobXRe4KoySQ7J6q9s4G4WKs2XGSWDMlKcm76IAWVSL502RwUTqCyGfEBVdDcr%2b1HvKClW","descargar bases")</f>
      </c>
    </row>
    <row r="96">
      <c r="A96" s="0" t="inlineStr">
        <is>
          <t xml:space="preserve">2426-52-LR26</t>
        </is>
      </c>
      <c r="B96" s="4" t="inlineStr">
        <is>
          <t xml:space="preserve">DATACENTER ENLACES DE DATOS TELEFONIA E INTERNET</t>
        </is>
      </c>
      <c r="C96" s="0" t="inlineStr">
        <is>
          <t xml:space="preserve">Publicada</t>
        </is>
      </c>
      <c r="D96" s="0" t="inlineStr">
        <is>
          <t xml:space="preserve">I MUNICIPALIDAD DE VALPARAISO</t>
        </is>
      </c>
      <c r="E96" s="0" t="inlineStr">
        <is>
          <t xml:space="preserve">ADQUISICIONES MAYORES</t>
        </is>
      </c>
      <c r="F96" s="0" t="inlineStr">
        <is>
          <t xml:space="preserve">Región de Valparaíso </t>
        </is>
      </c>
      <c r="G96" s="0" t="inlineStr">
        <is>
          <t xml:space="preserve">Valparaíso</t>
        </is>
      </c>
      <c r="H96" s="2">
        <v>46297.658079</v>
      </c>
      <c r="I96" s="2">
        <v>46328.708333</v>
      </c>
      <c r="J96" s="0">
        <v>11</v>
      </c>
      <c r="K96" s="3">
        <v>40719.0</v>
      </c>
      <c r="L96" s="0" t="inlineStr">
        <is>
          <t xml:space="preserve">CLF</t>
        </is>
      </c>
      <c r="M96" s="0" t="inlineStr">
        <is>
          <t xml:space="preserve">LR</t>
        </is>
      </c>
      <c r="N96" s="4" t="inlineStr">
        <is>
          <t xml:space="preserve">Servicios basados en ingeniería, ciencias sociales y tecnología de la información / Servicios informáticos / Servicios de datos</t>
        </is>
      </c>
      <c r="O96" s="4" t="inlineStr">
        <is>
          <t xml:space="preserve">1 Unidad · Centro de servicios de datos</t>
        </is>
      </c>
      <c r="P96" s="2"/>
      <c r="Q96" s="2"/>
      <c r="R96" s="0" t="inlineStr">
        <is>
          <t xml:space="preserve">48 meses</t>
        </is>
      </c>
      <c r="S96" s="0" t="inlineStr">
        <is>
          <t xml:space="preserve">No</t>
        </is>
      </c>
      <c r="T96" s="4"/>
      <c r="U96" s="0" t="inlineStr">
        <is>
          <t xml:space="preserve">Juan Carlos Tempine</t>
        </is>
      </c>
      <c r="V96" s="4" t="inlineStr">
        <is>
          <t xml:space="preserve">SERVICIOS DE DATA CENTER, ENLACES DE DATOS, TELEFONÍA E INTERNET PARA LA MUNICIPALIDAD DE VALPARAÍSO</t>
        </is>
      </c>
      <c r="W96" s="5" t="str">
        <f>HYPERLINK("https://www.mercadopublico.cl/Procurement/Modules/Attachment/ViewAttachment.aspx?enc=mlHqyMkbTEZVetXRudSUGcqPQtAi%2bHsoyV9TmtAoEVS6Mjq7KXpRcFOktnMcnjFewZPkxw6CKh22hrMYVpoLOcsOupOKBYnW5rPTU9fWX%2fyUBCBujzPd5yZidxZfJfvxRKUjXdb3rtcmPBga32Bd8LaQ03rdJQFrGysYEiQozSIaSfHsV72O5FxYDeHv4AeoSQt9gWbVsCNvmL63%2bB9KV4KXz1TOzucPZ8K2pawgORUkEIVqBhhT4Q%2fxOdVkFa8impDmEY1Y9RlMdCy%2b3YAGswz2q2vMlaQp4ET9%2f6fo8nyBkfKqXvoQuJ2km9UDUXsP","descargar bases")</f>
      </c>
    </row>
    <row r="97">
      <c r="A97" s="0" t="inlineStr">
        <is>
          <t xml:space="preserve">5416-43-L126</t>
        </is>
      </c>
      <c r="B97" s="4" t="inlineStr">
        <is>
          <t xml:space="preserve">Sistema Integral de Automatización Climática para Invernadero de Investigación</t>
        </is>
      </c>
      <c r="C97" s="0" t="inlineStr">
        <is>
          <t xml:space="preserve">Publicada</t>
        </is>
      </c>
      <c r="D97" s="0" t="inlineStr">
        <is>
          <t xml:space="preserve">UNIVERSIDAD DE LA SERENA</t>
        </is>
      </c>
      <c r="E97" s="0" t="inlineStr">
        <is>
          <t xml:space="preserve">DEPARTAMENTO DE ABASTECIMIENTO</t>
        </is>
      </c>
      <c r="F97" s="0" t="inlineStr">
        <is>
          <t xml:space="preserve">Región de Coquimbo </t>
        </is>
      </c>
      <c r="G97" s="0" t="inlineStr">
        <is>
          <t xml:space="preserve">La Serena</t>
        </is>
      </c>
      <c r="H97" s="2">
        <v>46315.450671</v>
      </c>
      <c r="I97" s="2">
        <v>46328.75</v>
      </c>
      <c r="J97" s="0">
        <v>11</v>
      </c>
      <c r="K97" s="3">
        <v>3000000.0</v>
      </c>
      <c r="L97" s="0" t="inlineStr">
        <is>
          <t xml:space="preserve">CLP</t>
        </is>
      </c>
      <c r="M97" s="0" t="inlineStr">
        <is>
          <t xml:space="preserve">L1</t>
        </is>
      </c>
      <c r="N97" s="4" t="inlineStr">
        <is>
          <t xml:space="preserve">Servicios de construcción y mantenimiento / Servicios de atención, mantenimiento y reparaciones de edificios / Gasfitería, calefacción y aire acondicionado</t>
        </is>
      </c>
      <c r="O97" s="4" t="inlineStr">
        <is>
          <t xml:space="preserve">1 Unidad · Servicios de reparación, mantenimiento o reparación de aire acondicionado</t>
        </is>
      </c>
      <c r="P97" s="2"/>
      <c r="Q97" s="2"/>
      <c r="R97" s="0"/>
      <c r="S97" s="0" t="inlineStr">
        <is>
          <t xml:space="preserve">No</t>
        </is>
      </c>
      <c r="T97" s="4"/>
      <c r="U97" s="0"/>
      <c r="V97" s="4" t="inlineStr">
        <is>
          <t xml:space="preserve">Se requiere Sistema Integral de Automatización Climática para Invernadero de Investigación para el Departamento de Agronomía. SC 51431.</t>
        </is>
      </c>
      <c r="W97" s="5" t="str">
        <f>HYPERLINK("https://www.mercadopublico.cl/Procurement/Modules/Attachment/ViewAttachment.aspx?enc=WXeNFGIMAVhWQSGbNdAT4qELIXxJ0cAvNti9eO%2fHJ9d49sktseGBoxgxtprwaMpLBhq2zJFI495N7UtmY2OCaBtv8xAOndE%2bTM906XkwhUeYUBoLTh6ukhbUQ1Uf2XmShtCSjn0zJO%2fl8aM4iYInNGLfo6hgJTpXqWL8rRVnoJVK4zIVrGBn6%2b8MPDu8%2bxgTwxGNIEpmvU%2fha6ZzBTo33Y9XAzuOPzfqOg7ZnUolcAUxUYgZ3h%2bIjdYBuFII9eCPHedAfsCG03YcTiy2HWHg4cZXoCevTOH3PhWf%2fy7WW1HtVHqaXRpgmcKnMZj1iUS8","descargar bases")</f>
      </c>
    </row>
    <row r="98">
      <c r="A98" s="0" t="inlineStr">
        <is>
          <t xml:space="preserve">1020-38-LP26</t>
        </is>
      </c>
      <c r="B98" s="4" t="inlineStr">
        <is>
          <t xml:space="preserve">Adquisición de Plataforma Next Generation Firewall</t>
        </is>
      </c>
      <c r="C98" s="0" t="inlineStr">
        <is>
          <t xml:space="preserve">Publicada</t>
        </is>
      </c>
      <c r="D98" s="0" t="inlineStr">
        <is>
          <t xml:space="preserve">MINISTERIO DE OBRAS PUBLICAS DIREC CION GRAL DE OO PP DCYF</t>
        </is>
      </c>
      <c r="E98" s="0" t="inlineStr">
        <is>
          <t xml:space="preserve">MOP Subsecretaría </t>
        </is>
      </c>
      <c r="F98" s="0" t="inlineStr">
        <is>
          <t xml:space="preserve">Región Metropolitana de Santiago</t>
        </is>
      </c>
      <c r="G98" s="0"/>
      <c r="H98" s="2">
        <v>46252.442361</v>
      </c>
      <c r="I98" s="2">
        <v>46329.625</v>
      </c>
      <c r="J98" s="0">
        <v>12</v>
      </c>
      <c r="K98" s="3">
        <v>240000000.0</v>
      </c>
      <c r="L98" s="0" t="inlineStr">
        <is>
          <t xml:space="preserve">CLP</t>
        </is>
      </c>
      <c r="M98" s="0" t="inlineStr">
        <is>
          <t xml:space="preserve">LP</t>
        </is>
      </c>
      <c r="N98" s="4" t="inlineStr">
        <is>
          <t xml:space="preserve">Tecnologías de la información, telecomunicaciones y radiodifusión / Equipos, plataformas y accesorios de redes multimedia, voz y datos / Equipos de seguridad de red, Tecnologías de la información, telecomunicaciones y radiodifusión / Software / Software de administración de redes</t>
        </is>
      </c>
      <c r="O98" s="4" t="inlineStr">
        <is>
          <t xml:space="preserve">2 Unidad · Equipo de seguridad de red de firewall · 1 Unidad · Software de vigilancia de redes</t>
        </is>
      </c>
      <c r="P98" s="2"/>
      <c r="Q98" s="2"/>
      <c r="R98" s="0" t="inlineStr">
        <is>
          <t xml:space="preserve">16 meses</t>
        </is>
      </c>
      <c r="S98" s="0" t="inlineStr">
        <is>
          <t xml:space="preserve">No</t>
        </is>
      </c>
      <c r="T98" s="4" t="inlineStr">
        <is>
          <t xml:space="preserve">Conforme al punto 10.5 de las Bases Administrativas, el oferente adjudicado no podrá subcontratar los servicios derivados de la ejecución del Contrato</t>
        </is>
      </c>
      <c r="U98" s="0" t="inlineStr">
        <is>
          <t xml:space="preserve">Francisco Borques</t>
        </is>
      </c>
      <c r="V98" s="4" t="inlineStr">
        <is>
          <t xml:space="preserve">Se requiere adquirir una solución consistente en dos 2 Firewall de Seguridad en alta disponibilidad, con la capacidad de crear instancias virtuales de NGFW, que deben proveer funcionalidades de IPS, filtrado de URL, control de identidad, control de QoS, protección de malware y seguridad DNS. Lo anterior administrado a través de una sola consola, además de incluir soporte 7X24 por 1 año de misión critica. Esta solución debe incluir el proceso de migración de firewall de datacenter.</t>
        </is>
      </c>
      <c r="W98" s="5" t="str">
        <f>HYPERLINK("https://www.mercadopublico.cl/Procurement/Modules/Attachment/ViewAttachment.aspx?enc=9fsQWplflNH3cQQ7mA6L5Edk9%2fVWu5MnipPTlA2ba5xur3Nw3uLD7vVfLtF9jmUgFAof%2bBOx3iYm1JREj7AHgghWWtDXnneWaa7yF%2beaSS8l7Vn4cgkrp5UQqZB7tB0NxuZU2YxxMSIsmk3T3LKqESHZVpFdnw%2fVGr2c5T3SCC0sunMueS5qXdW%2bGd31r1Va7NzLrAq1NrJzSUn7HKp46zSTI2tKBdDGyHjMN38xWHK8YHGOJtDTHtAp8KdehDf2eRlsbKiH3grYUY1GLZLjRg%2bYP4WxR2KseQQgS8ttG2e7qY%2boGsp3OHLi9CvyVpBV","descargar bases")</f>
      </c>
    </row>
    <row r="99">
      <c r="A99" s="0" t="inlineStr">
        <is>
          <t xml:space="preserve">2770-154-LP26</t>
        </is>
      </c>
      <c r="B99" s="4" t="inlineStr">
        <is>
          <t xml:space="preserve">SERVICIOS DE TELEFONÍA Y DATOS MÓVILES</t>
        </is>
      </c>
      <c r="C99" s="0" t="inlineStr">
        <is>
          <t xml:space="preserve">Publicada</t>
        </is>
      </c>
      <c r="D99" s="0" t="inlineStr">
        <is>
          <t xml:space="preserve">I MUNICIPALIDAD DE MAIPU</t>
        </is>
      </c>
      <c r="E99" s="0" t="inlineStr">
        <is>
          <t xml:space="preserve">I MUNICIPALIDAD DE MAIPU</t>
        </is>
      </c>
      <c r="F99" s="0" t="inlineStr">
        <is>
          <t xml:space="preserve">Región Metropolitana de Santiago</t>
        </is>
      </c>
      <c r="G99" s="0" t="inlineStr">
        <is>
          <t xml:space="preserve">Maipú</t>
        </is>
      </c>
      <c r="H99" s="2">
        <v>46308.486238</v>
      </c>
      <c r="I99" s="2">
        <v>46329.625</v>
      </c>
      <c r="J99" s="0">
        <v>12</v>
      </c>
      <c r="K99" s="3">
        <v>193200000.0</v>
      </c>
      <c r="L99" s="0" t="inlineStr">
        <is>
          <t xml:space="preserve">CLP</t>
        </is>
      </c>
      <c r="M99" s="0" t="inlineStr">
        <is>
          <t xml:space="preserve">LP</t>
        </is>
      </c>
      <c r="N99" s="4" t="inlineStr">
        <is>
          <t xml:space="preserve">Servicios básicos y de información pública / Telecomunicaciones / Comunicaciones móviles</t>
        </is>
      </c>
      <c r="O99" s="4" t="inlineStr">
        <is>
          <t xml:space="preserve">1 Global · Servicios de telefonía móvil</t>
        </is>
      </c>
      <c r="P99" s="2"/>
      <c r="Q99" s="2"/>
      <c r="R99" s="0" t="inlineStr">
        <is>
          <t xml:space="preserve">24 meses</t>
        </is>
      </c>
      <c r="S99" s="0" t="inlineStr">
        <is>
          <t xml:space="preserve">No</t>
        </is>
      </c>
      <c r="T99" s="4"/>
      <c r="U99" s="0" t="inlineStr">
        <is>
          <t xml:space="preserve">Teresa Olave Quinteros</t>
        </is>
      </c>
      <c r="V99" s="4" t="inlineStr">
        <is>
          <t xml:space="preserve">La presente licitación tiene por finalidad contratar el servicio de Telefonía y Datos Móviles, con el objetivo principal de mejorar la gestión institucional y uso de los recursos por medio de mejoras en los servicios actuales.
Para dar cumplimiento a lo anterior, el contratista, según lo dispuesto en el numeral 3.2. de las Bases Técnicas, deberá entregar en comodato 610 equipos de telefonía móvil, con sus respectivos accesorios, 95 dispositivos de conectividad móvil, y 55 SIM/eSIM para equipos municipales.
Todo lo anterior en virtud de lo dispuesto en las presentes Bases Administrativas, las Bases Técnicas y todos sus anexos.</t>
        </is>
      </c>
      <c r="W99" s="5" t="str">
        <f>HYPERLINK("https://www.mercadopublico.cl/Procurement/Modules/Attachment/ViewAttachment.aspx?enc=5CI8YrHhinC1o2N9%2fcvSswLY1jfGeeZKZvRF0jmury0VwAoD%2ba7yBl%2bHHXvs%2fkolrNrZ6K7Idon%2fw3GMfwk6ySYbT%2bxxQp9DT9WK5FSC%2bAz1NX2XxXdr9gkDuzBaccKKmdYmiuljL6W%2b4qiE2fCboaKIdCl4XBk0vBvOwe2OW7P1%2bMouSDzHcsRvZGoKUttag5%2fMmR%2f58FgGwkYy%2b2aWp0Mwlp19XfmyjUzifApoBoIfuYsrHEcZ3cVqi3KESrTr%2b72qkaoYAlZQqaucc9j%2bLjGdsTFV29WW%2bSbXqnr8v%2bgjPap3zlxKx5%2fPh79ttKVx","descargar bases")</f>
      </c>
    </row>
    <row r="100">
      <c r="A100" s="0" t="inlineStr">
        <is>
          <t xml:space="preserve">2735-149-LR26</t>
        </is>
      </c>
      <c r="B100" s="4" t="inlineStr">
        <is>
          <t xml:space="preserve">Servicio de Software de Gestión y Registro Clinico</t>
        </is>
      </c>
      <c r="C100" s="0" t="inlineStr">
        <is>
          <t xml:space="preserve">Publicada</t>
        </is>
      </c>
      <c r="D100" s="0" t="inlineStr">
        <is>
          <t xml:space="preserve">I MUNICIPALIDAD LO BARNECHEA</t>
        </is>
      </c>
      <c r="E100" s="0" t="inlineStr">
        <is>
          <t xml:space="preserve">Municipalidad de lo Barnechea - Adquisiciones - Consistorial</t>
        </is>
      </c>
      <c r="F100" s="0" t="inlineStr">
        <is>
          <t xml:space="preserve">Región Metropolitana de Santiago</t>
        </is>
      </c>
      <c r="G100" s="0" t="inlineStr">
        <is>
          <t xml:space="preserve">Lo Barnechea</t>
        </is>
      </c>
      <c r="H100" s="2">
        <v>46296.502778</v>
      </c>
      <c r="I100" s="2">
        <v>46329.645833</v>
      </c>
      <c r="J100" s="0">
        <v>12</v>
      </c>
      <c r="K100" s="3"/>
      <c r="L100" s="0" t="inlineStr">
        <is>
          <t xml:space="preserve">CLF</t>
        </is>
      </c>
      <c r="M100" s="0" t="inlineStr">
        <is>
          <t xml:space="preserve">LR</t>
        </is>
      </c>
      <c r="N100" s="4" t="inlineStr">
        <is>
          <t xml:space="preserve">Tecnologías de la información, telecomunicaciones y radiodifusión / Software / Software específico para la industria</t>
        </is>
      </c>
      <c r="O100" s="4" t="inlineStr">
        <is>
          <t xml:space="preserve">1 Unidad · Software médico</t>
        </is>
      </c>
      <c r="P100" s="2"/>
      <c r="Q100" s="2"/>
      <c r="R100" s="0" t="inlineStr">
        <is>
          <t xml:space="preserve">63 meses</t>
        </is>
      </c>
      <c r="S100" s="0" t="inlineStr">
        <is>
          <t xml:space="preserve">No</t>
        </is>
      </c>
      <c r="T100" s="4" t="inlineStr">
        <is>
          <t xml:space="preserve">Conforme a lo establecido en el numeral 16.6 de las bases administrativas</t>
        </is>
      </c>
      <c r="U100" s="0" t="inlineStr">
        <is>
          <t xml:space="preserve">Angelica Parra</t>
        </is>
      </c>
      <c r="V100" s="4" t="inlineStr">
        <is>
          <t xml:space="preserve">El objeto principal del servicio es proveer una plataforma tecnológica integral 100% web que dé estricto cumplimiento a lo dispuesto en la Ley N° 20.584 sobre Derechos y Deberes del Paciente, a la Ley N° 21.668 en materia de obligatoriedad e interoperabilidad de las fichas clínicas, y a la Ley N° 19.628 sobre protección de la vida privada, permitiendo mantener un registro clínico electrónico unificado, consistente, seguro y custodiado por la Dirección de Salud</t>
        </is>
      </c>
      <c r="W100" s="5" t="str">
        <f>HYPERLINK("https://www.mercadopublico.cl/Procurement/Modules/Attachment/ViewAttachment.aspx?enc=23mgPlMHFAsrNn0yC%2fRFtuWiCRu9dHMxS9MRjbb0k3lm4A4yH0Gvc31JiXOSHDNHWRPajVWaBcqNWp3f3v3MkVJBS%2bj5WbK%2fkKwaY%2fw6plJNbH%2fLj6l9BopJJBHnj6xdVFbgEJ%2f56u5%2fEzo4eP6I4CYt5WrHQKeMI7QX7Q1hxfgkNwrtzq5A8gb3vhASyJ9dIa0ZdEUXGgxcJz3wcedyu%2bMRrefLSQFR8MjEw05fT3aJ4aJsqiPBhzd68LaV8DJcyeYd5hSeR4cE4ZUrVwFankKAx0yj7xbf7bvcdhU2UIlDW7sGkmUbeVlJWIK8QJXf","descargar bases")</f>
      </c>
    </row>
    <row r="101">
      <c r="A101" s="0" t="inlineStr">
        <is>
          <t xml:space="preserve">654478-7-LP26</t>
        </is>
      </c>
      <c r="B101" s="4" t="inlineStr">
        <is>
          <t xml:space="preserve">RENOVACIÓN DE SOPORTE DE LICENCIAS DE SOFTWARE</t>
        </is>
      </c>
      <c r="C101" s="0" t="inlineStr">
        <is>
          <t xml:space="preserve">Publicada</t>
        </is>
      </c>
      <c r="D101" s="0" t="inlineStr">
        <is>
          <t xml:space="preserve">SUBSECRETARIA DE PREVENCION DEL DELITO</t>
        </is>
      </c>
      <c r="E101" s="0" t="inlineStr">
        <is>
          <t xml:space="preserve">Subsecretaría de Prevención del Delito</t>
        </is>
      </c>
      <c r="F101" s="0" t="inlineStr">
        <is>
          <t xml:space="preserve">Región Metropolitana de Santiago</t>
        </is>
      </c>
      <c r="G101" s="0" t="inlineStr">
        <is>
          <t xml:space="preserve">Santiago</t>
        </is>
      </c>
      <c r="H101" s="2">
        <v>46309.503866</v>
      </c>
      <c r="I101" s="2">
        <v>46329.666667</v>
      </c>
      <c r="J101" s="0">
        <v>12</v>
      </c>
      <c r="K101" s="3">
        <v>368390.0</v>
      </c>
      <c r="L101" s="0" t="inlineStr">
        <is>
          <t xml:space="preserve">USD</t>
        </is>
      </c>
      <c r="M101" s="0" t="inlineStr">
        <is>
          <t xml:space="preserve">LP</t>
        </is>
      </c>
      <c r="N101" s="4" t="inlineStr">
        <is>
          <t xml:space="preserve">Tecnologías de la información, telecomunicaciones y radiodifusión / Software / Software de gestión</t>
        </is>
      </c>
      <c r="O101" s="4" t="inlineStr">
        <is>
          <t xml:space="preserve">1 Unidad · Software de gestión de licencias · 1 Unidad · Software de gestión de licencias · 1 Unidad · Software de gestión de licencias · y 11 más</t>
        </is>
      </c>
      <c r="P101" s="2"/>
      <c r="Q101" s="2"/>
      <c r="R101" s="0" t="inlineStr">
        <is>
          <t xml:space="preserve">24 meses</t>
        </is>
      </c>
      <c r="S101" s="0" t="inlineStr">
        <is>
          <t xml:space="preserve">No</t>
        </is>
      </c>
      <c r="T101" s="4" t="inlineStr">
        <is>
          <t xml:space="preserve">No está permitida dada la especificidad del servicio requerido.</t>
        </is>
      </c>
      <c r="U101" s="0" t="inlineStr">
        <is>
          <t xml:space="preserve">Luis Alarcón Ruiz</t>
        </is>
      </c>
      <c r="V101" s="4" t="inlineStr">
        <is>
          <t xml:space="preserve">E1O2RT9 La Subsecretaría de Prevención del Delito del Ministerio de Seguridad Pública, en adelante también, “La Subsecretaría”, llama a presentar ofertas mediante Licitación Pública para la contratación de la “renovación de soporte y de suscripción de licencias de software para la Subsecretaría de Prevención del Delito”.</t>
        </is>
      </c>
      <c r="W101" s="5" t="str">
        <f>HYPERLINK("https://www.mercadopublico.cl/Procurement/Modules/Attachment/ViewAttachment.aspx?enc=BHSYE4CSuditmeRtcQXD3GTVBbfICiO2YFExxWQc3kIZli3bxj9jy5LpOP1LLBNNmBDOQI9h7qlZah6r1ZifxGDg9UCn%2fpVjv49wjdCCG91%2bn2wXvmN9XfsdqGHN5oOw4tat8%2fhohe1f2s0pIRdJWuwyegZ6Xd1CPOY%2bIc%2fVTTXFQZSF1SGTYT83gnfNoDCg3WV6Ua%2b5lusom1f30zqomaTNFMMMrI7fImVvoQ3MZ%2bD9OrU9JzK66SS4RpTju%2bUgFnWO%2bH6kMZQCHZgp%2fDaxygGRWbA%2f4ugnfS1cFK0GDMRHrohX%2bZFLNN0RtWGcYtUx","descargar bases")</f>
      </c>
    </row>
    <row r="102">
      <c r="A102" s="0" t="inlineStr">
        <is>
          <t xml:space="preserve">4362-31-LP26</t>
        </is>
      </c>
      <c r="B102" s="4" t="inlineStr">
        <is>
          <t xml:space="preserve">Construcción Hitos de Acceso y Tótems Turísticos</t>
        </is>
      </c>
      <c r="C102" s="0" t="inlineStr">
        <is>
          <t xml:space="preserve">Publicada</t>
        </is>
      </c>
      <c r="D102" s="0" t="inlineStr">
        <is>
          <t xml:space="preserve">I MUNICIPALIDAD DE NACIMIENTO</t>
        </is>
      </c>
      <c r="E102" s="0" t="inlineStr">
        <is>
          <t xml:space="preserve">Secplan</t>
        </is>
      </c>
      <c r="F102" s="0" t="inlineStr">
        <is>
          <t xml:space="preserve">Región del Biobío </t>
        </is>
      </c>
      <c r="G102" s="0" t="inlineStr">
        <is>
          <t xml:space="preserve">Nacimiento</t>
        </is>
      </c>
      <c r="H102" s="2">
        <v>46309.782396</v>
      </c>
      <c r="I102" s="2">
        <v>46330.375</v>
      </c>
      <c r="J102" s="0">
        <v>13</v>
      </c>
      <c r="K102" s="3"/>
      <c r="L102" s="0" t="inlineStr">
        <is>
          <t xml:space="preserve">CLP</t>
        </is>
      </c>
      <c r="M102" s="0" t="inlineStr">
        <is>
          <t xml:space="preserve">LP</t>
        </is>
      </c>
      <c r="N102" s="4" t="inlineStr">
        <is>
          <t xml:space="preserve">Servicios de construcción y mantenimiento / Construcción de edificios en general / Construcción de obras civiles y infraestructuras</t>
        </is>
      </c>
      <c r="O102" s="4" t="inlineStr">
        <is>
          <t xml:space="preserve">1 Unidad · Construcción de obras civiles</t>
        </is>
      </c>
      <c r="P102" s="2"/>
      <c r="Q102" s="2"/>
      <c r="R102" s="0" t="inlineStr">
        <is>
          <t xml:space="preserve">90 días</t>
        </is>
      </c>
      <c r="S102" s="0" t="inlineStr">
        <is>
          <t xml:space="preserve">No</t>
        </is>
      </c>
      <c r="T102" s="4"/>
      <c r="U102" s="0" t="inlineStr">
        <is>
          <t xml:space="preserve">Gonzalo Antonio Oñate</t>
        </is>
      </c>
      <c r="V102" s="4" t="inlineStr">
        <is>
          <t xml:space="preserve">La obra contempla la construcción de dos hitos de acceso, uno para la localidad de
Chequenal y otro para Millapoa, además de la instalación de seis tótems turísticos informativos, distribuidos en tres puntos de cada localidad. Asimismo, el proyecto considera las obras necesarias para su correcta ejecución.</t>
        </is>
      </c>
      <c r="W102" s="5" t="str">
        <f>HYPERLINK("https://www.mercadopublico.cl/Procurement/Modules/Attachment/ViewAttachment.aspx?enc=p8FSB9DGHMJnq8D0PxVd3krnu1mwflgvsVKGel4oEO%2fqFvkpvDWrYiTZ6Rwsx3Vz94BTE7JJpMvqjFWAbRgaNOY%2bv1rAd63UhOR5dUFPasqT39aPKGmdy5y%2f%2b6aNF7jbwNQ0nrR6Q7m1CwSa4iwzd8lnz955erLWkVfZHy0iHZyGZ%2bSjRrDKN0XFeFf29oliWgmYVHuZYD6zgi%2bM%2bozpnqMjMwQpEc5Ia%2fRHtRHwyBxzj4B9B%2bGy9M1MbSsry9%2feRO3GcumNwEvUlQiy%2bTxNRj8O7RJVRiFneDttv8tlTJG8KZw8dXfdk2pSqOmGFmFT","descargar bases")</f>
      </c>
    </row>
    <row r="103">
      <c r="A103" s="0" t="inlineStr">
        <is>
          <t xml:space="preserve">1602-21-LE26</t>
        </is>
      </c>
      <c r="B103" s="4" t="inlineStr">
        <is>
          <t xml:space="preserve">ADQUISICIÓN DE LICENCIAS DE SOFTWARE VEEAM PREMIUM</t>
        </is>
      </c>
      <c r="C103" s="0" t="inlineStr">
        <is>
          <t xml:space="preserve">Publicada</t>
        </is>
      </c>
      <c r="D103" s="0" t="inlineStr">
        <is>
          <t xml:space="preserve">DIRECCION GENERAL DE AERONAUTICA CIVIL</t>
        </is>
      </c>
      <c r="E103" s="0" t="inlineStr">
        <is>
          <t xml:space="preserve">UNIDAD DE COMPRA SERVICIOS GENERALES</t>
        </is>
      </c>
      <c r="F103" s="0" t="inlineStr">
        <is>
          <t xml:space="preserve">Región Metropolitana de Santiago</t>
        </is>
      </c>
      <c r="G103" s="0" t="inlineStr">
        <is>
          <t xml:space="preserve">Providencia</t>
        </is>
      </c>
      <c r="H103" s="2">
        <v>46317.431111</v>
      </c>
      <c r="I103" s="2">
        <v>46330.5</v>
      </c>
      <c r="J103" s="0">
        <v>13</v>
      </c>
      <c r="K103" s="3">
        <v>30000000.0</v>
      </c>
      <c r="L103" s="0" t="inlineStr">
        <is>
          <t xml:space="preserve">CLP</t>
        </is>
      </c>
      <c r="M103" s="0" t="inlineStr">
        <is>
          <t xml:space="preserve">LE</t>
        </is>
      </c>
      <c r="N103" s="4" t="inlineStr">
        <is>
          <t xml:space="preserve">Tecnologías de la información, telecomunicaciones y radiodifusión / Software / Software de gestión</t>
        </is>
      </c>
      <c r="O103" s="4" t="inlineStr">
        <is>
          <t xml:space="preserve">15 Unidad · Software de gestión de licencias</t>
        </is>
      </c>
      <c r="P103" s="2"/>
      <c r="Q103" s="2"/>
      <c r="R103" s="0"/>
      <c r="S103" s="0" t="inlineStr">
        <is>
          <t xml:space="preserve">No</t>
        </is>
      </c>
      <c r="T103" s="4" t="inlineStr">
        <is>
          <t xml:space="preserve">No permite subcontratación DIRIGIRSE PUNTO: XX DE LA RESOLUCIÓN QUE SE ADJUNTA</t>
        </is>
      </c>
      <c r="U103" s="0" t="inlineStr">
        <is>
          <t xml:space="preserve">Jaime Leighton Castro</t>
        </is>
      </c>
      <c r="V103" s="4" t="inlineStr">
        <is>
          <t xml:space="preserve">Adquisición de Licencias de Veeam Data Platform Premium pack 10 instancias que multiplicado por la cantidad serían 150 instancias (jbt-147)</t>
        </is>
      </c>
      <c r="W103" s="5" t="str">
        <f>HYPERLINK("https://www.mercadopublico.cl/Procurement/Modules/Attachment/ViewAttachment.aspx?enc=C22a3F9%2bS7coDQRryGVLGqBpkjLdctbkidGHdQrpfLCoxIFErAZKK%2btpv8A77vsbAJtgt2nD6wla%2f7ZD2FKfpBtkHEUqZrbjFJOMFY2SbNxQM1RSM1gKYQrXTw0vNpiF0uMdNP8KsZ0t4Mu5YejO4T2j%2fmHhz4BSuIuhVGEokirRfjTtPtooxH946ueQfWTx3LzV%2bnkQtwhhvNxc4v%2f3YYyKQKez1dJZQzbrJjlnDpXh74zUPLoAXeTrY1HMsdhYOxtvVzS3ERdPvOIe0TS4atls5zYvk6WRufwQQcKdSJsnfEJlHm1Z8J%2f4KBzAxm0c","descargar bases")</f>
      </c>
    </row>
    <row r="104">
      <c r="A104" s="0" t="inlineStr">
        <is>
          <t xml:space="preserve">1782-17-LE26</t>
        </is>
      </c>
      <c r="B104" s="4" t="inlineStr">
        <is>
          <t xml:space="preserve">Consultoría Plataforma Inteligencia Inversión FRPD</t>
        </is>
      </c>
      <c r="C104" s="0" t="inlineStr">
        <is>
          <t xml:space="preserve">Publicada</t>
        </is>
      </c>
      <c r="D104" s="0" t="inlineStr">
        <is>
          <t xml:space="preserve">GOBIERNO REGIONAL DE ANTOFAGASTA</t>
        </is>
      </c>
      <c r="E104" s="0" t="inlineStr">
        <is>
          <t xml:space="preserve">GORE ANTOFAGASTA PROGRAMA 02 FNDR</t>
        </is>
      </c>
      <c r="F104" s="0" t="inlineStr">
        <is>
          <t xml:space="preserve">Región de Antofagasta </t>
        </is>
      </c>
      <c r="G104" s="0" t="inlineStr">
        <is>
          <t xml:space="preserve">Antofagasta</t>
        </is>
      </c>
      <c r="H104" s="2">
        <v>46310.685625</v>
      </c>
      <c r="I104" s="2">
        <v>46330.625</v>
      </c>
      <c r="J104" s="0">
        <v>13</v>
      </c>
      <c r="K104" s="3">
        <v>25000000.0</v>
      </c>
      <c r="L104" s="0" t="inlineStr">
        <is>
          <t xml:space="preserve">CLP</t>
        </is>
      </c>
      <c r="M104" s="0" t="inlineStr">
        <is>
          <t xml:space="preserve">LE</t>
        </is>
      </c>
      <c r="N104" s="4" t="inlineStr">
        <is>
          <t xml:space="preserve">Servicios profesionales, administrativos y consultorías de gestión empresarial / Consultorías o asesorías en gestión empresarial / Servicios de consultoría en gestión de empresas</t>
        </is>
      </c>
      <c r="O104" s="4" t="inlineStr">
        <is>
          <t xml:space="preserve">1 Unidad · Asesorías Informáticas</t>
        </is>
      </c>
      <c r="P104" s="2"/>
      <c r="Q104" s="2"/>
      <c r="R104" s="0"/>
      <c r="S104" s="0" t="inlineStr">
        <is>
          <t xml:space="preserve">No</t>
        </is>
      </c>
      <c r="T104" s="4"/>
      <c r="U104" s="0" t="inlineStr">
        <is>
          <t xml:space="preserve">Karla Dubo</t>
        </is>
      </c>
      <c r="V104" s="4" t="inlineStr">
        <is>
          <t xml:space="preserve">contratar una consultoría especializada para desarrollar un diagnóstico integral del ecosistema regional de inversión productiva y elaborar una propuesta técnica para la futura implementación de una Plataforma de Inteligencia Territorial 
para la Inversión Productiva del Royalty de la Región de Antofagasta, incluidas las Bases Técnicas, la estimación económica referencial y los insumos EVALTIC para la futura contratación tecnológica, conforme a lo establecido en las Bases Técnicas.</t>
        </is>
      </c>
      <c r="W104" s="5" t="str">
        <f>HYPERLINK("https://www.mercadopublico.cl/Procurement/Modules/Attachment/ViewAttachment.aspx?enc=stnNzVewuxywC54%2bT9YtE8MfLuYiA9Yenv95QjMEdGp8M54oMj%2bpdAS1z2%2fKRKQ5SJ4fsUshtAiv6g0zQtWSceGu8uawRCyFv7ZRWZNvpW2OouA6%2fu9fgVmES9GjEhf3TWJGj3rf9%2f36EfVz5tsjXrBFVtPHylSSpROBciuIs3URrLwMTA%2b6a4UyYmU1i8TEM0FU1oZEtLONx7CASbZjDL%2bzqxP0Y7OTs4Sg2O2iwH7DQz7ktmWN5BctoTMYDh2WIVMAXev05P8Q1wj%2bZv2bUd1rqSuSLUnCsqqU7r67ZM1Y%2fM3U1Xi4wYCI3c%2bk1Vqe","descargar bases")</f>
      </c>
    </row>
    <row r="105">
      <c r="A105" s="0" t="inlineStr">
        <is>
          <t xml:space="preserve">4127-51-LR26</t>
        </is>
      </c>
      <c r="B105" s="4" t="inlineStr">
        <is>
          <t xml:space="preserve">[DIGEDEP]Cursos M-Learning Plataforma SIAD 26-27</t>
        </is>
      </c>
      <c r="C105" s="0" t="inlineStr">
        <is>
          <t xml:space="preserve">Publicada</t>
        </is>
      </c>
      <c r="D105" s="0" t="inlineStr">
        <is>
          <t xml:space="preserve">SUBSECRETARIA DE SALUD PUBLICA</t>
        </is>
      </c>
      <c r="E105" s="0" t="inlineStr">
        <is>
          <t xml:space="preserve">Subsecretaria de Redes Asistenciales</t>
        </is>
      </c>
      <c r="F105" s="0" t="inlineStr">
        <is>
          <t xml:space="preserve">Región Metropolitana de Santiago</t>
        </is>
      </c>
      <c r="G105" s="0" t="inlineStr">
        <is>
          <t xml:space="preserve">Santiago</t>
        </is>
      </c>
      <c r="H105" s="2">
        <v>46300.445336</v>
      </c>
      <c r="I105" s="2">
        <v>46330.625</v>
      </c>
      <c r="J105" s="0">
        <v>13</v>
      </c>
      <c r="K105" s="3"/>
      <c r="L105" s="0" t="inlineStr">
        <is>
          <t xml:space="preserve">CLP</t>
        </is>
      </c>
      <c r="M105" s="0" t="inlineStr">
        <is>
          <t xml:space="preserve">LR</t>
        </is>
      </c>
      <c r="N105" s="4" t="inlineStr">
        <is>
          <t xml:space="preserve">Educación, formación, entrenamiento y capacitación / Sistemas educativos complementarios / Educación de adultos</t>
        </is>
      </c>
      <c r="O105" s="4" t="inlineStr">
        <is>
          <t xml:space="preserve">1 Unidad · Capacitación a empleados</t>
        </is>
      </c>
      <c r="P105" s="2"/>
      <c r="Q105" s="2"/>
      <c r="R105" s="0" t="inlineStr">
        <is>
          <t xml:space="preserve">12 meses</t>
        </is>
      </c>
      <c r="S105" s="0" t="inlineStr">
        <is>
          <t xml:space="preserve">No</t>
        </is>
      </c>
      <c r="T105" s="4"/>
      <c r="U105" s="0" t="inlineStr">
        <is>
          <t xml:space="preserve">Ana Osorio Yeuto</t>
        </is>
      </c>
      <c r="V105" s="4" t="inlineStr">
        <is>
          <t xml:space="preserve">Los servicios que considera este programa Sistema de Aprendizaje a Distancia SIAD son Despliegue de Cursos M- Learning, Desarrollo de Cursos Moodle, Actualizaciones Cursos Moodle Bacoffice para platafoma SIAD 2026 - 2027.</t>
        </is>
      </c>
      <c r="W105" s="5" t="str">
        <f>HYPERLINK("https://www.mercadopublico.cl/Procurement/Modules/Attachment/ViewAttachment.aspx?enc=Urz9JPq9M%2bo1KHp6cKd09F8v4a8RRQZ76ANLs6GIMwq7Y8jgda%2fxWZi4JLyXUjpwCK6pjy6iB0Gbbjh4ICoW2ZfLxTjpQHlXOl%2b1OjV1KjhIh%2ffQNDdI2n4I1uA%2bmhADY56zc1ttbhgD2RKHH3v7Xe9bI8zvPSfUS2FR30lI5SfSqzHPfWh%2bTxLkO%2fo1j2%2fGn6FjjvZzpUxpjoIEq9nrda1t2%2bVPFXwdE3ZEQzmWGft7NbNOXr%2fLVLlKx1wzluBVhhWWvW5u8gpIqLrhJ0ZKz8PIhS1hBSamwl8hKt74feksv4DJSiK%2bSR3JBiRydX32","descargar bases")</f>
      </c>
    </row>
    <row r="106">
      <c r="A106" s="0" t="inlineStr">
        <is>
          <t xml:space="preserve">652-61-LP26</t>
        </is>
      </c>
      <c r="B106" s="4" t="inlineStr">
        <is>
          <t xml:space="preserve">ARRIENDO SERVIDOR INFORMATICO PARA PROGRAMA SISSA.</t>
        </is>
      </c>
      <c r="C106" s="0" t="inlineStr">
        <is>
          <t xml:space="preserve">Publicada</t>
        </is>
      </c>
      <c r="D106" s="0" t="inlineStr">
        <is>
          <t xml:space="preserve">SERVICIO DE SALUD ARAUCO</t>
        </is>
      </c>
      <c r="E106" s="0" t="inlineStr">
        <is>
          <t xml:space="preserve">SERVICIO DE SALUD ARAUCO</t>
        </is>
      </c>
      <c r="F106" s="0" t="inlineStr">
        <is>
          <t xml:space="preserve">Región del Biobío </t>
        </is>
      </c>
      <c r="G106" s="0" t="inlineStr">
        <is>
          <t xml:space="preserve">Lebu</t>
        </is>
      </c>
      <c r="H106" s="2">
        <v>46310.878391</v>
      </c>
      <c r="I106" s="2">
        <v>46330.625</v>
      </c>
      <c r="J106" s="0">
        <v>13</v>
      </c>
      <c r="K106" s="3"/>
      <c r="L106" s="0" t="inlineStr">
        <is>
          <t xml:space="preserve">CLP</t>
        </is>
      </c>
      <c r="M106" s="0" t="inlineStr">
        <is>
          <t xml:space="preserve">LP</t>
        </is>
      </c>
      <c r="N106" s="4" t="inlineStr">
        <is>
          <t xml:space="preserve">Tecnologías de la información, telecomunicaciones y radiodifusión / Equipos informáticos y accesorios / Computadores</t>
        </is>
      </c>
      <c r="O106" s="4" t="inlineStr">
        <is>
          <t xml:space="preserve">1 Unidad · Servidores</t>
        </is>
      </c>
      <c r="P106" s="2"/>
      <c r="Q106" s="2"/>
      <c r="R106" s="0"/>
      <c r="S106" s="0" t="inlineStr">
        <is>
          <t xml:space="preserve">No</t>
        </is>
      </c>
      <c r="T106" s="4"/>
      <c r="U106" s="0" t="inlineStr">
        <is>
          <t xml:space="preserve">Jefe Depto. TIC del Servicio de Salud Arauco</t>
        </is>
      </c>
      <c r="V106" s="4" t="inlineStr">
        <is>
          <t xml:space="preserve">El Servicio de Salud Arauco a través de su Dirección, requiere contratar el CONVENIO ARRIENDO DE SERVIDOR INFORMATICO PROGRAMA SISSA, SERVICIO DE SALUD ARAUCO PARA EL SERVICIO DE SALUD ARAUCANIA SUR, por un periodo de 36 meses destinado al Programa SISSA.  Dicho servidor deberá instalarse en la Sala de Servidores del Servicio de Salud Araucanía Sur, ubicada en calle Prat Numero 969, de la ciudad de Temuco.</t>
        </is>
      </c>
      <c r="W106" s="5" t="str">
        <f>HYPERLINK("https://www.mercadopublico.cl/Procurement/Modules/Attachment/ViewAttachment.aspx?enc=2mLi9ZKwJFc9ugw8ufNOm4%2bVoYl4My16AFvV9o3ZwhseoSNdlY8%2fh%2bhB16QuHow2n2daFUuVJGpoTaf6AEi5YPVQ9qaYsMGsmRt2LY2A8kohBTKyVZO7tiQlk0ny%2fCeWnHSCI6ld0oBsKeVkjoxK1tTsuklwNoYjZlpznZarGIHRW0lXZMqHJ3kjMJb3xaxktx%2bC%2fmXAF1UGECBi2kzcA4FKbaPMQ%2fEJaUj6GumBWezgNnsrnpjOi%2bO05t4KESUQ3Y3485etUyQaXO99QLY3LqPqFpCy1La0gWNDVnUmQO48uSTfcZ%2bgYuWHSYNDQY5D","descargar bases")</f>
      </c>
    </row>
    <row r="107">
      <c r="A107" s="0" t="inlineStr">
        <is>
          <t xml:space="preserve">5403-11-LP26</t>
        </is>
      </c>
      <c r="B107" s="4" t="inlineStr">
        <is>
          <t xml:space="preserve">Diseño e instalación de gobernanza de datos</t>
        </is>
      </c>
      <c r="C107" s="0" t="inlineStr">
        <is>
          <t xml:space="preserve">Publicada</t>
        </is>
      </c>
      <c r="D107" s="0" t="inlineStr">
        <is>
          <t xml:space="preserve">COMISION NACIONAL DE ACREDITACION</t>
        </is>
      </c>
      <c r="E107" s="0" t="inlineStr">
        <is>
          <t xml:space="preserve">COMISION NACIONAL DE ACREDITACION</t>
        </is>
      </c>
      <c r="F107" s="0" t="inlineStr">
        <is>
          <t xml:space="preserve">Región Metropolitana de Santiago</t>
        </is>
      </c>
      <c r="G107" s="0" t="inlineStr">
        <is>
          <t xml:space="preserve">Santiago</t>
        </is>
      </c>
      <c r="H107" s="2">
        <v>46310.745671</v>
      </c>
      <c r="I107" s="2">
        <v>46330.666667</v>
      </c>
      <c r="J107" s="0">
        <v>13</v>
      </c>
      <c r="K107" s="3"/>
      <c r="L107" s="0" t="inlineStr">
        <is>
          <t xml:space="preserve">CLP</t>
        </is>
      </c>
      <c r="M107" s="0" t="inlineStr">
        <is>
          <t xml:space="preserve">LP</t>
        </is>
      </c>
      <c r="N107" s="4" t="inlineStr">
        <is>
          <t xml:space="preserve">Servicios profesionales, administrativos y consultorías de gestión empresarial / Consultorías o asesorías en gestión empresarial / Servicios de consultoría en gestión de empresas</t>
        </is>
      </c>
      <c r="O107" s="4" t="inlineStr">
        <is>
          <t xml:space="preserve">1 Unidad · Asesorías en gestión estratégica</t>
        </is>
      </c>
      <c r="P107" s="2"/>
      <c r="Q107" s="2"/>
      <c r="R107" s="0" t="inlineStr">
        <is>
          <t xml:space="preserve">9 meses</t>
        </is>
      </c>
      <c r="S107" s="0" t="inlineStr">
        <is>
          <t xml:space="preserve">No</t>
        </is>
      </c>
      <c r="T107" s="4"/>
      <c r="U107" s="0" t="inlineStr">
        <is>
          <t xml:space="preserve">Carolina Olea</t>
        </is>
      </c>
      <c r="V107" s="4" t="inlineStr">
        <is>
          <t xml:space="preserve">Las presentes bases tienen por objetivo diseñar e iniciar la instalación progresiva del modelo institucional de gobernanza y gestión de datos de la Comisión Nacional de Acreditación mediante el diagnóstico de capacidades actuales, definición de una hoja de ruta, establecimiento de estructuras de gobierno y transferencia de capacidades institucionales, contribuyendo a la transformación digital, gestión de calidad, protección de datos y desarrollo responsable de iniciativas basadas en inteligencia artificial.</t>
        </is>
      </c>
      <c r="W107" s="5" t="str">
        <f>HYPERLINK("https://www.mercadopublico.cl/Procurement/Modules/Attachment/ViewAttachment.aspx?enc=Xh3XRPmJpQ5TLOU1rwucQ2HlFzrYG1X8VFGznNGaYBXwCn7IlxRG1lRQyFeARXWMEIcXINzq9IKyfm6ix4zbxTt8GhdtdJejd5Hj5vENAty%2fK7UWjcdajxRrlIQB7Ss4mEsPvELhGb6D8PINczRZ%2beVPG%2bhCxr55i0bI7CKfqfoyzysWhKO%2bX9DywGzQvl%2brvW58ATEBSuBRyLrhXy2%2be8o0OaZUC%2fjbANgc8Uma4iteXEqOTqPz%2f3lX55BX65BUWNJ9sCqjP0%2fNIABEJEBanAsA9qFAbtBh0L2KvvFIRjSiVgZ%2flyWnH%2fI%2fERXez9Ai","descargar bases")</f>
      </c>
    </row>
    <row r="108">
      <c r="A108" s="0" t="inlineStr">
        <is>
          <t xml:space="preserve">2713-199-LE26</t>
        </is>
      </c>
      <c r="B108" s="4" t="inlineStr">
        <is>
          <t xml:space="preserve">Equipamiento informático para oficinas municipales</t>
        </is>
      </c>
      <c r="C108" s="0" t="inlineStr">
        <is>
          <t xml:space="preserve">Publicada</t>
        </is>
      </c>
      <c r="D108" s="0" t="inlineStr">
        <is>
          <t xml:space="preserve">I MUNICIPALIDAD DE AYSEN</t>
        </is>
      </c>
      <c r="E108" s="0" t="inlineStr">
        <is>
          <t xml:space="preserve">I.MUNICIPALIDAD AYSEN-ADQUISICIONES</t>
        </is>
      </c>
      <c r="F108" s="0" t="inlineStr">
        <is>
          <t xml:space="preserve">Región Aysén del General Carlos Ibáñez del Campo</t>
        </is>
      </c>
      <c r="G108" s="0" t="inlineStr">
        <is>
          <t xml:space="preserve">Aysén</t>
        </is>
      </c>
      <c r="H108" s="2">
        <v>46317.447211</v>
      </c>
      <c r="I108" s="2">
        <v>46331.604167</v>
      </c>
      <c r="J108" s="0">
        <v>14</v>
      </c>
      <c r="K108" s="3"/>
      <c r="L108" s="0" t="inlineStr">
        <is>
          <t xml:space="preserve">CLP</t>
        </is>
      </c>
      <c r="M108" s="0" t="inlineStr">
        <is>
          <t xml:space="preserve">LE</t>
        </is>
      </c>
      <c r="N108" s="4" t="inlineStr">
        <is>
          <t xml:space="preserve">Tecnologías de la información, telecomunicaciones y radiodifusión / Equipos informáticos y accesorios / Accesorios de computador, Tecnologías de la información, telecomunicaciones y radiodifusión / Equipos informáticos y accesorios / Computadores, Tecnologías de la información, telecomunicaciones y radiodifusión / Equipos informáticos y accesorios / Dispositivos informáticos de entrada de datos, Tecnologías de la información, telecomunicaciones y radiodifusión / Equipos informáticos y accesorios / Impresoras, Tecnologías de la información, telecomunicaciones y radiodifusión / Equipos informáticos y accesorios / Pantallas o monitores de computador</t>
        </is>
      </c>
      <c r="O108" s="4" t="inlineStr">
        <is>
          <t xml:space="preserve">1 Unidad · Notebook, laptop o computador portátil excepto Tablet PC · 1 Unidad · Notebook, laptop o computador portátil excepto Tablet PC · 16 Unidad · Computadores personales · y 10 más</t>
        </is>
      </c>
      <c r="P108" s="2"/>
      <c r="Q108" s="2"/>
      <c r="R108" s="0"/>
      <c r="S108" s="0" t="inlineStr">
        <is>
          <t xml:space="preserve">No</t>
        </is>
      </c>
      <c r="T108" s="4"/>
      <c r="U108" s="0" t="inlineStr">
        <is>
          <t xml:space="preserve">Victor Godoy Tapia</t>
        </is>
      </c>
      <c r="V108" s="4" t="inlineStr">
        <is>
          <t xml:space="preserve">La institución requiere adquirir equipamiento de cómputo, digitalización, proyección e impresión para llevar a cabo la renovación programada de sus herramientas tecnológicas, reemplazando unidades en estado de obsolescencia o desgaste por uso continuo.</t>
        </is>
      </c>
      <c r="W108" s="5" t="str">
        <f>HYPERLINK("https://www.mercadopublico.cl/Procurement/Modules/Attachment/ViewAttachment.aspx?enc=qXmnObIjQbOHtKhh0CcSB%2bGMwb8Q8UBK1AekOJz42D2w4%2f7w7wzXRU3ybd1N5HHbkNGNKRDHfs6FHsnF%2frKvBYBbC5%2bbhY36pFU8Vy8X0tIlxy0gnO5L72FlQAxpGXFJMJQt4IYY4JsGHFnvm0uwroJGJDvsfuTDBocRdH2JxsHvhrFo1Scfsa62IlLfOpVMjOYadkpITfvtD%2bvHERYT5J%2bEX06xuelEX6%2b8nV1nd9eTUdU1ykoBVo0qjXxptMIOI4R3dKe34s3xBKEoDuOKgEpOYJGaDmOol4b3wqaU1w%2b5ssybFAgOsDUvb80Ca1Rm","descargar bases")</f>
      </c>
    </row>
    <row r="109">
      <c r="A109" s="0" t="inlineStr">
        <is>
          <t xml:space="preserve">1447930-15-LP26</t>
        </is>
      </c>
      <c r="B109" s="4" t="inlineStr">
        <is>
          <t xml:space="preserve">SSP - Plataforma de virtualización On Premise</t>
        </is>
      </c>
      <c r="C109" s="0" t="inlineStr">
        <is>
          <t xml:space="preserve">Publicada</t>
        </is>
      </c>
      <c r="D109" s="0" t="inlineStr">
        <is>
          <t xml:space="preserve">SUBSECRETARIA DE SEGURIDAD PUBLICA</t>
        </is>
      </c>
      <c r="E109" s="0" t="inlineStr">
        <is>
          <t xml:space="preserve">SUBSECRETARIA DE SEGURIDAD PUBLICA</t>
        </is>
      </c>
      <c r="F109" s="0" t="inlineStr">
        <is>
          <t xml:space="preserve">Región Metropolitana de Santiago</t>
        </is>
      </c>
      <c r="G109" s="0" t="inlineStr">
        <is>
          <t xml:space="preserve">Santiago</t>
        </is>
      </c>
      <c r="H109" s="2">
        <v>46311.52985</v>
      </c>
      <c r="I109" s="2">
        <v>46331.708333</v>
      </c>
      <c r="J109" s="0">
        <v>14</v>
      </c>
      <c r="K109" s="3">
        <v>113050000.0</v>
      </c>
      <c r="L109" s="0" t="inlineStr">
        <is>
          <t xml:space="preserve">CLP</t>
        </is>
      </c>
      <c r="M109" s="0" t="inlineStr">
        <is>
          <t xml:space="preserve">LP</t>
        </is>
      </c>
      <c r="N109" s="4" t="inlineStr">
        <is>
          <t xml:space="preserve">Tecnologías de la información, telecomunicaciones y radiodifusión / Software / Software para trabajo en redes</t>
        </is>
      </c>
      <c r="O109" s="4" t="inlineStr">
        <is>
          <t xml:space="preserve">1 Unidad · Software de interconectividad de plataformas</t>
        </is>
      </c>
      <c r="P109" s="2"/>
      <c r="Q109" s="2"/>
      <c r="R109" s="0" t="inlineStr">
        <is>
          <t xml:space="preserve">40 meses</t>
        </is>
      </c>
      <c r="S109" s="0" t="inlineStr">
        <is>
          <t xml:space="preserve">No</t>
        </is>
      </c>
      <c r="T109" s="4"/>
      <c r="U109" s="0" t="inlineStr">
        <is>
          <t xml:space="preserve">Mauricio Quitral</t>
        </is>
      </c>
      <c r="V109" s="4" t="inlineStr">
        <is>
          <t xml:space="preserve">La Subsecretaría de Seguridad Pública, llama a licitación pública, para la adquisición e implementación de equipamiento, software, puesta en marcha y paso a producción de una plataforma de virtualización on-premise para implementar en las dependencias del nivel central de la Subsecretaría de Seguridad Pública, ubicadas en Teatinos N°220, piso 6.</t>
        </is>
      </c>
      <c r="W109" s="5" t="str">
        <f>HYPERLINK("https://www.mercadopublico.cl/Procurement/Modules/Attachment/ViewAttachment.aspx?enc=ZzfSUF%2f%2fJ%2f0zVf8MN62CcdhhPf7%2fdr9nHHgZDZypqlhebT2TahyP2zmvftk%2b5H%2fPPJGuVUUQqfZvbxI5lhK4SibITnyks1qBqFRPA1hIixgbJIDj25zMbJhzYdoHiNcSzPfyxChJ%2b7MV7NDYqALWwEZ38KILIkZw14nPHzaAE%2fAM%2fOTy8rKPZY2r%2fZFE%2fw28HWFfar%2fun5LxQP%2fk2Frg0wsya0eg0TROf721KT2do4NsQk6U5v0V51B2%2fPXn2G%2f0d4ObYIqgwB5ixdGfoYY0WPC0%2blMmgTJzsiIEI7x6SXWhjW%2f4G%2fkTdGWiq0yDAetp","descargar bases")</f>
      </c>
    </row>
    <row r="110">
      <c r="A110" s="0" t="inlineStr">
        <is>
          <t xml:space="preserve">1232565-42-LP26</t>
        </is>
      </c>
      <c r="B110" s="4" t="inlineStr">
        <is>
          <t xml:space="preserve">Mesa Digital de Disección Anatómica Convertible</t>
        </is>
      </c>
      <c r="C110" s="0" t="inlineStr">
        <is>
          <t xml:space="preserve">Publicada</t>
        </is>
      </c>
      <c r="D110" s="0" t="inlineStr">
        <is>
          <t xml:space="preserve">UNIVERSIDAD DE LA SERENA</t>
        </is>
      </c>
      <c r="E110" s="0" t="inlineStr">
        <is>
          <t xml:space="preserve">DIRECCIÓN DE GESTIÓN ESTRATÉGICA INSTITUCIONAL</t>
        </is>
      </c>
      <c r="F110" s="0" t="inlineStr">
        <is>
          <t xml:space="preserve">Región de Coquimbo </t>
        </is>
      </c>
      <c r="G110" s="0" t="inlineStr">
        <is>
          <t xml:space="preserve">La Serena</t>
        </is>
      </c>
      <c r="H110" s="2">
        <v>46311.490671</v>
      </c>
      <c r="I110" s="2">
        <v>46331.75</v>
      </c>
      <c r="J110" s="0">
        <v>14</v>
      </c>
      <c r="K110" s="3"/>
      <c r="L110" s="0" t="inlineStr">
        <is>
          <t xml:space="preserve">CLP</t>
        </is>
      </c>
      <c r="M110" s="0" t="inlineStr">
        <is>
          <t xml:space="preserve">LP</t>
        </is>
      </c>
      <c r="N110" s="4" t="inlineStr">
        <is>
          <t xml:space="preserve">Equipamiento y suministros médicos / Suministros para formación y estudios de medicina / Ayudas para la formación médica</t>
        </is>
      </c>
      <c r="O110" s="4" t="inlineStr">
        <is>
          <t xml:space="preserve">1 Unidad · Equipos para formación y estudios de medicina</t>
        </is>
      </c>
      <c r="P110" s="2"/>
      <c r="Q110" s="2"/>
      <c r="R110" s="0"/>
      <c r="S110" s="0" t="inlineStr">
        <is>
          <t xml:space="preserve">No</t>
        </is>
      </c>
      <c r="T110" s="4"/>
      <c r="U110" s="0" t="inlineStr">
        <is>
          <t xml:space="preserve">Estefania Muñoz Valdivia</t>
        </is>
      </c>
      <c r="V110" s="4" t="inlineStr">
        <is>
          <t xml:space="preserve">El objeto de la presente licitación es el de proveer a la Universidad de los siguientes bienes yo servicios Mesa Digital de Disección Anatómica Convertible para la Dirección de Gestión Estratégica Institucional de la Universidad a Requerimiento de la carrera de Medicina y el Proyecto ULS 25991</t>
        </is>
      </c>
      <c r="W110" s="5" t="str">
        <f>HYPERLINK("https://www.mercadopublico.cl/Procurement/Modules/Attachment/ViewAttachment.aspx?enc=VUnYNydHoiHrUWORC5%2bnTvwnT42C%2b7JJaoOlUkGi2i%2f6WcNmMbK2L8iSlNjzz22ynjTiD%2bnPuEIgRpLlSXpCknhbrGL6HFW4yn06aN1DIR86JzGWLVOJNKhiXhjNY58Ua%2f4xR5jZKnkvGnS%2fcqldoto%2bHiP4YR%2bix%2fkU4pGmeSOC3TkVXniw9YRoO1mFPByZv%2f6wJ9vqFkcxQaKhpjDNIa1xD31CpHAIX5Znfmopt0PkzJc5%2fCVvVwQcUdSy38YVmMQgqzluPwqYYiLj76zJCjaH%2bq8d6XEGjs7KP1GmRShzD0DUOXXKUofVOR%2bfJcOb","descargar bases")</f>
      </c>
    </row>
    <row r="111">
      <c r="A111" s="0" t="inlineStr">
        <is>
          <t xml:space="preserve">976-15-O126</t>
        </is>
      </c>
      <c r="B111" s="4" t="inlineStr">
        <is>
          <t xml:space="preserve">Ampliación Plataformas Comercial y General Ad. El Loa</t>
        </is>
      </c>
      <c r="C111" s="0" t="inlineStr">
        <is>
          <t xml:space="preserve">Publicada</t>
        </is>
      </c>
      <c r="D111" s="0" t="inlineStr">
        <is>
          <t xml:space="preserve">MINISTERIO DE OBRAS PUBLICAS DIREC CION GRAL DE OO PP DCYF</t>
        </is>
      </c>
      <c r="E111" s="0" t="inlineStr">
        <is>
          <t xml:space="preserve">Dirección de Aeropuertos - MOPTT</t>
        </is>
      </c>
      <c r="F111" s="0" t="inlineStr">
        <is>
          <t xml:space="preserve">Región de Antofagasta </t>
        </is>
      </c>
      <c r="G111" s="0" t="inlineStr">
        <is>
          <t xml:space="preserve">Santiago</t>
        </is>
      </c>
      <c r="H111" s="2">
        <v>46265.341667</v>
      </c>
      <c r="I111" s="2">
        <v>46332.458333</v>
      </c>
      <c r="J111" s="0">
        <v>15</v>
      </c>
      <c r="K111" s="3"/>
      <c r="L111" s="0" t="inlineStr">
        <is>
          <t xml:space="preserve">CLP</t>
        </is>
      </c>
      <c r="M111" s="0" t="inlineStr">
        <is>
          <t xml:space="preserve">O1</t>
        </is>
      </c>
      <c r="N111" s="4" t="inlineStr">
        <is>
          <t xml:space="preserve">Consultoria / Consultoria / Planificación y Factibilidad</t>
        </is>
      </c>
      <c r="O111" s="4" t="inlineStr">
        <is>
          <t xml:space="preserve">1 Unidad · Licitación Pública de Obra</t>
        </is>
      </c>
      <c r="P111" s="2"/>
      <c r="Q111" s="2"/>
      <c r="R111" s="0"/>
      <c r="S111" s="0" t="inlineStr">
        <is>
          <t xml:space="preserve">No</t>
        </is>
      </c>
      <c r="T111" s="4"/>
      <c r="U111" s="0"/>
      <c r="V111" s="4" t="inlineStr">
        <is>
          <t xml:space="preserve">Esta Dirección necesita llamar a licitación para contratar la obra Ampliación Plataformas Comercial y General Aeródromo El Loa.</t>
        </is>
      </c>
      <c r="W111" s="5" t="str">
        <f>HYPERLINK("https://www.mercadopublico.cl/Procurement/Modules/Attachment/ViewAttachment.aspx?enc=cJXsJL%2fpis7MXzODVQyidp5EfCQuJSB8Rd9x4P9xiZwO8eEf%2fwT%2bWjsFIAw37Su0G2onDjoJI%2bBBDrfys1Asem4SyPhAF21FTthNtE7Lp23Bg6Xo69NGp9gQYQJualj6pxNSv48lV6XXR5IcT%2fkAiDYinUhQPqV7r1Omgr5j%2fwMy8yyN%2fECvDR0rnPiQsdSPW4UV97BaEyKRadgIYTKw4oD2fsP51f0fmXP7BHNpfV6phiPI6NQ0%2bH4nBjXyDS%2blN3OrphuHhue1mhxOvSpYp9vZh69dwLQJ3VtphTsufm3FOJHdwyR9sJLLQN%2bRDLxk","descargar bases")</f>
      </c>
    </row>
    <row r="112">
      <c r="A112" s="0" t="inlineStr">
        <is>
          <t xml:space="preserve">1020-54-LP26</t>
        </is>
      </c>
      <c r="B112" s="4" t="inlineStr">
        <is>
          <t xml:space="preserve">Administración y Mantención de Bases de Datos MOP</t>
        </is>
      </c>
      <c r="C112" s="0" t="inlineStr">
        <is>
          <t xml:space="preserve">Publicada</t>
        </is>
      </c>
      <c r="D112" s="0" t="inlineStr">
        <is>
          <t xml:space="preserve">MINISTERIO DE OBRAS PUBLICAS DIREC CION GRAL DE OO PP DCYF</t>
        </is>
      </c>
      <c r="E112" s="0" t="inlineStr">
        <is>
          <t xml:space="preserve">MOP Subsecretaría </t>
        </is>
      </c>
      <c r="F112" s="0" t="inlineStr">
        <is>
          <t xml:space="preserve">Región Metropolitana de Santiago</t>
        </is>
      </c>
      <c r="G112" s="0"/>
      <c r="H112" s="2">
        <v>46303.478727</v>
      </c>
      <c r="I112" s="2">
        <v>46332.625</v>
      </c>
      <c r="J112" s="0">
        <v>15</v>
      </c>
      <c r="K112" s="3">
        <v>174000000.0</v>
      </c>
      <c r="L112" s="0" t="inlineStr">
        <is>
          <t xml:space="preserve">CLP</t>
        </is>
      </c>
      <c r="M112" s="0" t="inlineStr">
        <is>
          <t xml:space="preserve">LP</t>
        </is>
      </c>
      <c r="N112" s="4" t="inlineStr">
        <is>
          <t xml:space="preserve">Servicios profesionales, administrativos y consultorías de gestión empresarial / Servicios de recursos humanos / Contratación de personal</t>
        </is>
      </c>
      <c r="O112" s="4" t="inlineStr">
        <is>
          <t xml:space="preserve">24 Mes · Administradores de bases de datos</t>
        </is>
      </c>
      <c r="P112" s="2"/>
      <c r="Q112" s="2"/>
      <c r="R112" s="0" t="inlineStr">
        <is>
          <t xml:space="preserve">25 meses</t>
        </is>
      </c>
      <c r="S112" s="0" t="inlineStr">
        <is>
          <t xml:space="preserve">No</t>
        </is>
      </c>
      <c r="T112" s="4" t="inlineStr">
        <is>
          <t xml:space="preserve">Según 10.5 de las BA El oferente adjudicado no podrá subcontratar los servicios derivados de la ejecución del Contrato</t>
        </is>
      </c>
      <c r="U112" s="0" t="inlineStr">
        <is>
          <t xml:space="preserve">Francisco Borquez</t>
        </is>
      </c>
      <c r="V112" s="4" t="inlineStr">
        <is>
          <t xml:space="preserve">Dado que toda la información generada y recolectada por los servicios y sistemas ministeriales se almacena en algún tipo de base de datos, el objetivo de la contratación solicitada, es disponer de un servicio de administración de bases de datos con dos modalidades de atención, remota y presencial, que permita garantizar la Administración, Mantención, Monitoreo y Continuidad operacional de las bases de datos Oracle, MS SQL Server y PostgreSQL, y MySQL, y cumplir con las Políticas de Seguridad de la Información del Ministerio de Obras Públicas. Además, entregar niveles de servicio SLA acordes a las exigencias del MOP y a las mejores prácticas de la industria.
El Adjudicatario deberá  asegurar, mediante la conformación indicada en el punto 4.12 de las presentes BT, un equipo de trabajo que cuente con todas y cada una de las certificaciones técnicas, que permitan tener una plataforma de bases de datos: estable, controlada, disponible y documentada.</t>
        </is>
      </c>
      <c r="W112" s="5" t="str">
        <f>HYPERLINK("https://www.mercadopublico.cl/Procurement/Modules/Attachment/ViewAttachment.aspx?enc=UNFezrFHYfrk1tWeyo3h7LUkj%2ffRj%2fK1ZKOcpkokASEwUW7OjqgzR6ajKNkOIYk2ibQzYJGXZzQSSxbo%2bPPyJV2nAYG0Sl7xbE%2bLCnTGTKnkquHubRlbLpUaeeColgdPh408cyyt6zfdGtKQrDk9RYQmWyw7bVnWm9EjISYobXQjQMJwld%2bbi7MjoUZE3FNPuk%2fPbfYIJWWkW9kuzfxCZIpO%2fqRlIUG59fiM59Kxpp%2bVJyc83pY%2fn379DzrzgaQcqPKWzno0Q6jGDbJHlf2cWU5fSlRl4zg9wiigEpUfaw1q8bySN2AQYms7YRp65IJM","descargar bases")</f>
      </c>
    </row>
    <row r="113">
      <c r="A113" s="0" t="inlineStr">
        <is>
          <t xml:space="preserve">605-17-LP26</t>
        </is>
      </c>
      <c r="B113" s="4" t="inlineStr">
        <is>
          <t xml:space="preserve">TELEFONÍA FIJA Y RED PRIVADA DE DATOS</t>
        </is>
      </c>
      <c r="C113" s="0" t="inlineStr">
        <is>
          <t xml:space="preserve">Publicada</t>
        </is>
      </c>
      <c r="D113" s="0" t="inlineStr">
        <is>
          <t xml:space="preserve">Consejo de Defensa del Estado</t>
        </is>
      </c>
      <c r="E113" s="0" t="inlineStr">
        <is>
          <t xml:space="preserve">Consejo de Defensa del Estado</t>
        </is>
      </c>
      <c r="F113" s="0" t="inlineStr">
        <is>
          <t xml:space="preserve">Región Metropolitana de Santiago</t>
        </is>
      </c>
      <c r="G113" s="0" t="inlineStr">
        <is>
          <t xml:space="preserve">Santiago</t>
        </is>
      </c>
      <c r="H113" s="2">
        <v>46267.454861</v>
      </c>
      <c r="I113" s="2">
        <v>46332.625</v>
      </c>
      <c r="J113" s="0">
        <v>15</v>
      </c>
      <c r="K113" s="3">
        <v>8500.0</v>
      </c>
      <c r="L113" s="0" t="inlineStr">
        <is>
          <t xml:space="preserve">CLF</t>
        </is>
      </c>
      <c r="M113" s="0" t="inlineStr">
        <is>
          <t xml:space="preserve">LP</t>
        </is>
      </c>
      <c r="N113" s="4" t="inlineStr">
        <is>
          <t xml:space="preserve">Servicios básicos y de información pública / Telecomunicaciones / Telefonía local y de larga distancia</t>
        </is>
      </c>
      <c r="O113" s="4" t="inlineStr">
        <is>
          <t xml:space="preserve">1 Unidad · Servicio telefónico local · 1 Unidad · Servicio de comunicación IP</t>
        </is>
      </c>
      <c r="P113" s="2"/>
      <c r="Q113" s="2"/>
      <c r="R113" s="0" t="inlineStr">
        <is>
          <t xml:space="preserve">24 meses</t>
        </is>
      </c>
      <c r="S113" s="0" t="inlineStr">
        <is>
          <t xml:space="preserve">No</t>
        </is>
      </c>
      <c r="T113" s="4" t="inlineStr">
        <is>
          <t xml:space="preserve">El proveedor no podrá ceder ni transferir en forma alguna, total ni parcialmente, los derechos y obligaciones que nacen del desarrollo de esta licitación y del respectivo contrato que se celebre con la institución contratante.  
Atendida la naturaleza</t>
        </is>
      </c>
      <c r="U113" s="0" t="inlineStr">
        <is>
          <t xml:space="preserve">IVANHOE AGUIRRE RIVERA</t>
        </is>
      </c>
      <c r="V113" s="4" t="inlineStr">
        <is>
          <t xml:space="preserve">La presente licitación consta de dos ítems a contratar a un único proveedor a nivel nacional:
I.- TELEFONÍA FIJA:
Se requiere contratar mediante Licitación Pública el Servicio de Telefonía fija con enlace dedicado SIP Trunk, para las comunicaciones internas. El servicio para contratar también comprende la habilitación de acceso a comunicaciones hacia equipos telefónicos móviles, habilitación de acceso a servicios complementarios 600.
II.- RED PRIVADA DE DATOS:
Se requiere contratar el servicio de red privada de datos mediante la tecnología de RED IP que considere calidad de servicio para audio y vídeo, y que brinde Housing a su solución de contingencia, conforme a los parámetros y requerimientos señalados en estas bases técnicas.
Se requiere que las empresas del rubro oferten todos los requerimientos comprendidos en la presente licitación.</t>
        </is>
      </c>
      <c r="W113" s="5" t="str">
        <f>HYPERLINK("https://www.mercadopublico.cl/Procurement/Modules/Attachment/ViewAttachment.aspx?enc=hfOqnXw8XEvb2IMobMGQMLmb7RavZvisJSYaDaJARAMeWHNaH76wmnIox52o89EZYWGYl1vcBTnivoB0xNwPPfldLyJIprlmqt0VLjwM1%2bfmpQJN6iIRysXOUZSvtIDn%2b2FOLTDs%2f5XUM7oIcYwl6r%2f4k0VpifwnfpVF75Jv%2bSRzCLNpE7Fi8BDn8NWZx035AjIgpvU4jHeTBSZMuYcBmpo3CSfXZvrjGZ2RbX4jK7G33SpevAV8o29qszNiH5ZdxNH9YiajkqRMNcnmok%2bFXGIaA3PzoMVa01VPJgcQMVrJeEehD3EdTtJljUea5S8E","descargar bases")</f>
      </c>
    </row>
    <row r="114">
      <c r="A114" s="0" t="inlineStr">
        <is>
          <t xml:space="preserve">1113265-17-LE26</t>
        </is>
      </c>
      <c r="B114" s="4" t="inlineStr">
        <is>
          <t xml:space="preserve">PLATAFORMA DE GESTIÓN ESTRATÉGICA</t>
        </is>
      </c>
      <c r="C114" s="0" t="inlineStr">
        <is>
          <t xml:space="preserve">Publicada</t>
        </is>
      </c>
      <c r="D114" s="0" t="inlineStr">
        <is>
          <t xml:space="preserve">CENTRO DE FORMACION TECNICA DE LA REGION DE ANTOFAGASTA</t>
        </is>
      </c>
      <c r="E114" s="0" t="inlineStr">
        <is>
          <t xml:space="preserve">UNIDAD DE COMPRAS</t>
        </is>
      </c>
      <c r="F114" s="0" t="inlineStr">
        <is>
          <t xml:space="preserve">Región de Antofagasta </t>
        </is>
      </c>
      <c r="G114" s="0" t="inlineStr">
        <is>
          <t xml:space="preserve">Calama</t>
        </is>
      </c>
      <c r="H114" s="2">
        <v>46309.735046</v>
      </c>
      <c r="I114" s="2">
        <v>46332.63125</v>
      </c>
      <c r="J114" s="0">
        <v>15</v>
      </c>
      <c r="K114" s="3"/>
      <c r="L114" s="0" t="inlineStr">
        <is>
          <t xml:space="preserve">CLP</t>
        </is>
      </c>
      <c r="M114" s="0" t="inlineStr">
        <is>
          <t xml:space="preserve">LE</t>
        </is>
      </c>
      <c r="N114" s="4" t="inlineStr">
        <is>
          <t xml:space="preserve">Tecnologías de la información, telecomunicaciones y radiodifusión / Software / Software de consultas y gestión de datos</t>
        </is>
      </c>
      <c r="O114" s="4" t="inlineStr">
        <is>
          <t xml:space="preserve">1 Unidad · Software del sistema de administración de bases de datos</t>
        </is>
      </c>
      <c r="P114" s="2"/>
      <c r="Q114" s="2"/>
      <c r="R114" s="0" t="inlineStr">
        <is>
          <t xml:space="preserve">12 meses</t>
        </is>
      </c>
      <c r="S114" s="0" t="inlineStr">
        <is>
          <t xml:space="preserve">No</t>
        </is>
      </c>
      <c r="T114" s="4"/>
      <c r="U114" s="0" t="inlineStr">
        <is>
          <t xml:space="preserve">IVAN MELLA</t>
        </is>
      </c>
      <c r="V114" s="4" t="inlineStr">
        <is>
          <t xml:space="preserve">ADQUISICIÓN E IMPLEMENTACIÓN DE PLATAFORMA DE GESTIÓN ESTRATÉGICA DE LA PERMANENCIA ESTUDIANTIL PARA EL CENTRO DE FORMACIÓN TÉCNICA ESTATAL DE LA REGIÓN DE ANTOFAGASTA</t>
        </is>
      </c>
      <c r="W114" s="5" t="str">
        <f>HYPERLINK("https://www.mercadopublico.cl/Procurement/Modules/Attachment/ViewAttachment.aspx?enc=o81gmnpsg4kB3UO4iFcmWzHmL5DkMGX4BtqCR4%2biHQiu1stNbdCLWLt%2bTgeCG%2bj7vTthP%2fW7fMd4mELMRIpEZnB2dkEqMVvlP6EnyNzH0VR%2fgylHrHLdwCSUOWQbKiNYKTzb8NoXj5mRoNWNwiOFOVEZbYsGM8JVJJ0jYSXCL%2fc8YPHfnoog5YSvxr2ZiEPPRL4S%2baIIn9iFznIue0JQYac3GH7lMIIQDVMyI4Yqpfyc9ISZgoCPoh7iP07Xvxpdqi3FDOdnIqZEZPRIcQYzYlaOfW8%2fA6LLfdmdXnG%2byFn9SglhsmRjGkpGxo0mgbZ%2f","descargar bases")</f>
      </c>
    </row>
    <row r="115">
      <c r="A115" s="0" t="inlineStr">
        <is>
          <t xml:space="preserve">5126-4-LE26</t>
        </is>
      </c>
      <c r="B115" s="4" t="inlineStr">
        <is>
          <t xml:space="preserve">Cambio de tablero y protecciones eléctricas del CCN</t>
        </is>
      </c>
      <c r="C115" s="0" t="inlineStr">
        <is>
          <t xml:space="preserve">Publicada</t>
        </is>
      </c>
      <c r="D115" s="0" t="inlineStr">
        <is>
          <t xml:space="preserve">ESTADO MAYOR CONJUNTO</t>
        </is>
      </c>
      <c r="E115" s="0" t="inlineStr">
        <is>
          <t xml:space="preserve">EMC-Comando Conjunto Norte</t>
        </is>
      </c>
      <c r="F115" s="0" t="inlineStr">
        <is>
          <t xml:space="preserve">Región de Tarapacá  </t>
        </is>
      </c>
      <c r="G115" s="0" t="inlineStr">
        <is>
          <t xml:space="preserve">Iquique</t>
        </is>
      </c>
      <c r="H115" s="2">
        <v>46317.495069</v>
      </c>
      <c r="I115" s="2">
        <v>46332.833333</v>
      </c>
      <c r="J115" s="0">
        <v>15</v>
      </c>
      <c r="K115" s="3">
        <v>14807000.0</v>
      </c>
      <c r="L115" s="0" t="inlineStr">
        <is>
          <t xml:space="preserve">CLP</t>
        </is>
      </c>
      <c r="M115" s="0" t="inlineStr">
        <is>
          <t xml:space="preserve">LE</t>
        </is>
      </c>
      <c r="N115" s="4" t="inlineStr">
        <is>
          <t xml:space="preserve">Maquinaria para generación y distribución de energía / Generación de energía / Equipo para control de producción de energía</t>
        </is>
      </c>
      <c r="O115" s="4" t="inlineStr">
        <is>
          <t xml:space="preserve">1 Unidad · Paneles de control eléctrico para generadores</t>
        </is>
      </c>
      <c r="P115" s="2"/>
      <c r="Q115" s="2"/>
      <c r="R115" s="0"/>
      <c r="S115" s="0" t="inlineStr">
        <is>
          <t xml:space="preserve">No</t>
        </is>
      </c>
      <c r="T115" s="4"/>
      <c r="U115" s="0" t="inlineStr">
        <is>
          <t xml:space="preserve">Capitán de Bandada Sebastián Leyton Arancibia</t>
        </is>
      </c>
      <c r="V115" s="4" t="inlineStr">
        <is>
          <t xml:space="preserve">Cambio de tablero y protecciones eléctricas pertenecientes al segundo piso del Comando Conjunto Norte.</t>
        </is>
      </c>
      <c r="W115" s="5" t="str">
        <f>HYPERLINK("https://www.mercadopublico.cl/Procurement/Modules/Attachment/ViewAttachment.aspx?enc=aV%2fyc0FW9vI7SJqjdYEyJYK4RSu3hOjS2gEX6i1%2fTFQ3ikUmL2r7dsuWejUjSVd%2fG3DMCfgVpJnItrSaR4GONv2tXOMIj2XjL%2f1djK273dZo1iPqbnuma%2bbdToXWbNKx7ue3%2bh4wSz6g6GVr3M%2bl741qassC6yecgRlXhq%2fI0VpBQI%2beM3iX2y1uSwNgzWo0pi%2fvFJ6brT1CHGbIvIEUKtnhJiV5hUJkUBJGbpXHcWFaMvLA1gErSx%2fVyhW181CSmqnX%2bufxpB61%2bFj2xK9pv%2br0EHWKE2RUuqYGvmoC2o5MnsXJMCBPOtuVW5BkuEcc","descargar bases")</f>
      </c>
    </row>
    <row r="116">
      <c r="A116" s="0" t="inlineStr">
        <is>
          <t xml:space="preserve">619-13-LP26</t>
        </is>
      </c>
      <c r="B116" s="4" t="inlineStr">
        <is>
          <t xml:space="preserve">Suscripción de licencias IA generativa Claude.</t>
        </is>
      </c>
      <c r="C116" s="0" t="inlineStr">
        <is>
          <t xml:space="preserve">Publicada</t>
        </is>
      </c>
      <c r="D116" s="0" t="inlineStr">
        <is>
          <t xml:space="preserve">SUBSECRETARIA DEL MINISTERIO DE HACIENDA</t>
        </is>
      </c>
      <c r="E116" s="0" t="inlineStr">
        <is>
          <t xml:space="preserve">SUBSECRETARIA DEL MINISTERIO DE HACIENDA</t>
        </is>
      </c>
      <c r="F116" s="0" t="inlineStr">
        <is>
          <t xml:space="preserve">Región Metropolitana de Santiago</t>
        </is>
      </c>
      <c r="G116" s="0" t="inlineStr">
        <is>
          <t xml:space="preserve">Santiago</t>
        </is>
      </c>
      <c r="H116" s="2">
        <v>46314.50441</v>
      </c>
      <c r="I116" s="2">
        <v>46335.625</v>
      </c>
      <c r="J116" s="0">
        <v>18</v>
      </c>
      <c r="K116" s="3">
        <v>105000000.0</v>
      </c>
      <c r="L116" s="0" t="inlineStr">
        <is>
          <t xml:space="preserve">CLP</t>
        </is>
      </c>
      <c r="M116" s="0" t="inlineStr">
        <is>
          <t xml:space="preserve">LP</t>
        </is>
      </c>
      <c r="N116" s="4" t="inlineStr">
        <is>
          <t xml:space="preserve">Tecnologías de la información, telecomunicaciones y radiodifusión / Software / Software de gestión</t>
        </is>
      </c>
      <c r="O116" s="4" t="inlineStr">
        <is>
          <t xml:space="preserve">1 Unidad no definida · Software de gestión de licencias</t>
        </is>
      </c>
      <c r="P116" s="2"/>
      <c r="Q116" s="2"/>
      <c r="R116" s="0" t="inlineStr">
        <is>
          <t xml:space="preserve">13 meses</t>
        </is>
      </c>
      <c r="S116" s="0" t="inlineStr">
        <is>
          <t xml:space="preserve">No</t>
        </is>
      </c>
      <c r="T116" s="4"/>
      <c r="U116" s="0" t="inlineStr">
        <is>
          <t xml:space="preserve">Óscar Escobar</t>
        </is>
      </c>
      <c r="V116" s="4" t="inlineStr">
        <is>
          <t xml:space="preserve">La Subsecretaría de Hacienda requiere contratar la suscripción de 124 licencias anuales de inteligencia artificial generativa Claude, equivalente o superior, distribuidas en 47 licencias Premium y 77 licencias Standard, por un período de 12 meses, destinadas a apoyar las labores técnicas y mejorar la productividad de los equipos institucionales, conforme a las especificaciones establecidas en las bases de licitación.</t>
        </is>
      </c>
      <c r="W116" s="5" t="str">
        <f>HYPERLINK("https://www.mercadopublico.cl/Procurement/Modules/Attachment/ViewAttachment.aspx?enc=SPbwSIDkkiPy1fumkPbZb%2bHAmMULnqExxbwIgi5b5tXXRWISKCkpAzQGM6zqL%2f3%2bfvp2Ri1q8eZrXXdo6Q8Cl4sdi7c1NrUa8eEW56Jzls24K2rp%2f8K5BruHoqh2PMawP1dlOLFzchY6dH%2bUzi5Pqg9N44Ck58WPBZsAA3mR91%2bhco%2f095EIZ13Orzj4ABI3%2feDDdfEKOjHkbmg2dXTUHtR25Xa3NxAJMNzNE95Ni7W56AdpltEv0vWzpuWslC0TWBqwlXfCKeSjF0qEAp3%2b9pCUhRf5Y505PI81AJUDrE0q2Xa5uPUoHqQQC0Uifxa1","descargar bases")</f>
      </c>
    </row>
    <row r="117">
      <c r="A117" s="0" t="inlineStr">
        <is>
          <t xml:space="preserve">1177296-25-LP26</t>
        </is>
      </c>
      <c r="B117" s="4" t="inlineStr">
        <is>
          <t xml:space="preserve">CONTRATACIÓN DESERVICIOS DE INSTALACIÓN IMPLEMENTACIÓN ARRIENDO SOPORTE MANTENCIÓN Y OPERACIÓN DE SOFTWARE Y HARDWARE DE UN SISTEMA DE GESTIÓN DE ASISTENCIA RELOJES CONTROL Y MARCAJE REMOTO CON GEORREFERENCIACIÓN PARA EL SERVICIO NACIONAL DE PRO</t>
        </is>
      </c>
      <c r="C117" s="0" t="inlineStr">
        <is>
          <t xml:space="preserve">Publicada</t>
        </is>
      </c>
      <c r="D117" s="0" t="inlineStr">
        <is>
          <t xml:space="preserve">SERVICIO NACIONAL DE PROTECCIÓN ESPECIALIZADA A LA NIÑEZ Y ADOLESCENCI</t>
        </is>
      </c>
      <c r="E117" s="0" t="inlineStr">
        <is>
          <t xml:space="preserve">SERVICIO NACIONAL DE PROTECCIÓN ESPECIALIZADA A LA</t>
        </is>
      </c>
      <c r="F117" s="0" t="inlineStr">
        <is>
          <t xml:space="preserve">Región Metropolitana de Santiago</t>
        </is>
      </c>
      <c r="G117" s="0" t="inlineStr">
        <is>
          <t xml:space="preserve">Santiago</t>
        </is>
      </c>
      <c r="H117" s="2">
        <v>46309.722616</v>
      </c>
      <c r="I117" s="2">
        <v>46335.625</v>
      </c>
      <c r="J117" s="0">
        <v>18</v>
      </c>
      <c r="K117" s="3"/>
      <c r="L117" s="0" t="inlineStr">
        <is>
          <t xml:space="preserve">CLP</t>
        </is>
      </c>
      <c r="M117" s="0" t="inlineStr">
        <is>
          <t xml:space="preserve">LP</t>
        </is>
      </c>
      <c r="N117" s="4" t="inlineStr">
        <is>
          <t xml:space="preserve">Equipos, accesorios y suministros de oficina / Maquinarias, suministros y accesorios de oficina / Máquinas y accesorios para registro de hora y asistencia en la oficina</t>
        </is>
      </c>
      <c r="O117" s="4" t="inlineStr">
        <is>
          <t xml:space="preserve">1 Global · Reloj de control</t>
        </is>
      </c>
      <c r="P117" s="2"/>
      <c r="Q117" s="2"/>
      <c r="R117" s="0" t="inlineStr">
        <is>
          <t xml:space="preserve">24 meses</t>
        </is>
      </c>
      <c r="S117" s="0" t="inlineStr">
        <is>
          <t xml:space="preserve">No</t>
        </is>
      </c>
      <c r="T117" s="4" t="inlineStr">
        <is>
          <t xml:space="preserve">Según lo indicado en bases de licitación adjuntas.</t>
        </is>
      </c>
      <c r="U117" s="0" t="inlineStr">
        <is>
          <t xml:space="preserve">Maximo Ovalle</t>
        </is>
      </c>
      <c r="V117" s="4" t="inlineStr">
        <is>
          <t xml:space="preserve">Adquirir servicios de instalación, mplementación, arriendo, soporte, mantención y operación de software y hardware de un sistema de  gestión de asistencia, relojes control y marcaje remoto con georreferenciación</t>
        </is>
      </c>
      <c r="W117" s="5" t="str">
        <f>HYPERLINK("https://www.mercadopublico.cl/Procurement/Modules/Attachment/ViewAttachment.aspx?enc=CzzVvLvWT%2fripXE7rKmBwXbUMPWROXA%2fJmwVpurJsxcar2LXx5QOh35g8Ae4eEUgzfA%2fEhFl8G%2fNgOVGsJQD5uIsn%2bD3DfQqKEm9po6J93J8yAlFBhnyu%2f5xGpthMNuMflHkAyzZ6SvsiaoO%2bWcWQPo3oXOxY1VFq9wr8tZgYiSqE56LyPsoM4HN7w0zE7NujTg5jmvl6PKAMt3ALB4WG5HXQPz%2bcg76IAKpwOlVnOoWsPJhu0VdwJwUd5iPYULnlb8lILOqzFhX9EFAt0cg6G9Bn17NTJSNEkcj9O4b0oxnxma8LDfLUNnG%2fP9gf64u","descargar bases")</f>
      </c>
    </row>
    <row r="118">
      <c r="A118" s="0" t="inlineStr">
        <is>
          <t xml:space="preserve">2421-52-LR26</t>
        </is>
      </c>
      <c r="B118" s="4" t="inlineStr">
        <is>
          <t xml:space="preserve">SUMINISTRO SERVICIO DE TELECOMUNICACIONES DATOS Y VOZ</t>
        </is>
      </c>
      <c r="C118" s="0" t="inlineStr">
        <is>
          <t xml:space="preserve">Publicada</t>
        </is>
      </c>
      <c r="D118" s="0" t="inlineStr">
        <is>
          <t xml:space="preserve">I MUNICIPALIDAD DE CONCEPCION</t>
        </is>
      </c>
      <c r="E118" s="0" t="inlineStr">
        <is>
          <t xml:space="preserve">DIRECCION DE SALUD MUNICIPAL DE CONCEPCION</t>
        </is>
      </c>
      <c r="F118" s="0" t="inlineStr">
        <is>
          <t xml:space="preserve">Región del Biobío </t>
        </is>
      </c>
      <c r="G118" s="0" t="inlineStr">
        <is>
          <t xml:space="preserve">Concepción</t>
        </is>
      </c>
      <c r="H118" s="2">
        <v>46303.407569</v>
      </c>
      <c r="I118" s="2">
        <v>46335.625</v>
      </c>
      <c r="J118" s="0">
        <v>18</v>
      </c>
      <c r="K118" s="3"/>
      <c r="L118" s="0" t="inlineStr">
        <is>
          <t xml:space="preserve">CLP</t>
        </is>
      </c>
      <c r="M118" s="0" t="inlineStr">
        <is>
          <t xml:space="preserve">LR</t>
        </is>
      </c>
      <c r="N118" s="4" t="inlineStr">
        <is>
          <t xml:space="preserve">Servicios básicos y de información pública / Telecomunicaciones / Telefonía local y de larga distancia</t>
        </is>
      </c>
      <c r="O118" s="4" t="inlineStr">
        <is>
          <t xml:space="preserve">1 Unidad · Servicio telefónico local · 1 Unidad · Servicio telefónico local</t>
        </is>
      </c>
      <c r="P118" s="2"/>
      <c r="Q118" s="2"/>
      <c r="R118" s="0" t="inlineStr">
        <is>
          <t xml:space="preserve">60 meses</t>
        </is>
      </c>
      <c r="S118" s="0" t="inlineStr">
        <is>
          <t xml:space="preserve">No</t>
        </is>
      </c>
      <c r="T118" s="4"/>
      <c r="U118" s="0" t="inlineStr">
        <is>
          <t xml:space="preserve">MARCELO SEPULVEDA</t>
        </is>
      </c>
      <c r="V118" s="4" t="inlineStr">
        <is>
          <t xml:space="preserve">LA DIRECCION DE SALUD DE CONCEPCION SOLICITA LA ADQUISICION DE SUMINISTRO DE SERVICIO DE TELECOMUNICACIONES DE DATOS Y VOZ POR UN PLAZO DE 60 MESES.</t>
        </is>
      </c>
      <c r="W118" s="5" t="str">
        <f>HYPERLINK("https://www.mercadopublico.cl/Procurement/Modules/Attachment/ViewAttachment.aspx?enc=JfYYTCayfSAKN8Go1vyZRgEb8u0B5X0hA18v2170e6cWMz3RsHX32lf9UJz6iS1JeHUuFe4dWcl3ipXVFedF2k7LUZDf6BLnBegYLoK3Z%2fCvNWrl43JCxXl8bbMxqh1SNZ5Be5NnQFzZa3OoAP%2byT55zv61OYfbxMA19LfHuLFTpSNGsga%2bekPDmvtkqMn1b3%2f1KFu%2fQTBHgiBGzHQEkKpLCs5bdYV%2bH6pL8Ct%2fXEr0hbygpZCBOwm6lD75Nctd6LuVO1DOfSAH4iYw0PbLPTlItrC2BKWLxbsUmaqs6MJ5hEvR6%2bHbSO0lEZX0CyqlR","descargar bases")</f>
      </c>
    </row>
    <row r="119">
      <c r="A119" s="0" t="inlineStr">
        <is>
          <t xml:space="preserve">594965-31-LE26</t>
        </is>
      </c>
      <c r="B119" s="4" t="inlineStr">
        <is>
          <t xml:space="preserve">INSUMOS INFORMATICOS PARA REGION DE OHIGGINS</t>
        </is>
      </c>
      <c r="C119" s="0" t="inlineStr">
        <is>
          <t xml:space="preserve">Publicada</t>
        </is>
      </c>
      <c r="D119" s="0" t="inlineStr">
        <is>
          <t xml:space="preserve">FUNDACION EDUCACIONAL PARA EL DESAROLLO INTEGRAL DE LA NIÑEZ</t>
        </is>
      </c>
      <c r="E119" s="0" t="inlineStr">
        <is>
          <t xml:space="preserve">Regional Lib Bdo Ohiggins</t>
        </is>
      </c>
      <c r="F119" s="0" t="inlineStr">
        <is>
          <t xml:space="preserve">Región del Libertador General Bernardo O´Higgins</t>
        </is>
      </c>
      <c r="G119" s="0" t="inlineStr">
        <is>
          <t xml:space="preserve">Rancagua</t>
        </is>
      </c>
      <c r="H119" s="2">
        <v>46317.452975</v>
      </c>
      <c r="I119" s="2">
        <v>46335.625694</v>
      </c>
      <c r="J119" s="0">
        <v>18</v>
      </c>
      <c r="K119" s="3">
        <v>37984000.0</v>
      </c>
      <c r="L119" s="0" t="inlineStr">
        <is>
          <t xml:space="preserve">CLP</t>
        </is>
      </c>
      <c r="M119" s="0" t="inlineStr">
        <is>
          <t xml:space="preserve">LE</t>
        </is>
      </c>
      <c r="N119" s="4" t="inlineStr">
        <is>
          <t xml:space="preserve">Equipos, accesorios y suministros de oficina / Maquinarias, suministros y accesorios de oficina / Suministros para impresora, fax y fotocopiadora</t>
        </is>
      </c>
      <c r="O119" s="4" t="inlineStr">
        <is>
          <t xml:space="preserve">124 Unidad · Tóner · 139 Unidad · Tóner · 57 Unidad · Tóner · y 34 más</t>
        </is>
      </c>
      <c r="P119" s="2"/>
      <c r="Q119" s="2"/>
      <c r="R119" s="0"/>
      <c r="S119" s="0" t="inlineStr">
        <is>
          <t xml:space="preserve">No</t>
        </is>
      </c>
      <c r="T119" s="4" t="inlineStr">
        <is>
          <t xml:space="preserve">Durante la ejecución de la presente contratación, el Proveedor NO estará facultado para subcontratar las obligaciones objeto de la presente licitación.
No obstante, se permitirá la utilización de terceros para el transporte y la distribución de los prod</t>
        </is>
      </c>
      <c r="U119" s="0" t="inlineStr">
        <is>
          <t xml:space="preserve">MARIO ORTIZ ESPINOZA</t>
        </is>
      </c>
      <c r="V119" s="4" t="inlineStr">
        <is>
          <t xml:space="preserve">Fundación Integra requiere la adquisición de insumos informáticos para oficina regional y jardines infantiles de Fundación Integra en la región de O’Higgins, de conformidad a lo señalado en las presentes bases administrativas y a las especificaciones indicadas en las bases técnicas respectivas</t>
        </is>
      </c>
      <c r="W119" s="5" t="str">
        <f>HYPERLINK("https://www.mercadopublico.cl/Procurement/Modules/Attachment/ViewAttachment.aspx?enc=A3Hi4ispFiS21BJjBSm5GA7WdITuOOGzIKp8Eite1MLwnF2REpowVTwcvMWon96%2fS3qdqPjXbULMoevnJn7PUiIDbA%2b0pKnNhtjFakZufnMNNZuCs4MOHyte9Qa%2foCFBeMoyiwJ9CInfjTbj5QdUXPSGplzjBIJEwjd40FjNHtxIlBNo43ydwk0H6DS3JOUkRwkintLEtMGp95BtTlNzm9S8lG3bRgkxVe7asIz3G%2fc%2b1YX65MEvNrIo7Ne9b4FbIdeHArzUoj%2bED4zy6d0yu80d067Fe9lbW%2fDz88JHi5%2bsY6%2bdz%2b95KDuciGqeH0KO","descargar bases")</f>
      </c>
    </row>
    <row r="120">
      <c r="A120" s="0" t="inlineStr">
        <is>
          <t xml:space="preserve">1057390-21-LR26</t>
        </is>
      </c>
      <c r="B120" s="4" t="inlineStr">
        <is>
          <t xml:space="preserve">PLATAFORMA CLOUD COMPUTING Y SERVICIOS ASOCIADOS ESISSAN</t>
        </is>
      </c>
      <c r="C120" s="0" t="inlineStr">
        <is>
          <t xml:space="preserve">Publicada</t>
        </is>
      </c>
      <c r="D120" s="0" t="inlineStr">
        <is>
          <t xml:space="preserve">SERVICIO DE SALUD ARAUCANIA NORTE</t>
        </is>
      </c>
      <c r="E120" s="0" t="inlineStr">
        <is>
          <t xml:space="preserve">Bienes y Servicios</t>
        </is>
      </c>
      <c r="F120" s="0" t="inlineStr">
        <is>
          <t xml:space="preserve">Región de la Araucanía </t>
        </is>
      </c>
      <c r="G120" s="0" t="inlineStr">
        <is>
          <t xml:space="preserve">Angol</t>
        </is>
      </c>
      <c r="H120" s="2">
        <v>46304.689398</v>
      </c>
      <c r="I120" s="2">
        <v>46335.645833</v>
      </c>
      <c r="J120" s="0">
        <v>18</v>
      </c>
      <c r="K120" s="3">
        <v>487000000.0</v>
      </c>
      <c r="L120" s="0" t="inlineStr">
        <is>
          <t xml:space="preserve">CLP</t>
        </is>
      </c>
      <c r="M120" s="0" t="inlineStr">
        <is>
          <t xml:space="preserve">LR</t>
        </is>
      </c>
      <c r="N120" s="4" t="inlineStr">
        <is>
          <t xml:space="preserve">Tecnologías de la información, telecomunicaciones y radiodifusión / Software / Software para trabajo en redes</t>
        </is>
      </c>
      <c r="O120" s="4" t="inlineStr">
        <is>
          <t xml:space="preserve">1 Unidad · Software de interconectividad de plataformas</t>
        </is>
      </c>
      <c r="P120" s="2"/>
      <c r="Q120" s="2"/>
      <c r="R120" s="0" t="inlineStr">
        <is>
          <t xml:space="preserve">36 meses</t>
        </is>
      </c>
      <c r="S120" s="0" t="inlineStr">
        <is>
          <t xml:space="preserve">No</t>
        </is>
      </c>
      <c r="T120" s="4"/>
      <c r="U120" s="0" t="inlineStr">
        <is>
          <t xml:space="preserve">Jorge Mora Bustamante</t>
        </is>
      </c>
      <c r="V120" s="4" t="inlineStr">
        <is>
          <t xml:space="preserve">La presente licitación tiene como contratación de Servicios Plataforma Cloud Computing y Servicios Asociados Aplicativo ESISSAN del Servicio De Salud Araucanía Norte a 36 meses, todo ello según especificaciones técnicas (Formulario No 5).</t>
        </is>
      </c>
      <c r="W120" s="5" t="str">
        <f>HYPERLINK("https://www.mercadopublico.cl/Procurement/Modules/Attachment/ViewAttachment.aspx?enc=zj9feTN8eenMMrADBsIbNABYuEyDUs3jrVVVGQuiv1lgsbD5qFcmvkbVkTGNgY3Jds9%2fBE1o1vSLsS3szrWAqEISBZsFFz%2f1v7fADIPppPrgH%2beTz6R0may3%2fZAZ%2fT8YyrLQtfui80dEMdf27zGcMbxQ5D80E08Bvuco6MqYJ7kdwQ7VxHvB5TQsuLafCiBopW5KErS%2bRyI6vN8DIWWohKt5gVYEpTQj39g3Y5u9MijwpnxALW0UU%2b%2bkipZqeyjg1fGQMOT45uh%2fBnURERZP%2fVUpSJCvVDK%2fdXxswkvbNJGM93rXCTAPdWNLwBqicFj2","descargar bases")</f>
      </c>
    </row>
    <row r="121">
      <c r="A121" s="0" t="inlineStr">
        <is>
          <t xml:space="preserve">1260-17-LP26</t>
        </is>
      </c>
      <c r="B121" s="4" t="inlineStr">
        <is>
          <t xml:space="preserve">NARRATIVAS DIGITALES Y PRODUCCION CONTENIDOS</t>
        </is>
      </c>
      <c r="C121" s="0" t="inlineStr">
        <is>
          <t xml:space="preserve">Publicada</t>
        </is>
      </c>
      <c r="D121" s="0" t="inlineStr">
        <is>
          <t xml:space="preserve">GOBIERNO REGIONAL REGION METROPOLITANA</t>
        </is>
      </c>
      <c r="E121" s="0" t="inlineStr">
        <is>
          <t xml:space="preserve">ADQUISICIONES - PROGRAMA 01</t>
        </is>
      </c>
      <c r="F121" s="0" t="inlineStr">
        <is>
          <t xml:space="preserve">Región Metropolitana de Santiago</t>
        </is>
      </c>
      <c r="G121" s="0"/>
      <c r="H121" s="2">
        <v>46303.472778</v>
      </c>
      <c r="I121" s="2">
        <v>46335.645833</v>
      </c>
      <c r="J121" s="0">
        <v>18</v>
      </c>
      <c r="K121" s="3">
        <v>160650000.0</v>
      </c>
      <c r="L121" s="0" t="inlineStr">
        <is>
          <t xml:space="preserve">CLP</t>
        </is>
      </c>
      <c r="M121" s="0" t="inlineStr">
        <is>
          <t xml:space="preserve">LP</t>
        </is>
      </c>
      <c r="N121" s="4" t="inlineStr">
        <is>
          <t xml:space="preserve">Servicios profesionales, administrativos y consultorías de gestión empresarial / Servicios para la comercialización y distribución / Ventas y marketing</t>
        </is>
      </c>
      <c r="O121" s="4" t="inlineStr">
        <is>
          <t xml:space="preserve">1 Unidad · Agencias de marketing de ventas, incluidas las impresiones</t>
        </is>
      </c>
      <c r="P121" s="2"/>
      <c r="Q121" s="2"/>
      <c r="R121" s="0" t="inlineStr">
        <is>
          <t xml:space="preserve">365 días</t>
        </is>
      </c>
      <c r="S121" s="0" t="inlineStr">
        <is>
          <t xml:space="preserve">No</t>
        </is>
      </c>
      <c r="T121" s="4"/>
      <c r="U121" s="0" t="inlineStr">
        <is>
          <t xml:space="preserve">Joaquín Orellana Calderón</t>
        </is>
      </c>
      <c r="V121" s="4" t="inlineStr">
        <is>
          <t xml:space="preserve">Contratar un servicio experto de análisis de narrativas digitales y producción de contenidos creativos que permita al Gobierno de Santiago monitorear y comprender las conversaciones relevantes para su gestión institucional, identificar riesgos y oportunidades comunicacionales, y generar contenidos gráficos y audiovisuales alineados con sus objetivos estratégicos y territoriales.</t>
        </is>
      </c>
      <c r="W121" s="5" t="str">
        <f>HYPERLINK("https://www.mercadopublico.cl/Procurement/Modules/Attachment/ViewAttachment.aspx?enc=cdHZPWQixnOO%2bEIbVwvhoPKZhtRxk9kl%2bDMB1sV2XjXi5FCEYUApYLp9xG7nz3AaYbdnsF2DgJZldfjGit2uOuDdvkUKHpsU6heXu1Z1fW%2bTDIOrrZslo9b2xb3%2bxT2t8LajxkvK3nb53ZdRruHIcKhabqYFgqBaKVQwsAQGjURfAfBqgWd%2bPo4wuYMvuSZUEcJvqBsfLN%2fuHONSKRD05oogmQiD8lAra9Lq7%2bXx08e%2bMxxdPuNtkcVBdip73%2f90fHmW0E5l9Y1Vgxbf3VqwyMBiS3DQehlfxtaUrVDPkQr%2btl2rgLrgH%2bHK0px7BfNW","descargar bases")</f>
      </c>
    </row>
    <row r="122">
      <c r="A122" s="0" t="inlineStr">
        <is>
          <t xml:space="preserve">425-73-LP26</t>
        </is>
      </c>
      <c r="B122" s="4" t="inlineStr">
        <is>
          <t xml:space="preserve">Renovación de licencias de software CISCO</t>
        </is>
      </c>
      <c r="C122" s="0" t="inlineStr">
        <is>
          <t xml:space="preserve">Publicada</t>
        </is>
      </c>
      <c r="D122" s="0" t="inlineStr">
        <is>
          <t xml:space="preserve">CORP ADMINISTRATIVA DEL PODER JUDICIAL</t>
        </is>
      </c>
      <c r="E122" s="0" t="inlineStr">
        <is>
          <t xml:space="preserve">Servicios</t>
        </is>
      </c>
      <c r="F122" s="0" t="inlineStr">
        <is>
          <t xml:space="preserve">Región Metropolitana de Santiago</t>
        </is>
      </c>
      <c r="G122" s="0" t="inlineStr">
        <is>
          <t xml:space="preserve">Santiago Centro</t>
        </is>
      </c>
      <c r="H122" s="2">
        <v>46304.698588</v>
      </c>
      <c r="I122" s="2">
        <v>46335.666667</v>
      </c>
      <c r="J122" s="0">
        <v>18</v>
      </c>
      <c r="K122" s="3"/>
      <c r="L122" s="0" t="inlineStr">
        <is>
          <t xml:space="preserve">USD</t>
        </is>
      </c>
      <c r="M122" s="0" t="inlineStr">
        <is>
          <t xml:space="preserve">LP</t>
        </is>
      </c>
      <c r="N122" s="4" t="inlineStr">
        <is>
          <t xml:space="preserve">Tecnologías de la información, telecomunicaciones y radiodifusión / Software / Software de gestión</t>
        </is>
      </c>
      <c r="O122" s="4" t="inlineStr">
        <is>
          <t xml:space="preserve">5000 Unidad · Software de gestión de licencias · 20000 Unidad · Software de gestión de licencias · 11000 Unidad · Software de gestión de licencias · y 7 más</t>
        </is>
      </c>
      <c r="P122" s="2"/>
      <c r="Q122" s="2"/>
      <c r="R122" s="0" t="inlineStr">
        <is>
          <t xml:space="preserve">12 meses</t>
        </is>
      </c>
      <c r="S122" s="0" t="inlineStr">
        <is>
          <t xml:space="preserve">No</t>
        </is>
      </c>
      <c r="T122" s="4" t="inlineStr">
        <is>
          <t xml:space="preserve">Remítase a lo indicado en el numeral 15 de las bases administrativas especiales</t>
        </is>
      </c>
      <c r="U122" s="0" t="inlineStr">
        <is>
          <t xml:space="preserve">César Herrera Mejías</t>
        </is>
      </c>
      <c r="V122" s="4" t="inlineStr">
        <is>
          <t xml:space="preserve">UR (1804), Renovación de licencias de software CISCO</t>
        </is>
      </c>
      <c r="W122" s="5" t="str">
        <f>HYPERLINK("https://www.mercadopublico.cl/Procurement/Modules/Attachment/ViewAttachment.aspx?enc=LyMTjxmIMQz5xhbVhlNg7RRMCJqq3MlkowfH5le8Gg3dUbdNUcugJ9zzTtaRe1nidko9Zj94SntAq1kiSYJuQ8A4ZRS9UW93HPxvNV%2bqgWbCaQDk7M4J3XTmoObKevY7eaWAi2Qc%2bwxV%2ba6fFfP%2bIUdNeY%2bfCSDDMwgqx0lyP12d6P%2bL2CzvUpiMwOZ4wMjgdHsKtsBAhpKcqAwdtIo1TTHwey0dhZxye1k01LF8imDD9zJc2xi%2fDyM5KZ1A%2bK6EzeOljMt0ckqLoStQIZev9C%2f2GwXOHV%2b7MI8V4qg8wAedDRxksmAYqo2DtJ6%2bgfX0","descargar bases")</f>
      </c>
    </row>
    <row r="123">
      <c r="A123" s="0" t="inlineStr">
        <is>
          <t xml:space="preserve">564953-78-B226</t>
        </is>
      </c>
      <c r="B123" s="4" t="inlineStr">
        <is>
          <t xml:space="preserve">ACTUALIZACIÓN PLATAFORMA ERP</t>
        </is>
      </c>
      <c r="C123" s="0" t="inlineStr">
        <is>
          <t xml:space="preserve">Publicada</t>
        </is>
      </c>
      <c r="D123" s="0" t="inlineStr">
        <is>
          <t xml:space="preserve">Corporación de Educación y Salud de Las Condes</t>
        </is>
      </c>
      <c r="E123" s="0" t="inlineStr">
        <is>
          <t xml:space="preserve">Corporación de Educación y Salud de Las Condes</t>
        </is>
      </c>
      <c r="F123" s="0" t="inlineStr">
        <is>
          <t xml:space="preserve">Región Metropolitana de Santiago</t>
        </is>
      </c>
      <c r="G123" s="0" t="inlineStr">
        <is>
          <t xml:space="preserve">Las Condes</t>
        </is>
      </c>
      <c r="H123" s="2">
        <v>46315.70647</v>
      </c>
      <c r="I123" s="2">
        <v>46335.749306</v>
      </c>
      <c r="J123" s="0">
        <v>18</v>
      </c>
      <c r="K123" s="3">
        <v>250000000.0</v>
      </c>
      <c r="L123" s="0" t="inlineStr">
        <is>
          <t xml:space="preserve">CLP</t>
        </is>
      </c>
      <c r="M123" s="0" t="inlineStr">
        <is>
          <t xml:space="preserve">B2</t>
        </is>
      </c>
      <c r="N123" s="4" t="inlineStr">
        <is>
          <t xml:space="preserve">Tecnologías de la información, telecomunicaciones y radiodifusión / Software / Software de planificación de recursos empresariales (ERP) y contabilidad financiera</t>
        </is>
      </c>
      <c r="O123" s="4" t="inlineStr">
        <is>
          <t xml:space="preserve">1 Unidad · Software de planificación de recursos empresariales (ERP)</t>
        </is>
      </c>
      <c r="P123" s="2"/>
      <c r="Q123" s="2"/>
      <c r="R123" s="0" t="inlineStr">
        <is>
          <t xml:space="preserve">40 meses</t>
        </is>
      </c>
      <c r="S123" s="0" t="inlineStr">
        <is>
          <t xml:space="preserve">No</t>
        </is>
      </c>
      <c r="T123" s="4"/>
      <c r="U123" s="0" t="inlineStr">
        <is>
          <t xml:space="preserve">Cristian Seguel</t>
        </is>
      </c>
      <c r="V123" s="4" t="inlineStr">
        <is>
          <t xml:space="preserve">El objetivo de la presente licitación es contratar el servicio de implementación y soporte de ERP Dynamics Business Central</t>
        </is>
      </c>
      <c r="W123" s="5" t="str">
        <f>HYPERLINK("https://www.mercadopublico.cl/Procurement/Modules/Attachment/ViewAttachment.aspx?enc=zU7EnX88Muq5P2uWLE6X8l2LAEpECN6e6H8QBfFWkg8vthCS3twTLO0GEBvCxYQJ7bqEBMNcXEFzwZAPHcfE8ANzQpmN%2bB%2fS8TLXrEXAnR5uzQYHWLD7p1R%2b%2fHb6L9rxXRGeOg9ZocVoxTvdLxUHwLHhD%2fwtHVKayxpgs0k8DdpwfDM9cxg3%2bFCQh6LIJaHk4YpWDxyCnKssLJx1zKJKUMcztfCuJXVHUtk%2f8l6gZz7nIX3%2bbNMPGTwu%2fwiKpSyDOjfFHqmegtMMA1e9THlUHyW9wEDcxgcmPq7Sj0n5i8nMHOaPlw9o3T40a%2bbwUc7X","descargar bases")</f>
      </c>
    </row>
    <row r="124">
      <c r="A124" s="0" t="inlineStr">
        <is>
          <t xml:space="preserve">4160-22-LP26</t>
        </is>
      </c>
      <c r="B124" s="4" t="inlineStr">
        <is>
          <t xml:space="preserve">SERVICIO DE INTERNET VOZ Y DATOS</t>
        </is>
      </c>
      <c r="C124" s="0" t="inlineStr">
        <is>
          <t xml:space="preserve">Publicada</t>
        </is>
      </c>
      <c r="D124" s="0" t="inlineStr">
        <is>
          <t xml:space="preserve">MUNICIPALIDAD DE HUALPEN</t>
        </is>
      </c>
      <c r="E124" s="0" t="inlineStr">
        <is>
          <t xml:space="preserve">Secplan</t>
        </is>
      </c>
      <c r="F124" s="0" t="inlineStr">
        <is>
          <t xml:space="preserve">Región del Biobío </t>
        </is>
      </c>
      <c r="G124" s="0" t="inlineStr">
        <is>
          <t xml:space="preserve">Hualpén</t>
        </is>
      </c>
      <c r="H124" s="2">
        <v>46314.427569</v>
      </c>
      <c r="I124" s="2">
        <v>46336.583333</v>
      </c>
      <c r="J124" s="0">
        <v>19</v>
      </c>
      <c r="K124" s="3"/>
      <c r="L124" s="0" t="inlineStr">
        <is>
          <t xml:space="preserve">CLF</t>
        </is>
      </c>
      <c r="M124" s="0" t="inlineStr">
        <is>
          <t xml:space="preserve">LP</t>
        </is>
      </c>
      <c r="N124" s="4" t="inlineStr">
        <is>
          <t xml:space="preserve">Servicios basados en ingeniería, ciencias sociales y tecnología de la información / Servicios informáticos / Servicios para internet</t>
        </is>
      </c>
      <c r="O124" s="4" t="inlineStr">
        <is>
          <t xml:space="preserve">36 Mes · Proveedores de servicio de Internet (ISP)</t>
        </is>
      </c>
      <c r="P124" s="2"/>
      <c r="Q124" s="2"/>
      <c r="R124" s="0" t="inlineStr">
        <is>
          <t xml:space="preserve">36 meses</t>
        </is>
      </c>
      <c r="S124" s="0" t="inlineStr">
        <is>
          <t xml:space="preserve">No</t>
        </is>
      </c>
      <c r="T124" s="4"/>
      <c r="U124" s="0" t="inlineStr">
        <is>
          <t xml:space="preserve">RENE IBAÑEZ RETAMAL</t>
        </is>
      </c>
      <c r="V124" s="4" t="inlineStr">
        <is>
          <t xml:space="preserve">La Municipalidad de Hualpén, RUT 69.264.400-K, representada por su Alcalde Miguel Rivera Morales, mediante las siguientes Bases Administrativas y Especificaciones Técnicas fija los procedimientos y términos que regulan la presente Licitación Pública, cuyo objetivo es la contratación del “SERVICIO DE INTERNET, VOZ Y DATOS PARA LA MUNICIPALIDAD DE HUALPÉN”, para lo cual se deberá considerar un plazo de prestación del servicio de 36 meses corridos.</t>
        </is>
      </c>
      <c r="W124" s="5" t="str">
        <f>HYPERLINK("https://www.mercadopublico.cl/Procurement/Modules/Attachment/ViewAttachment.aspx?enc=xYU%2bFf8%2bLDu4bcRRxdxBpDZaOd%2bcxbkE6ohqFMkOCA34wfmP7Sy5c%2fIUv6yqyqz1QDqaB1r%2f%2fHYuuzjjLAqfY11tWC3ZF5G5Ll7TBuim5nJN%2bz%2bZ9zdtNmj7GP2K7Cqcs1gwA2ISy4PjMAydELzozKxZH12aB5RdGMS9MTUvPP4WlOGdsKk%2b37C0ISAVj%2bDVwR1d1LBrVqhgBhbcAH4dW2iHAuaEgeVRkYkZkpv7YPH2ChPWW6U%2fFsTRYsUVj0doRXPtClT4msbhguMiolcK%2bdsgblILa10U5tfz7bKIOxHvRyv2uniSLzmiMQTqKJmi","descargar bases")</f>
      </c>
    </row>
    <row r="125">
      <c r="A125" s="0" t="inlineStr">
        <is>
          <t xml:space="preserve">1233623-47-LP26</t>
        </is>
      </c>
      <c r="B125" s="4" t="inlineStr">
        <is>
          <t xml:space="preserve">SOFTWARE PARA GESTION DE PERSONAS LICANCABUR</t>
        </is>
      </c>
      <c r="C125" s="0" t="inlineStr">
        <is>
          <t xml:space="preserve">Publicada</t>
        </is>
      </c>
      <c r="D125" s="0" t="inlineStr">
        <is>
          <t xml:space="preserve">Servicio Local de Educación Pública Licancabur</t>
        </is>
      </c>
      <c r="E125" s="0" t="inlineStr">
        <is>
          <t xml:space="preserve">Servicio Local de Educación Pública Licancabur</t>
        </is>
      </c>
      <c r="F125" s="0" t="inlineStr">
        <is>
          <t xml:space="preserve">Región de Antofagasta </t>
        </is>
      </c>
      <c r="G125" s="0" t="inlineStr">
        <is>
          <t xml:space="preserve">Calama</t>
        </is>
      </c>
      <c r="H125" s="2">
        <v>46316.519699</v>
      </c>
      <c r="I125" s="2">
        <v>46336.625</v>
      </c>
      <c r="J125" s="0">
        <v>19</v>
      </c>
      <c r="K125" s="3"/>
      <c r="L125" s="0" t="inlineStr">
        <is>
          <t xml:space="preserve">CLP</t>
        </is>
      </c>
      <c r="M125" s="0" t="inlineStr">
        <is>
          <t xml:space="preserve">LP</t>
        </is>
      </c>
      <c r="N125" s="4" t="inlineStr">
        <is>
          <t xml:space="preserve">Tecnologías de la información, telecomunicaciones y radiodifusión / Software / Software de gestión</t>
        </is>
      </c>
      <c r="O125" s="4" t="inlineStr">
        <is>
          <t xml:space="preserve">1 Unidad · Software de gestión de recursos humanos</t>
        </is>
      </c>
      <c r="P125" s="2"/>
      <c r="Q125" s="2"/>
      <c r="R125" s="0" t="inlineStr">
        <is>
          <t xml:space="preserve">36 meses</t>
        </is>
      </c>
      <c r="S125" s="0" t="inlineStr">
        <is>
          <t xml:space="preserve">No</t>
        </is>
      </c>
      <c r="T125" s="4"/>
      <c r="U125" s="0" t="inlineStr">
        <is>
          <t xml:space="preserve">BRUNO BERKHOFF</t>
        </is>
      </c>
      <c r="V125" s="4" t="inlineStr">
        <is>
          <t xml:space="preserve">SOFTWARE PARA GESTION DE PERSONAS SLEP LICANCABUR POR UN PERIODO DE 36 MESES SEGUN LO INDICADO EN LAS BASES ADMINISTRATIVAS Y TECNICAS. COMPLETAR LOS ANEXOS FIRMARLOS SUBIRLOS A LA PLATAFORMA Y REALIZAR EXPOSICION TECNICA REMOTA</t>
        </is>
      </c>
      <c r="W125" s="5" t="str">
        <f>HYPERLINK("https://www.mercadopublico.cl/Procurement/Modules/Attachment/ViewAttachment.aspx?enc=Hdi4SeIpk77Dj0hwuGFlor5ja8i9ZczXQzKD1ktthgEKxwULy2EIC5CXZJTUF2TZ1zRl5doecUroHZixWgNNDymCibXKmD19MeU8qaZBVGGQxMCbHx%2buSSoRnkzNzgS4wNBqraWZa5OdDRnL00HbCLcRDUgCZm34wDMKOU3jqkAqYl6a0P2OrWaWqOybq45%2fC3oxK%2f8ldBQrixxxWrvO2WIPIoYdgCxYDiiNqQaUehBqbhC50YP7RQ89pPBgPqAjTpfa7IAGO5s49FWQAeaEm4Pryjl5a%2fXXACOonUW1K27jRSiyDRXwz3NXPGmHdf0c","descargar bases")</f>
      </c>
    </row>
    <row r="126">
      <c r="A126" s="0" t="inlineStr">
        <is>
          <t xml:space="preserve">1057049-394-LP26</t>
        </is>
      </c>
      <c r="B126" s="4" t="inlineStr">
        <is>
          <t xml:space="preserve">JLL CONTRATACION DE SERVICIOS DE TURNOS DE PERSONAL TECNICO INFORMATICO DE APOYO PARA EL DEPARTAMENTO DE TECNOLOGIAS DE LA INFORMACION Y COMUNICACIONES</t>
        </is>
      </c>
      <c r="C126" s="0" t="inlineStr">
        <is>
          <t xml:space="preserve">Publicada</t>
        </is>
      </c>
      <c r="D126" s="0" t="inlineStr">
        <is>
          <t xml:space="preserve">SERV SALUD METROPOLITANO CENTRAL HOSPITAL CLINICO SAN BORJA ARRIARAN</t>
        </is>
      </c>
      <c r="E126" s="0" t="inlineStr">
        <is>
          <t xml:space="preserve">Bienes y Servicios</t>
        </is>
      </c>
      <c r="F126" s="0" t="inlineStr">
        <is>
          <t xml:space="preserve">Región Metropolitana de Santiago</t>
        </is>
      </c>
      <c r="G126" s="0" t="inlineStr">
        <is>
          <t xml:space="preserve">Santiago</t>
        </is>
      </c>
      <c r="H126" s="2">
        <v>46315.59515</v>
      </c>
      <c r="I126" s="2">
        <v>46336.645833</v>
      </c>
      <c r="J126" s="0">
        <v>19</v>
      </c>
      <c r="K126" s="3"/>
      <c r="L126" s="0" t="inlineStr">
        <is>
          <t xml:space="preserve">CLP</t>
        </is>
      </c>
      <c r="M126" s="0" t="inlineStr">
        <is>
          <t xml:space="preserve">LP</t>
        </is>
      </c>
      <c r="N126" s="4" t="inlineStr">
        <is>
          <t xml:space="preserve">Servicios profesionales, administrativos y consultorías de gestión empresarial / Servicios de recursos humanos / Servicios de personal temporal</t>
        </is>
      </c>
      <c r="O126" s="4" t="inlineStr">
        <is>
          <t xml:space="preserve">1 Global · Personal técnico temporal</t>
        </is>
      </c>
      <c r="P126" s="2"/>
      <c r="Q126" s="2"/>
      <c r="R126" s="0" t="inlineStr">
        <is>
          <t xml:space="preserve">24 meses</t>
        </is>
      </c>
      <c r="S126" s="0" t="inlineStr">
        <is>
          <t xml:space="preserve">No</t>
        </is>
      </c>
      <c r="T126" s="4"/>
      <c r="U126" s="0" t="inlineStr">
        <is>
          <t xml:space="preserve">JUAN CARLOS LAFONT</t>
        </is>
      </c>
      <c r="V126" s="4" t="inlineStr">
        <is>
          <t xml:space="preserve">JLL APRUEBA BASES DE LICITACION DE CONTRATACION DE SERVICIOS DE TURNOS DE PERSONAL TECNICO INFORMATICO DE APOYO PARA EL DEPARTAMENTO DE TECNOLOGIAS DE LA INFORMACION Y COMUNICACIONES DEL HOSPITAL CLINICO SAN BORJA ARRIARAN.</t>
        </is>
      </c>
      <c r="W126" s="5" t="str">
        <f>HYPERLINK("https://www.mercadopublico.cl/Procurement/Modules/Attachment/ViewAttachment.aspx?enc=v%2bAC40AZz4QRWey3gj55Vrwf6HzOvFeb8M5nJ0btZ5yym9hTRiFHTsl1UOdKKGwbLvWyjQroe0HNgnp7kOmZ32BvBKD092CuPwWr%2fKtk1qdupruomqtWyODSCte%2bkHgeRFfAN0r%2f9Gy67C2XGjtkOeAQphmQKJOdRE7p%2bwjuQ9CXr0mBmNGKAqvHcOogpXcxHWswfk6hQfIHEvlDSmfmwCtXN4OPKP3ri%2f1aqDut5yLlocFHx6e4RDsqGfyE6zqBuO%2fM6B0zAi1yU%2f%2bg0ik2lV5xO6rHBvr5iJ2eW5ncymdo0Tsq1FfR5TRn%2bZoXHcNG","descargar bases")</f>
      </c>
    </row>
    <row r="127">
      <c r="A127" s="0" t="inlineStr">
        <is>
          <t xml:space="preserve">948354-157-LP26</t>
        </is>
      </c>
      <c r="B127" s="4" t="inlineStr">
        <is>
          <t xml:space="preserve">CONTRATACIÓN DEL SERVICIO DE ARRIENDO DE UNA CABINA SANITARIA CON EQUIPO MAMÓGRAFO PARA USO DE MAMOGRAFÍA DIGITALIZADA PORTÁTIL PARA EL HOSPITAL DIPRECA</t>
        </is>
      </c>
      <c r="C127" s="0" t="inlineStr">
        <is>
          <t xml:space="preserve">Publicada</t>
        </is>
      </c>
      <c r="D127" s="0" t="inlineStr">
        <is>
          <t xml:space="preserve">FONDO HOSPITAL DE LA DIRECCION DE PREVISION DE CARABINEROS DE CHILE</t>
        </is>
      </c>
      <c r="E127" s="0" t="inlineStr">
        <is>
          <t xml:space="preserve">Unidad de Compra de Bienes y Servicios</t>
        </is>
      </c>
      <c r="F127" s="0" t="inlineStr">
        <is>
          <t xml:space="preserve">Región Metropolitana de Santiago</t>
        </is>
      </c>
      <c r="G127" s="0" t="inlineStr">
        <is>
          <t xml:space="preserve">Las Condes</t>
        </is>
      </c>
      <c r="H127" s="2">
        <v>46316.642211</v>
      </c>
      <c r="I127" s="2">
        <v>46336.666667</v>
      </c>
      <c r="J127" s="0">
        <v>19</v>
      </c>
      <c r="K127" s="3"/>
      <c r="L127" s="0" t="inlineStr">
        <is>
          <t xml:space="preserve">CLP</t>
        </is>
      </c>
      <c r="M127" s="0" t="inlineStr">
        <is>
          <t xml:space="preserve">LP</t>
        </is>
      </c>
      <c r="N127" s="4" t="inlineStr">
        <is>
          <t xml:space="preserve">Equipamiento y suministros médicos / Productos para imágenes y de medicina nuclear / Artículos radiográficos de diagnóstico médico</t>
        </is>
      </c>
      <c r="O127" s="4" t="inlineStr">
        <is>
          <t xml:space="preserve">12 Mes · Equipo para radiografías mamográficas</t>
        </is>
      </c>
      <c r="P127" s="2"/>
      <c r="Q127" s="2"/>
      <c r="R127" s="0" t="inlineStr">
        <is>
          <t xml:space="preserve">12 meses</t>
        </is>
      </c>
      <c r="S127" s="0" t="inlineStr">
        <is>
          <t xml:space="preserve">No</t>
        </is>
      </c>
      <c r="T127" s="4"/>
      <c r="U127" s="0" t="inlineStr">
        <is>
          <t xml:space="preserve">Dra. Constanza Damm Araneda</t>
        </is>
      </c>
      <c r="V127" s="4" t="inlineStr">
        <is>
          <t xml:space="preserve">El Hospital de la Dirección de Previsión de Carabineros de Chile, ubicado en Vital Apoquindo N°1.200, Comuna de Las Condes, Región Metropolitana, en adelante “EL HOSPITAL”, llama a licitación pública para la Contratación del Servicio de Arriendo de una Cabina Sanitaria con Equipo Mamógrafo para Uso de Mamografía Digitalizada Portátil, en adelante “EL SERVICIO”, para un período de 12 meses, esta contratación se ejecutará bajo la modalidad de Contrato de Suministro para el referido Centro Asistencial, cuyas características y requisitos técnicos constan en las Bases Administrativas y Técnicas de esta Licitación con sus respectivos anexos.</t>
        </is>
      </c>
      <c r="W127" s="5" t="str">
        <f>HYPERLINK("https://www.mercadopublico.cl/Procurement/Modules/Attachment/ViewAttachment.aspx?enc=hJ0ceYkzgvLlyvsUB0Gj5ShYDxg4k8iWjR7cQXAdkJwHRR%2brb%2b7QD9QArUQF9F9D6a2Z8Cwg1%2bvtGvTGaOnZcuDUoi6n7sLe7OLDWCMwSOEQzu%2f%2ffF%2flAPDHMSnb8cvLeyHHbsx5RcExMbZv7AiJcO8ilJruK5kN3MWNLQvDFxCZZ0ZHmDqo%2fDeJoB6m%2bAtsEQesVffF1NX8zdDAEKxT5rXgtOslBNw93Mk9vFG6F6w7IfSU9V415mkvs1pjZl%2bANHQxvF7H4UeBO9dfhOq4xIDruzHjRXd%2f2QbSXjbyf9d5djQ9F4GC%2bB5zGs1s1x1b","descargar bases")</f>
      </c>
    </row>
    <row r="128">
      <c r="A128" s="0" t="inlineStr">
        <is>
          <t xml:space="preserve">621923-6-LP26</t>
        </is>
      </c>
      <c r="B128" s="4" t="inlineStr">
        <is>
          <t xml:space="preserve">Adquisición de licencias de software</t>
        </is>
      </c>
      <c r="C128" s="0" t="inlineStr">
        <is>
          <t xml:space="preserve">Publicada</t>
        </is>
      </c>
      <c r="D128" s="0" t="inlineStr">
        <is>
          <t xml:space="preserve">DIVISION LOGISTICA DEL EJERCITO</t>
        </is>
      </c>
      <c r="E128" s="0" t="inlineStr">
        <is>
          <t xml:space="preserve">Regimiento de Inteligencia del Ejército N2 Llaitún</t>
        </is>
      </c>
      <c r="F128" s="0" t="inlineStr">
        <is>
          <t xml:space="preserve">Región Metropolitana de Santiago</t>
        </is>
      </c>
      <c r="G128" s="0" t="inlineStr">
        <is>
          <t xml:space="preserve">Peñalolén</t>
        </is>
      </c>
      <c r="H128" s="2">
        <v>46314.691424</v>
      </c>
      <c r="I128" s="2">
        <v>46336.791667</v>
      </c>
      <c r="J128" s="0">
        <v>19</v>
      </c>
      <c r="K128" s="3"/>
      <c r="L128" s="0" t="inlineStr">
        <is>
          <t xml:space="preserve">CLP</t>
        </is>
      </c>
      <c r="M128" s="0" t="inlineStr">
        <is>
          <t xml:space="preserve">LP</t>
        </is>
      </c>
      <c r="N128" s="4" t="inlineStr">
        <is>
          <t xml:space="preserve">Tecnologías de la información, telecomunicaciones y radiodifusión / Software / Software de gestión</t>
        </is>
      </c>
      <c r="O128" s="4" t="inlineStr">
        <is>
          <t xml:space="preserve">6 Unidad · Paquetes de software para oficinas · 1 Unidad · Software de gestión de licencias · 1 Unidad · Software de gestión de licencias · y 3 más</t>
        </is>
      </c>
      <c r="P128" s="2"/>
      <c r="Q128" s="2"/>
      <c r="R128" s="0"/>
      <c r="S128" s="0" t="inlineStr">
        <is>
          <t xml:space="preserve">No</t>
        </is>
      </c>
      <c r="T128" s="4"/>
      <c r="U128" s="0" t="inlineStr">
        <is>
          <t xml:space="preserve">LEONARDO GALLARDO SOTO</t>
        </is>
      </c>
      <c r="V128" s="4" t="inlineStr">
        <is>
          <t xml:space="preserve">Licitación pública para la adquisición, por líneas de compra, de licencias de software para el Regimiento de Inteligencia N.º 2 “Llaitún.</t>
        </is>
      </c>
      <c r="W128" s="5" t="str">
        <f>HYPERLINK("https://www.mercadopublico.cl/Procurement/Modules/Attachment/ViewAttachment.aspx?enc=b%2bAT0uXsuoextsnPuxqB5P7Agg5qrK6XXEGxBgbyz%2fIpSey%2bQU6w4UNdQaAJ9uZIRyeTaJToKqw4dMHmZHSesuiusRg465Y0Nr6b5rH%2bRBiyo7p6wRElg4LFPvZRrN%2boY%2fb9OenaW72c37jrKgGlhrIhuA%2fnnHKnchYpZnuJmyXvZOmuiXyyGufj16C4KziWMP1iscfIrITiWkl58o%2bqqi32pcNz4XIVUFBQRVAXUIFfzFPlWM17mQanMAwTbGnYPlvN4wdGlCi2zeRqbEx2mVIXKRXmF34xYWjurzDWC0jBcqKZaa29pwB4LkLj8GlL","descargar bases")</f>
      </c>
    </row>
    <row r="129">
      <c r="A129" s="0" t="inlineStr">
        <is>
          <t xml:space="preserve">5240-109-LR26</t>
        </is>
      </c>
      <c r="B129" s="4" t="inlineStr">
        <is>
          <t xml:space="preserve">SOFTWARE USO FORENSE DE EXTRACC. Y ANALIS DE DATOS</t>
        </is>
      </c>
      <c r="C129" s="0" t="inlineStr">
        <is>
          <t xml:space="preserve">Publicada</t>
        </is>
      </c>
      <c r="D129" s="0" t="inlineStr">
        <is>
          <t xml:space="preserve">DIRECCION DE LOGISTICA DE CARABINEROS</t>
        </is>
      </c>
      <c r="E129" s="0" t="inlineStr">
        <is>
          <t xml:space="preserve">Direccion de Compras Publicas de Carabineros</t>
        </is>
      </c>
      <c r="F129" s="0" t="inlineStr">
        <is>
          <t xml:space="preserve">Región Metropolitana de Santiago</t>
        </is>
      </c>
      <c r="G129" s="0" t="inlineStr">
        <is>
          <t xml:space="preserve">Santiago Centro</t>
        </is>
      </c>
      <c r="H129" s="2">
        <v>46308.369236</v>
      </c>
      <c r="I129" s="2">
        <v>46339.645833</v>
      </c>
      <c r="J129" s="0">
        <v>22</v>
      </c>
      <c r="K129" s="3">
        <v>418036746.0</v>
      </c>
      <c r="L129" s="0" t="inlineStr">
        <is>
          <t xml:space="preserve">CLP</t>
        </is>
      </c>
      <c r="M129" s="0" t="inlineStr">
        <is>
          <t xml:space="preserve">LR</t>
        </is>
      </c>
      <c r="N129" s="4" t="inlineStr">
        <is>
          <t xml:space="preserve">Tecnologías de la información, telecomunicaciones y radiodifusión / Software / Software de consultas y gestión de datos</t>
        </is>
      </c>
      <c r="O129" s="4" t="inlineStr">
        <is>
          <t xml:space="preserve">2 Unidad · Software de extracción de datos · 1 Unidad · Software de extracción de datos · 3 Unidad · Software de extracción de datos · y 6 más</t>
        </is>
      </c>
      <c r="P129" s="2"/>
      <c r="Q129" s="2"/>
      <c r="R129" s="0"/>
      <c r="S129" s="0" t="inlineStr">
        <is>
          <t xml:space="preserve">No</t>
        </is>
      </c>
      <c r="T129" s="4" t="inlineStr">
        <is>
          <t xml:space="preserve">EL PROVEEDOR ADJUDICADO NO PODRA SUBCONTRATAR, CONFORME A LO SEÑALADO EN EL NUMERAL 5.21 CESIBILIDAD DEL CONTRATO Y SUBCONTRATACION DE LAS BASES ADMINISTRATIVAS ADJUNTAS.</t>
        </is>
      </c>
      <c r="U129" s="0" t="inlineStr">
        <is>
          <t xml:space="preserve">Departamento gestion de contratos</t>
        </is>
      </c>
      <c r="V129" s="4" t="inlineStr">
        <is>
          <t xml:space="preserve">MATERIALIZAR LA ADQUISICION DE SOFTWARE DE USO FORENSE DE EXTRACCION AVANZADO Y ANALISIS DE INFORMACION DIGITAL PARA EL DEPARTAMENTO CRIMINALISTICA DE CARABINEROS DE CHILE LABOCAR Y SECCIONES REGIONALES.</t>
        </is>
      </c>
      <c r="W129" s="5" t="str">
        <f>HYPERLINK("https://www.mercadopublico.cl/Procurement/Modules/Attachment/ViewAttachment.aspx?enc=gVeqAtreGn8%2feSWDmXU5S0US6oLtW%2fpqc6tj2ktZ9O8GkW6%2bGuVpBxfL7RhH9Yd8Qg1iPEeolgMqT8QH2AJy%2bzr5JXAFlukQWg5sKJXYfucOAGriCDwlQOOHh6fiN2CGnLmQ4ce4LOaZzATc7ugcqTgrktMNvASfnAPaTy08fJp2yRU5kfXg3x%2fOQPAnaxF4CBlqrWU3EJfwcXqXJO3Y4OMoaFBoVxcbVARXc25yIClSspeOeCQ51hf74NLux%2bwY3z%2faWVYV4wGYXN2QS25t%2ba%2b0%2fflkmT%2bcx5nzNqjHyzQbQS9Iof%2bssHB7dIPsGWTh","descargar bases")</f>
      </c>
    </row>
    <row r="130">
      <c r="A130" s="0" t="inlineStr">
        <is>
          <t xml:space="preserve">2345-137-LR26</t>
        </is>
      </c>
      <c r="B130" s="4" t="inlineStr">
        <is>
          <t xml:space="preserve">SERVICIO DE APLICACIÓN MÓVIL DE SEGURIDAD 1402 PARA LA COMUNA DE LAS CONDES</t>
        </is>
      </c>
      <c r="C130" s="0" t="inlineStr">
        <is>
          <t xml:space="preserve">Publicada</t>
        </is>
      </c>
      <c r="D130" s="0" t="inlineStr">
        <is>
          <t xml:space="preserve">I MUNICIPALIDAD DE LAS CONDES</t>
        </is>
      </c>
      <c r="E130" s="0" t="inlineStr">
        <is>
          <t xml:space="preserve">I MUNICIPALIDAD DE LAS CONDES</t>
        </is>
      </c>
      <c r="F130" s="0" t="inlineStr">
        <is>
          <t xml:space="preserve">Región Metropolitana de Santiago</t>
        </is>
      </c>
      <c r="G130" s="0" t="inlineStr">
        <is>
          <t xml:space="preserve">Las Condes</t>
        </is>
      </c>
      <c r="H130" s="2">
        <v>46311.430463</v>
      </c>
      <c r="I130" s="2">
        <v>46342.625694</v>
      </c>
      <c r="J130" s="0">
        <v>25</v>
      </c>
      <c r="K130" s="3">
        <v>504000000.0</v>
      </c>
      <c r="L130" s="0" t="inlineStr">
        <is>
          <t xml:space="preserve">CLP</t>
        </is>
      </c>
      <c r="M130" s="0" t="inlineStr">
        <is>
          <t xml:space="preserve">LR</t>
        </is>
      </c>
      <c r="N130" s="4" t="inlineStr">
        <is>
          <t xml:space="preserve">Servicios basados en ingeniería, ciencias sociales y tecnología de la información / Servicios informáticos / Servicios para internet</t>
        </is>
      </c>
      <c r="O130" s="4" t="inlineStr">
        <is>
          <t xml:space="preserve">1 Global · Web Hosting</t>
        </is>
      </c>
      <c r="P130" s="2"/>
      <c r="Q130" s="2"/>
      <c r="R130" s="0" t="inlineStr">
        <is>
          <t xml:space="preserve">48 meses</t>
        </is>
      </c>
      <c r="S130" s="0" t="inlineStr">
        <is>
          <t xml:space="preserve">No</t>
        </is>
      </c>
      <c r="T130" s="4"/>
      <c r="U130" s="0" t="inlineStr">
        <is>
          <t xml:space="preserve">Jaime Izarnotegui Lopez</t>
        </is>
      </c>
      <c r="V130" s="4" t="inlineStr">
        <is>
          <t xml:space="preserve">La presente licitación tiene por objetivo contratar el “SERVICIO DE APLICACIÓN MÓVIL DE SEGURIDAD 1402 PARA LA COMUNA DE LAS CONDES”, por un periodo de 48 meses, para proporcionar a la Municipalidad los siguientes servicios: 
a)Servicio de desarrollo o adaptación e implementación de una aplicación móvil para reporte de eventos de seguridad y emergencia.
b)Servicio de desarrollo o adaptación e implementación de un sistema en ambiente web para la administración y gestión de eventos de seguridad y emergencia. 
c)Servicio de desarrollo e implementación de API’s para integración con sistemas municipales.
d)Servicio de mantenimiento preventivo y correctivo para aplicación móvil y sistema en ambiente web de seguridad y emergencia y API´s de integración</t>
        </is>
      </c>
      <c r="W130" s="5" t="str">
        <f>HYPERLINK("https://www.mercadopublico.cl/Procurement/Modules/Attachment/ViewAttachment.aspx?enc=TEsv0hG75971ruAIf26KkGigL5geZYLAHdaoWh97MJHPtGyzIdbsWxtd2fkqib9e60LjhrcFyTe0cZmETK%2fW%2fZiHBgdOTFMoHRV2ab4AktFt8YesT2qRbbBWAWrwoSxikgMhWMTQnS%2fVVfBE6QIsF%2fDvuY6NuHaMKBZ4LdGi3%2fz%2fFQ3n4%2f4dhIoXWH%2b1JckcH648m01seCD864Ds5W0%2f6VQs%2b0oSC5rWdY6o3umTc7yfm%2bClxoMNGPvvK8aEk87QIWJc1RvL1z%2behjMMsh3DxpJrJkaitN0KFq2MLnileX6soENTKKyyPC6kmaAXkBZs","descargar bases")</f>
      </c>
    </row>
    <row r="131">
      <c r="A131" s="0" t="inlineStr">
        <is>
          <t xml:space="preserve">1882-3-LP26</t>
        </is>
      </c>
      <c r="B131" s="4" t="inlineStr">
        <is>
          <t xml:space="preserve">DPP LA ARAUCANIA SERVICIO DEFENSA RPA LLAMADO 2026</t>
        </is>
      </c>
      <c r="C131" s="0" t="inlineStr">
        <is>
          <t xml:space="preserve">Publicada</t>
        </is>
      </c>
      <c r="D131" s="0" t="inlineStr">
        <is>
          <t xml:space="preserve">DEFENSORIA PENAL PUBLICA</t>
        </is>
      </c>
      <c r="E131" s="0" t="inlineStr">
        <is>
          <t xml:space="preserve">Defensoría Regional de La Araucanía</t>
        </is>
      </c>
      <c r="F131" s="0" t="inlineStr">
        <is>
          <t xml:space="preserve">Región de la Araucanía </t>
        </is>
      </c>
      <c r="G131" s="0" t="inlineStr">
        <is>
          <t xml:space="preserve">Temuco</t>
        </is>
      </c>
      <c r="H131" s="2">
        <v>46310.629259</v>
      </c>
      <c r="I131" s="2">
        <v>46342.666667</v>
      </c>
      <c r="J131" s="0">
        <v>25</v>
      </c>
      <c r="K131" s="3"/>
      <c r="L131" s="0" t="inlineStr">
        <is>
          <t xml:space="preserve">CLP</t>
        </is>
      </c>
      <c r="M131" s="0" t="inlineStr">
        <is>
          <t xml:space="preserve">LP</t>
        </is>
      </c>
      <c r="N131" s="4" t="inlineStr">
        <is>
          <t xml:space="preserve">Servicios profesionales, administrativos y consultorías de gestión empresarial / Servicios legales / Derecho penal</t>
        </is>
      </c>
      <c r="O131" s="4" t="inlineStr">
        <is>
          <t xml:space="preserve">1 Unidad · Servicio de defensa penal pública</t>
        </is>
      </c>
      <c r="P131" s="2"/>
      <c r="Q131" s="2"/>
      <c r="R131" s="0" t="inlineStr">
        <is>
          <t xml:space="preserve">36 meses</t>
        </is>
      </c>
      <c r="S131" s="0" t="inlineStr">
        <is>
          <t xml:space="preserve">No</t>
        </is>
      </c>
      <c r="T131" s="4" t="inlineStr">
        <is>
          <t xml:space="preserve">Se prohíbe absolutamente en atención a la integridad y naturaleza de la prestación, según punto N°8.17 de las Bases Administrativas.</t>
        </is>
      </c>
      <c r="U131" s="0" t="inlineStr">
        <is>
          <t xml:space="preserve">Humberto Serri Gajardo</t>
        </is>
      </c>
      <c r="V131" s="4" t="inlineStr">
        <is>
          <t xml:space="preserve">Defensa Responsabilidad Penal Adolescente Zona Angol de acuerdo a la REX N°198 de fecha 15 de octubre de 2026.</t>
        </is>
      </c>
      <c r="W131" s="5" t="str">
        <f>HYPERLINK("https://www.mercadopublico.cl/Procurement/Modules/Attachment/ViewAttachment.aspx?enc=Kd5MdlJHlhUPaNTDtMmeHSvVt4cJhsnmUs2QSLgocSYZ0Gpe6jwoQga7i8cpedhq3EIY9ui4fws8VGzh%2fMyULhgtDWLAIVQkbcZliyRuSWL4FpiCtNnRTciFKpu1IGEj55ErKGrsicy29aBHlivVN7x2nYVEf7xa%2fSQGlibvnQWqbYKuS8RJxrmE7Ikfvt6PasBzEB%2bI4P4rMp4wLlADTPCtKf4H%2bIlaLfXhBnRn2%2bFo%2bwdxmVAWFwOa5SgrYjdwU2jbqMYnVVM0uZlIGX4IZHeWoIlGf3AbfzQbbkRVahWVAMiBweZVzpmuy8%2bHqKcN","descargar bases")</f>
      </c>
    </row>
    <row r="132">
      <c r="A132" s="0" t="inlineStr">
        <is>
          <t xml:space="preserve">1887-4-LP26</t>
        </is>
      </c>
      <c r="B132" s="4" t="inlineStr">
        <is>
          <t xml:space="preserve">SERVICIO DE DEFENSA PENAL EN ZONA 1 RPA</t>
        </is>
      </c>
      <c r="C132" s="0" t="inlineStr">
        <is>
          <t xml:space="preserve">Publicada</t>
        </is>
      </c>
      <c r="D132" s="0" t="inlineStr">
        <is>
          <t xml:space="preserve">DEFENSORIA PENAL PUBLICA</t>
        </is>
      </c>
      <c r="E132" s="0" t="inlineStr">
        <is>
          <t xml:space="preserve">Defensoría Regional de Aysén</t>
        </is>
      </c>
      <c r="F132" s="0" t="inlineStr">
        <is>
          <t xml:space="preserve">Región Aysén del General Carlos Ibáñez del Campo</t>
        </is>
      </c>
      <c r="G132" s="0" t="inlineStr">
        <is>
          <t xml:space="preserve">Coyhaique</t>
        </is>
      </c>
      <c r="H132" s="2">
        <v>46310.617616</v>
      </c>
      <c r="I132" s="2">
        <v>46342.666667</v>
      </c>
      <c r="J132" s="0">
        <v>25</v>
      </c>
      <c r="K132" s="3">
        <v>108000000.0</v>
      </c>
      <c r="L132" s="0" t="inlineStr">
        <is>
          <t xml:space="preserve">CLP</t>
        </is>
      </c>
      <c r="M132" s="0" t="inlineStr">
        <is>
          <t xml:space="preserve">LP</t>
        </is>
      </c>
      <c r="N132" s="4" t="inlineStr">
        <is>
          <t xml:space="preserve">Servicios profesionales, administrativos y consultorías de gestión empresarial / Servicios legales / Derecho penal</t>
        </is>
      </c>
      <c r="O132" s="4" t="inlineStr">
        <is>
          <t xml:space="preserve">36 Mes · Servicio de defensa penal pública</t>
        </is>
      </c>
      <c r="P132" s="2"/>
      <c r="Q132" s="2"/>
      <c r="R132" s="0" t="inlineStr">
        <is>
          <t xml:space="preserve">36 meses</t>
        </is>
      </c>
      <c r="S132" s="0" t="inlineStr">
        <is>
          <t xml:space="preserve">No</t>
        </is>
      </c>
      <c r="T132" s="4" t="inlineStr">
        <is>
          <t xml:space="preserve">8.17.PROHIBICIÓN DE TRASPASO, CESIÓN Y SUBCONTRATACIÓN DEL CONTRATO</t>
        </is>
      </c>
      <c r="U132" s="0" t="inlineStr">
        <is>
          <t xml:space="preserve">MARIANELA MOLINA MANSILLA</t>
        </is>
      </c>
      <c r="V132" s="4" t="inlineStr">
        <is>
          <t xml:space="preserve">2.DISPOSICIONES GENERALES
2.1.DEL OBJETIVO DE LA LICITACIÓN</t>
        </is>
      </c>
      <c r="W132" s="5" t="str">
        <f>HYPERLINK("https://www.mercadopublico.cl/Procurement/Modules/Attachment/ViewAttachment.aspx?enc=IHfUupZhsKEf0aS7uBD6vuzMfvnNEaOnSuDE2pHS%2flyzGbQsgzJzIP7ITNu8W3x%2fHmREeAJSikEIqJeM5Q7wBkYqOoHSdhaNLLC3GInu72bPprNqRClE14UnnInyV%2baHu8lGXeEY7uFq9xPe0OgcpfJCHn4z5N1i86xqS1SBMKGrR1D2TKHTrYCvRR2%2bfv1QCENEcYrjXpKBasHdBGA3%2fszUfTrm1dJjTzionYJaAu%2bQA8zh3851tOSr2B60IEyCvjScKopb%2bGoUUTVlXF85x3x05z8GPC4pHiHv8LTS3hapuKlj8OpMrXtRRDj%2f9nTM","descargar bases")</f>
      </c>
    </row>
    <row r="133">
      <c r="A133" s="0" t="inlineStr">
        <is>
          <t xml:space="preserve">1605-52-LR26</t>
        </is>
      </c>
      <c r="B133" s="4" t="inlineStr">
        <is>
          <t xml:space="preserve">LR-5231 LICENCIAS DE SOFTWARE CONTROL M</t>
        </is>
      </c>
      <c r="C133" s="0" t="inlineStr">
        <is>
          <t xml:space="preserve">Publicada</t>
        </is>
      </c>
      <c r="D133" s="0" t="inlineStr">
        <is>
          <t xml:space="preserve">SERVICIO DE IMPUESTOS INTERNOS DIRECCION</t>
        </is>
      </c>
      <c r="E133" s="0" t="inlineStr">
        <is>
          <t xml:space="preserve">SII Dirección Nacional</t>
        </is>
      </c>
      <c r="F133" s="0" t="inlineStr">
        <is>
          <t xml:space="preserve">Región Metropolitana de Santiago</t>
        </is>
      </c>
      <c r="G133" s="0" t="inlineStr">
        <is>
          <t xml:space="preserve">Santiago</t>
        </is>
      </c>
      <c r="H133" s="2">
        <v>46315.383125</v>
      </c>
      <c r="I133" s="2">
        <v>46345.666667</v>
      </c>
      <c r="J133" s="0">
        <v>28</v>
      </c>
      <c r="K133" s="3">
        <v>660000.0</v>
      </c>
      <c r="L133" s="0" t="inlineStr">
        <is>
          <t xml:space="preserve">USD</t>
        </is>
      </c>
      <c r="M133" s="0" t="inlineStr">
        <is>
          <t xml:space="preserve">LR</t>
        </is>
      </c>
      <c r="N133" s="4" t="inlineStr">
        <is>
          <t xml:space="preserve">Tecnologías de la información, telecomunicaciones y radiodifusión / Software / Software de gestión</t>
        </is>
      </c>
      <c r="O133" s="4" t="inlineStr">
        <is>
          <t xml:space="preserve">1 Unidad · Software de sistema experto</t>
        </is>
      </c>
      <c r="P133" s="2"/>
      <c r="Q133" s="2"/>
      <c r="R133" s="0" t="inlineStr">
        <is>
          <t xml:space="preserve">36 meses</t>
        </is>
      </c>
      <c r="S133" s="0" t="inlineStr">
        <is>
          <t xml:space="preserve">No</t>
        </is>
      </c>
      <c r="T133" s="4" t="inlineStr">
        <is>
          <t xml:space="preserve">De acuerdo a numeral 2.3 de las bases administrativas - parte I de las Resolución Exenta 4518 del 2026.</t>
        </is>
      </c>
      <c r="U133" s="0" t="inlineStr">
        <is>
          <t xml:space="preserve">Cesar Zegarra Rojas</t>
        </is>
      </c>
      <c r="V133" s="4" t="inlineStr">
        <is>
          <t xml:space="preserve">Adquirir licencias de Software Control-M modalidad Platform, las cuales serán utilizadas para automatizar, programar y monitorear procesos de negocio por un periodo de 36 meses.</t>
        </is>
      </c>
      <c r="W133" s="5" t="str">
        <f>HYPERLINK("https://www.mercadopublico.cl/Procurement/Modules/Attachment/ViewAttachment.aspx?enc=JcdoxCuzLghHmbFDrCkBmo9rBYqf320KdXMXZKpr8wXoUjIWG6SSgcozerqK6J9VQquJceBY%2bJlih0tkwBgSapLf9QtTCFQFUa5x%2bBmEEVw1%2fVM3%2bv%2b7%2bB7HKmvsygfZOL1Tq5GzQh804BlAreIXa6U10FGUzh3h0Yhz92Zqynbs9g2kOkA9WDwdDcJZRkeKtogh9OFT3gLFZbu2LJjrFjp%2b9XuNtvjtDh843a7UrwQvEyeKW6XZGJvzlMTFQc6VvbMXtWRnLikqdxoHp5ekPBGasB1U%2bJRlBpuSxI8aPbOSSanZlDFRbJE8LL5%2fssp4","descargar bases")</f>
      </c>
    </row>
    <row r="134">
      <c r="A134" s="0" t="inlineStr">
        <is>
          <t xml:space="preserve">3759-60-LR26</t>
        </is>
      </c>
      <c r="B134" s="4" t="inlineStr">
        <is>
          <t xml:space="preserve">SERVICIO DE ARRENDAMIENTO DE PLATAFORMA</t>
        </is>
      </c>
      <c r="C134" s="0" t="inlineStr">
        <is>
          <t xml:space="preserve">Publicada</t>
        </is>
      </c>
      <c r="D134" s="0" t="inlineStr">
        <is>
          <t xml:space="preserve">Ilustre Municipalidad de Yerbas Buenas</t>
        </is>
      </c>
      <c r="E134" s="0" t="inlineStr">
        <is>
          <t xml:space="preserve">Ilustre Municipalidad de Yerbas Buenas</t>
        </is>
      </c>
      <c r="F134" s="0" t="inlineStr">
        <is>
          <t xml:space="preserve">Región del Maule </t>
        </is>
      </c>
      <c r="G134" s="0" t="inlineStr">
        <is>
          <t xml:space="preserve">Yerbas Buenas</t>
        </is>
      </c>
      <c r="H134" s="2">
        <v>46316.508831</v>
      </c>
      <c r="I134" s="2">
        <v>46349.625694</v>
      </c>
      <c r="J134" s="0">
        <v>32</v>
      </c>
      <c r="K134" s="3"/>
      <c r="L134" s="0" t="inlineStr">
        <is>
          <t xml:space="preserve">CLP</t>
        </is>
      </c>
      <c r="M134" s="0" t="inlineStr">
        <is>
          <t xml:space="preserve">LR</t>
        </is>
      </c>
      <c r="N134" s="4" t="inlineStr">
        <is>
          <t xml:space="preserve">Tecnologías de la información, telecomunicaciones y radiodifusión / Software / Software de consultas y gestión de datos</t>
        </is>
      </c>
      <c r="O134" s="4" t="inlineStr">
        <is>
          <t xml:space="preserve">1 Global · Software del sistema de administración de bases de datos</t>
        </is>
      </c>
      <c r="P134" s="2"/>
      <c r="Q134" s="2"/>
      <c r="R134" s="0" t="inlineStr">
        <is>
          <t xml:space="preserve">24 meses</t>
        </is>
      </c>
      <c r="S134" s="0" t="inlineStr">
        <is>
          <t xml:space="preserve">No</t>
        </is>
      </c>
      <c r="T134" s="4"/>
      <c r="U134" s="0" t="inlineStr">
        <is>
          <t xml:space="preserve">MUNICIPALIDAD DE YERBAS BUENAS</t>
        </is>
      </c>
      <c r="V134" s="4" t="inlineStr">
        <is>
          <t xml:space="preserve">SERVICIO DE ARRENDAMIENTO DE PLATAFORMA DE GESTIÓN Y VENTA DE PERMISOS DE CIRCULACIÓN VEHICULAR, COMUNA DE YERBAS BUENAS.</t>
        </is>
      </c>
      <c r="W134" s="5" t="str">
        <f>HYPERLINK("https://www.mercadopublico.cl/Procurement/Modules/Attachment/ViewAttachment.aspx?enc=T3lj0KbvMHFV8caGI92PbzLdquEe4mfjgMszwRnLF7BOsBXr4uN8j3%2fULpCbV9f%2bc7Uv%2fWBaMXpDyqgkzKMa0GISfOIvb0hZjYUkLFMWsAnZRgYMIXh7R4hjttHfqvinWleESiaq07h5jaaK5v3NG1%2bub%2bGy1KdHnx%2f17%2bx4SguoCYZFdREMBlOCe3q39Gafx30G2xIY%2bRWXOLxOrmsu4VPf7GauD82vnt%2b%2faT9cjFUu0CDYahP6mT0YpnKsb3K3EuT60nRzLLT%2b79vh%2fL5D%2fCeHjrgawwJXUqW9STIQ%2bw7xLzyHNl7BcrxkTt3qdhii","descargar bases")</f>
      </c>
    </row>
    <row r="135">
      <c r="A135" s="0" t="inlineStr">
        <is>
          <t xml:space="preserve">1057898-85-LR26</t>
        </is>
      </c>
      <c r="B135" s="4" t="inlineStr">
        <is>
          <t xml:space="preserve">ADQUISICIÓN DE SOFTWARES HIS-ESB-BI Y ERP PARA EL NUEVO HOSPITAL REGIONAL DE ÑUBLE</t>
        </is>
      </c>
      <c r="C135" s="0" t="inlineStr">
        <is>
          <t xml:space="preserve">Publicada</t>
        </is>
      </c>
      <c r="D135" s="0" t="inlineStr">
        <is>
          <t xml:space="preserve">SERVICIO DE SALUD NUBLE</t>
        </is>
      </c>
      <c r="E135" s="0" t="inlineStr">
        <is>
          <t xml:space="preserve">Activos Fijos</t>
        </is>
      </c>
      <c r="F135" s="0" t="inlineStr">
        <is>
          <t xml:space="preserve">Región del Ñuble</t>
        </is>
      </c>
      <c r="G135" s="0" t="inlineStr">
        <is>
          <t xml:space="preserve">Chillán</t>
        </is>
      </c>
      <c r="H135" s="2">
        <v>46304.500694</v>
      </c>
      <c r="I135" s="2">
        <v>46349.708333</v>
      </c>
      <c r="J135" s="0">
        <v>32</v>
      </c>
      <c r="K135" s="3">
        <v>19373825000.0</v>
      </c>
      <c r="L135" s="0" t="inlineStr">
        <is>
          <t xml:space="preserve">CLP</t>
        </is>
      </c>
      <c r="M135" s="0" t="inlineStr">
        <is>
          <t xml:space="preserve">LR</t>
        </is>
      </c>
      <c r="N135" s="4" t="inlineStr">
        <is>
          <t xml:space="preserve">Tecnologías de la información, telecomunicaciones y radiodifusión / Software / Software de administración de redes</t>
        </is>
      </c>
      <c r="O135" s="4" t="inlineStr">
        <is>
          <t xml:space="preserve">1 Global · Software de administración · 1 Global · Software de administración</t>
        </is>
      </c>
      <c r="P135" s="2"/>
      <c r="Q135" s="2"/>
      <c r="R135" s="0" t="inlineStr">
        <is>
          <t xml:space="preserve">96 meses</t>
        </is>
      </c>
      <c r="S135" s="0" t="inlineStr">
        <is>
          <t xml:space="preserve">No</t>
        </is>
      </c>
      <c r="T135" s="4"/>
      <c r="U135" s="0" t="inlineStr">
        <is>
          <t xml:space="preserve">RODOLFO JIMENEZ</t>
        </is>
      </c>
      <c r="V135" s="4" t="inlineStr">
        <is>
          <t xml:space="preserve">El Servicio de Salud Ñuble requiere efectuar la ADQUISICIÓN DE SOFTWARES HIS-ESB-BI Y ERP PARA EL NUEVO HOSPITAL REGIONAL DE ÑUBLE, de acuerdo a las Bases Administrativas adjuntas y sus respectivos Anexos.</t>
        </is>
      </c>
      <c r="W135" s="5" t="str">
        <f>HYPERLINK("https://www.mercadopublico.cl/Procurement/Modules/Attachment/ViewAttachment.aspx?enc=t7Ac66t3kmuBrSKH24LE7s1f8NPKKiVY1rpRtMU%2b2w7H2Wd3%2f7cmwvXg5aiBT7ECDRtd7moO516LMlzRCEV99KWzu%2bEAg8SqRfyYvPW3UNbJKj7uzxA69x%2bd%2f03oWkfgHEnBJGi0o57IO%2fnpBYQbJfuE92zV3MTZBptA%2bEpU4DGJr16AWLi2ZqBWAB7pa%2bghS92E3YMVDrpv%2fPFzg0GKHjVlvrPsMl%2bKPHewoG6OQoiwajzSESeLO1BRLE2ldhnYARod4cQ0hEx9%2bFV2YrWY8VimxILOXkkvs7xZJdeeTQ0srK90DvJ8p4VQUjGOSw3B","descargar bases")</f>
      </c>
    </row>
    <row r="136">
      <c r="A136" s="0" t="inlineStr">
        <is>
          <t xml:space="preserve">3841-34-LE26</t>
        </is>
      </c>
      <c r="B136" s="4" t="inlineStr">
        <is>
          <t xml:space="preserve">EQUIPOS INFORMATICOS Y AUDIO</t>
        </is>
      </c>
      <c r="C136" s="0" t="inlineStr">
        <is>
          <t xml:space="preserve">Publicada</t>
        </is>
      </c>
      <c r="D136" s="0" t="inlineStr">
        <is>
          <t xml:space="preserve">I MUNICIPALIDAD DE PEMUCO</t>
        </is>
      </c>
      <c r="E136" s="0" t="inlineStr">
        <is>
          <t xml:space="preserve">I MUNICIPALIDAD DE PEMUCO</t>
        </is>
      </c>
      <c r="F136" s="0" t="inlineStr">
        <is>
          <t xml:space="preserve">Región del Ñuble</t>
        </is>
      </c>
      <c r="G136" s="0" t="inlineStr">
        <is>
          <t xml:space="preserve">Pemuco</t>
        </is>
      </c>
      <c r="H136" s="2">
        <v>46316.380023</v>
      </c>
      <c r="I136" s="2">
        <v>46352.625</v>
      </c>
      <c r="J136" s="0">
        <v>35</v>
      </c>
      <c r="K136" s="3">
        <v>9500000.0</v>
      </c>
      <c r="L136" s="0" t="inlineStr">
        <is>
          <t xml:space="preserve">CLP</t>
        </is>
      </c>
      <c r="M136" s="0" t="inlineStr">
        <is>
          <t xml:space="preserve">LE</t>
        </is>
      </c>
      <c r="N136" s="4" t="inlineStr">
        <is>
          <t xml:space="preserve">Muebles, accesorios, electrodomésticos y productos electrónicos / Equipos y accesorios audiovisuales / Equipos audiovisuales y de electrónica menor, Tecnologías de la información, telecomunicaciones y radiodifusión / Equipos informáticos y accesorios / Computadores</t>
        </is>
      </c>
      <c r="O136" s="4" t="inlineStr">
        <is>
          <t xml:space="preserve">1 Global · Computadores de escritorio · 1 Global · Parlantes</t>
        </is>
      </c>
      <c r="P136" s="2"/>
      <c r="Q136" s="2"/>
      <c r="R136" s="0"/>
      <c r="S136" s="0" t="inlineStr">
        <is>
          <t xml:space="preserve">No</t>
        </is>
      </c>
      <c r="T136" s="4"/>
      <c r="U136" s="0" t="inlineStr">
        <is>
          <t xml:space="preserve">JUAN SEBASTIAN CASANUEVA ARIAS</t>
        </is>
      </c>
      <c r="V136" s="4" t="inlineStr">
        <is>
          <t xml:space="preserve">EQUIPOS INFORMATICOS DIVERSAS UNIDADES MUNICIPALES, PEMUCO</t>
        </is>
      </c>
      <c r="W136" s="5" t="str">
        <f>HYPERLINK("https://www.mercadopublico.cl/Procurement/Modules/Attachment/ViewAttachment.aspx?enc=vKM4oR%2bp1ibdEK5LVJI9TRZ9C5ku0ymALeJXZAFqoZS7RPR7kMBxfYkU1zYM07U902uj6%2fp%2f51o%2buq80pXZNXZcglSqR9DjjlVS0qBNvGuUhiNtvdc1tZeJPz0IUYBw4ZTO8n2TdRhkXzGud9YRA9rofGN3hyQR%2fcFkchDusyIndiM7HtFZ7Crm5avoamHXVSmTqIhlfSBlEdbLSFh%2bq1HH24V0ZYiBuM12EfmmgQIABanz%2f7N7ItogwLCRpweINFN52AFR74XZkoN6AsLpNCgUBCu%2bJ829rRYbydehrIjSsRc43ijrhWZDxOxiu9sPd","descargar bases")</f>
      </c>
    </row>
    <row r="137">
      <c r="A137" s="0" t="inlineStr">
        <is>
          <t xml:space="preserve">1969-34-LS19</t>
        </is>
      </c>
      <c r="B137" s="4" t="inlineStr">
        <is>
          <t xml:space="preserve">AUTOMATIZACIÓN PORTÓN ACCESO A LINEA DE FUEGO</t>
        </is>
      </c>
      <c r="C137" s="0" t="inlineStr">
        <is>
          <t xml:space="preserve">Publicada</t>
        </is>
      </c>
      <c r="D137" s="0" t="inlineStr">
        <is>
          <t xml:space="preserve">DIRECCION GENERAL DE GENDARMERIA DE CHIL</t>
        </is>
      </c>
      <c r="E137" s="0" t="inlineStr">
        <is>
          <t xml:space="preserve">Región del Bio Bío</t>
        </is>
      </c>
      <c r="F137" s="0" t="inlineStr">
        <is>
          <t xml:space="preserve">Región del Biobío </t>
        </is>
      </c>
      <c r="G137" s="0" t="inlineStr">
        <is>
          <t xml:space="preserve">Concepción</t>
        </is>
      </c>
      <c r="H137" s="2">
        <v>43588.74809</v>
      </c>
      <c r="I137" s="2"/>
      <c r="J137" s="0"/>
      <c r="K137" s="3"/>
      <c r="L137" s="0" t="inlineStr">
        <is>
          <t xml:space="preserve">CLP</t>
        </is>
      </c>
      <c r="M137" s="0" t="inlineStr">
        <is>
          <t xml:space="preserve">LS</t>
        </is>
      </c>
      <c r="N137" s="4" t="inlineStr">
        <is>
          <t xml:space="preserve">Artículos para estructuras, obras y construcciones / Puertas, ventanas y vidrios / Puertas</t>
        </is>
      </c>
      <c r="O137" s="4" t="inlineStr">
        <is>
          <t xml:space="preserve">1 Unidad · Puertas de metal</t>
        </is>
      </c>
      <c r="P137" s="2"/>
      <c r="Q137" s="2"/>
      <c r="R137" s="0"/>
      <c r="S137" s="0" t="inlineStr">
        <is>
          <t xml:space="preserve">No</t>
        </is>
      </c>
      <c r="T137" s="4"/>
      <c r="U137" s="0" t="inlineStr">
        <is>
          <t xml:space="preserve">Héctor Polma Lillo</t>
        </is>
      </c>
      <c r="V137" s="4" t="inlineStr">
        <is>
          <t xml:space="preserve">AUTOMATIZACIÓN DE PORTÓN ACCESO A LINEA DE FUEGO C.P. CONCEPCIÓN</t>
        </is>
      </c>
      <c r="W137" s="5" t="str">
        <f>HYPERLINK("https://www.mercadopublico.cl/Procurement/Modules/Attachment/ViewAttachment.aspx?enc=zxXrTNJj%2b5nlNK51kAYowCf4z7%2bZ1HIjmb6OWBtqokNFuqChVtkdeJ24E6S1SYqem6EjXMtfvA%2bcDncgKr9xwvPVmC7pXnkVW2xrqAnppUtvETBM2e7p9za8wT%2fhlqomO7qmY5UaNve9MD5rUSRRBrOtSct18G60%2fs4h9absOmsk7irTC0XNoBEwta7wwgvU%2bzpSCQeo8S3TPgqQXWksCGzRnRyeeidGfw9JR2DQwGJOkNBDmGo7NdXDgD5WewIcDLX0tdKtvU4OsXlWF%2fVsL%2f01PR7fu3jsCTshTjvefkvvFAK81ZpK6YJ%2fg4PLJfB8","descargar bases")</f>
      </c>
    </row>
  </sheetData>
  <autoFilter ref="A1:W137"/>
</worksheet>
</file>

<file path=xl/worksheets/sheet3.xml><?xml version="1.0" encoding="utf-8"?>
<worksheet xmlns="http://schemas.openxmlformats.org/spreadsheetml/2006/main">
  <sheetViews>
    <sheetView workbookViewId="0">
      <pane ySplit="1" topLeftCell="A2" activePane="bottomLeft" state="frozen"/>
    </sheetView>
  </sheetViews>
  <cols>
    <col min="1" max="1" width="16" customWidth="1"/>
    <col min="2" max="2" width="46" customWidth="1"/>
    <col min="3" max="3" width="5" customWidth="1"/>
    <col min="4" max="4" width="40" customWidth="1"/>
    <col min="5" max="5" width="30" customWidth="1"/>
    <col min="6" max="6" width="10" customWidth="1"/>
    <col min="7" max="7" width="12" customWidth="1"/>
    <col min="8" max="8" width="70" customWidth="1"/>
  </cols>
  <sheetData>
    <row r="1" ht="28" customHeight="1">
      <c r="A1" s="1" t="inlineStr">
        <is>
          <t xml:space="preserve">Código licitación</t>
        </is>
      </c>
      <c r="B1" s="1" t="inlineStr">
        <is>
          <t xml:space="preserve">Licitación</t>
        </is>
      </c>
      <c r="C1" s="1" t="inlineStr">
        <is>
          <t xml:space="preserve">N°</t>
        </is>
      </c>
      <c r="D1" s="1" t="inlineStr">
        <is>
          <t xml:space="preserve">Producto o servicio</t>
        </is>
      </c>
      <c r="E1" s="1" t="inlineStr">
        <is>
          <t xml:space="preserve">Categoría</t>
        </is>
      </c>
      <c r="F1" s="1" t="inlineStr">
        <is>
          <t xml:space="preserve">Cantidad</t>
        </is>
      </c>
      <c r="G1" s="1" t="inlineStr">
        <is>
          <t xml:space="preserve">Unidad</t>
        </is>
      </c>
      <c r="H1" s="1" t="inlineStr">
        <is>
          <t xml:space="preserve">Detalle del requerimiento</t>
        </is>
      </c>
    </row>
    <row r="2">
      <c r="A2" s="0" t="inlineStr">
        <is>
          <t xml:space="preserve">1098710-30-LE26</t>
        </is>
      </c>
      <c r="B2" s="4" t="inlineStr">
        <is>
          <t xml:space="preserve">LICENCIAS SOFTWARE SLACK BUSINESS+ O EQUIVALENTE</t>
        </is>
      </c>
      <c r="C2" s="0">
        <v>1</v>
      </c>
      <c r="D2" s="4" t="inlineStr">
        <is>
          <t xml:space="preserve">Software de gestión de licencias</t>
        </is>
      </c>
      <c r="E2" s="4" t="inlineStr">
        <is>
          <t xml:space="preserve">Tecnologías de la información, telecomunicaciones y radiodifusión / Software / Software de gestión</t>
        </is>
      </c>
      <c r="F2" s="0">
        <v>1.0</v>
      </c>
      <c r="G2" s="0" t="inlineStr">
        <is>
          <t xml:space="preserve">Unidad</t>
        </is>
      </c>
      <c r="H2" s="4" t="inlineStr">
        <is>
          <t xml:space="preserve">ADQUISICIÓN DE LICENCIAS DE SOFTWARE SLACK BUSINESS+ O EQUIVALENTE</t>
        </is>
      </c>
    </row>
    <row r="3">
      <c r="A3" s="0" t="inlineStr">
        <is>
          <t xml:space="preserve">1110404-232-L126</t>
        </is>
      </c>
      <c r="B3" s="4" t="inlineStr">
        <is>
          <t xml:space="preserve">ADQUISICIÓN DE PLATAFORMA INTEGRATE PIE PARA LICEO B. ARTISTICO DR. JUAN NOE CREVANI, PERT. AL SLEPCH</t>
        </is>
      </c>
      <c r="C3" s="0">
        <v>1</v>
      </c>
      <c r="D3" s="4" t="inlineStr">
        <is>
          <t xml:space="preserve">Software de desarrollo de plataforma Web</t>
        </is>
      </c>
      <c r="E3" s="4" t="inlineStr">
        <is>
          <t xml:space="preserve">Tecnologías de la información, telecomunicaciones y radiodifusión / Software / Programas de desarrollo</t>
        </is>
      </c>
      <c r="F3" s="0">
        <v>1.0</v>
      </c>
      <c r="G3" s="0" t="inlineStr">
        <is>
          <t xml:space="preserve">Global</t>
        </is>
      </c>
      <c r="H3" s="4" t="inlineStr">
        <is>
          <t xml:space="preserve">INTEGRATE PIE PARA LICEO B. ARTISTICO</t>
        </is>
      </c>
    </row>
    <row r="4">
      <c r="A4" s="0" t="inlineStr">
        <is>
          <t xml:space="preserve">1591-25-LE26</t>
        </is>
      </c>
      <c r="B4" s="4" t="inlineStr">
        <is>
          <t xml:space="preserve">LICENCIA ADOBE CREATIVE CLOUD Y ADOBE ACROBAT PRO</t>
        </is>
      </c>
      <c r="C4" s="0">
        <v>1</v>
      </c>
      <c r="D4" s="4" t="inlineStr">
        <is>
          <t xml:space="preserve">Programas de gestión de documentos</t>
        </is>
      </c>
      <c r="E4" s="4" t="inlineStr">
        <is>
          <t xml:space="preserve">Tecnologías de la información, telecomunicaciones y radiodifusión / Software / Software de gestión de contenidos</t>
        </is>
      </c>
      <c r="F4" s="0">
        <v>1.0</v>
      </c>
      <c r="G4" s="0" t="inlineStr">
        <is>
          <t xml:space="preserve">Unidad</t>
        </is>
      </c>
      <c r="H4" s="4" t="inlineStr">
        <is>
          <t xml:space="preserve">Adobe Creative Cloud y Adobe Acrobat Pro, que comprende un total de nueve cuentas de Adobe Creative Cloud y setenta cuentas de Adobe Acrobat Pro. La Suite de Adobe ofrece un conjunto de aplicaciones esenciales para la Unidad de Tecnologías y Sistemas, inc</t>
        </is>
      </c>
    </row>
    <row r="5">
      <c r="A5" s="0" t="inlineStr">
        <is>
          <t xml:space="preserve">2387-86-LE26</t>
        </is>
      </c>
      <c r="B5" s="4" t="inlineStr">
        <is>
          <t xml:space="preserve">SUMINISTRO SOFTWARE DE ALTA PROTECCION INFORMATICA</t>
        </is>
      </c>
      <c r="C5" s="0">
        <v>1</v>
      </c>
      <c r="D5" s="4" t="inlineStr">
        <is>
          <t xml:space="preserve">Software de protección antivirus y de seguridad de transacciones</t>
        </is>
      </c>
      <c r="E5" s="4" t="inlineStr">
        <is>
          <t xml:space="preserve">Tecnologías de la información, telecomunicaciones y radiodifusión / Software / Software de seguridad y protección</t>
        </is>
      </c>
      <c r="F5" s="0">
        <v>730.0</v>
      </c>
      <c r="G5" s="0" t="inlineStr">
        <is>
          <t xml:space="preserve">Unidad</t>
        </is>
      </c>
      <c r="H5" s="4" t="inlineStr">
        <is>
          <t xml:space="preserve">El Software de Alta Protección Informática (Antivirus y Otros incluidos), deberá soportar Windows – Mac – Linux - Dispositivos móviles</t>
        </is>
      </c>
    </row>
    <row r="6">
      <c r="A6" s="0" t="inlineStr">
        <is>
          <t xml:space="preserve">2429-21-LE26</t>
        </is>
      </c>
      <c r="B6" s="4" t="inlineStr">
        <is>
          <t xml:space="preserve">ADQUISICIÓN DE LICENCIAS DE SOFTWARE DE ANTIVIRUS</t>
        </is>
      </c>
      <c r="C6" s="0">
        <v>1</v>
      </c>
      <c r="D6" s="4" t="inlineStr">
        <is>
          <t xml:space="preserve">Software de protección antivirus y de seguridad de transacciones</t>
        </is>
      </c>
      <c r="E6" s="4" t="inlineStr">
        <is>
          <t xml:space="preserve">Tecnologías de la información, telecomunicaciones y radiodifusión / Software / Software de seguridad y protección</t>
        </is>
      </c>
      <c r="F6" s="0">
        <v>1.0</v>
      </c>
      <c r="G6" s="0" t="inlineStr">
        <is>
          <t xml:space="preserve">Global</t>
        </is>
      </c>
      <c r="H6" s="4" t="inlineStr">
        <is>
          <t xml:space="preserve">LICENCIAS DE SOFTWARE DE ANTIVIRUS TS
(EDR) CON ADMINISTRACIÓN CENTRALIZADA</t>
        </is>
      </c>
    </row>
    <row r="7">
      <c r="A7" s="0" t="inlineStr">
        <is>
          <t xml:space="preserve">2563-43-LP26</t>
        </is>
      </c>
      <c r="B7" s="4" t="inlineStr">
        <is>
          <t xml:space="preserve">Adquisición de cámaras IA y radares de seguridad</t>
        </is>
      </c>
      <c r="C7" s="0">
        <v>1</v>
      </c>
      <c r="D7" s="4" t="inlineStr">
        <is>
          <t xml:space="preserve">Cámaras de seguridad</t>
        </is>
      </c>
      <c r="E7" s="4" t="inlineStr">
        <is>
          <t xml:space="preserve">Equipos y suministros de defensa, orden público, protección y seguridad / Seguridad, vigilancia y detección / Equipo de vigilancia y detección</t>
        </is>
      </c>
      <c r="F7" s="0">
        <v>2.0</v>
      </c>
      <c r="G7" s="0" t="inlineStr">
        <is>
          <t xml:space="preserve">Unidad</t>
        </is>
      </c>
      <c r="H7" s="4" t="inlineStr">
        <is>
          <t xml:space="preserve">Ítem 1, A.- Radar de Seguridad: 
Radar de seguridad para la detección, localización y seguimiento de objetivos, conforme a las especificaciones técnicas y funcionales establecidas en las presentes bases técnicas, de referencia STS-BG24X-L3/P o equivale</t>
        </is>
      </c>
    </row>
    <row r="8">
      <c r="A8" s="0" t="inlineStr">
        <is>
          <t xml:space="preserve">2563-43-LP26</t>
        </is>
      </c>
      <c r="B8" s="4" t="inlineStr">
        <is>
          <t xml:space="preserve">Adquisición de cámaras IA y radares de seguridad</t>
        </is>
      </c>
      <c r="C8" s="0">
        <v>2</v>
      </c>
      <c r="D8" s="4" t="inlineStr">
        <is>
          <t xml:space="preserve">Cámaras de seguridad</t>
        </is>
      </c>
      <c r="E8" s="4" t="inlineStr">
        <is>
          <t xml:space="preserve">Equipos y suministros de defensa, orden público, protección y seguridad / Seguridad, vigilancia y detección / Equipo de vigilancia y detección</t>
        </is>
      </c>
      <c r="F8" s="0">
        <v>2.0</v>
      </c>
      <c r="G8" s="0" t="inlineStr">
        <is>
          <t xml:space="preserve">Unidad</t>
        </is>
      </c>
      <c r="H8" s="4" t="inlineStr">
        <is>
          <t xml:space="preserve">Ítem 1, B.- Licencia: Licenciamiento para la integración, administración y operación de los radares de seguridad en el sistema de gestión de video (VMS), teniendo como referencia HikCentral-P-Radar-1Unit o equivalente de otras marcas o fabricantes que per</t>
        </is>
      </c>
    </row>
    <row r="9">
      <c r="A9" s="0" t="inlineStr">
        <is>
          <t xml:space="preserve">2563-43-LP26</t>
        </is>
      </c>
      <c r="B9" s="4" t="inlineStr">
        <is>
          <t xml:space="preserve">Adquisición de cámaras IA y radares de seguridad</t>
        </is>
      </c>
      <c r="C9" s="0">
        <v>3</v>
      </c>
      <c r="D9" s="4" t="inlineStr">
        <is>
          <t xml:space="preserve">Cámaras de seguridad</t>
        </is>
      </c>
      <c r="E9" s="4" t="inlineStr">
        <is>
          <t xml:space="preserve">Equipos y suministros de defensa, orden público, protección y seguridad / Seguridad, vigilancia y detección / Equipo de vigilancia y detección</t>
        </is>
      </c>
      <c r="F9" s="0">
        <v>1.0</v>
      </c>
      <c r="G9" s="0" t="inlineStr">
        <is>
          <t xml:space="preserve">Unidad</t>
        </is>
      </c>
      <c r="H9" s="4" t="inlineStr">
        <is>
          <t xml:space="preserve">ítem 2: Servidor de gestión de video.</t>
        </is>
      </c>
    </row>
    <row r="10">
      <c r="A10" s="0" t="inlineStr">
        <is>
          <t xml:space="preserve">2563-43-LP26</t>
        </is>
      </c>
      <c r="B10" s="4" t="inlineStr">
        <is>
          <t xml:space="preserve">Adquisición de cámaras IA y radares de seguridad</t>
        </is>
      </c>
      <c r="C10" s="0">
        <v>4</v>
      </c>
      <c r="D10" s="4" t="inlineStr">
        <is>
          <t xml:space="preserve">Cámaras de seguridad</t>
        </is>
      </c>
      <c r="E10" s="4" t="inlineStr">
        <is>
          <t xml:space="preserve">Equipos y suministros de defensa, orden público, protección y seguridad / Seguridad, vigilancia y detección / Equipo de vigilancia y detección</t>
        </is>
      </c>
      <c r="F10" s="0">
        <v>2.0</v>
      </c>
      <c r="G10" s="0" t="inlineStr">
        <is>
          <t xml:space="preserve">Unidad</t>
        </is>
      </c>
      <c r="H10" s="4" t="inlineStr">
        <is>
          <t xml:space="preserve">Ítem 3, A.- Cámara de videovigilancia: Cámara IP con funcionalidad de reconocimiento automático de placas patentes (ANPR)teniendo como referencia iDS-TCM403-B(G)/POE/2812 o equivalente de otras marcas o fabricantes que cumplan íntegramente las especificac</t>
        </is>
      </c>
    </row>
    <row r="11">
      <c r="A11" s="0" t="inlineStr">
        <is>
          <t xml:space="preserve">2563-43-LP26</t>
        </is>
      </c>
      <c r="B11" s="4" t="inlineStr">
        <is>
          <t xml:space="preserve">Adquisición de cámaras IA y radares de seguridad</t>
        </is>
      </c>
      <c r="C11" s="0">
        <v>5</v>
      </c>
      <c r="D11" s="4" t="inlineStr">
        <is>
          <t xml:space="preserve">Cámaras de seguridad</t>
        </is>
      </c>
      <c r="E11" s="4" t="inlineStr">
        <is>
          <t xml:space="preserve">Equipos y suministros de defensa, orden público, protección y seguridad / Seguridad, vigilancia y detección / Equipo de vigilancia y detección</t>
        </is>
      </c>
      <c r="F11" s="0">
        <v>2.0</v>
      </c>
      <c r="G11" s="0" t="inlineStr">
        <is>
          <t xml:space="preserve">Unidad</t>
        </is>
      </c>
      <c r="H11" s="4" t="inlineStr">
        <is>
          <t xml:space="preserve">Ítem 3, B.- Licencia: Licenciamiento para habilitar la integración, gestión y operación de las cámaras con funcionalidad ANPR en el sistema de gestión de video (VMS), , teniendo como referencia  HikCentral-P-VSS-1Ch/ANPR o equivalente de otras marcas o fa</t>
        </is>
      </c>
    </row>
    <row r="12">
      <c r="A12" s="0" t="inlineStr">
        <is>
          <t xml:space="preserve">2563-43-LP26</t>
        </is>
      </c>
      <c r="B12" s="4" t="inlineStr">
        <is>
          <t xml:space="preserve">Adquisición de cámaras IA y radares de seguridad</t>
        </is>
      </c>
      <c r="C12" s="0">
        <v>6</v>
      </c>
      <c r="D12" s="4" t="inlineStr">
        <is>
          <t xml:space="preserve">Cámaras de seguridad</t>
        </is>
      </c>
      <c r="E12" s="4" t="inlineStr">
        <is>
          <t xml:space="preserve">Equipos y suministros de defensa, orden público, protección y seguridad / Seguridad, vigilancia y detección / Equipo de vigilancia y detección</t>
        </is>
      </c>
      <c r="F12" s="0">
        <v>6.0</v>
      </c>
      <c r="G12" s="0" t="inlineStr">
        <is>
          <t xml:space="preserve">Unidad</t>
        </is>
      </c>
      <c r="H12" s="4" t="inlineStr">
        <is>
          <t xml:space="preserve">Ítem 4, A.- Cámara de videovigilancia: Cámara IP con capacidad de reconocimiento facial, teniendo como referencia iDS-2CD7A46G2-IZHS o equivalente de otras marcas o fabricantes que cumplan íntegramente las especificaciones técnicas y funcionales estableci</t>
        </is>
      </c>
    </row>
    <row r="13">
      <c r="A13" s="0" t="inlineStr">
        <is>
          <t xml:space="preserve">2563-43-LP26</t>
        </is>
      </c>
      <c r="B13" s="4" t="inlineStr">
        <is>
          <t xml:space="preserve">Adquisición de cámaras IA y radares de seguridad</t>
        </is>
      </c>
      <c r="C13" s="0">
        <v>7</v>
      </c>
      <c r="D13" s="4" t="inlineStr">
        <is>
          <t xml:space="preserve">Cámaras de seguridad</t>
        </is>
      </c>
      <c r="E13" s="4" t="inlineStr">
        <is>
          <t xml:space="preserve">Equipos y suministros de defensa, orden público, protección y seguridad / Seguridad, vigilancia y detección / Equipo de vigilancia y detección</t>
        </is>
      </c>
      <c r="F13" s="0">
        <v>6.0</v>
      </c>
      <c r="G13" s="0" t="inlineStr">
        <is>
          <t xml:space="preserve">Unidad</t>
        </is>
      </c>
      <c r="H13" s="4" t="inlineStr">
        <is>
          <t xml:space="preserve">Ítem 4, B.- Licencia: Licenciamiento para habilitar la funcionalidad de reconocimiento facial de las 6 cámaras a instalar en el sistema de gestión de video (VMS),, teniendo como referencia HikCentral P-AcuSeek-1Ch/RealTime&amp;Search o equivalente de otras ma</t>
        </is>
      </c>
    </row>
    <row r="14">
      <c r="A14" s="0" t="inlineStr">
        <is>
          <t xml:space="preserve">2563-43-LP26</t>
        </is>
      </c>
      <c r="B14" s="4" t="inlineStr">
        <is>
          <t xml:space="preserve">Adquisición de cámaras IA y radares de seguridad</t>
        </is>
      </c>
      <c r="C14" s="0">
        <v>8</v>
      </c>
      <c r="D14" s="4" t="inlineStr">
        <is>
          <t xml:space="preserve">Cámaras de seguridad</t>
        </is>
      </c>
      <c r="E14" s="4" t="inlineStr">
        <is>
          <t xml:space="preserve">Equipos y suministros de defensa, orden público, protección y seguridad / Seguridad, vigilancia y detección / Equipo de vigilancia y detección</t>
        </is>
      </c>
      <c r="F14" s="0">
        <v>1.0</v>
      </c>
      <c r="G14" s="0" t="inlineStr">
        <is>
          <t xml:space="preserve">Unidad</t>
        </is>
      </c>
      <c r="H14" s="4" t="inlineStr">
        <is>
          <t xml:space="preserve">Ítem 5, A.-Grabador de video: Grabador de vídeo en red (NVR), destinado a la grabación, almacenamiento, gestión y reproducción de las señales de video de la solución, teniendo como modelo de referencia iDS-9664NXI-M16/X o equivalente de otras marcas o fab</t>
        </is>
      </c>
    </row>
    <row r="15">
      <c r="A15" s="0" t="inlineStr">
        <is>
          <t xml:space="preserve">2563-43-LP26</t>
        </is>
      </c>
      <c r="B15" s="4" t="inlineStr">
        <is>
          <t xml:space="preserve">Adquisición de cámaras IA y radares de seguridad</t>
        </is>
      </c>
      <c r="C15" s="0">
        <v>9</v>
      </c>
      <c r="D15" s="4" t="inlineStr">
        <is>
          <t xml:space="preserve">Cámaras de seguridad</t>
        </is>
      </c>
      <c r="E15" s="4" t="inlineStr">
        <is>
          <t xml:space="preserve">Equipos y suministros de defensa, orden público, protección y seguridad / Seguridad, vigilancia y detección / Equipo de vigilancia y detección</t>
        </is>
      </c>
      <c r="F15" s="0">
        <v>8.0</v>
      </c>
      <c r="G15" s="0" t="inlineStr">
        <is>
          <t xml:space="preserve">Unidad</t>
        </is>
      </c>
      <c r="H15" s="4" t="inlineStr">
        <is>
          <t xml:space="preserve">Ítem 5, B.- Disco duro: B.- De 10 TB, 7200 RPM, 3.5”, SATA, apto para sistemas de videovigilancia y operación continua 24/7, teniendo como modelo de referencia  WUS721010ALE6L4, o equivalente de otras marcas o fabricantes que cumplan íntegramente las espe</t>
        </is>
      </c>
    </row>
    <row r="16">
      <c r="A16" s="0" t="inlineStr">
        <is>
          <t xml:space="preserve">2563-43-LP26</t>
        </is>
      </c>
      <c r="B16" s="4" t="inlineStr">
        <is>
          <t xml:space="preserve">Adquisición de cámaras IA y radares de seguridad</t>
        </is>
      </c>
      <c r="C16" s="0">
        <v>10</v>
      </c>
      <c r="D16" s="4" t="inlineStr">
        <is>
          <t xml:space="preserve">Cámaras de seguridad</t>
        </is>
      </c>
      <c r="E16" s="4" t="inlineStr">
        <is>
          <t xml:space="preserve">Equipos y suministros de defensa, orden público, protección y seguridad / Seguridad, vigilancia y detección / Equipo de vigilancia y detección</t>
        </is>
      </c>
      <c r="F16" s="0">
        <v>1.0</v>
      </c>
      <c r="G16" s="0" t="inlineStr">
        <is>
          <t xml:space="preserve">Unidad</t>
        </is>
      </c>
      <c r="H16" s="4" t="inlineStr">
        <is>
          <t xml:space="preserve">Ítem 6, A.-Videowall Licencia: A.- Licencia necesaria para habilitar la gestión, configuración y operación del módulo de videowall para VMS, teniendo como referencia HikCentral-P-SmartWall/Module o equivalente de otras marcas o fabricantes que permitan cu</t>
        </is>
      </c>
    </row>
    <row r="17">
      <c r="A17" s="0" t="inlineStr">
        <is>
          <t xml:space="preserve">2563-43-LP26</t>
        </is>
      </c>
      <c r="B17" s="4" t="inlineStr">
        <is>
          <t xml:space="preserve">Adquisición de cámaras IA y radares de seguridad</t>
        </is>
      </c>
      <c r="C17" s="0">
        <v>11</v>
      </c>
      <c r="D17" s="4" t="inlineStr">
        <is>
          <t xml:space="preserve">Cámaras de seguridad</t>
        </is>
      </c>
      <c r="E17" s="4" t="inlineStr">
        <is>
          <t xml:space="preserve">Equipos y suministros de defensa, orden público, protección y seguridad / Seguridad, vigilancia y detección / Equipo de vigilancia y detección</t>
        </is>
      </c>
      <c r="F17" s="0">
        <v>1.0</v>
      </c>
      <c r="G17" s="0" t="inlineStr">
        <is>
          <t xml:space="preserve">Unidad</t>
        </is>
      </c>
      <c r="H17" s="4" t="inlineStr">
        <is>
          <t xml:space="preserve">Ítem 6, B.-Videowall Licencia: Licencia para VMS, que permita habilitar y mantener operativo los canales requeridos y demás funcionalidades señaladas en las presentes bases, teniendo como referencia  HikCentral-P-Maintenance-16 Ch/Base /Promo) o equivalen</t>
        </is>
      </c>
    </row>
    <row r="18">
      <c r="A18" s="0" t="inlineStr">
        <is>
          <t xml:space="preserve">2563-43-LP26</t>
        </is>
      </c>
      <c r="B18" s="4" t="inlineStr">
        <is>
          <t xml:space="preserve">Adquisición de cámaras IA y radares de seguridad</t>
        </is>
      </c>
      <c r="C18" s="0">
        <v>12</v>
      </c>
      <c r="D18" s="4" t="inlineStr">
        <is>
          <t xml:space="preserve">Cámaras de seguridad</t>
        </is>
      </c>
      <c r="E18" s="4" t="inlineStr">
        <is>
          <t xml:space="preserve">Equipos y suministros de defensa, orden público, protección y seguridad / Seguridad, vigilancia y detección / Equipo de vigilancia y detección</t>
        </is>
      </c>
      <c r="F18" s="0">
        <v>2.0</v>
      </c>
      <c r="G18" s="0" t="inlineStr">
        <is>
          <t xml:space="preserve">Unidad</t>
        </is>
      </c>
      <c r="H18" s="4" t="inlineStr">
        <is>
          <t xml:space="preserve">Ítem 6, C.- Videowall: C.- Pantalla LCD 46”, teniendo como modelo de referencia DS-D2046TL-2B o equivalente de otras marcas o fabricantes que cumpla íntegramente las especificaciones técnicas y funcionales establecidas en las presentes bases técnicas.</t>
        </is>
      </c>
    </row>
    <row r="19">
      <c r="A19" s="0" t="inlineStr">
        <is>
          <t xml:space="preserve">2563-43-LP26</t>
        </is>
      </c>
      <c r="B19" s="4" t="inlineStr">
        <is>
          <t xml:space="preserve">Adquisición de cámaras IA y radares de seguridad</t>
        </is>
      </c>
      <c r="C19" s="0">
        <v>13</v>
      </c>
      <c r="D19" s="4" t="inlineStr">
        <is>
          <t xml:space="preserve">Cámaras de seguridad</t>
        </is>
      </c>
      <c r="E19" s="4" t="inlineStr">
        <is>
          <t xml:space="preserve">Equipos y suministros de defensa, orden público, protección y seguridad / Seguridad, vigilancia y detección / Equipo de vigilancia y detección</t>
        </is>
      </c>
      <c r="F19" s="0">
        <v>2.0</v>
      </c>
      <c r="G19" s="0" t="inlineStr">
        <is>
          <t xml:space="preserve">Unidad</t>
        </is>
      </c>
      <c r="H19" s="4" t="inlineStr">
        <is>
          <t xml:space="preserve">Ítem 6, D.- Videowall: Sistema de soporte y anclaje para monitor 46” compatible con la pantalla ofertada y adecuado a las condiciones del lugar de instalación, teniendo como modelo de referencia  DP-D2X46XXX-1X1 o equivalente de otras marcas o fabricantes</t>
        </is>
      </c>
    </row>
    <row r="20">
      <c r="A20" s="0" t="inlineStr">
        <is>
          <t xml:space="preserve">2563-43-LP26</t>
        </is>
      </c>
      <c r="B20" s="4" t="inlineStr">
        <is>
          <t xml:space="preserve">Adquisición de cámaras IA y radares de seguridad</t>
        </is>
      </c>
      <c r="C20" s="0">
        <v>14</v>
      </c>
      <c r="D20" s="4" t="inlineStr">
        <is>
          <t xml:space="preserve">Cámaras de seguridad</t>
        </is>
      </c>
      <c r="E20" s="4" t="inlineStr">
        <is>
          <t xml:space="preserve">Equipos y suministros de defensa, orden público, protección y seguridad / Seguridad, vigilancia y detección / Equipo de vigilancia y detección</t>
        </is>
      </c>
      <c r="F20" s="0">
        <v>2.0</v>
      </c>
      <c r="G20" s="0" t="inlineStr">
        <is>
          <t xml:space="preserve">Unidad</t>
        </is>
      </c>
      <c r="H20" s="4" t="inlineStr">
        <is>
          <t xml:space="preserve">Ítem 6, E.- Videowall: Decodificador 4K,teniendo como modelo de referencia DS-6908UDI o equivalente de otras marcas o fabricantes que cumpla íntegramente las especificaciones técnicas y funcionales establecidas en las presentes Bases Técnicas.</t>
        </is>
      </c>
    </row>
    <row r="21">
      <c r="A21" s="0" t="inlineStr">
        <is>
          <t xml:space="preserve">2563-43-LP26</t>
        </is>
      </c>
      <c r="B21" s="4" t="inlineStr">
        <is>
          <t xml:space="preserve">Adquisición de cámaras IA y radares de seguridad</t>
        </is>
      </c>
      <c r="C21" s="0">
        <v>15</v>
      </c>
      <c r="D21" s="4" t="inlineStr">
        <is>
          <t xml:space="preserve">Cámaras de seguridad</t>
        </is>
      </c>
      <c r="E21" s="4" t="inlineStr">
        <is>
          <t xml:space="preserve">Equipos y suministros de defensa, orden público, protección y seguridad / Seguridad, vigilancia y detección / Equipo de vigilancia y detección</t>
        </is>
      </c>
      <c r="F21" s="0">
        <v>1.0</v>
      </c>
      <c r="G21" s="0" t="inlineStr">
        <is>
          <t xml:space="preserve">Unidad</t>
        </is>
      </c>
      <c r="H21" s="4" t="inlineStr">
        <is>
          <t xml:space="preserve">Ítem 6, F.-Videowall:  F.- Control IP PTZ Joystick  para la gestión y operación de las cámaras de videovigilancia, compatible con el VMS HikCentral de propiedad de la DGAC, teniendo como modelo de referencia  DS-1600KI o equivalente de otras marcas o fabr</t>
        </is>
      </c>
    </row>
    <row r="22">
      <c r="A22" s="0" t="inlineStr">
        <is>
          <t xml:space="preserve">3047-60-LE26</t>
        </is>
      </c>
      <c r="B22" s="4" t="inlineStr">
        <is>
          <t xml:space="preserve">EQUIPAMIENTO INFORMÁTICO PARA IMPLEMENTAR SERVIDOR EN EL CENTRO DE INNOVACIÓN TECNOLÓGICA DE LA ARMADA</t>
        </is>
      </c>
      <c r="C22" s="0">
        <v>1</v>
      </c>
      <c r="D22" s="4" t="inlineStr">
        <is>
          <t xml:space="preserve">Servidores</t>
        </is>
      </c>
      <c r="E22" s="4" t="inlineStr">
        <is>
          <t xml:space="preserve">Tecnologías de la información, telecomunicaciones y radiodifusión / Equipos informáticos y accesorios / Computadores</t>
        </is>
      </c>
      <c r="F22" s="0">
        <v>1.0</v>
      </c>
      <c r="G22" s="0" t="inlineStr">
        <is>
          <t xml:space="preserve">Unidad</t>
        </is>
      </c>
      <c r="H22" s="4" t="inlineStr">
        <is>
          <t xml:space="preserve">EQUIPAMIENTO INFORMATICO PARA IMPLEMENTAR UN SERVIDOR IA ON PREMISE DE ACUERDO A ESPECIFICACIONES ADMINISTRATIVAS,TÉCNICAS Y ANEXOS ADJUNTOS.</t>
        </is>
      </c>
    </row>
    <row r="23">
      <c r="A23" s="0" t="inlineStr">
        <is>
          <t xml:space="preserve">3671-80-LE26</t>
        </is>
      </c>
      <c r="B23" s="4" t="inlineStr">
        <is>
          <t xml:space="preserve">“HABILITACIÓN DE NUEVAS DEPENDENCIAS DE SEGURIDAD MUNICIPAL E INFORMÁTICA DE LA MUNICIPALIDAD DE CHILLÁN VIEJO”</t>
        </is>
      </c>
      <c r="C23" s="0">
        <v>1</v>
      </c>
      <c r="D23" s="4" t="inlineStr">
        <is>
          <t xml:space="preserve">Construcción de obras civiles</t>
        </is>
      </c>
      <c r="E23" s="4" t="inlineStr">
        <is>
          <t xml:space="preserve">Servicios de construcción y mantenimiento / Construcción de edificios en general / Construcción de obras civiles y infraestructuras</t>
        </is>
      </c>
      <c r="F23" s="0">
        <v>1.0</v>
      </c>
      <c r="G23" s="0" t="inlineStr">
        <is>
          <t xml:space="preserve">Unidad</t>
        </is>
      </c>
      <c r="H23" s="4" t="inlineStr">
        <is>
          <t xml:space="preserve">HABILITACION DE NUEVAS DEPENDENCIAS DE SEGURIDAD MUNICIPAL E INFORMATICA DE LA MUNICIPALIDAD DE CHILLAN VIEJO</t>
        </is>
      </c>
    </row>
    <row r="24">
      <c r="A24" s="0" t="inlineStr">
        <is>
          <t xml:space="preserve">5586-164-LE26</t>
        </is>
      </c>
      <c r="B24" s="4" t="inlineStr">
        <is>
          <t xml:space="preserve">BC SERVICIO DE PLATAFORMA TECNOLÓGICA INTEGRAL PARA LA GESTIÓN DE EVENTO ACADÉMICO</t>
        </is>
      </c>
      <c r="C24" s="0">
        <v>1</v>
      </c>
      <c r="D24" s="4" t="inlineStr">
        <is>
          <t xml:space="preserve">Software de interconectividad de plataformas</t>
        </is>
      </c>
      <c r="E24" s="4" t="inlineStr">
        <is>
          <t xml:space="preserve">Tecnologías de la información, telecomunicaciones y radiodifusión / Software / Software para trabajo en redes</t>
        </is>
      </c>
      <c r="F24" s="0">
        <v>1.0</v>
      </c>
      <c r="G24" s="0" t="inlineStr">
        <is>
          <t xml:space="preserve">Unidad</t>
        </is>
      </c>
      <c r="H24" s="4" t="inlineStr">
        <is>
          <t xml:space="preserve">SERVICIO DE PLATAFORMA TECNOLÓGICA INTEGRAL PARA LA GESTIÓN DE EVENTO ACADÉMICO</t>
        </is>
      </c>
    </row>
    <row r="25">
      <c r="A25" s="0" t="inlineStr">
        <is>
          <t xml:space="preserve">577290-4-LP26</t>
        </is>
      </c>
      <c r="B25" s="4" t="inlineStr">
        <is>
          <t xml:space="preserve">RENOVACIÓN Y ADQUISICIÓN DE LICENCIAS DE SOFTWARE</t>
        </is>
      </c>
      <c r="C25" s="0">
        <v>1</v>
      </c>
      <c r="D25" s="4" t="inlineStr">
        <is>
          <t xml:space="preserve">Software de gestión de licencias</t>
        </is>
      </c>
      <c r="E25" s="4" t="inlineStr">
        <is>
          <t xml:space="preserve">Tecnologías de la información, telecomunicaciones y radiodifusión / Software / Software de gestión</t>
        </is>
      </c>
      <c r="F25" s="0">
        <v>4.0</v>
      </c>
      <c r="G25" s="0" t="inlineStr">
        <is>
          <t xml:space="preserve">Unidad</t>
        </is>
      </c>
      <c r="H25" s="4" t="inlineStr">
        <is>
          <t xml:space="preserve">DEVEXPRESS UNIVERSAL (o equivalente). Suscripción. 12 meses</t>
        </is>
      </c>
    </row>
    <row r="26">
      <c r="A26" s="0" t="inlineStr">
        <is>
          <t xml:space="preserve">577290-4-LP26</t>
        </is>
      </c>
      <c r="B26" s="4" t="inlineStr">
        <is>
          <t xml:space="preserve">RENOVACIÓN Y ADQUISICIÓN DE LICENCIAS DE SOFTWARE</t>
        </is>
      </c>
      <c r="C26" s="0">
        <v>2</v>
      </c>
      <c r="D26" s="4" t="inlineStr">
        <is>
          <t xml:space="preserve">Software de gestión de licencias</t>
        </is>
      </c>
      <c r="E26" s="4" t="inlineStr">
        <is>
          <t xml:space="preserve">Tecnologías de la información, telecomunicaciones y radiodifusión / Software / Software de gestión</t>
        </is>
      </c>
      <c r="F26" s="0">
        <v>1.0</v>
      </c>
      <c r="G26" s="0" t="inlineStr">
        <is>
          <t xml:space="preserve">Unidad</t>
        </is>
      </c>
      <c r="H26" s="4" t="inlineStr">
        <is>
          <t xml:space="preserve">PowerDesigner Enterprise Architect (o equivalente). Perpetua</t>
        </is>
      </c>
    </row>
    <row r="27">
      <c r="A27" s="0" t="inlineStr">
        <is>
          <t xml:space="preserve">577290-4-LP26</t>
        </is>
      </c>
      <c r="B27" s="4" t="inlineStr">
        <is>
          <t xml:space="preserve">RENOVACIÓN Y ADQUISICIÓN DE LICENCIAS DE SOFTWARE</t>
        </is>
      </c>
      <c r="C27" s="0">
        <v>3</v>
      </c>
      <c r="D27" s="4" t="inlineStr">
        <is>
          <t xml:space="preserve">Software de gestión de licencias</t>
        </is>
      </c>
      <c r="E27" s="4" t="inlineStr">
        <is>
          <t xml:space="preserve">Tecnologías de la información, telecomunicaciones y radiodifusión / Software / Software de gestión</t>
        </is>
      </c>
      <c r="F27" s="0">
        <v>4.0</v>
      </c>
      <c r="G27" s="0" t="inlineStr">
        <is>
          <t xml:space="preserve">Unidad</t>
        </is>
      </c>
      <c r="H27" s="4" t="inlineStr">
        <is>
          <t xml:space="preserve">TOAD FOR ORACLE DBA Edition (o equivalente). Suscripción. 12 meses</t>
        </is>
      </c>
    </row>
    <row r="28">
      <c r="A28" s="0" t="inlineStr">
        <is>
          <t xml:space="preserve">577290-4-LP26</t>
        </is>
      </c>
      <c r="B28" s="4" t="inlineStr">
        <is>
          <t xml:space="preserve">RENOVACIÓN Y ADQUISICIÓN DE LICENCIAS DE SOFTWARE</t>
        </is>
      </c>
      <c r="C28" s="0">
        <v>4</v>
      </c>
      <c r="D28" s="4" t="inlineStr">
        <is>
          <t xml:space="preserve">Software de gestión de licencias</t>
        </is>
      </c>
      <c r="E28" s="4" t="inlineStr">
        <is>
          <t xml:space="preserve">Tecnologías de la información, telecomunicaciones y radiodifusión / Software / Software de gestión</t>
        </is>
      </c>
      <c r="F28" s="0">
        <v>1.0</v>
      </c>
      <c r="G28" s="0" t="inlineStr">
        <is>
          <t xml:space="preserve">Unidad</t>
        </is>
      </c>
      <c r="H28" s="4" t="inlineStr">
        <is>
          <t xml:space="preserve">TOAD DATA STUDIO (o equivalente). Suscripción. 12 meses.</t>
        </is>
      </c>
    </row>
    <row r="29">
      <c r="A29" s="0" t="inlineStr">
        <is>
          <t xml:space="preserve">577290-4-LP26</t>
        </is>
      </c>
      <c r="B29" s="4" t="inlineStr">
        <is>
          <t xml:space="preserve">RENOVACIÓN Y ADQUISICIÓN DE LICENCIAS DE SOFTWARE</t>
        </is>
      </c>
      <c r="C29" s="0">
        <v>5</v>
      </c>
      <c r="D29" s="4" t="inlineStr">
        <is>
          <t xml:space="preserve">Software de gestión de licencias</t>
        </is>
      </c>
      <c r="E29" s="4" t="inlineStr">
        <is>
          <t xml:space="preserve">Tecnologías de la información, telecomunicaciones y radiodifusión / Software / Software de gestión</t>
        </is>
      </c>
      <c r="F29" s="0">
        <v>60.0</v>
      </c>
      <c r="G29" s="0" t="inlineStr">
        <is>
          <t xml:space="preserve">Unidad</t>
        </is>
      </c>
      <c r="H29" s="4" t="inlineStr">
        <is>
          <t xml:space="preserve">ADOBE ACROBAT PRO DC (o equivalente). Suscripción. 12 meses</t>
        </is>
      </c>
    </row>
    <row r="30">
      <c r="A30" s="0" t="inlineStr">
        <is>
          <t xml:space="preserve">577290-4-LP26</t>
        </is>
      </c>
      <c r="B30" s="4" t="inlineStr">
        <is>
          <t xml:space="preserve">RENOVACIÓN Y ADQUISICIÓN DE LICENCIAS DE SOFTWARE</t>
        </is>
      </c>
      <c r="C30" s="0">
        <v>6</v>
      </c>
      <c r="D30" s="4" t="inlineStr">
        <is>
          <t xml:space="preserve">Software de gestión de licencias</t>
        </is>
      </c>
      <c r="E30" s="4" t="inlineStr">
        <is>
          <t xml:space="preserve">Tecnologías de la información, telecomunicaciones y radiodifusión / Software / Software de gestión</t>
        </is>
      </c>
      <c r="F30" s="0">
        <v>8.0</v>
      </c>
      <c r="G30" s="0" t="inlineStr">
        <is>
          <t xml:space="preserve">Unidad</t>
        </is>
      </c>
      <c r="H30" s="4" t="inlineStr">
        <is>
          <t xml:space="preserve">ADOBE CREATIVE CLOUD (o equivalente). Suscripción. 12 meses</t>
        </is>
      </c>
    </row>
    <row r="31">
      <c r="A31" s="0" t="inlineStr">
        <is>
          <t xml:space="preserve">618923-19-LP26</t>
        </is>
      </c>
      <c r="B31" s="4" t="inlineStr">
        <is>
          <t xml:space="preserve">ADQUISICIÓN E IMPLEMENTACIÓN SOFTWARE INVENTARIO</t>
        </is>
      </c>
      <c r="C31" s="0">
        <v>1</v>
      </c>
      <c r="D31" s="4" t="inlineStr">
        <is>
          <t xml:space="preserve">Software de administración de bases de datos orientado a objetos</t>
        </is>
      </c>
      <c r="E31" s="4" t="inlineStr">
        <is>
          <t xml:space="preserve">Tecnologías de la información, telecomunicaciones y radiodifusión / Software / Software de consultas y gestión de datos</t>
        </is>
      </c>
      <c r="F31" s="0">
        <v>1.0</v>
      </c>
      <c r="G31" s="0" t="inlineStr">
        <is>
          <t xml:space="preserve">Unidad</t>
        </is>
      </c>
      <c r="H31" s="4" t="inlineStr">
        <is>
          <t xml:space="preserve">ADQUISICIÓN E IMPLEMENTACIÓN DE SOFTWARE DE CONTROL Y GESTIÓN DE ACTIVO FIJO Y SERVICIOS DE MANTENCIÓN Y SOPORTE</t>
        </is>
      </c>
    </row>
    <row r="32">
      <c r="A32" s="0" t="inlineStr">
        <is>
          <t xml:space="preserve">976-21-LE26</t>
        </is>
      </c>
      <c r="B32" s="4" t="inlineStr">
        <is>
          <t xml:space="preserve">Adquisición y renovación de licencias softwares</t>
        </is>
      </c>
      <c r="C32" s="0">
        <v>1</v>
      </c>
      <c r="D32" s="4" t="inlineStr">
        <is>
          <t xml:space="preserve">Software de gestión de licencias</t>
        </is>
      </c>
      <c r="E32" s="4" t="inlineStr">
        <is>
          <t xml:space="preserve">Tecnologías de la información, telecomunicaciones y radiodifusión / Software / Software de gestión</t>
        </is>
      </c>
      <c r="F32" s="0">
        <v>5.0</v>
      </c>
      <c r="G32" s="0" t="inlineStr">
        <is>
          <t xml:space="preserve">Unidad</t>
        </is>
      </c>
      <c r="H32" s="4" t="inlineStr">
        <is>
          <t xml:space="preserve">Renovación de Licencias Autodesk AutoCAD, Single-User.</t>
        </is>
      </c>
    </row>
    <row r="33">
      <c r="A33" s="0" t="inlineStr">
        <is>
          <t xml:space="preserve">976-21-LE26</t>
        </is>
      </c>
      <c r="B33" s="4" t="inlineStr">
        <is>
          <t xml:space="preserve">Adquisición y renovación de licencias softwares</t>
        </is>
      </c>
      <c r="C33" s="0">
        <v>2</v>
      </c>
      <c r="D33" s="4" t="inlineStr">
        <is>
          <t xml:space="preserve">Software de gestión de licencias</t>
        </is>
      </c>
      <c r="E33" s="4" t="inlineStr">
        <is>
          <t xml:space="preserve">Tecnologías de la información, telecomunicaciones y radiodifusión / Software / Software de gestión</t>
        </is>
      </c>
      <c r="F33" s="0">
        <v>15.0</v>
      </c>
      <c r="G33" s="0" t="inlineStr">
        <is>
          <t xml:space="preserve">Unidad</t>
        </is>
      </c>
      <c r="H33" s="4" t="inlineStr">
        <is>
          <t xml:space="preserve">Renovación de Licencias Architecture Engineering Construction Collection (AEC) Single User</t>
        </is>
      </c>
    </row>
    <row r="34">
      <c r="A34" s="0" t="inlineStr">
        <is>
          <t xml:space="preserve">976-21-LE26</t>
        </is>
      </c>
      <c r="B34" s="4" t="inlineStr">
        <is>
          <t xml:space="preserve">Adquisición y renovación de licencias softwares</t>
        </is>
      </c>
      <c r="C34" s="0">
        <v>3</v>
      </c>
      <c r="D34" s="4" t="inlineStr">
        <is>
          <t xml:space="preserve">Software de gestión de licencias</t>
        </is>
      </c>
      <c r="E34" s="4" t="inlineStr">
        <is>
          <t xml:space="preserve">Tecnologías de la información, telecomunicaciones y radiodifusión / Software / Software de gestión</t>
        </is>
      </c>
      <c r="F34" s="0">
        <v>3.0</v>
      </c>
      <c r="G34" s="0" t="inlineStr">
        <is>
          <t xml:space="preserve">Unidad</t>
        </is>
      </c>
      <c r="H34" s="4" t="inlineStr">
        <is>
          <t xml:space="preserve">Adquisición de Licencias Architecture Engineering Construction Collection (AEC) Single User</t>
        </is>
      </c>
    </row>
    <row r="35">
      <c r="A35" s="0" t="inlineStr">
        <is>
          <t xml:space="preserve">2788-54-LE26</t>
        </is>
      </c>
      <c r="B35" s="4" t="inlineStr">
        <is>
          <t xml:space="preserve">ADQUISICION Y RENOVACION DE SOFTWARES</t>
        </is>
      </c>
      <c r="C35" s="0">
        <v>1</v>
      </c>
      <c r="D35" s="4" t="inlineStr">
        <is>
          <t xml:space="preserve">Software de gestión de licencias</t>
        </is>
      </c>
      <c r="E35" s="4" t="inlineStr">
        <is>
          <t xml:space="preserve">Tecnologías de la información, telecomunicaciones y radiodifusión / Software / Software de gestión</t>
        </is>
      </c>
      <c r="F35" s="0">
        <v>1.0</v>
      </c>
      <c r="G35" s="0" t="inlineStr">
        <is>
          <t xml:space="preserve">Unidad</t>
        </is>
      </c>
      <c r="H35" s="4" t="inlineStr">
        <is>
          <t xml:space="preserve">linea 1 ADQUISICION Y RENOVACION DE SOFTWARES PARA UTILIZACION EN SECPLA, COMUNICACIONES, DOM Y OTRAS DEPENDENCIAS MUNICIPALES</t>
        </is>
      </c>
    </row>
    <row r="36">
      <c r="A36" s="0" t="inlineStr">
        <is>
          <t xml:space="preserve">2788-54-LE26</t>
        </is>
      </c>
      <c r="B36" s="4" t="inlineStr">
        <is>
          <t xml:space="preserve">ADQUISICION Y RENOVACION DE SOFTWARES</t>
        </is>
      </c>
      <c r="C36" s="0">
        <v>2</v>
      </c>
      <c r="D36" s="4" t="inlineStr">
        <is>
          <t xml:space="preserve">Software de gestión de licencias</t>
        </is>
      </c>
      <c r="E36" s="4" t="inlineStr">
        <is>
          <t xml:space="preserve">Tecnologías de la información, telecomunicaciones y radiodifusión / Software / Software de gestión</t>
        </is>
      </c>
      <c r="F36" s="0">
        <v>1.0</v>
      </c>
      <c r="G36" s="0" t="inlineStr">
        <is>
          <t xml:space="preserve">Unidad</t>
        </is>
      </c>
      <c r="H36" s="4" t="inlineStr">
        <is>
          <t xml:space="preserve">linea 2 Prezi Plus suscripción anual (1</t>
        </is>
      </c>
    </row>
    <row r="37">
      <c r="A37" s="0" t="inlineStr">
        <is>
          <t xml:space="preserve">2788-54-LE26</t>
        </is>
      </c>
      <c r="B37" s="4" t="inlineStr">
        <is>
          <t xml:space="preserve">ADQUISICION Y RENOVACION DE SOFTWARES</t>
        </is>
      </c>
      <c r="C37" s="0">
        <v>3</v>
      </c>
      <c r="D37" s="4" t="inlineStr">
        <is>
          <t xml:space="preserve">Software de gestión de licencias</t>
        </is>
      </c>
      <c r="E37" s="4" t="inlineStr">
        <is>
          <t xml:space="preserve">Tecnologías de la información, telecomunicaciones y radiodifusión / Software / Software de gestión</t>
        </is>
      </c>
      <c r="F37" s="0">
        <v>1.0</v>
      </c>
      <c r="G37" s="0" t="inlineStr">
        <is>
          <t xml:space="preserve">Unidad</t>
        </is>
      </c>
      <c r="H37" s="4" t="inlineStr">
        <is>
          <t xml:space="preserve">LINEA 3: OPEN AI chat GPT Business suscripción anual (2 licencias)</t>
        </is>
      </c>
    </row>
    <row r="38">
      <c r="A38" s="0" t="inlineStr">
        <is>
          <t xml:space="preserve">1375735-16-LE26</t>
        </is>
      </c>
      <c r="B38" s="4" t="inlineStr">
        <is>
          <t xml:space="preserve">ADQUISICIÓN DE LICENCIAS INFORMÁTICAS DESTINADAS A ADMINISTRACIÓN CENTRAL DEL SERVICIO LOCAL DE EDUCACIÓN PÚBLICA DE ANTOFAGASTA 2DO. LLAMADO</t>
        </is>
      </c>
      <c r="C38" s="0">
        <v>1</v>
      </c>
      <c r="D38" s="4" t="inlineStr">
        <is>
          <t xml:space="preserve">Software de gestión de licencias</t>
        </is>
      </c>
      <c r="E38" s="4" t="inlineStr">
        <is>
          <t xml:space="preserve">Tecnologías de la información, telecomunicaciones y radiodifusión / Software / Software de gestión</t>
        </is>
      </c>
      <c r="F38" s="0">
        <v>1.0</v>
      </c>
      <c r="G38" s="0" t="inlineStr">
        <is>
          <t xml:space="preserve">Unidad</t>
        </is>
      </c>
      <c r="H38" s="4" t="inlineStr">
        <is>
          <t xml:space="preserve">Tableau Creator o equivalente</t>
        </is>
      </c>
    </row>
    <row r="39">
      <c r="A39" s="0" t="inlineStr">
        <is>
          <t xml:space="preserve">1375735-16-LE26</t>
        </is>
      </c>
      <c r="B39" s="4" t="inlineStr">
        <is>
          <t xml:space="preserve">ADQUISICIÓN DE LICENCIAS INFORMÁTICAS DESTINADAS A ADMINISTRACIÓN CENTRAL DEL SERVICIO LOCAL DE EDUCACIÓN PÚBLICA DE ANTOFAGASTA 2DO. LLAMADO</t>
        </is>
      </c>
      <c r="C39" s="0">
        <v>2</v>
      </c>
      <c r="D39" s="4" t="inlineStr">
        <is>
          <t xml:space="preserve">Software de gestión de licencias</t>
        </is>
      </c>
      <c r="E39" s="4" t="inlineStr">
        <is>
          <t xml:space="preserve">Tecnologías de la información, telecomunicaciones y radiodifusión / Software / Software de gestión</t>
        </is>
      </c>
      <c r="F39" s="0">
        <v>4.0</v>
      </c>
      <c r="G39" s="0" t="inlineStr">
        <is>
          <t xml:space="preserve">Unidad</t>
        </is>
      </c>
      <c r="H39" s="4" t="inlineStr">
        <is>
          <t xml:space="preserve">(3) vLex Premium o equivalente / 
(1) vLex Vincent AI o equivalente
OFERENTE DEBE OFERTAR OBLIGATORIAMENTE ESTOS DOS SERVICIOS JUNTOS.</t>
        </is>
      </c>
    </row>
    <row r="40">
      <c r="A40" s="0" t="inlineStr">
        <is>
          <t xml:space="preserve">1375735-16-LE26</t>
        </is>
      </c>
      <c r="B40" s="4" t="inlineStr">
        <is>
          <t xml:space="preserve">ADQUISICIÓN DE LICENCIAS INFORMÁTICAS DESTINADAS A ADMINISTRACIÓN CENTRAL DEL SERVICIO LOCAL DE EDUCACIÓN PÚBLICA DE ANTOFAGASTA 2DO. LLAMADO</t>
        </is>
      </c>
      <c r="C40" s="0">
        <v>3</v>
      </c>
      <c r="D40" s="4" t="inlineStr">
        <is>
          <t xml:space="preserve">Software de gestión de licencias</t>
        </is>
      </c>
      <c r="E40" s="4" t="inlineStr">
        <is>
          <t xml:space="preserve">Tecnologías de la información, telecomunicaciones y radiodifusión / Software / Software de gestión</t>
        </is>
      </c>
      <c r="F40" s="0">
        <v>1.0</v>
      </c>
      <c r="G40" s="0" t="inlineStr">
        <is>
          <t xml:space="preserve">Unidad</t>
        </is>
      </c>
      <c r="H40" s="4" t="inlineStr">
        <is>
          <t xml:space="preserve">Software de Presupuestos Ondac Evolution Plus o equivalente</t>
        </is>
      </c>
    </row>
    <row r="41">
      <c r="A41" s="0" t="inlineStr">
        <is>
          <t xml:space="preserve">1375735-16-LE26</t>
        </is>
      </c>
      <c r="B41" s="4" t="inlineStr">
        <is>
          <t xml:space="preserve">ADQUISICIÓN DE LICENCIAS INFORMÁTICAS DESTINADAS A ADMINISTRACIÓN CENTRAL DEL SERVICIO LOCAL DE EDUCACIÓN PÚBLICA DE ANTOFAGASTA 2DO. LLAMADO</t>
        </is>
      </c>
      <c r="C41" s="0">
        <v>4</v>
      </c>
      <c r="D41" s="4" t="inlineStr">
        <is>
          <t xml:space="preserve">Software de gestión de licencias</t>
        </is>
      </c>
      <c r="E41" s="4" t="inlineStr">
        <is>
          <t xml:space="preserve">Tecnologías de la información, telecomunicaciones y radiodifusión / Software / Software de gestión</t>
        </is>
      </c>
      <c r="F41" s="0">
        <v>1.0</v>
      </c>
      <c r="G41" s="0" t="inlineStr">
        <is>
          <t xml:space="preserve">Unidad</t>
        </is>
      </c>
      <c r="H41" s="4" t="inlineStr">
        <is>
          <t xml:space="preserve">ElevenLabs Pro o equivalente</t>
        </is>
      </c>
    </row>
    <row r="42">
      <c r="A42" s="0" t="inlineStr">
        <is>
          <t xml:space="preserve">1375735-16-LE26</t>
        </is>
      </c>
      <c r="B42" s="4" t="inlineStr">
        <is>
          <t xml:space="preserve">ADQUISICIÓN DE LICENCIAS INFORMÁTICAS DESTINADAS A ADMINISTRACIÓN CENTRAL DEL SERVICIO LOCAL DE EDUCACIÓN PÚBLICA DE ANTOFAGASTA 2DO. LLAMADO</t>
        </is>
      </c>
      <c r="C42" s="0">
        <v>5</v>
      </c>
      <c r="D42" s="4" t="inlineStr">
        <is>
          <t xml:space="preserve">Software de gestión de licencias</t>
        </is>
      </c>
      <c r="E42" s="4" t="inlineStr">
        <is>
          <t xml:space="preserve">Tecnologías de la información, telecomunicaciones y radiodifusión / Software / Software de gestión</t>
        </is>
      </c>
      <c r="F42" s="0">
        <v>170.0</v>
      </c>
      <c r="G42" s="0" t="inlineStr">
        <is>
          <t xml:space="preserve">Unidad</t>
        </is>
      </c>
      <c r="H42" s="4" t="inlineStr">
        <is>
          <t xml:space="preserve">(85) Microsoft Intune for Education o equivalente. 
(85) Microsoft Entra ID P2 for faculty o equivalente.
OFERENTE DEBE OFERTAR OBLIGATORIAMENTE ESTOS DOS SERVICIOS JUNTOS.</t>
        </is>
      </c>
    </row>
    <row r="43">
      <c r="A43" s="0" t="inlineStr">
        <is>
          <t xml:space="preserve">1375735-16-LE26</t>
        </is>
      </c>
      <c r="B43" s="4" t="inlineStr">
        <is>
          <t xml:space="preserve">ADQUISICIÓN DE LICENCIAS INFORMÁTICAS DESTINADAS A ADMINISTRACIÓN CENTRAL DEL SERVICIO LOCAL DE EDUCACIÓN PÚBLICA DE ANTOFAGASTA 2DO. LLAMADO</t>
        </is>
      </c>
      <c r="C43" s="0">
        <v>6</v>
      </c>
      <c r="D43" s="4" t="inlineStr">
        <is>
          <t xml:space="preserve">Software de gestión de licencias</t>
        </is>
      </c>
      <c r="E43" s="4" t="inlineStr">
        <is>
          <t xml:space="preserve">Tecnologías de la información, telecomunicaciones y radiodifusión / Software / Software de gestión</t>
        </is>
      </c>
      <c r="F43" s="0">
        <v>1.0</v>
      </c>
      <c r="G43" s="0" t="inlineStr">
        <is>
          <t xml:space="preserve">Unidad</t>
        </is>
      </c>
      <c r="H43" s="4" t="inlineStr">
        <is>
          <t xml:space="preserve">Ekahau Connect Bundle Pack II o equivalente</t>
        </is>
      </c>
    </row>
    <row r="44">
      <c r="A44" s="0" t="inlineStr">
        <is>
          <t xml:space="preserve">1375753-42-LE26</t>
        </is>
      </c>
      <c r="B44" s="4" t="inlineStr">
        <is>
          <t xml:space="preserve">Adquisición de licencias informaticas</t>
        </is>
      </c>
      <c r="C44" s="0">
        <v>1</v>
      </c>
      <c r="D44" s="4" t="inlineStr">
        <is>
          <t xml:space="preserve">Software de administración</t>
        </is>
      </c>
      <c r="E44" s="4" t="inlineStr">
        <is>
          <t xml:space="preserve">Tecnologías de la información, telecomunicaciones y radiodifusión / Software / Software de administración de redes</t>
        </is>
      </c>
      <c r="F44" s="0">
        <v>3.0</v>
      </c>
      <c r="G44" s="0" t="inlineStr">
        <is>
          <t xml:space="preserve">Unidad</t>
        </is>
      </c>
      <c r="H44" s="4" t="inlineStr">
        <is>
          <t xml:space="preserve">AutoCAD Revit LT Suite 2026 Commercial New Single-user ELD Annual Subscription</t>
        </is>
      </c>
    </row>
    <row r="45">
      <c r="A45" s="0" t="inlineStr">
        <is>
          <t xml:space="preserve">1375753-42-LE26</t>
        </is>
      </c>
      <c r="B45" s="4" t="inlineStr">
        <is>
          <t xml:space="preserve">Adquisición de licencias informaticas</t>
        </is>
      </c>
      <c r="C45" s="0">
        <v>2</v>
      </c>
      <c r="D45" s="4" t="inlineStr">
        <is>
          <t xml:space="preserve">Software de administración</t>
        </is>
      </c>
      <c r="E45" s="4" t="inlineStr">
        <is>
          <t xml:space="preserve">Tecnologías de la información, telecomunicaciones y radiodifusión / Software / Software de administración de redes</t>
        </is>
      </c>
      <c r="F45" s="0">
        <v>22.0</v>
      </c>
      <c r="G45" s="0" t="inlineStr">
        <is>
          <t xml:space="preserve">Unidad</t>
        </is>
      </c>
      <c r="H45" s="4" t="inlineStr">
        <is>
          <t xml:space="preserve">Licencias de Lector y editor
ACROBAT PDF (Nivel central SLEP de Los Andes)</t>
        </is>
      </c>
    </row>
    <row r="46">
      <c r="A46" s="0" t="inlineStr">
        <is>
          <t xml:space="preserve">1375753-42-LE26</t>
        </is>
      </c>
      <c r="B46" s="4" t="inlineStr">
        <is>
          <t xml:space="preserve">Adquisición de licencias informaticas</t>
        </is>
      </c>
      <c r="C46" s="0">
        <v>3</v>
      </c>
      <c r="D46" s="4" t="inlineStr">
        <is>
          <t xml:space="preserve">Software de administración</t>
        </is>
      </c>
      <c r="E46" s="4" t="inlineStr">
        <is>
          <t xml:space="preserve">Tecnologías de la información, telecomunicaciones y radiodifusión / Software / Software de administración de redes</t>
        </is>
      </c>
      <c r="F46" s="0">
        <v>20.0</v>
      </c>
      <c r="G46" s="0" t="inlineStr">
        <is>
          <t xml:space="preserve">Unidad</t>
        </is>
      </c>
      <c r="H46" s="4" t="inlineStr">
        <is>
          <t xml:space="preserve">Licencias de Lector y editor
ACROBAT PDF(Unidades Educativas)</t>
        </is>
      </c>
    </row>
    <row r="47">
      <c r="A47" s="0" t="inlineStr">
        <is>
          <t xml:space="preserve">2020-23-LE26</t>
        </is>
      </c>
      <c r="B47" s="4" t="inlineStr">
        <is>
          <t xml:space="preserve">SERVICIOS DE DIGITALIZACIÓN Y EXTRACCIÓN DE TÉXTO.</t>
        </is>
      </c>
      <c r="C47" s="0">
        <v>1</v>
      </c>
      <c r="D47" s="4" t="inlineStr">
        <is>
          <t xml:space="preserve">Servicios de digitalización de documentos</t>
        </is>
      </c>
      <c r="E47" s="4" t="inlineStr">
        <is>
          <t xml:space="preserve">Servicios basados en ingeniería, ciencias sociales y tecnología de la información / Servicios informáticos / Servicios de datos</t>
        </is>
      </c>
      <c r="F47" s="0">
        <v>1.0</v>
      </c>
      <c r="G47" s="0" t="inlineStr">
        <is>
          <t xml:space="preserve">Unidad</t>
        </is>
      </c>
      <c r="H47" s="4" t="inlineStr">
        <is>
          <t xml:space="preserve">SERVICIO ESPECIALIZADO DE DIGITALIZACIÓN Y EXTRACCIÓN INTELIGENTE DE TEXTO, DEL ARCHIVO DE
PRENSA HISTÓRICA DE LA BIBLIOTECA DEL
CONGRESO NACIONAL.</t>
        </is>
      </c>
    </row>
    <row r="48">
      <c r="A48" s="0" t="inlineStr">
        <is>
          <t xml:space="preserve">630-29-LE26</t>
        </is>
      </c>
      <c r="B48" s="4" t="inlineStr">
        <is>
          <t xml:space="preserve">SERVICIO DE GESTIÓN DOCUMENTAL EN MODALIDAD SAAS</t>
        </is>
      </c>
      <c r="C48" s="0">
        <v>1</v>
      </c>
      <c r="D48" s="4" t="inlineStr">
        <is>
          <t xml:space="preserve">Programas de gestión de documentos</t>
        </is>
      </c>
      <c r="E48" s="4" t="inlineStr">
        <is>
          <t xml:space="preserve">Tecnologías de la información, telecomunicaciones y radiodifusión / Software / Software de gestión de contenidos</t>
        </is>
      </c>
      <c r="F48" s="0">
        <v>1.0</v>
      </c>
      <c r="G48" s="0" t="inlineStr">
        <is>
          <t xml:space="preserve">Unidad</t>
        </is>
      </c>
      <c r="H48" s="4" t="inlineStr">
        <is>
          <t xml:space="preserve">CONTRATACIÓN DEL SERVICIO DE GESTIÓN DOCUMENTAL EN MODALIDAD SAAS (SOFTWARE AS A SERVICE) PARA LA SUBSECRETARÍA DEL TRABAJO</t>
        </is>
      </c>
    </row>
    <row r="49">
      <c r="A49" s="0" t="inlineStr">
        <is>
          <t xml:space="preserve">761391-155-CO26</t>
        </is>
      </c>
      <c r="B49" s="4" t="inlineStr">
        <is>
          <t xml:space="preserve">EE-133-GUB-DAS-SVC. ARRI. EQUIPOS INFORMATICOS</t>
        </is>
      </c>
      <c r="C49" s="0">
        <v>1</v>
      </c>
      <c r="D49" s="4" t="inlineStr">
        <is>
          <t xml:space="preserve">Sistemas informáticos de vuelo</t>
        </is>
      </c>
      <c r="E49" s="4" t="inlineStr">
        <is>
          <t xml:space="preserve">Vehículos y equipamiento en general / Componentes para sistemas aeroespaciales / Sistemas de control principal del avión</t>
        </is>
      </c>
      <c r="F49" s="0">
        <v>1.0</v>
      </c>
      <c r="G49" s="0" t="inlineStr">
        <is>
          <t xml:space="preserve">Global</t>
        </is>
      </c>
      <c r="H49" s="4" t="inlineStr">
        <is>
          <t xml:space="preserve">CONTRATACIÓN DEL SERVICIO DE ARRIENDO DE EQUIPOS INFORMATICOS PARA LA IMPLEMENTACIÓN DE SIMULADOR DE AIRBUS ACT ACADEMY, DE ACUERDO A BASES TÉCNICAS, BASES ADM Y ANEXOS</t>
        </is>
      </c>
    </row>
    <row r="50">
      <c r="A50" s="0" t="inlineStr">
        <is>
          <t xml:space="preserve">3656-167-L126</t>
        </is>
      </c>
      <c r="B50" s="4" t="inlineStr">
        <is>
          <t xml:space="preserve">SERVICIO MESA DE AYUDA PLATAFORMA SIFIM</t>
        </is>
      </c>
      <c r="C50" s="0">
        <v>1</v>
      </c>
      <c r="D50" s="4" t="inlineStr">
        <is>
          <t xml:space="preserve">Profesionales</t>
        </is>
      </c>
      <c r="E50" s="4" t="inlineStr">
        <is>
          <t xml:space="preserve">Servicios profesionales, administrativos y consultorías de gestión empresarial / Servicios de recursos humanos / Contratación de personal</t>
        </is>
      </c>
      <c r="F50" s="0">
        <v>14.0</v>
      </c>
      <c r="G50" s="0" t="inlineStr">
        <is>
          <t xml:space="preserve">Mes</t>
        </is>
      </c>
      <c r="H50" s="4" t="inlineStr">
        <is>
          <t xml:space="preserve">SERVICIO MESA DE AYUDA PLATAFORMA SIFIM, SEGUN BASES ADMINISTRATIVAS.</t>
        </is>
      </c>
    </row>
    <row r="51">
      <c r="A51" s="0" t="inlineStr">
        <is>
          <t xml:space="preserve">5482-101-LR26</t>
        </is>
      </c>
      <c r="B51" s="4" t="inlineStr">
        <is>
          <t xml:space="preserve">Plataforma IA para video y seguridad urbana</t>
        </is>
      </c>
      <c r="C51" s="0">
        <v>1</v>
      </c>
      <c r="D51" s="4" t="inlineStr">
        <is>
          <t xml:space="preserve">Software de desarrollo de plataforma Web</t>
        </is>
      </c>
      <c r="E51" s="4" t="inlineStr">
        <is>
          <t xml:space="preserve">Tecnologías de la información, telecomunicaciones y radiodifusión / Software / Programas de desarrollo</t>
        </is>
      </c>
      <c r="F51" s="0">
        <v>1.0</v>
      </c>
      <c r="G51" s="0" t="inlineStr">
        <is>
          <t xml:space="preserve">Global</t>
        </is>
      </c>
      <c r="H51" s="4" t="inlineStr">
        <is>
          <t xml:space="preserve">Setup o configuración inicial del servicio e instalación</t>
        </is>
      </c>
    </row>
    <row r="52">
      <c r="A52" s="0" t="inlineStr">
        <is>
          <t xml:space="preserve">5482-101-LR26</t>
        </is>
      </c>
      <c r="B52" s="4" t="inlineStr">
        <is>
          <t xml:space="preserve">Plataforma IA para video y seguridad urbana</t>
        </is>
      </c>
      <c r="C52" s="0">
        <v>2</v>
      </c>
      <c r="D52" s="4" t="inlineStr">
        <is>
          <t xml:space="preserve">Software de desarrollo de plataforma Web</t>
        </is>
      </c>
      <c r="E52" s="4" t="inlineStr">
        <is>
          <t xml:space="preserve">Tecnologías de la información, telecomunicaciones y radiodifusión / Software / Programas de desarrollo</t>
        </is>
      </c>
      <c r="F52" s="0">
        <v>26.0</v>
      </c>
      <c r="G52" s="0" t="inlineStr">
        <is>
          <t xml:space="preserve">Mes</t>
        </is>
      </c>
      <c r="H52" s="4" t="inlineStr">
        <is>
          <t xml:space="preserve">Servicio mensual (Operación)</t>
        </is>
      </c>
    </row>
    <row r="53">
      <c r="A53" s="0" t="inlineStr">
        <is>
          <t xml:space="preserve">1622-22-LP26</t>
        </is>
      </c>
      <c r="B53" s="4" t="inlineStr">
        <is>
          <t xml:space="preserve">ARRIENDO SISTEMA DE INFORMACIÓN DE LABORATORIO HSV</t>
        </is>
      </c>
      <c r="C53" s="0">
        <v>1</v>
      </c>
      <c r="D53" s="4" t="inlineStr">
        <is>
          <t xml:space="preserve">Software del sistema de administración de bases de datos</t>
        </is>
      </c>
      <c r="E53" s="4" t="inlineStr">
        <is>
          <t xml:space="preserve">Tecnologías de la información, telecomunicaciones y radiodifusión / Software / Software de consultas y gestión de datos</t>
        </is>
      </c>
      <c r="F53" s="0">
        <v>1.0</v>
      </c>
      <c r="G53" s="0" t="inlineStr">
        <is>
          <t xml:space="preserve">Unidad</t>
        </is>
      </c>
      <c r="H53" s="4" t="inlineStr">
        <is>
          <t xml:space="preserve">ARRIENDO DE SISTEMA DE INFORMACIÓN DE LABORATORIO CLÍNICO (LIS) POR 36 MESES</t>
        </is>
      </c>
    </row>
    <row r="54">
      <c r="A54" s="0" t="inlineStr">
        <is>
          <t xml:space="preserve">634-92-LE26</t>
        </is>
      </c>
      <c r="B54" s="4" t="inlineStr">
        <is>
          <t xml:space="preserve">SISTEMA RADIOGRÁFICO ODONTOLÓGICO DIGITAL</t>
        </is>
      </c>
      <c r="C54" s="0">
        <v>1</v>
      </c>
      <c r="D54" s="4" t="inlineStr">
        <is>
          <t xml:space="preserve">Unidades de Rayos X dentales</t>
        </is>
      </c>
      <c r="E54" s="4" t="inlineStr">
        <is>
          <t xml:space="preserve">Equipamiento y suministros médicos / Equipos y suministros odontológicos / Equipo y suministros para imágenes dentales</t>
        </is>
      </c>
      <c r="F54" s="0">
        <v>1.0</v>
      </c>
      <c r="G54" s="0" t="inlineStr">
        <is>
          <t xml:space="preserve">Unidad</t>
        </is>
      </c>
      <c r="H54" s="4" t="inlineStr">
        <is>
          <t xml:space="preserve">Adquisición sistema radiográfico odontológico digital tipo Ortopantomógrafo con tecnología CBCT para el Servicio Dental del Hospital Penitenciario</t>
        </is>
      </c>
    </row>
    <row r="55">
      <c r="A55" s="0" t="inlineStr">
        <is>
          <t xml:space="preserve">730566-31-LE26</t>
        </is>
      </c>
      <c r="B55" s="4" t="inlineStr">
        <is>
          <t xml:space="preserve">Servicio de Enlace de Datos</t>
        </is>
      </c>
      <c r="C55" s="0">
        <v>1</v>
      </c>
      <c r="D55" s="4" t="inlineStr">
        <is>
          <t xml:space="preserve">Servicios relacionados con Internet</t>
        </is>
      </c>
      <c r="E55" s="4" t="inlineStr">
        <is>
          <t xml:space="preserve">Servicios básicos y de información pública / Bibliotecas y otros centros de información pública / Comunicación social y de masas</t>
        </is>
      </c>
      <c r="F55" s="0">
        <v>1.0</v>
      </c>
      <c r="G55" s="0" t="inlineStr">
        <is>
          <t xml:space="preserve">Unidad</t>
        </is>
      </c>
      <c r="H55" s="4" t="inlineStr">
        <is>
          <t xml:space="preserve">Esta iniciativa contempla un uso intensivo de productos alojados en servicios de nube pública, lo que requiere conectividad de datos de forma dedicada para abordar los nuevos requerimientos a nivel de sistemas y bases de datos</t>
        </is>
      </c>
    </row>
    <row r="56">
      <c r="A56" s="0" t="inlineStr">
        <is>
          <t xml:space="preserve">752-39-LE26</t>
        </is>
      </c>
      <c r="B56" s="4" t="inlineStr">
        <is>
          <t xml:space="preserve">Adquisición y habilitación de Servidores para plataforma tecnológica</t>
        </is>
      </c>
      <c r="C56" s="0">
        <v>1</v>
      </c>
      <c r="D56" s="4" t="inlineStr">
        <is>
          <t xml:space="preserve">Servidores</t>
        </is>
      </c>
      <c r="E56" s="4" t="inlineStr">
        <is>
          <t xml:space="preserve">Tecnologías de la información, telecomunicaciones y radiodifusión / Equipos informáticos y accesorios / Computadores</t>
        </is>
      </c>
      <c r="F56" s="0">
        <v>1.0</v>
      </c>
      <c r="G56" s="0" t="inlineStr">
        <is>
          <t xml:space="preserve">Unidad</t>
        </is>
      </c>
      <c r="H56" s="4" t="inlineStr">
        <is>
          <t xml:space="preserve">Servicio de reposición, adquisición, instalación y habilitación de servidores, con migración de máquinas virtuales y continuidad operacional, para la plataforma tecnológica del Gobierno Regional de Los Lagos.</t>
        </is>
      </c>
    </row>
    <row r="57">
      <c r="A57" s="0" t="inlineStr">
        <is>
          <t xml:space="preserve">1057509-348-LE26</t>
        </is>
      </c>
      <c r="B57" s="4" t="inlineStr">
        <is>
          <t xml:space="preserve">CONTRATACIÓN DE SERVICIO DE CONECTIVIDAD DE DATOS PRIVADOS IPMPLS o EQUIVALENTE vps</t>
        </is>
      </c>
      <c r="C57" s="0">
        <v>1</v>
      </c>
      <c r="D57" s="4" t="inlineStr">
        <is>
          <t xml:space="preserve">Computadores personales</t>
        </is>
      </c>
      <c r="E57" s="4" t="inlineStr">
        <is>
          <t xml:space="preserve">Tecnologías de la información, telecomunicaciones y radiodifusión / Equipos informáticos y accesorios / Computadores</t>
        </is>
      </c>
      <c r="F57" s="0">
        <v>1.0</v>
      </c>
      <c r="G57" s="0" t="inlineStr">
        <is>
          <t xml:space="preserve">Unidad no definida</t>
        </is>
      </c>
      <c r="H57" s="4" t="inlineStr">
        <is>
          <t xml:space="preserve">Adquisición de servicio de conectividad de alta disponibilidad mediante conectividad de datos privados IP/MPLS o equivalente. OFERTAR VALORES EN ANEXO N°3: OFERTA ECONÓMICA. PPTO REFERENCIAL TOTAL $45.000.000.-</t>
        </is>
      </c>
    </row>
    <row r="58">
      <c r="A58" s="0" t="inlineStr">
        <is>
          <t xml:space="preserve">3755-6-LP26</t>
        </is>
      </c>
      <c r="B58" s="4" t="inlineStr">
        <is>
          <t xml:space="preserve">Serv datos de tránsito y tráfico de dispositivos</t>
        </is>
      </c>
      <c r="C58" s="0">
        <v>1</v>
      </c>
      <c r="D58" s="4" t="inlineStr">
        <is>
          <t xml:space="preserve">Software de extracción de datos</t>
        </is>
      </c>
      <c r="E58" s="4" t="inlineStr">
        <is>
          <t xml:space="preserve">Tecnologías de la información, telecomunicaciones y radiodifusión / Software / Software de consultas y gestión de datos</t>
        </is>
      </c>
      <c r="F58" s="0">
        <v>1.0</v>
      </c>
      <c r="G58" s="0" t="inlineStr">
        <is>
          <t xml:space="preserve">Global</t>
        </is>
      </c>
      <c r="H58" s="4" t="inlineStr">
        <is>
          <t xml:space="preserve">SERVICIO DE DATOS DE TRÁNSITO Y TRÁFICO PROVISTOS DESDE LA NAVEGACIÓN DE DISPOSITIVOS QUE CUENTEN CON GPS</t>
        </is>
      </c>
    </row>
    <row r="59">
      <c r="A59" s="0" t="inlineStr">
        <is>
          <t xml:space="preserve">885-100-LE26</t>
        </is>
      </c>
      <c r="B59" s="4" t="inlineStr">
        <is>
          <t xml:space="preserve">Servicio de soporte y mantenimiento para plataforma de seguridad de la CGR</t>
        </is>
      </c>
      <c r="C59" s="0">
        <v>1</v>
      </c>
      <c r="D59" s="4" t="inlineStr">
        <is>
          <t xml:space="preserve">Equipo de seguridad de red de firewall</t>
        </is>
      </c>
      <c r="E59" s="4" t="inlineStr">
        <is>
          <t xml:space="preserve">Tecnologías de la información, telecomunicaciones y radiodifusión / Equipos, plataformas y accesorios de redes multimedia, voz y datos / Equipos de seguridad de red</t>
        </is>
      </c>
      <c r="F59" s="0">
        <v>1.0</v>
      </c>
      <c r="G59" s="0" t="inlineStr">
        <is>
          <t xml:space="preserve">Global</t>
        </is>
      </c>
      <c r="H59" s="4" t="inlineStr">
        <is>
          <t xml:space="preserve">Servicio especializados de soporte y mantenimiento de la plataforma de seguridad de producción, incluyendo equipos y licencias de infraestructuras de Checkpoint Quantum, Infinity XDR/XPR y Harmony EDR.</t>
        </is>
      </c>
    </row>
    <row r="60">
      <c r="A60" s="0" t="inlineStr">
        <is>
          <t xml:space="preserve">932-34-LE26</t>
        </is>
      </c>
      <c r="B60" s="4" t="inlineStr">
        <is>
          <t xml:space="preserve">SERVICIO DE MANTENIMIENTO PREVENTIVO Y CORRECTIVO HABITUAL DEL SISTEMA ELÉCTRICO CORRIENTES DÉBILES E INFRAESTRUCTURA DE DATOS PARA EL CENTRO DEPORTIVO COMUNITARIO DE RANCAGUA</t>
        </is>
      </c>
      <c r="C60" s="0">
        <v>1</v>
      </c>
      <c r="D60" s="4" t="inlineStr">
        <is>
          <t xml:space="preserve">Servicio de mantenimiento de equipo de fabricación</t>
        </is>
      </c>
      <c r="E60" s="4" t="inlineStr">
        <is>
          <t xml:space="preserve">Servicios de producción y fabricación industrial / Servicios de apoyo o soporte a la fabricación / Servicios de mantenimiento y reparación de equipo de fabricación</t>
        </is>
      </c>
      <c r="F60" s="0">
        <v>1.0</v>
      </c>
      <c r="G60" s="0" t="inlineStr">
        <is>
          <t xml:space="preserve">Unidad</t>
        </is>
      </c>
      <c r="H60" s="4" t="inlineStr">
        <is>
          <t xml:space="preserve">Servicio de Mantenimiento preventivo y correctivo Habitual del sistema eléctrico, corrientes débiles e infraestructura
de datos para el centro deportivo comunitario de Rancagua, de acuerdo  a especificaciones en documento adjunto al formulario de requeri</t>
        </is>
      </c>
    </row>
    <row r="61">
      <c r="A61" s="0" t="inlineStr">
        <is>
          <t xml:space="preserve">4829-56-LE26</t>
        </is>
      </c>
      <c r="B61" s="4" t="inlineStr">
        <is>
          <t xml:space="preserve">CONV.SUMINISTRO DIFUSION RADIAR Y DIGITAL MUNIC</t>
        </is>
      </c>
      <c r="C61" s="0">
        <v>1</v>
      </c>
      <c r="D61" s="4" t="inlineStr">
        <is>
          <t xml:space="preserve">Servicios relacionados con la radio</t>
        </is>
      </c>
      <c r="E61" s="4" t="inlineStr">
        <is>
          <t xml:space="preserve">Servicios básicos y de información pública / Bibliotecas y otros centros de información pública / Comunicación social y de masas</t>
        </is>
      </c>
      <c r="F61" s="0">
        <v>1.0</v>
      </c>
      <c r="G61" s="0" t="inlineStr">
        <is>
          <t xml:space="preserve">Unidad no definida</t>
        </is>
      </c>
      <c r="H61" s="4" t="inlineStr">
        <is>
          <t xml:space="preserve">Convenio de Suministro Servicio de Difusión Radial,Municipalidad de Alto Biobío.</t>
        </is>
      </c>
    </row>
    <row r="62">
      <c r="A62" s="0" t="inlineStr">
        <is>
          <t xml:space="preserve">4829-56-LE26</t>
        </is>
      </c>
      <c r="B62" s="4" t="inlineStr">
        <is>
          <t xml:space="preserve">CONV.SUMINISTRO DIFUSION RADIAR Y DIGITAL MUNIC</t>
        </is>
      </c>
      <c r="C62" s="0">
        <v>2</v>
      </c>
      <c r="D62" s="4" t="inlineStr">
        <is>
          <t xml:space="preserve">Servicios relacionados con Internet</t>
        </is>
      </c>
      <c r="E62" s="4" t="inlineStr">
        <is>
          <t xml:space="preserve">Servicios básicos y de información pública / Bibliotecas y otros centros de información pública / Comunicación social y de masas</t>
        </is>
      </c>
      <c r="F62" s="0">
        <v>1.0</v>
      </c>
      <c r="G62" s="0" t="inlineStr">
        <is>
          <t xml:space="preserve">Unidad no definida</t>
        </is>
      </c>
      <c r="H62" s="4" t="inlineStr">
        <is>
          <t xml:space="preserve">Convenio de Suministro Servicio de Difusión Digital,Municipalidad de Alto Biobío.</t>
        </is>
      </c>
    </row>
    <row r="63">
      <c r="A63" s="0" t="inlineStr">
        <is>
          <t xml:space="preserve">1375758-7-LE26</t>
        </is>
      </c>
      <c r="B63" s="4" t="inlineStr">
        <is>
          <t xml:space="preserve">PLATAFORMA INTEGRAL PARA LA PLANIFICACIÓN CONTROL DE DOTACIÓN ESCOLAR Y GESTIÓN DE SOLICITUDES DE CONTRATACIÓN</t>
        </is>
      </c>
      <c r="C63" s="0">
        <v>1</v>
      </c>
      <c r="D63" s="4" t="inlineStr">
        <is>
          <t xml:space="preserve">Desarrollo de Aplicaciones de Recursos Empresariales (ERP)</t>
        </is>
      </c>
      <c r="E63" s="4" t="inlineStr">
        <is>
          <t xml:space="preserve">Servicios basados en ingeniería, ciencias sociales y tecnología de la información / Servicios informáticos / Ingeniería en computación e informática</t>
        </is>
      </c>
      <c r="F63" s="0">
        <v>24.0</v>
      </c>
      <c r="G63" s="0" t="inlineStr">
        <is>
          <t xml:space="preserve">Mes</t>
        </is>
      </c>
      <c r="H63" s="4" t="inlineStr">
        <is>
          <t xml:space="preserve">CONTRATACIÓN DE “PLATAFORMA INTEGRAL PARA LA PLANIFICACIÓN, CONTROL DE DOTACIÓN ESCOLAR Y GESTIÓN DE SOLICITUDES DE CONTRATACIÓN DEL SLEP SANTIAGO CENTRO”</t>
        </is>
      </c>
    </row>
    <row r="64">
      <c r="A64" s="0" t="inlineStr">
        <is>
          <t xml:space="preserve">2933-73-LE26</t>
        </is>
      </c>
      <c r="B64" s="4" t="inlineStr">
        <is>
          <t xml:space="preserve">2DO LLAMADO SISTEMA DE INFORMACION Y GESTIÓN 2026</t>
        </is>
      </c>
      <c r="C64" s="0">
        <v>1</v>
      </c>
      <c r="D64" s="4" t="inlineStr">
        <is>
          <t xml:space="preserve">Programas de contabilidad</t>
        </is>
      </c>
      <c r="E64" s="4" t="inlineStr">
        <is>
          <t xml:space="preserve">Tecnologías de la información, telecomunicaciones y radiodifusión / Software / Software de planificación de recursos empresariales (ERP) y contabilidad financiera</t>
        </is>
      </c>
      <c r="F64" s="0">
        <v>1.0</v>
      </c>
      <c r="G64" s="0" t="inlineStr">
        <is>
          <t xml:space="preserve">Unidad</t>
        </is>
      </c>
      <c r="H64" s="4" t="inlineStr">
        <is>
          <t xml:space="preserve">La I. Municipalidad de Alhué llama a licitación pública para la adquisición sistemas de información y gestión 2026, para dar funcionamiento en el departamento de Administración y Finanzas de la Ilustre Municipalidad de Alhué.</t>
        </is>
      </c>
    </row>
    <row r="65">
      <c r="A65" s="0" t="inlineStr">
        <is>
          <t xml:space="preserve">765-25-L126</t>
        </is>
      </c>
      <c r="B65" s="4" t="inlineStr">
        <is>
          <t xml:space="preserve">Desarrollo de soluciones informáticas para la implementación del plan de transformación digital de la CONADI 2026-2029</t>
        </is>
      </c>
      <c r="C65" s="0">
        <v>1</v>
      </c>
      <c r="D65" s="4" t="inlineStr">
        <is>
          <t xml:space="preserve">Firmware y software de conmutación de WAN</t>
        </is>
      </c>
      <c r="E65" s="4" t="inlineStr">
        <is>
          <t xml:space="preserve">Tecnologías de la información, telecomunicaciones y radiodifusión / Software / Software para trabajo en redes</t>
        </is>
      </c>
      <c r="F65" s="0">
        <v>1.0</v>
      </c>
      <c r="G65" s="0" t="inlineStr">
        <is>
          <t xml:space="preserve">Unidad</t>
        </is>
      </c>
      <c r="H65" s="4" t="inlineStr">
        <is>
          <t xml:space="preserve">Desarrollo de soluciones informáticas para la implementación del plan de transformación digital</t>
        </is>
      </c>
    </row>
    <row r="66">
      <c r="A66" s="0" t="inlineStr">
        <is>
          <t xml:space="preserve">610-20-LE26</t>
        </is>
      </c>
      <c r="B66" s="4" t="inlineStr">
        <is>
          <t xml:space="preserve">Proyecto de Automatización y uso de Inteligencia Artificial en los modelos de Proyección de Demanda</t>
        </is>
      </c>
      <c r="C66" s="0">
        <v>1</v>
      </c>
      <c r="D66" s="4" t="inlineStr">
        <is>
          <t xml:space="preserve">Ingeniería eléctrica</t>
        </is>
      </c>
      <c r="E66" s="4" t="inlineStr">
        <is>
          <t xml:space="preserve">Servicios basados en ingeniería, ciencias sociales y tecnología de la información / Servicios profesionales de ingeniería / Ingeniería eléctrica y electrónica</t>
        </is>
      </c>
      <c r="F66" s="0">
        <v>1.0</v>
      </c>
      <c r="G66" s="0" t="inlineStr">
        <is>
          <t xml:space="preserve">Unidad</t>
        </is>
      </c>
      <c r="H66" s="4" t="inlineStr">
        <is>
          <t xml:space="preserve">Proyecto de Automatización y uso de Inteligencia Artificial en los modelos de Proyección de Demanda.</t>
        </is>
      </c>
    </row>
    <row r="67">
      <c r="A67" s="0" t="inlineStr">
        <is>
          <t xml:space="preserve">799595-5-LP26</t>
        </is>
      </c>
      <c r="B67" s="4" t="inlineStr">
        <is>
          <t xml:space="preserve">Servicio de Cloud Computing MINDEP</t>
        </is>
      </c>
      <c r="C67" s="0">
        <v>1</v>
      </c>
      <c r="D67" s="4" t="inlineStr">
        <is>
          <t xml:space="preserve">Centro de servicios de datos</t>
        </is>
      </c>
      <c r="E67" s="4" t="inlineStr">
        <is>
          <t xml:space="preserve">Servicios basados en ingeniería, ciencias sociales y tecnología de la información / Servicios informáticos / Servicios de datos</t>
        </is>
      </c>
      <c r="F67" s="0">
        <v>1.0</v>
      </c>
      <c r="G67" s="0" t="inlineStr">
        <is>
          <t xml:space="preserve">Unidad</t>
        </is>
      </c>
      <c r="H67" s="4" t="inlineStr">
        <is>
          <t xml:space="preserve">SERVICIO DE CLOUD COMPUTING Y SERVICIOS ASOCIADOS, PARA LA SUBSECRETARÍA DEL DEPORTE</t>
        </is>
      </c>
    </row>
    <row r="68">
      <c r="A68" s="0" t="inlineStr">
        <is>
          <t xml:space="preserve">2048-78-LE26</t>
        </is>
      </c>
      <c r="B68" s="4" t="inlineStr">
        <is>
          <t xml:space="preserve">COMPRA SERVICIOS PROFESIONALES PARA U.INFORMÁTICA</t>
        </is>
      </c>
      <c r="C68" s="0">
        <v>1</v>
      </c>
      <c r="D68" s="4" t="inlineStr">
        <is>
          <t xml:space="preserve">Profesionales</t>
        </is>
      </c>
      <c r="E68" s="4" t="inlineStr">
        <is>
          <t xml:space="preserve">Servicios profesionales, administrativos y consultorías de gestión empresarial / Servicios de recursos humanos / Contratación de personal</t>
        </is>
      </c>
      <c r="F68" s="0">
        <v>1.0</v>
      </c>
      <c r="G68" s="0" t="inlineStr">
        <is>
          <t xml:space="preserve">Hora/Hombre</t>
        </is>
      </c>
      <c r="H68" s="4" t="inlineStr">
        <is>
          <t xml:space="preserve">El Hospital de Ancud requiere la compra de servicios de un Profesional TIC’s para Desarrollo de Software y servicios digitales , para la Unidad de Tic´s.</t>
        </is>
      </c>
    </row>
    <row r="69">
      <c r="A69" s="0" t="inlineStr">
        <is>
          <t xml:space="preserve">4375-142-LE26</t>
        </is>
      </c>
      <c r="B69" s="4" t="inlineStr">
        <is>
          <t xml:space="preserve">ARRIENDO SOFTWARE Y EQUIPOS PARA SISTEMA GESTOR DE FILAS</t>
        </is>
      </c>
      <c r="C69" s="0">
        <v>1</v>
      </c>
      <c r="D69" s="4" t="inlineStr">
        <is>
          <t xml:space="preserve">Sistemas de control de formación de filas</t>
        </is>
      </c>
      <c r="E69" s="4" t="inlineStr">
        <is>
          <t xml:space="preserve">Equipos y suministros de defensa, orden público, protección y seguridad / Equipos para orden público / Equipo para control de disturbios</t>
        </is>
      </c>
      <c r="F69" s="0">
        <v>24.0</v>
      </c>
      <c r="G69" s="0" t="inlineStr">
        <is>
          <t xml:space="preserve">Mes</t>
        </is>
      </c>
      <c r="H69" s="4" t="inlineStr">
        <is>
          <t xml:space="preserve">ARRIENDO SOFTWARE Y EQUIPOS PARA SISTEMA GESTOR DE FILAS. Según ETT adjunta.</t>
        </is>
      </c>
    </row>
    <row r="70">
      <c r="A70" s="0" t="inlineStr">
        <is>
          <t xml:space="preserve">538598-41-LE26</t>
        </is>
      </c>
      <c r="B70" s="4" t="inlineStr">
        <is>
          <t xml:space="preserve">Servicio LME - arriendo de lectores huella digital</t>
        </is>
      </c>
      <c r="C70" s="0">
        <v>1</v>
      </c>
      <c r="D70" s="4" t="inlineStr">
        <is>
          <t xml:space="preserve">Software de sistema experto</t>
        </is>
      </c>
      <c r="E70" s="4" t="inlineStr">
        <is>
          <t xml:space="preserve">Tecnologías de la información, telecomunicaciones y radiodifusión / Software / Software de gestión</t>
        </is>
      </c>
      <c r="F70" s="0">
        <v>1.0</v>
      </c>
      <c r="G70" s="0" t="inlineStr">
        <is>
          <t xml:space="preserve">Unidad</t>
        </is>
      </c>
      <c r="H70" s="4" t="inlineStr">
        <is>
          <t xml:space="preserve">Línea N°1: Arriendo sistema de emisión de licencia médica electrónica.</t>
        </is>
      </c>
    </row>
    <row r="71">
      <c r="A71" s="0" t="inlineStr">
        <is>
          <t xml:space="preserve">538598-41-LE26</t>
        </is>
      </c>
      <c r="B71" s="4" t="inlineStr">
        <is>
          <t xml:space="preserve">Servicio LME - arriendo de lectores huella digital</t>
        </is>
      </c>
      <c r="C71" s="0">
        <v>2</v>
      </c>
      <c r="D71" s="4" t="inlineStr">
        <is>
          <t xml:space="preserve">Software del sistema de administración de bases de datos</t>
        </is>
      </c>
      <c r="E71" s="4" t="inlineStr">
        <is>
          <t xml:space="preserve">Tecnologías de la información, telecomunicaciones y radiodifusión / Software / Software de consultas y gestión de datos</t>
        </is>
      </c>
      <c r="F71" s="0">
        <v>1.0</v>
      </c>
      <c r="G71" s="0" t="inlineStr">
        <is>
          <t xml:space="preserve">Unidad</t>
        </is>
      </c>
      <c r="H71" s="4" t="inlineStr">
        <is>
          <t xml:space="preserve">Línea N°1: Arriendo sistema de consulta en línea de previsión de pacientes y datos demográficos.</t>
        </is>
      </c>
    </row>
    <row r="72">
      <c r="A72" s="0" t="inlineStr">
        <is>
          <t xml:space="preserve">538598-41-LE26</t>
        </is>
      </c>
      <c r="B72" s="4" t="inlineStr">
        <is>
          <t xml:space="preserve">Servicio LME - arriendo de lectores huella digital</t>
        </is>
      </c>
      <c r="C72" s="0">
        <v>3</v>
      </c>
      <c r="D72" s="4" t="inlineStr">
        <is>
          <t xml:space="preserve">Circuitos integrados digitales</t>
        </is>
      </c>
      <c r="E72" s="4" t="inlineStr">
        <is>
          <t xml:space="preserve">Artículos de electrónica / Circuitos electrónicos / Circuitos integrados, memorias y microprocesadores</t>
        </is>
      </c>
      <c r="F72" s="0">
        <v>28.0</v>
      </c>
      <c r="G72" s="0" t="inlineStr">
        <is>
          <t xml:space="preserve">Unidad</t>
        </is>
      </c>
      <c r="H72" s="4" t="inlineStr">
        <is>
          <t xml:space="preserve">Línea N°1: Arriendo lectores de huella digital.</t>
        </is>
      </c>
    </row>
    <row r="73">
      <c r="A73" s="0" t="inlineStr">
        <is>
          <t xml:space="preserve">847-59-L126</t>
        </is>
      </c>
      <c r="B73" s="4" t="inlineStr">
        <is>
          <t xml:space="preserve">PLANI - II Adquisición de Equipos Informáticos para J.I. Santa Julia_SC 61362</t>
        </is>
      </c>
      <c r="C73" s="0">
        <v>1</v>
      </c>
      <c r="D73" s="4" t="inlineStr">
        <is>
          <t xml:space="preserve">Notebook, laptop o computador portátil excepto Tablet PC</t>
        </is>
      </c>
      <c r="E73" s="4" t="inlineStr">
        <is>
          <t xml:space="preserve">Tecnologías de la información, telecomunicaciones y radiodifusión / Equipos informáticos y accesorios / Computadores</t>
        </is>
      </c>
      <c r="F73" s="0">
        <v>4.0</v>
      </c>
      <c r="G73" s="0" t="inlineStr">
        <is>
          <t xml:space="preserve">Unidad</t>
        </is>
      </c>
      <c r="H73" s="4" t="inlineStr">
        <is>
          <t xml:space="preserve">Notebook</t>
        </is>
      </c>
    </row>
    <row r="74">
      <c r="A74" s="0" t="inlineStr">
        <is>
          <t xml:space="preserve">847-59-L126</t>
        </is>
      </c>
      <c r="B74" s="4" t="inlineStr">
        <is>
          <t xml:space="preserve">PLANI - II Adquisición de Equipos Informáticos para J.I. Santa Julia_SC 61362</t>
        </is>
      </c>
      <c r="C74" s="0">
        <v>2</v>
      </c>
      <c r="D74" s="4" t="inlineStr">
        <is>
          <t xml:space="preserve">Proyectores de diapositivas</t>
        </is>
      </c>
      <c r="E74" s="4" t="inlineStr">
        <is>
          <t xml:space="preserve">Equipos y suministros de imprenta, fotográficos y audiovisuales / Equipos de composición y presentación audiovisual / Proyectores y suministros</t>
        </is>
      </c>
      <c r="F74" s="0">
        <v>2.0</v>
      </c>
      <c r="G74" s="0" t="inlineStr">
        <is>
          <t xml:space="preserve">Unidad</t>
        </is>
      </c>
      <c r="H74" s="4" t="inlineStr">
        <is>
          <t xml:space="preserve">Proyectores</t>
        </is>
      </c>
    </row>
    <row r="75">
      <c r="A75" s="0" t="inlineStr">
        <is>
          <t xml:space="preserve">1375761-51-LP26</t>
        </is>
      </c>
      <c r="B75" s="4" t="inlineStr">
        <is>
          <t xml:space="preserve">SIST. INF PLATAFORMA DE GESTION ESCOLAR SLEP V.D</t>
        </is>
      </c>
      <c r="C75" s="0">
        <v>1</v>
      </c>
      <c r="D75" s="4" t="inlineStr">
        <is>
          <t xml:space="preserve">Software del sistema de administración de bases de datos</t>
        </is>
      </c>
      <c r="E75" s="4" t="inlineStr">
        <is>
          <t xml:space="preserve">Tecnologías de la información, telecomunicaciones y radiodifusión / Software / Software de consultas y gestión de datos</t>
        </is>
      </c>
      <c r="F75" s="0">
        <v>1.0</v>
      </c>
      <c r="G75" s="0" t="inlineStr">
        <is>
          <t xml:space="preserve">Unidad</t>
        </is>
      </c>
      <c r="H75" s="4" t="inlineStr">
        <is>
          <t xml:space="preserve">Software del sistema de administración de bases de datos Especificaciones del Comprador: SERVICIO DE PLATAFORMA DE GESTION ESCOLAR PARA LOS ESTABLECIMIENTOS EDUCACIONALES DEPENDIENTES DEL SERVICIO LOCAL DE EDUCACIÓN PÚBLICA VALLE DIGUILLIN</t>
        </is>
      </c>
    </row>
    <row r="76">
      <c r="A76" s="0" t="inlineStr">
        <is>
          <t xml:space="preserve">2440-63-LE26</t>
        </is>
      </c>
      <c r="B76" s="4" t="inlineStr">
        <is>
          <t xml:space="preserve">Habilitación y Adquisición de Equipo Informático para la Instalación conexión y Administración de la RED de datos e Iluminación WIFI para el Establecimiento Educacional Instituto Ingles de Curicó</t>
        </is>
      </c>
      <c r="C76" s="0">
        <v>1</v>
      </c>
      <c r="D76" s="4" t="inlineStr">
        <is>
          <t xml:space="preserve">Equipo de red de video</t>
        </is>
      </c>
      <c r="E76" s="4" t="inlineStr">
        <is>
          <t xml:space="preserve">Tecnologías de la información, telecomunicaciones y radiodifusión / Equipos, plataformas y accesorios de redes multimedia, voz y datos / Equipos de servicio de red</t>
        </is>
      </c>
      <c r="F76" s="0">
        <v>1.0</v>
      </c>
      <c r="G76" s="0" t="inlineStr">
        <is>
          <t xml:space="preserve">Unidad</t>
        </is>
      </c>
      <c r="H76" s="4" t="inlineStr">
        <is>
          <t xml:space="preserve">La Municipalidad de Curicó, Dirección de Educación Municipal de Curicó desea adquirir,Habilitación y Adquisición de Equipo Informático para la Instalación, conexión y Administración de la RED de datos e Iluminación WIFI para el Establecimiento Educacional</t>
        </is>
      </c>
    </row>
    <row r="77">
      <c r="A77" s="0" t="inlineStr">
        <is>
          <t xml:space="preserve">434-110-LP26</t>
        </is>
      </c>
      <c r="B77" s="4" t="inlineStr">
        <is>
          <t xml:space="preserve">SISTEMA DE GESTIÓN DOCUMENTAL SEGÚN LEY N°21.180</t>
        </is>
      </c>
      <c r="C77" s="0">
        <v>1</v>
      </c>
      <c r="D77" s="4" t="inlineStr">
        <is>
          <t xml:space="preserve">Servicios de investigación o medición</t>
        </is>
      </c>
      <c r="E77" s="4" t="inlineStr">
        <is>
          <t xml:space="preserve">Artículos para estructuras, obras y construcciones / Construcciones permanentes / Construcciones para educación e investigación</t>
        </is>
      </c>
      <c r="F77" s="0">
        <v>1.0</v>
      </c>
      <c r="G77" s="0" t="inlineStr">
        <is>
          <t xml:space="preserve">Unidad</t>
        </is>
      </c>
      <c r="H77" s="4" t="inlineStr">
        <is>
          <t xml:space="preserve">SERVICIO INTEGRADO DE BRANDING ESTRATEGICO, SOCIAL LISTENING Y ESTRATEGIA CREATIVA APLICADA, SEGUN BASES TECNICAS ADJUNTAS</t>
        </is>
      </c>
    </row>
    <row r="78">
      <c r="A78" s="0" t="inlineStr">
        <is>
          <t xml:space="preserve">434-110-LP26</t>
        </is>
      </c>
      <c r="B78" s="4" t="inlineStr">
        <is>
          <t xml:space="preserve">SISTEMA DE GESTIÓN DOCUMENTAL SEGÚN LEY N°21.180</t>
        </is>
      </c>
      <c r="C78" s="0">
        <v>2</v>
      </c>
      <c r="D78" s="4" t="inlineStr">
        <is>
          <t xml:space="preserve">Servicios de investigación o medición</t>
        </is>
      </c>
      <c r="E78" s="4" t="inlineStr">
        <is>
          <t xml:space="preserve">Artículos para estructuras, obras y construcciones / Construcciones permanentes / Construcciones para educación e investigación</t>
        </is>
      </c>
      <c r="F78" s="0">
        <v>1.0</v>
      </c>
      <c r="G78" s="0" t="inlineStr">
        <is>
          <t xml:space="preserve">Unidad</t>
        </is>
      </c>
      <c r="H78" s="4" t="inlineStr">
        <is>
          <t xml:space="preserve">SISTEMA DE GESTIÓN DOCUMENTAL Y ACOMPAÑAMIENTO EN LA IMPLEMENTACIÓN DE LA LEY N°21.180 DE TRANSFORMACIÓN DIGITAL DEL ESTADO SEGÚN BASES TÉCNICAS ADJUNTAS (IGNORAR SERVICIO ANTERIOR).</t>
        </is>
      </c>
    </row>
    <row r="79">
      <c r="A79" s="0" t="inlineStr">
        <is>
          <t xml:space="preserve">2308-90-LE26</t>
        </is>
      </c>
      <c r="B79" s="4" t="inlineStr">
        <is>
          <t xml:space="preserve">REPARACIÓN MODERNIZACIÓN PUESTA EN MARCHA Y CERTIFICACIÓN DEL ASCENSOR DEL EDIFICIO CONSISTORIAL OSORNO</t>
        </is>
      </c>
      <c r="C79" s="0">
        <v>1</v>
      </c>
      <c r="D79" s="4" t="inlineStr">
        <is>
          <t xml:space="preserve">Servicios de mantenimiento de ascensores</t>
        </is>
      </c>
      <c r="E79" s="4" t="inlineStr">
        <is>
          <t xml:space="preserve">Servicios de construcción y mantenimiento / Servicios de atención, mantenimiento y reparaciones de edificios / Servicios de apoyo para la construcción</t>
        </is>
      </c>
      <c r="F79" s="0">
        <v>1.0</v>
      </c>
      <c r="G79" s="0" t="inlineStr">
        <is>
          <t xml:space="preserve">Unidad</t>
        </is>
      </c>
      <c r="H79" s="4" t="inlineStr">
        <is>
          <t xml:space="preserve">Reparación, Modernización, Puesta en Marcha y Certificación del Ascensor del Edificio Consistorial, Osorno.</t>
        </is>
      </c>
    </row>
    <row r="80">
      <c r="A80" s="0" t="inlineStr">
        <is>
          <t xml:space="preserve">5482-94-LP26</t>
        </is>
      </c>
      <c r="B80" s="4" t="inlineStr">
        <is>
          <t xml:space="preserve">SERVICIO DE ARRIENDO MANTENCIÓN Y SOPORTE DE PLATAFORMA DOM</t>
        </is>
      </c>
      <c r="C80" s="0">
        <v>1</v>
      </c>
      <c r="D80" s="4" t="inlineStr">
        <is>
          <t xml:space="preserve">Software de desarrollo de plataforma Web</t>
        </is>
      </c>
      <c r="E80" s="4" t="inlineStr">
        <is>
          <t xml:space="preserve">Tecnologías de la información, telecomunicaciones y radiodifusión / Software / Programas de desarrollo</t>
        </is>
      </c>
      <c r="F80" s="0">
        <v>1.0</v>
      </c>
      <c r="G80" s="0" t="inlineStr">
        <is>
          <t xml:space="preserve">Unidad</t>
        </is>
      </c>
      <c r="H80" s="4" t="inlineStr">
        <is>
          <t xml:space="preserve">contratar una solución tecnológica integral que permita la implementación,
parametrización, operación, soporte, mantención y alojamiento de un sistema
informático especializado para la Dirección de Obras Municipales de Ñuñoa (en
adelante DOM).</t>
        </is>
      </c>
    </row>
    <row r="81">
      <c r="A81" s="0" t="inlineStr">
        <is>
          <t xml:space="preserve">735950-4-LE26</t>
        </is>
      </c>
      <c r="B81" s="4" t="inlineStr">
        <is>
          <t xml:space="preserve">Sistema de conferencia digital.-</t>
        </is>
      </c>
      <c r="C81" s="0">
        <v>1</v>
      </c>
      <c r="D81" s="4" t="inlineStr">
        <is>
          <t xml:space="preserve">Sistemas de aprendizaje a distancia</t>
        </is>
      </c>
      <c r="E81" s="4" t="inlineStr">
        <is>
          <t xml:space="preserve">Equipos y suministros de imprenta, fotográficos y audiovisuales / Equipos de composición y presentación audiovisual / Equipos, hardware y controladores para sistemas de teleconferencia y videoconferencia</t>
        </is>
      </c>
      <c r="F81" s="0">
        <v>1.0</v>
      </c>
      <c r="G81" s="0" t="inlineStr">
        <is>
          <t xml:space="preserve">Paquete</t>
        </is>
      </c>
      <c r="H81" s="4" t="inlineStr">
        <is>
          <t xml:space="preserve">-  01 Unidad central digital para sistema inalámbrico de conferencias, con capacidad de administración mínima de 100 unidades, control de micrófonos activos, distintos modos de conferencia, monitoreo de batería y configuración desde panel frontal o softwa</t>
        </is>
      </c>
    </row>
    <row r="82">
      <c r="A82" s="0" t="inlineStr">
        <is>
          <t xml:space="preserve">1514-113-LE26</t>
        </is>
      </c>
      <c r="B82" s="4" t="inlineStr">
        <is>
          <t xml:space="preserve">Convenio de Sistema de Gestión de Calidad en Salud GCS bajo modalidad Cloud</t>
        </is>
      </c>
      <c r="C82" s="0">
        <v>1</v>
      </c>
      <c r="D82" s="4" t="inlineStr">
        <is>
          <t xml:space="preserve">Programas de gestión de configuración</t>
        </is>
      </c>
      <c r="E82" s="4" t="inlineStr">
        <is>
          <t xml:space="preserve">Tecnologías de la información, telecomunicaciones y radiodifusión / Software / Programas de desarrollo</t>
        </is>
      </c>
      <c r="F82" s="0">
        <v>36.0</v>
      </c>
      <c r="G82" s="0" t="inlineStr">
        <is>
          <t xml:space="preserve">Mes</t>
        </is>
      </c>
      <c r="H82" s="4" t="inlineStr">
        <is>
          <t xml:space="preserve">Convenio de arriendo del sistema de gestión de calidad en salud</t>
        </is>
      </c>
    </row>
    <row r="83">
      <c r="A83" s="0" t="inlineStr">
        <is>
          <t xml:space="preserve">1606-34-LE26</t>
        </is>
      </c>
      <c r="B83" s="4" t="inlineStr">
        <is>
          <t xml:space="preserve">Consultoría para la digitalización de rutas de taxis colectivos. Proyecto Apoyo a la estrategia Chilena de transporte sostenible - CLETS Financiado por la GEF e implementado por CAF</t>
        </is>
      </c>
      <c r="C83" s="0">
        <v>1</v>
      </c>
      <c r="D83" s="4" t="inlineStr">
        <is>
          <t xml:space="preserve">Asesorías en planificación estratégica</t>
        </is>
      </c>
      <c r="E83" s="4" t="inlineStr">
        <is>
          <t xml:space="preserve">Servicios profesionales, administrativos y consultorías de gestión empresarial / Consultorías o asesorías en gestión empresarial / Servicios de consultoría en gestión de empresas</t>
        </is>
      </c>
      <c r="F83" s="0">
        <v>1.0</v>
      </c>
      <c r="G83" s="0" t="inlineStr">
        <is>
          <t xml:space="preserve">Unidad</t>
        </is>
      </c>
      <c r="H83" s="4" t="inlineStr">
        <is>
          <t xml:space="preserve">Servicio de consultoría para la digitalización de rutas de taxis colectivos para el Proyecto CLETS, financiado por la GEF e Implementado por CAF, según bases administrativas adjuntas.</t>
        </is>
      </c>
    </row>
    <row r="84">
      <c r="A84" s="0" t="inlineStr">
        <is>
          <t xml:space="preserve">2667-71-LR26</t>
        </is>
      </c>
      <c r="B84" s="4" t="inlineStr">
        <is>
          <t xml:space="preserve">ARRIENDO SOPORTE Y MANTENCIÓN DE CENTRAL TELEFONICA IP TELEFONOS IP Y PLATAFORMA DE CONTACT CENTER</t>
        </is>
      </c>
      <c r="C84" s="0">
        <v>1</v>
      </c>
      <c r="D84" s="4" t="inlineStr">
        <is>
          <t xml:space="preserve">Sistemas de alarma</t>
        </is>
      </c>
      <c r="E84" s="4" t="inlineStr">
        <is>
          <t xml:space="preserve">Equipos y suministros de defensa, orden público, protección y seguridad / Seguridad, vigilancia y detección / Equipo de vigilancia y detección</t>
        </is>
      </c>
      <c r="F84" s="0">
        <v>1.0</v>
      </c>
      <c r="G84" s="0" t="inlineStr">
        <is>
          <t xml:space="preserve">Global</t>
        </is>
      </c>
      <c r="H84" s="4" t="inlineStr">
        <is>
          <t xml:space="preserve">ARRIENDO, INSTALACIÓN, SOPORTE Y MANTENCIÓN DE CENTRAL TELEFÓNICA, EQUIPOS TELEFÓNICOS Y PLATAFORMA DE ATENCIÓN TELEFÓNICA</t>
        </is>
      </c>
    </row>
    <row r="85">
      <c r="A85" s="0" t="inlineStr">
        <is>
          <t xml:space="preserve">2981-293-LE26</t>
        </is>
      </c>
      <c r="B85" s="4" t="inlineStr">
        <is>
          <t xml:space="preserve">ADQUISICIÓN DE 100 GPS TRACKER CON PLATAFORMA INTEGRADA GEOESPACIAL Y DE TRAZABILIDAD Y SU RESPECTIVO EQUIPAMIENTO EJECUCIÓN DEL PLAN CALLE SIN VIOLENCIA</t>
        </is>
      </c>
      <c r="C85" s="0">
        <v>1</v>
      </c>
      <c r="D85" s="4" t="inlineStr">
        <is>
          <t xml:space="preserve">Receptores GPS</t>
        </is>
      </c>
      <c r="E85" s="4" t="inlineStr">
        <is>
          <t xml:space="preserve">Muebles, accesorios, electrodomésticos y productos electrónicos / Equipos y accesorios audiovisuales / Equipos audiovisuales y de electrónica menor</t>
        </is>
      </c>
      <c r="F85" s="0">
        <v>100.0</v>
      </c>
      <c r="G85" s="0" t="inlineStr">
        <is>
          <t xml:space="preserve">Unidad</t>
        </is>
      </c>
      <c r="H85" s="4" t="inlineStr">
        <is>
          <t xml:space="preserve">64 GPS Tracker, Capacidad de Batería mínima 10.000 mAh con autonomía referencial de hasta 120 días en modo stand by y entre 15 y 30 días en operación activa; 29 GPS Tracker Capacidad de Batería mínima 5.000 mAh con autonomía referencial de hasta 60 días m</t>
        </is>
      </c>
    </row>
    <row r="86">
      <c r="A86" s="0" t="inlineStr">
        <is>
          <t xml:space="preserve">622-64-L126</t>
        </is>
      </c>
      <c r="B86" s="4" t="inlineStr">
        <is>
          <t xml:space="preserve">CONTRATACIÓN DEL CURSO INTELIGENCIA ARTIFICIAL APLICADA A LA GESTIÓN GREMIAL Y LA FUNCIÓN PÚBLICA</t>
        </is>
      </c>
      <c r="C86" s="0">
        <v>1</v>
      </c>
      <c r="D86" s="4" t="inlineStr">
        <is>
          <t xml:space="preserve">Capacitación a empleados</t>
        </is>
      </c>
      <c r="E86" s="4" t="inlineStr">
        <is>
          <t xml:space="preserve">Educación, formación, entrenamiento y capacitación / Sistemas educativos complementarios / Educación de adultos</t>
        </is>
      </c>
      <c r="F86" s="0">
        <v>1.0</v>
      </c>
      <c r="G86" s="0" t="inlineStr">
        <is>
          <t xml:space="preserve">Unidad</t>
        </is>
      </c>
      <c r="H86" s="4" t="inlineStr">
        <is>
          <t xml:space="preserve">CURSO INTELIGENCIA ARTIFICIAL APLICADA A LA GESTIÓN GREMIAL Y LA FUNCIÓN PÚBLICA</t>
        </is>
      </c>
    </row>
    <row r="87">
      <c r="A87" s="0" t="inlineStr">
        <is>
          <t xml:space="preserve">5360-5-LP26</t>
        </is>
      </c>
      <c r="B87" s="4" t="inlineStr">
        <is>
          <t xml:space="preserve">SERVICIOS DE ELECTRICIDAD Y DATOS UTA - ARICA</t>
        </is>
      </c>
      <c r="C87" s="0">
        <v>1</v>
      </c>
      <c r="D87" s="4" t="inlineStr">
        <is>
          <t xml:space="preserve">Instalación o servicio de sistemas de energía eléctrica</t>
        </is>
      </c>
      <c r="E87" s="4" t="inlineStr">
        <is>
          <t xml:space="preserve">Servicios de construcción y mantenimiento / Servicios de atención, mantenimiento y reparaciones de edificios / Servicios eléctricos</t>
        </is>
      </c>
      <c r="F87" s="0">
        <v>1.0</v>
      </c>
      <c r="G87" s="0" t="inlineStr">
        <is>
          <t xml:space="preserve">Unidad</t>
        </is>
      </c>
      <c r="H87" s="4" t="inlineStr">
        <is>
          <t xml:space="preserve">Servicios de electricidad y datos, para dependencias de la Universidad de Tarapacá en Arica, según anexo N°6.</t>
        </is>
      </c>
    </row>
    <row r="88">
      <c r="A88" s="0" t="inlineStr">
        <is>
          <t xml:space="preserve">1469-303-L126</t>
        </is>
      </c>
      <c r="B88" s="4" t="inlineStr">
        <is>
          <t xml:space="preserve">“PRESENCIA DIGITAL EN VIA PUBLICA PARA LAS CIUDADES DE RANCAGUA, SAN FERNANDO, SANTIAGO Y CHILLÁN”</t>
        </is>
      </c>
      <c r="C88" s="0">
        <v>1</v>
      </c>
      <c r="D88" s="4" t="inlineStr">
        <is>
          <t xml:space="preserve">Campañas publicitarias</t>
        </is>
      </c>
      <c r="E88" s="4" t="inlineStr">
        <is>
          <t xml:space="preserve">Servicios editoriales, de diseño, publicidad, gráficos y artistas / Publicidad / Agencias de publicidad</t>
        </is>
      </c>
      <c r="F88" s="0">
        <v>1.0</v>
      </c>
      <c r="G88" s="0" t="inlineStr">
        <is>
          <t xml:space="preserve">Unidad</t>
        </is>
      </c>
      <c r="H88" s="4" t="inlineStr">
        <is>
          <t xml:space="preserve">DIFUSION EN PANTALLA LED PARA LA CIUDAD DE SANTIAGO</t>
        </is>
      </c>
    </row>
    <row r="89">
      <c r="A89" s="0" t="inlineStr">
        <is>
          <t xml:space="preserve">1469-303-L126</t>
        </is>
      </c>
      <c r="B89" s="4" t="inlineStr">
        <is>
          <t xml:space="preserve">“PRESENCIA DIGITAL EN VIA PUBLICA PARA LAS CIUDADES DE RANCAGUA, SAN FERNANDO, SANTIAGO Y CHILLÁN”</t>
        </is>
      </c>
      <c r="C89" s="0">
        <v>2</v>
      </c>
      <c r="D89" s="4" t="inlineStr">
        <is>
          <t xml:space="preserve">Campañas publicitarias</t>
        </is>
      </c>
      <c r="E89" s="4" t="inlineStr">
        <is>
          <t xml:space="preserve">Servicios editoriales, de diseño, publicidad, gráficos y artistas / Publicidad / Agencias de publicidad</t>
        </is>
      </c>
      <c r="F89" s="0">
        <v>1.0</v>
      </c>
      <c r="G89" s="0" t="inlineStr">
        <is>
          <t xml:space="preserve">Unidad</t>
        </is>
      </c>
      <c r="H89" s="4" t="inlineStr">
        <is>
          <t xml:space="preserve">b) DIFUSION EN 1 PANTALLA LED PARA LA CIUDAD DE SANTIAGO:</t>
        </is>
      </c>
    </row>
    <row r="90">
      <c r="A90" s="0" t="inlineStr">
        <is>
          <t xml:space="preserve">1469-303-L126</t>
        </is>
      </c>
      <c r="B90" s="4" t="inlineStr">
        <is>
          <t xml:space="preserve">“PRESENCIA DIGITAL EN VIA PUBLICA PARA LAS CIUDADES DE RANCAGUA, SAN FERNANDO, SANTIAGO Y CHILLÁN”</t>
        </is>
      </c>
      <c r="C90" s="0">
        <v>3</v>
      </c>
      <c r="D90" s="4" t="inlineStr">
        <is>
          <t xml:space="preserve">Campañas publicitarias</t>
        </is>
      </c>
      <c r="E90" s="4" t="inlineStr">
        <is>
          <t xml:space="preserve">Servicios editoriales, de diseño, publicidad, gráficos y artistas / Publicidad / Agencias de publicidad</t>
        </is>
      </c>
      <c r="F90" s="0">
        <v>1.0</v>
      </c>
      <c r="G90" s="0" t="inlineStr">
        <is>
          <t xml:space="preserve">Unidad</t>
        </is>
      </c>
      <c r="H90" s="4" t="inlineStr">
        <is>
          <t xml:space="preserve">c) DIFUSION EN 1 PANTALLA LED PARA LA CIUDAD DE SANTIAGO:</t>
        </is>
      </c>
    </row>
    <row r="91">
      <c r="A91" s="0" t="inlineStr">
        <is>
          <t xml:space="preserve">1469-303-L126</t>
        </is>
      </c>
      <c r="B91" s="4" t="inlineStr">
        <is>
          <t xml:space="preserve">“PRESENCIA DIGITAL EN VIA PUBLICA PARA LAS CIUDADES DE RANCAGUA, SAN FERNANDO, SANTIAGO Y CHILLÁN”</t>
        </is>
      </c>
      <c r="C91" s="0">
        <v>4</v>
      </c>
      <c r="D91" s="4" t="inlineStr">
        <is>
          <t xml:space="preserve">Campañas publicitarias</t>
        </is>
      </c>
      <c r="E91" s="4" t="inlineStr">
        <is>
          <t xml:space="preserve">Servicios editoriales, de diseño, publicidad, gráficos y artistas / Publicidad / Agencias de publicidad</t>
        </is>
      </c>
      <c r="F91" s="0">
        <v>1.0</v>
      </c>
      <c r="G91" s="0" t="inlineStr">
        <is>
          <t xml:space="preserve">Unidad</t>
        </is>
      </c>
      <c r="H91" s="4" t="inlineStr">
        <is>
          <t xml:space="preserve">d) DIFUSION EN 1 PANTALLA LED PARA LA CIUDAD DE RANCAGUA:</t>
        </is>
      </c>
    </row>
    <row r="92">
      <c r="A92" s="0" t="inlineStr">
        <is>
          <t xml:space="preserve">1469-303-L126</t>
        </is>
      </c>
      <c r="B92" s="4" t="inlineStr">
        <is>
          <t xml:space="preserve">“PRESENCIA DIGITAL EN VIA PUBLICA PARA LAS CIUDADES DE RANCAGUA, SAN FERNANDO, SANTIAGO Y CHILLÁN”</t>
        </is>
      </c>
      <c r="C92" s="0">
        <v>5</v>
      </c>
      <c r="D92" s="4" t="inlineStr">
        <is>
          <t xml:space="preserve">Campañas publicitarias</t>
        </is>
      </c>
      <c r="E92" s="4" t="inlineStr">
        <is>
          <t xml:space="preserve">Servicios editoriales, de diseño, publicidad, gráficos y artistas / Publicidad / Agencias de publicidad</t>
        </is>
      </c>
      <c r="F92" s="0">
        <v>1.0</v>
      </c>
      <c r="G92" s="0" t="inlineStr">
        <is>
          <t xml:space="preserve">Unidad</t>
        </is>
      </c>
      <c r="H92" s="4" t="inlineStr">
        <is>
          <t xml:space="preserve">e) DIFUSION EN 1 PANTALLA LED PARA LA CIUDAD DE RANCAGUA:</t>
        </is>
      </c>
    </row>
    <row r="93">
      <c r="A93" s="0" t="inlineStr">
        <is>
          <t xml:space="preserve">1469-303-L126</t>
        </is>
      </c>
      <c r="B93" s="4" t="inlineStr">
        <is>
          <t xml:space="preserve">“PRESENCIA DIGITAL EN VIA PUBLICA PARA LAS CIUDADES DE RANCAGUA, SAN FERNANDO, SANTIAGO Y CHILLÁN”</t>
        </is>
      </c>
      <c r="C93" s="0">
        <v>6</v>
      </c>
      <c r="D93" s="4" t="inlineStr">
        <is>
          <t xml:space="preserve">Campañas publicitarias</t>
        </is>
      </c>
      <c r="E93" s="4" t="inlineStr">
        <is>
          <t xml:space="preserve">Servicios editoriales, de diseño, publicidad, gráficos y artistas / Publicidad / Agencias de publicidad</t>
        </is>
      </c>
      <c r="F93" s="0">
        <v>1.0</v>
      </c>
      <c r="G93" s="0" t="inlineStr">
        <is>
          <t xml:space="preserve">Unidad</t>
        </is>
      </c>
      <c r="H93" s="4" t="inlineStr">
        <is>
          <t xml:space="preserve">f) DIFUSION EN 1 PANTALLA LED PARA LA CIUDAD DE SAN  FERNANDO:</t>
        </is>
      </c>
    </row>
    <row r="94">
      <c r="A94" s="0" t="inlineStr">
        <is>
          <t xml:space="preserve">1469-303-L126</t>
        </is>
      </c>
      <c r="B94" s="4" t="inlineStr">
        <is>
          <t xml:space="preserve">“PRESENCIA DIGITAL EN VIA PUBLICA PARA LAS CIUDADES DE RANCAGUA, SAN FERNANDO, SANTIAGO Y CHILLÁN”</t>
        </is>
      </c>
      <c r="C94" s="0">
        <v>7</v>
      </c>
      <c r="D94" s="4" t="inlineStr">
        <is>
          <t xml:space="preserve">Campañas publicitarias</t>
        </is>
      </c>
      <c r="E94" s="4" t="inlineStr">
        <is>
          <t xml:space="preserve">Servicios editoriales, de diseño, publicidad, gráficos y artistas / Publicidad / Agencias de publicidad</t>
        </is>
      </c>
      <c r="F94" s="0">
        <v>1.0</v>
      </c>
      <c r="G94" s="0" t="inlineStr">
        <is>
          <t xml:space="preserve">Unidad</t>
        </is>
      </c>
      <c r="H94" s="4" t="inlineStr">
        <is>
          <t xml:space="preserve">g) DIFUSION EN 1 PANTALLA LED PARA LA CIUDAD DE CHILLÁN:</t>
        </is>
      </c>
    </row>
    <row r="95">
      <c r="A95" s="0" t="inlineStr">
        <is>
          <t xml:space="preserve">3111-2-L126</t>
        </is>
      </c>
      <c r="B95" s="4" t="inlineStr">
        <is>
          <t xml:space="preserve">DIPLOMADO EN ACELERACIÓN DIGITAL BASADA EN ARQUITECTURA AGÉNTICA</t>
        </is>
      </c>
      <c r="C95" s="0">
        <v>1</v>
      </c>
      <c r="D95" s="4" t="inlineStr">
        <is>
          <t xml:space="preserve">Capacitación a empleados</t>
        </is>
      </c>
      <c r="E95" s="4" t="inlineStr">
        <is>
          <t xml:space="preserve">Educación, formación, entrenamiento y capacitación / Sistemas educativos complementarios / Educación de adultos</t>
        </is>
      </c>
      <c r="F95" s="0">
        <v>2.0</v>
      </c>
      <c r="G95" s="0" t="inlineStr">
        <is>
          <t xml:space="preserve">Unidad no definida</t>
        </is>
      </c>
      <c r="H95" s="4" t="inlineStr">
        <is>
          <t xml:space="preserve">DIPLOMADO EN ACELERACIÓN DIGITAL BASADA EN ARQUITECTURA AGÉNTICA</t>
        </is>
      </c>
    </row>
    <row r="96">
      <c r="A96" s="0" t="inlineStr">
        <is>
          <t xml:space="preserve">2981-287-LP26</t>
        </is>
      </c>
      <c r="B96" s="4" t="inlineStr">
        <is>
          <t xml:space="preserve">CIBERSEGURIDAD- CONSULTORIA</t>
        </is>
      </c>
      <c r="C96" s="0">
        <v>1</v>
      </c>
      <c r="D96" s="4" t="inlineStr">
        <is>
          <t xml:space="preserve">Asesorías en gestión estratégica</t>
        </is>
      </c>
      <c r="E96" s="4" t="inlineStr">
        <is>
          <t xml:space="preserve">Servicios profesionales, administrativos y consultorías de gestión empresarial / Consultorías o asesorías en gestión empresarial / Servicios de consultoría en gestión de empresas</t>
        </is>
      </c>
      <c r="F96" s="0">
        <v>1.0</v>
      </c>
      <c r="G96" s="0" t="inlineStr">
        <is>
          <t xml:space="preserve">Unidad</t>
        </is>
      </c>
      <c r="H96" s="4" t="inlineStr">
        <is>
          <t xml:space="preserve">CONTRATACION  DEL SERVICIO DE CONSULTORIA PARA LA IMPLEMENTACION DE UN SISTEMA DE SEGURIDAD DE LA INFORMACION PARA LA PDI.</t>
        </is>
      </c>
    </row>
    <row r="97">
      <c r="A97" s="0" t="inlineStr">
        <is>
          <t xml:space="preserve">622-66-LE26</t>
        </is>
      </c>
      <c r="B97" s="4" t="inlineStr">
        <is>
          <t xml:space="preserve">ADQUISICIÓN DE LICENCIAS PARA SOFTWARE DLP</t>
        </is>
      </c>
      <c r="C97" s="0">
        <v>1</v>
      </c>
      <c r="D97" s="4" t="inlineStr">
        <is>
          <t xml:space="preserve">Software de gestión de licencias</t>
        </is>
      </c>
      <c r="E97" s="4" t="inlineStr">
        <is>
          <t xml:space="preserve">Tecnologías de la información, telecomunicaciones y radiodifusión / Software / Software de gestión</t>
        </is>
      </c>
      <c r="F97" s="0">
        <v>1.0</v>
      </c>
      <c r="G97" s="0" t="inlineStr">
        <is>
          <t xml:space="preserve">Unidad</t>
        </is>
      </c>
      <c r="H97" s="4" t="inlineStr">
        <is>
          <t xml:space="preserve">Suscripción de Licenciamiento Endpoint DLP (Trellix DLP Endpoint Complete o equivalente), incluyendo implementación (revisar anexo 1 de las bases)</t>
        </is>
      </c>
    </row>
    <row r="98">
      <c r="A98" s="0" t="inlineStr">
        <is>
          <t xml:space="preserve">542429-9-L126</t>
        </is>
      </c>
      <c r="B98" s="4" t="inlineStr">
        <is>
          <t xml:space="preserve">CURSO INTELIGENCIA ARTIFICIAL APLICADA AL EJERCICIO JURÍDICO</t>
        </is>
      </c>
      <c r="C98" s="0">
        <v>1</v>
      </c>
      <c r="D98" s="4" t="inlineStr">
        <is>
          <t xml:space="preserve">Capacitación a empleados</t>
        </is>
      </c>
      <c r="E98" s="4" t="inlineStr">
        <is>
          <t xml:space="preserve">Educación, formación, entrenamiento y capacitación / Sistemas educativos complementarios / Educación de adultos</t>
        </is>
      </c>
      <c r="F98" s="0">
        <v>1.0</v>
      </c>
      <c r="G98" s="0" t="inlineStr">
        <is>
          <t xml:space="preserve">Unidad</t>
        </is>
      </c>
      <c r="H98" s="4" t="inlineStr">
        <is>
          <t xml:space="preserve">Contratar una actividad de capacitación en modalidad curso cerrado, para el personal de los Tribunales Tributarios y Aduaneros, en el adquieran conocimientos y habilidades para utilizar las herramientas de IA aplicada al ejercicio jurídico.</t>
        </is>
      </c>
    </row>
    <row r="99">
      <c r="A99" s="0" t="inlineStr">
        <is>
          <t xml:space="preserve">1057049-376-LP26</t>
        </is>
      </c>
      <c r="B99" s="4" t="inlineStr">
        <is>
          <t xml:space="preserve">PROV E INSTALACIÓN DE PLATAFORMAS DE SEGURIDAD PARA SHAFTS DEL HOSPITAL CLÍNICO SAN BORJA ARRIARÁN</t>
        </is>
      </c>
      <c r="C99" s="0">
        <v>1</v>
      </c>
      <c r="D99" s="4" t="inlineStr">
        <is>
          <t xml:space="preserve">Plataforma elevadora</t>
        </is>
      </c>
      <c r="E99" s="4" t="inlineStr">
        <is>
          <t xml:space="preserve">Maquinaria para construcción y edificación / Maquinaria pesada de construcción / Elevadores</t>
        </is>
      </c>
      <c r="F99" s="0">
        <v>1.0</v>
      </c>
      <c r="G99" s="0" t="inlineStr">
        <is>
          <t xml:space="preserve">Global</t>
        </is>
      </c>
      <c r="H99" s="4" t="inlineStr">
        <is>
          <t xml:space="preserve">Servicio de Provisión e Instalación de Plataformas de Seguridad para Shafts del Hospital Clínico San Borja Arriarán</t>
        </is>
      </c>
    </row>
    <row r="100">
      <c r="A100" s="0" t="inlineStr">
        <is>
          <t xml:space="preserve">1005498-24-LP26</t>
        </is>
      </c>
      <c r="B100" s="4" t="inlineStr">
        <is>
          <t xml:space="preserve">SUSCRIPCIÓN DE LICENCIAS EN MODALIDAD CLOUD</t>
        </is>
      </c>
      <c r="C100" s="0">
        <v>1</v>
      </c>
      <c r="D100" s="4" t="inlineStr">
        <is>
          <t xml:space="preserve">Up grade de software</t>
        </is>
      </c>
      <c r="E100" s="4" t="inlineStr">
        <is>
          <t xml:space="preserve">Servicios basados en ingeniería, ciencias sociales y tecnología de la información / Servicios informáticos / Mantenimiento y soporte de software</t>
        </is>
      </c>
      <c r="F100" s="0">
        <v>1.0</v>
      </c>
      <c r="G100" s="0" t="inlineStr">
        <is>
          <t xml:space="preserve">Global</t>
        </is>
      </c>
      <c r="H100" s="4" t="inlineStr">
        <is>
          <t xml:space="preserve">SUSCRIPCIÓN DE LICENCIAS EN MODALIDAD CLOUD COMPUTING SaaS CON SOPORTE LOCAL Y MANTENCIÓN</t>
        </is>
      </c>
    </row>
    <row r="101">
      <c r="A101" s="0" t="inlineStr">
        <is>
          <t xml:space="preserve">5512-18-LE26</t>
        </is>
      </c>
      <c r="B101" s="4" t="inlineStr">
        <is>
          <t xml:space="preserve">ADQUISICIÓN DE MINICOMPUTADORES PARA IA PROYECTO UTA 22991</t>
        </is>
      </c>
      <c r="C101" s="0">
        <v>1</v>
      </c>
      <c r="D101" s="4" t="inlineStr">
        <is>
          <t xml:space="preserve">Computadores de escritorio</t>
        </is>
      </c>
      <c r="E101" s="4" t="inlineStr">
        <is>
          <t xml:space="preserve">Tecnologías de la información, telecomunicaciones y radiodifusión / Equipos informáticos y accesorios / Computadores</t>
        </is>
      </c>
      <c r="F101" s="0">
        <v>3.0</v>
      </c>
      <c r="G101" s="0" t="inlineStr">
        <is>
          <t xml:space="preserve">Unidad</t>
        </is>
      </c>
      <c r="H101" s="4" t="inlineStr">
        <is>
          <t xml:space="preserve">Adquisición de minicomputadores/nodos de cómputo para IA con cables de interconexión directa QSFP, destinados a la conformación de un clúster en topología en anillo (ring topology) para transmisión de datos de alta velocidad punto a punto entre nodos.</t>
        </is>
      </c>
    </row>
    <row r="102">
      <c r="A102" s="0" t="inlineStr">
        <is>
          <t xml:space="preserve">1469-297-L126</t>
        </is>
      </c>
      <c r="B102" s="4" t="inlineStr">
        <is>
          <t xml:space="preserve">“Servicio de mantenimiento preventivo y correctivo para equipos de clima de precisión Liebert CRV y UPS Tripp Lite del Centro de Datos del Campus Curicó de la Universidad de Talca”</t>
        </is>
      </c>
      <c r="C102" s="0">
        <v>1</v>
      </c>
      <c r="D102" s="4" t="inlineStr">
        <is>
          <t xml:space="preserve">Servicio de reparación de equipo de fabricación</t>
        </is>
      </c>
      <c r="E102" s="4" t="inlineStr">
        <is>
          <t xml:space="preserve">Servicios de producción y fabricación industrial / Servicios de apoyo o soporte a la fabricación / Servicios de mantenimiento y reparación de equipo de fabricación</t>
        </is>
      </c>
      <c r="F102" s="0">
        <v>1.0</v>
      </c>
      <c r="G102" s="0" t="inlineStr">
        <is>
          <t xml:space="preserve">Unidad</t>
        </is>
      </c>
      <c r="H102" s="4" t="inlineStr">
        <is>
          <t xml:space="preserve">Servicio de mantenimiento preventivo y correctivo para equipos de clima de precisión Liebert CRV y UPS Tripp Lite del Centro de Datos del Campus Curicó de la Universidad de Talca</t>
        </is>
      </c>
    </row>
    <row r="103">
      <c r="A103" s="0" t="inlineStr">
        <is>
          <t xml:space="preserve">1469-302-L126</t>
        </is>
      </c>
      <c r="B103" s="4" t="inlineStr">
        <is>
          <t xml:space="preserve">“TABLERO PARA BOMBA SUMERGIBLE, CAMPUS TALCA, UNIVERSIDAD DE TALCA”</t>
        </is>
      </c>
      <c r="C103" s="0">
        <v>1</v>
      </c>
      <c r="D103" s="4" t="inlineStr">
        <is>
          <t xml:space="preserve">Conductos eléctricos</t>
        </is>
      </c>
      <c r="E103" s="4" t="inlineStr">
        <is>
          <t xml:space="preserve">Artículos eléctricos y de iluminación / Equipamiento y artículos eléctricos / Distribución de cableado y barras colectoras</t>
        </is>
      </c>
      <c r="F103" s="0">
        <v>1.0</v>
      </c>
      <c r="G103" s="0" t="inlineStr">
        <is>
          <t xml:space="preserve">Unidad</t>
        </is>
      </c>
      <c r="H103" s="4" t="inlineStr">
        <is>
          <t xml:space="preserve">TABLERO PARA BOMBA SUMERGIBLE, CAMPUS TALCA, UNIVERSIDAD DE TALCA</t>
        </is>
      </c>
    </row>
    <row r="104">
      <c r="A104" s="0" t="inlineStr">
        <is>
          <t xml:space="preserve">1020-55-LE26</t>
        </is>
      </c>
      <c r="B104" s="4" t="inlineStr">
        <is>
          <t xml:space="preserve">Adq. Sopor. y Actual. Software ServiceTonic MOP.</t>
        </is>
      </c>
      <c r="C104" s="0">
        <v>1</v>
      </c>
      <c r="D104" s="4" t="inlineStr">
        <is>
          <t xml:space="preserve">Software de gestión de licencias</t>
        </is>
      </c>
      <c r="E104" s="4" t="inlineStr">
        <is>
          <t xml:space="preserve">Tecnologías de la información, telecomunicaciones y radiodifusión / Software / Software de gestión</t>
        </is>
      </c>
      <c r="F104" s="0">
        <v>50.0</v>
      </c>
      <c r="G104" s="0" t="inlineStr">
        <is>
          <t xml:space="preserve">Unidad</t>
        </is>
      </c>
      <c r="H104" s="4" t="inlineStr">
        <is>
          <t xml:space="preserve">Soporte y Actualizaciones Software ServiceTonic Licencias en modalidad On-Premise, usuarios nombrados, por 12 meses. Hasta el 19 de Octubre de 2027</t>
        </is>
      </c>
    </row>
    <row r="105">
      <c r="A105" s="0" t="inlineStr">
        <is>
          <t xml:space="preserve">1067778-4-LP26</t>
        </is>
      </c>
      <c r="B105" s="4" t="inlineStr">
        <is>
          <t xml:space="preserve">ARRIENDO CON OPCION DE COMPRA  DE SERVIDOR PARA IA</t>
        </is>
      </c>
      <c r="C105" s="0">
        <v>1</v>
      </c>
      <c r="D105" s="4" t="inlineStr">
        <is>
          <t xml:space="preserve">Servidores</t>
        </is>
      </c>
      <c r="E105" s="4" t="inlineStr">
        <is>
          <t xml:space="preserve">Tecnologías de la información, telecomunicaciones y radiodifusión / Equipos informáticos y accesorios / Computadores</t>
        </is>
      </c>
      <c r="F105" s="0">
        <v>60.0</v>
      </c>
      <c r="G105" s="0" t="inlineStr">
        <is>
          <t xml:space="preserve">Mes</t>
        </is>
      </c>
      <c r="H105" s="4" t="inlineStr">
        <is>
          <t xml:space="preserve">ARRIENDO CON OPCION DE COMPRA DE SERVIDOR PARA IA. VER BASES PARA MAYOR DETALLE</t>
        </is>
      </c>
    </row>
    <row r="106">
      <c r="A106" s="0" t="inlineStr">
        <is>
          <t xml:space="preserve">2318-79-LE26</t>
        </is>
      </c>
      <c r="B106" s="4" t="inlineStr">
        <is>
          <t xml:space="preserve">SISTEMA DE GESTIÓN DOCUMENTAL</t>
        </is>
      </c>
      <c r="C106" s="0">
        <v>1</v>
      </c>
      <c r="D106" s="4" t="inlineStr">
        <is>
          <t xml:space="preserve">Software de gestión de licencias</t>
        </is>
      </c>
      <c r="E106" s="4" t="inlineStr">
        <is>
          <t xml:space="preserve">Tecnologías de la información, telecomunicaciones y radiodifusión / Software / Software de gestión</t>
        </is>
      </c>
      <c r="F106" s="0">
        <v>1.0</v>
      </c>
      <c r="G106" s="0" t="inlineStr">
        <is>
          <t xml:space="preserve">Global</t>
        </is>
      </c>
      <c r="H106" s="4" t="inlineStr">
        <is>
          <t xml:space="preserve">Arriendo de sistema de gestión documental y expediente electrónico para la Ilustre Municipalidad de San Javier</t>
        </is>
      </c>
    </row>
    <row r="107">
      <c r="A107" s="0" t="inlineStr">
        <is>
          <t xml:space="preserve">3825-26-LE26</t>
        </is>
      </c>
      <c r="B107" s="4" t="inlineStr">
        <is>
          <t xml:space="preserve">Compra de Licencias Digitales Informatica</t>
        </is>
      </c>
      <c r="C107" s="0">
        <v>1</v>
      </c>
      <c r="D107" s="4" t="inlineStr">
        <is>
          <t xml:space="preserve">Software de conversión de datos</t>
        </is>
      </c>
      <c r="E107" s="4" t="inlineStr">
        <is>
          <t xml:space="preserve">Tecnologías de la información, telecomunicaciones y radiodifusión / Software / Software de controladores de dispositivos y utilidades</t>
        </is>
      </c>
      <c r="F107" s="0">
        <v>12.0</v>
      </c>
      <c r="G107" s="0" t="inlineStr">
        <is>
          <t xml:space="preserve">Unidad</t>
        </is>
      </c>
      <c r="H107" s="4" t="inlineStr">
        <is>
          <t xml:space="preserve">Licencia editor de archivos PDF, según ficha tecnica adjunta</t>
        </is>
      </c>
    </row>
    <row r="108">
      <c r="A108" s="0" t="inlineStr">
        <is>
          <t xml:space="preserve">3825-26-LE26</t>
        </is>
      </c>
      <c r="B108" s="4" t="inlineStr">
        <is>
          <t xml:space="preserve">Compra de Licencias Digitales Informatica</t>
        </is>
      </c>
      <c r="C108" s="0">
        <v>2</v>
      </c>
      <c r="D108" s="4" t="inlineStr">
        <is>
          <t xml:space="preserve">Software de interconectividad de plataformas</t>
        </is>
      </c>
      <c r="E108" s="4" t="inlineStr">
        <is>
          <t xml:space="preserve">Tecnologías de la información, telecomunicaciones y radiodifusión / Software / Software para trabajo en redes</t>
        </is>
      </c>
      <c r="F108" s="0">
        <v>4.0</v>
      </c>
      <c r="G108" s="0" t="inlineStr">
        <is>
          <t xml:space="preserve">Unidad</t>
        </is>
      </c>
      <c r="H108" s="4" t="inlineStr">
        <is>
          <t xml:space="preserve">Licencias de IA para programación, según ficha técnica adjunta</t>
        </is>
      </c>
    </row>
    <row r="109">
      <c r="A109" s="0" t="inlineStr">
        <is>
          <t xml:space="preserve">629373-23-LE26</t>
        </is>
      </c>
      <c r="B109" s="4" t="inlineStr">
        <is>
          <t xml:space="preserve">SERVICIO DE TÓTEMS DE AUTOATENCIÓN</t>
        </is>
      </c>
      <c r="C109" s="0">
        <v>1</v>
      </c>
      <c r="D109" s="4" t="inlineStr">
        <is>
          <t xml:space="preserve">Sistemas de control de formación de filas</t>
        </is>
      </c>
      <c r="E109" s="4" t="inlineStr">
        <is>
          <t xml:space="preserve">Equipos y suministros de defensa, orden público, protección y seguridad / Equipos para orden público / Equipo para control de disturbios</t>
        </is>
      </c>
      <c r="F109" s="0">
        <v>1.0</v>
      </c>
      <c r="G109" s="0" t="inlineStr">
        <is>
          <t xml:space="preserve">Global</t>
        </is>
      </c>
      <c r="H109" s="4" t="inlineStr">
        <is>
          <t xml:space="preserve">“SERVICIO DE ATENCIÓN PARA LA ADMINISTRACIÓN DE FILAS (TÓTEMS DE 
AUTOATENCIÓN) Y CUMPLIMIENTO DE LA LEY DE ATENCIÓN PREFERENCIAL EN LOS 
CENTROS DE SALUD FAMILIAR DE LA COMUNA DE SAN MIGUEL”</t>
        </is>
      </c>
    </row>
    <row r="110">
      <c r="A110" s="0" t="inlineStr">
        <is>
          <t xml:space="preserve">2656-77-LP26</t>
        </is>
      </c>
      <c r="B110" s="4" t="inlineStr">
        <is>
          <t xml:space="preserve">ARRIENDO SISTEMAS MUNICIPALES Y CLOUD COMPUTING</t>
        </is>
      </c>
      <c r="C110" s="0">
        <v>1</v>
      </c>
      <c r="D110" s="4" t="inlineStr">
        <is>
          <t xml:space="preserve">Software de sistema de archivos</t>
        </is>
      </c>
      <c r="E110" s="4" t="inlineStr">
        <is>
          <t xml:space="preserve">Tecnologías de la información, telecomunicaciones y radiodifusión / Software / Software de entorno operativo</t>
        </is>
      </c>
      <c r="F110" s="0">
        <v>1.0</v>
      </c>
      <c r="G110" s="0" t="inlineStr">
        <is>
          <t xml:space="preserve">Pack</t>
        </is>
      </c>
      <c r="H110" s="4" t="inlineStr">
        <is>
          <t xml:space="preserve">Contratación de servicios de Cloud Computing y arriendo de sistemas computacionales de aplicación municipal, incluyendo implementación, configuración, migración de datos, integración, capacitación, soporte técnico y mantención, conforme a Bases Administra</t>
        </is>
      </c>
    </row>
    <row r="111">
      <c r="A111" s="0" t="inlineStr">
        <is>
          <t xml:space="preserve">5586-166-LE26</t>
        </is>
      </c>
      <c r="B111" s="4" t="inlineStr">
        <is>
          <t xml:space="preserve">CONTRATO DE SUMINISTRO DEL SERVICIO DE ENVÍO DE CARTA CERTIFICADA DOCUMENTO Y PAQUETERÍA EXPRESS PARA EL INSTITUTO DE INFORMÁTICA EDUCATIVA DE LA UNIVERSIDAD DE LA FRONTERA</t>
        </is>
      </c>
      <c r="C111" s="0">
        <v>1</v>
      </c>
      <c r="D111" s="4" t="inlineStr">
        <is>
          <t xml:space="preserve">Servicios de entrega postal nacional</t>
        </is>
      </c>
      <c r="E111" s="4" t="inlineStr">
        <is>
          <t xml:space="preserve">Servicios de transporte, almacenaje y correo / Transporte de correo y carga / Servicios postales de pequeños paquetes y mensajería</t>
        </is>
      </c>
      <c r="F111" s="0">
        <v>1.0</v>
      </c>
      <c r="G111" s="0" t="inlineStr">
        <is>
          <t xml:space="preserve">Global</t>
        </is>
      </c>
      <c r="H111" s="4" t="inlineStr">
        <is>
          <t xml:space="preserve">CONTRATO DE SUMINISTRO DEL SERVICIO DE
ENVÍO DE CARTA CERTIFICADA, DOCUMENTO Y
PAQUETERÍA EXPRESS PARA EL INSTITUTO DE
INFORMÁTICA EDUCATIVA DE LA UNIVERSIDAD
DE LA FRONTERA</t>
        </is>
      </c>
    </row>
    <row r="112">
      <c r="A112" s="0" t="inlineStr">
        <is>
          <t xml:space="preserve">885-103-LE26</t>
        </is>
      </c>
      <c r="B112" s="4" t="inlineStr">
        <is>
          <t xml:space="preserve">Servicio de operación mantenimiento preventivo y soporte técnico para plataforma FortiNAC por un período de 12 meses para la Contraloría General de la República</t>
        </is>
      </c>
      <c r="C112" s="0">
        <v>1</v>
      </c>
      <c r="D112" s="4" t="inlineStr">
        <is>
          <t xml:space="preserve">Equipo de seguridad de red de firewall</t>
        </is>
      </c>
      <c r="E112" s="4" t="inlineStr">
        <is>
          <t xml:space="preserve">Tecnologías de la información, telecomunicaciones y radiodifusión / Equipos, plataformas y accesorios de redes multimedia, voz y datos / Equipos de seguridad de red</t>
        </is>
      </c>
      <c r="F112" s="0">
        <v>1.0</v>
      </c>
      <c r="G112" s="0" t="inlineStr">
        <is>
          <t xml:space="preserve">Unidad</t>
        </is>
      </c>
      <c r="H112" s="4" t="inlineStr">
        <is>
          <t xml:space="preserve">Servicio de operación mantenimiento preventivo y soporte técnico para plataforma FortiNAC por un período de 12 meses para la Contraloría General de la República.</t>
        </is>
      </c>
    </row>
    <row r="113">
      <c r="A113" s="0" t="inlineStr">
        <is>
          <t xml:space="preserve">838794-12-LE26</t>
        </is>
      </c>
      <c r="B113" s="4" t="inlineStr">
        <is>
          <t xml:space="preserve">Tótem gestor de fila CAPSVILLA</t>
        </is>
      </c>
      <c r="C113" s="0">
        <v>1</v>
      </c>
      <c r="D113" s="4" t="inlineStr">
        <is>
          <t xml:space="preserve">Sistemas de control de formación de filas</t>
        </is>
      </c>
      <c r="E113" s="4" t="inlineStr">
        <is>
          <t xml:space="preserve">Equipos y suministros de defensa, orden público, protección y seguridad / Equipos para orden público / Equipo para control de disturbios</t>
        </is>
      </c>
      <c r="F113" s="0">
        <v>1.0</v>
      </c>
      <c r="G113" s="0" t="inlineStr">
        <is>
          <t xml:space="preserve">Unidad</t>
        </is>
      </c>
      <c r="H113" s="4" t="inlineStr">
        <is>
          <t xml:space="preserve">servicio de tótem gestor de filas para el Centro de Atención Primaria de Salud de Villa Alemana</t>
        </is>
      </c>
    </row>
    <row r="114">
      <c r="A114" s="0" t="inlineStr">
        <is>
          <t xml:space="preserve">1079576-54-LE26</t>
        </is>
      </c>
      <c r="B114" s="4" t="inlineStr">
        <is>
          <t xml:space="preserve">ADQUISICIÓN DE CAJAS FUERTES ELECTRÓNICAS DIGITALES DE SEGURIDAD ZONA BIOBÍO</t>
        </is>
      </c>
      <c r="C114" s="0">
        <v>1</v>
      </c>
      <c r="D114" s="4" t="inlineStr">
        <is>
          <t xml:space="preserve">Cajas fuertes</t>
        </is>
      </c>
      <c r="E114" s="4" t="inlineStr">
        <is>
          <t xml:space="preserve">Equipos y suministros de defensa, orden público, protección y seguridad / Seguridad, vigilancia y detección / Cerraduras, elementos de seguridad y accesorios</t>
        </is>
      </c>
      <c r="F114" s="0">
        <v>1.0</v>
      </c>
      <c r="G114" s="0" t="inlineStr">
        <is>
          <t xml:space="preserve">Unidad</t>
        </is>
      </c>
      <c r="H114" s="4" t="inlineStr">
        <is>
          <t xml:space="preserve">SEGÚN ANEXO N°1 DE REQUERIMIENTOS ECONÓMICOS Y TÉCNICOS</t>
        </is>
      </c>
    </row>
    <row r="115">
      <c r="A115" s="0" t="inlineStr">
        <is>
          <t xml:space="preserve">557639-100-LE26</t>
        </is>
      </c>
      <c r="B115" s="4" t="inlineStr">
        <is>
          <t xml:space="preserve">PLATAFORMA DE GESTIÓN DE EST. EDUCACIONALES CORMUN</t>
        </is>
      </c>
      <c r="C115" s="0">
        <v>1</v>
      </c>
      <c r="D115" s="4" t="inlineStr">
        <is>
          <t xml:space="preserve">Software de desarrollo de plataforma Web</t>
        </is>
      </c>
      <c r="E115" s="4" t="inlineStr">
        <is>
          <t xml:space="preserve">Tecnologías de la información, telecomunicaciones y radiodifusión / Software / Programas de desarrollo</t>
        </is>
      </c>
      <c r="F115" s="0">
        <v>1.0</v>
      </c>
      <c r="G115" s="0" t="inlineStr">
        <is>
          <t xml:space="preserve">Unidad</t>
        </is>
      </c>
      <c r="H115" s="4" t="inlineStr">
        <is>
          <t xml:space="preserve">PLATAFORMA DE GESTIÓN DE ESTABLECIMIENTOS EDUCACIONALES CORMUN RANCAGUA</t>
        </is>
      </c>
    </row>
    <row r="116">
      <c r="A116" s="0" t="inlineStr">
        <is>
          <t xml:space="preserve">727202-90-LE26</t>
        </is>
      </c>
      <c r="B116" s="4" t="inlineStr">
        <is>
          <t xml:space="preserve">ADQUISICIÓN DE LICENCIAS DE SOFTWARE DE DISEÑO</t>
        </is>
      </c>
      <c r="C116" s="0">
        <v>1</v>
      </c>
      <c r="D116" s="4" t="inlineStr">
        <is>
          <t xml:space="preserve">Software de gestión de licencias</t>
        </is>
      </c>
      <c r="E116" s="4" t="inlineStr">
        <is>
          <t xml:space="preserve">Tecnologías de la información, telecomunicaciones y radiodifusión / Software / Software de gestión</t>
        </is>
      </c>
      <c r="F116" s="0">
        <v>1.0</v>
      </c>
      <c r="G116" s="0" t="inlineStr">
        <is>
          <t xml:space="preserve">Global</t>
        </is>
      </c>
      <c r="H116" s="4" t="inlineStr">
        <is>
          <t xml:space="preserve">ADQUISICIÓN DE LICENCIAS DE SOFTWARE PARA DISEÑO GRÁFICO (INGRESAR VALOR NETO TOTAL)</t>
        </is>
      </c>
    </row>
    <row r="117">
      <c r="A117" s="0" t="inlineStr">
        <is>
          <t xml:space="preserve">976-18-O126</t>
        </is>
      </c>
      <c r="B117" s="4" t="inlineStr">
        <is>
          <t xml:space="preserve">ATIF Ampliación Plataformas Comercial y General Ad. El Loa</t>
        </is>
      </c>
      <c r="C117" s="0">
        <v>1</v>
      </c>
      <c r="D117" s="4" t="inlineStr">
        <is>
          <t xml:space="preserve">Licitación Pública de Consultoria</t>
        </is>
      </c>
      <c r="E117" s="4" t="inlineStr">
        <is>
          <t xml:space="preserve">Consultoria / Consultoria / Planificación y Factibilidad</t>
        </is>
      </c>
      <c r="F117" s="0">
        <v>1.0</v>
      </c>
      <c r="G117" s="0" t="inlineStr">
        <is>
          <t xml:space="preserve">Unidad</t>
        </is>
      </c>
      <c r="H117" s="4" t="inlineStr">
        <is>
          <t xml:space="preserve">Licitación Pública de Consultoria</t>
        </is>
      </c>
    </row>
    <row r="118">
      <c r="A118" s="0" t="inlineStr">
        <is>
          <t xml:space="preserve">4037-69-LE26</t>
        </is>
      </c>
      <c r="B118" s="4" t="inlineStr">
        <is>
          <t xml:space="preserve">CONTRATACION DEL SERVICIO DE SERVIDOR VIRTUAL HOSTING munifresia.cl  SOPORTE Y MANTENCION DE LA PAGINA WEB SEGUN  BASES ADMINISTRATIVAS Y TECNICAS ADJUNTAS</t>
        </is>
      </c>
      <c r="C118" s="0">
        <v>1</v>
      </c>
      <c r="D118" s="4" t="inlineStr">
        <is>
          <t xml:space="preserve">Web Hosting</t>
        </is>
      </c>
      <c r="E118" s="4" t="inlineStr">
        <is>
          <t xml:space="preserve">Servicios basados en ingeniería, ciencias sociales y tecnología de la información / Servicios informáticos / Servicios para internet</t>
        </is>
      </c>
      <c r="F118" s="0">
        <v>1.0</v>
      </c>
      <c r="G118" s="0" t="inlineStr">
        <is>
          <t xml:space="preserve">Unidad</t>
        </is>
      </c>
      <c r="H118" s="4" t="inlineStr">
        <is>
          <t xml:space="preserve">CONTRATACION DEL SERVICIO DE SERVIDOR VIRTUAL HOSTING munifresia.cl , SOPORTE Y MANTENCION DE LA PAGINA WEB, SEGUN  BASES ADMINISTRATIVAS Y TECNICAS ADJUNTAS, DECRETO ALCALDICIO N° 1973 DE FECHA 19/10/2026</t>
        </is>
      </c>
    </row>
    <row r="119">
      <c r="A119" s="0" t="inlineStr">
        <is>
          <t xml:space="preserve">2403-73-LR26</t>
        </is>
      </c>
      <c r="B119" s="4" t="inlineStr">
        <is>
          <t xml:space="preserve">Servicios de conectividad telecomunicaciones operación de infraestructura y gestión de ciberseguridad.</t>
        </is>
      </c>
      <c r="C119" s="0">
        <v>1</v>
      </c>
      <c r="D119" s="4" t="inlineStr">
        <is>
          <t xml:space="preserve">Instalación de sistemas de seguridad</t>
        </is>
      </c>
      <c r="E119" s="4" t="inlineStr">
        <is>
          <t xml:space="preserve">Servicios de construcción y mantenimiento / Servicios de atención, mantenimiento y reparaciones de edificios / Servicios eléctricos</t>
        </is>
      </c>
      <c r="F119" s="0">
        <v>1.0</v>
      </c>
      <c r="G119" s="0" t="inlineStr">
        <is>
          <t xml:space="preserve">Global</t>
        </is>
      </c>
      <c r="H119" s="4" t="inlineStr">
        <is>
          <t xml:space="preserve">Servicios de conectividad, telecomunicaciones, operación de infraestructura y gestión de ciberseguridad actualmente en producción, incluyendo conectividad institucional, telefonía IP, Contact Center, redes cableadas e inalámbricas, y otros según Bases.</t>
        </is>
      </c>
    </row>
    <row r="120">
      <c r="A120" s="0" t="inlineStr">
        <is>
          <t xml:space="preserve">2467-120-LE26</t>
        </is>
      </c>
      <c r="B120" s="4" t="inlineStr">
        <is>
          <t xml:space="preserve">ADQUISICIÓN DE LICENCIA DE SOFTWARE</t>
        </is>
      </c>
      <c r="C120" s="0">
        <v>1</v>
      </c>
      <c r="D120" s="4" t="inlineStr">
        <is>
          <t xml:space="preserve">Software de gestión de licencias</t>
        </is>
      </c>
      <c r="E120" s="4" t="inlineStr">
        <is>
          <t xml:space="preserve">Tecnologías de la información, telecomunicaciones y radiodifusión / Software / Software de gestión</t>
        </is>
      </c>
      <c r="F120" s="0">
        <v>1.0</v>
      </c>
      <c r="G120" s="0" t="inlineStr">
        <is>
          <t xml:space="preserve">Unidad</t>
        </is>
      </c>
      <c r="H120" s="4" t="inlineStr">
        <is>
          <t xml:space="preserve">Software de seguimiento y gestión de causas judiciales, con integración mediante API (interfaz de programación de aplicaciones) con los sistemas del Poder Judicial de Chile, para el seguimiento, supervisión, gestión automatizada y control de procesos judi</t>
        </is>
      </c>
    </row>
    <row r="121">
      <c r="A121" s="0" t="inlineStr">
        <is>
          <t xml:space="preserve">2448-144-LE26</t>
        </is>
      </c>
      <c r="B121" s="4" t="inlineStr">
        <is>
          <t xml:space="preserve">ADQ. ELECTROCARDIOGRAFO DIGITAL</t>
        </is>
      </c>
      <c r="C121" s="0">
        <v>1</v>
      </c>
      <c r="D121" s="4" t="inlineStr">
        <is>
          <t xml:space="preserve">Unidades de electrocardiografía (ECG)</t>
        </is>
      </c>
      <c r="E121" s="4" t="inlineStr">
        <is>
          <t xml:space="preserve">Equipamiento y suministros médicos / Productos para exámenes y control de pacientes / Unidades de electrocardiografía (ECG) y productos relacionados</t>
        </is>
      </c>
      <c r="F121" s="0">
        <v>10.0</v>
      </c>
      <c r="G121" s="0" t="inlineStr">
        <is>
          <t xml:space="preserve">Unidad</t>
        </is>
      </c>
      <c r="H121" s="4" t="inlineStr">
        <is>
          <t xml:space="preserve">Electrocardiógrafo Digital pantalla táctil, que recopile señales de ECG de 12 derivaciones simultáneamente e imprimir formas de onda de ECG con un sistema de impresión térmica.Cuenta con pantalla táctil a color de 8″,se incluye,registra y muestra la forma</t>
        </is>
      </c>
    </row>
    <row r="122">
      <c r="A122" s="0" t="inlineStr">
        <is>
          <t xml:space="preserve">2490-91-LP26</t>
        </is>
      </c>
      <c r="B122" s="4" t="inlineStr">
        <is>
          <t xml:space="preserve">ARRIENDO SOPORTE Y MANTENCIÓN DE GABINETES PSICOSENSOMÉTRICOS Y EQUIPOS COMPUTACIONALES CON SOFTWARE SPI INTEGRADO 2027-2031</t>
        </is>
      </c>
      <c r="C122" s="0">
        <v>1</v>
      </c>
      <c r="D122" s="4" t="inlineStr">
        <is>
          <t xml:space="preserve">Señales de tránsito</t>
        </is>
      </c>
      <c r="E122" s="4" t="inlineStr">
        <is>
          <t xml:space="preserve">Equipos y suministros de defensa, orden público, protección y seguridad / Seguridad y control público / Control de tráfico</t>
        </is>
      </c>
      <c r="F122" s="0">
        <v>1.0</v>
      </c>
      <c r="G122" s="0" t="inlineStr">
        <is>
          <t xml:space="preserve">Global</t>
        </is>
      </c>
      <c r="H122" s="4" t="inlineStr">
        <is>
          <t xml:space="preserve">“ARRIENDO, SOPORTE Y MANTENCIÓN DE GABINETES PSICOSENSOMÉTRICOS Y EQUIPOS COMPUTACIONALES CON SOFTWARE SPI INTEGRADO 2027-2031”</t>
        </is>
      </c>
    </row>
    <row r="123">
      <c r="A123" s="0" t="inlineStr">
        <is>
          <t xml:space="preserve">1457282-6-LE26</t>
        </is>
      </c>
      <c r="B123" s="4" t="inlineStr">
        <is>
          <t xml:space="preserve">ADQUISICIÓN DE RADIOS DIGITALES PORTÁTILES</t>
        </is>
      </c>
      <c r="C123" s="0">
        <v>1</v>
      </c>
      <c r="D123" s="4" t="inlineStr">
        <is>
          <t xml:space="preserve">Dispositivos de identificación de radiofrecuencias</t>
        </is>
      </c>
      <c r="E123" s="4" t="inlineStr">
        <is>
          <t xml:space="preserve">Tecnologías de la información, telecomunicaciones y radiodifusión / Equipos informáticos y accesorios / Dispositivos informáticos de entrada de datos</t>
        </is>
      </c>
      <c r="F123" s="0">
        <v>1.0</v>
      </c>
      <c r="G123" s="0" t="inlineStr">
        <is>
          <t xml:space="preserve">Global</t>
        </is>
      </c>
      <c r="H123" s="4" t="inlineStr">
        <is>
          <t xml:space="preserve">Adquisición, suministro, configuración, puesta en marcha y marcha blanca de un sistema de radiocomunicación digital para la operación diaria de GAM.</t>
        </is>
      </c>
    </row>
    <row r="124">
      <c r="A124" s="0" t="inlineStr">
        <is>
          <t xml:space="preserve">3053-4-LE26</t>
        </is>
      </c>
      <c r="B124" s="4" t="inlineStr">
        <is>
          <t xml:space="preserve">Adquisición de insumos informáticos para la Municipalidad de San Pedro de Atacama.</t>
        </is>
      </c>
      <c r="C124" s="0">
        <v>1</v>
      </c>
      <c r="D124" s="4" t="inlineStr">
        <is>
          <t xml:space="preserve">Impresoras multifunción o multifuncionales</t>
        </is>
      </c>
      <c r="E124" s="4" t="inlineStr">
        <is>
          <t xml:space="preserve">Tecnologías de la información, telecomunicaciones y radiodifusión / Equipos informáticos y accesorios / Impresoras</t>
        </is>
      </c>
      <c r="F124" s="0">
        <v>1.0</v>
      </c>
      <c r="G124" s="0" t="inlineStr">
        <is>
          <t xml:space="preserve">Global</t>
        </is>
      </c>
      <c r="H124" s="4" t="inlineStr">
        <is>
          <t xml:space="preserve">Adquisición de insumos de impresión y repuestos para distintos modelos de impresoras pertenecientes a la Municipalidad de San Pedro de Atacama, de acuerdo a lo requerido en las especificaciones técnicas.</t>
        </is>
      </c>
    </row>
    <row r="125">
      <c r="A125" s="0" t="inlineStr">
        <is>
          <t xml:space="preserve">1221019-17-LE26</t>
        </is>
      </c>
      <c r="B125" s="4" t="inlineStr">
        <is>
          <t xml:space="preserve">Plataforma de Venta de Entradas para Evento.</t>
        </is>
      </c>
      <c r="C125" s="0">
        <v>1</v>
      </c>
      <c r="D125" s="4" t="inlineStr">
        <is>
          <t xml:space="preserve">Software de desarrollo de plataforma Web</t>
        </is>
      </c>
      <c r="E125" s="4" t="inlineStr">
        <is>
          <t xml:space="preserve">Tecnologías de la información, telecomunicaciones y radiodifusión / Software / Programas de desarrollo</t>
        </is>
      </c>
      <c r="F125" s="0">
        <v>1.0</v>
      </c>
      <c r="G125" s="0" t="inlineStr">
        <is>
          <t xml:space="preserve">Unidad</t>
        </is>
      </c>
      <c r="H125" s="4" t="inlineStr">
        <is>
          <t xml:space="preserve">De acuerdo a lo Establecido en las Bases Administrativas y Técnicas de la presente propuesta pública.</t>
        </is>
      </c>
    </row>
    <row r="126">
      <c r="A126" s="0" t="inlineStr">
        <is>
          <t xml:space="preserve">680504-3-L126</t>
        </is>
      </c>
      <c r="B126" s="4" t="inlineStr">
        <is>
          <t xml:space="preserve">Mantención Anual Tableros Eléctricos del Edificio RPP Curicó</t>
        </is>
      </c>
      <c r="C126" s="0">
        <v>1</v>
      </c>
      <c r="D126" s="4" t="inlineStr">
        <is>
          <t xml:space="preserve">Instalación o servicio de sistemas de energía eléctrica</t>
        </is>
      </c>
      <c r="E126" s="4" t="inlineStr">
        <is>
          <t xml:space="preserve">Servicios de construcción y mantenimiento / Servicios de atención, mantenimiento y reparaciones de edificios / Servicios eléctricos</t>
        </is>
      </c>
      <c r="F126" s="0">
        <v>1.0</v>
      </c>
      <c r="G126" s="0" t="inlineStr">
        <is>
          <t xml:space="preserve">Unidad</t>
        </is>
      </c>
      <c r="H126" s="4" t="inlineStr">
        <is>
          <t xml:space="preserve">Mantención Anual Tableros Eléctricos del Edificio RPP Curicó por un periodo de 36 meses</t>
        </is>
      </c>
    </row>
    <row r="127">
      <c r="A127" s="0" t="inlineStr">
        <is>
          <t xml:space="preserve">662237-34-LE26</t>
        </is>
      </c>
      <c r="B127" s="4" t="inlineStr">
        <is>
          <t xml:space="preserve">Adquisición de licencias software antivirus</t>
        </is>
      </c>
      <c r="C127" s="0">
        <v>1</v>
      </c>
      <c r="D127" s="4" t="inlineStr">
        <is>
          <t xml:space="preserve">Software de protección antivirus y de seguridad de transacciones</t>
        </is>
      </c>
      <c r="E127" s="4" t="inlineStr">
        <is>
          <t xml:space="preserve">Tecnologías de la información, telecomunicaciones y radiodifusión / Software / Software de seguridad y protección</t>
        </is>
      </c>
      <c r="F127" s="0">
        <v>1.0</v>
      </c>
      <c r="G127" s="0" t="inlineStr">
        <is>
          <t xml:space="preserve">Unidad</t>
        </is>
      </c>
      <c r="H127" s="4" t="inlineStr">
        <is>
          <t xml:space="preserve">Adquisición de
530 licencias de software antivirus con funcionalidades EDR y RMM,
compatibles con la infraestructura institucional o equivalentes funcionalmente
a Xcitium Advanced Endpoint Protection</t>
        </is>
      </c>
    </row>
    <row r="128">
      <c r="A128" s="0" t="inlineStr">
        <is>
          <t xml:space="preserve">2111-304-LP26</t>
        </is>
      </c>
      <c r="B128" s="4" t="inlineStr">
        <is>
          <t xml:space="preserve">SERV. ALMACENAJE CUSTODIA Y ADM. DE DATOS FÍSICOS</t>
        </is>
      </c>
      <c r="C128" s="0">
        <v>1</v>
      </c>
      <c r="D128" s="4" t="inlineStr">
        <is>
          <t xml:space="preserve">Almacenaje de documentos en carpetas</t>
        </is>
      </c>
      <c r="E128" s="4" t="inlineStr">
        <is>
          <t xml:space="preserve">Servicios de transporte, almacenaje y correo / Almacenaje / Almacenaje de mercancía en general</t>
        </is>
      </c>
      <c r="F128" s="0">
        <v>1.0</v>
      </c>
      <c r="G128" s="0" t="inlineStr">
        <is>
          <t xml:space="preserve">Unidad</t>
        </is>
      </c>
      <c r="H128" s="4" t="inlineStr">
        <is>
          <t xml:space="preserve">SERVICIO DE ALMACENAJE, CUSTODIA Y ADMINISTRACIÓN DE DATOS FÍSICOS DEL HUAP</t>
        </is>
      </c>
    </row>
    <row r="129">
      <c r="A129" s="0" t="inlineStr">
        <is>
          <t xml:space="preserve">2342-36-LR26</t>
        </is>
      </c>
      <c r="B129" s="4" t="inlineStr">
        <is>
          <t xml:space="preserve">CONCESIÓN DE ESTACIONAMIENTOS EN CALLES DE LA ZONA CENTRO DE LA COMUNA DE SAN BERNARDO APLICANDO SISTEMA DE CONTROL DE TIEMPO DE USO CAPTADORES DE DATOS</t>
        </is>
      </c>
      <c r="C129" s="0">
        <v>1</v>
      </c>
      <c r="D129" s="4" t="inlineStr">
        <is>
          <t xml:space="preserve">Estacionamientos</t>
        </is>
      </c>
      <c r="E129" s="4" t="inlineStr">
        <is>
          <t xml:space="preserve">Servicios de transporte, almacenaje y correo / Servicios de mantención o reparaciones de transportes / Combustible para vehículos de transporte, estacionamiento y otros servicios de apoyo</t>
        </is>
      </c>
      <c r="F129" s="0">
        <v>1.0</v>
      </c>
      <c r="G129" s="0" t="inlineStr">
        <is>
          <t xml:space="preserve">Unidad</t>
        </is>
      </c>
      <c r="H129" s="4" t="inlineStr">
        <is>
          <t xml:space="preserve">De acuerdo a lo indicado en Especificaciones Técnicas</t>
        </is>
      </c>
    </row>
    <row r="130">
      <c r="A130" s="0" t="inlineStr">
        <is>
          <t xml:space="preserve">2446-315-LE26</t>
        </is>
      </c>
      <c r="B130" s="4" t="inlineStr">
        <is>
          <t xml:space="preserve">ADQUISICIÓN DE LICENCIAS DE SOFTWARE INSTITUCIONAL</t>
        </is>
      </c>
      <c r="C130" s="0">
        <v>1</v>
      </c>
      <c r="D130" s="4" t="inlineStr">
        <is>
          <t xml:space="preserve">Paquetes de software para oficinas</t>
        </is>
      </c>
      <c r="E130" s="4" t="inlineStr">
        <is>
          <t xml:space="preserve">Tecnologías de la información, telecomunicaciones y radiodifusión / Software / Software de gestión</t>
        </is>
      </c>
      <c r="F130" s="0">
        <v>1.0</v>
      </c>
      <c r="G130" s="0" t="inlineStr">
        <is>
          <t xml:space="preserve">Global</t>
        </is>
      </c>
      <c r="H130" s="4" t="inlineStr">
        <is>
          <t xml:space="preserve">LÍNEA 1: Adquisición de licencias de software de diseño y producción audiovisual (Adobe Creative Cloud o equivalente) (INGRESAR VALOR NETO TOTAL)</t>
        </is>
      </c>
    </row>
    <row r="131">
      <c r="A131" s="0" t="inlineStr">
        <is>
          <t xml:space="preserve">2446-315-LE26</t>
        </is>
      </c>
      <c r="B131" s="4" t="inlineStr">
        <is>
          <t xml:space="preserve">ADQUISICIÓN DE LICENCIAS DE SOFTWARE INSTITUCIONAL</t>
        </is>
      </c>
      <c r="C131" s="0">
        <v>2</v>
      </c>
      <c r="D131" s="4" t="inlineStr">
        <is>
          <t xml:space="preserve">Paquetes de software para oficinas</t>
        </is>
      </c>
      <c r="E131" s="4" t="inlineStr">
        <is>
          <t xml:space="preserve">Tecnologías de la información, telecomunicaciones y radiodifusión / Software / Software de gestión</t>
        </is>
      </c>
      <c r="F131" s="0">
        <v>1.0</v>
      </c>
      <c r="G131" s="0" t="inlineStr">
        <is>
          <t xml:space="preserve">Global</t>
        </is>
      </c>
      <c r="H131" s="4" t="inlineStr">
        <is>
          <t xml:space="preserve">LÍNEA N°2: Adquisición de licencias de plataforma de inteligencia artificial conversacional para desarrollo de software (Claude o equivalente) (INGRESAR VALOR NETO TOTAL)</t>
        </is>
      </c>
    </row>
    <row r="132">
      <c r="A132" s="0" t="inlineStr">
        <is>
          <t xml:space="preserve">2446-315-LE26</t>
        </is>
      </c>
      <c r="B132" s="4" t="inlineStr">
        <is>
          <t xml:space="preserve">ADQUISICIÓN DE LICENCIAS DE SOFTWARE INSTITUCIONAL</t>
        </is>
      </c>
      <c r="C132" s="0">
        <v>3</v>
      </c>
      <c r="D132" s="4" t="inlineStr">
        <is>
          <t xml:space="preserve">Paquetes de software para oficinas</t>
        </is>
      </c>
      <c r="E132" s="4" t="inlineStr">
        <is>
          <t xml:space="preserve">Tecnologías de la información, telecomunicaciones y radiodifusión / Software / Software de gestión</t>
        </is>
      </c>
      <c r="F132" s="0">
        <v>1.0</v>
      </c>
      <c r="G132" s="0" t="inlineStr">
        <is>
          <t xml:space="preserve">Global</t>
        </is>
      </c>
      <c r="H132" s="4" t="inlineStr">
        <is>
          <t xml:space="preserve">LÍNEA N°3: Adquisición de licencia de software de escritorio remoto para soporte técnico y administración de equipos institucionales (AnyDesk o equivalente) INGRESAR VALOR NETO TOTAL</t>
        </is>
      </c>
    </row>
    <row r="133">
      <c r="A133" s="0" t="inlineStr">
        <is>
          <t xml:space="preserve">2446-315-LE26</t>
        </is>
      </c>
      <c r="B133" s="4" t="inlineStr">
        <is>
          <t xml:space="preserve">ADQUISICIÓN DE LICENCIAS DE SOFTWARE INSTITUCIONAL</t>
        </is>
      </c>
      <c r="C133" s="0">
        <v>4</v>
      </c>
      <c r="D133" s="4" t="inlineStr">
        <is>
          <t xml:space="preserve">Paquetes de software para oficinas</t>
        </is>
      </c>
      <c r="E133" s="4" t="inlineStr">
        <is>
          <t xml:space="preserve">Tecnologías de la información, telecomunicaciones y radiodifusión / Software / Software de gestión</t>
        </is>
      </c>
      <c r="F133" s="0">
        <v>1.0</v>
      </c>
      <c r="G133" s="0" t="inlineStr">
        <is>
          <t xml:space="preserve">Global</t>
        </is>
      </c>
      <c r="H133" s="4" t="inlineStr">
        <is>
          <t xml:space="preserve">LÍNEA N°4: Adquisición licencia de software de visualización de datos, analítica e inteligencia de negocios (Power BI o equivalente) INGRESAR VALOR NETO TOTAL</t>
        </is>
      </c>
    </row>
    <row r="134">
      <c r="A134" s="0" t="inlineStr">
        <is>
          <t xml:space="preserve">2446-315-LE26</t>
        </is>
      </c>
      <c r="B134" s="4" t="inlineStr">
        <is>
          <t xml:space="preserve">ADQUISICIÓN DE LICENCIAS DE SOFTWARE INSTITUCIONAL</t>
        </is>
      </c>
      <c r="C134" s="0">
        <v>5</v>
      </c>
      <c r="D134" s="4" t="inlineStr">
        <is>
          <t xml:space="preserve">Paquetes de software para oficinas</t>
        </is>
      </c>
      <c r="E134" s="4" t="inlineStr">
        <is>
          <t xml:space="preserve">Tecnologías de la información, telecomunicaciones y radiodifusión / Software / Software de gestión</t>
        </is>
      </c>
      <c r="F134" s="0">
        <v>1.0</v>
      </c>
      <c r="G134" s="0" t="inlineStr">
        <is>
          <t xml:space="preserve">Global</t>
        </is>
      </c>
      <c r="H134" s="4" t="inlineStr">
        <is>
          <t xml:space="preserve">LÍNEA N°5: Adquisición de licenciamiento de software de generación de imágenes y videos con inteligencia artificial (Runway o equivalente). INGRESAR VALOR NETO TOTAL</t>
        </is>
      </c>
    </row>
    <row r="135">
      <c r="A135" s="0" t="inlineStr">
        <is>
          <t xml:space="preserve">5441-12-LP26</t>
        </is>
      </c>
      <c r="B135" s="4" t="inlineStr">
        <is>
          <t xml:space="preserve">Generador 500 kVA y Tablero de Transf. Autom. 800A</t>
        </is>
      </c>
      <c r="C135" s="0">
        <v>1</v>
      </c>
      <c r="D135" s="4" t="inlineStr">
        <is>
          <t xml:space="preserve">Generadores diesel</t>
        </is>
      </c>
      <c r="E135" s="4" t="inlineStr">
        <is>
          <t xml:space="preserve">Maquinaria para generación y distribución de energía / Transmisión de energía eléctrica, mecánica y cinética / Grupos electrógenos</t>
        </is>
      </c>
      <c r="F135" s="0">
        <v>1.0</v>
      </c>
      <c r="G135" s="0" t="inlineStr">
        <is>
          <t xml:space="preserve">Unidad</t>
        </is>
      </c>
      <c r="H135" s="4" t="inlineStr">
        <is>
          <t xml:space="preserve">GENERADOR DE 500 kVA, SEGÚN BASES ADMINISTRATIVAS Y TÉCNICAS.</t>
        </is>
      </c>
    </row>
    <row r="136">
      <c r="A136" s="0" t="inlineStr">
        <is>
          <t xml:space="preserve">5441-12-LP26</t>
        </is>
      </c>
      <c r="B136" s="4" t="inlineStr">
        <is>
          <t xml:space="preserve">Generador 500 kVA y Tablero de Transf. Autom. 800A</t>
        </is>
      </c>
      <c r="C136" s="0">
        <v>2</v>
      </c>
      <c r="D136" s="4" t="inlineStr">
        <is>
          <t xml:space="preserve">Paneles de control eléctrico para generadores</t>
        </is>
      </c>
      <c r="E136" s="4" t="inlineStr">
        <is>
          <t xml:space="preserve">Maquinaria para generación y distribución de energía / Generación de energía / Equipo para control de producción de energía</t>
        </is>
      </c>
      <c r="F136" s="0">
        <v>1.0</v>
      </c>
      <c r="G136" s="0" t="inlineStr">
        <is>
          <t xml:space="preserve">Unidad</t>
        </is>
      </c>
      <c r="H136" s="4" t="inlineStr">
        <is>
          <t xml:space="preserve">TABLERO DE TRANSFERENCIA AUTOMÁTICA, SEGÚN BASES ADMINISTRATIVAS Y TÉCNICAS.</t>
        </is>
      </c>
    </row>
    <row r="137">
      <c r="A137" s="0" t="inlineStr">
        <is>
          <t xml:space="preserve">587-47-LE26</t>
        </is>
      </c>
      <c r="B137" s="4" t="inlineStr">
        <is>
          <t xml:space="preserve">RENOVACIÓN DE LICENCIAS DE SOFTWARE</t>
        </is>
      </c>
      <c r="C137" s="0">
        <v>1</v>
      </c>
      <c r="D137" s="4" t="inlineStr">
        <is>
          <t xml:space="preserve">Software de gestión de licencias</t>
        </is>
      </c>
      <c r="E137" s="4" t="inlineStr">
        <is>
          <t xml:space="preserve">Tecnologías de la información, telecomunicaciones y radiodifusión / Software / Software de gestión</t>
        </is>
      </c>
      <c r="F137" s="0">
        <v>12.0</v>
      </c>
      <c r="G137" s="0" t="inlineStr">
        <is>
          <t xml:space="preserve">Unidad</t>
        </is>
      </c>
      <c r="H137" s="4" t="inlineStr">
        <is>
          <t xml:space="preserve">Contratar la renovación de software de cinco (05) Licencias de Software FORTINET (o equivalentes), por doce (12) meses, divididos en: dos (02) Firewalls FORTINET WAF400E, dos (02) Firewalls FORTINET 600E y un (01) Firewall FORTINET FortiAnalyzer 1000F”</t>
        </is>
      </c>
    </row>
    <row r="138">
      <c r="A138" s="0" t="inlineStr">
        <is>
          <t xml:space="preserve">2107-164-LE26</t>
        </is>
      </c>
      <c r="B138" s="4" t="inlineStr">
        <is>
          <t xml:space="preserve">ARRIENDO DE TOTEMS AUTOADMINISTRADOS PARA HSC</t>
        </is>
      </c>
      <c r="C138" s="0">
        <v>1</v>
      </c>
      <c r="D138" s="4" t="inlineStr">
        <is>
          <t xml:space="preserve">Servidores de gama alta</t>
        </is>
      </c>
      <c r="E138" s="4" t="inlineStr">
        <is>
          <t xml:space="preserve">Tecnologías de la información, telecomunicaciones y radiodifusión / Equipos informáticos y accesorios / Computadores</t>
        </is>
      </c>
      <c r="F138" s="0">
        <v>36.0</v>
      </c>
      <c r="G138" s="0" t="inlineStr">
        <is>
          <t xml:space="preserve">Mes</t>
        </is>
      </c>
      <c r="H138" s="4" t="inlineStr">
        <is>
          <t xml:space="preserve">SERVICIO MENSUAL DE ARRIENDO DE 3 TOTEMS AUTOADMINISTRADOS SEGUN BASES</t>
        </is>
      </c>
    </row>
    <row r="139">
      <c r="A139" s="0" t="inlineStr">
        <is>
          <t xml:space="preserve">2107-164-LE26</t>
        </is>
      </c>
      <c r="B139" s="4" t="inlineStr">
        <is>
          <t xml:space="preserve">ARRIENDO DE TOTEMS AUTOADMINISTRADOS PARA HSC</t>
        </is>
      </c>
      <c r="C139" s="0">
        <v>2</v>
      </c>
      <c r="D139" s="4" t="inlineStr">
        <is>
          <t xml:space="preserve">Servidores de gama alta</t>
        </is>
      </c>
      <c r="E139" s="4" t="inlineStr">
        <is>
          <t xml:space="preserve">Tecnologías de la información, telecomunicaciones y radiodifusión / Equipos informáticos y accesorios / Computadores</t>
        </is>
      </c>
      <c r="F139" s="0">
        <v>2000.0</v>
      </c>
      <c r="G139" s="0" t="inlineStr">
        <is>
          <t xml:space="preserve">Unidad</t>
        </is>
      </c>
      <c r="H139" s="4" t="inlineStr">
        <is>
          <t xml:space="preserve">Tarjetas NFC/RFID con chip ACR122U</t>
        </is>
      </c>
    </row>
    <row r="140">
      <c r="A140" s="0" t="inlineStr">
        <is>
          <t xml:space="preserve">1461054-45-LP26</t>
        </is>
      </c>
      <c r="B140" s="4" t="inlineStr">
        <is>
          <t xml:space="preserve">PLATAFORMA DE GESTIÓN EDUCACIONAL PARA 77 E.E</t>
        </is>
      </c>
      <c r="C140" s="0">
        <v>1</v>
      </c>
      <c r="D140" s="4" t="inlineStr">
        <is>
          <t xml:space="preserve">Software del sistema de administración de bases de datos</t>
        </is>
      </c>
      <c r="E140" s="4" t="inlineStr">
        <is>
          <t xml:space="preserve">Tecnologías de la información, telecomunicaciones y radiodifusión / Software / Software de consultas y gestión de datos</t>
        </is>
      </c>
      <c r="F140" s="0">
        <v>1.0</v>
      </c>
      <c r="G140" s="0" t="inlineStr">
        <is>
          <t xml:space="preserve">Unidad</t>
        </is>
      </c>
      <c r="H140" s="4" t="inlineStr">
        <is>
          <t xml:space="preserve">PLATAFORMA DE GESTIÓN EDUCACIONAL PARA 77 ESTABLECIMIENTOS EDUCACIONALES DEPENDIENTES DEL SERVICIO LOCAL DE EDUCACIÓN PÚBLICA ELQUI</t>
        </is>
      </c>
    </row>
    <row r="141">
      <c r="A141" s="0" t="inlineStr">
        <is>
          <t xml:space="preserve">1247197-81-LE26</t>
        </is>
      </c>
      <c r="B141" s="4" t="inlineStr">
        <is>
          <t xml:space="preserve">SOFTWARE PARA FARMACIAS COMUNALES RES. 556</t>
        </is>
      </c>
      <c r="C141" s="0">
        <v>1</v>
      </c>
      <c r="D141" s="4" t="inlineStr">
        <is>
          <t xml:space="preserve">Software de administración</t>
        </is>
      </c>
      <c r="E141" s="4" t="inlineStr">
        <is>
          <t xml:space="preserve">Tecnologías de la información, telecomunicaciones y radiodifusión / Software / Software de administración de redes</t>
        </is>
      </c>
      <c r="F141" s="0">
        <v>1.0</v>
      </c>
      <c r="G141" s="0" t="inlineStr">
        <is>
          <t xml:space="preserve">Unidad</t>
        </is>
      </c>
      <c r="H141" s="4" t="inlineStr">
        <is>
          <t xml:space="preserve">Software para gestión de farmacias comunales</t>
        </is>
      </c>
    </row>
    <row r="142">
      <c r="A142" s="0" t="inlineStr">
        <is>
          <t xml:space="preserve">519302-9-LE26</t>
        </is>
      </c>
      <c r="B142" s="4" t="inlineStr">
        <is>
          <t xml:space="preserve">DISEÑO IMPLEMENTACIÓN MEDICION MARKETING DIGITAL</t>
        </is>
      </c>
      <c r="C142" s="0">
        <v>1</v>
      </c>
      <c r="D142" s="4" t="inlineStr">
        <is>
          <t xml:space="preserve">Campañas publicitarias o de marketing</t>
        </is>
      </c>
      <c r="E142" s="4" t="inlineStr">
        <is>
          <t xml:space="preserve">Servicios profesionales, administrativos y consultorías de gestión empresarial / Servicios para la comercialización y distribución / Ventas y marketing</t>
        </is>
      </c>
      <c r="F142" s="0">
        <v>1.0</v>
      </c>
      <c r="G142" s="0" t="inlineStr">
        <is>
          <t xml:space="preserve">Unidad</t>
        </is>
      </c>
      <c r="H142" s="4" t="inlineStr">
        <is>
          <t xml:space="preserve">DISEÑO, PLANIFICACIÓN, IMPLEMENTACIÓN, ADMINISTRACIÓN, OPTIMIZACIÓN Y MEDICIÓN DE CAMPAÑAS DE MARKETING DIGITAL</t>
        </is>
      </c>
    </row>
    <row r="143">
      <c r="A143" s="0" t="inlineStr">
        <is>
          <t xml:space="preserve">621-909-LR26</t>
        </is>
      </c>
      <c r="B143" s="4" t="inlineStr">
        <is>
          <t xml:space="preserve">TERMOGRAFO DIGITAL MONITOREO TEMPERATURA 1000023277</t>
        </is>
      </c>
      <c r="C143" s="0">
        <v>1</v>
      </c>
      <c r="D143" s="4" t="inlineStr">
        <is>
          <t xml:space="preserve">Termómetros de tele indicación</t>
        </is>
      </c>
      <c r="E143" s="4" t="inlineStr">
        <is>
          <t xml:space="preserve">Equipamiento para laboratorios / Instrumentos de medida y experimentación / Instrumentos para medir temperatura y calor</t>
        </is>
      </c>
      <c r="F143" s="0">
        <v>3000.0</v>
      </c>
      <c r="G143" s="0" t="inlineStr">
        <is>
          <t xml:space="preserve">Unidad</t>
        </is>
      </c>
      <c r="H143" s="4" t="inlineStr">
        <is>
          <t xml:space="preserve">TERMOGRAFO DIGITAL MONITOREO TEMPERATURA; 100005575</t>
        </is>
      </c>
    </row>
    <row r="144">
      <c r="A144" s="0" t="inlineStr">
        <is>
          <t xml:space="preserve">1389183-69-LE26</t>
        </is>
      </c>
      <c r="B144" s="4" t="inlineStr">
        <is>
          <t xml:space="preserve">EQUIPOS INFORMATICOS PARA LICEOS TP</t>
        </is>
      </c>
      <c r="C144" s="0">
        <v>1</v>
      </c>
      <c r="D144" s="4" t="inlineStr">
        <is>
          <t xml:space="preserve">Notebook, laptop o computador portátil excepto Tablet PC</t>
        </is>
      </c>
      <c r="E144" s="4" t="inlineStr">
        <is>
          <t xml:space="preserve">Tecnologías de la información, telecomunicaciones y radiodifusión / Equipos informáticos y accesorios / Computadores</t>
        </is>
      </c>
      <c r="F144" s="0">
        <v>1.0</v>
      </c>
      <c r="G144" s="0" t="inlineStr">
        <is>
          <t xml:space="preserve">Unidad</t>
        </is>
      </c>
      <c r="H144" s="4" t="inlineStr">
        <is>
          <t xml:space="preserve">EQUIPOS INFORMATICOS PARA LICEO COMERCIAL ANDRES BELLO</t>
        </is>
      </c>
    </row>
    <row r="145">
      <c r="A145" s="0" t="inlineStr">
        <is>
          <t xml:space="preserve">1389183-69-LE26</t>
        </is>
      </c>
      <c r="B145" s="4" t="inlineStr">
        <is>
          <t xml:space="preserve">EQUIPOS INFORMATICOS PARA LICEOS TP</t>
        </is>
      </c>
      <c r="C145" s="0">
        <v>2</v>
      </c>
      <c r="D145" s="4" t="inlineStr">
        <is>
          <t xml:space="preserve">Notebook, laptop o computador portátil excepto Tablet PC</t>
        </is>
      </c>
      <c r="E145" s="4" t="inlineStr">
        <is>
          <t xml:space="preserve">Tecnologías de la información, telecomunicaciones y radiodifusión / Equipos informáticos y accesorios / Computadores</t>
        </is>
      </c>
      <c r="F145" s="0">
        <v>1.0</v>
      </c>
      <c r="G145" s="0" t="inlineStr">
        <is>
          <t xml:space="preserve">Unidad</t>
        </is>
      </c>
      <c r="H145" s="4" t="inlineStr">
        <is>
          <t xml:space="preserve">EQUIPOS INFORMATICOS PARA LICEO EDUARDO FREI</t>
        </is>
      </c>
    </row>
    <row r="146">
      <c r="A146" s="0" t="inlineStr">
        <is>
          <t xml:space="preserve">1389183-69-LE26</t>
        </is>
      </c>
      <c r="B146" s="4" t="inlineStr">
        <is>
          <t xml:space="preserve">EQUIPOS INFORMATICOS PARA LICEOS TP</t>
        </is>
      </c>
      <c r="C146" s="0">
        <v>3</v>
      </c>
      <c r="D146" s="4" t="inlineStr">
        <is>
          <t xml:space="preserve">Notebook, laptop o computador portátil excepto Tablet PC</t>
        </is>
      </c>
      <c r="E146" s="4" t="inlineStr">
        <is>
          <t xml:space="preserve">Tecnologías de la información, telecomunicaciones y radiodifusión / Equipos informáticos y accesorios / Computadores</t>
        </is>
      </c>
      <c r="F146" s="0">
        <v>1.0</v>
      </c>
      <c r="G146" s="0" t="inlineStr">
        <is>
          <t xml:space="preserve">Unidad</t>
        </is>
      </c>
      <c r="H146" s="4" t="inlineStr">
        <is>
          <t xml:space="preserve">EQUIPOS INFORMATICOS PARA LICEO ROSAURO SANTANA</t>
        </is>
      </c>
    </row>
    <row r="147">
      <c r="A147" s="0" t="inlineStr">
        <is>
          <t xml:space="preserve">1389183-69-LE26</t>
        </is>
      </c>
      <c r="B147" s="4" t="inlineStr">
        <is>
          <t xml:space="preserve">EQUIPOS INFORMATICOS PARA LICEOS TP</t>
        </is>
      </c>
      <c r="C147" s="0">
        <v>4</v>
      </c>
      <c r="D147" s="4" t="inlineStr">
        <is>
          <t xml:space="preserve">Notebook, laptop o computador portátil excepto Tablet PC</t>
        </is>
      </c>
      <c r="E147" s="4" t="inlineStr">
        <is>
          <t xml:space="preserve">Tecnologías de la información, telecomunicaciones y radiodifusión / Equipos informáticos y accesorios / Computadores</t>
        </is>
      </c>
      <c r="F147" s="0">
        <v>1.0</v>
      </c>
      <c r="G147" s="0" t="inlineStr">
        <is>
          <t xml:space="preserve">Unidad</t>
        </is>
      </c>
      <c r="H147" s="4" t="inlineStr">
        <is>
          <t xml:space="preserve">EQUIPOS INFORMATICOS PARA LICEO NUEVA ZELANDIA</t>
        </is>
      </c>
    </row>
    <row r="148">
      <c r="A148" s="0" t="inlineStr">
        <is>
          <t xml:space="preserve">1389183-69-LE26</t>
        </is>
      </c>
      <c r="B148" s="4" t="inlineStr">
        <is>
          <t xml:space="preserve">EQUIPOS INFORMATICOS PARA LICEOS TP</t>
        </is>
      </c>
      <c r="C148" s="0">
        <v>5</v>
      </c>
      <c r="D148" s="4" t="inlineStr">
        <is>
          <t xml:space="preserve">Notebook, laptop o computador portátil excepto Tablet PC</t>
        </is>
      </c>
      <c r="E148" s="4" t="inlineStr">
        <is>
          <t xml:space="preserve">Tecnologías de la información, telecomunicaciones y radiodifusión / Equipos informáticos y accesorios / Computadores</t>
        </is>
      </c>
      <c r="F148" s="0">
        <v>1.0</v>
      </c>
      <c r="G148" s="0" t="inlineStr">
        <is>
          <t xml:space="preserve">Unidad</t>
        </is>
      </c>
      <c r="H148" s="4" t="inlineStr">
        <is>
          <t xml:space="preserve">EQUIPOS INFORMATICOS PARA LICEO YOBILO</t>
        </is>
      </c>
    </row>
    <row r="149">
      <c r="A149" s="0" t="inlineStr">
        <is>
          <t xml:space="preserve">2426-52-LR26</t>
        </is>
      </c>
      <c r="B149" s="4" t="inlineStr">
        <is>
          <t xml:space="preserve">DATACENTER ENLACES DE DATOS TELEFONIA E INTERNET</t>
        </is>
      </c>
      <c r="C149" s="0">
        <v>1</v>
      </c>
      <c r="D149" s="4" t="inlineStr">
        <is>
          <t xml:space="preserve">Centro de servicios de datos</t>
        </is>
      </c>
      <c r="E149" s="4" t="inlineStr">
        <is>
          <t xml:space="preserve">Servicios basados en ingeniería, ciencias sociales y tecnología de la información / Servicios informáticos / Servicios de datos</t>
        </is>
      </c>
      <c r="F149" s="0">
        <v>1.0</v>
      </c>
      <c r="G149" s="0" t="inlineStr">
        <is>
          <t xml:space="preserve">Unidad</t>
        </is>
      </c>
      <c r="H149" s="4"/>
    </row>
    <row r="150">
      <c r="A150" s="0" t="inlineStr">
        <is>
          <t xml:space="preserve">5416-43-L126</t>
        </is>
      </c>
      <c r="B150" s="4" t="inlineStr">
        <is>
          <t xml:space="preserve">Sistema Integral de Automatización Climática para Invernadero de Investigación</t>
        </is>
      </c>
      <c r="C150" s="0">
        <v>1</v>
      </c>
      <c r="D150" s="4" t="inlineStr">
        <is>
          <t xml:space="preserve">Servicios de reparación, mantenimiento o reparación de aire acondicionado</t>
        </is>
      </c>
      <c r="E150" s="4" t="inlineStr">
        <is>
          <t xml:space="preserve">Servicios de construcción y mantenimiento / Servicios de atención, mantenimiento y reparaciones de edificios / Gasfitería, calefacción y aire acondicionado</t>
        </is>
      </c>
      <c r="F150" s="0">
        <v>1.0</v>
      </c>
      <c r="G150" s="0" t="inlineStr">
        <is>
          <t xml:space="preserve">Unidad</t>
        </is>
      </c>
      <c r="H150" s="4" t="inlineStr">
        <is>
          <t xml:space="preserve">Sistema integral de automatización climática para invernadero de investigación</t>
        </is>
      </c>
    </row>
    <row r="151">
      <c r="A151" s="0" t="inlineStr">
        <is>
          <t xml:space="preserve">1020-38-LP26</t>
        </is>
      </c>
      <c r="B151" s="4" t="inlineStr">
        <is>
          <t xml:space="preserve">Adquisición de Plataforma Next Generation Firewall</t>
        </is>
      </c>
      <c r="C151" s="0">
        <v>1</v>
      </c>
      <c r="D151" s="4" t="inlineStr">
        <is>
          <t xml:space="preserve">Equipo de seguridad de red de firewall</t>
        </is>
      </c>
      <c r="E151" s="4" t="inlineStr">
        <is>
          <t xml:space="preserve">Tecnologías de la información, telecomunicaciones y radiodifusión / Equipos, plataformas y accesorios de redes multimedia, voz y datos / Equipos de seguridad de red</t>
        </is>
      </c>
      <c r="F151" s="0">
        <v>2.0</v>
      </c>
      <c r="G151" s="0" t="inlineStr">
        <is>
          <t xml:space="preserve">Unidad</t>
        </is>
      </c>
      <c r="H151" s="4" t="inlineStr">
        <is>
          <t xml:space="preserve">Equipos.</t>
        </is>
      </c>
    </row>
    <row r="152">
      <c r="A152" s="0" t="inlineStr">
        <is>
          <t xml:space="preserve">1020-38-LP26</t>
        </is>
      </c>
      <c r="B152" s="4" t="inlineStr">
        <is>
          <t xml:space="preserve">Adquisición de Plataforma Next Generation Firewall</t>
        </is>
      </c>
      <c r="C152" s="0">
        <v>2</v>
      </c>
      <c r="D152" s="4" t="inlineStr">
        <is>
          <t xml:space="preserve">Software de vigilancia de redes</t>
        </is>
      </c>
      <c r="E152" s="4" t="inlineStr">
        <is>
          <t xml:space="preserve">Tecnologías de la información, telecomunicaciones y radiodifusión / Software / Software de administración de redes</t>
        </is>
      </c>
      <c r="F152" s="0">
        <v>1.0</v>
      </c>
      <c r="G152" s="0" t="inlineStr">
        <is>
          <t xml:space="preserve">Unidad</t>
        </is>
      </c>
      <c r="H152" s="4" t="inlineStr">
        <is>
          <t xml:space="preserve">Licenciamiento de software para la Plataforma Next Generation Firewall (NGFW)</t>
        </is>
      </c>
    </row>
    <row r="153">
      <c r="A153" s="0" t="inlineStr">
        <is>
          <t xml:space="preserve">2770-154-LP26</t>
        </is>
      </c>
      <c r="B153" s="4" t="inlineStr">
        <is>
          <t xml:space="preserve">SERVICIOS DE TELEFONÍA Y DATOS MÓVILES</t>
        </is>
      </c>
      <c r="C153" s="0">
        <v>1</v>
      </c>
      <c r="D153" s="4" t="inlineStr">
        <is>
          <t xml:space="preserve">Servicios de telefonía móvil</t>
        </is>
      </c>
      <c r="E153" s="4" t="inlineStr">
        <is>
          <t xml:space="preserve">Servicios básicos y de información pública / Telecomunicaciones / Comunicaciones móviles</t>
        </is>
      </c>
      <c r="F153" s="0">
        <v>1.0</v>
      </c>
      <c r="G153" s="0" t="inlineStr">
        <is>
          <t xml:space="preserve">Global</t>
        </is>
      </c>
      <c r="H153" s="4" t="inlineStr">
        <is>
          <t xml:space="preserve">Servicio de telefonía y datos móviles, conforme a bases de licitación</t>
        </is>
      </c>
    </row>
    <row r="154">
      <c r="A154" s="0" t="inlineStr">
        <is>
          <t xml:space="preserve">2735-149-LR26</t>
        </is>
      </c>
      <c r="B154" s="4" t="inlineStr">
        <is>
          <t xml:space="preserve">Servicio de Software de Gestión y Registro Clinico</t>
        </is>
      </c>
      <c r="C154" s="0">
        <v>1</v>
      </c>
      <c r="D154" s="4" t="inlineStr">
        <is>
          <t xml:space="preserve">Software médico</t>
        </is>
      </c>
      <c r="E154" s="4" t="inlineStr">
        <is>
          <t xml:space="preserve">Tecnologías de la información, telecomunicaciones y radiodifusión / Software / Software específico para la industria</t>
        </is>
      </c>
      <c r="F154" s="0">
        <v>1.0</v>
      </c>
      <c r="G154" s="0" t="inlineStr">
        <is>
          <t xml:space="preserve">Unidad</t>
        </is>
      </c>
      <c r="H154" s="4" t="inlineStr">
        <is>
          <t xml:space="preserve">El objeto principal del servicio es proveer una plataforma tecnológica integral 100% web que dé estricto cumplimiento a lo dispuesto en la Ley N° 20.584 sobre Derechos y Deberes del Paciente, a la Ley N° 21.668 en materia de obligatoriedad e interoperabil</t>
        </is>
      </c>
    </row>
    <row r="155">
      <c r="A155" s="0" t="inlineStr">
        <is>
          <t xml:space="preserve">654478-7-LP26</t>
        </is>
      </c>
      <c r="B155" s="4" t="inlineStr">
        <is>
          <t xml:space="preserve">RENOVACIÓN DE SOPORTE DE LICENCIAS DE SOFTWARE</t>
        </is>
      </c>
      <c r="C155" s="0">
        <v>1</v>
      </c>
      <c r="D155" s="4" t="inlineStr">
        <is>
          <t xml:space="preserve">Software de gestión de licencias</t>
        </is>
      </c>
      <c r="E155" s="4" t="inlineStr">
        <is>
          <t xml:space="preserve">Tecnologías de la información, telecomunicaciones y radiodifusión / Software / Software de gestión</t>
        </is>
      </c>
      <c r="F155" s="0">
        <v>1.0</v>
      </c>
      <c r="G155" s="0" t="inlineStr">
        <is>
          <t xml:space="preserve">Unidad</t>
        </is>
      </c>
      <c r="H155" s="4" t="inlineStr">
        <is>
          <t xml:space="preserve">Línea N° 1: Renovación de Soporte de Licencias Backup Exec</t>
        </is>
      </c>
    </row>
    <row r="156">
      <c r="A156" s="0" t="inlineStr">
        <is>
          <t xml:space="preserve">654478-7-LP26</t>
        </is>
      </c>
      <c r="B156" s="4" t="inlineStr">
        <is>
          <t xml:space="preserve">RENOVACIÓN DE SOPORTE DE LICENCIAS DE SOFTWARE</t>
        </is>
      </c>
      <c r="C156" s="0">
        <v>2</v>
      </c>
      <c r="D156" s="4" t="inlineStr">
        <is>
          <t xml:space="preserve">Software de gestión de licencias</t>
        </is>
      </c>
      <c r="E156" s="4" t="inlineStr">
        <is>
          <t xml:space="preserve">Tecnologías de la información, telecomunicaciones y radiodifusión / Software / Software de gestión</t>
        </is>
      </c>
      <c r="F156" s="0">
        <v>1.0</v>
      </c>
      <c r="G156" s="0" t="inlineStr">
        <is>
          <t xml:space="preserve">Unidad</t>
        </is>
      </c>
      <c r="H156" s="4" t="inlineStr">
        <is>
          <t xml:space="preserve">Línea N°2: Renovación de suscripción de Soporte de Licencias InvGate Service-Desk</t>
        </is>
      </c>
    </row>
    <row r="157">
      <c r="A157" s="0" t="inlineStr">
        <is>
          <t xml:space="preserve">654478-7-LP26</t>
        </is>
      </c>
      <c r="B157" s="4" t="inlineStr">
        <is>
          <t xml:space="preserve">RENOVACIÓN DE SOPORTE DE LICENCIAS DE SOFTWARE</t>
        </is>
      </c>
      <c r="C157" s="0">
        <v>3</v>
      </c>
      <c r="D157" s="4" t="inlineStr">
        <is>
          <t xml:space="preserve">Software de gestión de licencias</t>
        </is>
      </c>
      <c r="E157" s="4" t="inlineStr">
        <is>
          <t xml:space="preserve">Tecnologías de la información, telecomunicaciones y radiodifusión / Software / Software de gestión</t>
        </is>
      </c>
      <c r="F157" s="0">
        <v>1.0</v>
      </c>
      <c r="G157" s="0" t="inlineStr">
        <is>
          <t xml:space="preserve">Unidad</t>
        </is>
      </c>
      <c r="H157" s="4" t="inlineStr">
        <is>
          <t xml:space="preserve">Línea N°3: Renovación de Suscripción de licencia API Google Maps</t>
        </is>
      </c>
    </row>
    <row r="158">
      <c r="A158" s="0" t="inlineStr">
        <is>
          <t xml:space="preserve">654478-7-LP26</t>
        </is>
      </c>
      <c r="B158" s="4" t="inlineStr">
        <is>
          <t xml:space="preserve">RENOVACIÓN DE SOPORTE DE LICENCIAS DE SOFTWARE</t>
        </is>
      </c>
      <c r="C158" s="0">
        <v>4</v>
      </c>
      <c r="D158" s="4" t="inlineStr">
        <is>
          <t xml:space="preserve">Software de gestión de licencias</t>
        </is>
      </c>
      <c r="E158" s="4" t="inlineStr">
        <is>
          <t xml:space="preserve">Tecnologías de la información, telecomunicaciones y radiodifusión / Software / Software de gestión</t>
        </is>
      </c>
      <c r="F158" s="0">
        <v>1.0</v>
      </c>
      <c r="G158" s="0" t="inlineStr">
        <is>
          <t xml:space="preserve">Unidad</t>
        </is>
      </c>
      <c r="H158" s="4" t="inlineStr">
        <is>
          <t xml:space="preserve">Línea N°4: Renovación de Suscripción de Soporte de Licencias Red Hat Linux</t>
        </is>
      </c>
    </row>
    <row r="159">
      <c r="A159" s="0" t="inlineStr">
        <is>
          <t xml:space="preserve">654478-7-LP26</t>
        </is>
      </c>
      <c r="B159" s="4" t="inlineStr">
        <is>
          <t xml:space="preserve">RENOVACIÓN DE SOPORTE DE LICENCIAS DE SOFTWARE</t>
        </is>
      </c>
      <c r="C159" s="0">
        <v>5</v>
      </c>
      <c r="D159" s="4" t="inlineStr">
        <is>
          <t xml:space="preserve">Software de gestión de licencias</t>
        </is>
      </c>
      <c r="E159" s="4" t="inlineStr">
        <is>
          <t xml:space="preserve">Tecnologías de la información, telecomunicaciones y radiodifusión / Software / Software de gestión</t>
        </is>
      </c>
      <c r="F159" s="0">
        <v>1.0</v>
      </c>
      <c r="G159" s="0" t="inlineStr">
        <is>
          <t xml:space="preserve">Unidad</t>
        </is>
      </c>
      <c r="H159" s="4" t="inlineStr">
        <is>
          <t xml:space="preserve">Línea N°5: Renovación y Adquisición de Suscripción, Soporte y Migración hacia Qlik Cloud Analytics</t>
        </is>
      </c>
    </row>
    <row r="160">
      <c r="A160" s="0" t="inlineStr">
        <is>
          <t xml:space="preserve">654478-7-LP26</t>
        </is>
      </c>
      <c r="B160" s="4" t="inlineStr">
        <is>
          <t xml:space="preserve">RENOVACIÓN DE SOPORTE DE LICENCIAS DE SOFTWARE</t>
        </is>
      </c>
      <c r="C160" s="0">
        <v>6</v>
      </c>
      <c r="D160" s="4" t="inlineStr">
        <is>
          <t xml:space="preserve">Software de gestión de licencias</t>
        </is>
      </c>
      <c r="E160" s="4" t="inlineStr">
        <is>
          <t xml:space="preserve">Tecnologías de la información, telecomunicaciones y radiodifusión / Software / Software de gestión</t>
        </is>
      </c>
      <c r="F160" s="0">
        <v>1.0</v>
      </c>
      <c r="G160" s="0" t="inlineStr">
        <is>
          <t xml:space="preserve">Unidad</t>
        </is>
      </c>
      <c r="H160" s="4" t="inlineStr">
        <is>
          <t xml:space="preserve">Línea N°6 Renovación de Suscripción de Licencia Tenable Nessus Expert</t>
        </is>
      </c>
    </row>
    <row r="161">
      <c r="A161" s="0" t="inlineStr">
        <is>
          <t xml:space="preserve">654478-7-LP26</t>
        </is>
      </c>
      <c r="B161" s="4" t="inlineStr">
        <is>
          <t xml:space="preserve">RENOVACIÓN DE SOPORTE DE LICENCIAS DE SOFTWARE</t>
        </is>
      </c>
      <c r="C161" s="0">
        <v>7</v>
      </c>
      <c r="D161" s="4" t="inlineStr">
        <is>
          <t xml:space="preserve">Software de gestión de licencias</t>
        </is>
      </c>
      <c r="E161" s="4" t="inlineStr">
        <is>
          <t xml:space="preserve">Tecnologías de la información, telecomunicaciones y radiodifusión / Software / Software de gestión</t>
        </is>
      </c>
      <c r="F161" s="0">
        <v>1.0</v>
      </c>
      <c r="G161" s="0" t="inlineStr">
        <is>
          <t xml:space="preserve">Unidad</t>
        </is>
      </c>
      <c r="H161" s="4" t="inlineStr">
        <is>
          <t xml:space="preserve">Línea N°7   Renovación de Suscripción y Soporte de Licencias Statistics Smart Pack</t>
        </is>
      </c>
    </row>
    <row r="162">
      <c r="A162" s="0" t="inlineStr">
        <is>
          <t xml:space="preserve">654478-7-LP26</t>
        </is>
      </c>
      <c r="B162" s="4" t="inlineStr">
        <is>
          <t xml:space="preserve">RENOVACIÓN DE SOPORTE DE LICENCIAS DE SOFTWARE</t>
        </is>
      </c>
      <c r="C162" s="0">
        <v>8</v>
      </c>
      <c r="D162" s="4" t="inlineStr">
        <is>
          <t xml:space="preserve">Software de gestión de licencias</t>
        </is>
      </c>
      <c r="E162" s="4" t="inlineStr">
        <is>
          <t xml:space="preserve">Tecnologías de la información, telecomunicaciones y radiodifusión / Software / Software de gestión</t>
        </is>
      </c>
      <c r="F162" s="0">
        <v>1.0</v>
      </c>
      <c r="G162" s="0" t="inlineStr">
        <is>
          <t xml:space="preserve">Unidad</t>
        </is>
      </c>
      <c r="H162" s="4" t="inlineStr">
        <is>
          <t xml:space="preserve">Línea N°8 Renovación de Suscripciones de Licencias Auto CAD LT 2024 Commercial New Single User ELD Annual</t>
        </is>
      </c>
    </row>
    <row r="163">
      <c r="A163" s="0" t="inlineStr">
        <is>
          <t xml:space="preserve">654478-7-LP26</t>
        </is>
      </c>
      <c r="B163" s="4" t="inlineStr">
        <is>
          <t xml:space="preserve">RENOVACIÓN DE SOPORTE DE LICENCIAS DE SOFTWARE</t>
        </is>
      </c>
      <c r="C163" s="0">
        <v>9</v>
      </c>
      <c r="D163" s="4" t="inlineStr">
        <is>
          <t xml:space="preserve">Software de gestión de licencias</t>
        </is>
      </c>
      <c r="E163" s="4" t="inlineStr">
        <is>
          <t xml:space="preserve">Tecnologías de la información, telecomunicaciones y radiodifusión / Software / Software de gestión</t>
        </is>
      </c>
      <c r="F163" s="0">
        <v>1.0</v>
      </c>
      <c r="G163" s="0" t="inlineStr">
        <is>
          <t xml:space="preserve">Unidad</t>
        </is>
      </c>
      <c r="H163" s="4" t="inlineStr">
        <is>
          <t xml:space="preserve">Línea N°9 Renovación de Suscripciones de Licencias Adobe Creative Cloud for Teams All multiple plataforms Multi Latin American Languages Subcription 1 User Level 11-9</t>
        </is>
      </c>
    </row>
    <row r="164">
      <c r="A164" s="0" t="inlineStr">
        <is>
          <t xml:space="preserve">654478-7-LP26</t>
        </is>
      </c>
      <c r="B164" s="4" t="inlineStr">
        <is>
          <t xml:space="preserve">RENOVACIÓN DE SOPORTE DE LICENCIAS DE SOFTWARE</t>
        </is>
      </c>
      <c r="C164" s="0">
        <v>10</v>
      </c>
      <c r="D164" s="4" t="inlineStr">
        <is>
          <t xml:space="preserve">Software de gestión de licencias</t>
        </is>
      </c>
      <c r="E164" s="4" t="inlineStr">
        <is>
          <t xml:space="preserve">Tecnologías de la información, telecomunicaciones y radiodifusión / Software / Software de gestión</t>
        </is>
      </c>
      <c r="F164" s="0">
        <v>1.0</v>
      </c>
      <c r="G164" s="0" t="inlineStr">
        <is>
          <t xml:space="preserve">Unidad</t>
        </is>
      </c>
      <c r="H164" s="4" t="inlineStr">
        <is>
          <t xml:space="preserve">Línea N°10 Renovación y Adquisición de Suscripciones de Licencias Miro Project Planner Business</t>
        </is>
      </c>
    </row>
    <row r="165">
      <c r="A165" s="0" t="inlineStr">
        <is>
          <t xml:space="preserve">654478-7-LP26</t>
        </is>
      </c>
      <c r="B165" s="4" t="inlineStr">
        <is>
          <t xml:space="preserve">RENOVACIÓN DE SOPORTE DE LICENCIAS DE SOFTWARE</t>
        </is>
      </c>
      <c r="C165" s="0">
        <v>11</v>
      </c>
      <c r="D165" s="4" t="inlineStr">
        <is>
          <t xml:space="preserve">Software de gestión de licencias</t>
        </is>
      </c>
      <c r="E165" s="4" t="inlineStr">
        <is>
          <t xml:space="preserve">Tecnologías de la información, telecomunicaciones y radiodifusión / Software / Software de gestión</t>
        </is>
      </c>
      <c r="F165" s="0">
        <v>1.0</v>
      </c>
      <c r="G165" s="0" t="inlineStr">
        <is>
          <t xml:space="preserve">Unidad</t>
        </is>
      </c>
      <c r="H165" s="4" t="inlineStr">
        <is>
          <t xml:space="preserve">Línea N°11 Renovación y Adquisición de Suscripciones de Licencias FIGMA Professional Full Seat</t>
        </is>
      </c>
    </row>
    <row r="166">
      <c r="A166" s="0" t="inlineStr">
        <is>
          <t xml:space="preserve">654478-7-LP26</t>
        </is>
      </c>
      <c r="B166" s="4" t="inlineStr">
        <is>
          <t xml:space="preserve">RENOVACIÓN DE SOPORTE DE LICENCIAS DE SOFTWARE</t>
        </is>
      </c>
      <c r="C166" s="0">
        <v>12</v>
      </c>
      <c r="D166" s="4" t="inlineStr">
        <is>
          <t xml:space="preserve">Software de gestión de licencias</t>
        </is>
      </c>
      <c r="E166" s="4" t="inlineStr">
        <is>
          <t xml:space="preserve">Tecnologías de la información, telecomunicaciones y radiodifusión / Software / Software de gestión</t>
        </is>
      </c>
      <c r="F166" s="0">
        <v>1.0</v>
      </c>
      <c r="G166" s="0" t="inlineStr">
        <is>
          <t xml:space="preserve">Unidad</t>
        </is>
      </c>
      <c r="H166" s="4" t="inlineStr">
        <is>
          <t xml:space="preserve">Línea N°12 Adquisición de Suscripción de Licencia SonarQube Developer Edition</t>
        </is>
      </c>
    </row>
    <row r="167">
      <c r="A167" s="0" t="inlineStr">
        <is>
          <t xml:space="preserve">654478-7-LP26</t>
        </is>
      </c>
      <c r="B167" s="4" t="inlineStr">
        <is>
          <t xml:space="preserve">RENOVACIÓN DE SOPORTE DE LICENCIAS DE SOFTWARE</t>
        </is>
      </c>
      <c r="C167" s="0">
        <v>13</v>
      </c>
      <c r="D167" s="4" t="inlineStr">
        <is>
          <t xml:space="preserve">Software de gestión de licencias</t>
        </is>
      </c>
      <c r="E167" s="4" t="inlineStr">
        <is>
          <t xml:space="preserve">Tecnologías de la información, telecomunicaciones y radiodifusión / Software / Software de gestión</t>
        </is>
      </c>
      <c r="F167" s="0">
        <v>1.0</v>
      </c>
      <c r="G167" s="0" t="inlineStr">
        <is>
          <t xml:space="preserve">Unidad</t>
        </is>
      </c>
      <c r="H167" s="4" t="inlineStr">
        <is>
          <t xml:space="preserve">Línea N°13 Adquisición de Suscripción de Licencias Claude AI Team Standard Seats</t>
        </is>
      </c>
    </row>
    <row r="168">
      <c r="A168" s="0" t="inlineStr">
        <is>
          <t xml:space="preserve">654478-7-LP26</t>
        </is>
      </c>
      <c r="B168" s="4" t="inlineStr">
        <is>
          <t xml:space="preserve">RENOVACIÓN DE SOPORTE DE LICENCIAS DE SOFTWARE</t>
        </is>
      </c>
      <c r="C168" s="0">
        <v>14</v>
      </c>
      <c r="D168" s="4" t="inlineStr">
        <is>
          <t xml:space="preserve">Software de gestión de licencias</t>
        </is>
      </c>
      <c r="E168" s="4" t="inlineStr">
        <is>
          <t xml:space="preserve">Tecnologías de la información, telecomunicaciones y radiodifusión / Software / Software de gestión</t>
        </is>
      </c>
      <c r="F168" s="0">
        <v>1.0</v>
      </c>
      <c r="G168" s="0" t="inlineStr">
        <is>
          <t xml:space="preserve">Unidad</t>
        </is>
      </c>
      <c r="H168" s="4" t="inlineStr">
        <is>
          <t xml:space="preserve">Línea N°14 Adquisición de suscripción de Licencias Claude Max 20x</t>
        </is>
      </c>
    </row>
    <row r="169">
      <c r="A169" s="0" t="inlineStr">
        <is>
          <t xml:space="preserve">4362-31-LP26</t>
        </is>
      </c>
      <c r="B169" s="4" t="inlineStr">
        <is>
          <t xml:space="preserve">Construcción Hitos de Acceso y Tótems Turísticos</t>
        </is>
      </c>
      <c r="C169" s="0">
        <v>1</v>
      </c>
      <c r="D169" s="4" t="inlineStr">
        <is>
          <t xml:space="preserve">Construcción de obras civiles</t>
        </is>
      </c>
      <c r="E169" s="4" t="inlineStr">
        <is>
          <t xml:space="preserve">Servicios de construcción y mantenimiento / Construcción de edificios en general / Construcción de obras civiles y infraestructuras</t>
        </is>
      </c>
      <c r="F169" s="0">
        <v>1.0</v>
      </c>
      <c r="G169" s="0" t="inlineStr">
        <is>
          <t xml:space="preserve">Unidad</t>
        </is>
      </c>
      <c r="H169" s="4" t="inlineStr">
        <is>
          <t xml:space="preserve">.</t>
        </is>
      </c>
    </row>
    <row r="170">
      <c r="A170" s="0" t="inlineStr">
        <is>
          <t xml:space="preserve">1602-21-LE26</t>
        </is>
      </c>
      <c r="B170" s="4" t="inlineStr">
        <is>
          <t xml:space="preserve">ADQUISICIÓN DE LICENCIAS DE SOFTWARE VEEAM PREMIUM</t>
        </is>
      </c>
      <c r="C170" s="0">
        <v>1</v>
      </c>
      <c r="D170" s="4" t="inlineStr">
        <is>
          <t xml:space="preserve">Software de gestión de licencias</t>
        </is>
      </c>
      <c r="E170" s="4" t="inlineStr">
        <is>
          <t xml:space="preserve">Tecnologías de la información, telecomunicaciones y radiodifusión / Software / Software de gestión</t>
        </is>
      </c>
      <c r="F170" s="0">
        <v>15.0</v>
      </c>
      <c r="G170" s="0" t="inlineStr">
        <is>
          <t xml:space="preserve">Unidad</t>
        </is>
      </c>
      <c r="H170" s="4" t="inlineStr">
        <is>
          <t xml:space="preserve">Licencias de Veeam Data Platform Premium (pack 10 instancias) que multiplicado por la cantidad serían 150 instancias (Según Bases Técnicas adjuntas)</t>
        </is>
      </c>
    </row>
    <row r="171">
      <c r="A171" s="0" t="inlineStr">
        <is>
          <t xml:space="preserve">1782-17-LE26</t>
        </is>
      </c>
      <c r="B171" s="4" t="inlineStr">
        <is>
          <t xml:space="preserve">Consultoría Plataforma Inteligencia Inversión FRPD</t>
        </is>
      </c>
      <c r="C171" s="0">
        <v>1</v>
      </c>
      <c r="D171" s="4" t="inlineStr">
        <is>
          <t xml:space="preserve">Asesorías Informáticas</t>
        </is>
      </c>
      <c r="E171" s="4" t="inlineStr">
        <is>
          <t xml:space="preserve">Servicios profesionales, administrativos y consultorías de gestión empresarial / Consultorías o asesorías en gestión empresarial / Servicios de consultoría en gestión de empresas</t>
        </is>
      </c>
      <c r="F171" s="0">
        <v>1.0</v>
      </c>
      <c r="G171" s="0" t="inlineStr">
        <is>
          <t xml:space="preserve">Unidad</t>
        </is>
      </c>
      <c r="H171" s="4" t="inlineStr">
        <is>
          <t xml:space="preserve">Consultoría para diagnóstico integral y propuesta para plataforma de inteligencia territorial para la inversión productiva del Royalty de la Región Antofagasta - FRPD</t>
        </is>
      </c>
    </row>
    <row r="172">
      <c r="A172" s="0" t="inlineStr">
        <is>
          <t xml:space="preserve">4127-51-LR26</t>
        </is>
      </c>
      <c r="B172" s="4" t="inlineStr">
        <is>
          <t xml:space="preserve">[DIGEDEP]Cursos M-Learning Plataforma SIAD 26-27</t>
        </is>
      </c>
      <c r="C172" s="0">
        <v>1</v>
      </c>
      <c r="D172" s="4" t="inlineStr">
        <is>
          <t xml:space="preserve">Capacitación a empleados</t>
        </is>
      </c>
      <c r="E172" s="4" t="inlineStr">
        <is>
          <t xml:space="preserve">Educación, formación, entrenamiento y capacitación / Sistemas educativos complementarios / Educación de adultos</t>
        </is>
      </c>
      <c r="F172" s="0">
        <v>1.0</v>
      </c>
      <c r="G172" s="0" t="inlineStr">
        <is>
          <t xml:space="preserve">Unidad</t>
        </is>
      </c>
      <c r="H172" s="4"/>
    </row>
    <row r="173">
      <c r="A173" s="0" t="inlineStr">
        <is>
          <t xml:space="preserve">652-61-LP26</t>
        </is>
      </c>
      <c r="B173" s="4" t="inlineStr">
        <is>
          <t xml:space="preserve">ARRIENDO SERVIDOR INFORMATICO PARA PROGRAMA SISSA.</t>
        </is>
      </c>
      <c r="C173" s="0">
        <v>1</v>
      </c>
      <c r="D173" s="4" t="inlineStr">
        <is>
          <t xml:space="preserve">Servidores</t>
        </is>
      </c>
      <c r="E173" s="4" t="inlineStr">
        <is>
          <t xml:space="preserve">Tecnologías de la información, telecomunicaciones y radiodifusión / Equipos informáticos y accesorios / Computadores</t>
        </is>
      </c>
      <c r="F173" s="0">
        <v>1.0</v>
      </c>
      <c r="G173" s="0" t="inlineStr">
        <is>
          <t xml:space="preserve">Unidad</t>
        </is>
      </c>
      <c r="H173" s="4" t="inlineStr">
        <is>
          <t xml:space="preserve">Convenio Arriendo Servidor Informático para el Programa SISSA por un Periodo de 36 meses, Servicio de Salud Arauco para el Servicio de Salud Araucanía Sur, Según Requerimientos Técnicos Adjuntos.</t>
        </is>
      </c>
    </row>
    <row r="174">
      <c r="A174" s="0" t="inlineStr">
        <is>
          <t xml:space="preserve">5403-11-LP26</t>
        </is>
      </c>
      <c r="B174" s="4" t="inlineStr">
        <is>
          <t xml:space="preserve">Diseño e instalación de gobernanza de datos</t>
        </is>
      </c>
      <c r="C174" s="0">
        <v>1</v>
      </c>
      <c r="D174" s="4" t="inlineStr">
        <is>
          <t xml:space="preserve">Asesorías en gestión estratégica</t>
        </is>
      </c>
      <c r="E174" s="4" t="inlineStr">
        <is>
          <t xml:space="preserve">Servicios profesionales, administrativos y consultorías de gestión empresarial / Consultorías o asesorías en gestión empresarial / Servicios de consultoría en gestión de empresas</t>
        </is>
      </c>
      <c r="F174" s="0">
        <v>1.0</v>
      </c>
      <c r="G174" s="0" t="inlineStr">
        <is>
          <t xml:space="preserve">Unidad</t>
        </is>
      </c>
      <c r="H174" s="4" t="inlineStr">
        <is>
          <t xml:space="preserve">Servicio de asesoría estratégica para el diseño e instalación inicial del modelo institucional de gobernanza y gestión de datos de la Comisión Nacional de Acreditación</t>
        </is>
      </c>
    </row>
    <row r="175">
      <c r="A175" s="0" t="inlineStr">
        <is>
          <t xml:space="preserve">2713-199-LE26</t>
        </is>
      </c>
      <c r="B175" s="4" t="inlineStr">
        <is>
          <t xml:space="preserve">Equipamiento informático para oficinas municipales</t>
        </is>
      </c>
      <c r="C175" s="0">
        <v>1</v>
      </c>
      <c r="D175" s="4" t="inlineStr">
        <is>
          <t xml:space="preserve">Notebook, laptop o computador portátil excepto Tablet PC</t>
        </is>
      </c>
      <c r="E175" s="4" t="inlineStr">
        <is>
          <t xml:space="preserve">Tecnologías de la información, telecomunicaciones y radiodifusión / Equipos informáticos y accesorios / Computadores</t>
        </is>
      </c>
      <c r="F175" s="0">
        <v>1.0</v>
      </c>
      <c r="G175" s="0" t="inlineStr">
        <is>
          <t xml:space="preserve">Unidad</t>
        </is>
      </c>
      <c r="H175" s="4" t="inlineStr">
        <is>
          <t xml:space="preserve">Notebook ofimática</t>
        </is>
      </c>
    </row>
    <row r="176">
      <c r="A176" s="0" t="inlineStr">
        <is>
          <t xml:space="preserve">2713-199-LE26</t>
        </is>
      </c>
      <c r="B176" s="4" t="inlineStr">
        <is>
          <t xml:space="preserve">Equipamiento informático para oficinas municipales</t>
        </is>
      </c>
      <c r="C176" s="0">
        <v>2</v>
      </c>
      <c r="D176" s="4" t="inlineStr">
        <is>
          <t xml:space="preserve">Notebook, laptop o computador portátil excepto Tablet PC</t>
        </is>
      </c>
      <c r="E176" s="4" t="inlineStr">
        <is>
          <t xml:space="preserve">Tecnologías de la información, telecomunicaciones y radiodifusión / Equipos informáticos y accesorios / Computadores</t>
        </is>
      </c>
      <c r="F176" s="0">
        <v>1.0</v>
      </c>
      <c r="G176" s="0" t="inlineStr">
        <is>
          <t xml:space="preserve">Unidad</t>
        </is>
      </c>
      <c r="H176" s="4" t="inlineStr">
        <is>
          <t xml:space="preserve">Notebook técnico</t>
        </is>
      </c>
    </row>
    <row r="177">
      <c r="A177" s="0" t="inlineStr">
        <is>
          <t xml:space="preserve">2713-199-LE26</t>
        </is>
      </c>
      <c r="B177" s="4" t="inlineStr">
        <is>
          <t xml:space="preserve">Equipamiento informático para oficinas municipales</t>
        </is>
      </c>
      <c r="C177" s="0">
        <v>3</v>
      </c>
      <c r="D177" s="4" t="inlineStr">
        <is>
          <t xml:space="preserve">Computadores personales</t>
        </is>
      </c>
      <c r="E177" s="4" t="inlineStr">
        <is>
          <t xml:space="preserve">Tecnologías de la información, telecomunicaciones y radiodifusión / Equipos informáticos y accesorios / Computadores</t>
        </is>
      </c>
      <c r="F177" s="0">
        <v>16.0</v>
      </c>
      <c r="G177" s="0" t="inlineStr">
        <is>
          <t xml:space="preserve">Unidad</t>
        </is>
      </c>
      <c r="H177" s="4" t="inlineStr">
        <is>
          <t xml:space="preserve">Computador AIO</t>
        </is>
      </c>
    </row>
    <row r="178">
      <c r="A178" s="0" t="inlineStr">
        <is>
          <t xml:space="preserve">2713-199-LE26</t>
        </is>
      </c>
      <c r="B178" s="4" t="inlineStr">
        <is>
          <t xml:space="preserve">Equipamiento informático para oficinas municipales</t>
        </is>
      </c>
      <c r="C178" s="0">
        <v>4</v>
      </c>
      <c r="D178" s="4" t="inlineStr">
        <is>
          <t xml:space="preserve">Impresoras de chorro de tinta</t>
        </is>
      </c>
      <c r="E178" s="4" t="inlineStr">
        <is>
          <t xml:space="preserve">Tecnologías de la información, telecomunicaciones y radiodifusión / Equipos informáticos y accesorios / Impresoras</t>
        </is>
      </c>
      <c r="F178" s="0">
        <v>9.0</v>
      </c>
      <c r="G178" s="0" t="inlineStr">
        <is>
          <t xml:space="preserve">Unidad</t>
        </is>
      </c>
      <c r="H178" s="4" t="inlineStr">
        <is>
          <t xml:space="preserve">Multifuncional tinta LAN</t>
        </is>
      </c>
    </row>
    <row r="179">
      <c r="A179" s="0" t="inlineStr">
        <is>
          <t xml:space="preserve">2713-199-LE26</t>
        </is>
      </c>
      <c r="B179" s="4" t="inlineStr">
        <is>
          <t xml:space="preserve">Equipamiento informático para oficinas municipales</t>
        </is>
      </c>
      <c r="C179" s="0">
        <v>5</v>
      </c>
      <c r="D179" s="4" t="inlineStr">
        <is>
          <t xml:space="preserve">Impresoras de chorro de tinta</t>
        </is>
      </c>
      <c r="E179" s="4" t="inlineStr">
        <is>
          <t xml:space="preserve">Tecnologías de la información, telecomunicaciones y radiodifusión / Equipos informáticos y accesorios / Impresoras</t>
        </is>
      </c>
      <c r="F179" s="0">
        <v>7.0</v>
      </c>
      <c r="G179" s="0" t="inlineStr">
        <is>
          <t xml:space="preserve">Unidad</t>
        </is>
      </c>
      <c r="H179" s="4" t="inlineStr">
        <is>
          <t xml:space="preserve">Multifuncional tinta USB</t>
        </is>
      </c>
    </row>
    <row r="180">
      <c r="A180" s="0" t="inlineStr">
        <is>
          <t xml:space="preserve">2713-199-LE26</t>
        </is>
      </c>
      <c r="B180" s="4" t="inlineStr">
        <is>
          <t xml:space="preserve">Equipamiento informático para oficinas municipales</t>
        </is>
      </c>
      <c r="C180" s="0">
        <v>6</v>
      </c>
      <c r="D180" s="4" t="inlineStr">
        <is>
          <t xml:space="preserve">Impresoras de chorro de tinta</t>
        </is>
      </c>
      <c r="E180" s="4" t="inlineStr">
        <is>
          <t xml:space="preserve">Tecnologías de la información, telecomunicaciones y radiodifusión / Equipos informáticos y accesorios / Impresoras</t>
        </is>
      </c>
      <c r="F180" s="0">
        <v>4.0</v>
      </c>
      <c r="G180" s="0" t="inlineStr">
        <is>
          <t xml:space="preserve">Unidad</t>
        </is>
      </c>
      <c r="H180" s="4" t="inlineStr">
        <is>
          <t xml:space="preserve">Multifuncional tinta WLAN</t>
        </is>
      </c>
    </row>
    <row r="181">
      <c r="A181" s="0" t="inlineStr">
        <is>
          <t xml:space="preserve">2713-199-LE26</t>
        </is>
      </c>
      <c r="B181" s="4" t="inlineStr">
        <is>
          <t xml:space="preserve">Equipamiento informático para oficinas municipales</t>
        </is>
      </c>
      <c r="C181" s="0">
        <v>7</v>
      </c>
      <c r="D181" s="4" t="inlineStr">
        <is>
          <t xml:space="preserve">Computadores portátiles tipo Tablet PC</t>
        </is>
      </c>
      <c r="E181" s="4" t="inlineStr">
        <is>
          <t xml:space="preserve">Tecnologías de la información, telecomunicaciones y radiodifusión / Equipos informáticos y accesorios / Computadores</t>
        </is>
      </c>
      <c r="F181" s="0">
        <v>1.0</v>
      </c>
      <c r="G181" s="0" t="inlineStr">
        <is>
          <t xml:space="preserve">Unidad</t>
        </is>
      </c>
      <c r="H181" s="4" t="inlineStr">
        <is>
          <t xml:space="preserve">Tablet</t>
        </is>
      </c>
    </row>
    <row r="182">
      <c r="A182" s="0" t="inlineStr">
        <is>
          <t xml:space="preserve">2713-199-LE26</t>
        </is>
      </c>
      <c r="B182" s="4" t="inlineStr">
        <is>
          <t xml:space="preserve">Equipamiento informático para oficinas municipales</t>
        </is>
      </c>
      <c r="C182" s="0">
        <v>8</v>
      </c>
      <c r="D182" s="4" t="inlineStr">
        <is>
          <t xml:space="preserve">Escáner</t>
        </is>
      </c>
      <c r="E182" s="4" t="inlineStr">
        <is>
          <t xml:space="preserve">Tecnologías de la información, telecomunicaciones y radiodifusión / Equipos informáticos y accesorios / Dispositivos informáticos de entrada de datos</t>
        </is>
      </c>
      <c r="F182" s="0">
        <v>7.0</v>
      </c>
      <c r="G182" s="0" t="inlineStr">
        <is>
          <t xml:space="preserve">Unidad</t>
        </is>
      </c>
      <c r="H182" s="4" t="inlineStr">
        <is>
          <t xml:space="preserve">Escáner LAN</t>
        </is>
      </c>
    </row>
    <row r="183">
      <c r="A183" s="0" t="inlineStr">
        <is>
          <t xml:space="preserve">2713-199-LE26</t>
        </is>
      </c>
      <c r="B183" s="4" t="inlineStr">
        <is>
          <t xml:space="preserve">Equipamiento informático para oficinas municipales</t>
        </is>
      </c>
      <c r="C183" s="0">
        <v>9</v>
      </c>
      <c r="D183" s="4" t="inlineStr">
        <is>
          <t xml:space="preserve">Escáner</t>
        </is>
      </c>
      <c r="E183" s="4" t="inlineStr">
        <is>
          <t xml:space="preserve">Tecnologías de la información, telecomunicaciones y radiodifusión / Equipos informáticos y accesorios / Dispositivos informáticos de entrada de datos</t>
        </is>
      </c>
      <c r="F183" s="0">
        <v>10.0</v>
      </c>
      <c r="G183" s="0" t="inlineStr">
        <is>
          <t xml:space="preserve">Unidad</t>
        </is>
      </c>
      <c r="H183" s="4" t="inlineStr">
        <is>
          <t xml:space="preserve">Escáner USB</t>
        </is>
      </c>
    </row>
    <row r="184">
      <c r="A184" s="0" t="inlineStr">
        <is>
          <t xml:space="preserve">2713-199-LE26</t>
        </is>
      </c>
      <c r="B184" s="4" t="inlineStr">
        <is>
          <t xml:space="preserve">Equipamiento informático para oficinas municipales</t>
        </is>
      </c>
      <c r="C184" s="0">
        <v>10</v>
      </c>
      <c r="D184" s="4" t="inlineStr">
        <is>
          <t xml:space="preserve">Monitores o pantallas de visualización en cristal líquido (LCD)</t>
        </is>
      </c>
      <c r="E184" s="4" t="inlineStr">
        <is>
          <t xml:space="preserve">Tecnologías de la información, telecomunicaciones y radiodifusión / Equipos informáticos y accesorios / Pantallas o monitores de computador</t>
        </is>
      </c>
      <c r="F184" s="0">
        <v>2.0</v>
      </c>
      <c r="G184" s="0" t="inlineStr">
        <is>
          <t xml:space="preserve">Unidad</t>
        </is>
      </c>
      <c r="H184" s="4" t="inlineStr">
        <is>
          <t xml:space="preserve">Monitor 27”</t>
        </is>
      </c>
    </row>
    <row r="185">
      <c r="A185" s="0" t="inlineStr">
        <is>
          <t xml:space="preserve">2713-199-LE26</t>
        </is>
      </c>
      <c r="B185" s="4" t="inlineStr">
        <is>
          <t xml:space="preserve">Equipamiento informático para oficinas municipales</t>
        </is>
      </c>
      <c r="C185" s="0">
        <v>11</v>
      </c>
      <c r="D185" s="4" t="inlineStr">
        <is>
          <t xml:space="preserve">Monitores o pantallas de visualización en cristal líquido (LCD)</t>
        </is>
      </c>
      <c r="E185" s="4" t="inlineStr">
        <is>
          <t xml:space="preserve">Tecnologías de la información, telecomunicaciones y radiodifusión / Equipos informáticos y accesorios / Pantallas o monitores de computador</t>
        </is>
      </c>
      <c r="F185" s="0">
        <v>5.0</v>
      </c>
      <c r="G185" s="0" t="inlineStr">
        <is>
          <t xml:space="preserve">Unidad</t>
        </is>
      </c>
      <c r="H185" s="4" t="inlineStr">
        <is>
          <t xml:space="preserve">Monitor 24”</t>
        </is>
      </c>
    </row>
    <row r="186">
      <c r="A186" s="0" t="inlineStr">
        <is>
          <t xml:space="preserve">2713-199-LE26</t>
        </is>
      </c>
      <c r="B186" s="4" t="inlineStr">
        <is>
          <t xml:space="preserve">Equipamiento informático para oficinas municipales</t>
        </is>
      </c>
      <c r="C186" s="0">
        <v>12</v>
      </c>
      <c r="D186" s="4" t="inlineStr">
        <is>
          <t xml:space="preserve">Monitores o pantallas de visualización en cristal líquido (LCD)</t>
        </is>
      </c>
      <c r="E186" s="4" t="inlineStr">
        <is>
          <t xml:space="preserve">Tecnologías de la información, telecomunicaciones y radiodifusión / Equipos informáticos y accesorios / Pantallas o monitores de computador</t>
        </is>
      </c>
      <c r="F186" s="0">
        <v>1.0</v>
      </c>
      <c r="G186" s="0" t="inlineStr">
        <is>
          <t xml:space="preserve">Unidad</t>
        </is>
      </c>
      <c r="H186" s="4" t="inlineStr">
        <is>
          <t xml:space="preserve">Monitor 24” USB-C</t>
        </is>
      </c>
    </row>
    <row r="187">
      <c r="A187" s="0" t="inlineStr">
        <is>
          <t xml:space="preserve">2713-199-LE26</t>
        </is>
      </c>
      <c r="B187" s="4" t="inlineStr">
        <is>
          <t xml:space="preserve">Equipamiento informático para oficinas municipales</t>
        </is>
      </c>
      <c r="C187" s="0">
        <v>13</v>
      </c>
      <c r="D187" s="4" t="inlineStr">
        <is>
          <t xml:space="preserve">Equipos multimedia</t>
        </is>
      </c>
      <c r="E187" s="4" t="inlineStr">
        <is>
          <t xml:space="preserve">Tecnologías de la información, telecomunicaciones y radiodifusión / Equipos informáticos y accesorios / Accesorios de computador</t>
        </is>
      </c>
      <c r="F187" s="0">
        <v>6.0</v>
      </c>
      <c r="G187" s="0" t="inlineStr">
        <is>
          <t xml:space="preserve">Unidad</t>
        </is>
      </c>
      <c r="H187" s="4" t="inlineStr">
        <is>
          <t xml:space="preserve">Proyector</t>
        </is>
      </c>
    </row>
    <row r="188">
      <c r="A188" s="0" t="inlineStr">
        <is>
          <t xml:space="preserve">1447930-15-LP26</t>
        </is>
      </c>
      <c r="B188" s="4" t="inlineStr">
        <is>
          <t xml:space="preserve">SSP - Plataforma de virtualización On Premise</t>
        </is>
      </c>
      <c r="C188" s="0">
        <v>1</v>
      </c>
      <c r="D188" s="4" t="inlineStr">
        <is>
          <t xml:space="preserve">Software de interconectividad de plataformas</t>
        </is>
      </c>
      <c r="E188" s="4" t="inlineStr">
        <is>
          <t xml:space="preserve">Tecnologías de la información, telecomunicaciones y radiodifusión / Software / Software para trabajo en redes</t>
        </is>
      </c>
      <c r="F188" s="0">
        <v>1.0</v>
      </c>
      <c r="G188" s="0" t="inlineStr">
        <is>
          <t xml:space="preserve">Unidad</t>
        </is>
      </c>
      <c r="H188" s="4" t="inlineStr">
        <is>
          <t xml:space="preserve">ADQUISICIÓN E IMPLEMENTACIÓN DE EQUIPAMIENTO, SOFTWARE, PUESTA EN MARCHA Y PASO APRODUCCIÓN DE UNA PLATAFORMA DE VIRTUALIZACIÓN ON PREMISE PARA LA SUBSECRETARÍA DESEGURIDAD PÚBLICA</t>
        </is>
      </c>
    </row>
    <row r="189">
      <c r="A189" s="0" t="inlineStr">
        <is>
          <t xml:space="preserve">1232565-42-LP26</t>
        </is>
      </c>
      <c r="B189" s="4" t="inlineStr">
        <is>
          <t xml:space="preserve">Mesa Digital de Disección Anatómica Convertible</t>
        </is>
      </c>
      <c r="C189" s="0">
        <v>1</v>
      </c>
      <c r="D189" s="4" t="inlineStr">
        <is>
          <t xml:space="preserve">Equipos para formación y estudios de medicina</t>
        </is>
      </c>
      <c r="E189" s="4" t="inlineStr">
        <is>
          <t xml:space="preserve">Equipamiento y suministros médicos / Suministros para formación y estudios de medicina / Ayudas para la formación médica</t>
        </is>
      </c>
      <c r="F189" s="0">
        <v>1.0</v>
      </c>
      <c r="G189" s="0" t="inlineStr">
        <is>
          <t xml:space="preserve">Unidad</t>
        </is>
      </c>
      <c r="H189" s="4" t="inlineStr">
        <is>
          <t xml:space="preserve">Mesa de Anatomía de Disección Virtual ANATOMAGE o su equivalente técnico.</t>
        </is>
      </c>
    </row>
    <row r="190">
      <c r="A190" s="0" t="inlineStr">
        <is>
          <t xml:space="preserve">976-15-O126</t>
        </is>
      </c>
      <c r="B190" s="4" t="inlineStr">
        <is>
          <t xml:space="preserve">Ampliación Plataformas Comercial y General Ad. El Loa</t>
        </is>
      </c>
      <c r="C190" s="0">
        <v>1</v>
      </c>
      <c r="D190" s="4" t="inlineStr">
        <is>
          <t xml:space="preserve">Licitación Pública de Obra</t>
        </is>
      </c>
      <c r="E190" s="4" t="inlineStr">
        <is>
          <t xml:space="preserve">Consultoria / Consultoria / Planificación y Factibilidad</t>
        </is>
      </c>
      <c r="F190" s="0">
        <v>1.0</v>
      </c>
      <c r="G190" s="0" t="inlineStr">
        <is>
          <t xml:space="preserve">Unidad</t>
        </is>
      </c>
      <c r="H190" s="4" t="inlineStr">
        <is>
          <t xml:space="preserve">Licitación Pública de Obra</t>
        </is>
      </c>
    </row>
    <row r="191">
      <c r="A191" s="0" t="inlineStr">
        <is>
          <t xml:space="preserve">1020-54-LP26</t>
        </is>
      </c>
      <c r="B191" s="4" t="inlineStr">
        <is>
          <t xml:space="preserve">Administración y Mantención de Bases de Datos MOP</t>
        </is>
      </c>
      <c r="C191" s="0">
        <v>1</v>
      </c>
      <c r="D191" s="4" t="inlineStr">
        <is>
          <t xml:space="preserve">Administradores de bases de datos</t>
        </is>
      </c>
      <c r="E191" s="4" t="inlineStr">
        <is>
          <t xml:space="preserve">Servicios profesionales, administrativos y consultorías de gestión empresarial / Servicios de recursos humanos / Contratación de personal</t>
        </is>
      </c>
      <c r="F191" s="0">
        <v>24.0</v>
      </c>
      <c r="G191" s="0" t="inlineStr">
        <is>
          <t xml:space="preserve">Mes</t>
        </is>
      </c>
      <c r="H191" s="4" t="inlineStr">
        <is>
          <t xml:space="preserve">SERVICIO DE ADMINISTRACIÓN  Y  MANTENCION DE BASES DE DATOS  ORACLE, MS SQL SERVER, POSTGRESQL y MySQL (24 meses)</t>
        </is>
      </c>
    </row>
    <row r="192">
      <c r="A192" s="0" t="inlineStr">
        <is>
          <t xml:space="preserve">605-17-LP26</t>
        </is>
      </c>
      <c r="B192" s="4" t="inlineStr">
        <is>
          <t xml:space="preserve">TELEFONÍA FIJA Y RED PRIVADA DE DATOS</t>
        </is>
      </c>
      <c r="C192" s="0">
        <v>1</v>
      </c>
      <c r="D192" s="4" t="inlineStr">
        <is>
          <t xml:space="preserve">Servicio telefónico local</t>
        </is>
      </c>
      <c r="E192" s="4" t="inlineStr">
        <is>
          <t xml:space="preserve">Servicios básicos y de información pública / Telecomunicaciones / Telefonía local y de larga distancia</t>
        </is>
      </c>
      <c r="F192" s="0">
        <v>1.0</v>
      </c>
      <c r="G192" s="0" t="inlineStr">
        <is>
          <t xml:space="preserve">Unidad</t>
        </is>
      </c>
      <c r="H192" s="4" t="inlineStr">
        <is>
          <t xml:space="preserve">Se requiere contratar mediante Licitación Pública el Servicio de Telefonía fija con enlace dedicado SIP Trunk, para las comunicaciones internas. El servicio para contratar también comprende la habilitación de acceso a comunicaciones hacia equipos telefóni</t>
        </is>
      </c>
    </row>
    <row r="193">
      <c r="A193" s="0" t="inlineStr">
        <is>
          <t xml:space="preserve">605-17-LP26</t>
        </is>
      </c>
      <c r="B193" s="4" t="inlineStr">
        <is>
          <t xml:space="preserve">TELEFONÍA FIJA Y RED PRIVADA DE DATOS</t>
        </is>
      </c>
      <c r="C193" s="0">
        <v>2</v>
      </c>
      <c r="D193" s="4" t="inlineStr">
        <is>
          <t xml:space="preserve">Servicio de comunicación IP</t>
        </is>
      </c>
      <c r="E193" s="4" t="inlineStr">
        <is>
          <t xml:space="preserve">Servicios básicos y de información pública / Telecomunicaciones / Telefonía local y de larga distancia</t>
        </is>
      </c>
      <c r="F193" s="0">
        <v>1.0</v>
      </c>
      <c r="G193" s="0" t="inlineStr">
        <is>
          <t xml:space="preserve">Unidad</t>
        </is>
      </c>
      <c r="H193" s="4" t="inlineStr">
        <is>
          <t xml:space="preserve">Se requiere contratar el servicio de red privada de datos mediante la tecnología de RED IP que considere calidad de servicio para audio y vídeo, y que brinde Housing a su solución de contingencia, conforme a los parámetros y requerimientos señalados en es</t>
        </is>
      </c>
    </row>
    <row r="194">
      <c r="A194" s="0" t="inlineStr">
        <is>
          <t xml:space="preserve">1113265-17-LE26</t>
        </is>
      </c>
      <c r="B194" s="4" t="inlineStr">
        <is>
          <t xml:space="preserve">PLATAFORMA DE GESTIÓN ESTRATÉGICA</t>
        </is>
      </c>
      <c r="C194" s="0">
        <v>1</v>
      </c>
      <c r="D194" s="4" t="inlineStr">
        <is>
          <t xml:space="preserve">Software del sistema de administración de bases de datos</t>
        </is>
      </c>
      <c r="E194" s="4" t="inlineStr">
        <is>
          <t xml:space="preserve">Tecnologías de la información, telecomunicaciones y radiodifusión / Software / Software de consultas y gestión de datos</t>
        </is>
      </c>
      <c r="F194" s="0">
        <v>1.0</v>
      </c>
      <c r="G194" s="0" t="inlineStr">
        <is>
          <t xml:space="preserve">Unidad</t>
        </is>
      </c>
      <c r="H194" s="4" t="inlineStr">
        <is>
          <t xml:space="preserve">PLATAFORMA DE GESTIÓN ESTRATÉGICA DE LA PERMANENCIA ESTUDIANTIL PARA EL CENTRO DE FORMACIÓN TÉCNICA ESTATAL DE LA REGIÓN DE ANTOFAGASTA</t>
        </is>
      </c>
    </row>
    <row r="195">
      <c r="A195" s="0" t="inlineStr">
        <is>
          <t xml:space="preserve">5126-4-LE26</t>
        </is>
      </c>
      <c r="B195" s="4" t="inlineStr">
        <is>
          <t xml:space="preserve">Cambio de tablero y protecciones eléctricas del CCN</t>
        </is>
      </c>
      <c r="C195" s="0">
        <v>1</v>
      </c>
      <c r="D195" s="4" t="inlineStr">
        <is>
          <t xml:space="preserve">Paneles de control eléctrico para generadores</t>
        </is>
      </c>
      <c r="E195" s="4" t="inlineStr">
        <is>
          <t xml:space="preserve">Maquinaria para generación y distribución de energía / Generación de energía / Equipo para control de producción de energía</t>
        </is>
      </c>
      <c r="F195" s="0">
        <v>1.0</v>
      </c>
      <c r="G195" s="0" t="inlineStr">
        <is>
          <t xml:space="preserve">Unidad</t>
        </is>
      </c>
      <c r="H195" s="4" t="inlineStr">
        <is>
          <t xml:space="preserve">Cambio de tablero y protecciones eléctricas pertenecientes al segundo piso del Comando Conjunto Norte, en consideración al Anexo N° 1 "Bases Técnicas".</t>
        </is>
      </c>
    </row>
    <row r="196">
      <c r="A196" s="0" t="inlineStr">
        <is>
          <t xml:space="preserve">619-13-LP26</t>
        </is>
      </c>
      <c r="B196" s="4" t="inlineStr">
        <is>
          <t xml:space="preserve">Suscripción de licencias IA generativa Claude.</t>
        </is>
      </c>
      <c r="C196" s="0">
        <v>1</v>
      </c>
      <c r="D196" s="4" t="inlineStr">
        <is>
          <t xml:space="preserve">Software de gestión de licencias</t>
        </is>
      </c>
      <c r="E196" s="4" t="inlineStr">
        <is>
          <t xml:space="preserve">Tecnologías de la información, telecomunicaciones y radiodifusión / Software / Software de gestión</t>
        </is>
      </c>
      <c r="F196" s="0">
        <v>1.0</v>
      </c>
      <c r="G196" s="0" t="inlineStr">
        <is>
          <t xml:space="preserve">Unidad no definida</t>
        </is>
      </c>
      <c r="H196" s="4" t="inlineStr">
        <is>
          <t xml:space="preserve">124 licencias de IA generativa Claude o equivalente: 47 Premium y 77 Standard, con vigencia de 12 meses.</t>
        </is>
      </c>
    </row>
    <row r="197">
      <c r="A197" s="0" t="inlineStr">
        <is>
          <t xml:space="preserve">1177296-25-LP26</t>
        </is>
      </c>
      <c r="B197" s="4" t="inlineStr">
        <is>
          <t xml:space="preserve">CONTRATACIÓN DESERVICIOS DE INSTALACIÓN IMPLEMENTACIÓN ARRIENDO SOPORTE MANTENCIÓN Y OPERACIÓN DE SOFTWARE Y HARDWARE DE UN SISTEMA DE GESTIÓN DE ASISTENCIA RELOJES CONTROL Y MARCAJE REMOTO CON GEORREFERENCIACIÓN PARA EL SERVICIO NACIONAL DE PRO</t>
        </is>
      </c>
      <c r="C197" s="0">
        <v>1</v>
      </c>
      <c r="D197" s="4" t="inlineStr">
        <is>
          <t xml:space="preserve">Reloj de control</t>
        </is>
      </c>
      <c r="E197" s="4" t="inlineStr">
        <is>
          <t xml:space="preserve">Equipos, accesorios y suministros de oficina / Maquinarias, suministros y accesorios de oficina / Máquinas y accesorios para registro de hora y asistencia en la oficina</t>
        </is>
      </c>
      <c r="F197" s="0">
        <v>1.0</v>
      </c>
      <c r="G197" s="0" t="inlineStr">
        <is>
          <t xml:space="preserve">Global</t>
        </is>
      </c>
      <c r="H197" s="4" t="inlineStr">
        <is>
          <t xml:space="preserve">CONTRATACIÓN  SERVICIOS DE INSTALACIÓN, IMPLEMENTACIÓN, ARRIENDO, SOPORTE, MANTENCIÓN Y OPERACIÓN DE SOFTWARE Y HARDWARE DE UN SISTEMA DE GESTIÓN DE ASISTENCIA, RELOJES CONTROL Y MARCAJE REMOTO CON GEORREFERENCIACIÓN PARA EL SERVICIO NACIONAL DE PROTECCIÓ</t>
        </is>
      </c>
    </row>
    <row r="198">
      <c r="A198" s="0" t="inlineStr">
        <is>
          <t xml:space="preserve">2421-52-LR26</t>
        </is>
      </c>
      <c r="B198" s="4" t="inlineStr">
        <is>
          <t xml:space="preserve">SUMINISTRO SERVICIO DE TELECOMUNICACIONES DATOS Y VOZ</t>
        </is>
      </c>
      <c r="C198" s="0">
        <v>1</v>
      </c>
      <c r="D198" s="4" t="inlineStr">
        <is>
          <t xml:space="preserve">Servicio telefónico local</t>
        </is>
      </c>
      <c r="E198" s="4" t="inlineStr">
        <is>
          <t xml:space="preserve">Servicios básicos y de información pública / Telecomunicaciones / Telefonía local y de larga distancia</t>
        </is>
      </c>
      <c r="F198" s="0">
        <v>1.0</v>
      </c>
      <c r="G198" s="0" t="inlineStr">
        <is>
          <t xml:space="preserve">Unidad</t>
        </is>
      </c>
      <c r="H198" s="4" t="inlineStr">
        <is>
          <t xml:space="preserve">Valor total neto mensual (sin impuesto) por los servicios de red de datos, Internet en red de datos, sistema de comunicación de voz y otros, según especificaciones técnicas adjuntas (Anexo Nº8). VER FORMATO ANEXO Nº4.</t>
        </is>
      </c>
    </row>
    <row r="199">
      <c r="A199" s="0" t="inlineStr">
        <is>
          <t xml:space="preserve">2421-52-LR26</t>
        </is>
      </c>
      <c r="B199" s="4" t="inlineStr">
        <is>
          <t xml:space="preserve">SUMINISTRO SERVICIO DE TELECOMUNICACIONES DATOS Y VOZ</t>
        </is>
      </c>
      <c r="C199" s="0">
        <v>2</v>
      </c>
      <c r="D199" s="4" t="inlineStr">
        <is>
          <t xml:space="preserve">Servicio telefónico local</t>
        </is>
      </c>
      <c r="E199" s="4" t="inlineStr">
        <is>
          <t xml:space="preserve">Servicios básicos y de información pública / Telecomunicaciones / Telefonía local y de larga distancia</t>
        </is>
      </c>
      <c r="F199" s="0">
        <v>1.0</v>
      </c>
      <c r="G199" s="0" t="inlineStr">
        <is>
          <t xml:space="preserve">Unidad</t>
        </is>
      </c>
      <c r="H199" s="4" t="inlineStr">
        <is>
          <t xml:space="preserve">Valor Total Neto Cobro Inicial correspondiente a la habilitación y puesta en marcha de los Servicios, cobro aplicado por única vez.</t>
        </is>
      </c>
    </row>
    <row r="200">
      <c r="A200" s="0" t="inlineStr">
        <is>
          <t xml:space="preserve">594965-31-LE26</t>
        </is>
      </c>
      <c r="B200" s="4" t="inlineStr">
        <is>
          <t xml:space="preserve">INSUMOS INFORMATICOS PARA REGION DE OHIGGINS</t>
        </is>
      </c>
      <c r="C200" s="0">
        <v>1</v>
      </c>
      <c r="D200" s="4" t="inlineStr">
        <is>
          <t xml:space="preserve">Tóner</t>
        </is>
      </c>
      <c r="E200" s="4" t="inlineStr">
        <is>
          <t xml:space="preserve">Equipos, accesorios y suministros de oficina / Maquinarias, suministros y accesorios de oficina / Suministros para impresora, fax y fotocopiadora</t>
        </is>
      </c>
      <c r="F200" s="0">
        <v>124.0</v>
      </c>
      <c r="G200" s="0" t="inlineStr">
        <is>
          <t xml:space="preserve">Unidad</t>
        </is>
      </c>
      <c r="H200" s="4" t="inlineStr">
        <is>
          <t xml:space="preserve">Tóner HP 83A o equivalente
SEGUN RESOLUCION TECNICA NUMERAL 3</t>
        </is>
      </c>
    </row>
    <row r="201">
      <c r="A201" s="0" t="inlineStr">
        <is>
          <t xml:space="preserve">594965-31-LE26</t>
        </is>
      </c>
      <c r="B201" s="4" t="inlineStr">
        <is>
          <t xml:space="preserve">INSUMOS INFORMATICOS PARA REGION DE OHIGGINS</t>
        </is>
      </c>
      <c r="C201" s="0">
        <v>2</v>
      </c>
      <c r="D201" s="4" t="inlineStr">
        <is>
          <t xml:space="preserve">Tóner</t>
        </is>
      </c>
      <c r="E201" s="4" t="inlineStr">
        <is>
          <t xml:space="preserve">Equipos, accesorios y suministros de oficina / Maquinarias, suministros y accesorios de oficina / Suministros para impresora, fax y fotocopiadora</t>
        </is>
      </c>
      <c r="F201" s="0">
        <v>139.0</v>
      </c>
      <c r="G201" s="0" t="inlineStr">
        <is>
          <t xml:space="preserve">Unidad</t>
        </is>
      </c>
      <c r="H201" s="4" t="inlineStr">
        <is>
          <t xml:space="preserve">Tóner HP 85A o equivalente
SEGUN RESOLUCION TECNICA NUMERAL 3</t>
        </is>
      </c>
    </row>
    <row r="202">
      <c r="A202" s="0" t="inlineStr">
        <is>
          <t xml:space="preserve">594965-31-LE26</t>
        </is>
      </c>
      <c r="B202" s="4" t="inlineStr">
        <is>
          <t xml:space="preserve">INSUMOS INFORMATICOS PARA REGION DE OHIGGINS</t>
        </is>
      </c>
      <c r="C202" s="0">
        <v>3</v>
      </c>
      <c r="D202" s="4" t="inlineStr">
        <is>
          <t xml:space="preserve">Tóner</t>
        </is>
      </c>
      <c r="E202" s="4" t="inlineStr">
        <is>
          <t xml:space="preserve">Equipos, accesorios y suministros de oficina / Maquinarias, suministros y accesorios de oficina / Suministros para impresora, fax y fotocopiadora</t>
        </is>
      </c>
      <c r="F202" s="0">
        <v>57.0</v>
      </c>
      <c r="G202" s="0" t="inlineStr">
        <is>
          <t xml:space="preserve">Unidad</t>
        </is>
      </c>
      <c r="H202" s="4" t="inlineStr">
        <is>
          <t xml:space="preserve">Tóner HP 105A o equivalente
SEGUN RESOLUCION TECNICA NUMERAL 3</t>
        </is>
      </c>
    </row>
    <row r="203">
      <c r="A203" s="0" t="inlineStr">
        <is>
          <t xml:space="preserve">594965-31-LE26</t>
        </is>
      </c>
      <c r="B203" s="4" t="inlineStr">
        <is>
          <t xml:space="preserve">INSUMOS INFORMATICOS PARA REGION DE OHIGGINS</t>
        </is>
      </c>
      <c r="C203" s="0">
        <v>4</v>
      </c>
      <c r="D203" s="4" t="inlineStr">
        <is>
          <t xml:space="preserve">Tóner</t>
        </is>
      </c>
      <c r="E203" s="4" t="inlineStr">
        <is>
          <t xml:space="preserve">Equipos, accesorios y suministros de oficina / Maquinarias, suministros y accesorios de oficina / Suministros para impresora, fax y fotocopiadora</t>
        </is>
      </c>
      <c r="F203" s="0">
        <v>17.0</v>
      </c>
      <c r="G203" s="0" t="inlineStr">
        <is>
          <t xml:space="preserve">Unidad</t>
        </is>
      </c>
      <c r="H203" s="4" t="inlineStr">
        <is>
          <t xml:space="preserve">Tóner HP 151A o equivalente
SEGUN RESOLUCION TECNICA NUMERAL 3</t>
        </is>
      </c>
    </row>
    <row r="204">
      <c r="A204" s="0" t="inlineStr">
        <is>
          <t xml:space="preserve">594965-31-LE26</t>
        </is>
      </c>
      <c r="B204" s="4" t="inlineStr">
        <is>
          <t xml:space="preserve">INSUMOS INFORMATICOS PARA REGION DE OHIGGINS</t>
        </is>
      </c>
      <c r="C204" s="0">
        <v>5</v>
      </c>
      <c r="D204" s="4" t="inlineStr">
        <is>
          <t xml:space="preserve">Tóner</t>
        </is>
      </c>
      <c r="E204" s="4" t="inlineStr">
        <is>
          <t xml:space="preserve">Equipos, accesorios y suministros de oficina / Maquinarias, suministros y accesorios de oficina / Suministros para impresora, fax y fotocopiadora</t>
        </is>
      </c>
      <c r="F204" s="0">
        <v>2.0</v>
      </c>
      <c r="G204" s="0" t="inlineStr">
        <is>
          <t xml:space="preserve">Unidad</t>
        </is>
      </c>
      <c r="H204" s="4" t="inlineStr">
        <is>
          <t xml:space="preserve">Tóner TN-1060 Negro o equivalente
SEGUN RESOLUCION TECNICA NUMERAL 3</t>
        </is>
      </c>
    </row>
    <row r="205">
      <c r="A205" s="0" t="inlineStr">
        <is>
          <t xml:space="preserve">594965-31-LE26</t>
        </is>
      </c>
      <c r="B205" s="4" t="inlineStr">
        <is>
          <t xml:space="preserve">INSUMOS INFORMATICOS PARA REGION DE OHIGGINS</t>
        </is>
      </c>
      <c r="C205" s="0">
        <v>6</v>
      </c>
      <c r="D205" s="4" t="inlineStr">
        <is>
          <t xml:space="preserve">Tóner</t>
        </is>
      </c>
      <c r="E205" s="4" t="inlineStr">
        <is>
          <t xml:space="preserve">Equipos, accesorios y suministros de oficina / Maquinarias, suministros y accesorios de oficina / Suministros para impresora, fax y fotocopiadora</t>
        </is>
      </c>
      <c r="F205" s="0">
        <v>1.0</v>
      </c>
      <c r="G205" s="0" t="inlineStr">
        <is>
          <t xml:space="preserve">Unidad</t>
        </is>
      </c>
      <c r="H205" s="4" t="inlineStr">
        <is>
          <t xml:space="preserve">Tóner HP 126A Cyan o equivalente
SEGUN RESOLUCION TECNICA NUMERAL 3</t>
        </is>
      </c>
    </row>
    <row r="206">
      <c r="A206" s="0" t="inlineStr">
        <is>
          <t xml:space="preserve">594965-31-LE26</t>
        </is>
      </c>
      <c r="B206" s="4" t="inlineStr">
        <is>
          <t xml:space="preserve">INSUMOS INFORMATICOS PARA REGION DE OHIGGINS</t>
        </is>
      </c>
      <c r="C206" s="0">
        <v>7</v>
      </c>
      <c r="D206" s="4" t="inlineStr">
        <is>
          <t xml:space="preserve">Tóner</t>
        </is>
      </c>
      <c r="E206" s="4" t="inlineStr">
        <is>
          <t xml:space="preserve">Equipos, accesorios y suministros de oficina / Maquinarias, suministros y accesorios de oficina / Suministros para impresora, fax y fotocopiadora</t>
        </is>
      </c>
      <c r="F206" s="0">
        <v>1.0</v>
      </c>
      <c r="G206" s="0" t="inlineStr">
        <is>
          <t xml:space="preserve">Unidad</t>
        </is>
      </c>
      <c r="H206" s="4" t="inlineStr">
        <is>
          <t xml:space="preserve">Tóner HP 126A Magenta o equivalente
SEGUN RESOLUCION TECNICA NUMERAL 3</t>
        </is>
      </c>
    </row>
    <row r="207">
      <c r="A207" s="0" t="inlineStr">
        <is>
          <t xml:space="preserve">594965-31-LE26</t>
        </is>
      </c>
      <c r="B207" s="4" t="inlineStr">
        <is>
          <t xml:space="preserve">INSUMOS INFORMATICOS PARA REGION DE OHIGGINS</t>
        </is>
      </c>
      <c r="C207" s="0">
        <v>8</v>
      </c>
      <c r="D207" s="4" t="inlineStr">
        <is>
          <t xml:space="preserve">Tóner</t>
        </is>
      </c>
      <c r="E207" s="4" t="inlineStr">
        <is>
          <t xml:space="preserve">Equipos, accesorios y suministros de oficina / Maquinarias, suministros y accesorios de oficina / Suministros para impresora, fax y fotocopiadora</t>
        </is>
      </c>
      <c r="F207" s="0">
        <v>2.0</v>
      </c>
      <c r="G207" s="0" t="inlineStr">
        <is>
          <t xml:space="preserve">Unidad</t>
        </is>
      </c>
      <c r="H207" s="4" t="inlineStr">
        <is>
          <t xml:space="preserve">Tóner HP 126A Yellow o equivalente
SEGUN RESOLUCION TECNICA NUMERAL 3</t>
        </is>
      </c>
    </row>
    <row r="208">
      <c r="A208" s="0" t="inlineStr">
        <is>
          <t xml:space="preserve">594965-31-LE26</t>
        </is>
      </c>
      <c r="B208" s="4" t="inlineStr">
        <is>
          <t xml:space="preserve">INSUMOS INFORMATICOS PARA REGION DE OHIGGINS</t>
        </is>
      </c>
      <c r="C208" s="0">
        <v>9</v>
      </c>
      <c r="D208" s="4" t="inlineStr">
        <is>
          <t xml:space="preserve">Tóner</t>
        </is>
      </c>
      <c r="E208" s="4" t="inlineStr">
        <is>
          <t xml:space="preserve">Equipos, accesorios y suministros de oficina / Maquinarias, suministros y accesorios de oficina / Suministros para impresora, fax y fotocopiadora</t>
        </is>
      </c>
      <c r="F208" s="0">
        <v>1.0</v>
      </c>
      <c r="G208" s="0" t="inlineStr">
        <is>
          <t xml:space="preserve">Unidad</t>
        </is>
      </c>
      <c r="H208" s="4" t="inlineStr">
        <is>
          <t xml:space="preserve">Tóner HP 126A Black o equivalente
SEGUN RESOLUCION TECNICA NUMERAL 3</t>
        </is>
      </c>
    </row>
    <row r="209">
      <c r="A209" s="0" t="inlineStr">
        <is>
          <t xml:space="preserve">594965-31-LE26</t>
        </is>
      </c>
      <c r="B209" s="4" t="inlineStr">
        <is>
          <t xml:space="preserve">INSUMOS INFORMATICOS PARA REGION DE OHIGGINS</t>
        </is>
      </c>
      <c r="C209" s="0">
        <v>10</v>
      </c>
      <c r="D209" s="4" t="inlineStr">
        <is>
          <t xml:space="preserve">Cartuchos de tinta</t>
        </is>
      </c>
      <c r="E209" s="4" t="inlineStr">
        <is>
          <t xml:space="preserve">Equipos, accesorios y suministros de oficina / Maquinarias, suministros y accesorios de oficina / Suministros para impresora, fax y fotocopiadora</t>
        </is>
      </c>
      <c r="F209" s="0">
        <v>5.0</v>
      </c>
      <c r="G209" s="0" t="inlineStr">
        <is>
          <t xml:space="preserve">Unidad</t>
        </is>
      </c>
      <c r="H209" s="4" t="inlineStr">
        <is>
          <t xml:space="preserve">Tinta Brother BT5001C Cyan o equivalente
SEGUN RESOLUCION TECNICA NUMERAL 3</t>
        </is>
      </c>
    </row>
    <row r="210">
      <c r="A210" s="0" t="inlineStr">
        <is>
          <t xml:space="preserve">594965-31-LE26</t>
        </is>
      </c>
      <c r="B210" s="4" t="inlineStr">
        <is>
          <t xml:space="preserve">INSUMOS INFORMATICOS PARA REGION DE OHIGGINS</t>
        </is>
      </c>
      <c r="C210" s="0">
        <v>11</v>
      </c>
      <c r="D210" s="4" t="inlineStr">
        <is>
          <t xml:space="preserve">Cartuchos de tinta</t>
        </is>
      </c>
      <c r="E210" s="4" t="inlineStr">
        <is>
          <t xml:space="preserve">Equipos, accesorios y suministros de oficina / Maquinarias, suministros y accesorios de oficina / Suministros para impresora, fax y fotocopiadora</t>
        </is>
      </c>
      <c r="F210" s="0">
        <v>5.0</v>
      </c>
      <c r="G210" s="0" t="inlineStr">
        <is>
          <t xml:space="preserve">Unidad</t>
        </is>
      </c>
      <c r="H210" s="4" t="inlineStr">
        <is>
          <t xml:space="preserve">Tinta Brother BT5001M Magenta o equivalente
SEGUN RESOLUCION TECNICA NUMERAL 3</t>
        </is>
      </c>
    </row>
    <row r="211">
      <c r="A211" s="0" t="inlineStr">
        <is>
          <t xml:space="preserve">594965-31-LE26</t>
        </is>
      </c>
      <c r="B211" s="4" t="inlineStr">
        <is>
          <t xml:space="preserve">INSUMOS INFORMATICOS PARA REGION DE OHIGGINS</t>
        </is>
      </c>
      <c r="C211" s="0">
        <v>12</v>
      </c>
      <c r="D211" s="4" t="inlineStr">
        <is>
          <t xml:space="preserve">Cartuchos de tinta</t>
        </is>
      </c>
      <c r="E211" s="4" t="inlineStr">
        <is>
          <t xml:space="preserve">Equipos, accesorios y suministros de oficina / Maquinarias, suministros y accesorios de oficina / Suministros para impresora, fax y fotocopiadora</t>
        </is>
      </c>
      <c r="F211" s="0">
        <v>5.0</v>
      </c>
      <c r="G211" s="0" t="inlineStr">
        <is>
          <t xml:space="preserve">Unidad</t>
        </is>
      </c>
      <c r="H211" s="4" t="inlineStr">
        <is>
          <t xml:space="preserve">Tinta Brother BT5001Y Yellow  o equivalente
SEGUN RESOLUCION TECNICA NUMERAL 3</t>
        </is>
      </c>
    </row>
    <row r="212">
      <c r="A212" s="0" t="inlineStr">
        <is>
          <t xml:space="preserve">594965-31-LE26</t>
        </is>
      </c>
      <c r="B212" s="4" t="inlineStr">
        <is>
          <t xml:space="preserve">INSUMOS INFORMATICOS PARA REGION DE OHIGGINS</t>
        </is>
      </c>
      <c r="C212" s="0">
        <v>13</v>
      </c>
      <c r="D212" s="4" t="inlineStr">
        <is>
          <t xml:space="preserve">Cartuchos de tinta</t>
        </is>
      </c>
      <c r="E212" s="4" t="inlineStr">
        <is>
          <t xml:space="preserve">Equipos, accesorios y suministros de oficina / Maquinarias, suministros y accesorios de oficina / Suministros para impresora, fax y fotocopiadora</t>
        </is>
      </c>
      <c r="F212" s="0">
        <v>5.0</v>
      </c>
      <c r="G212" s="0" t="inlineStr">
        <is>
          <t xml:space="preserve">Unidad</t>
        </is>
      </c>
      <c r="H212" s="4" t="inlineStr">
        <is>
          <t xml:space="preserve">Tinta Brother BTD60BK Black o equivalente
SEGUN RESOLUCION TECNICA NUMERAL 3</t>
        </is>
      </c>
    </row>
    <row r="213">
      <c r="A213" s="0" t="inlineStr">
        <is>
          <t xml:space="preserve">594965-31-LE26</t>
        </is>
      </c>
      <c r="B213" s="4" t="inlineStr">
        <is>
          <t xml:space="preserve">INSUMOS INFORMATICOS PARA REGION DE OHIGGINS</t>
        </is>
      </c>
      <c r="C213" s="0">
        <v>14</v>
      </c>
      <c r="D213" s="4" t="inlineStr">
        <is>
          <t xml:space="preserve">Cartuchos de tinta</t>
        </is>
      </c>
      <c r="E213" s="4" t="inlineStr">
        <is>
          <t xml:space="preserve">Equipos, accesorios y suministros de oficina / Maquinarias, suministros y accesorios de oficina / Suministros para impresora, fax y fotocopiadora</t>
        </is>
      </c>
      <c r="F213" s="0">
        <v>5.0</v>
      </c>
      <c r="G213" s="0" t="inlineStr">
        <is>
          <t xml:space="preserve">Unidad</t>
        </is>
      </c>
      <c r="H213" s="4" t="inlineStr">
        <is>
          <t xml:space="preserve">Botella Brother BTD100C Cyan o equivalente
SEGUN RESOLUCION TECNICA NUMERAL 3</t>
        </is>
      </c>
    </row>
    <row r="214">
      <c r="A214" s="0" t="inlineStr">
        <is>
          <t xml:space="preserve">594965-31-LE26</t>
        </is>
      </c>
      <c r="B214" s="4" t="inlineStr">
        <is>
          <t xml:space="preserve">INSUMOS INFORMATICOS PARA REGION DE OHIGGINS</t>
        </is>
      </c>
      <c r="C214" s="0">
        <v>15</v>
      </c>
      <c r="D214" s="4" t="inlineStr">
        <is>
          <t xml:space="preserve">Cartuchos de tinta</t>
        </is>
      </c>
      <c r="E214" s="4" t="inlineStr">
        <is>
          <t xml:space="preserve">Equipos, accesorios y suministros de oficina / Maquinarias, suministros y accesorios de oficina / Suministros para impresora, fax y fotocopiadora</t>
        </is>
      </c>
      <c r="F214" s="0">
        <v>5.0</v>
      </c>
      <c r="G214" s="0" t="inlineStr">
        <is>
          <t xml:space="preserve">Unidad</t>
        </is>
      </c>
      <c r="H214" s="4" t="inlineStr">
        <is>
          <t xml:space="preserve">Botella Brother BTD100M Magenta o equivalente
SEGUN RESOLUCION TECNICA NUMERAL 3</t>
        </is>
      </c>
    </row>
    <row r="215">
      <c r="A215" s="0" t="inlineStr">
        <is>
          <t xml:space="preserve">1057390-21-LR26</t>
        </is>
      </c>
      <c r="B215" s="4" t="inlineStr">
        <is>
          <t xml:space="preserve">PLATAFORMA CLOUD COMPUTING Y SERVICIOS ASOCIADOS ESISSAN</t>
        </is>
      </c>
      <c r="C215" s="0">
        <v>1</v>
      </c>
      <c r="D215" s="4" t="inlineStr">
        <is>
          <t xml:space="preserve">Software de interconectividad de plataformas</t>
        </is>
      </c>
      <c r="E215" s="4" t="inlineStr">
        <is>
          <t xml:space="preserve">Tecnologías de la información, telecomunicaciones y radiodifusión / Software / Software para trabajo en redes</t>
        </is>
      </c>
      <c r="F215" s="0">
        <v>1.0</v>
      </c>
      <c r="G215" s="0" t="inlineStr">
        <is>
          <t xml:space="preserve">Unidad</t>
        </is>
      </c>
      <c r="H215" s="4" t="inlineStr">
        <is>
          <t xml:space="preserve">PLATAFORMA CLOUD COMPUTING Y SERVICIOS ASOCIADOS ESISSAN  Total proyecto neto según Anexo 4 Oferta Económica.   (OC se emitiran de acuerdo a la programación)</t>
        </is>
      </c>
    </row>
    <row r="216">
      <c r="A216" s="0" t="inlineStr">
        <is>
          <t xml:space="preserve">1260-17-LP26</t>
        </is>
      </c>
      <c r="B216" s="4" t="inlineStr">
        <is>
          <t xml:space="preserve">NARRATIVAS DIGITALES Y PRODUCCION CONTENIDOS</t>
        </is>
      </c>
      <c r="C216" s="0">
        <v>1</v>
      </c>
      <c r="D216" s="4" t="inlineStr">
        <is>
          <t xml:space="preserve">Agencias de marketing de ventas, incluidas las impresiones</t>
        </is>
      </c>
      <c r="E216" s="4" t="inlineStr">
        <is>
          <t xml:space="preserve">Servicios profesionales, administrativos y consultorías de gestión empresarial / Servicios para la comercialización y distribución / Ventas y marketing</t>
        </is>
      </c>
      <c r="F216" s="0">
        <v>1.0</v>
      </c>
      <c r="G216" s="0" t="inlineStr">
        <is>
          <t xml:space="preserve">Unidad</t>
        </is>
      </c>
      <c r="H216" s="4" t="inlineStr">
        <is>
          <t xml:space="preserve">SERVICIO DE ANÁLISIS DE NARRATIVAS DIGITALES Y PRODUCCIÓN DE CONTENIDOS CREATIVOS. Ver archivos adjuntos RES_EXENTA_N°1419(11-08-2026)_Aprueba Bases.pdf y RESOLUCION_EXENTA_N°1745(06-10-2026)_Modifica REX 1419.pdf</t>
        </is>
      </c>
    </row>
    <row r="217">
      <c r="A217" s="0" t="inlineStr">
        <is>
          <t xml:space="preserve">425-73-LP26</t>
        </is>
      </c>
      <c r="B217" s="4" t="inlineStr">
        <is>
          <t xml:space="preserve">Renovación de licencias de software CISCO</t>
        </is>
      </c>
      <c r="C217" s="0">
        <v>1</v>
      </c>
      <c r="D217" s="4" t="inlineStr">
        <is>
          <t xml:space="preserve">Software de gestión de licencias</t>
        </is>
      </c>
      <c r="E217" s="4" t="inlineStr">
        <is>
          <t xml:space="preserve">Tecnologías de la información, telecomunicaciones y radiodifusión / Software / Software de gestión</t>
        </is>
      </c>
      <c r="F217" s="0">
        <v>5000.0</v>
      </c>
      <c r="G217" s="0" t="inlineStr">
        <is>
          <t xml:space="preserve">Unidad</t>
        </is>
      </c>
      <c r="H217" s="4" t="inlineStr">
        <is>
          <t xml:space="preserve">CISCO ISE Essentials, Valor neto según Formulario Económico N°1 (en caso de discrepancia entre el valor y el Formulario Económico N° 1 primará este último)</t>
        </is>
      </c>
    </row>
    <row r="218">
      <c r="A218" s="0" t="inlineStr">
        <is>
          <t xml:space="preserve">425-73-LP26</t>
        </is>
      </c>
      <c r="B218" s="4" t="inlineStr">
        <is>
          <t xml:space="preserve">Renovación de licencias de software CISCO</t>
        </is>
      </c>
      <c r="C218" s="0">
        <v>2</v>
      </c>
      <c r="D218" s="4" t="inlineStr">
        <is>
          <t xml:space="preserve">Software de gestión de licencias</t>
        </is>
      </c>
      <c r="E218" s="4" t="inlineStr">
        <is>
          <t xml:space="preserve">Tecnologías de la información, telecomunicaciones y radiodifusión / Software / Software de gestión</t>
        </is>
      </c>
      <c r="F218" s="0">
        <v>20000.0</v>
      </c>
      <c r="G218" s="0" t="inlineStr">
        <is>
          <t xml:space="preserve">Unidad</t>
        </is>
      </c>
      <c r="H218" s="4" t="inlineStr">
        <is>
          <t xml:space="preserve">Cisco Secure Network Analytics, Valor neto según Formulario Económico N°1 (en caso de discrepancia entre el valor y el Formulario Económico N° 1 primará este último)</t>
        </is>
      </c>
    </row>
    <row r="219">
      <c r="A219" s="0" t="inlineStr">
        <is>
          <t xml:space="preserve">425-73-LP26</t>
        </is>
      </c>
      <c r="B219" s="4" t="inlineStr">
        <is>
          <t xml:space="preserve">Renovación de licencias de software CISCO</t>
        </is>
      </c>
      <c r="C219" s="0">
        <v>3</v>
      </c>
      <c r="D219" s="4" t="inlineStr">
        <is>
          <t xml:space="preserve">Software de gestión de licencias</t>
        </is>
      </c>
      <c r="E219" s="4" t="inlineStr">
        <is>
          <t xml:space="preserve">Tecnologías de la información, telecomunicaciones y radiodifusión / Software / Software de gestión</t>
        </is>
      </c>
      <c r="F219" s="0">
        <v>11000.0</v>
      </c>
      <c r="G219" s="0" t="inlineStr">
        <is>
          <t xml:space="preserve">Unidad</t>
        </is>
      </c>
      <c r="H219" s="4" t="inlineStr">
        <is>
          <t xml:space="preserve">CISCO ISE Advantage, Valor neto según Formulario Económico N°1 (en caso de discrepancia entre el valor y el Formulario Económico N° 1 primará este último)</t>
        </is>
      </c>
    </row>
    <row r="220">
      <c r="A220" s="0" t="inlineStr">
        <is>
          <t xml:space="preserve">425-73-LP26</t>
        </is>
      </c>
      <c r="B220" s="4" t="inlineStr">
        <is>
          <t xml:space="preserve">Renovación de licencias de software CISCO</t>
        </is>
      </c>
      <c r="C220" s="0">
        <v>4</v>
      </c>
      <c r="D220" s="4" t="inlineStr">
        <is>
          <t xml:space="preserve">Software de gestión de licencias</t>
        </is>
      </c>
      <c r="E220" s="4" t="inlineStr">
        <is>
          <t xml:space="preserve">Tecnologías de la información, telecomunicaciones y radiodifusión / Software / Software de gestión</t>
        </is>
      </c>
      <c r="F220" s="0">
        <v>1.0</v>
      </c>
      <c r="G220" s="0" t="inlineStr">
        <is>
          <t xml:space="preserve">Unidad</t>
        </is>
      </c>
      <c r="H220" s="4" t="inlineStr">
        <is>
          <t xml:space="preserve">Threat Intelligence, Valor neto según Formulario Económico N°1 (en caso de discrepancia entre el valor y el Formulario Económico N° 1 primará este último)</t>
        </is>
      </c>
    </row>
    <row r="221">
      <c r="A221" s="0" t="inlineStr">
        <is>
          <t xml:space="preserve">425-73-LP26</t>
        </is>
      </c>
      <c r="B221" s="4" t="inlineStr">
        <is>
          <t xml:space="preserve">Renovación de licencias de software CISCO</t>
        </is>
      </c>
      <c r="C221" s="0">
        <v>5</v>
      </c>
      <c r="D221" s="4" t="inlineStr">
        <is>
          <t xml:space="preserve">Software de gestión de licencias</t>
        </is>
      </c>
      <c r="E221" s="4" t="inlineStr">
        <is>
          <t xml:space="preserve">Tecnologías de la información, telecomunicaciones y radiodifusión / Software / Software de gestión</t>
        </is>
      </c>
      <c r="F221" s="0">
        <v>3000.0</v>
      </c>
      <c r="G221" s="0" t="inlineStr">
        <is>
          <t xml:space="preserve">Unidad</t>
        </is>
      </c>
      <c r="H221" s="4" t="inlineStr">
        <is>
          <t xml:space="preserve">CISCO ISE Premier, Valor neto según Formulario Económico N°1 (en caso de discrepancia entre el valor y el Formulario Económico N° 1 primará este último)</t>
        </is>
      </c>
    </row>
    <row r="222">
      <c r="A222" s="0" t="inlineStr">
        <is>
          <t xml:space="preserve">425-73-LP26</t>
        </is>
      </c>
      <c r="B222" s="4" t="inlineStr">
        <is>
          <t xml:space="preserve">Renovación de licencias de software CISCO</t>
        </is>
      </c>
      <c r="C222" s="0">
        <v>6</v>
      </c>
      <c r="D222" s="4" t="inlineStr">
        <is>
          <t xml:space="preserve">Software de gestión de licencias</t>
        </is>
      </c>
      <c r="E222" s="4" t="inlineStr">
        <is>
          <t xml:space="preserve">Tecnologías de la información, telecomunicaciones y radiodifusión / Software / Software de gestión</t>
        </is>
      </c>
      <c r="F222" s="0">
        <v>2.0</v>
      </c>
      <c r="G222" s="0" t="inlineStr">
        <is>
          <t xml:space="preserve">Unidad</t>
        </is>
      </c>
      <c r="H222" s="4" t="inlineStr">
        <is>
          <t xml:space="preserve">CISCO ISE VM, Valor neto según Formulario Económico N°1 (en caso de discrepancia entre el valor y el Formulario Económico N° 1 primará este último)</t>
        </is>
      </c>
    </row>
    <row r="223">
      <c r="A223" s="0" t="inlineStr">
        <is>
          <t xml:space="preserve">425-73-LP26</t>
        </is>
      </c>
      <c r="B223" s="4" t="inlineStr">
        <is>
          <t xml:space="preserve">Renovación de licencias de software CISCO</t>
        </is>
      </c>
      <c r="C223" s="0">
        <v>7</v>
      </c>
      <c r="D223" s="4" t="inlineStr">
        <is>
          <t xml:space="preserve">Software de gestión de licencias</t>
        </is>
      </c>
      <c r="E223" s="4" t="inlineStr">
        <is>
          <t xml:space="preserve">Tecnologías de la información, telecomunicaciones y radiodifusión / Software / Software de gestión</t>
        </is>
      </c>
      <c r="F223" s="0">
        <v>2700.0</v>
      </c>
      <c r="G223" s="0" t="inlineStr">
        <is>
          <t xml:space="preserve">Unidad</t>
        </is>
      </c>
      <c r="H223" s="4" t="inlineStr">
        <is>
          <t xml:space="preserve">Umbrella SIG Essentials, Valor neto según Formulario Económico N°1 (en caso de discrepancia entre el valor y el Formulario Económico N° 1 primará este último)</t>
        </is>
      </c>
    </row>
    <row r="224">
      <c r="A224" s="0" t="inlineStr">
        <is>
          <t xml:space="preserve">425-73-LP26</t>
        </is>
      </c>
      <c r="B224" s="4" t="inlineStr">
        <is>
          <t xml:space="preserve">Renovación de licencias de software CISCO</t>
        </is>
      </c>
      <c r="C224" s="0">
        <v>8</v>
      </c>
      <c r="D224" s="4" t="inlineStr">
        <is>
          <t xml:space="preserve">Software de gestión de licencias</t>
        </is>
      </c>
      <c r="E224" s="4" t="inlineStr">
        <is>
          <t xml:space="preserve">Tecnologías de la información, telecomunicaciones y radiodifusión / Software / Software de gestión</t>
        </is>
      </c>
      <c r="F224" s="0">
        <v>1.0</v>
      </c>
      <c r="G224" s="0" t="inlineStr">
        <is>
          <t xml:space="preserve">Unidad</t>
        </is>
      </c>
      <c r="H224" s="4" t="inlineStr">
        <is>
          <t xml:space="preserve">FMC v300, Valor neto según Formulario Económico N°1 (en caso de discrepancia entre el valor y el Formulario Económico N° 1 primará este último)</t>
        </is>
      </c>
    </row>
    <row r="225">
      <c r="A225" s="0" t="inlineStr">
        <is>
          <t xml:space="preserve">425-73-LP26</t>
        </is>
      </c>
      <c r="B225" s="4" t="inlineStr">
        <is>
          <t xml:space="preserve">Renovación de licencias de software CISCO</t>
        </is>
      </c>
      <c r="C225" s="0">
        <v>9</v>
      </c>
      <c r="D225" s="4" t="inlineStr">
        <is>
          <t xml:space="preserve">Software de gestión de licencias</t>
        </is>
      </c>
      <c r="E225" s="4" t="inlineStr">
        <is>
          <t xml:space="preserve">Tecnologías de la información, telecomunicaciones y radiodifusión / Software / Software de gestión</t>
        </is>
      </c>
      <c r="F225" s="0">
        <v>2.0</v>
      </c>
      <c r="G225" s="0" t="inlineStr">
        <is>
          <t xml:space="preserve">Unidad</t>
        </is>
      </c>
      <c r="H225" s="4" t="inlineStr">
        <is>
          <t xml:space="preserve">Firepower 4115, Valor neto según Formulario Económico N°1 (en caso de discrepancia entre el valor y el Formulario Económico N° 1 primará este último)</t>
        </is>
      </c>
    </row>
    <row r="226">
      <c r="A226" s="0" t="inlineStr">
        <is>
          <t xml:space="preserve">425-73-LP26</t>
        </is>
      </c>
      <c r="B226" s="4" t="inlineStr">
        <is>
          <t xml:space="preserve">Renovación de licencias de software CISCO</t>
        </is>
      </c>
      <c r="C226" s="0">
        <v>10</v>
      </c>
      <c r="D226" s="4" t="inlineStr">
        <is>
          <t xml:space="preserve">Software de gestión de licencias</t>
        </is>
      </c>
      <c r="E226" s="4" t="inlineStr">
        <is>
          <t xml:space="preserve">Tecnologías de la información, telecomunicaciones y radiodifusión / Software / Software de gestión</t>
        </is>
      </c>
      <c r="F226" s="0">
        <v>3000.0</v>
      </c>
      <c r="G226" s="0" t="inlineStr">
        <is>
          <t xml:space="preserve">Unidad</t>
        </is>
      </c>
      <c r="H226" s="4" t="inlineStr">
        <is>
          <t xml:space="preserve">Cisco Secure Client Premier, Valor neto según Formulario Económico N°1 (en caso de discrepancia entre el valor y el Formulario Económico N° 1 primará este último)</t>
        </is>
      </c>
    </row>
    <row r="227">
      <c r="A227" s="0" t="inlineStr">
        <is>
          <t xml:space="preserve">564953-78-B226</t>
        </is>
      </c>
      <c r="B227" s="4" t="inlineStr">
        <is>
          <t xml:space="preserve">ACTUALIZACIÓN PLATAFORMA ERP</t>
        </is>
      </c>
      <c r="C227" s="0">
        <v>1</v>
      </c>
      <c r="D227" s="4" t="inlineStr">
        <is>
          <t xml:space="preserve">Software de planificación de recursos empresariales (ERP)</t>
        </is>
      </c>
      <c r="E227" s="4" t="inlineStr">
        <is>
          <t xml:space="preserve">Tecnologías de la información, telecomunicaciones y radiodifusión / Software / Software de planificación de recursos empresariales (ERP) y contabilidad financiera</t>
        </is>
      </c>
      <c r="F227" s="0">
        <v>1.0</v>
      </c>
      <c r="G227" s="0" t="inlineStr">
        <is>
          <t xml:space="preserve">Unidad</t>
        </is>
      </c>
      <c r="H227" s="4" t="inlineStr">
        <is>
          <t xml:space="preserve">ACTUALIZACIÓN PLATAFORMA ERP</t>
        </is>
      </c>
    </row>
    <row r="228">
      <c r="A228" s="0" t="inlineStr">
        <is>
          <t xml:space="preserve">4160-22-LP26</t>
        </is>
      </c>
      <c r="B228" s="4" t="inlineStr">
        <is>
          <t xml:space="preserve">SERVICIO DE INTERNET VOZ Y DATOS</t>
        </is>
      </c>
      <c r="C228" s="0">
        <v>1</v>
      </c>
      <c r="D228" s="4" t="inlineStr">
        <is>
          <t xml:space="preserve">Proveedores de servicio de Internet (ISP)</t>
        </is>
      </c>
      <c r="E228" s="4" t="inlineStr">
        <is>
          <t xml:space="preserve">Servicios basados en ingeniería, ciencias sociales y tecnología de la información / Servicios informáticos / Servicios para internet</t>
        </is>
      </c>
      <c r="F228" s="0">
        <v>36.0</v>
      </c>
      <c r="G228" s="0" t="inlineStr">
        <is>
          <t xml:space="preserve">Mes</t>
        </is>
      </c>
      <c r="H228" s="4" t="inlineStr">
        <is>
          <t xml:space="preserve">La Municipalidad de Hualpén, RUT 69.264.400-K, representada por su Alcalde Miguel Rivera Morales, mediante las siguientes Bases Administrativas y Especificaciones Técnicas fija los procedimientos y términos que regulan la presente Licitación Pública, cuyo</t>
        </is>
      </c>
    </row>
    <row r="229">
      <c r="A229" s="0" t="inlineStr">
        <is>
          <t xml:space="preserve">1233623-47-LP26</t>
        </is>
      </c>
      <c r="B229" s="4" t="inlineStr">
        <is>
          <t xml:space="preserve">SOFTWARE PARA GESTION DE PERSONAS LICANCABUR</t>
        </is>
      </c>
      <c r="C229" s="0">
        <v>1</v>
      </c>
      <c r="D229" s="4" t="inlineStr">
        <is>
          <t xml:space="preserve">Software de gestión de recursos humanos</t>
        </is>
      </c>
      <c r="E229" s="4" t="inlineStr">
        <is>
          <t xml:space="preserve">Tecnologías de la información, telecomunicaciones y radiodifusión / Software / Software de gestión</t>
        </is>
      </c>
      <c r="F229" s="0">
        <v>1.0</v>
      </c>
      <c r="G229" s="0" t="inlineStr">
        <is>
          <t xml:space="preserve">Unidad</t>
        </is>
      </c>
      <c r="H229" s="4" t="inlineStr">
        <is>
          <t xml:space="preserve">01 SOFTWARE SISTEMA DE GESTION DE PERSONAS (P01 Y P02) SEGUN LO INDICADO EN LAS BASES ADMINISTRATIVAS Y TECNICAS POR UN PERIODO DE 36 MESES</t>
        </is>
      </c>
    </row>
    <row r="230">
      <c r="A230" s="0" t="inlineStr">
        <is>
          <t xml:space="preserve">1057049-394-LP26</t>
        </is>
      </c>
      <c r="B230" s="4" t="inlineStr">
        <is>
          <t xml:space="preserve">JLL CONTRATACION DE SERVICIOS DE TURNOS DE PERSONAL TECNICO INFORMATICO DE APOYO PARA EL DEPARTAMENTO DE TECNOLOGIAS DE LA INFORMACION Y COMUNICACIONES</t>
        </is>
      </c>
      <c r="C230" s="0">
        <v>1</v>
      </c>
      <c r="D230" s="4" t="inlineStr">
        <is>
          <t xml:space="preserve">Personal técnico temporal</t>
        </is>
      </c>
      <c r="E230" s="4" t="inlineStr">
        <is>
          <t xml:space="preserve">Servicios profesionales, administrativos y consultorías de gestión empresarial / Servicios de recursos humanos / Servicios de personal temporal</t>
        </is>
      </c>
      <c r="F230" s="0">
        <v>1.0</v>
      </c>
      <c r="G230" s="0" t="inlineStr">
        <is>
          <t xml:space="preserve">Global</t>
        </is>
      </c>
      <c r="H230" s="4" t="inlineStr">
        <is>
          <t xml:space="preserve">COD: 704-0011 SERVICIO DE TURNOS PERSONAL TECNICO INFORMATICO PARA DEPARTAMENTO DE TECNOLOGIA DE LA INFORMACION Y COMUNICACION DEL HOSPITAL CLINICO SAN BORJA ARRIARAN</t>
        </is>
      </c>
    </row>
    <row r="231">
      <c r="A231" s="0" t="inlineStr">
        <is>
          <t xml:space="preserve">948354-157-LP26</t>
        </is>
      </c>
      <c r="B231" s="4" t="inlineStr">
        <is>
          <t xml:space="preserve">CONTRATACIÓN DEL SERVICIO DE ARRIENDO DE UNA CABINA SANITARIA CON EQUIPO MAMÓGRAFO PARA USO DE MAMOGRAFÍA DIGITALIZADA PORTÁTIL PARA EL HOSPITAL DIPRECA</t>
        </is>
      </c>
      <c r="C231" s="0">
        <v>1</v>
      </c>
      <c r="D231" s="4" t="inlineStr">
        <is>
          <t xml:space="preserve">Equipo para radiografías mamográficas</t>
        </is>
      </c>
      <c r="E231" s="4" t="inlineStr">
        <is>
          <t xml:space="preserve">Equipamiento y suministros médicos / Productos para imágenes y de medicina nuclear / Artículos radiográficos de diagnóstico médico</t>
        </is>
      </c>
      <c r="F231" s="0">
        <v>12.0</v>
      </c>
      <c r="G231" s="0" t="inlineStr">
        <is>
          <t xml:space="preserve">Mes</t>
        </is>
      </c>
      <c r="H231" s="4" t="inlineStr">
        <is>
          <t xml:space="preserve">Servicio de Arriendo de una Cabina Sanitaria con Equipo Mamógrafo para Uso de Mamografía Digitalizada Portátil</t>
        </is>
      </c>
    </row>
    <row r="232">
      <c r="A232" s="0" t="inlineStr">
        <is>
          <t xml:space="preserve">621923-6-LP26</t>
        </is>
      </c>
      <c r="B232" s="4" t="inlineStr">
        <is>
          <t xml:space="preserve">Adquisición de licencias de software</t>
        </is>
      </c>
      <c r="C232" s="0">
        <v>1</v>
      </c>
      <c r="D232" s="4" t="inlineStr">
        <is>
          <t xml:space="preserve">Paquetes de software para oficinas</t>
        </is>
      </c>
      <c r="E232" s="4" t="inlineStr">
        <is>
          <t xml:space="preserve">Tecnologías de la información, telecomunicaciones y radiodifusión / Software / Software de gestión</t>
        </is>
      </c>
      <c r="F232" s="0">
        <v>6.0</v>
      </c>
      <c r="G232" s="0" t="inlineStr">
        <is>
          <t xml:space="preserve">Unidad</t>
        </is>
      </c>
      <c r="H232" s="4" t="inlineStr">
        <is>
          <t xml:space="preserve">Licencia Windows server 2025 Standard Edition perpetua.</t>
        </is>
      </c>
    </row>
    <row r="233">
      <c r="A233" s="0" t="inlineStr">
        <is>
          <t xml:space="preserve">621923-6-LP26</t>
        </is>
      </c>
      <c r="B233" s="4" t="inlineStr">
        <is>
          <t xml:space="preserve">Adquisición de licencias de software</t>
        </is>
      </c>
      <c r="C233" s="0">
        <v>2</v>
      </c>
      <c r="D233" s="4" t="inlineStr">
        <is>
          <t xml:space="preserve">Software de gestión de licencias</t>
        </is>
      </c>
      <c r="E233" s="4" t="inlineStr">
        <is>
          <t xml:space="preserve">Tecnologías de la información, telecomunicaciones y radiodifusión / Software / Software de gestión</t>
        </is>
      </c>
      <c r="F233" s="0">
        <v>1.0</v>
      </c>
      <c r="G233" s="0" t="inlineStr">
        <is>
          <t xml:space="preserve">Unidad</t>
        </is>
      </c>
      <c r="H233" s="4" t="inlineStr">
        <is>
          <t xml:space="preserve">Licencia OPEN TEXT EnCase® Forensic (última versión disponible) Physical License with Additional Processor License Electronic software delivery with physical key.</t>
        </is>
      </c>
    </row>
    <row r="234">
      <c r="A234" s="0" t="inlineStr">
        <is>
          <t xml:space="preserve">621923-6-LP26</t>
        </is>
      </c>
      <c r="B234" s="4" t="inlineStr">
        <is>
          <t xml:space="preserve">Adquisición de licencias de software</t>
        </is>
      </c>
      <c r="C234" s="0">
        <v>3</v>
      </c>
      <c r="D234" s="4" t="inlineStr">
        <is>
          <t xml:space="preserve">Software de gestión de licencias</t>
        </is>
      </c>
      <c r="E234" s="4" t="inlineStr">
        <is>
          <t xml:space="preserve">Tecnologías de la información, telecomunicaciones y radiodifusión / Software / Software de gestión</t>
        </is>
      </c>
      <c r="F234" s="0">
        <v>1.0</v>
      </c>
      <c r="G234" s="0" t="inlineStr">
        <is>
          <t xml:space="preserve">Unidad</t>
        </is>
      </c>
      <c r="H234" s="4" t="inlineStr">
        <is>
          <t xml:space="preserve">Licencia Fortinet Enterprise Protection</t>
        </is>
      </c>
    </row>
    <row r="235">
      <c r="A235" s="0" t="inlineStr">
        <is>
          <t xml:space="preserve">621923-6-LP26</t>
        </is>
      </c>
      <c r="B235" s="4" t="inlineStr">
        <is>
          <t xml:space="preserve">Adquisición de licencias de software</t>
        </is>
      </c>
      <c r="C235" s="0">
        <v>4</v>
      </c>
      <c r="D235" s="4" t="inlineStr">
        <is>
          <t xml:space="preserve">Software de gestión de licencias</t>
        </is>
      </c>
      <c r="E235" s="4" t="inlineStr">
        <is>
          <t xml:space="preserve">Tecnologías de la información, telecomunicaciones y radiodifusión / Software / Software de gestión</t>
        </is>
      </c>
      <c r="F235" s="0">
        <v>1.0</v>
      </c>
      <c r="G235" s="0" t="inlineStr">
        <is>
          <t xml:space="preserve">Unidad</t>
        </is>
      </c>
      <c r="H235" s="4" t="inlineStr">
        <is>
          <t xml:space="preserve">Contratación de la suscripción de software FortiEDR Discover, Protect &amp; Respond (Part Number: FC2-10-FEDR1-348-01-12 o equivalente técnico) y el servicio especializado FortiCare Best Practice Service (BPS) for FortiEDR</t>
        </is>
      </c>
    </row>
    <row r="236">
      <c r="A236" s="0" t="inlineStr">
        <is>
          <t xml:space="preserve">621923-6-LP26</t>
        </is>
      </c>
      <c r="B236" s="4" t="inlineStr">
        <is>
          <t xml:space="preserve">Adquisición de licencias de software</t>
        </is>
      </c>
      <c r="C236" s="0">
        <v>5</v>
      </c>
      <c r="D236" s="4" t="inlineStr">
        <is>
          <t xml:space="preserve">Paquetes de software para oficinas</t>
        </is>
      </c>
      <c r="E236" s="4" t="inlineStr">
        <is>
          <t xml:space="preserve">Tecnologías de la información, telecomunicaciones y radiodifusión / Software / Software de gestión</t>
        </is>
      </c>
      <c r="F236" s="0">
        <v>100.0</v>
      </c>
      <c r="G236" s="0" t="inlineStr">
        <is>
          <t xml:space="preserve">Unidad</t>
        </is>
      </c>
      <c r="H236" s="4" t="inlineStr">
        <is>
          <t xml:space="preserve">Adobe Acrobat Pro-2020 o superior – Licencia para Windows.</t>
        </is>
      </c>
    </row>
    <row r="237">
      <c r="A237" s="0" t="inlineStr">
        <is>
          <t xml:space="preserve">621923-6-LP26</t>
        </is>
      </c>
      <c r="B237" s="4" t="inlineStr">
        <is>
          <t xml:space="preserve">Adquisición de licencias de software</t>
        </is>
      </c>
      <c r="C237" s="0">
        <v>6</v>
      </c>
      <c r="D237" s="4" t="inlineStr">
        <is>
          <t xml:space="preserve">Software de gestión de licencias</t>
        </is>
      </c>
      <c r="E237" s="4" t="inlineStr">
        <is>
          <t xml:space="preserve">Tecnologías de la información, telecomunicaciones y radiodifusión / Software / Software de gestión</t>
        </is>
      </c>
      <c r="F237" s="0">
        <v>1.0</v>
      </c>
      <c r="G237" s="0" t="inlineStr">
        <is>
          <t xml:space="preserve">Unidad</t>
        </is>
      </c>
      <c r="H237" s="4" t="inlineStr">
        <is>
          <t xml:space="preserve">Licencia SQL Server 2025 Standard Edition por Core (4 × SQL Server 2025 Standard Core 2-Core Pack Perpetual).</t>
        </is>
      </c>
    </row>
    <row r="238">
      <c r="A238" s="0" t="inlineStr">
        <is>
          <t xml:space="preserve">5240-109-LR26</t>
        </is>
      </c>
      <c r="B238" s="4" t="inlineStr">
        <is>
          <t xml:space="preserve">SOFTWARE USO FORENSE DE EXTRACC. Y ANALIS DE DATOS</t>
        </is>
      </c>
      <c r="C238" s="0">
        <v>1</v>
      </c>
      <c r="D238" s="4" t="inlineStr">
        <is>
          <t xml:space="preserve">Software de extracción de datos</t>
        </is>
      </c>
      <c r="E238" s="4" t="inlineStr">
        <is>
          <t xml:space="preserve">Tecnologías de la información, telecomunicaciones y radiodifusión / Software / Software de consultas y gestión de datos</t>
        </is>
      </c>
      <c r="F238" s="0">
        <v>2.0</v>
      </c>
      <c r="G238" s="0" t="inlineStr">
        <is>
          <t xml:space="preserve">Unidad</t>
        </is>
      </c>
      <c r="H238" s="4" t="inlineStr">
        <is>
          <t xml:space="preserve">LINEA 1: SOFTWARE FORENSE DE EXTRACCIÓN AVANZADO Y ANALISIS DE INFORMACIÓN DIGITAL</t>
        </is>
      </c>
    </row>
    <row r="239">
      <c r="A239" s="0" t="inlineStr">
        <is>
          <t xml:space="preserve">5240-109-LR26</t>
        </is>
      </c>
      <c r="B239" s="4" t="inlineStr">
        <is>
          <t xml:space="preserve">SOFTWARE USO FORENSE DE EXTRACC. Y ANALIS DE DATOS</t>
        </is>
      </c>
      <c r="C239" s="0">
        <v>2</v>
      </c>
      <c r="D239" s="4" t="inlineStr">
        <is>
          <t xml:space="preserve">Software de extracción de datos</t>
        </is>
      </c>
      <c r="E239" s="4" t="inlineStr">
        <is>
          <t xml:space="preserve">Tecnologías de la información, telecomunicaciones y radiodifusión / Software / Software de consultas y gestión de datos</t>
        </is>
      </c>
      <c r="F239" s="0">
        <v>1.0</v>
      </c>
      <c r="G239" s="0" t="inlineStr">
        <is>
          <t xml:space="preserve">Unidad</t>
        </is>
      </c>
      <c r="H239" s="4" t="inlineStr">
        <is>
          <t xml:space="preserve">LINEA 2: SOFTWARE FORENSE PARA RECUPERAR Y REPRODUCIR DISTINTOS FORMATOS DE VIDEO CAPTADOS POR DVR</t>
        </is>
      </c>
    </row>
    <row r="240">
      <c r="A240" s="0" t="inlineStr">
        <is>
          <t xml:space="preserve">5240-109-LR26</t>
        </is>
      </c>
      <c r="B240" s="4" t="inlineStr">
        <is>
          <t xml:space="preserve">SOFTWARE USO FORENSE DE EXTRACC. Y ANALIS DE DATOS</t>
        </is>
      </c>
      <c r="C240" s="0">
        <v>3</v>
      </c>
      <c r="D240" s="4" t="inlineStr">
        <is>
          <t xml:space="preserve">Software de extracción de datos</t>
        </is>
      </c>
      <c r="E240" s="4" t="inlineStr">
        <is>
          <t xml:space="preserve">Tecnologías de la información, telecomunicaciones y radiodifusión / Software / Software de consultas y gestión de datos</t>
        </is>
      </c>
      <c r="F240" s="0">
        <v>3.0</v>
      </c>
      <c r="G240" s="0" t="inlineStr">
        <is>
          <t xml:space="preserve">Unidad</t>
        </is>
      </c>
      <c r="H240" s="4" t="inlineStr">
        <is>
          <t xml:space="preserve">LINEA 3: LICENCIAS FORENSIC TOOL KIT SMS</t>
        </is>
      </c>
    </row>
    <row r="241">
      <c r="A241" s="0" t="inlineStr">
        <is>
          <t xml:space="preserve">5240-109-LR26</t>
        </is>
      </c>
      <c r="B241" s="4" t="inlineStr">
        <is>
          <t xml:space="preserve">SOFTWARE USO FORENSE DE EXTRACC. Y ANALIS DE DATOS</t>
        </is>
      </c>
      <c r="C241" s="0">
        <v>4</v>
      </c>
      <c r="D241" s="4" t="inlineStr">
        <is>
          <t xml:space="preserve">Software de extracción de datos</t>
        </is>
      </c>
      <c r="E241" s="4" t="inlineStr">
        <is>
          <t xml:space="preserve">Tecnologías de la información, telecomunicaciones y radiodifusión / Software / Software de consultas y gestión de datos</t>
        </is>
      </c>
      <c r="F241" s="0">
        <v>1.0</v>
      </c>
      <c r="G241" s="0" t="inlineStr">
        <is>
          <t xml:space="preserve">Unidad</t>
        </is>
      </c>
      <c r="H241" s="4" t="inlineStr">
        <is>
          <t xml:space="preserve">LINEA 4: LICENCIA ENCASE FORENSIC MAINTENANCE</t>
        </is>
      </c>
    </row>
    <row r="242">
      <c r="A242" s="0" t="inlineStr">
        <is>
          <t xml:space="preserve">5240-109-LR26</t>
        </is>
      </c>
      <c r="B242" s="4" t="inlineStr">
        <is>
          <t xml:space="preserve">SOFTWARE USO FORENSE DE EXTRACC. Y ANALIS DE DATOS</t>
        </is>
      </c>
      <c r="C242" s="0">
        <v>5</v>
      </c>
      <c r="D242" s="4" t="inlineStr">
        <is>
          <t xml:space="preserve">Software de extracción de datos</t>
        </is>
      </c>
      <c r="E242" s="4" t="inlineStr">
        <is>
          <t xml:space="preserve">Tecnologías de la información, telecomunicaciones y radiodifusión / Software / Software de consultas y gestión de datos</t>
        </is>
      </c>
      <c r="F242" s="0">
        <v>1.0</v>
      </c>
      <c r="G242" s="0" t="inlineStr">
        <is>
          <t xml:space="preserve">Unidad</t>
        </is>
      </c>
      <c r="H242" s="4" t="inlineStr">
        <is>
          <t xml:space="preserve">LINEA 5: LICENCIAS FORENSIC TOOL KIT SMS (RANCAGUA)</t>
        </is>
      </c>
    </row>
    <row r="243">
      <c r="A243" s="0" t="inlineStr">
        <is>
          <t xml:space="preserve">5240-109-LR26</t>
        </is>
      </c>
      <c r="B243" s="4" t="inlineStr">
        <is>
          <t xml:space="preserve">SOFTWARE USO FORENSE DE EXTRACC. Y ANALIS DE DATOS</t>
        </is>
      </c>
      <c r="C243" s="0">
        <v>6</v>
      </c>
      <c r="D243" s="4" t="inlineStr">
        <is>
          <t xml:space="preserve">Software de extracción de datos</t>
        </is>
      </c>
      <c r="E243" s="4" t="inlineStr">
        <is>
          <t xml:space="preserve">Tecnologías de la información, telecomunicaciones y radiodifusión / Software / Software de consultas y gestión de datos</t>
        </is>
      </c>
      <c r="F243" s="0">
        <v>1.0</v>
      </c>
      <c r="G243" s="0" t="inlineStr">
        <is>
          <t xml:space="preserve">Unidad</t>
        </is>
      </c>
      <c r="H243" s="4" t="inlineStr">
        <is>
          <t xml:space="preserve">LINEA 6: SOFTWARE FORENSE DE EXTRACCIÓN AVANZADO Y ANALISIS DE INFORMACIÓN DIGITAL (RANCAGUA)</t>
        </is>
      </c>
    </row>
    <row r="244">
      <c r="A244" s="0" t="inlineStr">
        <is>
          <t xml:space="preserve">5240-109-LR26</t>
        </is>
      </c>
      <c r="B244" s="4" t="inlineStr">
        <is>
          <t xml:space="preserve">SOFTWARE USO FORENSE DE EXTRACC. Y ANALIS DE DATOS</t>
        </is>
      </c>
      <c r="C244" s="0">
        <v>7</v>
      </c>
      <c r="D244" s="4" t="inlineStr">
        <is>
          <t xml:space="preserve">Software de extracción de datos</t>
        </is>
      </c>
      <c r="E244" s="4" t="inlineStr">
        <is>
          <t xml:space="preserve">Tecnologías de la información, telecomunicaciones y radiodifusión / Software / Software de consultas y gestión de datos</t>
        </is>
      </c>
      <c r="F244" s="0">
        <v>1.0</v>
      </c>
      <c r="G244" s="0" t="inlineStr">
        <is>
          <t xml:space="preserve">Unidad</t>
        </is>
      </c>
      <c r="H244" s="4" t="inlineStr">
        <is>
          <t xml:space="preserve">LINEA 7: SOFTWARE FORENSE DE EXTRACCIÓN AVANZADO Y ANALISIS DE INFORMACIÓN DIGITAL (TALCA)</t>
        </is>
      </c>
    </row>
    <row r="245">
      <c r="A245" s="0" t="inlineStr">
        <is>
          <t xml:space="preserve">5240-109-LR26</t>
        </is>
      </c>
      <c r="B245" s="4" t="inlineStr">
        <is>
          <t xml:space="preserve">SOFTWARE USO FORENSE DE EXTRACC. Y ANALIS DE DATOS</t>
        </is>
      </c>
      <c r="C245" s="0">
        <v>8</v>
      </c>
      <c r="D245" s="4" t="inlineStr">
        <is>
          <t xml:space="preserve">Software de extracción de datos</t>
        </is>
      </c>
      <c r="E245" s="4" t="inlineStr">
        <is>
          <t xml:space="preserve">Tecnologías de la información, telecomunicaciones y radiodifusión / Software / Software de consultas y gestión de datos</t>
        </is>
      </c>
      <c r="F245" s="0">
        <v>1.0</v>
      </c>
      <c r="G245" s="0" t="inlineStr">
        <is>
          <t xml:space="preserve">Unidad</t>
        </is>
      </c>
      <c r="H245" s="4" t="inlineStr">
        <is>
          <t xml:space="preserve">LINEA 8: SOFTWARE FORENSE DE EXTRACCIÓN AVANZADO Y ANALISIS DE INFORMACIÓN DIGITAL (VALDIVIA)</t>
        </is>
      </c>
    </row>
    <row r="246">
      <c r="A246" s="0" t="inlineStr">
        <is>
          <t xml:space="preserve">5240-109-LR26</t>
        </is>
      </c>
      <c r="B246" s="4" t="inlineStr">
        <is>
          <t xml:space="preserve">SOFTWARE USO FORENSE DE EXTRACC. Y ANALIS DE DATOS</t>
        </is>
      </c>
      <c r="C246" s="0">
        <v>9</v>
      </c>
      <c r="D246" s="4" t="inlineStr">
        <is>
          <t xml:space="preserve">Software de extracción de datos</t>
        </is>
      </c>
      <c r="E246" s="4" t="inlineStr">
        <is>
          <t xml:space="preserve">Tecnologías de la información, telecomunicaciones y radiodifusión / Software / Software de consultas y gestión de datos</t>
        </is>
      </c>
      <c r="F246" s="0">
        <v>1.0</v>
      </c>
      <c r="G246" s="0" t="inlineStr">
        <is>
          <t xml:space="preserve">Unidad</t>
        </is>
      </c>
      <c r="H246" s="4" t="inlineStr">
        <is>
          <t xml:space="preserve">LINEA 9: SOFTWARE FORENSE DE EXTRACCIÓN AVANZADO Y ANALISIS DE INFORMACIÓN DIGITAL (PUERTO MONTT)</t>
        </is>
      </c>
    </row>
    <row r="247">
      <c r="A247" s="0" t="inlineStr">
        <is>
          <t xml:space="preserve">2345-137-LR26</t>
        </is>
      </c>
      <c r="B247" s="4" t="inlineStr">
        <is>
          <t xml:space="preserve">SERVICIO DE APLICACIÓN MÓVIL DE SEGURIDAD 1402 PARA LA COMUNA DE LAS CONDES</t>
        </is>
      </c>
      <c r="C247" s="0">
        <v>1</v>
      </c>
      <c r="D247" s="4" t="inlineStr">
        <is>
          <t xml:space="preserve">Web Hosting</t>
        </is>
      </c>
      <c r="E247" s="4" t="inlineStr">
        <is>
          <t xml:space="preserve">Servicios basados en ingeniería, ciencias sociales y tecnología de la información / Servicios informáticos / Servicios para internet</t>
        </is>
      </c>
      <c r="F247" s="0">
        <v>1.0</v>
      </c>
      <c r="G247" s="0" t="inlineStr">
        <is>
          <t xml:space="preserve">Global</t>
        </is>
      </c>
      <c r="H247" s="4" t="inlineStr">
        <is>
          <t xml:space="preserve">De acuerdo a lo indicado en las Bases Técnicas y Anexo N° 3-A y N°3-B</t>
        </is>
      </c>
    </row>
    <row r="248">
      <c r="A248" s="0" t="inlineStr">
        <is>
          <t xml:space="preserve">1882-3-LP26</t>
        </is>
      </c>
      <c r="B248" s="4" t="inlineStr">
        <is>
          <t xml:space="preserve">DPP LA ARAUCANIA SERVICIO DEFENSA RPA LLAMADO 2026</t>
        </is>
      </c>
      <c r="C248" s="0">
        <v>1</v>
      </c>
      <c r="D248" s="4" t="inlineStr">
        <is>
          <t xml:space="preserve">Servicio de defensa penal pública</t>
        </is>
      </c>
      <c r="E248" s="4" t="inlineStr">
        <is>
          <t xml:space="preserve">Servicios profesionales, administrativos y consultorías de gestión empresarial / Servicios legales / Derecho penal</t>
        </is>
      </c>
      <c r="F248" s="0">
        <v>1.0</v>
      </c>
      <c r="G248" s="0" t="inlineStr">
        <is>
          <t xml:space="preserve">Unidad</t>
        </is>
      </c>
      <c r="H248" s="4" t="inlineStr">
        <is>
          <t xml:space="preserve">Contratación con abogad@s, personas jurídicas o abogad@s particulares para la prestación de todo o parte del servicio de Defensa Penal EN LA ZONA 1 RPA ANGOL, SEGUN ANEXO N°1 ADJUNTO.</t>
        </is>
      </c>
    </row>
    <row r="249">
      <c r="A249" s="0" t="inlineStr">
        <is>
          <t xml:space="preserve">1887-4-LP26</t>
        </is>
      </c>
      <c r="B249" s="4" t="inlineStr">
        <is>
          <t xml:space="preserve">SERVICIO DE DEFENSA PENAL EN ZONA 1 RPA</t>
        </is>
      </c>
      <c r="C249" s="0">
        <v>1</v>
      </c>
      <c r="D249" s="4" t="inlineStr">
        <is>
          <t xml:space="preserve">Servicio de defensa penal pública</t>
        </is>
      </c>
      <c r="E249" s="4" t="inlineStr">
        <is>
          <t xml:space="preserve">Servicios profesionales, administrativos y consultorías de gestión empresarial / Servicios legales / Derecho penal</t>
        </is>
      </c>
      <c r="F249" s="0">
        <v>36.0</v>
      </c>
      <c r="G249" s="0" t="inlineStr">
        <is>
          <t xml:space="preserve">Mes</t>
        </is>
      </c>
      <c r="H249" s="4" t="inlineStr">
        <is>
          <t xml:space="preserve">SERVICIO DEFENSA PENAL ZONA 1 RPA(PREFERENTE)</t>
        </is>
      </c>
    </row>
    <row r="250">
      <c r="A250" s="0" t="inlineStr">
        <is>
          <t xml:space="preserve">1605-52-LR26</t>
        </is>
      </c>
      <c r="B250" s="4" t="inlineStr">
        <is>
          <t xml:space="preserve">LR-5231 LICENCIAS DE SOFTWARE CONTROL M</t>
        </is>
      </c>
      <c r="C250" s="0">
        <v>1</v>
      </c>
      <c r="D250" s="4" t="inlineStr">
        <is>
          <t xml:space="preserve">Software de sistema experto</t>
        </is>
      </c>
      <c r="E250" s="4" t="inlineStr">
        <is>
          <t xml:space="preserve">Tecnologías de la información, telecomunicaciones y radiodifusión / Software / Software de gestión</t>
        </is>
      </c>
      <c r="F250" s="0">
        <v>1.0</v>
      </c>
      <c r="G250" s="0" t="inlineStr">
        <is>
          <t xml:space="preserve">Unidad</t>
        </is>
      </c>
      <c r="H250" s="4" t="inlineStr">
        <is>
          <t xml:space="preserve">Adquisición de licencias de Software Control-M modalidad Platform, las cuales serán utilizadas para automatizar, programar y monitorear procesos de negocio por un periodo de 36 meses.</t>
        </is>
      </c>
    </row>
    <row r="251">
      <c r="A251" s="0" t="inlineStr">
        <is>
          <t xml:space="preserve">3759-60-LR26</t>
        </is>
      </c>
      <c r="B251" s="4" t="inlineStr">
        <is>
          <t xml:space="preserve">SERVICIO DE ARRENDAMIENTO DE PLATAFORMA</t>
        </is>
      </c>
      <c r="C251" s="0">
        <v>1</v>
      </c>
      <c r="D251" s="4" t="inlineStr">
        <is>
          <t xml:space="preserve">Software del sistema de administración de bases de datos</t>
        </is>
      </c>
      <c r="E251" s="4" t="inlineStr">
        <is>
          <t xml:space="preserve">Tecnologías de la información, telecomunicaciones y radiodifusión / Software / Software de consultas y gestión de datos</t>
        </is>
      </c>
      <c r="F251" s="0">
        <v>1.0</v>
      </c>
      <c r="G251" s="0" t="inlineStr">
        <is>
          <t xml:space="preserve">Global</t>
        </is>
      </c>
      <c r="H251" s="4" t="inlineStr">
        <is>
          <t xml:space="preserve">SERVICIO DE ARRENDAMIENTO DE PLATAFORMA DE GESTIÓN Y VENTA DE PERMISOS DE CIRCULACIÓN VEHICULAR, COMUNA DE YERBAS BUENAS.</t>
        </is>
      </c>
    </row>
    <row r="252">
      <c r="A252" s="0" t="inlineStr">
        <is>
          <t xml:space="preserve">1057898-85-LR26</t>
        </is>
      </c>
      <c r="B252" s="4" t="inlineStr">
        <is>
          <t xml:space="preserve">ADQUISICIÓN DE SOFTWARES HIS-ESB-BI Y ERP PARA EL NUEVO HOSPITAL REGIONAL DE ÑUBLE</t>
        </is>
      </c>
      <c r="C252" s="0">
        <v>1</v>
      </c>
      <c r="D252" s="4" t="inlineStr">
        <is>
          <t xml:space="preserve">Software de administración</t>
        </is>
      </c>
      <c r="E252" s="4" t="inlineStr">
        <is>
          <t xml:space="preserve">Tecnologías de la información, telecomunicaciones y radiodifusión / Software / Software de administración de redes</t>
        </is>
      </c>
      <c r="F252" s="0">
        <v>1.0</v>
      </c>
      <c r="G252" s="0" t="inlineStr">
        <is>
          <t xml:space="preserve">Global</t>
        </is>
      </c>
      <c r="H252" s="4" t="inlineStr">
        <is>
          <t xml:space="preserve">FAMILIA N°1: SISTEMAS 1 PAQUETIZADO SOFTWARE PRINCIPAL(SOFTWARE COMO SERVICIO)</t>
        </is>
      </c>
    </row>
    <row r="253">
      <c r="A253" s="0" t="inlineStr">
        <is>
          <t xml:space="preserve">1057898-85-LR26</t>
        </is>
      </c>
      <c r="B253" s="4" t="inlineStr">
        <is>
          <t xml:space="preserve">ADQUISICIÓN DE SOFTWARES HIS-ESB-BI Y ERP PARA EL NUEVO HOSPITAL REGIONAL DE ÑUBLE</t>
        </is>
      </c>
      <c r="C253" s="0">
        <v>2</v>
      </c>
      <c r="D253" s="4" t="inlineStr">
        <is>
          <t xml:space="preserve">Software de administración</t>
        </is>
      </c>
      <c r="E253" s="4" t="inlineStr">
        <is>
          <t xml:space="preserve">Tecnologías de la información, telecomunicaciones y radiodifusión / Software / Software de administración de redes</t>
        </is>
      </c>
      <c r="F253" s="0">
        <v>1.0</v>
      </c>
      <c r="G253" s="0" t="inlineStr">
        <is>
          <t xml:space="preserve">Global</t>
        </is>
      </c>
      <c r="H253" s="4" t="inlineStr">
        <is>
          <t xml:space="preserve">FAMILIA N°2: SISTEMAS 2 SISTEMA ERP (SOFTWARE COMO SERVICIO)</t>
        </is>
      </c>
    </row>
    <row r="254">
      <c r="A254" s="0" t="inlineStr">
        <is>
          <t xml:space="preserve">3841-34-LE26</t>
        </is>
      </c>
      <c r="B254" s="4" t="inlineStr">
        <is>
          <t xml:space="preserve">EQUIPOS INFORMATICOS Y AUDIO</t>
        </is>
      </c>
      <c r="C254" s="0">
        <v>1</v>
      </c>
      <c r="D254" s="4" t="inlineStr">
        <is>
          <t xml:space="preserve">Computadores de escritorio</t>
        </is>
      </c>
      <c r="E254" s="4" t="inlineStr">
        <is>
          <t xml:space="preserve">Tecnologías de la información, telecomunicaciones y radiodifusión / Equipos informáticos y accesorios / Computadores</t>
        </is>
      </c>
      <c r="F254" s="0">
        <v>1.0</v>
      </c>
      <c r="G254" s="0" t="inlineStr">
        <is>
          <t xml:space="preserve">Global</t>
        </is>
      </c>
      <c r="H254" s="4" t="inlineStr">
        <is>
          <t xml:space="preserve">EQUIPOS INFORMATICOS DIVERSAS UNIDADES MUNICIPALES SEGUN ANEXO</t>
        </is>
      </c>
    </row>
    <row r="255">
      <c r="A255" s="0" t="inlineStr">
        <is>
          <t xml:space="preserve">3841-34-LE26</t>
        </is>
      </c>
      <c r="B255" s="4" t="inlineStr">
        <is>
          <t xml:space="preserve">EQUIPOS INFORMATICOS Y AUDIO</t>
        </is>
      </c>
      <c r="C255" s="0">
        <v>2</v>
      </c>
      <c r="D255" s="4" t="inlineStr">
        <is>
          <t xml:space="preserve">Parlantes</t>
        </is>
      </c>
      <c r="E255" s="4" t="inlineStr">
        <is>
          <t xml:space="preserve">Muebles, accesorios, electrodomésticos y productos electrónicos / Equipos y accesorios audiovisuales / Equipos audiovisuales y de electrónica menor</t>
        </is>
      </c>
      <c r="F255" s="0">
        <v>1.0</v>
      </c>
      <c r="G255" s="0" t="inlineStr">
        <is>
          <t xml:space="preserve">Global</t>
        </is>
      </c>
      <c r="H255" s="4" t="inlineStr">
        <is>
          <t xml:space="preserve">EQUIPOS DE AUDIO/ AMPLIFIACCIÓN Y OTROS SEGUN ANEXO</t>
        </is>
      </c>
    </row>
    <row r="256">
      <c r="A256" s="0" t="inlineStr">
        <is>
          <t xml:space="preserve">1969-34-LS19</t>
        </is>
      </c>
      <c r="B256" s="4" t="inlineStr">
        <is>
          <t xml:space="preserve">AUTOMATIZACIÓN PORTÓN ACCESO A LINEA DE FUEGO</t>
        </is>
      </c>
      <c r="C256" s="0">
        <v>1</v>
      </c>
      <c r="D256" s="4" t="inlineStr">
        <is>
          <t xml:space="preserve">Puertas de metal</t>
        </is>
      </c>
      <c r="E256" s="4" t="inlineStr">
        <is>
          <t xml:space="preserve">Artículos para estructuras, obras y construcciones / Puertas, ventanas y vidrios / Puertas</t>
        </is>
      </c>
      <c r="F256" s="0">
        <v>1.0</v>
      </c>
      <c r="G256" s="0" t="inlineStr">
        <is>
          <t xml:space="preserve">Unidad</t>
        </is>
      </c>
      <c r="H256" s="4" t="inlineStr">
        <is>
          <t xml:space="preserve">AUTOMATIZACIÓN DE PORTÓN ACCESO A LINEA DE FUEGO C.P. CONCEPCIÓN</t>
        </is>
      </c>
    </row>
  </sheetData>
  <autoFilter ref="A1:H256"/>
</worksheet>
</file>