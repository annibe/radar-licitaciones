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599-42-LE26</t>
        </is>
      </c>
      <c r="B2" s="4" t="inlineStr">
        <is>
          <t xml:space="preserve">PLATAFORMA INSTITUCIONAL DE IA GENERATIVA CHATGPT</t>
        </is>
      </c>
      <c r="C2" s="0" t="inlineStr">
        <is>
          <t xml:space="preserve">Publicada</t>
        </is>
      </c>
      <c r="D2" s="0" t="inlineStr">
        <is>
          <t xml:space="preserve">JUNTA NACIONAL DE JARDINES         INFANTILES</t>
        </is>
      </c>
      <c r="E2" s="0" t="inlineStr">
        <is>
          <t xml:space="preserve">JUNTA NACIONAL DE JARDINES         INFANTILES</t>
        </is>
      </c>
      <c r="F2" s="0" t="inlineStr">
        <is>
          <t xml:space="preserve">Región Metropolitana de Santiago</t>
        </is>
      </c>
      <c r="G2" s="0" t="inlineStr">
        <is>
          <t xml:space="preserve">Santiago</t>
        </is>
      </c>
      <c r="H2" s="2">
        <v>46321.731088</v>
      </c>
      <c r="I2" s="2">
        <v>46328.75</v>
      </c>
      <c r="J2" s="0">
        <v>6</v>
      </c>
      <c r="K2" s="3"/>
      <c r="L2" s="0" t="inlineStr">
        <is>
          <t xml:space="preserve">CLP</t>
        </is>
      </c>
      <c r="M2" s="0" t="inlineStr">
        <is>
          <t xml:space="preserve">LE</t>
        </is>
      </c>
      <c r="N2" s="4" t="inlineStr">
        <is>
          <t xml:space="preserve">Tecnologías de la información, telecomunicaciones y radiodifusión / Software / Software de consultas y gestión de datos</t>
        </is>
      </c>
      <c r="O2" s="4" t="inlineStr">
        <is>
          <t xml:space="preserve">1 Unidad · Software de creación de informes de bases de datos</t>
        </is>
      </c>
      <c r="P2" s="2"/>
      <c r="Q2" s="2"/>
      <c r="R2" s="0" t="inlineStr">
        <is>
          <t xml:space="preserve">12 meses</t>
        </is>
      </c>
      <c r="S2" s="0" t="inlineStr">
        <is>
          <t xml:space="preserve">No</t>
        </is>
      </c>
      <c r="T2" s="4"/>
      <c r="U2" s="0" t="inlineStr">
        <is>
          <t xml:space="preserve">Oficina de Gestión de Contratos</t>
        </is>
      </c>
      <c r="V2" s="4" t="inlineStr">
        <is>
          <t xml:space="preserve">La Junta Nacional de Jardines Infantiles, JUNJI, a través de la Sección de Tecnologías de la In-formación del Departamento de Planificación, de la Junta Nacional de Jardines Infantiles, requiere la contratación del “PROVISIÓN, HABILITACIÓN Y SOPORTE DE LICENCIAS Y CAPACIDAD ADICIONAL DE CONSUMO PARA LA PLATAFORMA INSTITUCIONAL DE INTELIGENCIA ARTIFICIAL GENERATIVA CHATGPT BUSINESS, POR UN PERÍODO DE DOCE MESES”, PARA LA JUNTA NACIONAL DE JARDINES INFANTILES.</t>
        </is>
      </c>
      <c r="W2" s="5" t="str">
        <f>HYPERLINK("https://www.mercadopublico.cl/Procurement/Modules/Attachment/ViewAttachment.aspx?enc=CILMUUfaOw14X0sh9ecnwPtNuC5A4S09QfjTqgro78eWbvReq0aq%2fHyBuFrElvA6GNe04H3bofIySOIWVkKvH8RrHM0MEnPORNjuMQ2bfjIQOp%2bnWQUv0aJyubKmycL1cV%2f7i%2fjP0cFadh2%2bYeTQNyazJ4INI4BGRLGF2GFcrGvjCAIe%2fWC14EfIGx8x8Ooj14Po3N1jTa3cFoXq9juqzixsoNIjzYwfDBBQMg2mBILmtulRRJ6pJbEuYtqwiouvnmCV0KOmRzAaX5gKn7fX9vg%2bXP83nT2K%2fC0mjrytwgPGUR1Y7FtlwYGA4Hs4rOpM","descargar bases")</f>
      </c>
    </row>
    <row r="3">
      <c r="A3" s="0" t="inlineStr">
        <is>
          <t xml:space="preserve">1260113-6-L126</t>
        </is>
      </c>
      <c r="B3" s="4" t="inlineStr">
        <is>
          <t xml:space="preserve">ADQUISICIÓN LICENCIAS MICROSOFT OFFICE 365 A3 FOR FACULTY PARA PROYECTO “ADQUISICIÓN Y REPOSICIÓN DE EQUIPOS INFORMÁTICOS ESTABLECIMIENTOS EDUCACIONALES RURALES SLEPCH”, CÓDIGO BIP 40065439-0</t>
        </is>
      </c>
      <c r="C3" s="0" t="inlineStr">
        <is>
          <t xml:space="preserve">Publicada</t>
        </is>
      </c>
      <c r="D3" s="0" t="inlineStr">
        <is>
          <t xml:space="preserve">SERVICIO LOCAL DE EDUCACION DE CHINCHORRO</t>
        </is>
      </c>
      <c r="E3" s="0" t="inlineStr">
        <is>
          <t xml:space="preserve">Gobierno Regional de Arica y Parinacota GORE</t>
        </is>
      </c>
      <c r="F3" s="0" t="inlineStr">
        <is>
          <t xml:space="preserve">Región Metropolitana de Santiago</t>
        </is>
      </c>
      <c r="G3" s="0" t="inlineStr">
        <is>
          <t xml:space="preserve">Santiago</t>
        </is>
      </c>
      <c r="H3" s="2">
        <v>46321.733333</v>
      </c>
      <c r="I3" s="2">
        <v>46329.416667</v>
      </c>
      <c r="J3" s="0">
        <v>7</v>
      </c>
      <c r="K3" s="3">
        <v>6031872.0</v>
      </c>
      <c r="L3" s="0" t="inlineStr">
        <is>
          <t xml:space="preserve">CLP</t>
        </is>
      </c>
      <c r="M3" s="0" t="inlineStr">
        <is>
          <t xml:space="preserve">L1</t>
        </is>
      </c>
      <c r="N3" s="4" t="inlineStr">
        <is>
          <t xml:space="preserve">Tecnologías de la información, telecomunicaciones y radiodifusión / Software / Software de gestión</t>
        </is>
      </c>
      <c r="O3" s="4" t="inlineStr">
        <is>
          <t xml:space="preserve">72 Unidad · Software de gestión de licencias</t>
        </is>
      </c>
      <c r="P3" s="2"/>
      <c r="Q3" s="2"/>
      <c r="R3" s="0"/>
      <c r="S3" s="0" t="inlineStr">
        <is>
          <t xml:space="preserve">No</t>
        </is>
      </c>
      <c r="T3" s="4"/>
      <c r="U3" s="0"/>
      <c r="V3" s="4" t="inlineStr">
        <is>
          <t xml:space="preserve">ADQUISICIÓN LICENCIAS MICROSOFT OFFICE 365 A3 FOR FACULTY PARA PROYECTO “ADQUISICIÓN Y REPOSICIÓN DE EQUIPOS INFORMÁTICOS ESTABLECIMIENTOS EDUCACIONALES RURALES SLEPCH”, CÓDIGO BIP 40065439-0</t>
        </is>
      </c>
      <c r="W3" s="5" t="str">
        <f>HYPERLINK("https://www.mercadopublico.cl/Procurement/Modules/Attachment/ViewAttachment.aspx?enc=aqR4ucf1YHdKeQM0YqZVM5t%2bg6nA4ihgjvSJhx4n52g1WQv9Yyr7Rr396OXf5lVn5IAKmcpoEJv71vyabm10uL0NPnMT%2fb2DS9fKTib760J61uQ7wcbzsFQif9LMVYJt9EYQatQ%2fSJx5lYTlTrjZTO%2f7vlLN0%2bUyA2Uz9C40C7ZhJoyTomfSMFbXnZFnw%2bMQQfKVn2k2%2bYn9fT2GfPnG4bjgvxF9B27YB53uuXarDB4RsbUboobsZsR4F25Up03n9wIpd%2bZNbmvHj%2f9%2fjHC5j7wcEAwcNN%2b9Wvzs6XPcytAsiR3bNwGPq0g2l0s9WDNe","descargar bases")</f>
      </c>
    </row>
    <row r="4">
      <c r="A4" s="0" t="inlineStr">
        <is>
          <t xml:space="preserve">885-107-LE26</t>
        </is>
      </c>
      <c r="B4" s="4" t="inlineStr">
        <is>
          <t xml:space="preserve">Contratación de una herramienta automatizada de análisis de vulnerabilidades de ciberseguridad para la CGR</t>
        </is>
      </c>
      <c r="C4" s="0" t="inlineStr">
        <is>
          <t xml:space="preserve">Publicada</t>
        </is>
      </c>
      <c r="D4" s="0" t="inlineStr">
        <is>
          <t xml:space="preserve">CONTRALORIA GENERAL DE LA REPUBLICA</t>
        </is>
      </c>
      <c r="E4" s="0" t="inlineStr">
        <is>
          <t xml:space="preserve">Contraloría General de la República</t>
        </is>
      </c>
      <c r="F4" s="0" t="inlineStr">
        <is>
          <t xml:space="preserve">Región Metropolitana de Santiago</t>
        </is>
      </c>
      <c r="G4" s="0" t="inlineStr">
        <is>
          <t xml:space="preserve">Santiago</t>
        </is>
      </c>
      <c r="H4" s="2">
        <v>46321.704144</v>
      </c>
      <c r="I4" s="2">
        <v>46329.666667</v>
      </c>
      <c r="J4" s="0">
        <v>7</v>
      </c>
      <c r="K4" s="3">
        <v>25000000.0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Software de sistema experto</t>
        </is>
      </c>
      <c r="P4" s="2"/>
      <c r="Q4" s="2"/>
      <c r="R4" s="0" t="inlineStr">
        <is>
          <t xml:space="preserve">12 meses</t>
        </is>
      </c>
      <c r="S4" s="0" t="inlineStr">
        <is>
          <t xml:space="preserve">No</t>
        </is>
      </c>
      <c r="T4" s="4"/>
      <c r="U4" s="0" t="inlineStr">
        <is>
          <t xml:space="preserve">Antonio Alejandro Alcázar Garrido</t>
        </is>
      </c>
      <c r="V4"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4"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5">
      <c r="A5" s="0" t="inlineStr">
        <is>
          <t xml:space="preserve">1057062-10-LE26</t>
        </is>
      </c>
      <c r="B5" s="4" t="inlineStr">
        <is>
          <t xml:space="preserve">Servicio de Medios Digital y Radial URYRED 22992</t>
        </is>
      </c>
      <c r="C5" s="0" t="inlineStr">
        <is>
          <t xml:space="preserve">Publicada</t>
        </is>
      </c>
      <c r="D5" s="0" t="inlineStr">
        <is>
          <t xml:space="preserve">UNIVERSIDAD DE AYSEN</t>
        </is>
      </c>
      <c r="E5" s="0" t="inlineStr">
        <is>
          <t xml:space="preserve">Proyectos</t>
        </is>
      </c>
      <c r="F5" s="0" t="inlineStr">
        <is>
          <t xml:space="preserve">Región Aysén del General Carlos Ibáñez del Campo</t>
        </is>
      </c>
      <c r="G5" s="0" t="inlineStr">
        <is>
          <t xml:space="preserve">Coyhaique</t>
        </is>
      </c>
      <c r="H5" s="2">
        <v>46321.746574</v>
      </c>
      <c r="I5" s="2">
        <v>46331.649306</v>
      </c>
      <c r="J5" s="0">
        <v>9</v>
      </c>
      <c r="K5" s="3"/>
      <c r="L5" s="0" t="inlineStr">
        <is>
          <t xml:space="preserve">CLP</t>
        </is>
      </c>
      <c r="M5" s="0" t="inlineStr">
        <is>
          <t xml:space="preserve">LE</t>
        </is>
      </c>
      <c r="N5" s="4" t="inlineStr">
        <is>
          <t xml:space="preserve">Servicios editoriales, de diseño, publicidad, gráficos y artistas / Publicidad / Agencias de publicidad</t>
        </is>
      </c>
      <c r="O5" s="4" t="inlineStr">
        <is>
          <t xml:space="preserve">1 Unidad · Campañas publicitarias</t>
        </is>
      </c>
      <c r="P5" s="2"/>
      <c r="Q5" s="2"/>
      <c r="R5" s="0"/>
      <c r="S5" s="0" t="inlineStr">
        <is>
          <t xml:space="preserve">No</t>
        </is>
      </c>
      <c r="T5" s="4"/>
      <c r="U5" s="0" t="inlineStr">
        <is>
          <t xml:space="preserve">Jeimy Fontecha Jiménez</t>
        </is>
      </c>
      <c r="V5"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5"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6">
      <c r="A6" s="0" t="inlineStr">
        <is>
          <t xml:space="preserve">1469-324-L126</t>
        </is>
      </c>
      <c r="B6" s="4" t="inlineStr">
        <is>
          <t xml:space="preserve">ADQUISICIÓN LICENCIAS DIGITALES PLATAFORMA EDUCACIONAL IDIOMA FRANCÉS</t>
        </is>
      </c>
      <c r="C6" s="0" t="inlineStr">
        <is>
          <t xml:space="preserve">Publicada</t>
        </is>
      </c>
      <c r="D6" s="0" t="inlineStr">
        <is>
          <t xml:space="preserve">UNIVERSIDAD DE TALCA</t>
        </is>
      </c>
      <c r="E6" s="0" t="inlineStr">
        <is>
          <t xml:space="preserve">Universidad de Talca</t>
        </is>
      </c>
      <c r="F6" s="0" t="inlineStr">
        <is>
          <t xml:space="preserve">Región del Maule </t>
        </is>
      </c>
      <c r="G6" s="0" t="inlineStr">
        <is>
          <t xml:space="preserve">Curicó</t>
        </is>
      </c>
      <c r="H6" s="2">
        <v>46322.365602</v>
      </c>
      <c r="I6" s="2">
        <v>46331.625</v>
      </c>
      <c r="J6" s="0">
        <v>9</v>
      </c>
      <c r="K6" s="3">
        <v>1075600.0</v>
      </c>
      <c r="L6" s="0" t="inlineStr">
        <is>
          <t xml:space="preserve">CLP</t>
        </is>
      </c>
      <c r="M6" s="0" t="inlineStr">
        <is>
          <t xml:space="preserve">L1</t>
        </is>
      </c>
      <c r="N6" s="4" t="inlineStr">
        <is>
          <t xml:space="preserve">Instrumentos musicales, juegos, juguetes, artesanías y materiales educativos / Materiales, artículos y suministros didácticos profesionales y para el desarrollo personal / Recursos de lenguas extranjeras</t>
        </is>
      </c>
      <c r="O6" s="4" t="inlineStr">
        <is>
          <t xml:space="preserve">2 Unidad · Cursos y materiales de apoyo para aprender a hablar francés · 2 Unidad · Cursos y materiales de apoyo para aprender a hablar francés · 2 Unidad · Cursos y materiales de apoyo para aprender a hablar francés · y 11 más</t>
        </is>
      </c>
      <c r="P6" s="2"/>
      <c r="Q6" s="2"/>
      <c r="R6" s="0"/>
      <c r="S6" s="0" t="inlineStr">
        <is>
          <t xml:space="preserve">No</t>
        </is>
      </c>
      <c r="T6" s="4"/>
      <c r="U6" s="0"/>
      <c r="V6" s="4" t="inlineStr">
        <is>
          <t xml:space="preserve">La Universidad de Talca requiere adquirir licencias digitales de 3 editoriales, Maison des Langues, Clé y Hachette, para docentes de cursos de francés de pregrado</t>
        </is>
      </c>
      <c r="W6"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7">
      <c r="A7" s="0" t="inlineStr">
        <is>
          <t xml:space="preserve">3328-116-LE26</t>
        </is>
      </c>
      <c r="B7" s="4" t="inlineStr">
        <is>
          <t xml:space="preserve">ASB ADQ. PLATAFORMA AVANZADA ELECTROQUIRÚRGICA</t>
        </is>
      </c>
      <c r="C7" s="0" t="inlineStr">
        <is>
          <t xml:space="preserve">Publicada</t>
        </is>
      </c>
      <c r="D7" s="0" t="inlineStr">
        <is>
          <t xml:space="preserve">FUERZA AEREA DE CHILE COMANDO LOGISTICO</t>
        </is>
      </c>
      <c r="E7" s="0" t="inlineStr">
        <is>
          <t xml:space="preserve">Hospital Clinico " General Dr. Raúl Yazigi J."</t>
        </is>
      </c>
      <c r="F7" s="0" t="inlineStr">
        <is>
          <t xml:space="preserve">Región Metropolitana de Santiago</t>
        </is>
      </c>
      <c r="G7" s="0" t="inlineStr">
        <is>
          <t xml:space="preserve">Las Condes</t>
        </is>
      </c>
      <c r="H7" s="2">
        <v>46321.607523</v>
      </c>
      <c r="I7" s="2">
        <v>46331.75</v>
      </c>
      <c r="J7" s="0">
        <v>9</v>
      </c>
      <c r="K7" s="3">
        <v>34000000.0</v>
      </c>
      <c r="L7" s="0" t="inlineStr">
        <is>
          <t xml:space="preserve">CLP</t>
        </is>
      </c>
      <c r="M7" s="0" t="inlineStr">
        <is>
          <t xml:space="preserve">LE</t>
        </is>
      </c>
      <c r="N7" s="4" t="inlineStr">
        <is>
          <t xml:space="preserve">Equipamiento y suministros médicos / Productos quirúrgicos / Equipo quirúrgico, accesorios y productos relacionados</t>
        </is>
      </c>
      <c r="O7" s="4" t="inlineStr">
        <is>
          <t xml:space="preserve">2 Unidad · Equipo de microcirugía o accesorios</t>
        </is>
      </c>
      <c r="P7" s="2"/>
      <c r="Q7" s="2"/>
      <c r="R7" s="0"/>
      <c r="S7" s="0" t="inlineStr">
        <is>
          <t xml:space="preserve">No</t>
        </is>
      </c>
      <c r="T7" s="4"/>
      <c r="U7" s="0" t="inlineStr">
        <is>
          <t xml:space="preserve">PATRICIO CISTERNAS</t>
        </is>
      </c>
      <c r="V7"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7"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8">
      <c r="A8" s="0" t="inlineStr">
        <is>
          <t xml:space="preserve">5251-93-LE26</t>
        </is>
      </c>
      <c r="B8" s="4" t="inlineStr">
        <is>
          <t xml:space="preserve">SERVICIOS DE SOPORTE PARA BASE DE DATOS INSTITUCIONALES</t>
        </is>
      </c>
      <c r="C8" s="0" t="inlineStr">
        <is>
          <t xml:space="preserve">Publicada</t>
        </is>
      </c>
      <c r="D8" s="0" t="inlineStr">
        <is>
          <t xml:space="preserve">UNIVERSIDAD TECNOLOGICA METROPOLITANA</t>
        </is>
      </c>
      <c r="E8" s="0" t="inlineStr">
        <is>
          <t xml:space="preserve">DEPARTAMENTO DE ABASTECIMIENTO</t>
        </is>
      </c>
      <c r="F8" s="0" t="inlineStr">
        <is>
          <t xml:space="preserve">Región Metropolitana de Santiago</t>
        </is>
      </c>
      <c r="G8" s="0" t="inlineStr">
        <is>
          <t xml:space="preserve">Santiago</t>
        </is>
      </c>
      <c r="H8" s="2">
        <v>46321.762199</v>
      </c>
      <c r="I8" s="2">
        <v>46331.833333</v>
      </c>
      <c r="J8" s="0">
        <v>9</v>
      </c>
      <c r="K8" s="3">
        <v>34000000.0</v>
      </c>
      <c r="L8" s="0" t="inlineStr">
        <is>
          <t xml:space="preserve">CLP</t>
        </is>
      </c>
      <c r="M8" s="0" t="inlineStr">
        <is>
          <t xml:space="preserve">LE</t>
        </is>
      </c>
      <c r="N8" s="4" t="inlineStr">
        <is>
          <t xml:space="preserve">Servicios basados en ingeniería, ciencias sociales y tecnología de la información / Servicios informáticos / Administración de sistemas</t>
        </is>
      </c>
      <c r="O8" s="4" t="inlineStr">
        <is>
          <t xml:space="preserve">1 Unidad · Mantenimiento y soporte de hardware</t>
        </is>
      </c>
      <c r="P8" s="2"/>
      <c r="Q8" s="2"/>
      <c r="R8" s="0" t="inlineStr">
        <is>
          <t xml:space="preserve">24 meses</t>
        </is>
      </c>
      <c r="S8" s="0" t="inlineStr">
        <is>
          <t xml:space="preserve">No</t>
        </is>
      </c>
      <c r="T8" s="4"/>
      <c r="U8" s="0" t="inlineStr">
        <is>
          <t xml:space="preserve">José Leyton</t>
        </is>
      </c>
      <c r="V8"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8"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9">
      <c r="A9" s="0" t="inlineStr">
        <is>
          <t xml:space="preserve">5350-38-LE26</t>
        </is>
      </c>
      <c r="B9" s="4" t="inlineStr">
        <is>
          <t xml:space="preserve">CONVENIO SUMINISTRO SOFTWARE INVENTARIO DROGUERIA</t>
        </is>
      </c>
      <c r="C9" s="0" t="inlineStr">
        <is>
          <t xml:space="preserve">Publicada</t>
        </is>
      </c>
      <c r="D9" s="0" t="inlineStr">
        <is>
          <t xml:space="preserve">I MUNICIPALIDAD DE VALLENAR</t>
        </is>
      </c>
      <c r="E9" s="0" t="inlineStr">
        <is>
          <t xml:space="preserve">DEPTO DE SALUD MUNICIPAL</t>
        </is>
      </c>
      <c r="F9" s="0" t="inlineStr">
        <is>
          <t xml:space="preserve">Región de Atacama </t>
        </is>
      </c>
      <c r="G9" s="0"/>
      <c r="H9" s="2">
        <v>46321.71816</v>
      </c>
      <c r="I9" s="2">
        <v>46331.647222</v>
      </c>
      <c r="J9" s="0">
        <v>9</v>
      </c>
      <c r="K9" s="3">
        <v>10000000.0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Programas de gestión de inventario</t>
        </is>
      </c>
      <c r="P9" s="2"/>
      <c r="Q9" s="2"/>
      <c r="R9" s="0" t="inlineStr">
        <is>
          <t xml:space="preserve">36 meses</t>
        </is>
      </c>
      <c r="S9" s="0" t="inlineStr">
        <is>
          <t xml:space="preserve">No</t>
        </is>
      </c>
      <c r="T9" s="4"/>
      <c r="U9" s="0" t="inlineStr">
        <is>
          <t xml:space="preserve">x</t>
        </is>
      </c>
      <c r="V9" s="4" t="inlineStr">
        <is>
          <t xml:space="preserve">CONVENIO SUMINISTRO SOFTWARE INVENTARIO DROGUERIA</t>
        </is>
      </c>
      <c r="W9"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10">
      <c r="A10" s="0" t="inlineStr">
        <is>
          <t xml:space="preserve">1057432-98-LE26</t>
        </is>
      </c>
      <c r="B10" s="4" t="inlineStr">
        <is>
          <t xml:space="preserve">CONTRATACIÓN PLATAFORMA MOODLE POR UN PERIODO DE 2</t>
        </is>
      </c>
      <c r="C10" s="0" t="inlineStr">
        <is>
          <t xml:space="preserve">Publicada</t>
        </is>
      </c>
      <c r="D10" s="0" t="inlineStr">
        <is>
          <t xml:space="preserve">SERVICIO DE SALUD CONCEPCION</t>
        </is>
      </c>
      <c r="E10" s="0" t="inlineStr">
        <is>
          <t xml:space="preserve">Servicio de Salud  Concepción</t>
        </is>
      </c>
      <c r="F10" s="0" t="inlineStr">
        <is>
          <t xml:space="preserve">Región del Biobío </t>
        </is>
      </c>
      <c r="G10" s="0" t="inlineStr">
        <is>
          <t xml:space="preserve">Concepción</t>
        </is>
      </c>
      <c r="H10" s="2">
        <v>46322.38941</v>
      </c>
      <c r="I10" s="2">
        <v>46332.625</v>
      </c>
      <c r="J10" s="0">
        <v>10</v>
      </c>
      <c r="K10" s="3"/>
      <c r="L10" s="0" t="inlineStr">
        <is>
          <t xml:space="preserve">CLP</t>
        </is>
      </c>
      <c r="M10" s="0" t="inlineStr">
        <is>
          <t xml:space="preserve">LE</t>
        </is>
      </c>
      <c r="N10" s="4" t="inlineStr">
        <is>
          <t xml:space="preserve">Tecnologías de la información, telecomunicaciones y radiodifusión / Software / Programas de desarrollo</t>
        </is>
      </c>
      <c r="O10" s="4" t="inlineStr">
        <is>
          <t xml:space="preserve">1 Unidad · Software de desarrollo de plataforma Web</t>
        </is>
      </c>
      <c r="P10" s="2"/>
      <c r="Q10" s="2"/>
      <c r="R10" s="0" t="inlineStr">
        <is>
          <t xml:space="preserve">24 meses</t>
        </is>
      </c>
      <c r="S10" s="0" t="inlineStr">
        <is>
          <t xml:space="preserve">No</t>
        </is>
      </c>
      <c r="T10" s="4"/>
      <c r="U10" s="0" t="inlineStr">
        <is>
          <t xml:space="preserve">Macarena del Canto Portolés</t>
        </is>
      </c>
      <c r="V10"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10"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11">
      <c r="A11" s="0" t="inlineStr">
        <is>
          <t xml:space="preserve">1079516-43-LE26</t>
        </is>
      </c>
      <c r="B11" s="4" t="inlineStr">
        <is>
          <t xml:space="preserve">ADQ. ACTUALIZACION  12 MESES LICENCIA SOFTWARE PARA SECCION OS 9 VALPARAISO</t>
        </is>
      </c>
      <c r="C11" s="0" t="inlineStr">
        <is>
          <t xml:space="preserve">Publicada</t>
        </is>
      </c>
      <c r="D11" s="0" t="inlineStr">
        <is>
          <t xml:space="preserve">DIRECCION DE LOGISTICA DE CARABINEROS</t>
        </is>
      </c>
      <c r="E11" s="0" t="inlineStr">
        <is>
          <t xml:space="preserve">SECCIÓN COMPRAS ZONA DE CARABINEROS VALPARAISO</t>
        </is>
      </c>
      <c r="F11" s="0" t="inlineStr">
        <is>
          <t xml:space="preserve">Región de Valparaíso </t>
        </is>
      </c>
      <c r="G11" s="0" t="inlineStr">
        <is>
          <t xml:space="preserve">Santo Domingo</t>
        </is>
      </c>
      <c r="H11" s="2">
        <v>46322.441921</v>
      </c>
      <c r="I11" s="2">
        <v>46332.541667</v>
      </c>
      <c r="J11" s="0">
        <v>10</v>
      </c>
      <c r="K11" s="3">
        <v>35000000.0</v>
      </c>
      <c r="L11" s="0" t="inlineStr">
        <is>
          <t xml:space="preserve">CLP</t>
        </is>
      </c>
      <c r="M11" s="0" t="inlineStr">
        <is>
          <t xml:space="preserve">LE</t>
        </is>
      </c>
      <c r="N11" s="4" t="inlineStr">
        <is>
          <t xml:space="preserve">Equipamiento y suministros médicos / Productos para imágenes y de medicina nuclear / Artículos para archivar información e imágenes radiológicas</t>
        </is>
      </c>
      <c r="O11" s="4" t="inlineStr">
        <is>
          <t xml:space="preserve">1 Unidad · Software de sistemas de archivado de película radiográfica médica</t>
        </is>
      </c>
      <c r="P11" s="2"/>
      <c r="Q11" s="2"/>
      <c r="R11" s="0"/>
      <c r="S11" s="0" t="inlineStr">
        <is>
          <t xml:space="preserve">No</t>
        </is>
      </c>
      <c r="T11" s="4"/>
      <c r="U11" s="0" t="inlineStr">
        <is>
          <t xml:space="preserve">DEAOPEROL ZONA VALPARAISO</t>
        </is>
      </c>
      <c r="V11" s="4" t="inlineStr">
        <is>
          <t xml:space="preserve">ADQUISICIN  ACTUALIZACIÓN  12 MESES LICENCIA SOFTWARE PARA SECCION OS 9 VALPARAISO, CONFORME A ESPECIFICACIONES TECNICAS ANEXO N°3 Y A LA PRESENTACION OFERTA EN FORMATO ANEXO N°2.</t>
        </is>
      </c>
      <c r="W11"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12">
      <c r="A12" s="0" t="inlineStr">
        <is>
          <t xml:space="preserve">1375746-21-LE26</t>
        </is>
      </c>
      <c r="B12" s="4" t="inlineStr">
        <is>
          <t xml:space="preserve">ADQUISICIÓN DE SOFTWARE Y PLATAFORMAS</t>
        </is>
      </c>
      <c r="C12" s="0" t="inlineStr">
        <is>
          <t xml:space="preserve">Publicada</t>
        </is>
      </c>
      <c r="D12" s="0" t="inlineStr">
        <is>
          <t xml:space="preserve">SERVICIO LOCAL DE EDUCACIÓN PÚBLICA ACONCAGUA</t>
        </is>
      </c>
      <c r="E12" s="0" t="inlineStr">
        <is>
          <t xml:space="preserve">COMPRAS Y LICITACIONES</t>
        </is>
      </c>
      <c r="F12" s="0" t="inlineStr">
        <is>
          <t xml:space="preserve">Región de Valparaíso </t>
        </is>
      </c>
      <c r="G12" s="0" t="inlineStr">
        <is>
          <t xml:space="preserve">San Felipe</t>
        </is>
      </c>
      <c r="H12" s="2">
        <v>46322.469236</v>
      </c>
      <c r="I12" s="2">
        <v>46332.625</v>
      </c>
      <c r="J12" s="0">
        <v>10</v>
      </c>
      <c r="K12" s="3">
        <v>20000000.0</v>
      </c>
      <c r="L12" s="0" t="inlineStr">
        <is>
          <t xml:space="preserve">CLP</t>
        </is>
      </c>
      <c r="M12" s="0" t="inlineStr">
        <is>
          <t xml:space="preserve">LE</t>
        </is>
      </c>
      <c r="N12" s="4" t="inlineStr">
        <is>
          <t xml:space="preserve">Tecnologías de la información, telecomunicaciones y radiodifusión / Software / Software de administración de redes</t>
        </is>
      </c>
      <c r="O12" s="4" t="inlineStr">
        <is>
          <t xml:space="preserve">1 Global · Software de administración</t>
        </is>
      </c>
      <c r="P12" s="2"/>
      <c r="Q12" s="2"/>
      <c r="R12" s="0"/>
      <c r="S12" s="0" t="inlineStr">
        <is>
          <t xml:space="preserve">No</t>
        </is>
      </c>
      <c r="T12" s="4" t="inlineStr">
        <is>
          <t xml:space="preserve">El adjudicatario no podrá ceder ni transferir en forma alguna, total ni parcialmente, los derechos y obligaciones que nacen del desarrollo de esta licitación. Esta licitación no permite la subcontratación.</t>
        </is>
      </c>
      <c r="U12" s="0" t="inlineStr">
        <is>
          <t xml:space="preserve">Ana Tamara Corvalán Ramírez</t>
        </is>
      </c>
      <c r="V12" s="4" t="inlineStr">
        <is>
          <t xml:space="preserve">LICITACIÓN PÚBLICA ADQUISICIÓN DE SOFTWARE Y PLATAFORMAS PARA LA GESTIÓN ADMINISTRATIVA DEL SERVICIO LOCAL DE EDUCACIÓN PÚBLICA DEL ACONCAGUA</t>
        </is>
      </c>
      <c r="W12"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13">
      <c r="A13" s="0" t="inlineStr">
        <is>
          <t xml:space="preserve">1426102-7-LE26</t>
        </is>
      </c>
      <c r="B13" s="4" t="inlineStr">
        <is>
          <t xml:space="preserve">SERVICIO DE TELEFONIA IP Y TV DIGITAL PARA LAE IP PTO. MONTT</t>
        </is>
      </c>
      <c r="C13" s="0" t="inlineStr">
        <is>
          <t xml:space="preserve">Publicada</t>
        </is>
      </c>
      <c r="D13" s="0" t="inlineStr">
        <is>
          <t xml:space="preserve">SERVICIO NACIONAL DE REINSERCION SOCIAL JUVENIL</t>
        </is>
      </c>
      <c r="E13" s="0" t="inlineStr">
        <is>
          <t xml:space="preserve">DIRECCIÓN REGIONAL DE LOS LAGOS</t>
        </is>
      </c>
      <c r="F13" s="0" t="inlineStr">
        <is>
          <t xml:space="preserve">Región de los Lagos </t>
        </is>
      </c>
      <c r="G13" s="0" t="inlineStr">
        <is>
          <t xml:space="preserve">Puerto Montt</t>
        </is>
      </c>
      <c r="H13" s="2">
        <v>46322.531007</v>
      </c>
      <c r="I13" s="2">
        <v>46332.625694</v>
      </c>
      <c r="J13" s="0">
        <v>10</v>
      </c>
      <c r="K13" s="3"/>
      <c r="L13" s="0" t="inlineStr">
        <is>
          <t xml:space="preserve">CLP</t>
        </is>
      </c>
      <c r="M13" s="0" t="inlineStr">
        <is>
          <t xml:space="preserve">LE</t>
        </is>
      </c>
      <c r="N13" s="4" t="inlineStr">
        <is>
          <t xml:space="preserve">Servicios básicos y de información pública / Telecomunicaciones / Telefonía local y de larga distancia</t>
        </is>
      </c>
      <c r="O13" s="4" t="inlineStr">
        <is>
          <t xml:space="preserve">1 Unidad · Servicio de comunicación IP</t>
        </is>
      </c>
      <c r="P13" s="2"/>
      <c r="Q13" s="2"/>
      <c r="R13" s="0" t="inlineStr">
        <is>
          <t xml:space="preserve">24 meses</t>
        </is>
      </c>
      <c r="S13" s="0" t="inlineStr">
        <is>
          <t xml:space="preserve">No</t>
        </is>
      </c>
      <c r="T13" s="4"/>
      <c r="U13" s="0" t="inlineStr">
        <is>
          <t xml:space="preserve">Alejandra Martinez</t>
        </is>
      </c>
      <c r="V13" s="4" t="inlineStr">
        <is>
          <t xml:space="preserve">Contratar servicios de telefonía IP y TV digital para dar continuidad operativa de telecomunicaciones del centro LAE IP de Puerto Montt.</t>
        </is>
      </c>
      <c r="W13"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14">
      <c r="A14" s="0" t="inlineStr">
        <is>
          <t xml:space="preserve">2686-140-LE26</t>
        </is>
      </c>
      <c r="B14" s="4" t="inlineStr">
        <is>
          <t xml:space="preserve">ADQUISICIÓN DE TÓTEMS AUTOATENCIÓN</t>
        </is>
      </c>
      <c r="C14" s="0" t="inlineStr">
        <is>
          <t xml:space="preserve">Publicada</t>
        </is>
      </c>
      <c r="D14" s="0" t="inlineStr">
        <is>
          <t xml:space="preserve">I MUNICIPALIDAD DE COLINA</t>
        </is>
      </c>
      <c r="E14" s="0" t="inlineStr">
        <is>
          <t xml:space="preserve">SECPLAN</t>
        </is>
      </c>
      <c r="F14" s="0" t="inlineStr">
        <is>
          <t xml:space="preserve">Región Metropolitana de Santiago</t>
        </is>
      </c>
      <c r="G14" s="0" t="inlineStr">
        <is>
          <t xml:space="preserve">Colina</t>
        </is>
      </c>
      <c r="H14" s="2">
        <v>46322.503472</v>
      </c>
      <c r="I14" s="2">
        <v>46332.625</v>
      </c>
      <c r="J14" s="0">
        <v>10</v>
      </c>
      <c r="K14" s="3"/>
      <c r="L14" s="0" t="inlineStr">
        <is>
          <t xml:space="preserve">CLP</t>
        </is>
      </c>
      <c r="M14" s="0" t="inlineStr">
        <is>
          <t xml:space="preserve">LE</t>
        </is>
      </c>
      <c r="N14" s="4" t="inlineStr">
        <is>
          <t xml:space="preserve">Equipos y suministros de defensa, orden público, protección y seguridad / Equipos para orden público / Equipo para control de disturbios</t>
        </is>
      </c>
      <c r="O14" s="4" t="inlineStr">
        <is>
          <t xml:space="preserve">1 Unidad · Sistemas de control de formación de filas</t>
        </is>
      </c>
      <c r="P14" s="2"/>
      <c r="Q14" s="2"/>
      <c r="R14" s="0" t="inlineStr">
        <is>
          <t xml:space="preserve">45 días</t>
        </is>
      </c>
      <c r="S14" s="0" t="inlineStr">
        <is>
          <t xml:space="preserve">No</t>
        </is>
      </c>
      <c r="T14" s="4"/>
      <c r="U14" s="0" t="inlineStr">
        <is>
          <t xml:space="preserve">PABLO SEPULVEDA SEMINARIO</t>
        </is>
      </c>
      <c r="V14"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14"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15">
      <c r="A15" s="0" t="inlineStr">
        <is>
          <t xml:space="preserve">3608-29-LE26</t>
        </is>
      </c>
      <c r="B15" s="4" t="inlineStr">
        <is>
          <t xml:space="preserve">Adquisición de equipos computacionales e informáticos</t>
        </is>
      </c>
      <c r="C15" s="0" t="inlineStr">
        <is>
          <t xml:space="preserve">Publicada</t>
        </is>
      </c>
      <c r="D15" s="0" t="inlineStr">
        <is>
          <t xml:space="preserve">I MUNICIPALIDAD DE SAAVEDRA</t>
        </is>
      </c>
      <c r="E15" s="0" t="inlineStr">
        <is>
          <t xml:space="preserve">I MUNICIPALIDAD DE SAAVEDRA</t>
        </is>
      </c>
      <c r="F15" s="0" t="inlineStr">
        <is>
          <t xml:space="preserve">Región de la Araucanía </t>
        </is>
      </c>
      <c r="G15" s="0" t="inlineStr">
        <is>
          <t xml:space="preserve">Puerto Saavedra</t>
        </is>
      </c>
      <c r="H15" s="2">
        <v>46321.713819</v>
      </c>
      <c r="I15" s="2">
        <v>46332.643056</v>
      </c>
      <c r="J15" s="0">
        <v>10</v>
      </c>
      <c r="K15" s="3">
        <v>8500000.0</v>
      </c>
      <c r="L15" s="0" t="inlineStr">
        <is>
          <t xml:space="preserve">CLP</t>
        </is>
      </c>
      <c r="M15" s="0" t="inlineStr">
        <is>
          <t xml:space="preserve">LE</t>
        </is>
      </c>
      <c r="N15"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15" s="4" t="inlineStr">
        <is>
          <t xml:space="preserve">6 Unidad · Computadores personales · 2 Unidad · Monitores de vídeo · 1 Unidad · Notebook, laptop o computador portátil excepto Tablet PC · y 2 más</t>
        </is>
      </c>
      <c r="P15" s="2"/>
      <c r="Q15" s="2"/>
      <c r="R15" s="0"/>
      <c r="S15" s="0" t="inlineStr">
        <is>
          <t xml:space="preserve">No</t>
        </is>
      </c>
      <c r="T15" s="4"/>
      <c r="U15" s="0" t="inlineStr">
        <is>
          <t xml:space="preserve">Samuel Pichinao Painepe</t>
        </is>
      </c>
      <c r="V15" s="4" t="inlineStr">
        <is>
          <t xml:space="preserve">Adquisición de equipos computacionales e informáticos destinados a apoyar las labores administrativas de los distintos departamentos y unidades municipales. Se adjuntan bases administrativas, bases técnicas y anexos.</t>
        </is>
      </c>
      <c r="W15"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16">
      <c r="A16" s="0" t="inlineStr">
        <is>
          <t xml:space="preserve">1082957-34-LP26</t>
        </is>
      </c>
      <c r="B16" s="4" t="inlineStr">
        <is>
          <t xml:space="preserve">Servicios de telefonía IP Cloud y otros para ProChile.</t>
        </is>
      </c>
      <c r="C16" s="0" t="inlineStr">
        <is>
          <t xml:space="preserve">Publicada</t>
        </is>
      </c>
      <c r="D16" s="0" t="inlineStr">
        <is>
          <t xml:space="preserve">DIRECCION GENERAL DE PROMOCION DE EXPORTACIONES</t>
        </is>
      </c>
      <c r="E16" s="0" t="inlineStr">
        <is>
          <t xml:space="preserve">MN PROMOCION DE EXPORTACIONES</t>
        </is>
      </c>
      <c r="F16" s="0" t="inlineStr">
        <is>
          <t xml:space="preserve">Región Metropolitana de Santiago</t>
        </is>
      </c>
      <c r="G16" s="0"/>
      <c r="H16" s="2">
        <v>46321.649641</v>
      </c>
      <c r="I16" s="2">
        <v>46335.625694</v>
      </c>
      <c r="J16" s="0">
        <v>13</v>
      </c>
      <c r="K16" s="3">
        <v>1900.0</v>
      </c>
      <c r="L16" s="0" t="inlineStr">
        <is>
          <t xml:space="preserve">CLF</t>
        </is>
      </c>
      <c r="M16" s="0" t="inlineStr">
        <is>
          <t xml:space="preserve">LP</t>
        </is>
      </c>
      <c r="N16" s="4" t="inlineStr">
        <is>
          <t xml:space="preserve">Servicios básicos y de información pública / Telecomunicaciones / Telefonía local y de larga distancia</t>
        </is>
      </c>
      <c r="O16" s="4" t="inlineStr">
        <is>
          <t xml:space="preserve">1 Unidad · Servicio de comunicación IP</t>
        </is>
      </c>
      <c r="P16" s="2"/>
      <c r="Q16" s="2"/>
      <c r="R16" s="0" t="inlineStr">
        <is>
          <t xml:space="preserve">37 meses</t>
        </is>
      </c>
      <c r="S16" s="0" t="inlineStr">
        <is>
          <t xml:space="preserve">No</t>
        </is>
      </c>
      <c r="T16" s="4" t="inlineStr">
        <is>
          <t xml:space="preserve">El adjudicatario no podrá subcontratar, salvo autorización escrita de ProChile.</t>
        </is>
      </c>
      <c r="U16" s="0" t="inlineStr">
        <is>
          <t xml:space="preserve">Mario Leiva Robles</t>
        </is>
      </c>
      <c r="V16"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16"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17">
      <c r="A17" s="0" t="inlineStr">
        <is>
          <t xml:space="preserve">4629-35-LE26</t>
        </is>
      </c>
      <c r="B17" s="4" t="inlineStr">
        <is>
          <t xml:space="preserve">CONVENIO DE SUMINISTRO - REDES CITOFONÍA Y DATOS</t>
        </is>
      </c>
      <c r="C17" s="0" t="inlineStr">
        <is>
          <t xml:space="preserve">Publicada</t>
        </is>
      </c>
      <c r="D17" s="0" t="inlineStr">
        <is>
          <t xml:space="preserve">DIRECCION DEL TRABAJO</t>
        </is>
      </c>
      <c r="E17" s="0" t="inlineStr">
        <is>
          <t xml:space="preserve">Nivel Central Santiago</t>
        </is>
      </c>
      <c r="F17" s="0" t="inlineStr">
        <is>
          <t xml:space="preserve">Región Metropolitana de Santiago</t>
        </is>
      </c>
      <c r="G17" s="0" t="inlineStr">
        <is>
          <t xml:space="preserve">Santiago</t>
        </is>
      </c>
      <c r="H17" s="2">
        <v>46322.441655</v>
      </c>
      <c r="I17" s="2">
        <v>46335.625694</v>
      </c>
      <c r="J17" s="0">
        <v>13</v>
      </c>
      <c r="K17" s="3">
        <v>40000000.0</v>
      </c>
      <c r="L17" s="0" t="inlineStr">
        <is>
          <t xml:space="preserve">CLP</t>
        </is>
      </c>
      <c r="M17" s="0" t="inlineStr">
        <is>
          <t xml:space="preserve">LE</t>
        </is>
      </c>
      <c r="N17" s="4" t="inlineStr">
        <is>
          <t xml:space="preserve">Servicios de construcción y mantenimiento / Servicios de atención, mantenimiento y reparaciones de edificios / Servicios eléctricos</t>
        </is>
      </c>
      <c r="O17" s="4" t="inlineStr">
        <is>
          <t xml:space="preserve">1 Unidad · Asistencia o mantenimiento de servicio de telecomunicaciones</t>
        </is>
      </c>
      <c r="P17" s="2"/>
      <c r="Q17" s="2"/>
      <c r="R17" s="0" t="inlineStr">
        <is>
          <t xml:space="preserve">24 meses</t>
        </is>
      </c>
      <c r="S17" s="0" t="inlineStr">
        <is>
          <t xml:space="preserve">No</t>
        </is>
      </c>
      <c r="T17" s="4"/>
      <c r="U17" s="0" t="inlineStr">
        <is>
          <t xml:space="preserve">Liliana Pulgar Villaseñor</t>
        </is>
      </c>
      <c r="V17" s="4" t="inlineStr">
        <is>
          <t xml:space="preserve">CONVENIO DE SUMINISTRO DE PROVISIÓN, INSTALACIÓN Y MANTENCIÓN DE REDES, CITOFONÍA Y DATOS DE LAS OFICINAS DE LA REGIÓN METROPOLITANA DE LA DIRECCIÓN DEL TRABAJO</t>
        </is>
      </c>
      <c r="W17"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18">
      <c r="A18" s="0" t="inlineStr">
        <is>
          <t xml:space="preserve">2048-86-LP26</t>
        </is>
      </c>
      <c r="B18" s="4" t="inlineStr">
        <is>
          <t xml:space="preserve">Software de Gestión de Mantenimiento</t>
        </is>
      </c>
      <c r="C18" s="0" t="inlineStr">
        <is>
          <t xml:space="preserve">Publicada</t>
        </is>
      </c>
      <c r="D18" s="0" t="inlineStr">
        <is>
          <t xml:space="preserve">SERVICIO DE SALUD CHILOE</t>
        </is>
      </c>
      <c r="E18" s="0" t="inlineStr">
        <is>
          <t xml:space="preserve">Hospital de Ancud</t>
        </is>
      </c>
      <c r="F18" s="0" t="inlineStr">
        <is>
          <t xml:space="preserve">Región de los Lagos </t>
        </is>
      </c>
      <c r="G18" s="0"/>
      <c r="H18" s="2">
        <v>46321.641319</v>
      </c>
      <c r="I18" s="2">
        <v>46342.625694</v>
      </c>
      <c r="J18" s="0">
        <v>20</v>
      </c>
      <c r="K18" s="3"/>
      <c r="L18" s="0" t="inlineStr">
        <is>
          <t xml:space="preserve">CLP</t>
        </is>
      </c>
      <c r="M18" s="0" t="inlineStr">
        <is>
          <t xml:space="preserve">LP</t>
        </is>
      </c>
      <c r="N18" s="4" t="inlineStr">
        <is>
          <t xml:space="preserve">Tecnologías de la información, telecomunicaciones y radiodifusión / Software / Software de administración de redes</t>
        </is>
      </c>
      <c r="O18" s="4" t="inlineStr">
        <is>
          <t xml:space="preserve">1 Unidad no definida · Software de administración</t>
        </is>
      </c>
      <c r="P18" s="2"/>
      <c r="Q18" s="2"/>
      <c r="R18" s="0" t="inlineStr">
        <is>
          <t xml:space="preserve">60 meses</t>
        </is>
      </c>
      <c r="S18" s="0" t="inlineStr">
        <is>
          <t xml:space="preserve">No</t>
        </is>
      </c>
      <c r="T18" s="4" t="inlineStr">
        <is>
          <t xml:space="preserve">El adjudicatario no podrá ceder ni transferir en forma alguna, total ni parcialmente los derechos y obligaciones que nacen del desarrollo de la licitación. No se permite subcontratación</t>
        </is>
      </c>
      <c r="U18" s="0" t="inlineStr">
        <is>
          <t xml:space="preserve">Gissela Arriagada Vilches</t>
        </is>
      </c>
      <c r="V18"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18"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19">
      <c r="A19" s="0" t="inlineStr">
        <is>
          <t xml:space="preserve">869591-15-LP26</t>
        </is>
      </c>
      <c r="B19" s="4" t="inlineStr">
        <is>
          <t xml:space="preserve">CONTRATACIÓN DEL SERVICIO DE CIBERSEGURIDAD</t>
        </is>
      </c>
      <c r="C19" s="0" t="inlineStr">
        <is>
          <t xml:space="preserve">Publicada</t>
        </is>
      </c>
      <c r="D19" s="0" t="inlineStr">
        <is>
          <t xml:space="preserve">DIRECCION DE COMPRAS Y CONTRATACION PUBLICA</t>
        </is>
      </c>
      <c r="E19" s="0" t="inlineStr">
        <is>
          <t xml:space="preserve">Calidad del Gasto en las Compras Públicas</t>
        </is>
      </c>
      <c r="F19" s="0" t="inlineStr">
        <is>
          <t xml:space="preserve">Región Metropolitana de Santiago</t>
        </is>
      </c>
      <c r="G19" s="0" t="inlineStr">
        <is>
          <t xml:space="preserve">Santiago Centro</t>
        </is>
      </c>
      <c r="H19" s="2">
        <v>46321.74162</v>
      </c>
      <c r="I19" s="2">
        <v>46342.625694</v>
      </c>
      <c r="J19" s="0">
        <v>20</v>
      </c>
      <c r="K19" s="3">
        <v>340000.0</v>
      </c>
      <c r="L19" s="0" t="inlineStr">
        <is>
          <t xml:space="preserve">USD</t>
        </is>
      </c>
      <c r="M19" s="0" t="inlineStr">
        <is>
          <t xml:space="preserve">LP</t>
        </is>
      </c>
      <c r="N19" s="4" t="inlineStr">
        <is>
          <t xml:space="preserve">Servicios basados en ingeniería, ciencias sociales y tecnología de la información / Servicios informáticos / Administración de sistemas</t>
        </is>
      </c>
      <c r="O19" s="4" t="inlineStr">
        <is>
          <t xml:space="preserve">1 Unidad · Seguridad para computadores, redes e Internet</t>
        </is>
      </c>
      <c r="P19" s="2"/>
      <c r="Q19" s="2"/>
      <c r="R19" s="0" t="inlineStr">
        <is>
          <t xml:space="preserve">24 meses</t>
        </is>
      </c>
      <c r="S19" s="0" t="inlineStr">
        <is>
          <t xml:space="preserve">No</t>
        </is>
      </c>
      <c r="T19" s="4" t="inlineStr">
        <is>
          <t xml:space="preserve">Según bases adjuntas</t>
        </is>
      </c>
      <c r="U19" s="0" t="inlineStr">
        <is>
          <t xml:space="preserve">Paolo Jeldres</t>
        </is>
      </c>
      <c r="V19" s="4" t="inlineStr">
        <is>
          <t xml:space="preserve">CONTRATACIÓN DEL SERVICIO DE CIBERSEGURIDAD AVANZADA Y RESPUESTA A INCIDENTES PARA MERCADO PÚBLICO</t>
        </is>
      </c>
      <c r="W19"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20">
      <c r="A20" s="0" t="inlineStr">
        <is>
          <t xml:space="preserve">2982-59-LE26</t>
        </is>
      </c>
      <c r="B20" s="4" t="inlineStr">
        <is>
          <t xml:space="preserve">SERVICIO DE RENOVACION Y ADQUISICION DE LICENCIAS SOFTWARE</t>
        </is>
      </c>
      <c r="C20" s="0" t="inlineStr">
        <is>
          <t xml:space="preserve">Publicada</t>
        </is>
      </c>
      <c r="D20" s="0" t="inlineStr">
        <is>
          <t xml:space="preserve">POLICIA DE INVESTIGACIONES DE CHILE</t>
        </is>
      </c>
      <c r="E20" s="0" t="inlineStr">
        <is>
          <t xml:space="preserve">JEFATURA NACIONAL DE EDUCACIÓN Y DOCTRINA (JENAED)</t>
        </is>
      </c>
      <c r="F20" s="0" t="inlineStr">
        <is>
          <t xml:space="preserve">Región Metropolitana de Santiago</t>
        </is>
      </c>
      <c r="G20" s="0" t="inlineStr">
        <is>
          <t xml:space="preserve">Estación Central</t>
        </is>
      </c>
      <c r="H20" s="2">
        <v>46321.729792</v>
      </c>
      <c r="I20" s="2">
        <v>46343.625</v>
      </c>
      <c r="J20" s="0">
        <v>21</v>
      </c>
      <c r="K20" s="3">
        <v>10614027.0</v>
      </c>
      <c r="L20" s="0" t="inlineStr">
        <is>
          <t xml:space="preserve">CLP</t>
        </is>
      </c>
      <c r="M20" s="0" t="inlineStr">
        <is>
          <t xml:space="preserve">LE</t>
        </is>
      </c>
      <c r="N20" s="4" t="inlineStr">
        <is>
          <t xml:space="preserve">Tecnologías de la información, telecomunicaciones y radiodifusión / Software / Software de gestión</t>
        </is>
      </c>
      <c r="O20" s="4" t="inlineStr">
        <is>
          <t xml:space="preserve">1 Kit · Software de gestión de licencias</t>
        </is>
      </c>
      <c r="P20" s="2"/>
      <c r="Q20" s="2"/>
      <c r="R20" s="0"/>
      <c r="S20" s="0" t="inlineStr">
        <is>
          <t xml:space="preserve">No</t>
        </is>
      </c>
      <c r="T20" s="4" t="inlineStr">
        <is>
          <t xml:space="preserve">Subcontratación permitida solo en servicios accesorios y despacho.</t>
        </is>
      </c>
      <c r="U20" s="0" t="inlineStr">
        <is>
          <t xml:space="preserve">LUIS ROJAS CASTRO</t>
        </is>
      </c>
      <c r="V20"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20"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21">
      <c r="A21" s="0" t="inlineStr">
        <is>
          <t xml:space="preserve">622-72-LP26</t>
        </is>
      </c>
      <c r="B21" s="4" t="inlineStr">
        <is>
          <t xml:space="preserve">SOLUCIÓN DE OBSERVABILIDAD UNIFICADA DE SOFTWARE</t>
        </is>
      </c>
      <c r="C21" s="0" t="inlineStr">
        <is>
          <t xml:space="preserve">Publicada</t>
        </is>
      </c>
      <c r="D21" s="0" t="inlineStr">
        <is>
          <t xml:space="preserve">TESORERIA GENERAL DE LA REPUBLICA</t>
        </is>
      </c>
      <c r="E21" s="0" t="inlineStr">
        <is>
          <t xml:space="preserve">Tesorería General de la República</t>
        </is>
      </c>
      <c r="F21" s="0" t="inlineStr">
        <is>
          <t xml:space="preserve">Región Metropolitana de Santiago</t>
        </is>
      </c>
      <c r="G21" s="0" t="inlineStr">
        <is>
          <t xml:space="preserve">Santiago</t>
        </is>
      </c>
      <c r="H21" s="2">
        <v>46321.728657</v>
      </c>
      <c r="I21" s="2">
        <v>46343.541667</v>
      </c>
      <c r="J21" s="0">
        <v>21</v>
      </c>
      <c r="K21" s="3"/>
      <c r="L21" s="0" t="inlineStr">
        <is>
          <t xml:space="preserve">CLP</t>
        </is>
      </c>
      <c r="M21" s="0" t="inlineStr">
        <is>
          <t xml:space="preserve">LP</t>
        </is>
      </c>
      <c r="N21" s="4" t="inlineStr">
        <is>
          <t xml:space="preserve">Tecnologías de la información, telecomunicaciones y radiodifusión / Software / Software de gestión</t>
        </is>
      </c>
      <c r="O21" s="4" t="inlineStr">
        <is>
          <t xml:space="preserve">1 Unidad · Software de gestión de licencias</t>
        </is>
      </c>
      <c r="P21" s="2"/>
      <c r="Q21" s="2"/>
      <c r="R21" s="0" t="inlineStr">
        <is>
          <t xml:space="preserve">36 meses</t>
        </is>
      </c>
      <c r="S21" s="0" t="inlineStr">
        <is>
          <t xml:space="preserve">No</t>
        </is>
      </c>
      <c r="T21" s="4"/>
      <c r="U21" s="0" t="inlineStr">
        <is>
          <t xml:space="preserve">Será indicado en el contrato a suscribir.</t>
        </is>
      </c>
      <c r="V21"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21"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sheetData>
  <autoFilter ref="A1:W2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2403-73-LR26</t>
        </is>
      </c>
      <c r="B2" s="4" t="inlineStr">
        <is>
          <t xml:space="preserve">Servicios de conectividad telecomunicaciones operación de infraestructura y gestión de ciberseguridad.</t>
        </is>
      </c>
      <c r="C2" s="0" t="inlineStr">
        <is>
          <t xml:space="preserve">Publicada</t>
        </is>
      </c>
      <c r="D2" s="0" t="inlineStr">
        <is>
          <t xml:space="preserve">I MUNICIPALIDAD DE PENALOLEN</t>
        </is>
      </c>
      <c r="E2" s="0" t="inlineStr">
        <is>
          <t xml:space="preserve">I.MUNICIPALIDAD DE PEÑALOLEN</t>
        </is>
      </c>
      <c r="F2" s="0" t="inlineStr">
        <is>
          <t xml:space="preserve">Región Metropolitana de Santiago</t>
        </is>
      </c>
      <c r="G2" s="0" t="inlineStr">
        <is>
          <t xml:space="preserve">Peñalolén</t>
        </is>
      </c>
      <c r="H2" s="2">
        <v>46288.604861</v>
      </c>
      <c r="I2" s="2">
        <v>46325.5</v>
      </c>
      <c r="J2" s="0">
        <v>3</v>
      </c>
      <c r="K2" s="3">
        <v>1910656000.0</v>
      </c>
      <c r="L2" s="0" t="inlineStr">
        <is>
          <t xml:space="preserve">CLP</t>
        </is>
      </c>
      <c r="M2" s="0" t="inlineStr">
        <is>
          <t xml:space="preserve">LR</t>
        </is>
      </c>
      <c r="N2" s="4" t="inlineStr">
        <is>
          <t xml:space="preserve">Servicios de construcción y mantenimiento / Servicios de atención, mantenimiento y reparaciones de edificios / Servicios eléctricos</t>
        </is>
      </c>
      <c r="O2" s="4" t="inlineStr">
        <is>
          <t xml:space="preserve">1 Global · Instalación de sistemas de seguridad</t>
        </is>
      </c>
      <c r="P2" s="2"/>
      <c r="Q2" s="2"/>
      <c r="R2" s="0" t="inlineStr">
        <is>
          <t xml:space="preserve">51 meses</t>
        </is>
      </c>
      <c r="S2" s="0" t="inlineStr">
        <is>
          <t xml:space="preserve">No</t>
        </is>
      </c>
      <c r="T2" s="4" t="inlineStr">
        <is>
          <t xml:space="preserve">Previa autorización de la inspección técnica, y siempre que no supere el 30% del precio total de la contratación.</t>
        </is>
      </c>
      <c r="U2" s="0" t="inlineStr">
        <is>
          <t xml:space="preserve">Matías Allende Contreras</t>
        </is>
      </c>
      <c r="V2"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2"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3">
      <c r="A3" s="0" t="inlineStr">
        <is>
          <t xml:space="preserve">2467-120-LE26</t>
        </is>
      </c>
      <c r="B3" s="4" t="inlineStr">
        <is>
          <t xml:space="preserve">ADQUISICIÓN DE LICENCIA DE SOFTWARE</t>
        </is>
      </c>
      <c r="C3" s="0" t="inlineStr">
        <is>
          <t xml:space="preserve">Publicada</t>
        </is>
      </c>
      <c r="D3" s="0" t="inlineStr">
        <is>
          <t xml:space="preserve">I MUNICIPALIDAD DE CHILLAN</t>
        </is>
      </c>
      <c r="E3" s="0" t="inlineStr">
        <is>
          <t xml:space="preserve">IMUNI_CHILLAN ADQUISICIONES</t>
        </is>
      </c>
      <c r="F3" s="0" t="inlineStr">
        <is>
          <t xml:space="preserve">Región del Ñuble</t>
        </is>
      </c>
      <c r="G3" s="0" t="inlineStr">
        <is>
          <t xml:space="preserve">Chillán</t>
        </is>
      </c>
      <c r="H3" s="2">
        <v>46315.664502</v>
      </c>
      <c r="I3" s="2">
        <v>46325.525</v>
      </c>
      <c r="J3" s="0">
        <v>3</v>
      </c>
      <c r="K3" s="3">
        <v>15000000.0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t>
        </is>
      </c>
      <c r="P3" s="2"/>
      <c r="Q3" s="2"/>
      <c r="R3" s="0"/>
      <c r="S3" s="0" t="inlineStr">
        <is>
          <t xml:space="preserve">No</t>
        </is>
      </c>
      <c r="T3" s="4"/>
      <c r="U3" s="0" t="inlineStr">
        <is>
          <t xml:space="preserve">RODRIGO CHAMORRO</t>
        </is>
      </c>
      <c r="V3"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3"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4">
      <c r="A4" s="0" t="inlineStr">
        <is>
          <t xml:space="preserve">2448-144-LE26</t>
        </is>
      </c>
      <c r="B4" s="4" t="inlineStr">
        <is>
          <t xml:space="preserve">ADQ. ELECTROCARDIOGRAFO DIGITAL</t>
        </is>
      </c>
      <c r="C4" s="0" t="inlineStr">
        <is>
          <t xml:space="preserve">Publicada</t>
        </is>
      </c>
      <c r="D4" s="0" t="inlineStr">
        <is>
          <t xml:space="preserve">I MUNICIPALIDAD DE COQUIMBO</t>
        </is>
      </c>
      <c r="E4" s="0" t="inlineStr">
        <is>
          <t xml:space="preserve">Departamento de Salud</t>
        </is>
      </c>
      <c r="F4" s="0" t="inlineStr">
        <is>
          <t xml:space="preserve">Región de Coquimbo </t>
        </is>
      </c>
      <c r="G4" s="0" t="inlineStr">
        <is>
          <t xml:space="preserve">Coquimbo</t>
        </is>
      </c>
      <c r="H4" s="2">
        <v>46315.505995</v>
      </c>
      <c r="I4" s="2">
        <v>46325.541667</v>
      </c>
      <c r="J4" s="0">
        <v>3</v>
      </c>
      <c r="K4" s="3"/>
      <c r="L4" s="0" t="inlineStr">
        <is>
          <t xml:space="preserve">CLP</t>
        </is>
      </c>
      <c r="M4" s="0" t="inlineStr">
        <is>
          <t xml:space="preserve">LE</t>
        </is>
      </c>
      <c r="N4" s="4" t="inlineStr">
        <is>
          <t xml:space="preserve">Equipamiento y suministros médicos / Productos para exámenes y control de pacientes / Unidades de electrocardiografía (ECG) y productos relacionados</t>
        </is>
      </c>
      <c r="O4" s="4" t="inlineStr">
        <is>
          <t xml:space="preserve">10 Unidad · Unidades de electrocardiografía (ECG)</t>
        </is>
      </c>
      <c r="P4" s="2"/>
      <c r="Q4" s="2"/>
      <c r="R4" s="0"/>
      <c r="S4" s="0" t="inlineStr">
        <is>
          <t xml:space="preserve">No</t>
        </is>
      </c>
      <c r="T4" s="4"/>
      <c r="U4" s="0" t="inlineStr">
        <is>
          <t xml:space="preserve">PAMELA MASSERANO SCHIAPPACASSE</t>
        </is>
      </c>
      <c r="V4"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4"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5">
      <c r="A5" s="0" t="inlineStr">
        <is>
          <t xml:space="preserve">2490-91-LP26</t>
        </is>
      </c>
      <c r="B5" s="4" t="inlineStr">
        <is>
          <t xml:space="preserve">ARRIENDO SOPORTE Y MANTENCIÓN DE GABINETES PSICOSENSOMÉTRICOS Y EQUIPOS COMPUTACIONALES CON SOFTWARE SPI INTEGRADO 2027-2031</t>
        </is>
      </c>
      <c r="C5" s="0" t="inlineStr">
        <is>
          <t xml:space="preserve">Publicada</t>
        </is>
      </c>
      <c r="D5" s="0" t="inlineStr">
        <is>
          <t xml:space="preserve">I MUNICIPALIDAD DE PROVIDENCIA</t>
        </is>
      </c>
      <c r="E5" s="0" t="inlineStr">
        <is>
          <t xml:space="preserve">Dirección de Secpla</t>
        </is>
      </c>
      <c r="F5" s="0" t="inlineStr">
        <is>
          <t xml:space="preserve">Región Metropolitana de Santiago</t>
        </is>
      </c>
      <c r="G5" s="0" t="inlineStr">
        <is>
          <t xml:space="preserve">Providencia</t>
        </is>
      </c>
      <c r="H5" s="2">
        <v>46296.700741</v>
      </c>
      <c r="I5" s="2">
        <v>46325.541667</v>
      </c>
      <c r="J5" s="0">
        <v>3</v>
      </c>
      <c r="K5" s="3">
        <v>190000000.0</v>
      </c>
      <c r="L5" s="0" t="inlineStr">
        <is>
          <t xml:space="preserve">CLP</t>
        </is>
      </c>
      <c r="M5" s="0" t="inlineStr">
        <is>
          <t xml:space="preserve">LP</t>
        </is>
      </c>
      <c r="N5" s="4" t="inlineStr">
        <is>
          <t xml:space="preserve">Equipos y suministros de defensa, orden público, protección y seguridad / Seguridad y control público / Control de tráfico</t>
        </is>
      </c>
      <c r="O5" s="4" t="inlineStr">
        <is>
          <t xml:space="preserve">1 Global · Señales de tránsito</t>
        </is>
      </c>
      <c r="P5" s="2"/>
      <c r="Q5" s="2"/>
      <c r="R5" s="0" t="inlineStr">
        <is>
          <t xml:space="preserve">48 meses</t>
        </is>
      </c>
      <c r="S5" s="0" t="inlineStr">
        <is>
          <t xml:space="preserve">No</t>
        </is>
      </c>
      <c r="T5" s="4"/>
      <c r="U5" s="0" t="inlineStr">
        <is>
          <t xml:space="preserve">Luis Barrientos Echavarría</t>
        </is>
      </c>
      <c r="V5"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5" s="5" t="str">
        <f>HYPERLINK("https://www.mercadopublico.cl/Procurement/Modules/Attachment/ViewAttachment.aspx?enc=faB4fawx8KObTmP45bX8d7iP1XGGBigkRqyY3L1CDyS5IFviQLlazQQxm3YQqoF5Fd9CUND8W%2bT8v3RF6MNzP8Xby3lWTFdv%2bIBnVsQ4FfngbTKRFW0kitgip32E8EVZ59%2bAJVOm6SEBUOs7YRmQT%2fWL8SGQ9fPqzDxROWzTkEYatrqIMCOh9KlwH4wz9626aU2QbIC%2fdrt7s09S9Ojlgpy8zkmHqQI02JGc5569Vnr7YM2mNZT%2f%2bmGkvVkn%2bDy%2bLarpACcHII6%2foggCO29M3zwOLehnhOyS78GTXzib3OYmvb1mYzC9%2fvv770yBNcNq","descargar bases")</f>
      </c>
    </row>
    <row r="6">
      <c r="A6" s="0" t="inlineStr">
        <is>
          <t xml:space="preserve">1457282-6-LE26</t>
        </is>
      </c>
      <c r="B6" s="4" t="inlineStr">
        <is>
          <t xml:space="preserve">ADQUISICIÓN DE RADIOS DIGITALES PORTÁTILES</t>
        </is>
      </c>
      <c r="C6" s="0" t="inlineStr">
        <is>
          <t xml:space="preserve">Publicada</t>
        </is>
      </c>
      <c r="D6" s="0" t="inlineStr">
        <is>
          <t xml:space="preserve">CORPORACION CENTRO CULTURAL GABRIELA MISTRAL</t>
        </is>
      </c>
      <c r="E6" s="0" t="inlineStr">
        <is>
          <t xml:space="preserve">CORPORACION CENTRO CULTURAL GABRIELA MISTRAL</t>
        </is>
      </c>
      <c r="F6" s="0" t="inlineStr">
        <is>
          <t xml:space="preserve">Región Metropolitana de Santiago</t>
        </is>
      </c>
      <c r="G6" s="0" t="inlineStr">
        <is>
          <t xml:space="preserve">Santiago</t>
        </is>
      </c>
      <c r="H6" s="2">
        <v>46311.501389</v>
      </c>
      <c r="I6" s="2">
        <v>46325.625</v>
      </c>
      <c r="J6" s="0">
        <v>3</v>
      </c>
      <c r="K6" s="3">
        <v>17000000.0</v>
      </c>
      <c r="L6" s="0" t="inlineStr">
        <is>
          <t xml:space="preserve">CLP</t>
        </is>
      </c>
      <c r="M6" s="0" t="inlineStr">
        <is>
          <t xml:space="preserve">LE</t>
        </is>
      </c>
      <c r="N6" s="4" t="inlineStr">
        <is>
          <t xml:space="preserve">Tecnologías de la información, telecomunicaciones y radiodifusión / Equipos informáticos y accesorios / Dispositivos informáticos de entrada de datos</t>
        </is>
      </c>
      <c r="O6" s="4" t="inlineStr">
        <is>
          <t xml:space="preserve">1 Global · Dispositivos de identificación de radiofrecuencias</t>
        </is>
      </c>
      <c r="P6" s="2"/>
      <c r="Q6" s="2"/>
      <c r="R6" s="0"/>
      <c r="S6" s="0" t="inlineStr">
        <is>
          <t xml:space="preserve">No</t>
        </is>
      </c>
      <c r="T6" s="4"/>
      <c r="U6" s="0" t="inlineStr">
        <is>
          <t xml:space="preserve">No hay información</t>
        </is>
      </c>
      <c r="V6"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6" s="5" t="str">
        <f>HYPERLINK("https://www.mercadopublico.cl/Procurement/Modules/Attachment/ViewAttachment.aspx?enc=Jhld79isaclPQT0viC3RIfEhZYxN%2bUMNK8rwxPIWiJrqawiRtkZC08StGhikPlZXhwBPmRO4tX648C2rKJMNdEIQMFjKfb0UrCGCvM%2fU4yzafc8hVfEYrgEUGDCVEPG4QkLQHJM96FSzpe2i%2fJ%2bfWFUTss7eH%2fKJcdxXuAWhTto%2f9y%2bwvA4PnlIDagrTvjQ5gw3DTEwqXpL%2bYT4RWJwVyhqr1HtY0sKg8eNbfj3RVh8JvD4NbyBJA%2fJ0GboQzlsLozHwk54WxQG3CDeUQ2OkFFs49TiApu6qDmsVuu4YFv9Y%2bTPwTRXowOtnPB5iDc%2fb","descargar bases")</f>
      </c>
    </row>
    <row r="7">
      <c r="A7" s="0" t="inlineStr">
        <is>
          <t xml:space="preserve">3053-4-LE26</t>
        </is>
      </c>
      <c r="B7" s="4" t="inlineStr">
        <is>
          <t xml:space="preserve">Adquisición de insumos informáticos para la Municipalidad de San Pedro de Atacama.</t>
        </is>
      </c>
      <c r="C7" s="0" t="inlineStr">
        <is>
          <t xml:space="preserve">Publicada</t>
        </is>
      </c>
      <c r="D7" s="0" t="inlineStr">
        <is>
          <t xml:space="preserve">I MUNICIPALIDAD DE SAN PEDRO DE ATACAMA</t>
        </is>
      </c>
      <c r="E7" s="0" t="inlineStr">
        <is>
          <t xml:space="preserve">Depto. de Finanzas</t>
        </is>
      </c>
      <c r="F7" s="0" t="inlineStr">
        <is>
          <t xml:space="preserve">Región de Antofagasta </t>
        </is>
      </c>
      <c r="G7" s="0" t="inlineStr">
        <is>
          <t xml:space="preserve">San Pedro de Atacama</t>
        </is>
      </c>
      <c r="H7" s="2">
        <v>46314.63728</v>
      </c>
      <c r="I7" s="2">
        <v>46325.625</v>
      </c>
      <c r="J7" s="0">
        <v>3</v>
      </c>
      <c r="K7" s="3"/>
      <c r="L7" s="0" t="inlineStr">
        <is>
          <t xml:space="preserve">CLP</t>
        </is>
      </c>
      <c r="M7" s="0" t="inlineStr">
        <is>
          <t xml:space="preserve">LE</t>
        </is>
      </c>
      <c r="N7" s="4" t="inlineStr">
        <is>
          <t xml:space="preserve">Tecnologías de la información, telecomunicaciones y radiodifusión / Equipos informáticos y accesorios / Impresoras</t>
        </is>
      </c>
      <c r="O7" s="4" t="inlineStr">
        <is>
          <t xml:space="preserve">1 Global · Impresoras multifunción o multifuncionales</t>
        </is>
      </c>
      <c r="P7" s="2"/>
      <c r="Q7" s="2"/>
      <c r="R7" s="0"/>
      <c r="S7" s="0" t="inlineStr">
        <is>
          <t xml:space="preserve">No</t>
        </is>
      </c>
      <c r="T7" s="4" t="inlineStr">
        <is>
          <t xml:space="preserve">El adjudicatario no podrá subcontratar, salvo autorización escrita de la Municipalidad de San Pedro de Atacama.</t>
        </is>
      </c>
      <c r="U7" s="0" t="inlineStr">
        <is>
          <t xml:space="preserve">DIAZ, CESAR</t>
        </is>
      </c>
      <c r="V7"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7" s="5" t="str">
        <f>HYPERLINK("https://www.mercadopublico.cl/Procurement/Modules/Attachment/ViewAttachment.aspx?enc=j54IG0BjNKM2R60X8J56Bo3DZM8cwhTB7ERnw%2bDNnK3%2fcJtAeA7kY3wmKryN89GIwwsiMx%2bSRx8u0On7kqfHYwJ20cLxvbveudbMNDL06vp71CoBhxKhT9ExhHQMxOeAME%2bUroN1YblgVQAQ2k0a6%2biLxAtpCZ%2bCOzzVfFYtBt0t0EoiTodNiT8zbgxlwA2NMHgaR2RtmoLm87Czfu33%2feyheV8xau2cA51RsdjE6l86IAPwhKcrZms9W%2fIRMetoZvTEToNaz4AmNdtc9gKIUF1jpMIA7ZTKfpDclB1LGp%2fPidoT%2fhFhm9ei0x7D%2fm3W","descargar bases")</f>
      </c>
    </row>
    <row r="8">
      <c r="A8" s="0" t="inlineStr">
        <is>
          <t xml:space="preserve">2020-23-LE26</t>
        </is>
      </c>
      <c r="B8" s="4" t="inlineStr">
        <is>
          <t xml:space="preserve">SERVICIOS DE DIGITALIZACIÓN Y EXTRACCIÓN DE TÉXTO.</t>
        </is>
      </c>
      <c r="C8" s="0" t="inlineStr">
        <is>
          <t xml:space="preserve">Publicada</t>
        </is>
      </c>
      <c r="D8" s="0" t="inlineStr">
        <is>
          <t xml:space="preserve">Biblioteca del Congreso Nacional</t>
        </is>
      </c>
      <c r="E8" s="0" t="inlineStr">
        <is>
          <t xml:space="preserve">Biblioteca del Congreso Nacional</t>
        </is>
      </c>
      <c r="F8" s="0" t="inlineStr">
        <is>
          <t xml:space="preserve">Región Metropolitana de Santiago</t>
        </is>
      </c>
      <c r="G8" s="0" t="inlineStr">
        <is>
          <t xml:space="preserve">Santiago Centro</t>
        </is>
      </c>
      <c r="H8" s="2">
        <v>46309.468056</v>
      </c>
      <c r="I8" s="2">
        <v>46325.625694</v>
      </c>
      <c r="J8" s="0">
        <v>3</v>
      </c>
      <c r="K8" s="3">
        <v>72000000.0</v>
      </c>
      <c r="L8" s="0" t="inlineStr">
        <is>
          <t xml:space="preserve">CLP</t>
        </is>
      </c>
      <c r="M8" s="0" t="inlineStr">
        <is>
          <t xml:space="preserve">LE</t>
        </is>
      </c>
      <c r="N8" s="4" t="inlineStr">
        <is>
          <t xml:space="preserve">Servicios basados en ingeniería, ciencias sociales y tecnología de la información / Servicios informáticos / Servicios de datos</t>
        </is>
      </c>
      <c r="O8" s="4" t="inlineStr">
        <is>
          <t xml:space="preserve">1 Unidad · Servicios de digitalización de documentos</t>
        </is>
      </c>
      <c r="P8" s="2"/>
      <c r="Q8" s="2"/>
      <c r="R8" s="0" t="inlineStr">
        <is>
          <t xml:space="preserve">80 días</t>
        </is>
      </c>
      <c r="S8" s="0" t="inlineStr">
        <is>
          <t xml:space="preserve">No</t>
        </is>
      </c>
      <c r="T8" s="4" t="inlineStr">
        <is>
          <t xml:space="preserve">Según lo establecido en numeral 24. Subcontratación de las Bases de Licitación adjuntas.</t>
        </is>
      </c>
      <c r="U8" s="0" t="inlineStr">
        <is>
          <t xml:space="preserve">80 Días Hábiles. Unidad Requirente.</t>
        </is>
      </c>
      <c r="V8" s="4" t="inlineStr">
        <is>
          <t xml:space="preserve">SERVICIO ESPECIALIZADO DE DIGITALIZACIÓN Y EXTRACCIÓN INTELIGENTE DE TEXTO, DEL ARCHIVO DE PRENSA HISTÓRICA DE LA BIBLIOTECA DEL CONGRESO NACIONAL.</t>
        </is>
      </c>
      <c r="W8" s="5" t="str">
        <f>HYPERLINK("https://www.mercadopublico.cl/Procurement/Modules/Attachment/ViewAttachment.aspx?enc=BhF%2bThRNVcoXsAk5cW%2bV%2bQeOBurdN8osymvPZZVXcF%2b4u7ir9BMavNPGwOSagQn5Oi%2bjHxdUemE71MyRKYb43JKdYsv%2bezegi1CEyY18doocYqgGP7ncHaQohef0QRuE6948Vy1QchtE9fWfcTlFTAN33ucVheqDqe4QDM9FoFesEog%2fY6s03Oqm%2bld2Wy%2btCR%2brmMpggy4EWCcOKVTEHhpnnmQK9oZMsPQwAXr7KZFdLgBs15V%2bvNUTmw0DC4%2fJyNRs35gH5NNjK%2biPOsP2LbbRH%2f7HloTotoslcFS7b6TF8mZfy1tisziodENkTbfk","descargar bases")</f>
      </c>
    </row>
    <row r="9">
      <c r="A9" s="0" t="inlineStr">
        <is>
          <t xml:space="preserve">680504-3-L126</t>
        </is>
      </c>
      <c r="B9" s="4" t="inlineStr">
        <is>
          <t xml:space="preserve">Mantención Anual Tableros Eléctricos del Edificio RPP Curicó</t>
        </is>
      </c>
      <c r="C9" s="0" t="inlineStr">
        <is>
          <t xml:space="preserve">Publicada</t>
        </is>
      </c>
      <c r="D9" s="0" t="inlineStr">
        <is>
          <t xml:space="preserve">CORP ADMINISTRATIVA DEL PODER JUDICIAL</t>
        </is>
      </c>
      <c r="E9" s="0" t="inlineStr">
        <is>
          <t xml:space="preserve">TOP de Curico</t>
        </is>
      </c>
      <c r="F9" s="0" t="inlineStr">
        <is>
          <t xml:space="preserve">Región del Maule </t>
        </is>
      </c>
      <c r="G9" s="0" t="inlineStr">
        <is>
          <t xml:space="preserve">Curicó</t>
        </is>
      </c>
      <c r="H9" s="2">
        <v>46315.490579</v>
      </c>
      <c r="I9" s="2">
        <v>46325.666667</v>
      </c>
      <c r="J9" s="0">
        <v>3</v>
      </c>
      <c r="K9" s="3">
        <v>128.8</v>
      </c>
      <c r="L9" s="0" t="inlineStr">
        <is>
          <t xml:space="preserve">CLF</t>
        </is>
      </c>
      <c r="M9" s="0" t="inlineStr">
        <is>
          <t xml:space="preserve">L1</t>
        </is>
      </c>
      <c r="N9" s="4" t="inlineStr">
        <is>
          <t xml:space="preserve">Servicios de construcción y mantenimiento / Servicios de atención, mantenimiento y reparaciones de edificios / Servicios eléctricos</t>
        </is>
      </c>
      <c r="O9" s="4" t="inlineStr">
        <is>
          <t xml:space="preserve">1 Unidad · Instalación o servicio de sistemas de energía eléctrica</t>
        </is>
      </c>
      <c r="P9" s="2"/>
      <c r="Q9" s="2"/>
      <c r="R9" s="0"/>
      <c r="S9" s="0" t="inlineStr">
        <is>
          <t xml:space="preserve">No</t>
        </is>
      </c>
      <c r="T9" s="4"/>
      <c r="U9" s="0"/>
      <c r="V9" s="4" t="inlineStr">
        <is>
          <t xml:space="preserve">Mantención Anual Tableros Eléctricos del Edificio RPP Curicó por un periodo de 36 meses</t>
        </is>
      </c>
      <c r="W9" s="5" t="str">
        <f>HYPERLINK("https://www.mercadopublico.cl/Procurement/Modules/Attachment/ViewAttachment.aspx?enc=a8ykgZacijl%2fLZpvWpjL%2fbftfWMjzzPYEc0JkDMpYaWITe3hMKtMkiun4nV2%2fNHcDE5uKKlynx%2fEmNMdVZTxcMZFukZUpDIq174EIfc5hfvjoPXeCBVIxvtDYA4Nq04L89mzP9Zgrpeje1oTc%2fijIreEo2Th0i4aS%2fvgdv96%2fHt0HK%2bvjaYlmyLybB3%2fL6XJ8OSh0%2fjiQMlpwDbjxVyr%2bA0l4WyDUmPJ8rpqmKZP156W40zpag8A1JNdbzlvBr%2b0cAJSkBiWfzt1cjJJgZECGFCnOmyQ8qTxbMcvEQxKEFsnvzDsJ5L0BZTD3UI5NXqd","descargar bases")</f>
      </c>
    </row>
    <row r="10">
      <c r="A10" s="0" t="inlineStr">
        <is>
          <t xml:space="preserve">662237-34-LE26</t>
        </is>
      </c>
      <c r="B10" s="4" t="inlineStr">
        <is>
          <t xml:space="preserve">Adquisición de licencias software antivirus</t>
        </is>
      </c>
      <c r="C10" s="0" t="inlineStr">
        <is>
          <t xml:space="preserve">Publicada</t>
        </is>
      </c>
      <c r="D10" s="0" t="inlineStr">
        <is>
          <t xml:space="preserve">SERVICIO NACIONAL PARA LA PREVENCION Y REHABILITACION DEL CONSUMO DE D</t>
        </is>
      </c>
      <c r="E10" s="0" t="inlineStr">
        <is>
          <t xml:space="preserve">SENDA NACIONAL</t>
        </is>
      </c>
      <c r="F10" s="0" t="inlineStr">
        <is>
          <t xml:space="preserve">Región Metropolitana de Santiago</t>
        </is>
      </c>
      <c r="G10" s="0" t="inlineStr">
        <is>
          <t xml:space="preserve">Santiago Centro</t>
        </is>
      </c>
      <c r="H10" s="2">
        <v>46315.769051</v>
      </c>
      <c r="I10" s="2">
        <v>46325.770833</v>
      </c>
      <c r="J10" s="0">
        <v>3</v>
      </c>
      <c r="K10" s="3">
        <v>14500000.0</v>
      </c>
      <c r="L10" s="0" t="inlineStr">
        <is>
          <t xml:space="preserve">CLP</t>
        </is>
      </c>
      <c r="M10" s="0" t="inlineStr">
        <is>
          <t xml:space="preserve">LE</t>
        </is>
      </c>
      <c r="N10" s="4" t="inlineStr">
        <is>
          <t xml:space="preserve">Tecnologías de la información, telecomunicaciones y radiodifusión / Software / Software de seguridad y protección</t>
        </is>
      </c>
      <c r="O10" s="4" t="inlineStr">
        <is>
          <t xml:space="preserve">1 Unidad · Software de protección antivirus y de seguridad de transacciones</t>
        </is>
      </c>
      <c r="P10" s="2"/>
      <c r="Q10" s="2"/>
      <c r="R10" s="0"/>
      <c r="S10" s="0" t="inlineStr">
        <is>
          <t xml:space="preserve">No</t>
        </is>
      </c>
      <c r="T10" s="4" t="inlineStr">
        <is>
          <t xml:space="preserve">No podrá subcontratar las prestaciones esenciales, especialmente la provisión y administración del licenciamiento, la habilitación,
el soporte principal y la responsabilidad frente a SENDA.</t>
        </is>
      </c>
      <c r="U10" s="0" t="inlineStr">
        <is>
          <t xml:space="preserve">Santiago Campos</t>
        </is>
      </c>
      <c r="V10"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10"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11">
      <c r="A11" s="0" t="inlineStr">
        <is>
          <t xml:space="preserve">1375746-20-LE26</t>
        </is>
      </c>
      <c r="B11" s="4" t="inlineStr">
        <is>
          <t xml:space="preserve">SERVICIO DE PLATAFORMA DE VOTACIÓN ELECTRÓNICA</t>
        </is>
      </c>
      <c r="C11" s="0" t="inlineStr">
        <is>
          <t xml:space="preserve">Publicada</t>
        </is>
      </c>
      <c r="D11" s="0" t="inlineStr">
        <is>
          <t xml:space="preserve">SERVICIO LOCAL DE EDUCACIÓN PÚBLICA ACONCAGUA</t>
        </is>
      </c>
      <c r="E11" s="0" t="inlineStr">
        <is>
          <t xml:space="preserve">COMPRAS Y LICITACIONES</t>
        </is>
      </c>
      <c r="F11" s="0" t="inlineStr">
        <is>
          <t xml:space="preserve">Región de Valparaíso </t>
        </is>
      </c>
      <c r="G11" s="0" t="inlineStr">
        <is>
          <t xml:space="preserve">San Felipe</t>
        </is>
      </c>
      <c r="H11" s="2">
        <v>46318.635093</v>
      </c>
      <c r="I11" s="2">
        <v>46328.625694</v>
      </c>
      <c r="J11" s="0">
        <v>6</v>
      </c>
      <c r="K11" s="3">
        <v>10115000.0</v>
      </c>
      <c r="L11" s="0" t="inlineStr">
        <is>
          <t xml:space="preserve">CLP</t>
        </is>
      </c>
      <c r="M11" s="0" t="inlineStr">
        <is>
          <t xml:space="preserve">LE</t>
        </is>
      </c>
      <c r="N11" s="4" t="inlineStr">
        <is>
          <t xml:space="preserve">Servicios profesionales, administrativos y consultorías de gestión empresarial / Consultorías o asesorías en gestión empresarial / Servicios de consultoría en gestión de empresas</t>
        </is>
      </c>
      <c r="O11" s="4" t="inlineStr">
        <is>
          <t xml:space="preserve">1 Unidad · Asesorías Informáticas</t>
        </is>
      </c>
      <c r="P11" s="2"/>
      <c r="Q11" s="2"/>
      <c r="R11" s="0" t="inlineStr">
        <is>
          <t xml:space="preserve">12 meses</t>
        </is>
      </c>
      <c r="S11" s="0" t="inlineStr">
        <is>
          <t xml:space="preserve">No</t>
        </is>
      </c>
      <c r="T11"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11" s="0" t="inlineStr">
        <is>
          <t xml:space="preserve">Julio Vega Carreño</t>
        </is>
      </c>
      <c r="V11" s="4" t="inlineStr">
        <is>
          <t xml:space="preserve">SERVICIO DE PLATAFORMA DE VOTACIÓN ELECTRÓNICA PARA LOS PROCESOS ELECCIONARIOS, SLEP DEL ACONCAGUA.</t>
        </is>
      </c>
      <c r="W11"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12">
      <c r="A12" s="0" t="inlineStr">
        <is>
          <t xml:space="preserve">2446-315-LE26</t>
        </is>
      </c>
      <c r="B12" s="4" t="inlineStr">
        <is>
          <t xml:space="preserve">ADQUISICIÓN DE LICENCIAS DE SOFTWARE INSTITUCIONAL</t>
        </is>
      </c>
      <c r="C12" s="0" t="inlineStr">
        <is>
          <t xml:space="preserve">Publicada</t>
        </is>
      </c>
      <c r="D12" s="0" t="inlineStr">
        <is>
          <t xml:space="preserve">I MUNICIPALIDAD DE COQUIMBO</t>
        </is>
      </c>
      <c r="E12" s="0" t="inlineStr">
        <is>
          <t xml:space="preserve">IMUNI_COQUIMBO</t>
        </is>
      </c>
      <c r="F12" s="0" t="inlineStr">
        <is>
          <t xml:space="preserve">Región de Coquimbo </t>
        </is>
      </c>
      <c r="G12" s="0" t="inlineStr">
        <is>
          <t xml:space="preserve">Coquimbo</t>
        </is>
      </c>
      <c r="H12" s="2">
        <v>46312.805787</v>
      </c>
      <c r="I12" s="2">
        <v>46328.625694</v>
      </c>
      <c r="J12" s="0">
        <v>6</v>
      </c>
      <c r="K12" s="3">
        <v>19200000.0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Global · Paquetes de software para oficinas · 1 Global · Paquetes de software para oficinas · 1 Global · Paquetes de software para oficinas · y 2 más</t>
        </is>
      </c>
      <c r="P12" s="2"/>
      <c r="Q12" s="2"/>
      <c r="R12" s="0" t="inlineStr">
        <is>
          <t xml:space="preserve">7 días</t>
        </is>
      </c>
      <c r="S12" s="0" t="inlineStr">
        <is>
          <t xml:space="preserve">No</t>
        </is>
      </c>
      <c r="T12" s="4"/>
      <c r="U12" s="0" t="inlineStr">
        <is>
          <t xml:space="preserve">Felipe Alegre Monroy</t>
        </is>
      </c>
      <c r="V12"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12"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13">
      <c r="A13" s="0" t="inlineStr">
        <is>
          <t xml:space="preserve">2563-43-LP26</t>
        </is>
      </c>
      <c r="B13" s="4" t="inlineStr">
        <is>
          <t xml:space="preserve">Adquisición de cámaras IA y radares de seguridad</t>
        </is>
      </c>
      <c r="C13" s="0" t="inlineStr">
        <is>
          <t xml:space="preserve">Publicada</t>
        </is>
      </c>
      <c r="D13" s="0" t="inlineStr">
        <is>
          <t xml:space="preserve">DIRECCION GENERAL DE AERONAUTICA CIVIL</t>
        </is>
      </c>
      <c r="E13" s="0" t="inlineStr">
        <is>
          <t xml:space="preserve">UNIDAD DE COMPRA CONTRATOS NACIONALES</t>
        </is>
      </c>
      <c r="F13" s="0" t="inlineStr">
        <is>
          <t xml:space="preserve">Región Metropolitana de Santiago</t>
        </is>
      </c>
      <c r="G13" s="0" t="inlineStr">
        <is>
          <t xml:space="preserve">Providencia</t>
        </is>
      </c>
      <c r="H13" s="2">
        <v>46293.538194</v>
      </c>
      <c r="I13" s="2">
        <v>46328.625694</v>
      </c>
      <c r="J13" s="0">
        <v>6</v>
      </c>
      <c r="K13" s="3">
        <v>192000000.0</v>
      </c>
      <c r="L13" s="0" t="inlineStr">
        <is>
          <t xml:space="preserve">CLP</t>
        </is>
      </c>
      <c r="M13" s="0" t="inlineStr">
        <is>
          <t xml:space="preserve">LP</t>
        </is>
      </c>
      <c r="N13" s="4" t="inlineStr">
        <is>
          <t xml:space="preserve">Equipos y suministros de defensa, orden público, protección y seguridad / Seguridad, vigilancia y detección / Equipo de vigilancia y detección</t>
        </is>
      </c>
      <c r="O13" s="4" t="inlineStr">
        <is>
          <t xml:space="preserve">2 Unidad · Cámaras de seguridad · 2 Unidad · Cámaras de seguridad · 1 Unidad · Cámaras de seguridad · y 13 más</t>
        </is>
      </c>
      <c r="P13" s="2"/>
      <c r="Q13" s="2"/>
      <c r="R13" s="0"/>
      <c r="S13" s="0" t="inlineStr">
        <is>
          <t xml:space="preserve">No</t>
        </is>
      </c>
      <c r="T13" s="4"/>
      <c r="U13" s="0" t="inlineStr">
        <is>
          <t xml:space="preserve">Javier Pacheco</t>
        </is>
      </c>
      <c r="V1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3"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14">
      <c r="A14" s="0" t="inlineStr">
        <is>
          <t xml:space="preserve">2981-287-LP26</t>
        </is>
      </c>
      <c r="B14" s="4" t="inlineStr">
        <is>
          <t xml:space="preserve">CIBERSEGURIDAD- CONSULTORIA</t>
        </is>
      </c>
      <c r="C14" s="0" t="inlineStr">
        <is>
          <t xml:space="preserve">Publicada</t>
        </is>
      </c>
      <c r="D14" s="0" t="inlineStr">
        <is>
          <t xml:space="preserve">POLICIA DE INVESTIGACIONES DE CHILE</t>
        </is>
      </c>
      <c r="E14" s="0" t="inlineStr">
        <is>
          <t xml:space="preserve">DEPARTAMENTO ADMINISTRATIVO</t>
        </is>
      </c>
      <c r="F14" s="0" t="inlineStr">
        <is>
          <t xml:space="preserve">Región Metropolitana de Santiago</t>
        </is>
      </c>
      <c r="G14" s="0" t="inlineStr">
        <is>
          <t xml:space="preserve">Santiago Centro</t>
        </is>
      </c>
      <c r="H14" s="2">
        <v>46303.658333</v>
      </c>
      <c r="I14" s="2">
        <v>46328.625694</v>
      </c>
      <c r="J14" s="0">
        <v>6</v>
      </c>
      <c r="K14" s="3">
        <v>80000000.0</v>
      </c>
      <c r="L14" s="0" t="inlineStr">
        <is>
          <t xml:space="preserve">CLP</t>
        </is>
      </c>
      <c r="M14" s="0" t="inlineStr">
        <is>
          <t xml:space="preserve">LP</t>
        </is>
      </c>
      <c r="N14" s="4" t="inlineStr">
        <is>
          <t xml:space="preserve">Servicios profesionales, administrativos y consultorías de gestión empresarial / Consultorías o asesorías en gestión empresarial / Servicios de consultoría en gestión de empresas</t>
        </is>
      </c>
      <c r="O14" s="4" t="inlineStr">
        <is>
          <t xml:space="preserve">1 Unidad · Asesorías en gestión estratégica</t>
        </is>
      </c>
      <c r="P14" s="2"/>
      <c r="Q14" s="2"/>
      <c r="R14" s="0" t="inlineStr">
        <is>
          <t xml:space="preserve">12 meses</t>
        </is>
      </c>
      <c r="S14" s="0" t="inlineStr">
        <is>
          <t xml:space="preserve">No</t>
        </is>
      </c>
      <c r="T14" s="4" t="inlineStr">
        <is>
          <t xml:space="preserve">No permite subcontratacion, Art 53 de las bases</t>
        </is>
      </c>
      <c r="U14" s="0" t="inlineStr">
        <is>
          <t xml:space="preserve">CRISTOPHER SILVA GUZMAN</t>
        </is>
      </c>
      <c r="V14" s="4" t="inlineStr">
        <is>
          <t xml:space="preserve">SE REQUIERE CONTRATAR LOS SERVICIOS DE CONSULTORIA SEGUN BASES ADMINISTRATIVAS, TECNICAS Y ANEXOS ADJUNTOS.</t>
        </is>
      </c>
      <c r="W14"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15">
      <c r="A15" s="0" t="inlineStr">
        <is>
          <t xml:space="preserve">3945-31-LE26</t>
        </is>
      </c>
      <c r="B15" s="4" t="inlineStr">
        <is>
          <t xml:space="preserve">CONTRATACION SERVICIO DE SISTEMA INFORMATICO DE GESTION DOCUMENTAL- MUNICIPALIDAD LOS ALAMOS</t>
        </is>
      </c>
      <c r="C15" s="0" t="inlineStr">
        <is>
          <t xml:space="preserve">Publicada</t>
        </is>
      </c>
      <c r="D15" s="0" t="inlineStr">
        <is>
          <t xml:space="preserve">I MUNICIPALIDAD DE LOS ALAMOS DEPTO COMUNAL</t>
        </is>
      </c>
      <c r="E15" s="0" t="inlineStr">
        <is>
          <t xml:space="preserve">Administración y Finanzas</t>
        </is>
      </c>
      <c r="F15" s="0" t="inlineStr">
        <is>
          <t xml:space="preserve">Región del Biobío </t>
        </is>
      </c>
      <c r="G15" s="0" t="inlineStr">
        <is>
          <t xml:space="preserve">Los Alamos</t>
        </is>
      </c>
      <c r="H15" s="2">
        <v>46318.49272</v>
      </c>
      <c r="I15" s="2">
        <v>46328.625694</v>
      </c>
      <c r="J15" s="0">
        <v>6</v>
      </c>
      <c r="K15" s="3">
        <v>70000000.0</v>
      </c>
      <c r="L15" s="0" t="inlineStr">
        <is>
          <t xml:space="preserve">CLP</t>
        </is>
      </c>
      <c r="M15" s="0" t="inlineStr">
        <is>
          <t xml:space="preserve">LE</t>
        </is>
      </c>
      <c r="N15" s="4" t="inlineStr">
        <is>
          <t xml:space="preserve">Tecnologías de la información, telecomunicaciones y radiodifusión / Software / Software de entorno operativo</t>
        </is>
      </c>
      <c r="O15" s="4" t="inlineStr">
        <is>
          <t xml:space="preserve">1 Global · Software de sistema operativo</t>
        </is>
      </c>
      <c r="P15" s="2"/>
      <c r="Q15" s="2"/>
      <c r="R15" s="0" t="inlineStr">
        <is>
          <t xml:space="preserve">36 meses</t>
        </is>
      </c>
      <c r="S15" s="0" t="inlineStr">
        <is>
          <t xml:space="preserve">No</t>
        </is>
      </c>
      <c r="T15" s="4"/>
      <c r="U15" s="0" t="inlineStr">
        <is>
          <t xml:space="preserve">Encargado de soporte informatico</t>
        </is>
      </c>
      <c r="V15" s="4" t="inlineStr">
        <is>
          <t xml:space="preserve">:    La   necesidad      de      contratar   “ADQUISICION       SERVICIO   DE 
SISTEMA             INFORMATIVO    DE     GESTION   DOCUMENTAL –
MUNICIPALIDAD LOS ALAMOS”, conforme a Bases Administrativas, 
 Técnicas y Anexos adjuntos.</t>
        </is>
      </c>
      <c r="W15"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16">
      <c r="A16" s="0" t="inlineStr">
        <is>
          <t xml:space="preserve">5441-12-LP26</t>
        </is>
      </c>
      <c r="B16" s="4" t="inlineStr">
        <is>
          <t xml:space="preserve">Generador 500 kVA y Tablero de Transf. Autom. 800A</t>
        </is>
      </c>
      <c r="C16" s="0" t="inlineStr">
        <is>
          <t xml:space="preserve">Publicada</t>
        </is>
      </c>
      <c r="D16" s="0" t="inlineStr">
        <is>
          <t xml:space="preserve">UNIVERSIDAD DE CHILE</t>
        </is>
      </c>
      <c r="E16" s="0" t="inlineStr">
        <is>
          <t xml:space="preserve">UCHILE Facultad Cs.Veterinarias</t>
        </is>
      </c>
      <c r="F16" s="0" t="inlineStr">
        <is>
          <t xml:space="preserve">Región Metropolitana de Santiago</t>
        </is>
      </c>
      <c r="G16" s="0" t="inlineStr">
        <is>
          <t xml:space="preserve">La Pintana</t>
        </is>
      </c>
      <c r="H16" s="2">
        <v>46302.464919</v>
      </c>
      <c r="I16" s="2">
        <v>46328.625694</v>
      </c>
      <c r="J16" s="0">
        <v>6</v>
      </c>
      <c r="K16" s="3"/>
      <c r="L16" s="0" t="inlineStr">
        <is>
          <t xml:space="preserve">CLP</t>
        </is>
      </c>
      <c r="M16" s="0" t="inlineStr">
        <is>
          <t xml:space="preserve">LP</t>
        </is>
      </c>
      <c r="N1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6" s="4" t="inlineStr">
        <is>
          <t xml:space="preserve">1 Unidad · Generadores diesel · 1 Unidad · Paneles de control eléctrico para generadores</t>
        </is>
      </c>
      <c r="P16" s="2"/>
      <c r="Q16" s="2"/>
      <c r="R16" s="0"/>
      <c r="S16" s="0" t="inlineStr">
        <is>
          <t xml:space="preserve">No</t>
        </is>
      </c>
      <c r="T16" s="4"/>
      <c r="U16" s="0" t="inlineStr">
        <is>
          <t xml:space="preserve">Carlos Miranda</t>
        </is>
      </c>
      <c r="V1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6"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17">
      <c r="A17" s="0" t="inlineStr">
        <is>
          <t xml:space="preserve">5482-115-LP26</t>
        </is>
      </c>
      <c r="B17" s="4" t="inlineStr">
        <is>
          <t xml:space="preserve">DIGITALIZACIÓNINTEGRACION SGL LICENCIAS CONDUCIR</t>
        </is>
      </c>
      <c r="C17" s="0" t="inlineStr">
        <is>
          <t xml:space="preserve">Publicada</t>
        </is>
      </c>
      <c r="D17" s="0" t="inlineStr">
        <is>
          <t xml:space="preserve">I MUNICIPALIDAD DE NUNOA</t>
        </is>
      </c>
      <c r="E17" s="0" t="inlineStr">
        <is>
          <t xml:space="preserve">SECPLANUNOA</t>
        </is>
      </c>
      <c r="F17" s="0" t="inlineStr">
        <is>
          <t xml:space="preserve">Región Metropolitana de Santiago</t>
        </is>
      </c>
      <c r="G17" s="0" t="inlineStr">
        <is>
          <t xml:space="preserve">Ñuñoa</t>
        </is>
      </c>
      <c r="H17" s="2">
        <v>46317.659491</v>
      </c>
      <c r="I17" s="2">
        <v>46328.625694</v>
      </c>
      <c r="J17" s="0">
        <v>6</v>
      </c>
      <c r="K17" s="3"/>
      <c r="L17" s="0" t="inlineStr">
        <is>
          <t xml:space="preserve">CLP</t>
        </is>
      </c>
      <c r="M17" s="0" t="inlineStr">
        <is>
          <t xml:space="preserve">LP</t>
        </is>
      </c>
      <c r="N17" s="4" t="inlineStr">
        <is>
          <t xml:space="preserve">Servicios basados en ingeniería, ciencias sociales y tecnología de la información / Servicios informáticos / Servicios de datos</t>
        </is>
      </c>
      <c r="O17" s="4" t="inlineStr">
        <is>
          <t xml:space="preserve">1 Global · Servicios de digitalización de documentos</t>
        </is>
      </c>
      <c r="P17" s="2"/>
      <c r="Q17" s="2"/>
      <c r="R17" s="0" t="inlineStr">
        <is>
          <t xml:space="preserve">12 meses</t>
        </is>
      </c>
      <c r="S17" s="0" t="inlineStr">
        <is>
          <t xml:space="preserve">No</t>
        </is>
      </c>
      <c r="T17" s="4"/>
      <c r="U17" s="0" t="inlineStr">
        <is>
          <t xml:space="preserve">Juan Pablo Jimenez</t>
        </is>
      </c>
      <c r="V17"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17"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18">
      <c r="A18" s="0" t="inlineStr">
        <is>
          <t xml:space="preserve">5482-116-LE26</t>
        </is>
      </c>
      <c r="B18" s="4" t="inlineStr">
        <is>
          <t xml:space="preserve">SERVICIO INFORMÁTICO INTEGRAL LICENCIAS CONDUCIR</t>
        </is>
      </c>
      <c r="C18" s="0" t="inlineStr">
        <is>
          <t xml:space="preserve">Publicada</t>
        </is>
      </c>
      <c r="D18" s="0" t="inlineStr">
        <is>
          <t xml:space="preserve">I MUNICIPALIDAD DE NUNOA</t>
        </is>
      </c>
      <c r="E18" s="0" t="inlineStr">
        <is>
          <t xml:space="preserve">SECPLANUNOA</t>
        </is>
      </c>
      <c r="F18" s="0" t="inlineStr">
        <is>
          <t xml:space="preserve">Región Metropolitana de Santiago</t>
        </is>
      </c>
      <c r="G18" s="0" t="inlineStr">
        <is>
          <t xml:space="preserve">Ñuñoa</t>
        </is>
      </c>
      <c r="H18" s="2">
        <v>46317.721806</v>
      </c>
      <c r="I18" s="2">
        <v>46328.625694</v>
      </c>
      <c r="J18" s="0">
        <v>6</v>
      </c>
      <c r="K18" s="3"/>
      <c r="L18" s="0" t="inlineStr">
        <is>
          <t xml:space="preserve">CLP</t>
        </is>
      </c>
      <c r="M18" s="0" t="inlineStr">
        <is>
          <t xml:space="preserve">LE</t>
        </is>
      </c>
      <c r="N18" s="4" t="inlineStr">
        <is>
          <t xml:space="preserve">Tecnologías de la información, telecomunicaciones y radiodifusión / Equipos, plataformas y accesorios de redes multimedia, voz y datos / Equipos de servicio de red</t>
        </is>
      </c>
      <c r="O18" s="4" t="inlineStr">
        <is>
          <t xml:space="preserve">1 Global · Dispositivos de acceso de red digital de servicios integrados (RDSI)</t>
        </is>
      </c>
      <c r="P18" s="2"/>
      <c r="Q18" s="2"/>
      <c r="R18" s="0" t="inlineStr">
        <is>
          <t xml:space="preserve">13 meses</t>
        </is>
      </c>
      <c r="S18" s="0" t="inlineStr">
        <is>
          <t xml:space="preserve">No</t>
        </is>
      </c>
      <c r="T18" s="4"/>
      <c r="U18" s="0" t="inlineStr">
        <is>
          <t xml:space="preserve">Juan Pablo Jimenez</t>
        </is>
      </c>
      <c r="V18" s="4" t="inlineStr">
        <is>
          <t xml:space="preserve">Ejercer la función privativa de otorgamiento y renovación de Licencias de Conducir, conforme a lo establecido en la Resolución N° 64 del Ministerio de Transportes y Telecomunicaciones, de fecha 04 de agosto de 1986</t>
        </is>
      </c>
      <c r="W18"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19">
      <c r="A19" s="0" t="inlineStr">
        <is>
          <t xml:space="preserve">2111-304-LP26</t>
        </is>
      </c>
      <c r="B19" s="4" t="inlineStr">
        <is>
          <t xml:space="preserve">SERV. ALMACENAJE CUSTODIA Y ADM. DE DATOS FÍSICOS</t>
        </is>
      </c>
      <c r="C19" s="0" t="inlineStr">
        <is>
          <t xml:space="preserve">Publicada</t>
        </is>
      </c>
      <c r="D19" s="0" t="inlineStr">
        <is>
          <t xml:space="preserve">HOSPITAL DE URGENCIA ASISTENCIA PUBLICA DR ALEJANDRO DEL RIO</t>
        </is>
      </c>
      <c r="E19" s="0" t="inlineStr">
        <is>
          <t xml:space="preserve">Hospital de Urgencia Asistencia Pública</t>
        </is>
      </c>
      <c r="F19" s="0" t="inlineStr">
        <is>
          <t xml:space="preserve">Región Metropolitana de Santiago</t>
        </is>
      </c>
      <c r="G19" s="0" t="inlineStr">
        <is>
          <t xml:space="preserve">Santiago</t>
        </is>
      </c>
      <c r="H19" s="2">
        <v>46315.4939</v>
      </c>
      <c r="I19" s="2">
        <v>46328.625694</v>
      </c>
      <c r="J19" s="0">
        <v>6</v>
      </c>
      <c r="K19" s="3"/>
      <c r="L19" s="0" t="inlineStr">
        <is>
          <t xml:space="preserve">CLP</t>
        </is>
      </c>
      <c r="M19" s="0" t="inlineStr">
        <is>
          <t xml:space="preserve">LP</t>
        </is>
      </c>
      <c r="N19" s="4" t="inlineStr">
        <is>
          <t xml:space="preserve">Servicios de transporte, almacenaje y correo / Almacenaje / Almacenaje de mercancía en general</t>
        </is>
      </c>
      <c r="O19" s="4" t="inlineStr">
        <is>
          <t xml:space="preserve">1 Unidad · Almacenaje de documentos en carpetas</t>
        </is>
      </c>
      <c r="P19" s="2"/>
      <c r="Q19" s="2"/>
      <c r="R19" s="0" t="inlineStr">
        <is>
          <t xml:space="preserve">36 meses</t>
        </is>
      </c>
      <c r="S19" s="0" t="inlineStr">
        <is>
          <t xml:space="preserve">No</t>
        </is>
      </c>
      <c r="T19" s="4" t="inlineStr">
        <is>
          <t xml:space="preserve">SEGÚN LO ESTIPULADO EN BASES</t>
        </is>
      </c>
      <c r="U19" s="0" t="inlineStr">
        <is>
          <t xml:space="preserve">HUAP</t>
        </is>
      </c>
      <c r="V19" s="4" t="inlineStr">
        <is>
          <t xml:space="preserve">SE REQUIERE SERVICIO DE ALMACENAJE, CUSTODIA Y ADMINISTRACIÓN DE DATOS FÍSICOS PARA EL HUAP.</t>
        </is>
      </c>
      <c r="W19" s="5" t="str">
        <f>HYPERLINK("https://www.mercadopublico.cl/Procurement/Modules/Attachment/ViewAttachment.aspx?enc=Zx0cEg4VFHCjTnVObDw%2fFerl2AFqilHG1eK6j5eUBuqRH2XtiNpVx6py9WQ8Uj64HFgeFodfNx51bDDrhN9LAUo6I519vvRr9P3aQ3EBqH%2bYHEQFZw4WKwL3igMF48lOtKFkU9%2fo%2bpwxYQeAg%2byLR7HmExExd4tm27FRXriK8cQlD7XG1rN7KC07WMWik0CKMtbGF94lsNG9gjmkJivTU%2bCKYxpa9HM0IqwtDI9hnRw6LmAgMQNrUacPJ9OnTWuG6aaGRAeACzslyrjMCyGT8jBVh0iDQGEpqAUaTAr%2b%2frjrZIps3373S%2fdqJgyq8vs7","descargar bases")</f>
      </c>
    </row>
    <row r="20">
      <c r="A20" s="0" t="inlineStr">
        <is>
          <t xml:space="preserve">587-47-LE26</t>
        </is>
      </c>
      <c r="B20" s="4" t="inlineStr">
        <is>
          <t xml:space="preserve">RENOVACIÓN DE LICENCIAS DE SOFTWARE</t>
        </is>
      </c>
      <c r="C20" s="0" t="inlineStr">
        <is>
          <t xml:space="preserve">Publicada</t>
        </is>
      </c>
      <c r="D20" s="0" t="inlineStr">
        <is>
          <t xml:space="preserve">SUBSECRETARIA DEL MINISTERIO DE LA VIVIENDA Y URBANISMO</t>
        </is>
      </c>
      <c r="E20" s="0" t="inlineStr">
        <is>
          <t xml:space="preserve">Ministerio de Vivienda y Urbanismo(766)</t>
        </is>
      </c>
      <c r="F20" s="0" t="inlineStr">
        <is>
          <t xml:space="preserve">Región Metropolitana de Santiago</t>
        </is>
      </c>
      <c r="G20" s="0"/>
      <c r="H20" s="2">
        <v>46302.47669</v>
      </c>
      <c r="I20" s="2">
        <v>46328.631944</v>
      </c>
      <c r="J20" s="0">
        <v>6</v>
      </c>
      <c r="K20" s="3">
        <v>52000.0</v>
      </c>
      <c r="L20" s="0" t="inlineStr">
        <is>
          <t xml:space="preserve">USD</t>
        </is>
      </c>
      <c r="M20" s="0" t="inlineStr">
        <is>
          <t xml:space="preserve">LE</t>
        </is>
      </c>
      <c r="N20" s="4" t="inlineStr">
        <is>
          <t xml:space="preserve">Tecnologías de la información, telecomunicaciones y radiodifusión / Software / Software de gestión</t>
        </is>
      </c>
      <c r="O20" s="4" t="inlineStr">
        <is>
          <t xml:space="preserve">12 Unidad · Software de gestión de licencias</t>
        </is>
      </c>
      <c r="P20" s="2"/>
      <c r="Q20" s="2"/>
      <c r="R20" s="0" t="inlineStr">
        <is>
          <t xml:space="preserve">12 meses</t>
        </is>
      </c>
      <c r="S20" s="0" t="inlineStr">
        <is>
          <t xml:space="preserve">No</t>
        </is>
      </c>
      <c r="T20" s="4" t="inlineStr">
        <is>
          <t xml:space="preserve">NO PERMITE SUBCONTRATACIÓN VER PUNTO 1.13.5.7. “SUBCONTRATACIÓN” DE LAS BASES ADMINISTRATIVAS.</t>
        </is>
      </c>
      <c r="U20" s="0" t="inlineStr">
        <is>
          <t xml:space="preserve">Adrian Muñoz Brevis</t>
        </is>
      </c>
      <c r="V20"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20"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21">
      <c r="A21" s="0" t="inlineStr">
        <is>
          <t xml:space="preserve">1461054-45-LP26</t>
        </is>
      </c>
      <c r="B21" s="4" t="inlineStr">
        <is>
          <t xml:space="preserve">PLATAFORMA DE GESTIÓN EDUCACIONAL PARA 77 E.E</t>
        </is>
      </c>
      <c r="C21" s="0" t="inlineStr">
        <is>
          <t xml:space="preserve">Publicada</t>
        </is>
      </c>
      <c r="D21" s="0" t="inlineStr">
        <is>
          <t xml:space="preserve">SERVICIO LOCAL DE EDUCACIÓN PÚBLICA DEL ELQUI</t>
        </is>
      </c>
      <c r="E21" s="0" t="inlineStr">
        <is>
          <t xml:space="preserve">P02 Establecimientos Educacionales</t>
        </is>
      </c>
      <c r="F21" s="0" t="inlineStr">
        <is>
          <t xml:space="preserve">Región de Coquimbo </t>
        </is>
      </c>
      <c r="G21" s="0" t="inlineStr">
        <is>
          <t xml:space="preserve">La Serena</t>
        </is>
      </c>
      <c r="H21" s="2">
        <v>46288.638889</v>
      </c>
      <c r="I21" s="2">
        <v>46328.645833</v>
      </c>
      <c r="J21" s="0">
        <v>6</v>
      </c>
      <c r="K21" s="3">
        <v>290234736.0</v>
      </c>
      <c r="L21" s="0" t="inlineStr">
        <is>
          <t xml:space="preserve">CLP</t>
        </is>
      </c>
      <c r="M21" s="0" t="inlineStr">
        <is>
          <t xml:space="preserve">LP</t>
        </is>
      </c>
      <c r="N21" s="4" t="inlineStr">
        <is>
          <t xml:space="preserve">Tecnologías de la información, telecomunicaciones y radiodifusión / Software / Software de consultas y gestión de datos</t>
        </is>
      </c>
      <c r="O21" s="4" t="inlineStr">
        <is>
          <t xml:space="preserve">1 Unidad · Software del sistema de administración de bases de datos</t>
        </is>
      </c>
      <c r="P21" s="2"/>
      <c r="Q21" s="2"/>
      <c r="R21" s="0" t="inlineStr">
        <is>
          <t xml:space="preserve">36 meses</t>
        </is>
      </c>
      <c r="S21" s="0" t="inlineStr">
        <is>
          <t xml:space="preserve">No</t>
        </is>
      </c>
      <c r="T2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21" s="0" t="inlineStr">
        <is>
          <t xml:space="preserve">Francisca Pérez García</t>
        </is>
      </c>
      <c r="V2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21"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22">
      <c r="A22" s="0" t="inlineStr">
        <is>
          <t xml:space="preserve">2107-164-LE26</t>
        </is>
      </c>
      <c r="B22" s="4" t="inlineStr">
        <is>
          <t xml:space="preserve">ARRIENDO DE TOTEMS AUTOADMINISTRADOS PARA HSC</t>
        </is>
      </c>
      <c r="C22" s="0" t="inlineStr">
        <is>
          <t xml:space="preserve">Publicada</t>
        </is>
      </c>
      <c r="D22" s="0" t="inlineStr">
        <is>
          <t xml:space="preserve">SERVICIO DE SALUD HOSPITAL DE SANTA CRUZ</t>
        </is>
      </c>
      <c r="E22" s="0" t="inlineStr">
        <is>
          <t xml:space="preserve">Hospital de Santa Cruz</t>
        </is>
      </c>
      <c r="F22" s="0" t="inlineStr">
        <is>
          <t xml:space="preserve">Región del Libertador General Bernardo O´Higgins</t>
        </is>
      </c>
      <c r="G22" s="0" t="inlineStr">
        <is>
          <t xml:space="preserve">Santa Cruz</t>
        </is>
      </c>
      <c r="H22" s="2">
        <v>46315.382361</v>
      </c>
      <c r="I22" s="2">
        <v>46328.645833</v>
      </c>
      <c r="J22" s="0">
        <v>6</v>
      </c>
      <c r="K22" s="3"/>
      <c r="L22" s="0" t="inlineStr">
        <is>
          <t xml:space="preserve">CLP</t>
        </is>
      </c>
      <c r="M22" s="0" t="inlineStr">
        <is>
          <t xml:space="preserve">LE</t>
        </is>
      </c>
      <c r="N22" s="4" t="inlineStr">
        <is>
          <t xml:space="preserve">Tecnologías de la información, telecomunicaciones y radiodifusión / Equipos informáticos y accesorios / Computadores</t>
        </is>
      </c>
      <c r="O22" s="4" t="inlineStr">
        <is>
          <t xml:space="preserve">36 Mes · Servidores de gama alta · 2000 Unidad · Servidores de gama alta</t>
        </is>
      </c>
      <c r="P22" s="2"/>
      <c r="Q22" s="2"/>
      <c r="R22" s="0" t="inlineStr">
        <is>
          <t xml:space="preserve">36 meses</t>
        </is>
      </c>
      <c r="S22" s="0" t="inlineStr">
        <is>
          <t xml:space="preserve">No</t>
        </is>
      </c>
      <c r="T22" s="4"/>
      <c r="U22" s="0" t="inlineStr">
        <is>
          <t xml:space="preserve">Nicolás Salgado Marín</t>
        </is>
      </c>
      <c r="V22" s="4" t="inlineStr">
        <is>
          <t xml:space="preserve">ARRIENDO DE TOTEMS AUTOADMINISTRADOS PARA HSC</t>
        </is>
      </c>
      <c r="W22" s="5" t="str">
        <f>HYPERLINK("https://www.mercadopublico.cl/Procurement/Modules/Attachment/ViewAttachment.aspx?enc=IgUrxWzuKRClATDuwG%2fBIHHMm8bewwVZuSV45uMumHpLM7A4nisBPOZ2BNwkOQrfwEsTUvp%2fzoqleHD%2bd2yGtlj6Mzg920iPKlps1R%2bDCHkzxHTt%2fF8EX6WyCfvcp629%2fLM3xZtgOuhWeY0%2fvfO7AsloAQyzyFuq%2f9YeZN3RxBvP1Sgde8O5igYgtTWU2DtrKHpP21QFM1NSL4FnkZPislPpO3xdbtkckN1my9pOsXHzZSeScKiMJ6iwrBFP%2bGRZqiudW5wpKs8yB8lU5HDTClPoJ4PL0jdrelhd6sChPi8Vsx8rud0Jlv6F%2bMhicxZn","descargar bases")</f>
      </c>
    </row>
    <row r="23">
      <c r="A23" s="0" t="inlineStr">
        <is>
          <t xml:space="preserve">1247197-81-LE26</t>
        </is>
      </c>
      <c r="B23" s="4" t="inlineStr">
        <is>
          <t xml:space="preserve">SOFTWARE PARA FARMACIAS COMUNALES RES. 556</t>
        </is>
      </c>
      <c r="C23" s="0" t="inlineStr">
        <is>
          <t xml:space="preserve">Publicada</t>
        </is>
      </c>
      <c r="D23" s="0" t="inlineStr">
        <is>
          <t xml:space="preserve">CORP MUNICIPAL DE CONCHALI DE EDUCACION SALUD Y ATENCION DE MENORES</t>
        </is>
      </c>
      <c r="E23" s="0" t="inlineStr">
        <is>
          <t xml:space="preserve">Planificación</t>
        </is>
      </c>
      <c r="F23" s="0" t="inlineStr">
        <is>
          <t xml:space="preserve">Región Metropolitana de Santiago</t>
        </is>
      </c>
      <c r="G23" s="0" t="inlineStr">
        <is>
          <t xml:space="preserve">Conchalí</t>
        </is>
      </c>
      <c r="H23" s="2">
        <v>46317.403877</v>
      </c>
      <c r="I23" s="2">
        <v>46328.646528</v>
      </c>
      <c r="J23" s="0">
        <v>6</v>
      </c>
      <c r="K23" s="3">
        <v>11352600.0</v>
      </c>
      <c r="L23" s="0" t="inlineStr">
        <is>
          <t xml:space="preserve">CLP</t>
        </is>
      </c>
      <c r="M23" s="0" t="inlineStr">
        <is>
          <t xml:space="preserve">LE</t>
        </is>
      </c>
      <c r="N23" s="4" t="inlineStr">
        <is>
          <t xml:space="preserve">Tecnologías de la información, telecomunicaciones y radiodifusión / Software / Software de administración de redes</t>
        </is>
      </c>
      <c r="O23" s="4" t="inlineStr">
        <is>
          <t xml:space="preserve">1 Unidad · Software de administración</t>
        </is>
      </c>
      <c r="P23" s="2"/>
      <c r="Q23" s="2"/>
      <c r="R23" s="0" t="inlineStr">
        <is>
          <t xml:space="preserve">24 meses</t>
        </is>
      </c>
      <c r="S23" s="0" t="inlineStr">
        <is>
          <t xml:space="preserve">No</t>
        </is>
      </c>
      <c r="T23" s="4" t="inlineStr">
        <is>
          <t xml:space="preserve">El proveedor no podrá ceder ni transferir, total ni parcialmente, los derechos y obligaciones del contrato, sin perjuicio de la transferencia de créditos conforme a las reglas generales art. 14 de la ley N°19.886; art. 126 del Reglamento.</t>
        </is>
      </c>
      <c r="U23" s="0" t="inlineStr">
        <is>
          <t xml:space="preserve">Alisson Montecinos</t>
        </is>
      </c>
      <c r="V23"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23"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24">
      <c r="A24" s="0" t="inlineStr">
        <is>
          <t xml:space="preserve">519302-9-LE26</t>
        </is>
      </c>
      <c r="B24" s="4" t="inlineStr">
        <is>
          <t xml:space="preserve">DISEÑO IMPLEMENTACIÓN MEDICION MARKETING DIGITAL</t>
        </is>
      </c>
      <c r="C24" s="0" t="inlineStr">
        <is>
          <t xml:space="preserve">Publicada</t>
        </is>
      </c>
      <c r="D24" s="0" t="inlineStr">
        <is>
          <t xml:space="preserve">INSTITUTO NACIONAL DE PROPIEDAD INDUSTRIAL</t>
        </is>
      </c>
      <c r="E24" s="0" t="inlineStr">
        <is>
          <t xml:space="preserve">Servicios Generales</t>
        </is>
      </c>
      <c r="F24" s="0" t="inlineStr">
        <is>
          <t xml:space="preserve">Región Metropolitana de Santiago</t>
        </is>
      </c>
      <c r="G24" s="0" t="inlineStr">
        <is>
          <t xml:space="preserve">Santiago</t>
        </is>
      </c>
      <c r="H24" s="2">
        <v>46304.665139</v>
      </c>
      <c r="I24" s="2">
        <v>46328.666667</v>
      </c>
      <c r="J24" s="0">
        <v>6</v>
      </c>
      <c r="K24" s="3"/>
      <c r="L24" s="0" t="inlineStr">
        <is>
          <t xml:space="preserve">CLP</t>
        </is>
      </c>
      <c r="M24" s="0" t="inlineStr">
        <is>
          <t xml:space="preserve">LE</t>
        </is>
      </c>
      <c r="N24" s="4" t="inlineStr">
        <is>
          <t xml:space="preserve">Servicios profesionales, administrativos y consultorías de gestión empresarial / Servicios para la comercialización y distribución / Ventas y marketing</t>
        </is>
      </c>
      <c r="O24" s="4" t="inlineStr">
        <is>
          <t xml:space="preserve">1 Unidad · Campañas publicitarias o de marketing</t>
        </is>
      </c>
      <c r="P24" s="2"/>
      <c r="Q24" s="2"/>
      <c r="R24" s="0" t="inlineStr">
        <is>
          <t xml:space="preserve">3 meses</t>
        </is>
      </c>
      <c r="S24" s="0" t="inlineStr">
        <is>
          <t xml:space="preserve">No</t>
        </is>
      </c>
      <c r="T24" s="4"/>
      <c r="U24" s="0" t="inlineStr">
        <is>
          <t xml:space="preserve">Francisco Carrasco Ramírez</t>
        </is>
      </c>
      <c r="V24"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24"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25">
      <c r="A25" s="0" t="inlineStr">
        <is>
          <t xml:space="preserve">621-909-LR26</t>
        </is>
      </c>
      <c r="B25" s="4" t="inlineStr">
        <is>
          <t xml:space="preserve">TERMOGRAFO DIGITAL MONITOREO TEMPERATURA 1000023277</t>
        </is>
      </c>
      <c r="C25" s="0" t="inlineStr">
        <is>
          <t xml:space="preserve">Publicada</t>
        </is>
      </c>
      <c r="D25" s="0" t="inlineStr">
        <is>
          <t xml:space="preserve">CENTRAL DE ABASTECIMIENTO DEL SISTEMA NACIONAL DE SERVICIO DE SALUD</t>
        </is>
      </c>
      <c r="E25" s="0" t="inlineStr">
        <is>
          <t xml:space="preserve">Compras del Giro 621</t>
        </is>
      </c>
      <c r="F25" s="0" t="inlineStr">
        <is>
          <t xml:space="preserve">Región Metropolitana de Santiago</t>
        </is>
      </c>
      <c r="G25" s="0" t="inlineStr">
        <is>
          <t xml:space="preserve">Santiago Centro</t>
        </is>
      </c>
      <c r="H25" s="2">
        <v>46297.536181</v>
      </c>
      <c r="I25" s="2">
        <v>46328.666667</v>
      </c>
      <c r="J25" s="0">
        <v>6</v>
      </c>
      <c r="K25" s="3">
        <v>533715000.0</v>
      </c>
      <c r="L25" s="0" t="inlineStr">
        <is>
          <t xml:space="preserve">CLP</t>
        </is>
      </c>
      <c r="M25" s="0" t="inlineStr">
        <is>
          <t xml:space="preserve">LR</t>
        </is>
      </c>
      <c r="N25" s="4" t="inlineStr">
        <is>
          <t xml:space="preserve">Equipamiento para laboratorios / Instrumentos de medida y experimentación / Instrumentos para medir temperatura y calor</t>
        </is>
      </c>
      <c r="O25" s="4" t="inlineStr">
        <is>
          <t xml:space="preserve">3000 Unidad · Termómetros de tele indicación</t>
        </is>
      </c>
      <c r="P25" s="2"/>
      <c r="Q25" s="2"/>
      <c r="R25" s="0" t="inlineStr">
        <is>
          <t xml:space="preserve">14 meses</t>
        </is>
      </c>
      <c r="S25" s="0" t="inlineStr">
        <is>
          <t xml:space="preserve">No</t>
        </is>
      </c>
      <c r="T25" s="4"/>
      <c r="U25" s="0" t="inlineStr">
        <is>
          <t xml:space="preserve">Gisela Teresa Castro Gomez</t>
        </is>
      </c>
      <c r="V25"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25"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26">
      <c r="A26" s="0" t="inlineStr">
        <is>
          <t xml:space="preserve">1389183-69-LE26</t>
        </is>
      </c>
      <c r="B26" s="4" t="inlineStr">
        <is>
          <t xml:space="preserve">EQUIPOS INFORMATICOS PARA LICEOS TP</t>
        </is>
      </c>
      <c r="C26" s="0" t="inlineStr">
        <is>
          <t xml:space="preserve">Publicada</t>
        </is>
      </c>
      <c r="D26" s="0" t="inlineStr">
        <is>
          <t xml:space="preserve">SERVICIO LOCAL DE EDUCACIÓN PÚBLICA DE ANDALIÉN COSTA</t>
        </is>
      </c>
      <c r="E26" s="0" t="inlineStr">
        <is>
          <t xml:space="preserve">SERVICIO EDUCATIVO ANDALIEN COSTA</t>
        </is>
      </c>
      <c r="F26" s="0" t="inlineStr">
        <is>
          <t xml:space="preserve">Región del Biobío </t>
        </is>
      </c>
      <c r="G26" s="0" t="inlineStr">
        <is>
          <t xml:space="preserve">Coronel</t>
        </is>
      </c>
      <c r="H26" s="2">
        <v>46316.435405</v>
      </c>
      <c r="I26" s="2">
        <v>46328.708333</v>
      </c>
      <c r="J26" s="0">
        <v>6</v>
      </c>
      <c r="K26" s="3">
        <v>38589789.0</v>
      </c>
      <c r="L26" s="0" t="inlineStr">
        <is>
          <t xml:space="preserve">CLP</t>
        </is>
      </c>
      <c r="M26" s="0" t="inlineStr">
        <is>
          <t xml:space="preserve">LE</t>
        </is>
      </c>
      <c r="N26" s="4" t="inlineStr">
        <is>
          <t xml:space="preserve">Tecnologías de la información, telecomunicaciones y radiodifusión / Equipos informáticos y accesorios / Computadores</t>
        </is>
      </c>
      <c r="O26" s="4" t="inlineStr">
        <is>
          <t xml:space="preserve">1 Unidad · Notebook, laptop o computador portátil excepto Tablet PC · 1 Unidad · Notebook, laptop o computador portátil excepto Tablet PC · 1 Unidad · Notebook, laptop o computador portátil excepto Tablet PC · y 2 más</t>
        </is>
      </c>
      <c r="P26" s="2"/>
      <c r="Q26" s="2"/>
      <c r="R26" s="0"/>
      <c r="S26" s="0" t="inlineStr">
        <is>
          <t xml:space="preserve">No</t>
        </is>
      </c>
      <c r="T26" s="4"/>
      <c r="U26" s="0" t="inlineStr">
        <is>
          <t xml:space="preserve">Ingrid Cortes</t>
        </is>
      </c>
      <c r="V26" s="4" t="inlineStr">
        <is>
          <t xml:space="preserve">EQUIPOS INFORMATICOS PARA LICEOS TP</t>
        </is>
      </c>
      <c r="W26"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27">
      <c r="A27" s="0" t="inlineStr">
        <is>
          <t xml:space="preserve">1499-200-LE26</t>
        </is>
      </c>
      <c r="B27" s="4" t="inlineStr">
        <is>
          <t xml:space="preserve">RBV SERVICIO DE OPERADORA VIRTUAL IVR CON INTELIGENCIA ARTIFICIAL CONVERSACIONAL</t>
        </is>
      </c>
      <c r="C27" s="0" t="inlineStr">
        <is>
          <t xml:space="preserve">Publicada</t>
        </is>
      </c>
      <c r="D27" s="0" t="inlineStr">
        <is>
          <t xml:space="preserve">INSTITUTO NACIONAL DEL TORAX</t>
        </is>
      </c>
      <c r="E27" s="0" t="inlineStr">
        <is>
          <t xml:space="preserve">INSTITUTO NACIONAL DEL TORAX</t>
        </is>
      </c>
      <c r="F27" s="0" t="inlineStr">
        <is>
          <t xml:space="preserve">Región Metropolitana de Santiago</t>
        </is>
      </c>
      <c r="G27" s="0" t="inlineStr">
        <is>
          <t xml:space="preserve">Providencia</t>
        </is>
      </c>
      <c r="H27" s="2">
        <v>46318.682396</v>
      </c>
      <c r="I27" s="2">
        <v>46328.708333</v>
      </c>
      <c r="J27" s="0">
        <v>6</v>
      </c>
      <c r="K27" s="3">
        <v>8000000.0</v>
      </c>
      <c r="L27" s="0" t="inlineStr">
        <is>
          <t xml:space="preserve">CLP</t>
        </is>
      </c>
      <c r="M27" s="0" t="inlineStr">
        <is>
          <t xml:space="preserve">LE</t>
        </is>
      </c>
      <c r="N27" s="4" t="inlineStr">
        <is>
          <t xml:space="preserve">Tecnologías de la información, telecomunicaciones y radiodifusión / Equipos, plataformas y accesorios de redes multimedia, voz y datos / Plataformas de mensajería por móvil</t>
        </is>
      </c>
      <c r="O27" s="4" t="inlineStr">
        <is>
          <t xml:space="preserve">1 Global · Centro de servicio de mensajes cortos</t>
        </is>
      </c>
      <c r="P27" s="2"/>
      <c r="Q27" s="2"/>
      <c r="R27" s="0" t="inlineStr">
        <is>
          <t xml:space="preserve">12 meses</t>
        </is>
      </c>
      <c r="S27" s="0" t="inlineStr">
        <is>
          <t xml:space="preserve">No</t>
        </is>
      </c>
      <c r="T27" s="4"/>
      <c r="U27" s="0" t="inlineStr">
        <is>
          <t xml:space="preserve">Jaime Perez L.</t>
        </is>
      </c>
      <c r="V27"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27"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28">
      <c r="A28" s="0" t="inlineStr">
        <is>
          <t xml:space="preserve">2426-52-LR26</t>
        </is>
      </c>
      <c r="B28" s="4" t="inlineStr">
        <is>
          <t xml:space="preserve">DATACENTER ENLACES DE DATOS TELEFONIA E INTERNET</t>
        </is>
      </c>
      <c r="C28" s="0" t="inlineStr">
        <is>
          <t xml:space="preserve">Publicada</t>
        </is>
      </c>
      <c r="D28" s="0" t="inlineStr">
        <is>
          <t xml:space="preserve">I MUNICIPALIDAD DE VALPARAISO</t>
        </is>
      </c>
      <c r="E28" s="0" t="inlineStr">
        <is>
          <t xml:space="preserve">ADQUISICIONES MAYORES</t>
        </is>
      </c>
      <c r="F28" s="0" t="inlineStr">
        <is>
          <t xml:space="preserve">Región de Valparaíso </t>
        </is>
      </c>
      <c r="G28" s="0" t="inlineStr">
        <is>
          <t xml:space="preserve">Valparaíso</t>
        </is>
      </c>
      <c r="H28" s="2">
        <v>46297.657639</v>
      </c>
      <c r="I28" s="2">
        <v>46328.708333</v>
      </c>
      <c r="J28" s="0">
        <v>6</v>
      </c>
      <c r="K28" s="3">
        <v>40719.0</v>
      </c>
      <c r="L28" s="0" t="inlineStr">
        <is>
          <t xml:space="preserve">CLF</t>
        </is>
      </c>
      <c r="M28" s="0" t="inlineStr">
        <is>
          <t xml:space="preserve">LR</t>
        </is>
      </c>
      <c r="N28" s="4" t="inlineStr">
        <is>
          <t xml:space="preserve">Servicios basados en ingeniería, ciencias sociales y tecnología de la información / Servicios informáticos / Servicios de datos</t>
        </is>
      </c>
      <c r="O28" s="4" t="inlineStr">
        <is>
          <t xml:space="preserve">1 Unidad · Centro de servicios de datos</t>
        </is>
      </c>
      <c r="P28" s="2"/>
      <c r="Q28" s="2"/>
      <c r="R28" s="0" t="inlineStr">
        <is>
          <t xml:space="preserve">48 meses</t>
        </is>
      </c>
      <c r="S28" s="0" t="inlineStr">
        <is>
          <t xml:space="preserve">No</t>
        </is>
      </c>
      <c r="T28" s="4"/>
      <c r="U28" s="0" t="inlineStr">
        <is>
          <t xml:space="preserve">Juan Carlos Tempine</t>
        </is>
      </c>
      <c r="V28" s="4" t="inlineStr">
        <is>
          <t xml:space="preserve">SERVICIOS DE DATA CENTER, ENLACES DE DATOS, TELEFONÍA E INTERNET PARA LA MUNICIPALIDAD DE VALPARAÍSO</t>
        </is>
      </c>
      <c r="W28"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29">
      <c r="A29" s="0" t="inlineStr">
        <is>
          <t xml:space="preserve">3797-52-LE26</t>
        </is>
      </c>
      <c r="B29" s="4" t="inlineStr">
        <is>
          <t xml:space="preserve">ADQUISICION E INSTALACION DE TABLERO MARCADOR</t>
        </is>
      </c>
      <c r="C29" s="0" t="inlineStr">
        <is>
          <t xml:space="preserve">Publicada</t>
        </is>
      </c>
      <c r="D29" s="0" t="inlineStr">
        <is>
          <t xml:space="preserve">I MUNICIPALIDAD DE COCHRANE</t>
        </is>
      </c>
      <c r="E29" s="0" t="inlineStr">
        <is>
          <t xml:space="preserve">I MUNICIPALIDAD DE COCHRANE</t>
        </is>
      </c>
      <c r="F29" s="0" t="inlineStr">
        <is>
          <t xml:space="preserve">Región Aysén del General Carlos Ibáñez del Campo</t>
        </is>
      </c>
      <c r="G29" s="0" t="inlineStr">
        <is>
          <t xml:space="preserve">Cochrane</t>
        </is>
      </c>
      <c r="H29" s="2">
        <v>46318.38522</v>
      </c>
      <c r="I29" s="2">
        <v>46328.729861</v>
      </c>
      <c r="J29" s="0">
        <v>6</v>
      </c>
      <c r="K29" s="3"/>
      <c r="L29" s="0" t="inlineStr">
        <is>
          <t xml:space="preserve">CLP</t>
        </is>
      </c>
      <c r="M29" s="0" t="inlineStr">
        <is>
          <t xml:space="preserve">LE</t>
        </is>
      </c>
      <c r="N29" s="4" t="inlineStr">
        <is>
          <t xml:space="preserve">Equipos, suministros y accesorios deportivos y recreativos / Equipos y accesorios de deportes / Accesorios para deportes</t>
        </is>
      </c>
      <c r="O29" s="4" t="inlineStr">
        <is>
          <t xml:space="preserve">1 Unidad · Marcadores deportivos</t>
        </is>
      </c>
      <c r="P29" s="2"/>
      <c r="Q29" s="2"/>
      <c r="R29" s="0"/>
      <c r="S29" s="0" t="inlineStr">
        <is>
          <t xml:space="preserve">No</t>
        </is>
      </c>
      <c r="T29" s="4"/>
      <c r="U29" s="0" t="inlineStr">
        <is>
          <t xml:space="preserve">ALAN JIMENEZ</t>
        </is>
      </c>
      <c r="V29"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29"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30">
      <c r="A30" s="0" t="inlineStr">
        <is>
          <t xml:space="preserve">1221019-17-LE26</t>
        </is>
      </c>
      <c r="B30" s="4" t="inlineStr">
        <is>
          <t xml:space="preserve">Plataforma de Venta de Entradas para Evento.</t>
        </is>
      </c>
      <c r="C30" s="0" t="inlineStr">
        <is>
          <t xml:space="preserve">Publicada</t>
        </is>
      </c>
      <c r="D30" s="0" t="inlineStr">
        <is>
          <t xml:space="preserve">Corporación Municipal de Deporte  de Vitacura</t>
        </is>
      </c>
      <c r="E30" s="0" t="inlineStr">
        <is>
          <t xml:space="preserve">Corporación</t>
        </is>
      </c>
      <c r="F30" s="0" t="inlineStr">
        <is>
          <t xml:space="preserve">Región Metropolitana de Santiago</t>
        </is>
      </c>
      <c r="G30" s="0" t="inlineStr">
        <is>
          <t xml:space="preserve">Vitacura</t>
        </is>
      </c>
      <c r="H30" s="2">
        <v>46311.643056</v>
      </c>
      <c r="I30" s="2">
        <v>46328.75</v>
      </c>
      <c r="J30" s="0">
        <v>6</v>
      </c>
      <c r="K30" s="3">
        <v>25000000.0</v>
      </c>
      <c r="L30" s="0" t="inlineStr">
        <is>
          <t xml:space="preserve">CLP</t>
        </is>
      </c>
      <c r="M30" s="0" t="inlineStr">
        <is>
          <t xml:space="preserve">LE</t>
        </is>
      </c>
      <c r="N30" s="4" t="inlineStr">
        <is>
          <t xml:space="preserve">Tecnologías de la información, telecomunicaciones y radiodifusión / Software / Programas de desarrollo</t>
        </is>
      </c>
      <c r="O30" s="4" t="inlineStr">
        <is>
          <t xml:space="preserve">1 Unidad · Software de desarrollo de plataforma Web</t>
        </is>
      </c>
      <c r="P30" s="2"/>
      <c r="Q30" s="2"/>
      <c r="R30" s="0"/>
      <c r="S30" s="0" t="inlineStr">
        <is>
          <t xml:space="preserve">No</t>
        </is>
      </c>
      <c r="T30" s="4"/>
      <c r="U30" s="0" t="inlineStr">
        <is>
          <t xml:space="preserve">Víctor Banda Carrasco</t>
        </is>
      </c>
      <c r="V30"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30"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31">
      <c r="A31" s="0" t="inlineStr">
        <is>
          <t xml:space="preserve">599-41-LE26</t>
        </is>
      </c>
      <c r="B31" s="4" t="inlineStr">
        <is>
          <t xml:space="preserve">CREATIVE CLOUD ADOBE ACROBAT PRO Y ACROBAT O EQUI</t>
        </is>
      </c>
      <c r="C31" s="0" t="inlineStr">
        <is>
          <t xml:space="preserve">Publicada</t>
        </is>
      </c>
      <c r="D31" s="0" t="inlineStr">
        <is>
          <t xml:space="preserve">JUNTA NACIONAL DE JARDINES         INFANTILES</t>
        </is>
      </c>
      <c r="E31" s="0" t="inlineStr">
        <is>
          <t xml:space="preserve">JUNTA NACIONAL DE JARDINES         INFANTILES</t>
        </is>
      </c>
      <c r="F31" s="0" t="inlineStr">
        <is>
          <t xml:space="preserve">Región Metropolitana de Santiago</t>
        </is>
      </c>
      <c r="G31" s="0" t="inlineStr">
        <is>
          <t xml:space="preserve">Santiago</t>
        </is>
      </c>
      <c r="H31" s="2">
        <v>46317.5611</v>
      </c>
      <c r="I31" s="2">
        <v>46328.75</v>
      </c>
      <c r="J31" s="0">
        <v>6</v>
      </c>
      <c r="K31" s="3"/>
      <c r="L31" s="0" t="inlineStr">
        <is>
          <t xml:space="preserve">USD</t>
        </is>
      </c>
      <c r="M31" s="0" t="inlineStr">
        <is>
          <t xml:space="preserve">LE</t>
        </is>
      </c>
      <c r="N31" s="4" t="inlineStr">
        <is>
          <t xml:space="preserve">Tecnologías de la información, telecomunicaciones y radiodifusión / Software / Software de gestión</t>
        </is>
      </c>
      <c r="O31" s="4" t="inlineStr">
        <is>
          <t xml:space="preserve">22 Unidad · Software de gestión de licencias · 40 Unidad · Software de gestión de licencias · 26 Unidad · Software de gestión de licencias</t>
        </is>
      </c>
      <c r="P31" s="2"/>
      <c r="Q31" s="2"/>
      <c r="R31" s="0"/>
      <c r="S31" s="0" t="inlineStr">
        <is>
          <t xml:space="preserve">No</t>
        </is>
      </c>
      <c r="T31" s="4"/>
      <c r="U31" s="0" t="inlineStr">
        <is>
          <t xml:space="preserve">Luis Gomez</t>
        </is>
      </c>
      <c r="V31"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31"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32">
      <c r="A32" s="0" t="inlineStr">
        <is>
          <t xml:space="preserve">5416-43-L126</t>
        </is>
      </c>
      <c r="B32" s="4" t="inlineStr">
        <is>
          <t xml:space="preserve">Sistema Integral de Automatización Climática para Invernadero de Investigación</t>
        </is>
      </c>
      <c r="C32" s="0" t="inlineStr">
        <is>
          <t xml:space="preserve">Publicada</t>
        </is>
      </c>
      <c r="D32" s="0" t="inlineStr">
        <is>
          <t xml:space="preserve">UNIVERSIDAD DE LA SERENA</t>
        </is>
      </c>
      <c r="E32" s="0" t="inlineStr">
        <is>
          <t xml:space="preserve">DEPARTAMENTO DE ABASTECIMIENTO</t>
        </is>
      </c>
      <c r="F32" s="0" t="inlineStr">
        <is>
          <t xml:space="preserve">Región de Coquimbo </t>
        </is>
      </c>
      <c r="G32" s="0" t="inlineStr">
        <is>
          <t xml:space="preserve">La Serena</t>
        </is>
      </c>
      <c r="H32" s="2">
        <v>46315.450671</v>
      </c>
      <c r="I32" s="2">
        <v>46328.75</v>
      </c>
      <c r="J32" s="0">
        <v>6</v>
      </c>
      <c r="K32" s="3">
        <v>3000000.0</v>
      </c>
      <c r="L32" s="0" t="inlineStr">
        <is>
          <t xml:space="preserve">CLP</t>
        </is>
      </c>
      <c r="M32" s="0" t="inlineStr">
        <is>
          <t xml:space="preserve">L1</t>
        </is>
      </c>
      <c r="N32" s="4" t="inlineStr">
        <is>
          <t xml:space="preserve">Servicios de construcción y mantenimiento / Servicios de atención, mantenimiento y reparaciones de edificios / Gasfitería, calefacción y aire acondicionado</t>
        </is>
      </c>
      <c r="O32" s="4" t="inlineStr">
        <is>
          <t xml:space="preserve">1 Unidad · Servicios de reparación, mantenimiento o reparación de aire acondicionado</t>
        </is>
      </c>
      <c r="P32" s="2"/>
      <c r="Q32" s="2"/>
      <c r="R32" s="0"/>
      <c r="S32" s="0" t="inlineStr">
        <is>
          <t xml:space="preserve">No</t>
        </is>
      </c>
      <c r="T32" s="4"/>
      <c r="U32" s="0"/>
      <c r="V32" s="4" t="inlineStr">
        <is>
          <t xml:space="preserve">Se requiere Sistema Integral de Automatización Climática para Invernadero de Investigación para el Departamento de Agronomía. SC 51431.</t>
        </is>
      </c>
      <c r="W32" s="5" t="str">
        <f>HYPERLINK("https://www.mercadopublico.cl/Procurement/Modules/Attachment/ViewAttachment.aspx?enc=Fo0GiWvlBuSsHzEkk1SS7IkWoOIkbvVCvloSHEAyrhJ2ZwayD%2fFjvayMqbeXmBLJyle2FGUu2zNo6UjNsRKJxaQz2Q80bKtJiMn1mF3KwSBtWWhriOMkI4wozEH%2b5Jtx6BPGRSow%2bmmegOrrJqEP3cn%2fKbp4jWj7mk89bwLqTtfhT5%2fGzbLlQ%2bbRLo2a9O63SKQu51AsPEzapIp9OA1JwefXxGWQy3xR9M2Y5yUFjRLdi78cxOlJHk63SfoBdhnvIYxiAH05wVlTygy8nwVzUNUjbEpoemb%2f94zSt1ax8HvaOOGpHYirjbEXtqRQmCH2","descargar bases")</f>
      </c>
    </row>
    <row r="33">
      <c r="A33" s="0" t="inlineStr">
        <is>
          <t xml:space="preserve">599-42-LE26</t>
        </is>
      </c>
      <c r="B33" s="4" t="inlineStr">
        <is>
          <t xml:space="preserve">PLATAFORMA INSTITUCIONAL DE IA GENERATIVA CHATGPT</t>
        </is>
      </c>
      <c r="C33" s="0" t="inlineStr">
        <is>
          <t xml:space="preserve">Publicada</t>
        </is>
      </c>
      <c r="D33" s="0" t="inlineStr">
        <is>
          <t xml:space="preserve">JUNTA NACIONAL DE JARDINES         INFANTILES</t>
        </is>
      </c>
      <c r="E33" s="0" t="inlineStr">
        <is>
          <t xml:space="preserve">JUNTA NACIONAL DE JARDINES         INFANTILES</t>
        </is>
      </c>
      <c r="F33" s="0" t="inlineStr">
        <is>
          <t xml:space="preserve">Región Metropolitana de Santiago</t>
        </is>
      </c>
      <c r="G33" s="0" t="inlineStr">
        <is>
          <t xml:space="preserve">Santiago</t>
        </is>
      </c>
      <c r="H33" s="2">
        <v>46321.731088</v>
      </c>
      <c r="I33" s="2">
        <v>46328.75</v>
      </c>
      <c r="J33" s="0">
        <v>6</v>
      </c>
      <c r="K33" s="3"/>
      <c r="L33" s="0" t="inlineStr">
        <is>
          <t xml:space="preserve">CLP</t>
        </is>
      </c>
      <c r="M33" s="0" t="inlineStr">
        <is>
          <t xml:space="preserve">LE</t>
        </is>
      </c>
      <c r="N33" s="4" t="inlineStr">
        <is>
          <t xml:space="preserve">Tecnologías de la información, telecomunicaciones y radiodifusión / Software / Software de consultas y gestión de datos</t>
        </is>
      </c>
      <c r="O33" s="4" t="inlineStr">
        <is>
          <t xml:space="preserve">1 Unidad · Software de creación de informes de bases de datos</t>
        </is>
      </c>
      <c r="P33" s="2"/>
      <c r="Q33" s="2"/>
      <c r="R33" s="0" t="inlineStr">
        <is>
          <t xml:space="preserve">12 meses</t>
        </is>
      </c>
      <c r="S33" s="0" t="inlineStr">
        <is>
          <t xml:space="preserve">No</t>
        </is>
      </c>
      <c r="T33" s="4"/>
      <c r="U33" s="0" t="inlineStr">
        <is>
          <t xml:space="preserve">Oficina de Gestión de Contratos</t>
        </is>
      </c>
      <c r="V33" s="4" t="inlineStr">
        <is>
          <t xml:space="preserve">La Junta Nacional de Jardines Infantiles, JUNJI, a través de la Sección de Tecnologías de la In-formación del Departamento de Planificación, de la Junta Nacional de Jardines Infantiles, requiere la contratación del “PROVISIÓN, HABILITACIÓN Y SOPORTE DE LICENCIAS Y CAPACIDAD ADICIONAL DE CONSUMO PARA LA PLATAFORMA INSTITUCIONAL DE INTELIGENCIA ARTIFICIAL GENERATIVA CHATGPT BUSINESS, POR UN PERÍODO DE DOCE MESES”, PARA LA JUNTA NACIONAL DE JARDINES INFANTILES.</t>
        </is>
      </c>
      <c r="W33" s="5" t="str">
        <f>HYPERLINK("https://www.mercadopublico.cl/Procurement/Modules/Attachment/ViewAttachment.aspx?enc=CILMUUfaOw14X0sh9ecnwPtNuC5A4S09QfjTqgro78eWbvReq0aq%2fHyBuFrElvA6GNe04H3bofIySOIWVkKvH8RrHM0MEnPORNjuMQ2bfjIQOp%2bnWQUv0aJyubKmycL1cV%2f7i%2fjP0cFadh2%2bYeTQNyazJ4INI4BGRLGF2GFcrGvjCAIe%2fWC14EfIGx8x8Ooj14Po3N1jTa3cFoXq9juqzixsoNIjzYwfDBBQMg2mBILmtulRRJ6pJbEuYtqwiouvnmCV0KOmRzAaX5gKn7fX9vg%2bXP83nT2K%2fC0mjrytwgPGUR1Y7FtlwYGA4Hs4rOpM","descargar bases")</f>
      </c>
    </row>
    <row r="34">
      <c r="A34" s="0" t="inlineStr">
        <is>
          <t xml:space="preserve">1260113-6-L126</t>
        </is>
      </c>
      <c r="B34" s="4" t="inlineStr">
        <is>
          <t xml:space="preserve">ADQUISICIÓN LICENCIAS MICROSOFT OFFICE 365 A3 FOR FACULTY PARA PROYECTO “ADQUISICIÓN Y REPOSICIÓN DE EQUIPOS INFORMÁTICOS ESTABLECIMIENTOS EDUCACIONALES RURALES SLEPCH”, CÓDIGO BIP 40065439-0</t>
        </is>
      </c>
      <c r="C34" s="0" t="inlineStr">
        <is>
          <t xml:space="preserve">Publicada</t>
        </is>
      </c>
      <c r="D34" s="0" t="inlineStr">
        <is>
          <t xml:space="preserve">SERVICIO LOCAL DE EDUCACION DE CHINCHORRO</t>
        </is>
      </c>
      <c r="E34" s="0" t="inlineStr">
        <is>
          <t xml:space="preserve">Gobierno Regional de Arica y Parinacota GORE</t>
        </is>
      </c>
      <c r="F34" s="0" t="inlineStr">
        <is>
          <t xml:space="preserve">Región Metropolitana de Santiago</t>
        </is>
      </c>
      <c r="G34" s="0" t="inlineStr">
        <is>
          <t xml:space="preserve">Santiago</t>
        </is>
      </c>
      <c r="H34" s="2">
        <v>46321.733333</v>
      </c>
      <c r="I34" s="2">
        <v>46329.416667</v>
      </c>
      <c r="J34" s="0">
        <v>7</v>
      </c>
      <c r="K34" s="3">
        <v>6031872.0</v>
      </c>
      <c r="L34" s="0" t="inlineStr">
        <is>
          <t xml:space="preserve">CLP</t>
        </is>
      </c>
      <c r="M34" s="0" t="inlineStr">
        <is>
          <t xml:space="preserve">L1</t>
        </is>
      </c>
      <c r="N34" s="4" t="inlineStr">
        <is>
          <t xml:space="preserve">Tecnologías de la información, telecomunicaciones y radiodifusión / Software / Software de gestión</t>
        </is>
      </c>
      <c r="O34" s="4" t="inlineStr">
        <is>
          <t xml:space="preserve">72 Unidad · Software de gestión de licencias</t>
        </is>
      </c>
      <c r="P34" s="2"/>
      <c r="Q34" s="2"/>
      <c r="R34" s="0"/>
      <c r="S34" s="0" t="inlineStr">
        <is>
          <t xml:space="preserve">No</t>
        </is>
      </c>
      <c r="T34" s="4"/>
      <c r="U34" s="0"/>
      <c r="V34" s="4" t="inlineStr">
        <is>
          <t xml:space="preserve">ADQUISICIÓN LICENCIAS MICROSOFT OFFICE 365 A3 FOR FACULTY PARA PROYECTO “ADQUISICIÓN Y REPOSICIÓN DE EQUIPOS INFORMÁTICOS ESTABLECIMIENTOS EDUCACIONALES RURALES SLEPCH”, CÓDIGO BIP 40065439-0</t>
        </is>
      </c>
      <c r="W34" s="5" t="str">
        <f>HYPERLINK("https://www.mercadopublico.cl/Procurement/Modules/Attachment/ViewAttachment.aspx?enc=aqR4ucf1YHdKeQM0YqZVM5t%2bg6nA4ihgjvSJhx4n52g1WQv9Yyr7Rr396OXf5lVn5IAKmcpoEJv71vyabm10uL0NPnMT%2fb2DS9fKTib760J61uQ7wcbzsFQif9LMVYJt9EYQatQ%2fSJx5lYTlTrjZTO%2f7vlLN0%2bUyA2Uz9C40C7ZhJoyTomfSMFbXnZFnw%2bMQQfKVn2k2%2bYn9fT2GfPnG4bjgvxF9B27YB53uuXarDB4RsbUboobsZsR4F25Up03n9wIpd%2bZNbmvHj%2f9%2fjHC5j7wcEAwcNN%2b9Wvzs6XPcytAsiR3bNwGPq0g2l0s9WDNe","descargar bases")</f>
      </c>
    </row>
    <row r="35">
      <c r="A35" s="0" t="inlineStr">
        <is>
          <t xml:space="preserve">1057432-101-LE26</t>
        </is>
      </c>
      <c r="B35" s="4" t="inlineStr">
        <is>
          <t xml:space="preserve">SOFTWARE DE DISEÑO PARA SSC POR 12 MESES.</t>
        </is>
      </c>
      <c r="C35" s="0" t="inlineStr">
        <is>
          <t xml:space="preserve">Publicada</t>
        </is>
      </c>
      <c r="D35" s="0" t="inlineStr">
        <is>
          <t xml:space="preserve">SERVICIO DE SALUD CONCEPCION</t>
        </is>
      </c>
      <c r="E35" s="0" t="inlineStr">
        <is>
          <t xml:space="preserve">Servicio de Salud  Concepción</t>
        </is>
      </c>
      <c r="F35" s="0" t="inlineStr">
        <is>
          <t xml:space="preserve">Región del Biobío </t>
        </is>
      </c>
      <c r="G35" s="0" t="inlineStr">
        <is>
          <t xml:space="preserve">Concepción</t>
        </is>
      </c>
      <c r="H35" s="2">
        <v>46318.43265</v>
      </c>
      <c r="I35" s="2">
        <v>46329.625</v>
      </c>
      <c r="J35" s="0">
        <v>7</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13 Unidad · Software de gestión de licencias · 8 Unidad · Software de gestión de licencias</t>
        </is>
      </c>
      <c r="P35" s="2"/>
      <c r="Q35" s="2"/>
      <c r="R35" s="0" t="inlineStr">
        <is>
          <t xml:space="preserve">12 meses</t>
        </is>
      </c>
      <c r="S35" s="0" t="inlineStr">
        <is>
          <t xml:space="preserve">No</t>
        </is>
      </c>
      <c r="T35" s="4"/>
      <c r="U35" s="0" t="inlineStr">
        <is>
          <t xml:space="preserve">CLAUDIO SEPULVEDA</t>
        </is>
      </c>
      <c r="V35" s="4" t="inlineStr">
        <is>
          <t xml:space="preserve">Se requiere adquirir software de diseño asistido por computador y modelado de proyecto para SSC, según especificaciones técnicas.</t>
        </is>
      </c>
      <c r="W35"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36">
      <c r="A36" s="0" t="inlineStr">
        <is>
          <t xml:space="preserve">622-64-L126</t>
        </is>
      </c>
      <c r="B36" s="4" t="inlineStr">
        <is>
          <t xml:space="preserve">CONTRATACIÓN DEL CURSO INTELIGENCIA ARTIFICIAL APLICADA A LA GESTIÓN GREMIAL Y LA FUNCIÓN PÚBLICA</t>
        </is>
      </c>
      <c r="C36" s="0" t="inlineStr">
        <is>
          <t xml:space="preserve">Publicada</t>
        </is>
      </c>
      <c r="D36" s="0" t="inlineStr">
        <is>
          <t xml:space="preserve">TESORERIA GENERAL DE LA REPUBLICA</t>
        </is>
      </c>
      <c r="E36" s="0" t="inlineStr">
        <is>
          <t xml:space="preserve">Tesorería General de la República</t>
        </is>
      </c>
      <c r="F36" s="0" t="inlineStr">
        <is>
          <t xml:space="preserve">Región Metropolitana de Santiago</t>
        </is>
      </c>
      <c r="G36" s="0" t="inlineStr">
        <is>
          <t xml:space="preserve">Ñuñoa</t>
        </is>
      </c>
      <c r="H36" s="2">
        <v>46304.640278</v>
      </c>
      <c r="I36" s="2">
        <v>46329.625</v>
      </c>
      <c r="J36" s="0">
        <v>7</v>
      </c>
      <c r="K36" s="3">
        <v>5000000.0</v>
      </c>
      <c r="L36" s="0" t="inlineStr">
        <is>
          <t xml:space="preserve">CLP</t>
        </is>
      </c>
      <c r="M36" s="0" t="inlineStr">
        <is>
          <t xml:space="preserve">L1</t>
        </is>
      </c>
      <c r="N36" s="4" t="inlineStr">
        <is>
          <t xml:space="preserve">Educación, formación, entrenamiento y capacitación / Sistemas educativos complementarios / Educación de adultos</t>
        </is>
      </c>
      <c r="O36" s="4" t="inlineStr">
        <is>
          <t xml:space="preserve">1 Unidad · Capacitación a empleados</t>
        </is>
      </c>
      <c r="P36" s="2"/>
      <c r="Q36" s="2"/>
      <c r="R36" s="0"/>
      <c r="S36" s="0" t="inlineStr">
        <is>
          <t xml:space="preserve">No</t>
        </is>
      </c>
      <c r="T36" s="4"/>
      <c r="U36" s="0"/>
      <c r="V36"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36"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37">
      <c r="A37" s="0" t="inlineStr">
        <is>
          <t xml:space="preserve">872-51-LE26</t>
        </is>
      </c>
      <c r="B37" s="4" t="inlineStr">
        <is>
          <t xml:space="preserve">Servicio Cloud Computing</t>
        </is>
      </c>
      <c r="C37" s="0" t="inlineStr">
        <is>
          <t xml:space="preserve">Publicada</t>
        </is>
      </c>
      <c r="D37" s="0" t="inlineStr">
        <is>
          <t xml:space="preserve">Comisión Chilena de Energía Nuclear</t>
        </is>
      </c>
      <c r="E37" s="0" t="inlineStr">
        <is>
          <t xml:space="preserve">Comisión Chilena de Energía Nuclear</t>
        </is>
      </c>
      <c r="F37" s="0" t="inlineStr">
        <is>
          <t xml:space="preserve">Región Metropolitana de Santiago</t>
        </is>
      </c>
      <c r="G37" s="0" t="inlineStr">
        <is>
          <t xml:space="preserve">Santiago</t>
        </is>
      </c>
      <c r="H37" s="2">
        <v>46318.398646</v>
      </c>
      <c r="I37" s="2">
        <v>46329.625</v>
      </c>
      <c r="J37" s="0">
        <v>7</v>
      </c>
      <c r="K37" s="3">
        <v>57000000.0</v>
      </c>
      <c r="L37" s="0" t="inlineStr">
        <is>
          <t xml:space="preserve">CLP</t>
        </is>
      </c>
      <c r="M37" s="0" t="inlineStr">
        <is>
          <t xml:space="preserve">LE</t>
        </is>
      </c>
      <c r="N37" s="4" t="inlineStr">
        <is>
          <t xml:space="preserve">Servicios basados en ingeniería, ciencias sociales y tecnología de la información / Servicios informáticos / Servicios para internet</t>
        </is>
      </c>
      <c r="O37" s="4" t="inlineStr">
        <is>
          <t xml:space="preserve">1 Unidad · Web Hosting</t>
        </is>
      </c>
      <c r="P37" s="2"/>
      <c r="Q37" s="2"/>
      <c r="R37" s="0"/>
      <c r="S37" s="0" t="inlineStr">
        <is>
          <t xml:space="preserve">No</t>
        </is>
      </c>
      <c r="T37" s="4" t="inlineStr">
        <is>
          <t xml:space="preserve">Indicado en bases de licitación</t>
        </is>
      </c>
      <c r="U37" s="0" t="inlineStr">
        <is>
          <t xml:space="preserve">Julio López</t>
        </is>
      </c>
      <c r="V37"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37"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38">
      <c r="A38" s="0" t="inlineStr">
        <is>
          <t xml:space="preserve">2770-154-LP26</t>
        </is>
      </c>
      <c r="B38" s="4" t="inlineStr">
        <is>
          <t xml:space="preserve">SERVICIOS DE TELEFONÍA Y DATOS MÓVILES</t>
        </is>
      </c>
      <c r="C38" s="0" t="inlineStr">
        <is>
          <t xml:space="preserve">Publicada</t>
        </is>
      </c>
      <c r="D38" s="0" t="inlineStr">
        <is>
          <t xml:space="preserve">I MUNICIPALIDAD DE MAIPU</t>
        </is>
      </c>
      <c r="E38" s="0" t="inlineStr">
        <is>
          <t xml:space="preserve">I MUNICIPALIDAD DE MAIPU</t>
        </is>
      </c>
      <c r="F38" s="0" t="inlineStr">
        <is>
          <t xml:space="preserve">Región Metropolitana de Santiago</t>
        </is>
      </c>
      <c r="G38" s="0" t="inlineStr">
        <is>
          <t xml:space="preserve">Maipú</t>
        </is>
      </c>
      <c r="H38" s="2">
        <v>46308.486111</v>
      </c>
      <c r="I38" s="2">
        <v>46329.625</v>
      </c>
      <c r="J38" s="0">
        <v>7</v>
      </c>
      <c r="K38" s="3">
        <v>193200000.0</v>
      </c>
      <c r="L38" s="0" t="inlineStr">
        <is>
          <t xml:space="preserve">CLP</t>
        </is>
      </c>
      <c r="M38" s="0" t="inlineStr">
        <is>
          <t xml:space="preserve">LP</t>
        </is>
      </c>
      <c r="N38" s="4" t="inlineStr">
        <is>
          <t xml:space="preserve">Servicios básicos y de información pública / Telecomunicaciones / Comunicaciones móviles</t>
        </is>
      </c>
      <c r="O38" s="4" t="inlineStr">
        <is>
          <t xml:space="preserve">1 Global · Servicios de telefonía móvil</t>
        </is>
      </c>
      <c r="P38" s="2"/>
      <c r="Q38" s="2"/>
      <c r="R38" s="0" t="inlineStr">
        <is>
          <t xml:space="preserve">24 meses</t>
        </is>
      </c>
      <c r="S38" s="0" t="inlineStr">
        <is>
          <t xml:space="preserve">No</t>
        </is>
      </c>
      <c r="T38" s="4"/>
      <c r="U38" s="0" t="inlineStr">
        <is>
          <t xml:space="preserve">Teresa Olave Quinteros</t>
        </is>
      </c>
      <c r="V38"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38" s="5" t="str">
        <f>HYPERLINK("https://www.mercadopublico.cl/Procurement/Modules/Attachment/ViewAttachment.aspx?enc=VWQQtEOuEDWj8Iw1oNU%2bJB%2fVSBqSX2Mdc3mnrXis38LD8wn6GTOpDRiYu2yRyB7L5NsPXkaEVcGvLPtpVNzdFXhOSVdcFbUMcyjwBNSlNTDgxKHWOyagU7aMnQDjdU9lynijhLkL%2bvr9CHfcIaQZ1fqey9BCtYn4FaRCFIKNQEP8w9jic05%2fOOq1pA5bqxzJIAC7OMK3q8Rgeq9Yw5xkXKw%2fpZ2bFlcD%2bsS%2fkdkX2p9CfOPM7Ud25MEuT792EGVmtwBCZiUA%2f3CD6zOy0LHmYpNpDCO3sofN0ih8VMIUis%2bt3gBULfVYdFeDfUCFarcJ","descargar bases")</f>
      </c>
    </row>
    <row r="39">
      <c r="A39" s="0" t="inlineStr">
        <is>
          <t xml:space="preserve">629373-23-LE26</t>
        </is>
      </c>
      <c r="B39" s="4" t="inlineStr">
        <is>
          <t xml:space="preserve">SERVICIO DE TÓTEMS DE AUTOATENCIÓN</t>
        </is>
      </c>
      <c r="C39" s="0" t="inlineStr">
        <is>
          <t xml:space="preserve">Publicada</t>
        </is>
      </c>
      <c r="D39" s="0" t="inlineStr">
        <is>
          <t xml:space="preserve">CORP MUNICIPAL DE SAN MIGUEL</t>
        </is>
      </c>
      <c r="E39" s="0" t="inlineStr">
        <is>
          <t xml:space="preserve">Corporación Municipal de San Miguel</t>
        </is>
      </c>
      <c r="F39" s="0" t="inlineStr">
        <is>
          <t xml:space="preserve">Región Metropolitana de Santiago</t>
        </is>
      </c>
      <c r="G39" s="0" t="inlineStr">
        <is>
          <t xml:space="preserve">San Miguel</t>
        </is>
      </c>
      <c r="H39" s="2">
        <v>46314.670833</v>
      </c>
      <c r="I39" s="2">
        <v>46329.625</v>
      </c>
      <c r="J39" s="0">
        <v>7</v>
      </c>
      <c r="K39" s="3">
        <v>70000000.0</v>
      </c>
      <c r="L39" s="0" t="inlineStr">
        <is>
          <t xml:space="preserve">CLP</t>
        </is>
      </c>
      <c r="M39" s="0" t="inlineStr">
        <is>
          <t xml:space="preserve">LE</t>
        </is>
      </c>
      <c r="N39" s="4" t="inlineStr">
        <is>
          <t xml:space="preserve">Equipos y suministros de defensa, orden público, protección y seguridad / Equipos para orden público / Equipo para control de disturbios</t>
        </is>
      </c>
      <c r="O39" s="4" t="inlineStr">
        <is>
          <t xml:space="preserve">1 Global · Sistemas de control de formación de filas</t>
        </is>
      </c>
      <c r="P39" s="2"/>
      <c r="Q39" s="2"/>
      <c r="R39" s="0" t="inlineStr">
        <is>
          <t xml:space="preserve">24 meses</t>
        </is>
      </c>
      <c r="S39" s="0" t="inlineStr">
        <is>
          <t xml:space="preserve">No</t>
        </is>
      </c>
      <c r="T39" s="4"/>
      <c r="U39" s="0" t="inlineStr">
        <is>
          <t xml:space="preserve">Karen Escobar</t>
        </is>
      </c>
      <c r="V39"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39" s="5" t="str">
        <f>HYPERLINK("https://www.mercadopublico.cl/Procurement/Modules/Attachment/ViewAttachment.aspx?enc=QwABqba8K4qusuS%2b87L%2fRBT94FmDSDmst6eS6nfgDjDDH0WAWvJhpmbOq5DuOBGd0b4m2vLUe4OWXTwVXLIjCuTcfhjyAFQWg9uUeM2PrUGW9ZJh1b0VqZBoQoIBAa6m1rC9ER03wFTf6V4JfHGUPWGxv5lU4xsNuqwoz98DAQacEc4VMzvFYkmkSjy4yJatJGY%2bJkVihiFkSj6fpC6SYh3gnaW%2bDcxZIQJcCTWoXeAALJBRyuUzijdRi83WKhfiVl7jIAN1ZZ3R3JxOgQo4mjaVYj39mtPx9t2olQhVL2QF7I3SkIL6htasIBe8ZNif","descargar bases")</f>
      </c>
    </row>
    <row r="40">
      <c r="A40" s="0" t="inlineStr">
        <is>
          <t xml:space="preserve">3730-102-L126</t>
        </is>
      </c>
      <c r="B40" s="4" t="inlineStr">
        <is>
          <t xml:space="preserve">REPARACION , MANTECION  TABLEROS DE BASQUETBOL GIMNASIO MUNICIPAL</t>
        </is>
      </c>
      <c r="C40" s="0" t="inlineStr">
        <is>
          <t xml:space="preserve">Publicada</t>
        </is>
      </c>
      <c r="D40" s="0" t="inlineStr">
        <is>
          <t xml:space="preserve">I MUNICIPALIDAD DE CHIMBARONGO</t>
        </is>
      </c>
      <c r="E40" s="0" t="inlineStr">
        <is>
          <t xml:space="preserve">Adquisiciones  Obras</t>
        </is>
      </c>
      <c r="F40" s="0" t="inlineStr">
        <is>
          <t xml:space="preserve">Región del Libertador General Bernardo O´Higgins</t>
        </is>
      </c>
      <c r="G40" s="0" t="inlineStr">
        <is>
          <t xml:space="preserve">Chimbarongo</t>
        </is>
      </c>
      <c r="H40" s="2">
        <v>46317.531343</v>
      </c>
      <c r="I40" s="2">
        <v>46329.631944</v>
      </c>
      <c r="J40" s="0">
        <v>7</v>
      </c>
      <c r="K40" s="3">
        <v>3300000.0</v>
      </c>
      <c r="L40" s="0" t="inlineStr">
        <is>
          <t xml:space="preserve">CLP</t>
        </is>
      </c>
      <c r="M40" s="0" t="inlineStr">
        <is>
          <t xml:space="preserve">L1</t>
        </is>
      </c>
      <c r="N40" s="4" t="inlineStr">
        <is>
          <t xml:space="preserve">Servicios de transporte, almacenaje y correo / Servicios de mantención o reparaciones de transportes / Servicios de panel, chapa y pintura</t>
        </is>
      </c>
      <c r="O40" s="4" t="inlineStr">
        <is>
          <t xml:space="preserve">1 Unidad no definida · Servicios de reparación o manutención del panel de instrumentos</t>
        </is>
      </c>
      <c r="P40" s="2"/>
      <c r="Q40" s="2"/>
      <c r="R40" s="0"/>
      <c r="S40" s="0" t="inlineStr">
        <is>
          <t xml:space="preserve">No</t>
        </is>
      </c>
      <c r="T40" s="4"/>
      <c r="U40" s="0"/>
      <c r="V40"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40"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41">
      <c r="A41" s="0" t="inlineStr">
        <is>
          <t xml:space="preserve">2735-149-LR26</t>
        </is>
      </c>
      <c r="B41" s="4" t="inlineStr">
        <is>
          <t xml:space="preserve">Servicio de Software de Gestión y Registro Clinico</t>
        </is>
      </c>
      <c r="C41" s="0" t="inlineStr">
        <is>
          <t xml:space="preserve">Publicada</t>
        </is>
      </c>
      <c r="D41" s="0" t="inlineStr">
        <is>
          <t xml:space="preserve">I MUNICIPALIDAD LO BARNECHEA</t>
        </is>
      </c>
      <c r="E41" s="0" t="inlineStr">
        <is>
          <t xml:space="preserve">Municipalidad de lo Barnechea - Adquisiciones - Consistorial</t>
        </is>
      </c>
      <c r="F41" s="0" t="inlineStr">
        <is>
          <t xml:space="preserve">Región Metropolitana de Santiago</t>
        </is>
      </c>
      <c r="G41" s="0" t="inlineStr">
        <is>
          <t xml:space="preserve">Lo Barnechea</t>
        </is>
      </c>
      <c r="H41" s="2">
        <v>46296.502778</v>
      </c>
      <c r="I41" s="2">
        <v>46329.645833</v>
      </c>
      <c r="J41" s="0">
        <v>7</v>
      </c>
      <c r="K41" s="3"/>
      <c r="L41" s="0" t="inlineStr">
        <is>
          <t xml:space="preserve">CLF</t>
        </is>
      </c>
      <c r="M41" s="0" t="inlineStr">
        <is>
          <t xml:space="preserve">LR</t>
        </is>
      </c>
      <c r="N41" s="4" t="inlineStr">
        <is>
          <t xml:space="preserve">Tecnologías de la información, telecomunicaciones y radiodifusión / Software / Software específico para la industria</t>
        </is>
      </c>
      <c r="O41" s="4" t="inlineStr">
        <is>
          <t xml:space="preserve">1 Unidad · Software médico</t>
        </is>
      </c>
      <c r="P41" s="2"/>
      <c r="Q41" s="2"/>
      <c r="R41" s="0" t="inlineStr">
        <is>
          <t xml:space="preserve">63 meses</t>
        </is>
      </c>
      <c r="S41" s="0" t="inlineStr">
        <is>
          <t xml:space="preserve">No</t>
        </is>
      </c>
      <c r="T41" s="4" t="inlineStr">
        <is>
          <t xml:space="preserve">Conforme a lo establecido en el numeral 16.6 de las bases administrativas</t>
        </is>
      </c>
      <c r="U41" s="0" t="inlineStr">
        <is>
          <t xml:space="preserve">Angelica Parra</t>
        </is>
      </c>
      <c r="V4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41"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42">
      <c r="A42" s="0" t="inlineStr">
        <is>
          <t xml:space="preserve">542429-10-LE26</t>
        </is>
      </c>
      <c r="B42" s="4" t="inlineStr">
        <is>
          <t xml:space="preserve">Renovación de licencias de software</t>
        </is>
      </c>
      <c r="C42" s="0" t="inlineStr">
        <is>
          <t xml:space="preserve">Publicada</t>
        </is>
      </c>
      <c r="D42" s="0" t="inlineStr">
        <is>
          <t xml:space="preserve">UNIDAD ADMINISTRADORA DE LOS TRIBUNALES TRIBUTARIOS Y ADUANEROS</t>
        </is>
      </c>
      <c r="E42" s="0" t="inlineStr">
        <is>
          <t xml:space="preserve">UNIDAD ADMINISTRADORA DE LOS TRIBUNALES TRIBUTARIOS Y ADUANEROS</t>
        </is>
      </c>
      <c r="F42" s="0" t="inlineStr">
        <is>
          <t xml:space="preserve">Región Metropolitana de Santiago</t>
        </is>
      </c>
      <c r="G42" s="0" t="inlineStr">
        <is>
          <t xml:space="preserve">Arica</t>
        </is>
      </c>
      <c r="H42" s="2">
        <v>46318.614248</v>
      </c>
      <c r="I42" s="2">
        <v>46329.645833</v>
      </c>
      <c r="J42" s="0">
        <v>7</v>
      </c>
      <c r="K42" s="3">
        <v>40580.0</v>
      </c>
      <c r="L42" s="0" t="inlineStr">
        <is>
          <t xml:space="preserve">USD</t>
        </is>
      </c>
      <c r="M42" s="0" t="inlineStr">
        <is>
          <t xml:space="preserve">LE</t>
        </is>
      </c>
      <c r="N42" s="4" t="inlineStr">
        <is>
          <t xml:space="preserve">Tecnologías de la información, telecomunicaciones y radiodifusión / Software / Software de gestión</t>
        </is>
      </c>
      <c r="O42" s="4" t="inlineStr">
        <is>
          <t xml:space="preserve">1 Unidad · Software de gestión de licencias · 1 Unidad · Software de gestión de licencias</t>
        </is>
      </c>
      <c r="P42" s="2"/>
      <c r="Q42" s="2"/>
      <c r="R42" s="0" t="inlineStr">
        <is>
          <t xml:space="preserve">36 meses</t>
        </is>
      </c>
      <c r="S42" s="0" t="inlineStr">
        <is>
          <t xml:space="preserve">No</t>
        </is>
      </c>
      <c r="T42" s="4"/>
      <c r="U42" s="0" t="inlineStr">
        <is>
          <t xml:space="preserve">Karen Brito</t>
        </is>
      </c>
      <c r="V42" s="4" t="inlineStr">
        <is>
          <t xml:space="preserve">Renovación de licencias de software</t>
        </is>
      </c>
      <c r="W42"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43">
      <c r="A43" s="0" t="inlineStr">
        <is>
          <t xml:space="preserve">654478-7-LP26</t>
        </is>
      </c>
      <c r="B43" s="4" t="inlineStr">
        <is>
          <t xml:space="preserve">RENOVACIÓN DE SOPORTE DE LICENCIAS DE SOFTWARE</t>
        </is>
      </c>
      <c r="C43" s="0" t="inlineStr">
        <is>
          <t xml:space="preserve">Publicada</t>
        </is>
      </c>
      <c r="D43" s="0" t="inlineStr">
        <is>
          <t xml:space="preserve">SUBSECRETARIA DE PREVENCION DEL DELITO</t>
        </is>
      </c>
      <c r="E43" s="0" t="inlineStr">
        <is>
          <t xml:space="preserve">Subsecretaría de Prevención del Delito</t>
        </is>
      </c>
      <c r="F43" s="0" t="inlineStr">
        <is>
          <t xml:space="preserve">Región Metropolitana de Santiago</t>
        </is>
      </c>
      <c r="G43" s="0" t="inlineStr">
        <is>
          <t xml:space="preserve">Santiago</t>
        </is>
      </c>
      <c r="H43" s="2">
        <v>46309.503866</v>
      </c>
      <c r="I43" s="2">
        <v>46329.666667</v>
      </c>
      <c r="J43" s="0">
        <v>7</v>
      </c>
      <c r="K43" s="3">
        <v>368390.0</v>
      </c>
      <c r="L43" s="0" t="inlineStr">
        <is>
          <t xml:space="preserve">USD</t>
        </is>
      </c>
      <c r="M43" s="0" t="inlineStr">
        <is>
          <t xml:space="preserve">LP</t>
        </is>
      </c>
      <c r="N43" s="4" t="inlineStr">
        <is>
          <t xml:space="preserve">Tecnologías de la información, telecomunicaciones y radiodifusión / Software / Software de gestión</t>
        </is>
      </c>
      <c r="O43" s="4" t="inlineStr">
        <is>
          <t xml:space="preserve">1 Unidad · Software de gestión de licencias · 1 Unidad · Software de gestión de licencias · 1 Unidad · Software de gestión de licencias · y 11 más</t>
        </is>
      </c>
      <c r="P43" s="2"/>
      <c r="Q43" s="2"/>
      <c r="R43" s="0" t="inlineStr">
        <is>
          <t xml:space="preserve">24 meses</t>
        </is>
      </c>
      <c r="S43" s="0" t="inlineStr">
        <is>
          <t xml:space="preserve">No</t>
        </is>
      </c>
      <c r="T43" s="4" t="inlineStr">
        <is>
          <t xml:space="preserve">No está permitida dada la especificidad del servicio requerido.</t>
        </is>
      </c>
      <c r="U43" s="0" t="inlineStr">
        <is>
          <t xml:space="preserve">Luis Alarcón Ruiz</t>
        </is>
      </c>
      <c r="V43"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43"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44">
      <c r="A44" s="0" t="inlineStr">
        <is>
          <t xml:space="preserve">885-107-LE26</t>
        </is>
      </c>
      <c r="B44" s="4" t="inlineStr">
        <is>
          <t xml:space="preserve">Contratación de una herramienta automatizada de análisis de vulnerabilidades de ciberseguridad para la CGR</t>
        </is>
      </c>
      <c r="C44" s="0" t="inlineStr">
        <is>
          <t xml:space="preserve">Publicada</t>
        </is>
      </c>
      <c r="D44" s="0" t="inlineStr">
        <is>
          <t xml:space="preserve">CONTRALORIA GENERAL DE LA REPUBLICA</t>
        </is>
      </c>
      <c r="E44" s="0" t="inlineStr">
        <is>
          <t xml:space="preserve">Contraloría General de la República</t>
        </is>
      </c>
      <c r="F44" s="0" t="inlineStr">
        <is>
          <t xml:space="preserve">Región Metropolitana de Santiago</t>
        </is>
      </c>
      <c r="G44" s="0" t="inlineStr">
        <is>
          <t xml:space="preserve">Santiago</t>
        </is>
      </c>
      <c r="H44" s="2">
        <v>46321.704144</v>
      </c>
      <c r="I44" s="2">
        <v>46329.666667</v>
      </c>
      <c r="J44" s="0">
        <v>7</v>
      </c>
      <c r="K44" s="3">
        <v>25000000.0</v>
      </c>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1 Global · Software de sistema experto</t>
        </is>
      </c>
      <c r="P44" s="2"/>
      <c r="Q44" s="2"/>
      <c r="R44" s="0" t="inlineStr">
        <is>
          <t xml:space="preserve">12 meses</t>
        </is>
      </c>
      <c r="S44" s="0" t="inlineStr">
        <is>
          <t xml:space="preserve">No</t>
        </is>
      </c>
      <c r="T44" s="4"/>
      <c r="U44" s="0" t="inlineStr">
        <is>
          <t xml:space="preserve">Antonio Alejandro Alcázar Garrido</t>
        </is>
      </c>
      <c r="V44"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44"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45">
      <c r="A45" s="0" t="inlineStr">
        <is>
          <t xml:space="preserve">591-39-LE26</t>
        </is>
      </c>
      <c r="B45" s="4" t="inlineStr">
        <is>
          <t xml:space="preserve">CURSO HERRAM-ANALI-AUTOMA-GESTION DATOS-AUDITORIA</t>
        </is>
      </c>
      <c r="C45" s="0" t="inlineStr">
        <is>
          <t xml:space="preserve">Publicada</t>
        </is>
      </c>
      <c r="D45" s="0" t="inlineStr">
        <is>
          <t xml:space="preserve">FONDO NACIONAL DE SALUD</t>
        </is>
      </c>
      <c r="E45" s="0" t="inlineStr">
        <is>
          <t xml:space="preserve">FONASA, Nivel Central</t>
        </is>
      </c>
      <c r="F45" s="0" t="inlineStr">
        <is>
          <t xml:space="preserve">Región Metropolitana de Santiago</t>
        </is>
      </c>
      <c r="G45" s="0"/>
      <c r="H45" s="2">
        <v>46317.668299</v>
      </c>
      <c r="I45" s="2">
        <v>46329.826389</v>
      </c>
      <c r="J45" s="0">
        <v>7</v>
      </c>
      <c r="K45" s="3"/>
      <c r="L45" s="0" t="inlineStr">
        <is>
          <t xml:space="preserve">CLP</t>
        </is>
      </c>
      <c r="M45" s="0" t="inlineStr">
        <is>
          <t xml:space="preserve">LE</t>
        </is>
      </c>
      <c r="N45" s="4" t="inlineStr">
        <is>
          <t xml:space="preserve">Educación, formación, entrenamiento y capacitación / Sistemas educativos complementarios / Aprendizaje a distancia</t>
        </is>
      </c>
      <c r="O45" s="4" t="inlineStr">
        <is>
          <t xml:space="preserve">1 Unidad · Programas o cursos no diplomados a distancia</t>
        </is>
      </c>
      <c r="P45" s="2"/>
      <c r="Q45" s="2"/>
      <c r="R45" s="0"/>
      <c r="S45" s="0" t="inlineStr">
        <is>
          <t xml:space="preserve">No</t>
        </is>
      </c>
      <c r="T45" s="4" t="inlineStr">
        <is>
          <t xml:space="preserve">VER RESOLUCIÓN EXENTA 2B N°113882026</t>
        </is>
      </c>
      <c r="U45" s="0" t="inlineStr">
        <is>
          <t xml:space="preserve">ETELVINA NEIRA NAHUELPAN</t>
        </is>
      </c>
      <c r="V45"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45"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46">
      <c r="A46" s="0" t="inlineStr">
        <is>
          <t xml:space="preserve">4362-31-LP26</t>
        </is>
      </c>
      <c r="B46" s="4" t="inlineStr">
        <is>
          <t xml:space="preserve">Construcción Hitos de Acceso y Tótems Turísticos</t>
        </is>
      </c>
      <c r="C46" s="0" t="inlineStr">
        <is>
          <t xml:space="preserve">Publicada</t>
        </is>
      </c>
      <c r="D46" s="0" t="inlineStr">
        <is>
          <t xml:space="preserve">I MUNICIPALIDAD DE NACIMIENTO</t>
        </is>
      </c>
      <c r="E46" s="0" t="inlineStr">
        <is>
          <t xml:space="preserve">Secplan</t>
        </is>
      </c>
      <c r="F46" s="0" t="inlineStr">
        <is>
          <t xml:space="preserve">Región del Biobío </t>
        </is>
      </c>
      <c r="G46" s="0" t="inlineStr">
        <is>
          <t xml:space="preserve">Nacimiento</t>
        </is>
      </c>
      <c r="H46" s="2">
        <v>46309.782396</v>
      </c>
      <c r="I46" s="2">
        <v>46330.375</v>
      </c>
      <c r="J46" s="0">
        <v>8</v>
      </c>
      <c r="K46" s="3"/>
      <c r="L46" s="0" t="inlineStr">
        <is>
          <t xml:space="preserve">CLP</t>
        </is>
      </c>
      <c r="M46" s="0" t="inlineStr">
        <is>
          <t xml:space="preserve">LP</t>
        </is>
      </c>
      <c r="N46" s="4" t="inlineStr">
        <is>
          <t xml:space="preserve">Servicios de construcción y mantenimiento / Construcción de edificios en general / Construcción de obras civiles y infraestructuras</t>
        </is>
      </c>
      <c r="O46" s="4" t="inlineStr">
        <is>
          <t xml:space="preserve">1 Unidad · Construcción de obras civiles</t>
        </is>
      </c>
      <c r="P46" s="2"/>
      <c r="Q46" s="2"/>
      <c r="R46" s="0" t="inlineStr">
        <is>
          <t xml:space="preserve">90 días</t>
        </is>
      </c>
      <c r="S46" s="0" t="inlineStr">
        <is>
          <t xml:space="preserve">No</t>
        </is>
      </c>
      <c r="T46" s="4"/>
      <c r="U46" s="0" t="inlineStr">
        <is>
          <t xml:space="preserve">Gonzalo Antonio Oñate</t>
        </is>
      </c>
      <c r="V46"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46"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47">
      <c r="A47" s="0" t="inlineStr">
        <is>
          <t xml:space="preserve">1602-21-LE26</t>
        </is>
      </c>
      <c r="B47" s="4" t="inlineStr">
        <is>
          <t xml:space="preserve">ADQUISICIÓN DE LICENCIAS DE SOFTWARE VEEAM PREMIUM</t>
        </is>
      </c>
      <c r="C47" s="0" t="inlineStr">
        <is>
          <t xml:space="preserve">Publicada</t>
        </is>
      </c>
      <c r="D47" s="0" t="inlineStr">
        <is>
          <t xml:space="preserve">DIRECCION GENERAL DE AERONAUTICA CIVIL</t>
        </is>
      </c>
      <c r="E47" s="0" t="inlineStr">
        <is>
          <t xml:space="preserve">UNIDAD DE COMPRA SERVICIOS GENERALES</t>
        </is>
      </c>
      <c r="F47" s="0" t="inlineStr">
        <is>
          <t xml:space="preserve">Región Metropolitana de Santiago</t>
        </is>
      </c>
      <c r="G47" s="0" t="inlineStr">
        <is>
          <t xml:space="preserve">Providencia</t>
        </is>
      </c>
      <c r="H47" s="2">
        <v>46317.431111</v>
      </c>
      <c r="I47" s="2">
        <v>46330.5</v>
      </c>
      <c r="J47" s="0">
        <v>8</v>
      </c>
      <c r="K47" s="3">
        <v>30000000.0</v>
      </c>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15 Unidad · Software de gestión de licencias</t>
        </is>
      </c>
      <c r="P47" s="2"/>
      <c r="Q47" s="2"/>
      <c r="R47" s="0"/>
      <c r="S47" s="0" t="inlineStr">
        <is>
          <t xml:space="preserve">No</t>
        </is>
      </c>
      <c r="T47" s="4" t="inlineStr">
        <is>
          <t xml:space="preserve">No permite subcontratación DIRIGIRSE PUNTO: XX DE LA RESOLUCIÓN QUE SE ADJUNTA</t>
        </is>
      </c>
      <c r="U47" s="0" t="inlineStr">
        <is>
          <t xml:space="preserve">Jaime Leighton Castro</t>
        </is>
      </c>
      <c r="V47" s="4" t="inlineStr">
        <is>
          <t xml:space="preserve">Adquisición de Licencias de Veeam Data Platform Premium pack 10 instancias que multiplicado por la cantidad serían 150 instancias (jbt-147)</t>
        </is>
      </c>
      <c r="W47"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48">
      <c r="A48" s="0" t="inlineStr">
        <is>
          <t xml:space="preserve">1782-17-LE26</t>
        </is>
      </c>
      <c r="B48" s="4" t="inlineStr">
        <is>
          <t xml:space="preserve">Consultoría Plataforma Inteligencia Inversión FRPD</t>
        </is>
      </c>
      <c r="C48" s="0" t="inlineStr">
        <is>
          <t xml:space="preserve">Publicada</t>
        </is>
      </c>
      <c r="D48" s="0" t="inlineStr">
        <is>
          <t xml:space="preserve">GOBIERNO REGIONAL DE ANTOFAGASTA</t>
        </is>
      </c>
      <c r="E48" s="0" t="inlineStr">
        <is>
          <t xml:space="preserve">GORE ANTOFAGASTA PROGRAMA 02 FNDR</t>
        </is>
      </c>
      <c r="F48" s="0" t="inlineStr">
        <is>
          <t xml:space="preserve">Región de Antofagasta </t>
        </is>
      </c>
      <c r="G48" s="0" t="inlineStr">
        <is>
          <t xml:space="preserve">Antofagasta</t>
        </is>
      </c>
      <c r="H48" s="2">
        <v>46310.685625</v>
      </c>
      <c r="I48" s="2">
        <v>46330.625</v>
      </c>
      <c r="J48" s="0">
        <v>8</v>
      </c>
      <c r="K48" s="3">
        <v>25000000.0</v>
      </c>
      <c r="L48" s="0" t="inlineStr">
        <is>
          <t xml:space="preserve">CLP</t>
        </is>
      </c>
      <c r="M48" s="0" t="inlineStr">
        <is>
          <t xml:space="preserve">LE</t>
        </is>
      </c>
      <c r="N48" s="4" t="inlineStr">
        <is>
          <t xml:space="preserve">Servicios profesionales, administrativos y consultorías de gestión empresarial / Consultorías o asesorías en gestión empresarial / Servicios de consultoría en gestión de empresas</t>
        </is>
      </c>
      <c r="O48" s="4" t="inlineStr">
        <is>
          <t xml:space="preserve">1 Unidad · Asesorías Informáticas</t>
        </is>
      </c>
      <c r="P48" s="2"/>
      <c r="Q48" s="2"/>
      <c r="R48" s="0"/>
      <c r="S48" s="0" t="inlineStr">
        <is>
          <t xml:space="preserve">No</t>
        </is>
      </c>
      <c r="T48" s="4"/>
      <c r="U48" s="0" t="inlineStr">
        <is>
          <t xml:space="preserve">Karla Dubo</t>
        </is>
      </c>
      <c r="V48"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48"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49">
      <c r="A49" s="0" t="inlineStr">
        <is>
          <t xml:space="preserve">4127-51-LR26</t>
        </is>
      </c>
      <c r="B49" s="4" t="inlineStr">
        <is>
          <t xml:space="preserve">[DIGEDEP]Cursos M-Learning Plataforma SIAD 26-27</t>
        </is>
      </c>
      <c r="C49" s="0" t="inlineStr">
        <is>
          <t xml:space="preserve">Publicada</t>
        </is>
      </c>
      <c r="D49" s="0" t="inlineStr">
        <is>
          <t xml:space="preserve">SUBSECRETARIA DE SALUD PUBLICA</t>
        </is>
      </c>
      <c r="E49" s="0" t="inlineStr">
        <is>
          <t xml:space="preserve">Subsecretaria de Redes Asistenciales</t>
        </is>
      </c>
      <c r="F49" s="0" t="inlineStr">
        <is>
          <t xml:space="preserve">Región Metropolitana de Santiago</t>
        </is>
      </c>
      <c r="G49" s="0" t="inlineStr">
        <is>
          <t xml:space="preserve">Santiago</t>
        </is>
      </c>
      <c r="H49" s="2">
        <v>46300.445336</v>
      </c>
      <c r="I49" s="2">
        <v>46330.625</v>
      </c>
      <c r="J49" s="0">
        <v>8</v>
      </c>
      <c r="K49" s="3"/>
      <c r="L49" s="0" t="inlineStr">
        <is>
          <t xml:space="preserve">CLP</t>
        </is>
      </c>
      <c r="M49" s="0" t="inlineStr">
        <is>
          <t xml:space="preserve">LR</t>
        </is>
      </c>
      <c r="N49" s="4" t="inlineStr">
        <is>
          <t xml:space="preserve">Educación, formación, entrenamiento y capacitación / Sistemas educativos complementarios / Educación de adultos</t>
        </is>
      </c>
      <c r="O49" s="4" t="inlineStr">
        <is>
          <t xml:space="preserve">1 Unidad · Capacitación a empleados</t>
        </is>
      </c>
      <c r="P49" s="2"/>
      <c r="Q49" s="2"/>
      <c r="R49" s="0" t="inlineStr">
        <is>
          <t xml:space="preserve">12 meses</t>
        </is>
      </c>
      <c r="S49" s="0" t="inlineStr">
        <is>
          <t xml:space="preserve">No</t>
        </is>
      </c>
      <c r="T49" s="4"/>
      <c r="U49" s="0" t="inlineStr">
        <is>
          <t xml:space="preserve">Ana Osorio Yeuto</t>
        </is>
      </c>
      <c r="V49" s="4" t="inlineStr">
        <is>
          <t xml:space="preserve">Los servicios que considera este programa Sistema de Aprendizaje a Distancia SIAD son Despliegue de Cursos M- Learning, Desarrollo de Cursos Moodle, Actualizaciones Cursos Moodle Bacoffice para platafoma SIAD 2026 - 2027.</t>
        </is>
      </c>
      <c r="W49"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50">
      <c r="A50" s="0" t="inlineStr">
        <is>
          <t xml:space="preserve">652-61-LP26</t>
        </is>
      </c>
      <c r="B50" s="4" t="inlineStr">
        <is>
          <t xml:space="preserve">ARRIENDO SERVIDOR INFORMATICO PARA PROGRAMA SISSA.</t>
        </is>
      </c>
      <c r="C50" s="0" t="inlineStr">
        <is>
          <t xml:space="preserve">Publicada</t>
        </is>
      </c>
      <c r="D50" s="0" t="inlineStr">
        <is>
          <t xml:space="preserve">SERVICIO DE SALUD ARAUCO</t>
        </is>
      </c>
      <c r="E50" s="0" t="inlineStr">
        <is>
          <t xml:space="preserve">SERVICIO DE SALUD ARAUCO</t>
        </is>
      </c>
      <c r="F50" s="0" t="inlineStr">
        <is>
          <t xml:space="preserve">Región del Biobío </t>
        </is>
      </c>
      <c r="G50" s="0" t="inlineStr">
        <is>
          <t xml:space="preserve">Lebu</t>
        </is>
      </c>
      <c r="H50" s="2">
        <v>46310.878391</v>
      </c>
      <c r="I50" s="2">
        <v>46330.625</v>
      </c>
      <c r="J50" s="0">
        <v>8</v>
      </c>
      <c r="K50" s="3"/>
      <c r="L50" s="0" t="inlineStr">
        <is>
          <t xml:space="preserve">CLP</t>
        </is>
      </c>
      <c r="M50" s="0" t="inlineStr">
        <is>
          <t xml:space="preserve">LP</t>
        </is>
      </c>
      <c r="N50" s="4" t="inlineStr">
        <is>
          <t xml:space="preserve">Tecnologías de la información, telecomunicaciones y radiodifusión / Equipos informáticos y accesorios / Computadores</t>
        </is>
      </c>
      <c r="O50" s="4" t="inlineStr">
        <is>
          <t xml:space="preserve">1 Unidad · Servidores</t>
        </is>
      </c>
      <c r="P50" s="2"/>
      <c r="Q50" s="2"/>
      <c r="R50" s="0"/>
      <c r="S50" s="0" t="inlineStr">
        <is>
          <t xml:space="preserve">No</t>
        </is>
      </c>
      <c r="T50" s="4"/>
      <c r="U50" s="0" t="inlineStr">
        <is>
          <t xml:space="preserve">Jefe Depto. TIC del Servicio de Salud Arauco</t>
        </is>
      </c>
      <c r="V50"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50"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51">
      <c r="A51" s="0" t="inlineStr">
        <is>
          <t xml:space="preserve">5403-11-LP26</t>
        </is>
      </c>
      <c r="B51" s="4" t="inlineStr">
        <is>
          <t xml:space="preserve">Diseño e instalación de gobernanza de datos</t>
        </is>
      </c>
      <c r="C51" s="0" t="inlineStr">
        <is>
          <t xml:space="preserve">Publicada</t>
        </is>
      </c>
      <c r="D51" s="0" t="inlineStr">
        <is>
          <t xml:space="preserve">COMISION NACIONAL DE ACREDITACION</t>
        </is>
      </c>
      <c r="E51" s="0" t="inlineStr">
        <is>
          <t xml:space="preserve">COMISION NACIONAL DE ACREDITACION</t>
        </is>
      </c>
      <c r="F51" s="0" t="inlineStr">
        <is>
          <t xml:space="preserve">Región Metropolitana de Santiago</t>
        </is>
      </c>
      <c r="G51" s="0" t="inlineStr">
        <is>
          <t xml:space="preserve">Santiago</t>
        </is>
      </c>
      <c r="H51" s="2">
        <v>46310.745671</v>
      </c>
      <c r="I51" s="2">
        <v>46330.666667</v>
      </c>
      <c r="J51" s="0">
        <v>8</v>
      </c>
      <c r="K51" s="3"/>
      <c r="L51" s="0" t="inlineStr">
        <is>
          <t xml:space="preserve">CLP</t>
        </is>
      </c>
      <c r="M51" s="0" t="inlineStr">
        <is>
          <t xml:space="preserve">LP</t>
        </is>
      </c>
      <c r="N51" s="4" t="inlineStr">
        <is>
          <t xml:space="preserve">Servicios profesionales, administrativos y consultorías de gestión empresarial / Consultorías o asesorías en gestión empresarial / Servicios de consultoría en gestión de empresas</t>
        </is>
      </c>
      <c r="O51" s="4" t="inlineStr">
        <is>
          <t xml:space="preserve">1 Unidad · Asesorías en gestión estratégica</t>
        </is>
      </c>
      <c r="P51" s="2"/>
      <c r="Q51" s="2"/>
      <c r="R51" s="0" t="inlineStr">
        <is>
          <t xml:space="preserve">9 meses</t>
        </is>
      </c>
      <c r="S51" s="0" t="inlineStr">
        <is>
          <t xml:space="preserve">No</t>
        </is>
      </c>
      <c r="T51" s="4"/>
      <c r="U51" s="0" t="inlineStr">
        <is>
          <t xml:space="preserve">Carolina Olea</t>
        </is>
      </c>
      <c r="V51"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51"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52">
      <c r="A52" s="0" t="inlineStr">
        <is>
          <t xml:space="preserve">2713-199-LE26</t>
        </is>
      </c>
      <c r="B52" s="4" t="inlineStr">
        <is>
          <t xml:space="preserve">Equipamiento informático para oficinas municipales</t>
        </is>
      </c>
      <c r="C52" s="0" t="inlineStr">
        <is>
          <t xml:space="preserve">Publicada</t>
        </is>
      </c>
      <c r="D52" s="0" t="inlineStr">
        <is>
          <t xml:space="preserve">I MUNICIPALIDAD DE AYSEN</t>
        </is>
      </c>
      <c r="E52" s="0" t="inlineStr">
        <is>
          <t xml:space="preserve">I.MUNICIPALIDAD AYSEN-ADQUISICIONES</t>
        </is>
      </c>
      <c r="F52" s="0" t="inlineStr">
        <is>
          <t xml:space="preserve">Región Aysén del General Carlos Ibáñez del Campo</t>
        </is>
      </c>
      <c r="G52" s="0" t="inlineStr">
        <is>
          <t xml:space="preserve">Aysén</t>
        </is>
      </c>
      <c r="H52" s="2">
        <v>46317.447211</v>
      </c>
      <c r="I52" s="2">
        <v>46331.604167</v>
      </c>
      <c r="J52" s="0">
        <v>9</v>
      </c>
      <c r="K52" s="3"/>
      <c r="L52" s="0" t="inlineStr">
        <is>
          <t xml:space="preserve">CLP</t>
        </is>
      </c>
      <c r="M52" s="0" t="inlineStr">
        <is>
          <t xml:space="preserve">LE</t>
        </is>
      </c>
      <c r="N52"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52" s="4" t="inlineStr">
        <is>
          <t xml:space="preserve">1 Unidad · Notebook, laptop o computador portátil excepto Tablet PC · 1 Unidad · Notebook, laptop o computador portátil excepto Tablet PC · 16 Unidad · Computadores personales · y 10 más</t>
        </is>
      </c>
      <c r="P52" s="2"/>
      <c r="Q52" s="2"/>
      <c r="R52" s="0"/>
      <c r="S52" s="0" t="inlineStr">
        <is>
          <t xml:space="preserve">No</t>
        </is>
      </c>
      <c r="T52" s="4"/>
      <c r="U52" s="0" t="inlineStr">
        <is>
          <t xml:space="preserve">Victor Godoy Tapia</t>
        </is>
      </c>
      <c r="V52"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52"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53">
      <c r="A53" s="0" t="inlineStr">
        <is>
          <t xml:space="preserve">1469-324-L126</t>
        </is>
      </c>
      <c r="B53" s="4" t="inlineStr">
        <is>
          <t xml:space="preserve">ADQUISICIÓN LICENCIAS DIGITALES PLATAFORMA EDUCACIONAL IDIOMA FRANCÉS</t>
        </is>
      </c>
      <c r="C53" s="0" t="inlineStr">
        <is>
          <t xml:space="preserve">Publicada</t>
        </is>
      </c>
      <c r="D53" s="0" t="inlineStr">
        <is>
          <t xml:space="preserve">UNIVERSIDAD DE TALCA</t>
        </is>
      </c>
      <c r="E53" s="0" t="inlineStr">
        <is>
          <t xml:space="preserve">Universidad de Talca</t>
        </is>
      </c>
      <c r="F53" s="0" t="inlineStr">
        <is>
          <t xml:space="preserve">Región del Maule </t>
        </is>
      </c>
      <c r="G53" s="0" t="inlineStr">
        <is>
          <t xml:space="preserve">Curicó</t>
        </is>
      </c>
      <c r="H53" s="2">
        <v>46322.365602</v>
      </c>
      <c r="I53" s="2">
        <v>46331.625</v>
      </c>
      <c r="J53" s="0">
        <v>9</v>
      </c>
      <c r="K53" s="3">
        <v>1075600.0</v>
      </c>
      <c r="L53" s="0" t="inlineStr">
        <is>
          <t xml:space="preserve">CLP</t>
        </is>
      </c>
      <c r="M53" s="0" t="inlineStr">
        <is>
          <t xml:space="preserve">L1</t>
        </is>
      </c>
      <c r="N53" s="4" t="inlineStr">
        <is>
          <t xml:space="preserve">Instrumentos musicales, juegos, juguetes, artesanías y materiales educativos / Materiales, artículos y suministros didácticos profesionales y para el desarrollo personal / Recursos de lenguas extranjeras</t>
        </is>
      </c>
      <c r="O53" s="4" t="inlineStr">
        <is>
          <t xml:space="preserve">2 Unidad · Cursos y materiales de apoyo para aprender a hablar francés · 2 Unidad · Cursos y materiales de apoyo para aprender a hablar francés · 2 Unidad · Cursos y materiales de apoyo para aprender a hablar francés · y 11 más</t>
        </is>
      </c>
      <c r="P53" s="2"/>
      <c r="Q53" s="2"/>
      <c r="R53" s="0"/>
      <c r="S53" s="0" t="inlineStr">
        <is>
          <t xml:space="preserve">No</t>
        </is>
      </c>
      <c r="T53" s="4"/>
      <c r="U53" s="0"/>
      <c r="V53" s="4" t="inlineStr">
        <is>
          <t xml:space="preserve">La Universidad de Talca requiere adquirir licencias digitales de 3 editoriales, Maison des Langues, Clé y Hachette, para docentes de cursos de francés de pregrado</t>
        </is>
      </c>
      <c r="W53"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54">
      <c r="A54" s="0" t="inlineStr">
        <is>
          <t xml:space="preserve">1057922-33-LP26</t>
        </is>
      </c>
      <c r="B54" s="4" t="inlineStr">
        <is>
          <t xml:space="preserve">ADQUISICION EQUIPOS Y EQUIPAMIENTO TECNOLOGÍAS DE LA INFORMACIÓN PARA CESFAM CON SAR RAHUE ALTO</t>
        </is>
      </c>
      <c r="C54" s="0" t="inlineStr">
        <is>
          <t xml:space="preserve">Publicada</t>
        </is>
      </c>
      <c r="D54" s="0" t="inlineStr">
        <is>
          <t xml:space="preserve">SERVICIO DE SALUD OSORNO</t>
        </is>
      </c>
      <c r="E54" s="0" t="inlineStr">
        <is>
          <t xml:space="preserve">Activos Fijos</t>
        </is>
      </c>
      <c r="F54" s="0" t="inlineStr">
        <is>
          <t xml:space="preserve">Región de los Lagos </t>
        </is>
      </c>
      <c r="G54" s="0" t="inlineStr">
        <is>
          <t xml:space="preserve">Osorno</t>
        </is>
      </c>
      <c r="H54" s="2">
        <v>46321.45044</v>
      </c>
      <c r="I54" s="2">
        <v>46331.635417</v>
      </c>
      <c r="J54" s="0">
        <v>9</v>
      </c>
      <c r="K54" s="3">
        <v>133992200.0</v>
      </c>
      <c r="L54" s="0" t="inlineStr">
        <is>
          <t xml:space="preserve">CLP</t>
        </is>
      </c>
      <c r="M54" s="0" t="inlineStr">
        <is>
          <t xml:space="preserve">LP</t>
        </is>
      </c>
      <c r="N54"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54" s="4" t="inlineStr">
        <is>
          <t xml:space="preserve">102 Unidad · Computadores de escritorio · 5 Unidad · Notebook, laptop o computador portátil excepto Tablet PC · 6 Unidad · Tickets o rollos de tickets · y 9 más</t>
        </is>
      </c>
      <c r="P54" s="2"/>
      <c r="Q54" s="2"/>
      <c r="R54" s="0" t="inlineStr">
        <is>
          <t xml:space="preserve">12 meses</t>
        </is>
      </c>
      <c r="S54" s="0" t="inlineStr">
        <is>
          <t xml:space="preserve">No</t>
        </is>
      </c>
      <c r="T54" s="4" t="inlineStr">
        <is>
          <t xml:space="preserve">De acuerdo a lo establecido en numeral 7.7 de las bases</t>
        </is>
      </c>
      <c r="U54" s="0" t="inlineStr">
        <is>
          <t xml:space="preserve">Bruno Ojeda Alvarez</t>
        </is>
      </c>
      <c r="V54" s="4" t="inlineStr">
        <is>
          <t xml:space="preserve">ADQUISICION EQUIPOS Y EQUIPAMIENTO TECNOLOGÍAS DE LA INFORMACIÓN PARA CESFAM CON SAR RAHUE ALTO</t>
        </is>
      </c>
      <c r="W54"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55">
      <c r="A55" s="0" t="inlineStr">
        <is>
          <t xml:space="preserve">5350-38-LE26</t>
        </is>
      </c>
      <c r="B55" s="4" t="inlineStr">
        <is>
          <t xml:space="preserve">CONVENIO SUMINISTRO SOFTWARE INVENTARIO DROGUERIA</t>
        </is>
      </c>
      <c r="C55" s="0" t="inlineStr">
        <is>
          <t xml:space="preserve">Publicada</t>
        </is>
      </c>
      <c r="D55" s="0" t="inlineStr">
        <is>
          <t xml:space="preserve">I MUNICIPALIDAD DE VALLENAR</t>
        </is>
      </c>
      <c r="E55" s="0" t="inlineStr">
        <is>
          <t xml:space="preserve">DEPTO DE SALUD MUNICIPAL</t>
        </is>
      </c>
      <c r="F55" s="0" t="inlineStr">
        <is>
          <t xml:space="preserve">Región de Atacama </t>
        </is>
      </c>
      <c r="G55" s="0"/>
      <c r="H55" s="2">
        <v>46321.71816</v>
      </c>
      <c r="I55" s="2">
        <v>46331.647222</v>
      </c>
      <c r="J55" s="0">
        <v>9</v>
      </c>
      <c r="K55" s="3">
        <v>10000000.0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Programas de gestión de inventario</t>
        </is>
      </c>
      <c r="P55" s="2"/>
      <c r="Q55" s="2"/>
      <c r="R55" s="0" t="inlineStr">
        <is>
          <t xml:space="preserve">36 meses</t>
        </is>
      </c>
      <c r="S55" s="0" t="inlineStr">
        <is>
          <t xml:space="preserve">No</t>
        </is>
      </c>
      <c r="T55" s="4"/>
      <c r="U55" s="0" t="inlineStr">
        <is>
          <t xml:space="preserve">x</t>
        </is>
      </c>
      <c r="V55" s="4" t="inlineStr">
        <is>
          <t xml:space="preserve">CONVENIO SUMINISTRO SOFTWARE INVENTARIO DROGUERIA</t>
        </is>
      </c>
      <c r="W55"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56">
      <c r="A56" s="0" t="inlineStr">
        <is>
          <t xml:space="preserve">1057062-10-LE26</t>
        </is>
      </c>
      <c r="B56" s="4" t="inlineStr">
        <is>
          <t xml:space="preserve">Servicio de Medios Digital y Radial URYRED 22992</t>
        </is>
      </c>
      <c r="C56" s="0" t="inlineStr">
        <is>
          <t xml:space="preserve">Publicada</t>
        </is>
      </c>
      <c r="D56" s="0" t="inlineStr">
        <is>
          <t xml:space="preserve">UNIVERSIDAD DE AYSEN</t>
        </is>
      </c>
      <c r="E56" s="0" t="inlineStr">
        <is>
          <t xml:space="preserve">Proyectos</t>
        </is>
      </c>
      <c r="F56" s="0" t="inlineStr">
        <is>
          <t xml:space="preserve">Región Aysén del General Carlos Ibáñez del Campo</t>
        </is>
      </c>
      <c r="G56" s="0" t="inlineStr">
        <is>
          <t xml:space="preserve">Coyhaique</t>
        </is>
      </c>
      <c r="H56" s="2">
        <v>46321.746574</v>
      </c>
      <c r="I56" s="2">
        <v>46331.649306</v>
      </c>
      <c r="J56" s="0">
        <v>9</v>
      </c>
      <c r="K56" s="3"/>
      <c r="L56" s="0" t="inlineStr">
        <is>
          <t xml:space="preserve">CLP</t>
        </is>
      </c>
      <c r="M56" s="0" t="inlineStr">
        <is>
          <t xml:space="preserve">LE</t>
        </is>
      </c>
      <c r="N56" s="4" t="inlineStr">
        <is>
          <t xml:space="preserve">Servicios editoriales, de diseño, publicidad, gráficos y artistas / Publicidad / Agencias de publicidad</t>
        </is>
      </c>
      <c r="O56" s="4" t="inlineStr">
        <is>
          <t xml:space="preserve">1 Unidad · Campañas publicitarias</t>
        </is>
      </c>
      <c r="P56" s="2"/>
      <c r="Q56" s="2"/>
      <c r="R56" s="0"/>
      <c r="S56" s="0" t="inlineStr">
        <is>
          <t xml:space="preserve">No</t>
        </is>
      </c>
      <c r="T56" s="4"/>
      <c r="U56" s="0" t="inlineStr">
        <is>
          <t xml:space="preserve">Jeimy Fontecha Jiménez</t>
        </is>
      </c>
      <c r="V56"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56"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57">
      <c r="A57" s="0" t="inlineStr">
        <is>
          <t xml:space="preserve">662237-35-LE26</t>
        </is>
      </c>
      <c r="B57" s="4" t="inlineStr">
        <is>
          <t xml:space="preserve">Adquisición de créditos Google Cloud Platform GCP</t>
        </is>
      </c>
      <c r="C57" s="0" t="inlineStr">
        <is>
          <t xml:space="preserve">Publicada</t>
        </is>
      </c>
      <c r="D57" s="0" t="inlineStr">
        <is>
          <t xml:space="preserve">SERVICIO NACIONAL PARA LA PREVENCION Y REHABILITACION DEL CONSUMO DE D</t>
        </is>
      </c>
      <c r="E57" s="0" t="inlineStr">
        <is>
          <t xml:space="preserve">SENDA NACIONAL</t>
        </is>
      </c>
      <c r="F57" s="0" t="inlineStr">
        <is>
          <t xml:space="preserve">Región Metropolitana de Santiago</t>
        </is>
      </c>
      <c r="G57" s="0" t="inlineStr">
        <is>
          <t xml:space="preserve">Santiago Centro</t>
        </is>
      </c>
      <c r="H57" s="2">
        <v>46317.631042</v>
      </c>
      <c r="I57" s="2">
        <v>46331.666667</v>
      </c>
      <c r="J57" s="0">
        <v>9</v>
      </c>
      <c r="K57" s="3">
        <v>19000000.0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adquisiciones</t>
        </is>
      </c>
      <c r="P57" s="2"/>
      <c r="Q57" s="2"/>
      <c r="R57" s="0"/>
      <c r="S57" s="0" t="inlineStr">
        <is>
          <t xml:space="preserve">No</t>
        </is>
      </c>
      <c r="T57" s="4"/>
      <c r="U57" s="0" t="inlineStr">
        <is>
          <t xml:space="preserve">Santiago Campos</t>
        </is>
      </c>
      <c r="V57"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57"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58">
      <c r="A58" s="0" t="inlineStr">
        <is>
          <t xml:space="preserve">1447930-15-LP26</t>
        </is>
      </c>
      <c r="B58" s="4" t="inlineStr">
        <is>
          <t xml:space="preserve">SSP - Plataforma de virtualización On Premise</t>
        </is>
      </c>
      <c r="C58" s="0" t="inlineStr">
        <is>
          <t xml:space="preserve">Publicada</t>
        </is>
      </c>
      <c r="D58" s="0" t="inlineStr">
        <is>
          <t xml:space="preserve">SUBSECRETARIA DE SEGURIDAD PUBLICA</t>
        </is>
      </c>
      <c r="E58" s="0" t="inlineStr">
        <is>
          <t xml:space="preserve">SUBSECRETARIA DE SEGURIDAD PUBLICA</t>
        </is>
      </c>
      <c r="F58" s="0" t="inlineStr">
        <is>
          <t xml:space="preserve">Región Metropolitana de Santiago</t>
        </is>
      </c>
      <c r="G58" s="0" t="inlineStr">
        <is>
          <t xml:space="preserve">Santiago</t>
        </is>
      </c>
      <c r="H58" s="2">
        <v>46311.52985</v>
      </c>
      <c r="I58" s="2">
        <v>46331.708333</v>
      </c>
      <c r="J58" s="0">
        <v>9</v>
      </c>
      <c r="K58" s="3">
        <v>113050000.0</v>
      </c>
      <c r="L58" s="0" t="inlineStr">
        <is>
          <t xml:space="preserve">CLP</t>
        </is>
      </c>
      <c r="M58" s="0" t="inlineStr">
        <is>
          <t xml:space="preserve">LP</t>
        </is>
      </c>
      <c r="N58" s="4" t="inlineStr">
        <is>
          <t xml:space="preserve">Tecnologías de la información, telecomunicaciones y radiodifusión / Software / Software para trabajo en redes</t>
        </is>
      </c>
      <c r="O58" s="4" t="inlineStr">
        <is>
          <t xml:space="preserve">1 Unidad · Software de interconectividad de plataformas</t>
        </is>
      </c>
      <c r="P58" s="2"/>
      <c r="Q58" s="2"/>
      <c r="R58" s="0" t="inlineStr">
        <is>
          <t xml:space="preserve">40 meses</t>
        </is>
      </c>
      <c r="S58" s="0" t="inlineStr">
        <is>
          <t xml:space="preserve">No</t>
        </is>
      </c>
      <c r="T58" s="4"/>
      <c r="U58" s="0" t="inlineStr">
        <is>
          <t xml:space="preserve">Mauricio Quitral</t>
        </is>
      </c>
      <c r="V58"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58"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59">
      <c r="A59" s="0" t="inlineStr">
        <is>
          <t xml:space="preserve">1232565-42-LP26</t>
        </is>
      </c>
      <c r="B59" s="4" t="inlineStr">
        <is>
          <t xml:space="preserve">Mesa Digital de Disección Anatómica Convertible</t>
        </is>
      </c>
      <c r="C59" s="0" t="inlineStr">
        <is>
          <t xml:space="preserve">Publicada</t>
        </is>
      </c>
      <c r="D59" s="0" t="inlineStr">
        <is>
          <t xml:space="preserve">UNIVERSIDAD DE LA SERENA</t>
        </is>
      </c>
      <c r="E59" s="0" t="inlineStr">
        <is>
          <t xml:space="preserve">DIRECCIÓN DE GESTIÓN ESTRATÉGICA INSTITUCIONAL</t>
        </is>
      </c>
      <c r="F59" s="0" t="inlineStr">
        <is>
          <t xml:space="preserve">Región de Coquimbo </t>
        </is>
      </c>
      <c r="G59" s="0" t="inlineStr">
        <is>
          <t xml:space="preserve">La Serena</t>
        </is>
      </c>
      <c r="H59" s="2">
        <v>46311.490671</v>
      </c>
      <c r="I59" s="2">
        <v>46331.75</v>
      </c>
      <c r="J59" s="0">
        <v>9</v>
      </c>
      <c r="K59" s="3"/>
      <c r="L59" s="0" t="inlineStr">
        <is>
          <t xml:space="preserve">CLP</t>
        </is>
      </c>
      <c r="M59" s="0" t="inlineStr">
        <is>
          <t xml:space="preserve">LP</t>
        </is>
      </c>
      <c r="N59" s="4" t="inlineStr">
        <is>
          <t xml:space="preserve">Equipamiento y suministros médicos / Suministros para formación y estudios de medicina / Ayudas para la formación médica</t>
        </is>
      </c>
      <c r="O59" s="4" t="inlineStr">
        <is>
          <t xml:space="preserve">1 Unidad · Equipos para formación y estudios de medicina</t>
        </is>
      </c>
      <c r="P59" s="2"/>
      <c r="Q59" s="2"/>
      <c r="R59" s="0"/>
      <c r="S59" s="0" t="inlineStr">
        <is>
          <t xml:space="preserve">No</t>
        </is>
      </c>
      <c r="T59" s="4"/>
      <c r="U59" s="0" t="inlineStr">
        <is>
          <t xml:space="preserve">Estefania Muñoz Valdivia</t>
        </is>
      </c>
      <c r="V59"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59"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60">
      <c r="A60" s="0" t="inlineStr">
        <is>
          <t xml:space="preserve">3328-116-LE26</t>
        </is>
      </c>
      <c r="B60" s="4" t="inlineStr">
        <is>
          <t xml:space="preserve">ASB ADQ. PLATAFORMA AVANZADA ELECTROQUIRÚRGICA</t>
        </is>
      </c>
      <c r="C60" s="0" t="inlineStr">
        <is>
          <t xml:space="preserve">Publicada</t>
        </is>
      </c>
      <c r="D60" s="0" t="inlineStr">
        <is>
          <t xml:space="preserve">FUERZA AEREA DE CHILE COMANDO LOGISTICO</t>
        </is>
      </c>
      <c r="E60" s="0" t="inlineStr">
        <is>
          <t xml:space="preserve">Hospital Clinico " General Dr. Raúl Yazigi J."</t>
        </is>
      </c>
      <c r="F60" s="0" t="inlineStr">
        <is>
          <t xml:space="preserve">Región Metropolitana de Santiago</t>
        </is>
      </c>
      <c r="G60" s="0" t="inlineStr">
        <is>
          <t xml:space="preserve">Las Condes</t>
        </is>
      </c>
      <c r="H60" s="2">
        <v>46321.607523</v>
      </c>
      <c r="I60" s="2">
        <v>46331.75</v>
      </c>
      <c r="J60" s="0">
        <v>9</v>
      </c>
      <c r="K60" s="3">
        <v>34000000.0</v>
      </c>
      <c r="L60" s="0" t="inlineStr">
        <is>
          <t xml:space="preserve">CLP</t>
        </is>
      </c>
      <c r="M60" s="0" t="inlineStr">
        <is>
          <t xml:space="preserve">LE</t>
        </is>
      </c>
      <c r="N60" s="4" t="inlineStr">
        <is>
          <t xml:space="preserve">Equipamiento y suministros médicos / Productos quirúrgicos / Equipo quirúrgico, accesorios y productos relacionados</t>
        </is>
      </c>
      <c r="O60" s="4" t="inlineStr">
        <is>
          <t xml:space="preserve">2 Unidad · Equipo de microcirugía o accesorios</t>
        </is>
      </c>
      <c r="P60" s="2"/>
      <c r="Q60" s="2"/>
      <c r="R60" s="0"/>
      <c r="S60" s="0" t="inlineStr">
        <is>
          <t xml:space="preserve">No</t>
        </is>
      </c>
      <c r="T60" s="4"/>
      <c r="U60" s="0" t="inlineStr">
        <is>
          <t xml:space="preserve">PATRICIO CISTERNAS</t>
        </is>
      </c>
      <c r="V60"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60"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61">
      <c r="A61" s="0" t="inlineStr">
        <is>
          <t xml:space="preserve">5251-93-LE26</t>
        </is>
      </c>
      <c r="B61" s="4" t="inlineStr">
        <is>
          <t xml:space="preserve">SERVICIOS DE SOPORTE PARA BASE DE DATOS INSTITUCIONALES</t>
        </is>
      </c>
      <c r="C61" s="0" t="inlineStr">
        <is>
          <t xml:space="preserve">Publicada</t>
        </is>
      </c>
      <c r="D61" s="0" t="inlineStr">
        <is>
          <t xml:space="preserve">UNIVERSIDAD TECNOLOGICA METROPOLITANA</t>
        </is>
      </c>
      <c r="E61" s="0" t="inlineStr">
        <is>
          <t xml:space="preserve">DEPARTAMENTO DE ABASTECIMIENTO</t>
        </is>
      </c>
      <c r="F61" s="0" t="inlineStr">
        <is>
          <t xml:space="preserve">Región Metropolitana de Santiago</t>
        </is>
      </c>
      <c r="G61" s="0" t="inlineStr">
        <is>
          <t xml:space="preserve">Santiago</t>
        </is>
      </c>
      <c r="H61" s="2">
        <v>46321.762199</v>
      </c>
      <c r="I61" s="2">
        <v>46331.833333</v>
      </c>
      <c r="J61" s="0">
        <v>9</v>
      </c>
      <c r="K61" s="3">
        <v>34000000.0</v>
      </c>
      <c r="L61" s="0" t="inlineStr">
        <is>
          <t xml:space="preserve">CLP</t>
        </is>
      </c>
      <c r="M61" s="0" t="inlineStr">
        <is>
          <t xml:space="preserve">LE</t>
        </is>
      </c>
      <c r="N61" s="4" t="inlineStr">
        <is>
          <t xml:space="preserve">Servicios basados en ingeniería, ciencias sociales y tecnología de la información / Servicios informáticos / Administración de sistemas</t>
        </is>
      </c>
      <c r="O61" s="4" t="inlineStr">
        <is>
          <t xml:space="preserve">1 Unidad · Mantenimiento y soporte de hardware</t>
        </is>
      </c>
      <c r="P61" s="2"/>
      <c r="Q61" s="2"/>
      <c r="R61" s="0" t="inlineStr">
        <is>
          <t xml:space="preserve">24 meses</t>
        </is>
      </c>
      <c r="S61" s="0" t="inlineStr">
        <is>
          <t xml:space="preserve">No</t>
        </is>
      </c>
      <c r="T61" s="4"/>
      <c r="U61" s="0" t="inlineStr">
        <is>
          <t xml:space="preserve">José Leyton</t>
        </is>
      </c>
      <c r="V61"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61"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62">
      <c r="A62" s="0" t="inlineStr">
        <is>
          <t xml:space="preserve">976-15-O126</t>
        </is>
      </c>
      <c r="B62" s="4" t="inlineStr">
        <is>
          <t xml:space="preserve">Ampliación Plataformas Comercial y General Ad. El Loa</t>
        </is>
      </c>
      <c r="C62" s="0" t="inlineStr">
        <is>
          <t xml:space="preserve">Publicada</t>
        </is>
      </c>
      <c r="D62" s="0" t="inlineStr">
        <is>
          <t xml:space="preserve">MINISTERIO DE OBRAS PUBLICAS DIREC CION GRAL DE OO PP DCYF</t>
        </is>
      </c>
      <c r="E62" s="0" t="inlineStr">
        <is>
          <t xml:space="preserve">Dirección de Aeropuertos - MOPTT</t>
        </is>
      </c>
      <c r="F62" s="0" t="inlineStr">
        <is>
          <t xml:space="preserve">Región de Antofagasta </t>
        </is>
      </c>
      <c r="G62" s="0" t="inlineStr">
        <is>
          <t xml:space="preserve">Santiago</t>
        </is>
      </c>
      <c r="H62" s="2">
        <v>46265.341667</v>
      </c>
      <c r="I62" s="2">
        <v>46332.458333</v>
      </c>
      <c r="J62" s="0">
        <v>10</v>
      </c>
      <c r="K62" s="3"/>
      <c r="L62" s="0" t="inlineStr">
        <is>
          <t xml:space="preserve">CLP</t>
        </is>
      </c>
      <c r="M62" s="0" t="inlineStr">
        <is>
          <t xml:space="preserve">O1</t>
        </is>
      </c>
      <c r="N62" s="4" t="inlineStr">
        <is>
          <t xml:space="preserve">Consultoria / Consultoria / Planificación y Factibilidad</t>
        </is>
      </c>
      <c r="O62" s="4" t="inlineStr">
        <is>
          <t xml:space="preserve">1 Unidad · Licitación Pública de Obra</t>
        </is>
      </c>
      <c r="P62" s="2"/>
      <c r="Q62" s="2"/>
      <c r="R62" s="0"/>
      <c r="S62" s="0" t="inlineStr">
        <is>
          <t xml:space="preserve">No</t>
        </is>
      </c>
      <c r="T62" s="4"/>
      <c r="U62" s="0"/>
      <c r="V62" s="4" t="inlineStr">
        <is>
          <t xml:space="preserve">Esta Dirección necesita llamar a licitación para contratar la obra Ampliación Plataformas Comercial y General Aeródromo El Loa.</t>
        </is>
      </c>
      <c r="W62" s="5" t="str">
        <f>HYPERLINK("https://www.mercadopublico.cl/Procurement/Modules/Attachment/ViewAttachment.aspx?enc=cM%2bfYt2PV9H%2bj2UeBZWWqTUTu3tGMEiYJlr33Iu88GueoOd3R%2bMzMOe9fkBYk1OnpPOs30A%2bcQ0WgZrCXEiF0SGByeZq7fszxnFlVfDVZSZkU7qcHo7jAzbupC7GnTOrIKGUxvzTs60ocL7gpTnIQXumqRDTkHAyI7iPixU74JRnuu7NGV23Nrj7zaNQp964BvB6KRS%2fQFb9XurnXnRV%2fk5NtzMhLdpc2wGzTNOD50L2%2f6mTzuiSn8smQLN1eTrzhZt2tL%2bgwbpBHphpZJHtZnKT5fOewv5cOGJyIELQSzkCHWFO5%2bACQuKhUsstmldy","descargar bases")</f>
      </c>
    </row>
    <row r="63">
      <c r="A63" s="0" t="inlineStr">
        <is>
          <t xml:space="preserve">765-24-LE26</t>
        </is>
      </c>
      <c r="B63" s="4" t="inlineStr">
        <is>
          <t xml:space="preserve">Digitalizar e integrar trámites plataforma SUPER</t>
        </is>
      </c>
      <c r="C63" s="0" t="inlineStr">
        <is>
          <t xml:space="preserve">Publicada</t>
        </is>
      </c>
      <c r="D63" s="0" t="inlineStr">
        <is>
          <t xml:space="preserve">CORP NACIONAL DE DESARROLLO INDIGENA</t>
        </is>
      </c>
      <c r="E63" s="0" t="inlineStr">
        <is>
          <t xml:space="preserve">CORP NACIONAL DE DESARROLLO INDIGENA</t>
        </is>
      </c>
      <c r="F63" s="0" t="inlineStr">
        <is>
          <t xml:space="preserve">Región de la Araucanía </t>
        </is>
      </c>
      <c r="G63" s="0" t="inlineStr">
        <is>
          <t xml:space="preserve">Temuco</t>
        </is>
      </c>
      <c r="H63" s="2">
        <v>46318.517975</v>
      </c>
      <c r="I63" s="2">
        <v>46332.5</v>
      </c>
      <c r="J63" s="0">
        <v>10</v>
      </c>
      <c r="K63" s="3"/>
      <c r="L63" s="0" t="inlineStr">
        <is>
          <t xml:space="preserve">CLP</t>
        </is>
      </c>
      <c r="M63" s="0" t="inlineStr">
        <is>
          <t xml:space="preserve">LE</t>
        </is>
      </c>
      <c r="N63" s="4" t="inlineStr">
        <is>
          <t xml:space="preserve">Tecnologías de la información, telecomunicaciones y radiodifusión / Software / Software de consultas y gestión de datos</t>
        </is>
      </c>
      <c r="O63" s="4" t="inlineStr">
        <is>
          <t xml:space="preserve">1 Unidad · Software de gestión de relaciones con el cliente (CRM)</t>
        </is>
      </c>
      <c r="P63" s="2"/>
      <c r="Q63" s="2"/>
      <c r="R63" s="0"/>
      <c r="S63" s="0" t="inlineStr">
        <is>
          <t xml:space="preserve">No</t>
        </is>
      </c>
      <c r="T63" s="4"/>
      <c r="U63" s="0" t="inlineStr">
        <is>
          <t xml:space="preserve">Marco Alcaman Painen</t>
        </is>
      </c>
      <c r="V63" s="4" t="inlineStr">
        <is>
          <t xml:space="preserve">Desarrollo de cuatro módulos SIMPLE para la gestión administrativa de autorizaciones CONADI e integrarlos con el Sistema Unificado de Permisos SUPER</t>
        </is>
      </c>
      <c r="W63"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64">
      <c r="A64" s="0" t="inlineStr">
        <is>
          <t xml:space="preserve">1079516-43-LE26</t>
        </is>
      </c>
      <c r="B64" s="4" t="inlineStr">
        <is>
          <t xml:space="preserve">ADQ. ACTUALIZACION  12 MESES LICENCIA SOFTWARE PARA SECCION OS 9 VALPARAISO</t>
        </is>
      </c>
      <c r="C64" s="0" t="inlineStr">
        <is>
          <t xml:space="preserve">Publicada</t>
        </is>
      </c>
      <c r="D64" s="0" t="inlineStr">
        <is>
          <t xml:space="preserve">DIRECCION DE LOGISTICA DE CARABINEROS</t>
        </is>
      </c>
      <c r="E64" s="0" t="inlineStr">
        <is>
          <t xml:space="preserve">SECCIÓN COMPRAS ZONA DE CARABINEROS VALPARAISO</t>
        </is>
      </c>
      <c r="F64" s="0" t="inlineStr">
        <is>
          <t xml:space="preserve">Región de Valparaíso </t>
        </is>
      </c>
      <c r="G64" s="0" t="inlineStr">
        <is>
          <t xml:space="preserve">Santo Domingo</t>
        </is>
      </c>
      <c r="H64" s="2">
        <v>46322.441921</v>
      </c>
      <c r="I64" s="2">
        <v>46332.541667</v>
      </c>
      <c r="J64" s="0">
        <v>10</v>
      </c>
      <c r="K64" s="3">
        <v>35000000.0</v>
      </c>
      <c r="L64" s="0" t="inlineStr">
        <is>
          <t xml:space="preserve">CLP</t>
        </is>
      </c>
      <c r="M64" s="0" t="inlineStr">
        <is>
          <t xml:space="preserve">LE</t>
        </is>
      </c>
      <c r="N64" s="4" t="inlineStr">
        <is>
          <t xml:space="preserve">Equipamiento y suministros médicos / Productos para imágenes y de medicina nuclear / Artículos para archivar información e imágenes radiológicas</t>
        </is>
      </c>
      <c r="O64" s="4" t="inlineStr">
        <is>
          <t xml:space="preserve">1 Unidad · Software de sistemas de archivado de película radiográfica médica</t>
        </is>
      </c>
      <c r="P64" s="2"/>
      <c r="Q64" s="2"/>
      <c r="R64" s="0"/>
      <c r="S64" s="0" t="inlineStr">
        <is>
          <t xml:space="preserve">No</t>
        </is>
      </c>
      <c r="T64" s="4"/>
      <c r="U64" s="0" t="inlineStr">
        <is>
          <t xml:space="preserve">DEAOPEROL ZONA VALPARAISO</t>
        </is>
      </c>
      <c r="V64" s="4" t="inlineStr">
        <is>
          <t xml:space="preserve">ADQUISICIN  ACTUALIZACIÓN  12 MESES LICENCIA SOFTWARE PARA SECCION OS 9 VALPARAISO, CONFORME A ESPECIFICACIONES TECNICAS ANEXO N°3 Y A LA PRESENTACION OFERTA EN FORMATO ANEXO N°2.</t>
        </is>
      </c>
      <c r="W64"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65">
      <c r="A65" s="0" t="inlineStr">
        <is>
          <t xml:space="preserve">1020-54-LP26</t>
        </is>
      </c>
      <c r="B65" s="4" t="inlineStr">
        <is>
          <t xml:space="preserve">Administración y Mantención de Bases de Datos MOP</t>
        </is>
      </c>
      <c r="C65" s="0" t="inlineStr">
        <is>
          <t xml:space="preserve">Publicada</t>
        </is>
      </c>
      <c r="D65" s="0" t="inlineStr">
        <is>
          <t xml:space="preserve">MINISTERIO DE OBRAS PUBLICAS DIREC CION GRAL DE OO PP DCYF</t>
        </is>
      </c>
      <c r="E65" s="0" t="inlineStr">
        <is>
          <t xml:space="preserve">MOP Subsecretaría </t>
        </is>
      </c>
      <c r="F65" s="0" t="inlineStr">
        <is>
          <t xml:space="preserve">Región Metropolitana de Santiago</t>
        </is>
      </c>
      <c r="G65" s="0"/>
      <c r="H65" s="2">
        <v>46303.478727</v>
      </c>
      <c r="I65" s="2">
        <v>46332.625</v>
      </c>
      <c r="J65" s="0">
        <v>10</v>
      </c>
      <c r="K65" s="3">
        <v>174000000.0</v>
      </c>
      <c r="L65" s="0" t="inlineStr">
        <is>
          <t xml:space="preserve">CLP</t>
        </is>
      </c>
      <c r="M65" s="0" t="inlineStr">
        <is>
          <t xml:space="preserve">LP</t>
        </is>
      </c>
      <c r="N65" s="4" t="inlineStr">
        <is>
          <t xml:space="preserve">Servicios profesionales, administrativos y consultorías de gestión empresarial / Servicios de recursos humanos / Contratación de personal</t>
        </is>
      </c>
      <c r="O65" s="4" t="inlineStr">
        <is>
          <t xml:space="preserve">24 Mes · Administradores de bases de datos</t>
        </is>
      </c>
      <c r="P65" s="2"/>
      <c r="Q65" s="2"/>
      <c r="R65" s="0" t="inlineStr">
        <is>
          <t xml:space="preserve">25 meses</t>
        </is>
      </c>
      <c r="S65" s="0" t="inlineStr">
        <is>
          <t xml:space="preserve">No</t>
        </is>
      </c>
      <c r="T65" s="4" t="inlineStr">
        <is>
          <t xml:space="preserve">Según 10.5 de las BA El oferente adjudicado no podrá subcontratar los servicios derivados de la ejecución del Contrato</t>
        </is>
      </c>
      <c r="U65" s="0" t="inlineStr">
        <is>
          <t xml:space="preserve">Francisco Borquez</t>
        </is>
      </c>
      <c r="V65"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65"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66">
      <c r="A66" s="0" t="inlineStr">
        <is>
          <t xml:space="preserve">605-17-LP26</t>
        </is>
      </c>
      <c r="B66" s="4" t="inlineStr">
        <is>
          <t xml:space="preserve">TELEFONÍA FIJA Y RED PRIVADA DE DATOS</t>
        </is>
      </c>
      <c r="C66" s="0" t="inlineStr">
        <is>
          <t xml:space="preserve">Publicada</t>
        </is>
      </c>
      <c r="D66" s="0" t="inlineStr">
        <is>
          <t xml:space="preserve">Consejo de Defensa del Estado</t>
        </is>
      </c>
      <c r="E66" s="0" t="inlineStr">
        <is>
          <t xml:space="preserve">Consejo de Defensa del Estado</t>
        </is>
      </c>
      <c r="F66" s="0" t="inlineStr">
        <is>
          <t xml:space="preserve">Región Metropolitana de Santiago</t>
        </is>
      </c>
      <c r="G66" s="0" t="inlineStr">
        <is>
          <t xml:space="preserve">Santiago</t>
        </is>
      </c>
      <c r="H66" s="2">
        <v>46267.454861</v>
      </c>
      <c r="I66" s="2">
        <v>46332.625</v>
      </c>
      <c r="J66" s="0">
        <v>10</v>
      </c>
      <c r="K66" s="3">
        <v>8500.0</v>
      </c>
      <c r="L66" s="0" t="inlineStr">
        <is>
          <t xml:space="preserve">CLF</t>
        </is>
      </c>
      <c r="M66" s="0" t="inlineStr">
        <is>
          <t xml:space="preserve">LP</t>
        </is>
      </c>
      <c r="N66" s="4" t="inlineStr">
        <is>
          <t xml:space="preserve">Servicios básicos y de información pública / Telecomunicaciones / Telefonía local y de larga distancia</t>
        </is>
      </c>
      <c r="O66" s="4" t="inlineStr">
        <is>
          <t xml:space="preserve">1 Unidad · Servicio telefónico local · 1 Unidad · Servicio de comunicación IP</t>
        </is>
      </c>
      <c r="P66" s="2"/>
      <c r="Q66" s="2"/>
      <c r="R66" s="0" t="inlineStr">
        <is>
          <t xml:space="preserve">24 meses</t>
        </is>
      </c>
      <c r="S66" s="0" t="inlineStr">
        <is>
          <t xml:space="preserve">No</t>
        </is>
      </c>
      <c r="T6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66" s="0" t="inlineStr">
        <is>
          <t xml:space="preserve">IVANHOE AGUIRRE RIVERA</t>
        </is>
      </c>
      <c r="V6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66"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67">
      <c r="A67" s="0" t="inlineStr">
        <is>
          <t xml:space="preserve">1057432-98-LE26</t>
        </is>
      </c>
      <c r="B67" s="4" t="inlineStr">
        <is>
          <t xml:space="preserve">CONTRATACIÓN PLATAFORMA MOODLE POR UN PERIODO DE 2</t>
        </is>
      </c>
      <c r="C67" s="0" t="inlineStr">
        <is>
          <t xml:space="preserve">Publicada</t>
        </is>
      </c>
      <c r="D67" s="0" t="inlineStr">
        <is>
          <t xml:space="preserve">SERVICIO DE SALUD CONCEPCION</t>
        </is>
      </c>
      <c r="E67" s="0" t="inlineStr">
        <is>
          <t xml:space="preserve">Servicio de Salud  Concepción</t>
        </is>
      </c>
      <c r="F67" s="0" t="inlineStr">
        <is>
          <t xml:space="preserve">Región del Biobío </t>
        </is>
      </c>
      <c r="G67" s="0" t="inlineStr">
        <is>
          <t xml:space="preserve">Concepción</t>
        </is>
      </c>
      <c r="H67" s="2">
        <v>46322.38941</v>
      </c>
      <c r="I67" s="2">
        <v>46332.625</v>
      </c>
      <c r="J67" s="0">
        <v>10</v>
      </c>
      <c r="K67" s="3"/>
      <c r="L67" s="0" t="inlineStr">
        <is>
          <t xml:space="preserve">CLP</t>
        </is>
      </c>
      <c r="M67" s="0" t="inlineStr">
        <is>
          <t xml:space="preserve">LE</t>
        </is>
      </c>
      <c r="N67" s="4" t="inlineStr">
        <is>
          <t xml:space="preserve">Tecnologías de la información, telecomunicaciones y radiodifusión / Software / Programas de desarrollo</t>
        </is>
      </c>
      <c r="O67" s="4" t="inlineStr">
        <is>
          <t xml:space="preserve">1 Unidad · Software de desarrollo de plataforma Web</t>
        </is>
      </c>
      <c r="P67" s="2"/>
      <c r="Q67" s="2"/>
      <c r="R67" s="0" t="inlineStr">
        <is>
          <t xml:space="preserve">24 meses</t>
        </is>
      </c>
      <c r="S67" s="0" t="inlineStr">
        <is>
          <t xml:space="preserve">No</t>
        </is>
      </c>
      <c r="T67" s="4"/>
      <c r="U67" s="0" t="inlineStr">
        <is>
          <t xml:space="preserve">Macarena del Canto Portolés</t>
        </is>
      </c>
      <c r="V67"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67"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68">
      <c r="A68" s="0" t="inlineStr">
        <is>
          <t xml:space="preserve">1375746-21-LE26</t>
        </is>
      </c>
      <c r="B68" s="4" t="inlineStr">
        <is>
          <t xml:space="preserve">ADQUISICIÓN DE SOFTWARE Y PLATAFORMAS</t>
        </is>
      </c>
      <c r="C68" s="0" t="inlineStr">
        <is>
          <t xml:space="preserve">Publicada</t>
        </is>
      </c>
      <c r="D68" s="0" t="inlineStr">
        <is>
          <t xml:space="preserve">SERVICIO LOCAL DE EDUCACIÓN PÚBLICA ACONCAGUA</t>
        </is>
      </c>
      <c r="E68" s="0" t="inlineStr">
        <is>
          <t xml:space="preserve">COMPRAS Y LICITACIONES</t>
        </is>
      </c>
      <c r="F68" s="0" t="inlineStr">
        <is>
          <t xml:space="preserve">Región de Valparaíso </t>
        </is>
      </c>
      <c r="G68" s="0" t="inlineStr">
        <is>
          <t xml:space="preserve">San Felipe</t>
        </is>
      </c>
      <c r="H68" s="2">
        <v>46322.469236</v>
      </c>
      <c r="I68" s="2">
        <v>46332.625</v>
      </c>
      <c r="J68" s="0">
        <v>10</v>
      </c>
      <c r="K68" s="3">
        <v>20000000.0</v>
      </c>
      <c r="L68" s="0" t="inlineStr">
        <is>
          <t xml:space="preserve">CLP</t>
        </is>
      </c>
      <c r="M68" s="0" t="inlineStr">
        <is>
          <t xml:space="preserve">LE</t>
        </is>
      </c>
      <c r="N68" s="4" t="inlineStr">
        <is>
          <t xml:space="preserve">Tecnologías de la información, telecomunicaciones y radiodifusión / Software / Software de administración de redes</t>
        </is>
      </c>
      <c r="O68" s="4" t="inlineStr">
        <is>
          <t xml:space="preserve">1 Global · Software de administración</t>
        </is>
      </c>
      <c r="P68" s="2"/>
      <c r="Q68" s="2"/>
      <c r="R68" s="0"/>
      <c r="S68" s="0" t="inlineStr">
        <is>
          <t xml:space="preserve">No</t>
        </is>
      </c>
      <c r="T68" s="4" t="inlineStr">
        <is>
          <t xml:space="preserve">El adjudicatario no podrá ceder ni transferir en forma alguna, total ni parcialmente, los derechos y obligaciones que nacen del desarrollo de esta licitación. Esta licitación no permite la subcontratación.</t>
        </is>
      </c>
      <c r="U68" s="0" t="inlineStr">
        <is>
          <t xml:space="preserve">Ana Tamara Corvalán Ramírez</t>
        </is>
      </c>
      <c r="V68" s="4" t="inlineStr">
        <is>
          <t xml:space="preserve">LICITACIÓN PÚBLICA ADQUISICIÓN DE SOFTWARE Y PLATAFORMAS PARA LA GESTIÓN ADMINISTRATIVA DEL SERVICIO LOCAL DE EDUCACIÓN PÚBLICA DEL ACONCAGUA</t>
        </is>
      </c>
      <c r="W68"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69">
      <c r="A69" s="0" t="inlineStr">
        <is>
          <t xml:space="preserve">2686-140-LE26</t>
        </is>
      </c>
      <c r="B69" s="4" t="inlineStr">
        <is>
          <t xml:space="preserve">ADQUISICIÓN DE TÓTEMS AUTOATENCIÓN</t>
        </is>
      </c>
      <c r="C69" s="0" t="inlineStr">
        <is>
          <t xml:space="preserve">Publicada</t>
        </is>
      </c>
      <c r="D69" s="0" t="inlineStr">
        <is>
          <t xml:space="preserve">I MUNICIPALIDAD DE COLINA</t>
        </is>
      </c>
      <c r="E69" s="0" t="inlineStr">
        <is>
          <t xml:space="preserve">SECPLAN</t>
        </is>
      </c>
      <c r="F69" s="0" t="inlineStr">
        <is>
          <t xml:space="preserve">Región Metropolitana de Santiago</t>
        </is>
      </c>
      <c r="G69" s="0" t="inlineStr">
        <is>
          <t xml:space="preserve">Colina</t>
        </is>
      </c>
      <c r="H69" s="2">
        <v>46322.503472</v>
      </c>
      <c r="I69" s="2">
        <v>46332.625</v>
      </c>
      <c r="J69" s="0">
        <v>10</v>
      </c>
      <c r="K69" s="3"/>
      <c r="L69" s="0" t="inlineStr">
        <is>
          <t xml:space="preserve">CLP</t>
        </is>
      </c>
      <c r="M69" s="0" t="inlineStr">
        <is>
          <t xml:space="preserve">LE</t>
        </is>
      </c>
      <c r="N69" s="4" t="inlineStr">
        <is>
          <t xml:space="preserve">Equipos y suministros de defensa, orden público, protección y seguridad / Equipos para orden público / Equipo para control de disturbios</t>
        </is>
      </c>
      <c r="O69" s="4" t="inlineStr">
        <is>
          <t xml:space="preserve">1 Unidad · Sistemas de control de formación de filas</t>
        </is>
      </c>
      <c r="P69" s="2"/>
      <c r="Q69" s="2"/>
      <c r="R69" s="0" t="inlineStr">
        <is>
          <t xml:space="preserve">45 días</t>
        </is>
      </c>
      <c r="S69" s="0" t="inlineStr">
        <is>
          <t xml:space="preserve">No</t>
        </is>
      </c>
      <c r="T69" s="4"/>
      <c r="U69" s="0" t="inlineStr">
        <is>
          <t xml:space="preserve">PABLO SEPULVEDA SEMINARIO</t>
        </is>
      </c>
      <c r="V69"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69"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70">
      <c r="A70" s="0" t="inlineStr">
        <is>
          <t xml:space="preserve">1426102-7-LE26</t>
        </is>
      </c>
      <c r="B70" s="4" t="inlineStr">
        <is>
          <t xml:space="preserve">SERVICIO DE TELEFONIA IP Y TV DIGITAL PARA LAE IP PTO. MONTT</t>
        </is>
      </c>
      <c r="C70" s="0" t="inlineStr">
        <is>
          <t xml:space="preserve">Publicada</t>
        </is>
      </c>
      <c r="D70" s="0" t="inlineStr">
        <is>
          <t xml:space="preserve">SERVICIO NACIONAL DE REINSERCION SOCIAL JUVENIL</t>
        </is>
      </c>
      <c r="E70" s="0" t="inlineStr">
        <is>
          <t xml:space="preserve">DIRECCIÓN REGIONAL DE LOS LAGOS</t>
        </is>
      </c>
      <c r="F70" s="0" t="inlineStr">
        <is>
          <t xml:space="preserve">Región de los Lagos </t>
        </is>
      </c>
      <c r="G70" s="0" t="inlineStr">
        <is>
          <t xml:space="preserve">Puerto Montt</t>
        </is>
      </c>
      <c r="H70" s="2">
        <v>46322.531007</v>
      </c>
      <c r="I70" s="2">
        <v>46332.625694</v>
      </c>
      <c r="J70" s="0">
        <v>10</v>
      </c>
      <c r="K70" s="3"/>
      <c r="L70" s="0" t="inlineStr">
        <is>
          <t xml:space="preserve">CLP</t>
        </is>
      </c>
      <c r="M70" s="0" t="inlineStr">
        <is>
          <t xml:space="preserve">LE</t>
        </is>
      </c>
      <c r="N70" s="4" t="inlineStr">
        <is>
          <t xml:space="preserve">Servicios básicos y de información pública / Telecomunicaciones / Telefonía local y de larga distancia</t>
        </is>
      </c>
      <c r="O70" s="4" t="inlineStr">
        <is>
          <t xml:space="preserve">1 Unidad · Servicio de comunicación IP</t>
        </is>
      </c>
      <c r="P70" s="2"/>
      <c r="Q70" s="2"/>
      <c r="R70" s="0" t="inlineStr">
        <is>
          <t xml:space="preserve">24 meses</t>
        </is>
      </c>
      <c r="S70" s="0" t="inlineStr">
        <is>
          <t xml:space="preserve">No</t>
        </is>
      </c>
      <c r="T70" s="4"/>
      <c r="U70" s="0" t="inlineStr">
        <is>
          <t xml:space="preserve">Alejandra Martinez</t>
        </is>
      </c>
      <c r="V70" s="4" t="inlineStr">
        <is>
          <t xml:space="preserve">Contratar servicios de telefonía IP y TV digital para dar continuidad operativa de telecomunicaciones del centro LAE IP de Puerto Montt.</t>
        </is>
      </c>
      <c r="W70"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71">
      <c r="A71" s="0" t="inlineStr">
        <is>
          <t xml:space="preserve">1113265-17-LE26</t>
        </is>
      </c>
      <c r="B71" s="4" t="inlineStr">
        <is>
          <t xml:space="preserve">PLATAFORMA DE GESTIÓN ESTRATÉGICA</t>
        </is>
      </c>
      <c r="C71" s="0" t="inlineStr">
        <is>
          <t xml:space="preserve">Publicada</t>
        </is>
      </c>
      <c r="D71" s="0" t="inlineStr">
        <is>
          <t xml:space="preserve">CENTRO DE FORMACION TECNICA DE LA REGION DE ANTOFAGASTA</t>
        </is>
      </c>
      <c r="E71" s="0" t="inlineStr">
        <is>
          <t xml:space="preserve">UNIDAD DE COMPRAS</t>
        </is>
      </c>
      <c r="F71" s="0" t="inlineStr">
        <is>
          <t xml:space="preserve">Región de Antofagasta </t>
        </is>
      </c>
      <c r="G71" s="0" t="inlineStr">
        <is>
          <t xml:space="preserve">Calama</t>
        </is>
      </c>
      <c r="H71" s="2">
        <v>46309.735046</v>
      </c>
      <c r="I71" s="2">
        <v>46332.63125</v>
      </c>
      <c r="J71" s="0">
        <v>10</v>
      </c>
      <c r="K71" s="3"/>
      <c r="L71" s="0" t="inlineStr">
        <is>
          <t xml:space="preserve">CLP</t>
        </is>
      </c>
      <c r="M71" s="0" t="inlineStr">
        <is>
          <t xml:space="preserve">LE</t>
        </is>
      </c>
      <c r="N71" s="4" t="inlineStr">
        <is>
          <t xml:space="preserve">Tecnologías de la información, telecomunicaciones y radiodifusión / Software / Software de consultas y gestión de datos</t>
        </is>
      </c>
      <c r="O71" s="4" t="inlineStr">
        <is>
          <t xml:space="preserve">1 Unidad · Software del sistema de administración de bases de datos</t>
        </is>
      </c>
      <c r="P71" s="2"/>
      <c r="Q71" s="2"/>
      <c r="R71" s="0" t="inlineStr">
        <is>
          <t xml:space="preserve">12 meses</t>
        </is>
      </c>
      <c r="S71" s="0" t="inlineStr">
        <is>
          <t xml:space="preserve">No</t>
        </is>
      </c>
      <c r="T71" s="4"/>
      <c r="U71" s="0" t="inlineStr">
        <is>
          <t xml:space="preserve">IVAN MELLA</t>
        </is>
      </c>
      <c r="V71" s="4" t="inlineStr">
        <is>
          <t xml:space="preserve">ADQUISICIÓN E IMPLEMENTACIÓN DE PLATAFORMA DE GESTIÓN ESTRATÉGICA DE LA PERMANENCIA ESTUDIANTIL PARA EL CENTRO DE FORMACIÓN TÉCNICA ESTATAL DE LA REGIÓN DE ANTOFAGASTA</t>
        </is>
      </c>
      <c r="W71"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72">
      <c r="A72" s="0" t="inlineStr">
        <is>
          <t xml:space="preserve">3608-29-LE26</t>
        </is>
      </c>
      <c r="B72" s="4" t="inlineStr">
        <is>
          <t xml:space="preserve">Adquisición de equipos computacionales e informáticos</t>
        </is>
      </c>
      <c r="C72" s="0" t="inlineStr">
        <is>
          <t xml:space="preserve">Publicada</t>
        </is>
      </c>
      <c r="D72" s="0" t="inlineStr">
        <is>
          <t xml:space="preserve">I MUNICIPALIDAD DE SAAVEDRA</t>
        </is>
      </c>
      <c r="E72" s="0" t="inlineStr">
        <is>
          <t xml:space="preserve">I MUNICIPALIDAD DE SAAVEDRA</t>
        </is>
      </c>
      <c r="F72" s="0" t="inlineStr">
        <is>
          <t xml:space="preserve">Región de la Araucanía </t>
        </is>
      </c>
      <c r="G72" s="0" t="inlineStr">
        <is>
          <t xml:space="preserve">Puerto Saavedra</t>
        </is>
      </c>
      <c r="H72" s="2">
        <v>46321.713819</v>
      </c>
      <c r="I72" s="2">
        <v>46332.643056</v>
      </c>
      <c r="J72" s="0">
        <v>10</v>
      </c>
      <c r="K72" s="3">
        <v>8500000.0</v>
      </c>
      <c r="L72" s="0" t="inlineStr">
        <is>
          <t xml:space="preserve">CLP</t>
        </is>
      </c>
      <c r="M72" s="0" t="inlineStr">
        <is>
          <t xml:space="preserve">LE</t>
        </is>
      </c>
      <c r="N72"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72" s="4" t="inlineStr">
        <is>
          <t xml:space="preserve">6 Unidad · Computadores personales · 2 Unidad · Monitores de vídeo · 1 Unidad · Notebook, laptop o computador portátil excepto Tablet PC · y 2 más</t>
        </is>
      </c>
      <c r="P72" s="2"/>
      <c r="Q72" s="2"/>
      <c r="R72" s="0"/>
      <c r="S72" s="0" t="inlineStr">
        <is>
          <t xml:space="preserve">No</t>
        </is>
      </c>
      <c r="T72" s="4"/>
      <c r="U72" s="0" t="inlineStr">
        <is>
          <t xml:space="preserve">Samuel Pichinao Painepe</t>
        </is>
      </c>
      <c r="V72" s="4" t="inlineStr">
        <is>
          <t xml:space="preserve">Adquisición de equipos computacionales e informáticos destinados a apoyar las labores administrativas de los distintos departamentos y unidades municipales. Se adjuntan bases administrativas, bases técnicas y anexos.</t>
        </is>
      </c>
      <c r="W72"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73">
      <c r="A73" s="0" t="inlineStr">
        <is>
          <t xml:space="preserve">5126-4-LE26</t>
        </is>
      </c>
      <c r="B73" s="4" t="inlineStr">
        <is>
          <t xml:space="preserve">Cambio de tablero y protecciones eléctricas del CCN</t>
        </is>
      </c>
      <c r="C73" s="0" t="inlineStr">
        <is>
          <t xml:space="preserve">Publicada</t>
        </is>
      </c>
      <c r="D73" s="0" t="inlineStr">
        <is>
          <t xml:space="preserve">ESTADO MAYOR CONJUNTO</t>
        </is>
      </c>
      <c r="E73" s="0" t="inlineStr">
        <is>
          <t xml:space="preserve">EMC-Comando Conjunto Norte</t>
        </is>
      </c>
      <c r="F73" s="0" t="inlineStr">
        <is>
          <t xml:space="preserve">Región de Tarapacá  </t>
        </is>
      </c>
      <c r="G73" s="0" t="inlineStr">
        <is>
          <t xml:space="preserve">Iquique</t>
        </is>
      </c>
      <c r="H73" s="2">
        <v>46317.495069</v>
      </c>
      <c r="I73" s="2">
        <v>46332.833333</v>
      </c>
      <c r="J73" s="0">
        <v>10</v>
      </c>
      <c r="K73" s="3">
        <v>14807000.0</v>
      </c>
      <c r="L73" s="0" t="inlineStr">
        <is>
          <t xml:space="preserve">CLP</t>
        </is>
      </c>
      <c r="M73" s="0" t="inlineStr">
        <is>
          <t xml:space="preserve">LE</t>
        </is>
      </c>
      <c r="N73" s="4" t="inlineStr">
        <is>
          <t xml:space="preserve">Maquinaria para generación y distribución de energía / Generación de energía / Equipo para control de producción de energía</t>
        </is>
      </c>
      <c r="O73" s="4" t="inlineStr">
        <is>
          <t xml:space="preserve">1 Unidad · Paneles de control eléctrico para generadores</t>
        </is>
      </c>
      <c r="P73" s="2"/>
      <c r="Q73" s="2"/>
      <c r="R73" s="0"/>
      <c r="S73" s="0" t="inlineStr">
        <is>
          <t xml:space="preserve">No</t>
        </is>
      </c>
      <c r="T73" s="4"/>
      <c r="U73" s="0" t="inlineStr">
        <is>
          <t xml:space="preserve">Capitán de Bandada Sebastián Leyton Arancibia</t>
        </is>
      </c>
      <c r="V73" s="4" t="inlineStr">
        <is>
          <t xml:space="preserve">Cambio de tablero y protecciones eléctricas pertenecientes al segundo piso del Comando Conjunto Norte.</t>
        </is>
      </c>
      <c r="W73"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74">
      <c r="A74" s="0" t="inlineStr">
        <is>
          <t xml:space="preserve">1020-38-LP26</t>
        </is>
      </c>
      <c r="B74" s="4" t="inlineStr">
        <is>
          <t xml:space="preserve">Adquisición de Plataforma Next Generation Firewall</t>
        </is>
      </c>
      <c r="C74" s="0" t="inlineStr">
        <is>
          <t xml:space="preserve">Publicada</t>
        </is>
      </c>
      <c r="D74" s="0" t="inlineStr">
        <is>
          <t xml:space="preserve">MINISTERIO DE OBRAS PUBLICAS DIREC CION GRAL DE OO PP DCYF</t>
        </is>
      </c>
      <c r="E74" s="0" t="inlineStr">
        <is>
          <t xml:space="preserve">MOP Subsecretaría </t>
        </is>
      </c>
      <c r="F74" s="0" t="inlineStr">
        <is>
          <t xml:space="preserve">Región Metropolitana de Santiago</t>
        </is>
      </c>
      <c r="G74" s="0"/>
      <c r="H74" s="2">
        <v>46252.442361</v>
      </c>
      <c r="I74" s="2">
        <v>46335.625</v>
      </c>
      <c r="J74" s="0">
        <v>13</v>
      </c>
      <c r="K74" s="3">
        <v>240000000.0</v>
      </c>
      <c r="L74" s="0" t="inlineStr">
        <is>
          <t xml:space="preserve">CLP</t>
        </is>
      </c>
      <c r="M74" s="0" t="inlineStr">
        <is>
          <t xml:space="preserve">LP</t>
        </is>
      </c>
      <c r="N7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4" s="4" t="inlineStr">
        <is>
          <t xml:space="preserve">2 Unidad · Equipo de seguridad de red de firewall · 1 Unidad · Software de vigilancia de redes</t>
        </is>
      </c>
      <c r="P74" s="2"/>
      <c r="Q74" s="2"/>
      <c r="R74" s="0" t="inlineStr">
        <is>
          <t xml:space="preserve">16 meses</t>
        </is>
      </c>
      <c r="S74" s="0" t="inlineStr">
        <is>
          <t xml:space="preserve">No</t>
        </is>
      </c>
      <c r="T74" s="4" t="inlineStr">
        <is>
          <t xml:space="preserve">Conforme al punto 10.5 de las Bases Administrativas, el oferente adjudicado no podrá subcontratar los servicios derivados de la ejecución del Contrato</t>
        </is>
      </c>
      <c r="U74" s="0" t="inlineStr">
        <is>
          <t xml:space="preserve">Francisco Borques</t>
        </is>
      </c>
      <c r="V7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4"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75">
      <c r="A75" s="0" t="inlineStr">
        <is>
          <t xml:space="preserve">1177296-25-LP26</t>
        </is>
      </c>
      <c r="B7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75" s="0" t="inlineStr">
        <is>
          <t xml:space="preserve">Publicada</t>
        </is>
      </c>
      <c r="D75" s="0" t="inlineStr">
        <is>
          <t xml:space="preserve">SERVICIO NACIONAL DE PROTECCIÓN ESPECIALIZADA A LA NIÑEZ Y ADOLESCENCI</t>
        </is>
      </c>
      <c r="E75" s="0" t="inlineStr">
        <is>
          <t xml:space="preserve">SERVICIO NACIONAL DE PROTECCIÓN ESPECIALIZADA A LA</t>
        </is>
      </c>
      <c r="F75" s="0" t="inlineStr">
        <is>
          <t xml:space="preserve">Región Metropolitana de Santiago</t>
        </is>
      </c>
      <c r="G75" s="0" t="inlineStr">
        <is>
          <t xml:space="preserve">Santiago</t>
        </is>
      </c>
      <c r="H75" s="2">
        <v>46309.722616</v>
      </c>
      <c r="I75" s="2">
        <v>46335.625</v>
      </c>
      <c r="J75" s="0">
        <v>13</v>
      </c>
      <c r="K75" s="3"/>
      <c r="L75" s="0" t="inlineStr">
        <is>
          <t xml:space="preserve">CLP</t>
        </is>
      </c>
      <c r="M75" s="0" t="inlineStr">
        <is>
          <t xml:space="preserve">LP</t>
        </is>
      </c>
      <c r="N75" s="4" t="inlineStr">
        <is>
          <t xml:space="preserve">Equipos, accesorios y suministros de oficina / Maquinarias, suministros y accesorios de oficina / Máquinas y accesorios para registro de hora y asistencia en la oficina</t>
        </is>
      </c>
      <c r="O75" s="4" t="inlineStr">
        <is>
          <t xml:space="preserve">1 Global · Reloj de control</t>
        </is>
      </c>
      <c r="P75" s="2"/>
      <c r="Q75" s="2"/>
      <c r="R75" s="0" t="inlineStr">
        <is>
          <t xml:space="preserve">24 meses</t>
        </is>
      </c>
      <c r="S75" s="0" t="inlineStr">
        <is>
          <t xml:space="preserve">No</t>
        </is>
      </c>
      <c r="T75" s="4" t="inlineStr">
        <is>
          <t xml:space="preserve">Según lo indicado en bases de licitación adjuntas.</t>
        </is>
      </c>
      <c r="U75" s="0" t="inlineStr">
        <is>
          <t xml:space="preserve">Maximo Ovalle</t>
        </is>
      </c>
      <c r="V75" s="4" t="inlineStr">
        <is>
          <t xml:space="preserve">Adquirir servicios de instalación, mplementación, arriendo, soporte, mantención y operación de software y hardware de un sistema de  gestión de asistencia, relojes control y marcaje remoto con georreferenciación</t>
        </is>
      </c>
      <c r="W75"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76">
      <c r="A76" s="0" t="inlineStr">
        <is>
          <t xml:space="preserve">2421-52-LR26</t>
        </is>
      </c>
      <c r="B76" s="4" t="inlineStr">
        <is>
          <t xml:space="preserve">SUMINISTRO SERVICIO DE TELECOMUNICACIONES DATOS Y VOZ</t>
        </is>
      </c>
      <c r="C76" s="0" t="inlineStr">
        <is>
          <t xml:space="preserve">Publicada</t>
        </is>
      </c>
      <c r="D76" s="0" t="inlineStr">
        <is>
          <t xml:space="preserve">I MUNICIPALIDAD DE CONCEPCION</t>
        </is>
      </c>
      <c r="E76" s="0" t="inlineStr">
        <is>
          <t xml:space="preserve">DIRECCION DE SALUD MUNICIPAL DE CONCEPCION</t>
        </is>
      </c>
      <c r="F76" s="0" t="inlineStr">
        <is>
          <t xml:space="preserve">Región del Biobío </t>
        </is>
      </c>
      <c r="G76" s="0" t="inlineStr">
        <is>
          <t xml:space="preserve">Concepción</t>
        </is>
      </c>
      <c r="H76" s="2">
        <v>46303.407569</v>
      </c>
      <c r="I76" s="2">
        <v>46335.625</v>
      </c>
      <c r="J76" s="0">
        <v>13</v>
      </c>
      <c r="K76" s="3"/>
      <c r="L76" s="0" t="inlineStr">
        <is>
          <t xml:space="preserve">CLP</t>
        </is>
      </c>
      <c r="M76" s="0" t="inlineStr">
        <is>
          <t xml:space="preserve">LR</t>
        </is>
      </c>
      <c r="N76" s="4" t="inlineStr">
        <is>
          <t xml:space="preserve">Servicios básicos y de información pública / Telecomunicaciones / Telefonía local y de larga distancia</t>
        </is>
      </c>
      <c r="O76" s="4" t="inlineStr">
        <is>
          <t xml:space="preserve">1 Unidad · Servicio telefónico local · 1 Unidad · Servicio telefónico local</t>
        </is>
      </c>
      <c r="P76" s="2"/>
      <c r="Q76" s="2"/>
      <c r="R76" s="0" t="inlineStr">
        <is>
          <t xml:space="preserve">60 meses</t>
        </is>
      </c>
      <c r="S76" s="0" t="inlineStr">
        <is>
          <t xml:space="preserve">No</t>
        </is>
      </c>
      <c r="T76" s="4"/>
      <c r="U76" s="0" t="inlineStr">
        <is>
          <t xml:space="preserve">MARCELO SEPULVEDA</t>
        </is>
      </c>
      <c r="V76" s="4" t="inlineStr">
        <is>
          <t xml:space="preserve">LA DIRECCION DE SALUD DE CONCEPCION SOLICITA LA ADQUISICION DE SUMINISTRO DE SERVICIO DE TELECOMUNICACIONES DE DATOS Y VOZ POR UN PLAZO DE 60 MESES.</t>
        </is>
      </c>
      <c r="W76"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77">
      <c r="A77" s="0" t="inlineStr">
        <is>
          <t xml:space="preserve">619-13-LP26</t>
        </is>
      </c>
      <c r="B77" s="4" t="inlineStr">
        <is>
          <t xml:space="preserve">Suscripción de licencias IA generativa Claude.</t>
        </is>
      </c>
      <c r="C77" s="0" t="inlineStr">
        <is>
          <t xml:space="preserve">Publicada</t>
        </is>
      </c>
      <c r="D77" s="0" t="inlineStr">
        <is>
          <t xml:space="preserve">SUBSECRETARIA DEL MINISTERIO DE HACIENDA</t>
        </is>
      </c>
      <c r="E77" s="0" t="inlineStr">
        <is>
          <t xml:space="preserve">SUBSECRETARIA DEL MINISTERIO DE HACIENDA</t>
        </is>
      </c>
      <c r="F77" s="0" t="inlineStr">
        <is>
          <t xml:space="preserve">Región Metropolitana de Santiago</t>
        </is>
      </c>
      <c r="G77" s="0" t="inlineStr">
        <is>
          <t xml:space="preserve">Santiago</t>
        </is>
      </c>
      <c r="H77" s="2">
        <v>46314.50441</v>
      </c>
      <c r="I77" s="2">
        <v>46335.625</v>
      </c>
      <c r="J77" s="0">
        <v>13</v>
      </c>
      <c r="K77" s="3">
        <v>105000000.0</v>
      </c>
      <c r="L77" s="0" t="inlineStr">
        <is>
          <t xml:space="preserve">CLP</t>
        </is>
      </c>
      <c r="M77" s="0" t="inlineStr">
        <is>
          <t xml:space="preserve">LP</t>
        </is>
      </c>
      <c r="N77" s="4" t="inlineStr">
        <is>
          <t xml:space="preserve">Tecnologías de la información, telecomunicaciones y radiodifusión / Software / Software de gestión</t>
        </is>
      </c>
      <c r="O77" s="4" t="inlineStr">
        <is>
          <t xml:space="preserve">1 Unidad no definida · Software de gestión de licencias</t>
        </is>
      </c>
      <c r="P77" s="2"/>
      <c r="Q77" s="2"/>
      <c r="R77" s="0" t="inlineStr">
        <is>
          <t xml:space="preserve">13 meses</t>
        </is>
      </c>
      <c r="S77" s="0" t="inlineStr">
        <is>
          <t xml:space="preserve">No</t>
        </is>
      </c>
      <c r="T77" s="4"/>
      <c r="U77" s="0" t="inlineStr">
        <is>
          <t xml:space="preserve">Óscar Escobar</t>
        </is>
      </c>
      <c r="V77"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77" s="5" t="str">
        <f>HYPERLINK("https://www.mercadopublico.cl/Procurement/Modules/Attachment/ViewAttachment.aspx?enc=OSD6EtnoK%2f7MvpoCTI%2f3dGubJ3df1a%2b9YPRcyIxh7FXIE%2fkYfAT30C8hhO3efufKxl3%2fNDe3Gf1OdCcEoiOICzbI4IAiCufS%2f%2fXS5ja0nHNv%2biD4sil%2bHehvMusx13G9Ac0bvVwIDJUAiLJcrc7D6JPy1Bcz0k7A46dF3Ca81J3MimhB7PcUFmrELEc7jXkhgxmNBP8e%2bfRUKOjBvl8QXn8r4N02N3ocRN18tnttCpyJOoKmgMmNn0xH5vJaEHVsG4lGxxVnjhoGCxdzEmPuYsrmvLNTNb3X0m46TIA4VBT7IfGzmbwBM67LRXMmjfa0","descargar bases")</f>
      </c>
    </row>
    <row r="78">
      <c r="A78" s="0" t="inlineStr">
        <is>
          <t xml:space="preserve">594965-31-LE26</t>
        </is>
      </c>
      <c r="B78" s="4" t="inlineStr">
        <is>
          <t xml:space="preserve">INSUMOS INFORMATICOS PARA REGION DE OHIGGINS</t>
        </is>
      </c>
      <c r="C78" s="0" t="inlineStr">
        <is>
          <t xml:space="preserve">Publicada</t>
        </is>
      </c>
      <c r="D78" s="0" t="inlineStr">
        <is>
          <t xml:space="preserve">FUNDACION EDUCACIONAL PARA EL DESAROLLO INTEGRAL DE LA NIÑEZ</t>
        </is>
      </c>
      <c r="E78" s="0" t="inlineStr">
        <is>
          <t xml:space="preserve">Regional Lib Bdo Ohiggins</t>
        </is>
      </c>
      <c r="F78" s="0" t="inlineStr">
        <is>
          <t xml:space="preserve">Región del Libertador General Bernardo O´Higgins</t>
        </is>
      </c>
      <c r="G78" s="0" t="inlineStr">
        <is>
          <t xml:space="preserve">Rancagua</t>
        </is>
      </c>
      <c r="H78" s="2">
        <v>46317.452975</v>
      </c>
      <c r="I78" s="2">
        <v>46335.625694</v>
      </c>
      <c r="J78" s="0">
        <v>13</v>
      </c>
      <c r="K78" s="3">
        <v>37984000.0</v>
      </c>
      <c r="L78" s="0" t="inlineStr">
        <is>
          <t xml:space="preserve">CLP</t>
        </is>
      </c>
      <c r="M78" s="0" t="inlineStr">
        <is>
          <t xml:space="preserve">LE</t>
        </is>
      </c>
      <c r="N78" s="4" t="inlineStr">
        <is>
          <t xml:space="preserve">Equipos, accesorios y suministros de oficina / Maquinarias, suministros y accesorios de oficina / Suministros para impresora, fax y fotocopiadora</t>
        </is>
      </c>
      <c r="O78" s="4" t="inlineStr">
        <is>
          <t xml:space="preserve">124 Unidad · Tóner · 139 Unidad · Tóner · 57 Unidad · Tóner · y 34 más</t>
        </is>
      </c>
      <c r="P78" s="2"/>
      <c r="Q78" s="2"/>
      <c r="R78" s="0"/>
      <c r="S78" s="0" t="inlineStr">
        <is>
          <t xml:space="preserve">No</t>
        </is>
      </c>
      <c r="T78"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78" s="0" t="inlineStr">
        <is>
          <t xml:space="preserve">MARIO ORTIZ ESPINOZA</t>
        </is>
      </c>
      <c r="V78"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8"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79">
      <c r="A79" s="0" t="inlineStr">
        <is>
          <t xml:space="preserve">1082957-34-LP26</t>
        </is>
      </c>
      <c r="B79" s="4" t="inlineStr">
        <is>
          <t xml:space="preserve">Servicios de telefonía IP Cloud y otros para ProChile.</t>
        </is>
      </c>
      <c r="C79" s="0" t="inlineStr">
        <is>
          <t xml:space="preserve">Publicada</t>
        </is>
      </c>
      <c r="D79" s="0" t="inlineStr">
        <is>
          <t xml:space="preserve">DIRECCION GENERAL DE PROMOCION DE EXPORTACIONES</t>
        </is>
      </c>
      <c r="E79" s="0" t="inlineStr">
        <is>
          <t xml:space="preserve">MN PROMOCION DE EXPORTACIONES</t>
        </is>
      </c>
      <c r="F79" s="0" t="inlineStr">
        <is>
          <t xml:space="preserve">Región Metropolitana de Santiago</t>
        </is>
      </c>
      <c r="G79" s="0"/>
      <c r="H79" s="2">
        <v>46321.649641</v>
      </c>
      <c r="I79" s="2">
        <v>46335.625694</v>
      </c>
      <c r="J79" s="0">
        <v>13</v>
      </c>
      <c r="K79" s="3">
        <v>1900.0</v>
      </c>
      <c r="L79" s="0" t="inlineStr">
        <is>
          <t xml:space="preserve">CLF</t>
        </is>
      </c>
      <c r="M79" s="0" t="inlineStr">
        <is>
          <t xml:space="preserve">LP</t>
        </is>
      </c>
      <c r="N79" s="4" t="inlineStr">
        <is>
          <t xml:space="preserve">Servicios básicos y de información pública / Telecomunicaciones / Telefonía local y de larga distancia</t>
        </is>
      </c>
      <c r="O79" s="4" t="inlineStr">
        <is>
          <t xml:space="preserve">1 Unidad · Servicio de comunicación IP</t>
        </is>
      </c>
      <c r="P79" s="2"/>
      <c r="Q79" s="2"/>
      <c r="R79" s="0" t="inlineStr">
        <is>
          <t xml:space="preserve">37 meses</t>
        </is>
      </c>
      <c r="S79" s="0" t="inlineStr">
        <is>
          <t xml:space="preserve">No</t>
        </is>
      </c>
      <c r="T79" s="4" t="inlineStr">
        <is>
          <t xml:space="preserve">El adjudicatario no podrá subcontratar, salvo autorización escrita de ProChile.</t>
        </is>
      </c>
      <c r="U79" s="0" t="inlineStr">
        <is>
          <t xml:space="preserve">Mario Leiva Robles</t>
        </is>
      </c>
      <c r="V79"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79"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80">
      <c r="A80" s="0" t="inlineStr">
        <is>
          <t xml:space="preserve">4629-35-LE26</t>
        </is>
      </c>
      <c r="B80" s="4" t="inlineStr">
        <is>
          <t xml:space="preserve">CONVENIO DE SUMINISTRO - REDES CITOFONÍA Y DATOS</t>
        </is>
      </c>
      <c r="C80" s="0" t="inlineStr">
        <is>
          <t xml:space="preserve">Publicada</t>
        </is>
      </c>
      <c r="D80" s="0" t="inlineStr">
        <is>
          <t xml:space="preserve">DIRECCION DEL TRABAJO</t>
        </is>
      </c>
      <c r="E80" s="0" t="inlineStr">
        <is>
          <t xml:space="preserve">Nivel Central Santiago</t>
        </is>
      </c>
      <c r="F80" s="0" t="inlineStr">
        <is>
          <t xml:space="preserve">Región Metropolitana de Santiago</t>
        </is>
      </c>
      <c r="G80" s="0" t="inlineStr">
        <is>
          <t xml:space="preserve">Santiago</t>
        </is>
      </c>
      <c r="H80" s="2">
        <v>46322.441655</v>
      </c>
      <c r="I80" s="2">
        <v>46335.625694</v>
      </c>
      <c r="J80" s="0">
        <v>13</v>
      </c>
      <c r="K80" s="3">
        <v>40000000.0</v>
      </c>
      <c r="L80" s="0" t="inlineStr">
        <is>
          <t xml:space="preserve">CLP</t>
        </is>
      </c>
      <c r="M80" s="0" t="inlineStr">
        <is>
          <t xml:space="preserve">LE</t>
        </is>
      </c>
      <c r="N80" s="4" t="inlineStr">
        <is>
          <t xml:space="preserve">Servicios de construcción y mantenimiento / Servicios de atención, mantenimiento y reparaciones de edificios / Servicios eléctricos</t>
        </is>
      </c>
      <c r="O80" s="4" t="inlineStr">
        <is>
          <t xml:space="preserve">1 Unidad · Asistencia o mantenimiento de servicio de telecomunicaciones</t>
        </is>
      </c>
      <c r="P80" s="2"/>
      <c r="Q80" s="2"/>
      <c r="R80" s="0" t="inlineStr">
        <is>
          <t xml:space="preserve">24 meses</t>
        </is>
      </c>
      <c r="S80" s="0" t="inlineStr">
        <is>
          <t xml:space="preserve">No</t>
        </is>
      </c>
      <c r="T80" s="4"/>
      <c r="U80" s="0" t="inlineStr">
        <is>
          <t xml:space="preserve">Liliana Pulgar Villaseñor</t>
        </is>
      </c>
      <c r="V80" s="4" t="inlineStr">
        <is>
          <t xml:space="preserve">CONVENIO DE SUMINISTRO DE PROVISIÓN, INSTALACIÓN Y MANTENCIÓN DE REDES, CITOFONÍA Y DATOS DE LAS OFICINAS DE LA REGIÓN METROPOLITANA DE LA DIRECCIÓN DEL TRABAJO</t>
        </is>
      </c>
      <c r="W80"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81">
      <c r="A81" s="0" t="inlineStr">
        <is>
          <t xml:space="preserve">1057390-21-LR26</t>
        </is>
      </c>
      <c r="B81" s="4" t="inlineStr">
        <is>
          <t xml:space="preserve">PLATAFORMA CLOUD COMPUTING Y SERVICIOS ASOCIADOS ESISSAN</t>
        </is>
      </c>
      <c r="C81" s="0" t="inlineStr">
        <is>
          <t xml:space="preserve">Publicada</t>
        </is>
      </c>
      <c r="D81" s="0" t="inlineStr">
        <is>
          <t xml:space="preserve">SERVICIO DE SALUD ARAUCANIA NORTE</t>
        </is>
      </c>
      <c r="E81" s="0" t="inlineStr">
        <is>
          <t xml:space="preserve">Bienes y Servicios</t>
        </is>
      </c>
      <c r="F81" s="0" t="inlineStr">
        <is>
          <t xml:space="preserve">Región de la Araucanía </t>
        </is>
      </c>
      <c r="G81" s="0" t="inlineStr">
        <is>
          <t xml:space="preserve">Angol</t>
        </is>
      </c>
      <c r="H81" s="2">
        <v>46304.689398</v>
      </c>
      <c r="I81" s="2">
        <v>46335.645833</v>
      </c>
      <c r="J81" s="0">
        <v>13</v>
      </c>
      <c r="K81" s="3">
        <v>487000000.0</v>
      </c>
      <c r="L81" s="0" t="inlineStr">
        <is>
          <t xml:space="preserve">CLP</t>
        </is>
      </c>
      <c r="M81" s="0" t="inlineStr">
        <is>
          <t xml:space="preserve">LR</t>
        </is>
      </c>
      <c r="N81" s="4" t="inlineStr">
        <is>
          <t xml:space="preserve">Tecnologías de la información, telecomunicaciones y radiodifusión / Software / Software para trabajo en redes</t>
        </is>
      </c>
      <c r="O81" s="4" t="inlineStr">
        <is>
          <t xml:space="preserve">1 Unidad · Software de interconectividad de plataformas</t>
        </is>
      </c>
      <c r="P81" s="2"/>
      <c r="Q81" s="2"/>
      <c r="R81" s="0" t="inlineStr">
        <is>
          <t xml:space="preserve">36 meses</t>
        </is>
      </c>
      <c r="S81" s="0" t="inlineStr">
        <is>
          <t xml:space="preserve">No</t>
        </is>
      </c>
      <c r="T81" s="4"/>
      <c r="U81" s="0" t="inlineStr">
        <is>
          <t xml:space="preserve">Jorge Mora Bustamante</t>
        </is>
      </c>
      <c r="V81"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81"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2">
      <c r="A82" s="0" t="inlineStr">
        <is>
          <t xml:space="preserve">1260-17-LP26</t>
        </is>
      </c>
      <c r="B82" s="4" t="inlineStr">
        <is>
          <t xml:space="preserve">NARRATIVAS DIGITALES Y PRODUCCION CONTENIDOS</t>
        </is>
      </c>
      <c r="C82" s="0" t="inlineStr">
        <is>
          <t xml:space="preserve">Publicada</t>
        </is>
      </c>
      <c r="D82" s="0" t="inlineStr">
        <is>
          <t xml:space="preserve">GOBIERNO REGIONAL REGION METROPOLITANA</t>
        </is>
      </c>
      <c r="E82" s="0" t="inlineStr">
        <is>
          <t xml:space="preserve">ADQUISICIONES - PROGRAMA 01</t>
        </is>
      </c>
      <c r="F82" s="0" t="inlineStr">
        <is>
          <t xml:space="preserve">Región Metropolitana de Santiago</t>
        </is>
      </c>
      <c r="G82" s="0"/>
      <c r="H82" s="2">
        <v>46303.472778</v>
      </c>
      <c r="I82" s="2">
        <v>46335.645833</v>
      </c>
      <c r="J82" s="0">
        <v>13</v>
      </c>
      <c r="K82" s="3">
        <v>160650000.0</v>
      </c>
      <c r="L82" s="0" t="inlineStr">
        <is>
          <t xml:space="preserve">CLP</t>
        </is>
      </c>
      <c r="M82" s="0" t="inlineStr">
        <is>
          <t xml:space="preserve">LP</t>
        </is>
      </c>
      <c r="N82" s="4" t="inlineStr">
        <is>
          <t xml:space="preserve">Servicios profesionales, administrativos y consultorías de gestión empresarial / Servicios para la comercialización y distribución / Ventas y marketing</t>
        </is>
      </c>
      <c r="O82" s="4" t="inlineStr">
        <is>
          <t xml:space="preserve">1 Unidad · Agencias de marketing de ventas, incluidas las impresiones</t>
        </is>
      </c>
      <c r="P82" s="2"/>
      <c r="Q82" s="2"/>
      <c r="R82" s="0" t="inlineStr">
        <is>
          <t xml:space="preserve">365 días</t>
        </is>
      </c>
      <c r="S82" s="0" t="inlineStr">
        <is>
          <t xml:space="preserve">No</t>
        </is>
      </c>
      <c r="T82" s="4"/>
      <c r="U82" s="0" t="inlineStr">
        <is>
          <t xml:space="preserve">Joaquín Orellana Calderón</t>
        </is>
      </c>
      <c r="V82"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2"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83">
      <c r="A83" s="0" t="inlineStr">
        <is>
          <t xml:space="preserve">425-73-LP26</t>
        </is>
      </c>
      <c r="B83" s="4" t="inlineStr">
        <is>
          <t xml:space="preserve">Renovación de licencias de software CISCO</t>
        </is>
      </c>
      <c r="C83" s="0" t="inlineStr">
        <is>
          <t xml:space="preserve">Publicada</t>
        </is>
      </c>
      <c r="D83" s="0" t="inlineStr">
        <is>
          <t xml:space="preserve">CORP ADMINISTRATIVA DEL PODER JUDICIAL</t>
        </is>
      </c>
      <c r="E83" s="0" t="inlineStr">
        <is>
          <t xml:space="preserve">Servicios</t>
        </is>
      </c>
      <c r="F83" s="0" t="inlineStr">
        <is>
          <t xml:space="preserve">Región Metropolitana de Santiago</t>
        </is>
      </c>
      <c r="G83" s="0" t="inlineStr">
        <is>
          <t xml:space="preserve">Santiago Centro</t>
        </is>
      </c>
      <c r="H83" s="2">
        <v>46304.698588</v>
      </c>
      <c r="I83" s="2">
        <v>46335.666667</v>
      </c>
      <c r="J83" s="0">
        <v>13</v>
      </c>
      <c r="K83" s="3"/>
      <c r="L83" s="0" t="inlineStr">
        <is>
          <t xml:space="preserve">USD</t>
        </is>
      </c>
      <c r="M83" s="0" t="inlineStr">
        <is>
          <t xml:space="preserve">LP</t>
        </is>
      </c>
      <c r="N83" s="4" t="inlineStr">
        <is>
          <t xml:space="preserve">Tecnologías de la información, telecomunicaciones y radiodifusión / Software / Software de gestión</t>
        </is>
      </c>
      <c r="O83" s="4" t="inlineStr">
        <is>
          <t xml:space="preserve">5000 Unidad · Software de gestión de licencias · 20000 Unidad · Software de gestión de licencias · 11000 Unidad · Software de gestión de licencias · y 7 más</t>
        </is>
      </c>
      <c r="P83" s="2"/>
      <c r="Q83" s="2"/>
      <c r="R83" s="0" t="inlineStr">
        <is>
          <t xml:space="preserve">12 meses</t>
        </is>
      </c>
      <c r="S83" s="0" t="inlineStr">
        <is>
          <t xml:space="preserve">No</t>
        </is>
      </c>
      <c r="T83" s="4" t="inlineStr">
        <is>
          <t xml:space="preserve">Remítase a lo indicado en el numeral 15 de las bases administrativas especiales</t>
        </is>
      </c>
      <c r="U83" s="0" t="inlineStr">
        <is>
          <t xml:space="preserve">César Herrera Mejías</t>
        </is>
      </c>
      <c r="V83" s="4" t="inlineStr">
        <is>
          <t xml:space="preserve">UR (1804), Renovación de licencias de software CISCO</t>
        </is>
      </c>
      <c r="W83"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84">
      <c r="A84" s="0" t="inlineStr">
        <is>
          <t xml:space="preserve">564953-78-B226</t>
        </is>
      </c>
      <c r="B84" s="4" t="inlineStr">
        <is>
          <t xml:space="preserve">ACTUALIZACIÓN PLATAFORMA ERP</t>
        </is>
      </c>
      <c r="C84" s="0" t="inlineStr">
        <is>
          <t xml:space="preserve">Publicada</t>
        </is>
      </c>
      <c r="D84" s="0" t="inlineStr">
        <is>
          <t xml:space="preserve">Corporación de Educación y Salud de Las Condes</t>
        </is>
      </c>
      <c r="E84" s="0" t="inlineStr">
        <is>
          <t xml:space="preserve">Corporación de Educación y Salud de Las Condes</t>
        </is>
      </c>
      <c r="F84" s="0" t="inlineStr">
        <is>
          <t xml:space="preserve">Región Metropolitana de Santiago</t>
        </is>
      </c>
      <c r="G84" s="0" t="inlineStr">
        <is>
          <t xml:space="preserve">Las Condes</t>
        </is>
      </c>
      <c r="H84" s="2">
        <v>46315.70647</v>
      </c>
      <c r="I84" s="2">
        <v>46335.749306</v>
      </c>
      <c r="J84" s="0">
        <v>13</v>
      </c>
      <c r="K84" s="3">
        <v>250000000.0</v>
      </c>
      <c r="L84" s="0" t="inlineStr">
        <is>
          <t xml:space="preserve">CLP</t>
        </is>
      </c>
      <c r="M84" s="0" t="inlineStr">
        <is>
          <t xml:space="preserve">B2</t>
        </is>
      </c>
      <c r="N84" s="4" t="inlineStr">
        <is>
          <t xml:space="preserve">Tecnologías de la información, telecomunicaciones y radiodifusión / Software / Software de planificación de recursos empresariales (ERP) y contabilidad financiera</t>
        </is>
      </c>
      <c r="O84" s="4" t="inlineStr">
        <is>
          <t xml:space="preserve">1 Unidad · Software de planificación de recursos empresariales (ERP)</t>
        </is>
      </c>
      <c r="P84" s="2"/>
      <c r="Q84" s="2"/>
      <c r="R84" s="0" t="inlineStr">
        <is>
          <t xml:space="preserve">40 meses</t>
        </is>
      </c>
      <c r="S84" s="0" t="inlineStr">
        <is>
          <t xml:space="preserve">No</t>
        </is>
      </c>
      <c r="T84" s="4"/>
      <c r="U84" s="0" t="inlineStr">
        <is>
          <t xml:space="preserve">Cristian Seguel</t>
        </is>
      </c>
      <c r="V84" s="4" t="inlineStr">
        <is>
          <t xml:space="preserve">El objetivo de la presente licitación es contratar el servicio de implementación y soporte de ERP Dynamics Business Central</t>
        </is>
      </c>
      <c r="W84"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85">
      <c r="A85" s="0" t="inlineStr">
        <is>
          <t xml:space="preserve">4160-22-LP26</t>
        </is>
      </c>
      <c r="B85" s="4" t="inlineStr">
        <is>
          <t xml:space="preserve">SERVICIO DE INTERNET VOZ Y DATOS</t>
        </is>
      </c>
      <c r="C85" s="0" t="inlineStr">
        <is>
          <t xml:space="preserve">Publicada</t>
        </is>
      </c>
      <c r="D85" s="0" t="inlineStr">
        <is>
          <t xml:space="preserve">MUNICIPALIDAD DE HUALPEN</t>
        </is>
      </c>
      <c r="E85" s="0" t="inlineStr">
        <is>
          <t xml:space="preserve">Secplan</t>
        </is>
      </c>
      <c r="F85" s="0" t="inlineStr">
        <is>
          <t xml:space="preserve">Región del Biobío </t>
        </is>
      </c>
      <c r="G85" s="0" t="inlineStr">
        <is>
          <t xml:space="preserve">Hualpén</t>
        </is>
      </c>
      <c r="H85" s="2">
        <v>46314.427569</v>
      </c>
      <c r="I85" s="2">
        <v>46336.583333</v>
      </c>
      <c r="J85" s="0">
        <v>14</v>
      </c>
      <c r="K85" s="3"/>
      <c r="L85" s="0" t="inlineStr">
        <is>
          <t xml:space="preserve">CLF</t>
        </is>
      </c>
      <c r="M85" s="0" t="inlineStr">
        <is>
          <t xml:space="preserve">LP</t>
        </is>
      </c>
      <c r="N85" s="4" t="inlineStr">
        <is>
          <t xml:space="preserve">Servicios basados en ingeniería, ciencias sociales y tecnología de la información / Servicios informáticos / Servicios para internet</t>
        </is>
      </c>
      <c r="O85" s="4" t="inlineStr">
        <is>
          <t xml:space="preserve">36 Mes · Proveedores de servicio de Internet (ISP)</t>
        </is>
      </c>
      <c r="P85" s="2"/>
      <c r="Q85" s="2"/>
      <c r="R85" s="0" t="inlineStr">
        <is>
          <t xml:space="preserve">36 meses</t>
        </is>
      </c>
      <c r="S85" s="0" t="inlineStr">
        <is>
          <t xml:space="preserve">No</t>
        </is>
      </c>
      <c r="T85" s="4"/>
      <c r="U85" s="0" t="inlineStr">
        <is>
          <t xml:space="preserve">RENE IBAÑEZ RETAMAL</t>
        </is>
      </c>
      <c r="V85"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85" s="5" t="str">
        <f>HYPERLINK("https://www.mercadopublico.cl/Procurement/Modules/Attachment/ViewAttachment.aspx?enc=ES1PyRATXzyuBv3vHtUhNkeaeeGZS2a%2fmwOWXI0htwXMW6u1G%2bkMlotKbBUAOqK8m1JP5dQvvle5yVKn85u3TektnkAJ9hsUEdFWwj8sSWnO%2bSmqnF2EoayG8SkNHXvWnDMc8O%2fdTzt%2fM0IxMk22Qr1jgjrBcDjUst3Ktbrq1y6tmO%2bbqh4Rcc1D0OH5R%2b%2fu36Yl0xUQVQuhPfxZu7FMf%2fi8RQdKzQ7atEXsvtQA9rUqPhhaKPw5eKFxUTTqxMveQw%2b%2bUI96AZUIBn1a4H3FEAiS0aNhxovRSOV7TSkZ9JCHGbIpMh%2fa%2bRRmv7pFnu6G","descargar bases")</f>
      </c>
    </row>
    <row r="86">
      <c r="A86" s="0" t="inlineStr">
        <is>
          <t xml:space="preserve">1233623-47-LP26</t>
        </is>
      </c>
      <c r="B86" s="4" t="inlineStr">
        <is>
          <t xml:space="preserve">SOFTWARE PARA GESTION DE PERSONAS LICANCABUR</t>
        </is>
      </c>
      <c r="C86" s="0" t="inlineStr">
        <is>
          <t xml:space="preserve">Publicada</t>
        </is>
      </c>
      <c r="D86" s="0" t="inlineStr">
        <is>
          <t xml:space="preserve">Servicio Local de Educación Pública Licancabur</t>
        </is>
      </c>
      <c r="E86" s="0" t="inlineStr">
        <is>
          <t xml:space="preserve">Servicio Local de Educación Pública Licancabur</t>
        </is>
      </c>
      <c r="F86" s="0" t="inlineStr">
        <is>
          <t xml:space="preserve">Región de Antofagasta </t>
        </is>
      </c>
      <c r="G86" s="0" t="inlineStr">
        <is>
          <t xml:space="preserve">Calama</t>
        </is>
      </c>
      <c r="H86" s="2">
        <v>46316.519699</v>
      </c>
      <c r="I86" s="2">
        <v>46336.625</v>
      </c>
      <c r="J86" s="0">
        <v>14</v>
      </c>
      <c r="K86" s="3"/>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Unidad · Software de gestión de recursos humanos</t>
        </is>
      </c>
      <c r="P86" s="2"/>
      <c r="Q86" s="2"/>
      <c r="R86" s="0" t="inlineStr">
        <is>
          <t xml:space="preserve">36 meses</t>
        </is>
      </c>
      <c r="S86" s="0" t="inlineStr">
        <is>
          <t xml:space="preserve">No</t>
        </is>
      </c>
      <c r="T86" s="4"/>
      <c r="U86" s="0" t="inlineStr">
        <is>
          <t xml:space="preserve">BRUNO BERKHOFF</t>
        </is>
      </c>
      <c r="V86" s="4" t="inlineStr">
        <is>
          <t xml:space="preserve">SOFTWARE PARA GESTION DE PERSONAS SLEP LICANCABUR POR UN PERIODO DE 36 MESES SEGUN LO INDICADO EN LAS BASES ADMINISTRATIVAS Y TECNICAS. COMPLETAR LOS ANEXOS FIRMARLOS SUBIRLOS A LA PLATAFORMA Y REALIZAR EXPOSICION TECNICA REMOTA</t>
        </is>
      </c>
      <c r="W86"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87">
      <c r="A87" s="0" t="inlineStr">
        <is>
          <t xml:space="preserve">5482-101-LR26</t>
        </is>
      </c>
      <c r="B87" s="4" t="inlineStr">
        <is>
          <t xml:space="preserve">Plataforma IA para video y seguridad urbana</t>
        </is>
      </c>
      <c r="C87" s="0" t="inlineStr">
        <is>
          <t xml:space="preserve">Publicada</t>
        </is>
      </c>
      <c r="D87" s="0" t="inlineStr">
        <is>
          <t xml:space="preserve">I MUNICIPALIDAD DE NUNOA</t>
        </is>
      </c>
      <c r="E87" s="0" t="inlineStr">
        <is>
          <t xml:space="preserve">SECPLANUNOA</t>
        </is>
      </c>
      <c r="F87" s="0" t="inlineStr">
        <is>
          <t xml:space="preserve">Región Metropolitana de Santiago</t>
        </is>
      </c>
      <c r="G87" s="0" t="inlineStr">
        <is>
          <t xml:space="preserve">Ñuñoa</t>
        </is>
      </c>
      <c r="H87" s="2">
        <v>46275.729861</v>
      </c>
      <c r="I87" s="2">
        <v>46336.625694</v>
      </c>
      <c r="J87" s="0">
        <v>14</v>
      </c>
      <c r="K87" s="3"/>
      <c r="L87" s="0" t="inlineStr">
        <is>
          <t xml:space="preserve">CLF</t>
        </is>
      </c>
      <c r="M87" s="0" t="inlineStr">
        <is>
          <t xml:space="preserve">LR</t>
        </is>
      </c>
      <c r="N87" s="4" t="inlineStr">
        <is>
          <t xml:space="preserve">Tecnologías de la información, telecomunicaciones y radiodifusión / Software / Programas de desarrollo</t>
        </is>
      </c>
      <c r="O87" s="4" t="inlineStr">
        <is>
          <t xml:space="preserve">1 Global · Software de desarrollo de plataforma Web · 26 Mes · Software de desarrollo de plataforma Web</t>
        </is>
      </c>
      <c r="P87" s="2"/>
      <c r="Q87" s="2"/>
      <c r="R87" s="0" t="inlineStr">
        <is>
          <t xml:space="preserve">26 meses</t>
        </is>
      </c>
      <c r="S87" s="0" t="inlineStr">
        <is>
          <t xml:space="preserve">No</t>
        </is>
      </c>
      <c r="T87" s="4"/>
      <c r="U87" s="0" t="inlineStr">
        <is>
          <t xml:space="preserve">Katherinne Ayala</t>
        </is>
      </c>
      <c r="V8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7"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88">
      <c r="A88" s="0" t="inlineStr">
        <is>
          <t xml:space="preserve">1057049-394-LP26</t>
        </is>
      </c>
      <c r="B88" s="4" t="inlineStr">
        <is>
          <t xml:space="preserve">JLL CONTRATACION DE SERVICIOS DE TURNOS DE PERSONAL TECNICO INFORMATICO DE APOYO PARA EL DEPARTAMENTO DE TECNOLOGIAS DE LA INFORMACION Y COMUNICACIONES</t>
        </is>
      </c>
      <c r="C88" s="0" t="inlineStr">
        <is>
          <t xml:space="preserve">Publicada</t>
        </is>
      </c>
      <c r="D88" s="0" t="inlineStr">
        <is>
          <t xml:space="preserve">SERV SALUD METROPOLITANO CENTRAL HOSPITAL CLINICO SAN BORJA ARRIARAN</t>
        </is>
      </c>
      <c r="E88" s="0" t="inlineStr">
        <is>
          <t xml:space="preserve">Bienes y Servicios</t>
        </is>
      </c>
      <c r="F88" s="0" t="inlineStr">
        <is>
          <t xml:space="preserve">Región Metropolitana de Santiago</t>
        </is>
      </c>
      <c r="G88" s="0" t="inlineStr">
        <is>
          <t xml:space="preserve">Santiago</t>
        </is>
      </c>
      <c r="H88" s="2">
        <v>46315.59515</v>
      </c>
      <c r="I88" s="2">
        <v>46336.645833</v>
      </c>
      <c r="J88" s="0">
        <v>14</v>
      </c>
      <c r="K88" s="3"/>
      <c r="L88" s="0" t="inlineStr">
        <is>
          <t xml:space="preserve">CLP</t>
        </is>
      </c>
      <c r="M88" s="0" t="inlineStr">
        <is>
          <t xml:space="preserve">LP</t>
        </is>
      </c>
      <c r="N88" s="4" t="inlineStr">
        <is>
          <t xml:space="preserve">Servicios profesionales, administrativos y consultorías de gestión empresarial / Servicios de recursos humanos / Servicios de personal temporal</t>
        </is>
      </c>
      <c r="O88" s="4" t="inlineStr">
        <is>
          <t xml:space="preserve">1 Global · Personal técnico temporal</t>
        </is>
      </c>
      <c r="P88" s="2"/>
      <c r="Q88" s="2"/>
      <c r="R88" s="0" t="inlineStr">
        <is>
          <t xml:space="preserve">24 meses</t>
        </is>
      </c>
      <c r="S88" s="0" t="inlineStr">
        <is>
          <t xml:space="preserve">No</t>
        </is>
      </c>
      <c r="T88" s="4"/>
      <c r="U88" s="0" t="inlineStr">
        <is>
          <t xml:space="preserve">JUAN CARLOS LAFONT</t>
        </is>
      </c>
      <c r="V88" s="4" t="inlineStr">
        <is>
          <t xml:space="preserve">JLL APRUEBA BASES DE LICITACION DE CONTRATACION DE SERVICIOS DE TURNOS DE PERSONAL TECNICO INFORMATICO DE APOYO PARA EL DEPARTAMENTO DE TECNOLOGIAS DE LA INFORMACION Y COMUNICACIONES DEL HOSPITAL CLINICO SAN BORJA ARRIARAN.</t>
        </is>
      </c>
      <c r="W88"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89">
      <c r="A89" s="0" t="inlineStr">
        <is>
          <t xml:space="preserve">948354-157-LP26</t>
        </is>
      </c>
      <c r="B89" s="4" t="inlineStr">
        <is>
          <t xml:space="preserve">CONTRATACIÓN DEL SERVICIO DE ARRIENDO DE UNA CABINA SANITARIA CON EQUIPO MAMÓGRAFO PARA USO DE MAMOGRAFÍA DIGITALIZADA PORTÁTIL PARA EL HOSPITAL DIPRECA</t>
        </is>
      </c>
      <c r="C89" s="0" t="inlineStr">
        <is>
          <t xml:space="preserve">Publicada</t>
        </is>
      </c>
      <c r="D89" s="0" t="inlineStr">
        <is>
          <t xml:space="preserve">FONDO HOSPITAL DE LA DIRECCION DE PREVISION DE CARABINEROS DE CHILE</t>
        </is>
      </c>
      <c r="E89" s="0" t="inlineStr">
        <is>
          <t xml:space="preserve">Unidad de Compra de Bienes y Servicios</t>
        </is>
      </c>
      <c r="F89" s="0" t="inlineStr">
        <is>
          <t xml:space="preserve">Región Metropolitana de Santiago</t>
        </is>
      </c>
      <c r="G89" s="0" t="inlineStr">
        <is>
          <t xml:space="preserve">Las Condes</t>
        </is>
      </c>
      <c r="H89" s="2">
        <v>46316.642211</v>
      </c>
      <c r="I89" s="2">
        <v>46336.666667</v>
      </c>
      <c r="J89" s="0">
        <v>14</v>
      </c>
      <c r="K89" s="3"/>
      <c r="L89" s="0" t="inlineStr">
        <is>
          <t xml:space="preserve">CLP</t>
        </is>
      </c>
      <c r="M89" s="0" t="inlineStr">
        <is>
          <t xml:space="preserve">LP</t>
        </is>
      </c>
      <c r="N89" s="4" t="inlineStr">
        <is>
          <t xml:space="preserve">Equipamiento y suministros médicos / Productos para imágenes y de medicina nuclear / Artículos radiográficos de diagnóstico médico</t>
        </is>
      </c>
      <c r="O89" s="4" t="inlineStr">
        <is>
          <t xml:space="preserve">12 Mes · Equipo para radiografías mamográficas</t>
        </is>
      </c>
      <c r="P89" s="2"/>
      <c r="Q89" s="2"/>
      <c r="R89" s="0" t="inlineStr">
        <is>
          <t xml:space="preserve">12 meses</t>
        </is>
      </c>
      <c r="S89" s="0" t="inlineStr">
        <is>
          <t xml:space="preserve">No</t>
        </is>
      </c>
      <c r="T89" s="4"/>
      <c r="U89" s="0" t="inlineStr">
        <is>
          <t xml:space="preserve">Dra. Constanza Damm Araneda</t>
        </is>
      </c>
      <c r="V89"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89"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90">
      <c r="A90" s="0" t="inlineStr">
        <is>
          <t xml:space="preserve">621923-6-LP26</t>
        </is>
      </c>
      <c r="B90" s="4" t="inlineStr">
        <is>
          <t xml:space="preserve">Adquisición de licencias de software</t>
        </is>
      </c>
      <c r="C90" s="0" t="inlineStr">
        <is>
          <t xml:space="preserve">Publicada</t>
        </is>
      </c>
      <c r="D90" s="0" t="inlineStr">
        <is>
          <t xml:space="preserve">DIVISION LOGISTICA DEL EJERCITO</t>
        </is>
      </c>
      <c r="E90" s="0" t="inlineStr">
        <is>
          <t xml:space="preserve">Regimiento de Inteligencia del Ejército N2 Llaitún</t>
        </is>
      </c>
      <c r="F90" s="0" t="inlineStr">
        <is>
          <t xml:space="preserve">Región Metropolitana de Santiago</t>
        </is>
      </c>
      <c r="G90" s="0" t="inlineStr">
        <is>
          <t xml:space="preserve">Peñalolén</t>
        </is>
      </c>
      <c r="H90" s="2">
        <v>46314.691424</v>
      </c>
      <c r="I90" s="2">
        <v>46336.791667</v>
      </c>
      <c r="J90" s="0">
        <v>14</v>
      </c>
      <c r="K90" s="3"/>
      <c r="L90" s="0" t="inlineStr">
        <is>
          <t xml:space="preserve">CLP</t>
        </is>
      </c>
      <c r="M90" s="0" t="inlineStr">
        <is>
          <t xml:space="preserve">LP</t>
        </is>
      </c>
      <c r="N90" s="4" t="inlineStr">
        <is>
          <t xml:space="preserve">Tecnologías de la información, telecomunicaciones y radiodifusión / Software / Software de gestión</t>
        </is>
      </c>
      <c r="O90" s="4" t="inlineStr">
        <is>
          <t xml:space="preserve">6 Unidad · Paquetes de software para oficinas · 1 Unidad · Software de gestión de licencias · 1 Unidad · Software de gestión de licencias · y 3 más</t>
        </is>
      </c>
      <c r="P90" s="2"/>
      <c r="Q90" s="2"/>
      <c r="R90" s="0"/>
      <c r="S90" s="0" t="inlineStr">
        <is>
          <t xml:space="preserve">No</t>
        </is>
      </c>
      <c r="T90" s="4"/>
      <c r="U90" s="0" t="inlineStr">
        <is>
          <t xml:space="preserve">LEONARDO GALLARDO SOTO</t>
        </is>
      </c>
      <c r="V90" s="4" t="inlineStr">
        <is>
          <t xml:space="preserve">Licitación pública para la adquisición, por líneas de compra, de licencias de software para el Regimiento de Inteligencia N.º 2 “Llaitún.</t>
        </is>
      </c>
      <c r="W90" s="5" t="str">
        <f>HYPERLINK("https://www.mercadopublico.cl/Procurement/Modules/Attachment/ViewAttachment.aspx?enc=aH0xANQLeXRsIizOoFYNH87o%2fN8mcpB0gXVpEWLSOsUyKAsoart1hNdwJ8WrvxKbJCbMy145euVSIGHmxYQBSTOkgTGwFkUviFYCAoGvNS006esZhIIdfEJ6GBPrmI6aRN%2fS%2fD66TWch1V1KV53VdQKxrtJT1w5f6Xq%2bPrcsClQzfele%2fAECeIwehAVevnHFhe2EgyzbTGgcbbXC%2ftBojnMRY0%2fwXArS0sbH%2bc81a%2fgfzbRUa%2ftTXl5uht36RV3z2SC4zd%2bLc3ntL9CLieuo3z57LVHCACydK1kft7kJ0BXbojyNR4NEFIDX0W3TwS%2bI","descargar bases")</f>
      </c>
    </row>
    <row r="91">
      <c r="A91" s="0" t="inlineStr">
        <is>
          <t xml:space="preserve">885-98-LP26</t>
        </is>
      </c>
      <c r="B91" s="4" t="inlineStr">
        <is>
          <t xml:space="preserve">Adquisición de servidores destinados a la actualización de plataforma de búsqueda e indexación para la Contraloría General de la República</t>
        </is>
      </c>
      <c r="C91" s="0" t="inlineStr">
        <is>
          <t xml:space="preserve">Publicada</t>
        </is>
      </c>
      <c r="D91" s="0" t="inlineStr">
        <is>
          <t xml:space="preserve">CONTRALORIA GENERAL DE LA REPUBLICA</t>
        </is>
      </c>
      <c r="E91" s="0" t="inlineStr">
        <is>
          <t xml:space="preserve">Contraloría General de la República</t>
        </is>
      </c>
      <c r="F91" s="0" t="inlineStr">
        <is>
          <t xml:space="preserve">Región Metropolitana de Santiago</t>
        </is>
      </c>
      <c r="G91" s="0"/>
      <c r="H91" s="2">
        <v>46317.692153</v>
      </c>
      <c r="I91" s="2">
        <v>46337.666667</v>
      </c>
      <c r="J91" s="0">
        <v>15</v>
      </c>
      <c r="K91" s="3">
        <v>220000000.0</v>
      </c>
      <c r="L91" s="0" t="inlineStr">
        <is>
          <t xml:space="preserve">CLP</t>
        </is>
      </c>
      <c r="M91" s="0" t="inlineStr">
        <is>
          <t xml:space="preserve">LP</t>
        </is>
      </c>
      <c r="N91" s="4" t="inlineStr">
        <is>
          <t xml:space="preserve">Tecnologías de la información, telecomunicaciones y radiodifusión / Equipos informáticos y accesorios / Computadores</t>
        </is>
      </c>
      <c r="O91" s="4" t="inlineStr">
        <is>
          <t xml:space="preserve">1 Global · Servidores</t>
        </is>
      </c>
      <c r="P91" s="2"/>
      <c r="Q91" s="2"/>
      <c r="R91" s="0" t="inlineStr">
        <is>
          <t xml:space="preserve">36 meses</t>
        </is>
      </c>
      <c r="S91" s="0" t="inlineStr">
        <is>
          <t xml:space="preserve">No</t>
        </is>
      </c>
      <c r="T91" s="4"/>
      <c r="U91" s="0" t="inlineStr">
        <is>
          <t xml:space="preserve">Tania Cornejo Abarca</t>
        </is>
      </c>
      <c r="V91"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91"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92">
      <c r="A92" s="0" t="inlineStr">
        <is>
          <t xml:space="preserve">1422051-31-LE26</t>
        </is>
      </c>
      <c r="B92" s="4" t="inlineStr">
        <is>
          <t xml:space="preserve">Contratación Servicio Plataforma de Gestión RRHH</t>
        </is>
      </c>
      <c r="C92" s="0" t="inlineStr">
        <is>
          <t xml:space="preserve">Publicada</t>
        </is>
      </c>
      <c r="D92" s="0" t="inlineStr">
        <is>
          <t xml:space="preserve">JUNTA DE ALCALDES PROVIDENCIA LAS CONDES LA REINA</t>
        </is>
      </c>
      <c r="E92" s="0" t="inlineStr">
        <is>
          <t xml:space="preserve">JUNTA DE ALCALDES PROVIDENCIA LAS CONDES LA REINA</t>
        </is>
      </c>
      <c r="F92" s="0" t="inlineStr">
        <is>
          <t xml:space="preserve">Región Metropolitana de Santiago</t>
        </is>
      </c>
      <c r="G92" s="0"/>
      <c r="H92" s="2">
        <v>46318.614398</v>
      </c>
      <c r="I92" s="2">
        <v>46337.708333</v>
      </c>
      <c r="J92" s="0">
        <v>15</v>
      </c>
      <c r="K92" s="3">
        <v>30500000.0</v>
      </c>
      <c r="L92" s="0" t="inlineStr">
        <is>
          <t xml:space="preserve">CLP</t>
        </is>
      </c>
      <c r="M92" s="0" t="inlineStr">
        <is>
          <t xml:space="preserve">LE</t>
        </is>
      </c>
      <c r="N92" s="4" t="inlineStr">
        <is>
          <t xml:space="preserve">Tecnologías de la información, telecomunicaciones y radiodifusión / Software / Software de gestión</t>
        </is>
      </c>
      <c r="O92" s="4" t="inlineStr">
        <is>
          <t xml:space="preserve">1 Unidad · Software de gestión de recursos humanos</t>
        </is>
      </c>
      <c r="P92" s="2"/>
      <c r="Q92" s="2"/>
      <c r="R92" s="0" t="inlineStr">
        <is>
          <t xml:space="preserve">24 horas</t>
        </is>
      </c>
      <c r="S92" s="0" t="inlineStr">
        <is>
          <t xml:space="preserve">No</t>
        </is>
      </c>
      <c r="T92" s="4" t="inlineStr">
        <is>
          <t xml:space="preserve">Revisar numeral 2.2</t>
        </is>
      </c>
      <c r="U92" s="0" t="inlineStr">
        <is>
          <t xml:space="preserve">Hector Fuentealba Riquelme</t>
        </is>
      </c>
      <c r="V92"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92"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93">
      <c r="A93" s="0" t="inlineStr">
        <is>
          <t xml:space="preserve">5240-109-LR26</t>
        </is>
      </c>
      <c r="B93" s="4" t="inlineStr">
        <is>
          <t xml:space="preserve">SOFTWARE USO FORENSE DE EXTRACC. Y ANALIS DE DATOS</t>
        </is>
      </c>
      <c r="C93" s="0" t="inlineStr">
        <is>
          <t xml:space="preserve">Publicada</t>
        </is>
      </c>
      <c r="D93" s="0" t="inlineStr">
        <is>
          <t xml:space="preserve">DIRECCION DE LOGISTICA DE CARABINEROS</t>
        </is>
      </c>
      <c r="E93" s="0" t="inlineStr">
        <is>
          <t xml:space="preserve">Direccion de Compras Publicas de Carabineros</t>
        </is>
      </c>
      <c r="F93" s="0" t="inlineStr">
        <is>
          <t xml:space="preserve">Región Metropolitana de Santiago</t>
        </is>
      </c>
      <c r="G93" s="0" t="inlineStr">
        <is>
          <t xml:space="preserve">Santiago Centro</t>
        </is>
      </c>
      <c r="H93" s="2">
        <v>46308.369236</v>
      </c>
      <c r="I93" s="2">
        <v>46339.645833</v>
      </c>
      <c r="J93" s="0">
        <v>17</v>
      </c>
      <c r="K93" s="3">
        <v>418036746.0</v>
      </c>
      <c r="L93" s="0" t="inlineStr">
        <is>
          <t xml:space="preserve">CLP</t>
        </is>
      </c>
      <c r="M93" s="0" t="inlineStr">
        <is>
          <t xml:space="preserve">LR</t>
        </is>
      </c>
      <c r="N93" s="4" t="inlineStr">
        <is>
          <t xml:space="preserve">Tecnologías de la información, telecomunicaciones y radiodifusión / Software / Software de consultas y gestión de datos</t>
        </is>
      </c>
      <c r="O93" s="4" t="inlineStr">
        <is>
          <t xml:space="preserve">2 Unidad · Software de extracción de datos · 1 Unidad · Software de extracción de datos · 3 Unidad · Software de extracción de datos · y 6 más</t>
        </is>
      </c>
      <c r="P93" s="2"/>
      <c r="Q93" s="2"/>
      <c r="R93" s="0"/>
      <c r="S93" s="0" t="inlineStr">
        <is>
          <t xml:space="preserve">No</t>
        </is>
      </c>
      <c r="T93" s="4" t="inlineStr">
        <is>
          <t xml:space="preserve">EL PROVEEDOR ADJUDICADO NO PODRA SUBCONTRATAR, CONFORME A LO SEÑALADO EN EL NUMERAL 5.21 CESIBILIDAD DEL CONTRATO Y SUBCONTRATACION DE LAS BASES ADMINISTRATIVAS ADJUNTAS.</t>
        </is>
      </c>
      <c r="U93" s="0" t="inlineStr">
        <is>
          <t xml:space="preserve">Departamento gestion de contratos</t>
        </is>
      </c>
      <c r="V93" s="4" t="inlineStr">
        <is>
          <t xml:space="preserve">MATERIALIZAR LA ADQUISICION DE SOFTWARE DE USO FORENSE DE EXTRACCION AVANZADO Y ANALISIS DE INFORMACION DIGITAL PARA EL DEPARTAMENTO CRIMINALISTICA DE CARABINEROS DE CHILE LABOCAR Y SECCIONES REGIONALES.</t>
        </is>
      </c>
      <c r="W93" s="5" t="str">
        <f>HYPERLINK("https://www.mercadopublico.cl/Procurement/Modules/Attachment/ViewAttachment.aspx?enc=v9cNeHPXnpmMU2eTBMTMYO4Kmzx70Szj%2fr3hllznRweYldAo%2fHvoFcm7ZUYRxx5ZD2qW7i6GOoW7Jz2vGVqcoU%2fRILfHcVlq1lyF8S%2bNvlK6HG2mVYVt2UF8m0e5SaXPNR01ywZgsf95u%2fWp%2frIkdkuRZkpNaizwqWKhaAk79oue6d4yKJ8RbCcGHq80%2ftnLX7k4LQM8ZQ8coHa7fxZT54qBD88iE99mGg0WZH6SD%2brvqYjA6ITAFPw92qAftmxWvR7%2but%2fv88amZsoqeggnkFLB6quoUCzerZSsk0G1A4k4CeiWZmt1hGDvWakT6XTv","descargar bases")</f>
      </c>
    </row>
    <row r="94">
      <c r="A94" s="0" t="inlineStr">
        <is>
          <t xml:space="preserve">2342-36-LR26</t>
        </is>
      </c>
      <c r="B94" s="4" t="inlineStr">
        <is>
          <t xml:space="preserve">CONCESIÓN DE ESTACIONAMIENTOS EN CALLES DE LA ZONA CENTRO DE LA COMUNA DE SAN BERNARDO APLICANDO SISTEMA DE CONTROL DE TIEMPO DE USO CAPTADORES DE DATOS</t>
        </is>
      </c>
      <c r="C94" s="0" t="inlineStr">
        <is>
          <t xml:space="preserve">Publicada</t>
        </is>
      </c>
      <c r="D94" s="0" t="inlineStr">
        <is>
          <t xml:space="preserve">I MUNICIPALIDAD DE SAN BERNARDO</t>
        </is>
      </c>
      <c r="E94" s="0" t="inlineStr">
        <is>
          <t xml:space="preserve">SECRETARIA COMUNAL DE PLANIFICACION</t>
        </is>
      </c>
      <c r="F94" s="0" t="inlineStr">
        <is>
          <t xml:space="preserve">Región Metropolitana de Santiago</t>
        </is>
      </c>
      <c r="G94" s="0" t="inlineStr">
        <is>
          <t xml:space="preserve">San Bernardo</t>
        </is>
      </c>
      <c r="H94" s="2">
        <v>46289.689583</v>
      </c>
      <c r="I94" s="2">
        <v>46342.625694</v>
      </c>
      <c r="J94" s="0">
        <v>20</v>
      </c>
      <c r="K94" s="3"/>
      <c r="L94" s="0" t="inlineStr">
        <is>
          <t xml:space="preserve">UTM</t>
        </is>
      </c>
      <c r="M94" s="0" t="inlineStr">
        <is>
          <t xml:space="preserve">LR</t>
        </is>
      </c>
      <c r="N94" s="4" t="inlineStr">
        <is>
          <t xml:space="preserve">Servicios de transporte, almacenaje y correo / Servicios de mantención o reparaciones de transportes / Combustible para vehículos de transporte, estacionamiento y otros servicios de apoyo</t>
        </is>
      </c>
      <c r="O94" s="4" t="inlineStr">
        <is>
          <t xml:space="preserve">1 Unidad · Estacionamientos</t>
        </is>
      </c>
      <c r="P94" s="2"/>
      <c r="Q94" s="2"/>
      <c r="R94" s="0" t="inlineStr">
        <is>
          <t xml:space="preserve">36 meses</t>
        </is>
      </c>
      <c r="S94" s="0" t="inlineStr">
        <is>
          <t xml:space="preserve">No</t>
        </is>
      </c>
      <c r="T94" s="4"/>
      <c r="U94" s="0" t="inlineStr">
        <is>
          <t xml:space="preserve">JUAN CARLOS CABRERA CAMPOS</t>
        </is>
      </c>
      <c r="V94" s="4" t="inlineStr">
        <is>
          <t xml:space="preserve">CONCESIÓN DE ESTACIONAMIENTOS EN CALLES DE LA ZONA CENTRO DE LA COMUNA DE SAN BERNARDO, APLICANDO SISTEMA DE CONTROL DE TIEMPO DE USO CAPTADORES DE DATOS</t>
        </is>
      </c>
      <c r="W94"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95">
      <c r="A95" s="0" t="inlineStr">
        <is>
          <t xml:space="preserve">2345-137-LR26</t>
        </is>
      </c>
      <c r="B95" s="4" t="inlineStr">
        <is>
          <t xml:space="preserve">SERVICIO DE APLICACIÓN MÓVIL DE SEGURIDAD 1402 PARA LA COMUNA DE LAS CONDES</t>
        </is>
      </c>
      <c r="C95" s="0" t="inlineStr">
        <is>
          <t xml:space="preserve">Publicada</t>
        </is>
      </c>
      <c r="D95" s="0" t="inlineStr">
        <is>
          <t xml:space="preserve">I MUNICIPALIDAD DE LAS CONDES</t>
        </is>
      </c>
      <c r="E95" s="0" t="inlineStr">
        <is>
          <t xml:space="preserve">I MUNICIPALIDAD DE LAS CONDES</t>
        </is>
      </c>
      <c r="F95" s="0" t="inlineStr">
        <is>
          <t xml:space="preserve">Región Metropolitana de Santiago</t>
        </is>
      </c>
      <c r="G95" s="0" t="inlineStr">
        <is>
          <t xml:space="preserve">Las Condes</t>
        </is>
      </c>
      <c r="H95" s="2">
        <v>46311.430463</v>
      </c>
      <c r="I95" s="2">
        <v>46342.625694</v>
      </c>
      <c r="J95" s="0">
        <v>20</v>
      </c>
      <c r="K95" s="3">
        <v>504000000.0</v>
      </c>
      <c r="L95" s="0" t="inlineStr">
        <is>
          <t xml:space="preserve">CLP</t>
        </is>
      </c>
      <c r="M95" s="0" t="inlineStr">
        <is>
          <t xml:space="preserve">LR</t>
        </is>
      </c>
      <c r="N95" s="4" t="inlineStr">
        <is>
          <t xml:space="preserve">Servicios basados en ingeniería, ciencias sociales y tecnología de la información / Servicios informáticos / Servicios para internet</t>
        </is>
      </c>
      <c r="O95" s="4" t="inlineStr">
        <is>
          <t xml:space="preserve">1 Global · Web Hosting</t>
        </is>
      </c>
      <c r="P95" s="2"/>
      <c r="Q95" s="2"/>
      <c r="R95" s="0" t="inlineStr">
        <is>
          <t xml:space="preserve">48 meses</t>
        </is>
      </c>
      <c r="S95" s="0" t="inlineStr">
        <is>
          <t xml:space="preserve">No</t>
        </is>
      </c>
      <c r="T95" s="4"/>
      <c r="U95" s="0" t="inlineStr">
        <is>
          <t xml:space="preserve">Jaime Izarnotegui Lopez</t>
        </is>
      </c>
      <c r="V95"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95"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96">
      <c r="A96" s="0" t="inlineStr">
        <is>
          <t xml:space="preserve">2048-86-LP26</t>
        </is>
      </c>
      <c r="B96" s="4" t="inlineStr">
        <is>
          <t xml:space="preserve">Software de Gestión de Mantenimiento</t>
        </is>
      </c>
      <c r="C96" s="0" t="inlineStr">
        <is>
          <t xml:space="preserve">Publicada</t>
        </is>
      </c>
      <c r="D96" s="0" t="inlineStr">
        <is>
          <t xml:space="preserve">SERVICIO DE SALUD CHILOE</t>
        </is>
      </c>
      <c r="E96" s="0" t="inlineStr">
        <is>
          <t xml:space="preserve">Hospital de Ancud</t>
        </is>
      </c>
      <c r="F96" s="0" t="inlineStr">
        <is>
          <t xml:space="preserve">Región de los Lagos </t>
        </is>
      </c>
      <c r="G96" s="0"/>
      <c r="H96" s="2">
        <v>46321.641319</v>
      </c>
      <c r="I96" s="2">
        <v>46342.625694</v>
      </c>
      <c r="J96" s="0">
        <v>20</v>
      </c>
      <c r="K96" s="3"/>
      <c r="L96" s="0" t="inlineStr">
        <is>
          <t xml:space="preserve">CLP</t>
        </is>
      </c>
      <c r="M96" s="0" t="inlineStr">
        <is>
          <t xml:space="preserve">LP</t>
        </is>
      </c>
      <c r="N96" s="4" t="inlineStr">
        <is>
          <t xml:space="preserve">Tecnologías de la información, telecomunicaciones y radiodifusión / Software / Software de administración de redes</t>
        </is>
      </c>
      <c r="O96" s="4" t="inlineStr">
        <is>
          <t xml:space="preserve">1 Unidad no definida · Software de administración</t>
        </is>
      </c>
      <c r="P96" s="2"/>
      <c r="Q96" s="2"/>
      <c r="R96" s="0" t="inlineStr">
        <is>
          <t xml:space="preserve">60 meses</t>
        </is>
      </c>
      <c r="S96" s="0" t="inlineStr">
        <is>
          <t xml:space="preserve">No</t>
        </is>
      </c>
      <c r="T96" s="4" t="inlineStr">
        <is>
          <t xml:space="preserve">El adjudicatario no podrá ceder ni transferir en forma alguna, total ni parcialmente los derechos y obligaciones que nacen del desarrollo de la licitación. No se permite subcontratación</t>
        </is>
      </c>
      <c r="U96" s="0" t="inlineStr">
        <is>
          <t xml:space="preserve">Gissela Arriagada Vilches</t>
        </is>
      </c>
      <c r="V96"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96"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97">
      <c r="A97" s="0" t="inlineStr">
        <is>
          <t xml:space="preserve">869591-15-LP26</t>
        </is>
      </c>
      <c r="B97" s="4" t="inlineStr">
        <is>
          <t xml:space="preserve">CONTRATACIÓN DEL SERVICIO DE CIBERSEGURIDAD</t>
        </is>
      </c>
      <c r="C97" s="0" t="inlineStr">
        <is>
          <t xml:space="preserve">Publicada</t>
        </is>
      </c>
      <c r="D97" s="0" t="inlineStr">
        <is>
          <t xml:space="preserve">DIRECCION DE COMPRAS Y CONTRATACION PUBLICA</t>
        </is>
      </c>
      <c r="E97" s="0" t="inlineStr">
        <is>
          <t xml:space="preserve">Calidad del Gasto en las Compras Públicas</t>
        </is>
      </c>
      <c r="F97" s="0" t="inlineStr">
        <is>
          <t xml:space="preserve">Región Metropolitana de Santiago</t>
        </is>
      </c>
      <c r="G97" s="0" t="inlineStr">
        <is>
          <t xml:space="preserve">Santiago Centro</t>
        </is>
      </c>
      <c r="H97" s="2">
        <v>46321.74162</v>
      </c>
      <c r="I97" s="2">
        <v>46342.625694</v>
      </c>
      <c r="J97" s="0">
        <v>20</v>
      </c>
      <c r="K97" s="3">
        <v>340000.0</v>
      </c>
      <c r="L97" s="0" t="inlineStr">
        <is>
          <t xml:space="preserve">USD</t>
        </is>
      </c>
      <c r="M97" s="0" t="inlineStr">
        <is>
          <t xml:space="preserve">LP</t>
        </is>
      </c>
      <c r="N97" s="4" t="inlineStr">
        <is>
          <t xml:space="preserve">Servicios basados en ingeniería, ciencias sociales y tecnología de la información / Servicios informáticos / Administración de sistemas</t>
        </is>
      </c>
      <c r="O97" s="4" t="inlineStr">
        <is>
          <t xml:space="preserve">1 Unidad · Seguridad para computadores, redes e Internet</t>
        </is>
      </c>
      <c r="P97" s="2"/>
      <c r="Q97" s="2"/>
      <c r="R97" s="0" t="inlineStr">
        <is>
          <t xml:space="preserve">24 meses</t>
        </is>
      </c>
      <c r="S97" s="0" t="inlineStr">
        <is>
          <t xml:space="preserve">No</t>
        </is>
      </c>
      <c r="T97" s="4" t="inlineStr">
        <is>
          <t xml:space="preserve">Según bases adjuntas</t>
        </is>
      </c>
      <c r="U97" s="0" t="inlineStr">
        <is>
          <t xml:space="preserve">Paolo Jeldres</t>
        </is>
      </c>
      <c r="V97" s="4" t="inlineStr">
        <is>
          <t xml:space="preserve">CONTRATACIÓN DEL SERVICIO DE CIBERSEGURIDAD AVANZADA Y RESPUESTA A INCIDENTES PARA MERCADO PÚBLICO</t>
        </is>
      </c>
      <c r="W97"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98">
      <c r="A98" s="0" t="inlineStr">
        <is>
          <t xml:space="preserve">1882-3-LP26</t>
        </is>
      </c>
      <c r="B98" s="4" t="inlineStr">
        <is>
          <t xml:space="preserve">DPP LA ARAUCANIA SERVICIO DEFENSA RPA LLAMADO 2026</t>
        </is>
      </c>
      <c r="C98" s="0" t="inlineStr">
        <is>
          <t xml:space="preserve">Publicada</t>
        </is>
      </c>
      <c r="D98" s="0" t="inlineStr">
        <is>
          <t xml:space="preserve">DEFENSORIA PENAL PUBLICA</t>
        </is>
      </c>
      <c r="E98" s="0" t="inlineStr">
        <is>
          <t xml:space="preserve">Defensoría Regional de La Araucanía</t>
        </is>
      </c>
      <c r="F98" s="0" t="inlineStr">
        <is>
          <t xml:space="preserve">Región de la Araucanía </t>
        </is>
      </c>
      <c r="G98" s="0" t="inlineStr">
        <is>
          <t xml:space="preserve">Temuco</t>
        </is>
      </c>
      <c r="H98" s="2">
        <v>46310.629259</v>
      </c>
      <c r="I98" s="2">
        <v>46342.666667</v>
      </c>
      <c r="J98" s="0">
        <v>20</v>
      </c>
      <c r="K98" s="3"/>
      <c r="L98" s="0" t="inlineStr">
        <is>
          <t xml:space="preserve">CLP</t>
        </is>
      </c>
      <c r="M98" s="0" t="inlineStr">
        <is>
          <t xml:space="preserve">LP</t>
        </is>
      </c>
      <c r="N98" s="4" t="inlineStr">
        <is>
          <t xml:space="preserve">Servicios profesionales, administrativos y consultorías de gestión empresarial / Servicios legales / Derecho penal</t>
        </is>
      </c>
      <c r="O98" s="4" t="inlineStr">
        <is>
          <t xml:space="preserve">1 Unidad · Servicio de defensa penal pública</t>
        </is>
      </c>
      <c r="P98" s="2"/>
      <c r="Q98" s="2"/>
      <c r="R98" s="0" t="inlineStr">
        <is>
          <t xml:space="preserve">36 meses</t>
        </is>
      </c>
      <c r="S98" s="0" t="inlineStr">
        <is>
          <t xml:space="preserve">No</t>
        </is>
      </c>
      <c r="T98" s="4" t="inlineStr">
        <is>
          <t xml:space="preserve">Se prohíbe absolutamente en atención a la integridad y naturaleza de la prestación, según punto N°8.17 de las Bases Administrativas.</t>
        </is>
      </c>
      <c r="U98" s="0" t="inlineStr">
        <is>
          <t xml:space="preserve">Humberto Serri Gajardo</t>
        </is>
      </c>
      <c r="V98" s="4" t="inlineStr">
        <is>
          <t xml:space="preserve">Defensa Responsabilidad Penal Adolescente Zona Angol de acuerdo a la REX N°198 de fecha 15 de octubre de 2026.</t>
        </is>
      </c>
      <c r="W98"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99">
      <c r="A99" s="0" t="inlineStr">
        <is>
          <t xml:space="preserve">1887-4-LP26</t>
        </is>
      </c>
      <c r="B99" s="4" t="inlineStr">
        <is>
          <t xml:space="preserve">SERVICIO DE DEFENSA PENAL EN ZONA 1 RPA</t>
        </is>
      </c>
      <c r="C99" s="0" t="inlineStr">
        <is>
          <t xml:space="preserve">Publicada</t>
        </is>
      </c>
      <c r="D99" s="0" t="inlineStr">
        <is>
          <t xml:space="preserve">DEFENSORIA PENAL PUBLICA</t>
        </is>
      </c>
      <c r="E99" s="0" t="inlineStr">
        <is>
          <t xml:space="preserve">Defensoría Regional de Aysén</t>
        </is>
      </c>
      <c r="F99" s="0" t="inlineStr">
        <is>
          <t xml:space="preserve">Región Aysén del General Carlos Ibáñez del Campo</t>
        </is>
      </c>
      <c r="G99" s="0" t="inlineStr">
        <is>
          <t xml:space="preserve">Coyhaique</t>
        </is>
      </c>
      <c r="H99" s="2">
        <v>46310.617616</v>
      </c>
      <c r="I99" s="2">
        <v>46342.666667</v>
      </c>
      <c r="J99" s="0">
        <v>20</v>
      </c>
      <c r="K99" s="3">
        <v>108000000.0</v>
      </c>
      <c r="L99" s="0" t="inlineStr">
        <is>
          <t xml:space="preserve">CLP</t>
        </is>
      </c>
      <c r="M99" s="0" t="inlineStr">
        <is>
          <t xml:space="preserve">LP</t>
        </is>
      </c>
      <c r="N99" s="4" t="inlineStr">
        <is>
          <t xml:space="preserve">Servicios profesionales, administrativos y consultorías de gestión empresarial / Servicios legales / Derecho penal</t>
        </is>
      </c>
      <c r="O99" s="4" t="inlineStr">
        <is>
          <t xml:space="preserve">36 Mes · Servicio de defensa penal pública</t>
        </is>
      </c>
      <c r="P99" s="2"/>
      <c r="Q99" s="2"/>
      <c r="R99" s="0" t="inlineStr">
        <is>
          <t xml:space="preserve">36 meses</t>
        </is>
      </c>
      <c r="S99" s="0" t="inlineStr">
        <is>
          <t xml:space="preserve">No</t>
        </is>
      </c>
      <c r="T99" s="4" t="inlineStr">
        <is>
          <t xml:space="preserve">8.17.PROHIBICIÓN DE TRASPASO, CESIÓN Y SUBCONTRATACIÓN DEL CONTRATO</t>
        </is>
      </c>
      <c r="U99" s="0" t="inlineStr">
        <is>
          <t xml:space="preserve">MARIANELA MOLINA MANSILLA</t>
        </is>
      </c>
      <c r="V99" s="4" t="inlineStr">
        <is>
          <t xml:space="preserve">2.DISPOSICIONES GENERALES
2.1.DEL OBJETIVO DE LA LICITACIÓN</t>
        </is>
      </c>
      <c r="W99"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00">
      <c r="A100" s="0" t="inlineStr">
        <is>
          <t xml:space="preserve">1171317-96-LP26</t>
        </is>
      </c>
      <c r="B100" s="4" t="inlineStr">
        <is>
          <t xml:space="preserve">Adquisición de Licencias de Software Municipalida</t>
        </is>
      </c>
      <c r="C100" s="0" t="inlineStr">
        <is>
          <t xml:space="preserve">Publicada</t>
        </is>
      </c>
      <c r="D100" s="0" t="inlineStr">
        <is>
          <t xml:space="preserve">I MUNICIPALIDAD DE CHILLAN</t>
        </is>
      </c>
      <c r="E100" s="0" t="inlineStr">
        <is>
          <t xml:space="preserve">SECPLA</t>
        </is>
      </c>
      <c r="F100" s="0" t="inlineStr">
        <is>
          <t xml:space="preserve">Región del Ñuble</t>
        </is>
      </c>
      <c r="G100" s="0" t="inlineStr">
        <is>
          <t xml:space="preserve">Chillán</t>
        </is>
      </c>
      <c r="H100" s="2">
        <v>46321.484653</v>
      </c>
      <c r="I100" s="2">
        <v>46343.5</v>
      </c>
      <c r="J100" s="0">
        <v>21</v>
      </c>
      <c r="K100" s="3"/>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1 Unidad · Software de gestión de licencias · 1 Unidad · Software de gestión de licencias · 1 Unidad · Software de gestión de licencias · y 2 más</t>
        </is>
      </c>
      <c r="P100" s="2"/>
      <c r="Q100" s="2"/>
      <c r="R100" s="0"/>
      <c r="S100" s="0" t="inlineStr">
        <is>
          <t xml:space="preserve">No</t>
        </is>
      </c>
      <c r="T100" s="4"/>
      <c r="U100" s="0" t="inlineStr">
        <is>
          <t xml:space="preserve">Carlos Araya Sandoval</t>
        </is>
      </c>
      <c r="V100" s="4" t="inlineStr">
        <is>
          <t xml:space="preserve">La Municipalidad de Chillán, en el marco de sus funciones y necesidades operativas, convoca a participar en la licitación pública para la “ADQUISICIÓN LICENCIAS DE SOFTWARE, MUNICIPALIDAD DE CHILLÁN”</t>
        </is>
      </c>
      <c r="W100" s="5" t="str">
        <f>HYPERLINK("https://www.mercadopublico.cl/Procurement/Modules/Attachment/ViewAttachment.aspx?enc=iuBm8Aae4jjT41GYuX13LoB2G66VE7vAjJaLtw57TMwrCw3Ik94jTtT21dmbKigZYoqQ5xqifjAAKgcXwn4yhIWF3TkE8iBAFD%2fsZu4bZgJZoswu0x%2fHpQtcr5ySJVjYxv4FHCwjcUdBR8K2O42Oge%2fuekPI%2bN98W%2bBHRh0p6XVw2lV1LsZdX6Y%2f%2fJjLw2tw1hyXiXmqsMX7h4fd5fbj5CYACZrTvSdJ2y8NMHbkX7JWQ%2bK2AmUCt4ewIO9mhm%2b3wIfeBBGqm3ilNoemOOSHhpdoKPs%2bsuSv33R4ofQffSovEFsWe9HrO1jfMCHB3CKG","descargar bases")</f>
      </c>
    </row>
    <row r="101">
      <c r="A101" s="0" t="inlineStr">
        <is>
          <t xml:space="preserve">622-72-LP26</t>
        </is>
      </c>
      <c r="B101" s="4" t="inlineStr">
        <is>
          <t xml:space="preserve">SOLUCIÓN DE OBSERVABILIDAD UNIFICADA DE SOFTWARE</t>
        </is>
      </c>
      <c r="C101" s="0" t="inlineStr">
        <is>
          <t xml:space="preserve">Publicada</t>
        </is>
      </c>
      <c r="D101" s="0" t="inlineStr">
        <is>
          <t xml:space="preserve">TESORERIA GENERAL DE LA REPUBLICA</t>
        </is>
      </c>
      <c r="E101" s="0" t="inlineStr">
        <is>
          <t xml:space="preserve">Tesorería General de la República</t>
        </is>
      </c>
      <c r="F101" s="0" t="inlineStr">
        <is>
          <t xml:space="preserve">Región Metropolitana de Santiago</t>
        </is>
      </c>
      <c r="G101" s="0" t="inlineStr">
        <is>
          <t xml:space="preserve">Santiago</t>
        </is>
      </c>
      <c r="H101" s="2">
        <v>46321.728657</v>
      </c>
      <c r="I101" s="2">
        <v>46343.541667</v>
      </c>
      <c r="J101" s="0">
        <v>21</v>
      </c>
      <c r="K101" s="3"/>
      <c r="L101" s="0" t="inlineStr">
        <is>
          <t xml:space="preserve">CLP</t>
        </is>
      </c>
      <c r="M101" s="0" t="inlineStr">
        <is>
          <t xml:space="preserve">LP</t>
        </is>
      </c>
      <c r="N101" s="4" t="inlineStr">
        <is>
          <t xml:space="preserve">Tecnologías de la información, telecomunicaciones y radiodifusión / Software / Software de gestión</t>
        </is>
      </c>
      <c r="O101" s="4" t="inlineStr">
        <is>
          <t xml:space="preserve">1 Unidad · Software de gestión de licencias</t>
        </is>
      </c>
      <c r="P101" s="2"/>
      <c r="Q101" s="2"/>
      <c r="R101" s="0" t="inlineStr">
        <is>
          <t xml:space="preserve">36 meses</t>
        </is>
      </c>
      <c r="S101" s="0" t="inlineStr">
        <is>
          <t xml:space="preserve">No</t>
        </is>
      </c>
      <c r="T101" s="4"/>
      <c r="U101" s="0" t="inlineStr">
        <is>
          <t xml:space="preserve">Será indicado en el contrato a suscribir.</t>
        </is>
      </c>
      <c r="V101"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101"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row r="102">
      <c r="A102" s="0" t="inlineStr">
        <is>
          <t xml:space="preserve">2982-59-LE26</t>
        </is>
      </c>
      <c r="B102" s="4" t="inlineStr">
        <is>
          <t xml:space="preserve">SERVICIO DE RENOVACION Y ADQUISICION DE LICENCIAS SOFTWARE</t>
        </is>
      </c>
      <c r="C102" s="0" t="inlineStr">
        <is>
          <t xml:space="preserve">Publicada</t>
        </is>
      </c>
      <c r="D102" s="0" t="inlineStr">
        <is>
          <t xml:space="preserve">POLICIA DE INVESTIGACIONES DE CHILE</t>
        </is>
      </c>
      <c r="E102" s="0" t="inlineStr">
        <is>
          <t xml:space="preserve">JEFATURA NACIONAL DE EDUCACIÓN Y DOCTRINA (JENAED)</t>
        </is>
      </c>
      <c r="F102" s="0" t="inlineStr">
        <is>
          <t xml:space="preserve">Región Metropolitana de Santiago</t>
        </is>
      </c>
      <c r="G102" s="0" t="inlineStr">
        <is>
          <t xml:space="preserve">Estación Central</t>
        </is>
      </c>
      <c r="H102" s="2">
        <v>46321.729792</v>
      </c>
      <c r="I102" s="2">
        <v>46343.625</v>
      </c>
      <c r="J102" s="0">
        <v>21</v>
      </c>
      <c r="K102" s="3">
        <v>10614027.0</v>
      </c>
      <c r="L102" s="0" t="inlineStr">
        <is>
          <t xml:space="preserve">CLP</t>
        </is>
      </c>
      <c r="M102" s="0" t="inlineStr">
        <is>
          <t xml:space="preserve">LE</t>
        </is>
      </c>
      <c r="N102" s="4" t="inlineStr">
        <is>
          <t xml:space="preserve">Tecnologías de la información, telecomunicaciones y radiodifusión / Software / Software de gestión</t>
        </is>
      </c>
      <c r="O102" s="4" t="inlineStr">
        <is>
          <t xml:space="preserve">1 Kit · Software de gestión de licencias</t>
        </is>
      </c>
      <c r="P102" s="2"/>
      <c r="Q102" s="2"/>
      <c r="R102" s="0"/>
      <c r="S102" s="0" t="inlineStr">
        <is>
          <t xml:space="preserve">No</t>
        </is>
      </c>
      <c r="T102" s="4" t="inlineStr">
        <is>
          <t xml:space="preserve">Subcontratación permitida solo en servicios accesorios y despacho.</t>
        </is>
      </c>
      <c r="U102" s="0" t="inlineStr">
        <is>
          <t xml:space="preserve">LUIS ROJAS CASTRO</t>
        </is>
      </c>
      <c r="V102"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02"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103">
      <c r="A103" s="0" t="inlineStr">
        <is>
          <t xml:space="preserve">1605-52-LR26</t>
        </is>
      </c>
      <c r="B103" s="4" t="inlineStr">
        <is>
          <t xml:space="preserve">LR-5231 LICENCIAS DE SOFTWARE CONTROL M</t>
        </is>
      </c>
      <c r="C103" s="0" t="inlineStr">
        <is>
          <t xml:space="preserve">Publicada</t>
        </is>
      </c>
      <c r="D103" s="0" t="inlineStr">
        <is>
          <t xml:space="preserve">SERVICIO DE IMPUESTOS INTERNOS DIRECCION</t>
        </is>
      </c>
      <c r="E103" s="0" t="inlineStr">
        <is>
          <t xml:space="preserve">SII Dirección Nacional</t>
        </is>
      </c>
      <c r="F103" s="0" t="inlineStr">
        <is>
          <t xml:space="preserve">Región Metropolitana de Santiago</t>
        </is>
      </c>
      <c r="G103" s="0" t="inlineStr">
        <is>
          <t xml:space="preserve">Santiago</t>
        </is>
      </c>
      <c r="H103" s="2">
        <v>46315.383125</v>
      </c>
      <c r="I103" s="2">
        <v>46345.666667</v>
      </c>
      <c r="J103" s="0">
        <v>23</v>
      </c>
      <c r="K103" s="3">
        <v>660000.0</v>
      </c>
      <c r="L103" s="0" t="inlineStr">
        <is>
          <t xml:space="preserve">USD</t>
        </is>
      </c>
      <c r="M103" s="0" t="inlineStr">
        <is>
          <t xml:space="preserve">LR</t>
        </is>
      </c>
      <c r="N103" s="4" t="inlineStr">
        <is>
          <t xml:space="preserve">Tecnologías de la información, telecomunicaciones y radiodifusión / Software / Software de gestión</t>
        </is>
      </c>
      <c r="O103" s="4" t="inlineStr">
        <is>
          <t xml:space="preserve">1 Unidad · Software de sistema experto</t>
        </is>
      </c>
      <c r="P103" s="2"/>
      <c r="Q103" s="2"/>
      <c r="R103" s="0" t="inlineStr">
        <is>
          <t xml:space="preserve">36 meses</t>
        </is>
      </c>
      <c r="S103" s="0" t="inlineStr">
        <is>
          <t xml:space="preserve">No</t>
        </is>
      </c>
      <c r="T103" s="4" t="inlineStr">
        <is>
          <t xml:space="preserve">De acuerdo a numeral 2.3 de las bases administrativas - parte I de las Resolución Exenta 4518 del 2026.</t>
        </is>
      </c>
      <c r="U103" s="0" t="inlineStr">
        <is>
          <t xml:space="preserve">Cesar Zegarra Rojas</t>
        </is>
      </c>
      <c r="V103" s="4" t="inlineStr">
        <is>
          <t xml:space="preserve">Adquirir licencias de Software Control-M modalidad Platform, las cuales serán utilizadas para automatizar, programar y monitorear procesos de negocio por un periodo de 36 meses.</t>
        </is>
      </c>
      <c r="W103" s="5" t="str">
        <f>HYPERLINK("https://www.mercadopublico.cl/Procurement/Modules/Attachment/ViewAttachment.aspx?enc=p7%2bkLR2%2fzTmkx8OTKY8F76zuCpB%2fsY3jsUr8V%2bcuuBLPYpFa%2fy61lDbWPnvbhZxztzeGF6TMdtq2zW%2b7n91VIbMth0MEe1qWiSPZvY92RN0oL31yvJVazB8OoHoMiGLeRgDrdN2L2KgdQrvXObQ8T7a9jWUageB2zsgOAe7WJ0NQr0lbpAgvxIzHC3ft3Op6pEd7dWe1nGEkWXrab9Vpfc8OXbGBXrqGjA72CXLeu07Dyj9d%2bewsahG%2fq0S2ZqOthl0HJR2b4%2bBY5S427zm2FcXi2IUJTsVwvGrIUVXT57Hmu159d87eillO8QND22zW","descargar bases")</f>
      </c>
    </row>
    <row r="104">
      <c r="A104" s="0" t="inlineStr">
        <is>
          <t xml:space="preserve">1456837-4-LR26</t>
        </is>
      </c>
      <c r="B104" s="4" t="inlineStr">
        <is>
          <t xml:space="preserve">SUMINISTRO DE MATERIALES DE OFICINA A TRAVÉS DE PLATAFORMA CLOUDE-COMMERCE</t>
        </is>
      </c>
      <c r="C104" s="0" t="inlineStr">
        <is>
          <t xml:space="preserve">Publicada</t>
        </is>
      </c>
      <c r="D104" s="0" t="inlineStr">
        <is>
          <t xml:space="preserve">SERVICIO LOCAL DE EDUCACIÓN PÚBLICA LA QUEBRADA</t>
        </is>
      </c>
      <c r="E104" s="0" t="inlineStr">
        <is>
          <t xml:space="preserve">SERVICIO LOCAL DE EDUCACIÓN PÚBLICA LA QUEBRADA</t>
        </is>
      </c>
      <c r="F104" s="0" t="inlineStr">
        <is>
          <t xml:space="preserve">Región Metropolitana de Santiago</t>
        </is>
      </c>
      <c r="G104" s="0" t="inlineStr">
        <is>
          <t xml:space="preserve">La Florida</t>
        </is>
      </c>
      <c r="H104" s="2">
        <v>46318.697801</v>
      </c>
      <c r="I104" s="2">
        <v>46349.625694</v>
      </c>
      <c r="J104" s="0">
        <v>27</v>
      </c>
      <c r="K104" s="3">
        <v>420000000.0</v>
      </c>
      <c r="L104" s="0" t="inlineStr">
        <is>
          <t xml:space="preserve">CLP</t>
        </is>
      </c>
      <c r="M104" s="0" t="inlineStr">
        <is>
          <t xml:space="preserve">LR</t>
        </is>
      </c>
      <c r="N104" s="4" t="inlineStr">
        <is>
          <t xml:space="preserve">Equipos, accesorios y suministros de oficina / Suministros de oficina / Instrumentos de escritura</t>
        </is>
      </c>
      <c r="O104" s="4" t="inlineStr">
        <is>
          <t xml:space="preserve">1 Unidad · Juegos de bolígrafos y lápices</t>
        </is>
      </c>
      <c r="P104" s="2"/>
      <c r="Q104" s="2"/>
      <c r="R104" s="0" t="inlineStr">
        <is>
          <t xml:space="preserve">18 meses</t>
        </is>
      </c>
      <c r="S104" s="0" t="inlineStr">
        <is>
          <t xml:space="preserve">No</t>
        </is>
      </c>
      <c r="T104" s="4"/>
      <c r="U104" s="0" t="inlineStr">
        <is>
          <t xml:space="preserve">Gloria Montecinos Leiva</t>
        </is>
      </c>
      <c r="V104" s="4" t="inlineStr">
        <is>
          <t xml:space="preserve">SUMINISTRO DE MATERIALES DE OFICINA A TRAVÉS DE PLATAFORMA CLOUD/E-COMMERCE</t>
        </is>
      </c>
      <c r="W104"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05">
      <c r="A105" s="0" t="inlineStr">
        <is>
          <t xml:space="preserve">3759-60-LR26</t>
        </is>
      </c>
      <c r="B105" s="4" t="inlineStr">
        <is>
          <t xml:space="preserve">SERVICIO DE ARRENDAMIENTO DE PLATAFORMA</t>
        </is>
      </c>
      <c r="C105" s="0" t="inlineStr">
        <is>
          <t xml:space="preserve">Publicada</t>
        </is>
      </c>
      <c r="D105" s="0" t="inlineStr">
        <is>
          <t xml:space="preserve">Ilustre Municipalidad de Yerbas Buenas</t>
        </is>
      </c>
      <c r="E105" s="0" t="inlineStr">
        <is>
          <t xml:space="preserve">Ilustre Municipalidad de Yerbas Buenas</t>
        </is>
      </c>
      <c r="F105" s="0" t="inlineStr">
        <is>
          <t xml:space="preserve">Región del Maule </t>
        </is>
      </c>
      <c r="G105" s="0" t="inlineStr">
        <is>
          <t xml:space="preserve">Yerbas Buenas</t>
        </is>
      </c>
      <c r="H105" s="2">
        <v>46316.508831</v>
      </c>
      <c r="I105" s="2">
        <v>46349.625694</v>
      </c>
      <c r="J105" s="0">
        <v>27</v>
      </c>
      <c r="K105" s="3"/>
      <c r="L105" s="0" t="inlineStr">
        <is>
          <t xml:space="preserve">CLP</t>
        </is>
      </c>
      <c r="M105" s="0" t="inlineStr">
        <is>
          <t xml:space="preserve">LR</t>
        </is>
      </c>
      <c r="N105" s="4" t="inlineStr">
        <is>
          <t xml:space="preserve">Tecnologías de la información, telecomunicaciones y radiodifusión / Software / Software de consultas y gestión de datos</t>
        </is>
      </c>
      <c r="O105" s="4" t="inlineStr">
        <is>
          <t xml:space="preserve">1 Global · Software del sistema de administración de bases de datos</t>
        </is>
      </c>
      <c r="P105" s="2"/>
      <c r="Q105" s="2"/>
      <c r="R105" s="0" t="inlineStr">
        <is>
          <t xml:space="preserve">24 meses</t>
        </is>
      </c>
      <c r="S105" s="0" t="inlineStr">
        <is>
          <t xml:space="preserve">No</t>
        </is>
      </c>
      <c r="T105" s="4"/>
      <c r="U105" s="0" t="inlineStr">
        <is>
          <t xml:space="preserve">MUNICIPALIDAD DE YERBAS BUENAS</t>
        </is>
      </c>
      <c r="V105" s="4" t="inlineStr">
        <is>
          <t xml:space="preserve">SERVICIO DE ARRENDAMIENTO DE PLATAFORMA DE GESTIÓN Y VENTA DE PERMISOS DE CIRCULACIÓN VEHICULAR, COMUNA DE YERBAS BUENAS.</t>
        </is>
      </c>
      <c r="W105"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06">
      <c r="A106" s="0" t="inlineStr">
        <is>
          <t xml:space="preserve">1057898-85-LR26</t>
        </is>
      </c>
      <c r="B106" s="4" t="inlineStr">
        <is>
          <t xml:space="preserve">ADQUISICIÓN DE SOFTWARES HIS-ESB-BI Y ERP PARA EL NUEVO HOSPITAL REGIONAL DE ÑUBLE</t>
        </is>
      </c>
      <c r="C106" s="0" t="inlineStr">
        <is>
          <t xml:space="preserve">Publicada</t>
        </is>
      </c>
      <c r="D106" s="0" t="inlineStr">
        <is>
          <t xml:space="preserve">SERVICIO DE SALUD NUBLE</t>
        </is>
      </c>
      <c r="E106" s="0" t="inlineStr">
        <is>
          <t xml:space="preserve">Activos Fijos</t>
        </is>
      </c>
      <c r="F106" s="0" t="inlineStr">
        <is>
          <t xml:space="preserve">Región del Ñuble</t>
        </is>
      </c>
      <c r="G106" s="0" t="inlineStr">
        <is>
          <t xml:space="preserve">Chillán</t>
        </is>
      </c>
      <c r="H106" s="2">
        <v>46304.500694</v>
      </c>
      <c r="I106" s="2">
        <v>46349.708333</v>
      </c>
      <c r="J106" s="0">
        <v>27</v>
      </c>
      <c r="K106" s="3">
        <v>19373825000.0</v>
      </c>
      <c r="L106" s="0" t="inlineStr">
        <is>
          <t xml:space="preserve">CLP</t>
        </is>
      </c>
      <c r="M106" s="0" t="inlineStr">
        <is>
          <t xml:space="preserve">LR</t>
        </is>
      </c>
      <c r="N106" s="4" t="inlineStr">
        <is>
          <t xml:space="preserve">Tecnologías de la información, telecomunicaciones y radiodifusión / Software / Software de administración de redes</t>
        </is>
      </c>
      <c r="O106" s="4" t="inlineStr">
        <is>
          <t xml:space="preserve">1 Global · Software de administración · 1 Global · Software de administración</t>
        </is>
      </c>
      <c r="P106" s="2"/>
      <c r="Q106" s="2"/>
      <c r="R106" s="0" t="inlineStr">
        <is>
          <t xml:space="preserve">96 meses</t>
        </is>
      </c>
      <c r="S106" s="0" t="inlineStr">
        <is>
          <t xml:space="preserve">No</t>
        </is>
      </c>
      <c r="T106" s="4"/>
      <c r="U106" s="0" t="inlineStr">
        <is>
          <t xml:space="preserve">RODOLFO JIMENEZ</t>
        </is>
      </c>
      <c r="V106" s="4" t="inlineStr">
        <is>
          <t xml:space="preserve">El Servicio de Salud Ñuble requiere efectuar la ADQUISICIÓN DE SOFTWARES HIS-ESB-BI Y ERP PARA EL NUEVO HOSPITAL REGIONAL DE ÑUBLE, de acuerdo a las Bases Administrativas adjuntas y sus respectivos Anexos.</t>
        </is>
      </c>
      <c r="W106"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07">
      <c r="A107" s="0" t="inlineStr">
        <is>
          <t xml:space="preserve">2770-161-LR26</t>
        </is>
      </c>
      <c r="B107" s="4" t="inlineStr">
        <is>
          <t xml:space="preserve">SOLUCIÓN INFORMÁTICA INTEGRAL PARA LA GESTIÓN DE PROCESOS DE LA I. MUNICIPALIDAD DE MAIPÚ</t>
        </is>
      </c>
      <c r="C107" s="0" t="inlineStr">
        <is>
          <t xml:space="preserve">Publicada</t>
        </is>
      </c>
      <c r="D107" s="0" t="inlineStr">
        <is>
          <t xml:space="preserve">I MUNICIPALIDAD DE MAIPU</t>
        </is>
      </c>
      <c r="E107" s="0" t="inlineStr">
        <is>
          <t xml:space="preserve">I MUNICIPALIDAD DE MAIPU</t>
        </is>
      </c>
      <c r="F107" s="0" t="inlineStr">
        <is>
          <t xml:space="preserve">Región Metropolitana de Santiago</t>
        </is>
      </c>
      <c r="G107" s="0" t="inlineStr">
        <is>
          <t xml:space="preserve">Maipú</t>
        </is>
      </c>
      <c r="H107" s="2">
        <v>46321.547454</v>
      </c>
      <c r="I107" s="2">
        <v>46352.583333</v>
      </c>
      <c r="J107" s="0">
        <v>30</v>
      </c>
      <c r="K107" s="3">
        <v>480000000.0</v>
      </c>
      <c r="L107" s="0" t="inlineStr">
        <is>
          <t xml:space="preserve">CLP</t>
        </is>
      </c>
      <c r="M107" s="0" t="inlineStr">
        <is>
          <t xml:space="preserve">LR</t>
        </is>
      </c>
      <c r="N107" s="4" t="inlineStr">
        <is>
          <t xml:space="preserve">Servicios basados en ingeniería, ciencias sociales y tecnología de la información / Servicios informáticos / Ingeniería en computación e informática</t>
        </is>
      </c>
      <c r="O107" s="4" t="inlineStr">
        <is>
          <t xml:space="preserve">1 Global · Integración de sistemas</t>
        </is>
      </c>
      <c r="P107" s="2"/>
      <c r="Q107" s="2"/>
      <c r="R107" s="0" t="inlineStr">
        <is>
          <t xml:space="preserve">24 meses</t>
        </is>
      </c>
      <c r="S107" s="0" t="inlineStr">
        <is>
          <t xml:space="preserve">No</t>
        </is>
      </c>
      <c r="T107" s="4"/>
      <c r="U107" s="0" t="inlineStr">
        <is>
          <t xml:space="preserve">Teresa Olave Quinteros</t>
        </is>
      </c>
      <c r="V107"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07"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08">
      <c r="A108" s="0" t="inlineStr">
        <is>
          <t xml:space="preserve">3841-34-LE26</t>
        </is>
      </c>
      <c r="B108" s="4" t="inlineStr">
        <is>
          <t xml:space="preserve">EQUIPOS INFORMATICOS Y AUDIO</t>
        </is>
      </c>
      <c r="C108" s="0" t="inlineStr">
        <is>
          <t xml:space="preserve">Publicada</t>
        </is>
      </c>
      <c r="D108" s="0" t="inlineStr">
        <is>
          <t xml:space="preserve">I MUNICIPALIDAD DE PEMUCO</t>
        </is>
      </c>
      <c r="E108" s="0" t="inlineStr">
        <is>
          <t xml:space="preserve">I MUNICIPALIDAD DE PEMUCO</t>
        </is>
      </c>
      <c r="F108" s="0" t="inlineStr">
        <is>
          <t xml:space="preserve">Región del Ñuble</t>
        </is>
      </c>
      <c r="G108" s="0" t="inlineStr">
        <is>
          <t xml:space="preserve">Pemuco</t>
        </is>
      </c>
      <c r="H108" s="2">
        <v>46316.380023</v>
      </c>
      <c r="I108" s="2">
        <v>46352.625</v>
      </c>
      <c r="J108" s="0">
        <v>30</v>
      </c>
      <c r="K108" s="3">
        <v>9500000.0</v>
      </c>
      <c r="L108" s="0" t="inlineStr">
        <is>
          <t xml:space="preserve">CLP</t>
        </is>
      </c>
      <c r="M108" s="0" t="inlineStr">
        <is>
          <t xml:space="preserve">LE</t>
        </is>
      </c>
      <c r="N108"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08" s="4" t="inlineStr">
        <is>
          <t xml:space="preserve">1 Global · Computadores de escritorio · 1 Global · Parlantes</t>
        </is>
      </c>
      <c r="P108" s="2"/>
      <c r="Q108" s="2"/>
      <c r="R108" s="0"/>
      <c r="S108" s="0" t="inlineStr">
        <is>
          <t xml:space="preserve">No</t>
        </is>
      </c>
      <c r="T108" s="4"/>
      <c r="U108" s="0" t="inlineStr">
        <is>
          <t xml:space="preserve">JUAN SEBASTIAN CASANUEVA ARIAS</t>
        </is>
      </c>
      <c r="V108" s="4" t="inlineStr">
        <is>
          <t xml:space="preserve">EQUIPOS INFORMATICOS DIVERSAS UNIDADES MUNICIPALES, PEMUCO</t>
        </is>
      </c>
      <c r="W108"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2403-73-LR26</t>
        </is>
      </c>
      <c r="B2" s="4" t="inlineStr">
        <is>
          <t xml:space="preserve">Servicios de conectividad telecomunicaciones operación de infraestructura y gestión de ciberseguridad.</t>
        </is>
      </c>
      <c r="C2" s="0">
        <v>1</v>
      </c>
      <c r="D2" s="4" t="inlineStr">
        <is>
          <t xml:space="preserve">Instalación de sistemas de seguridad</t>
        </is>
      </c>
      <c r="E2" s="4" t="inlineStr">
        <is>
          <t xml:space="preserve">Servicios de construcción y mantenimiento / Servicios de atención, mantenimiento y reparaciones de edificios / Servicios eléctricos</t>
        </is>
      </c>
      <c r="F2" s="0">
        <v>1.0</v>
      </c>
      <c r="G2" s="0" t="inlineStr">
        <is>
          <t xml:space="preserve">Global</t>
        </is>
      </c>
      <c r="H2"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3">
      <c r="A3" s="0" t="inlineStr">
        <is>
          <t xml:space="preserve">2467-120-LE26</t>
        </is>
      </c>
      <c r="B3" s="4" t="inlineStr">
        <is>
          <t xml:space="preserve">ADQUISICIÓN DE LICENCIA DE SOFTWARE</t>
        </is>
      </c>
      <c r="C3" s="0">
        <v>1</v>
      </c>
      <c r="D3" s="4" t="inlineStr">
        <is>
          <t xml:space="preserve">Software de gestión de licencias</t>
        </is>
      </c>
      <c r="E3" s="4" t="inlineStr">
        <is>
          <t xml:space="preserve">Tecnologías de la información, telecomunicaciones y radiodifusión / Software / Software de gestión</t>
        </is>
      </c>
      <c r="F3" s="0">
        <v>1.0</v>
      </c>
      <c r="G3" s="0" t="inlineStr">
        <is>
          <t xml:space="preserve">Unidad</t>
        </is>
      </c>
      <c r="H3"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4">
      <c r="A4" s="0" t="inlineStr">
        <is>
          <t xml:space="preserve">2448-144-LE26</t>
        </is>
      </c>
      <c r="B4" s="4" t="inlineStr">
        <is>
          <t xml:space="preserve">ADQ. ELECTROCARDIOGRAFO DIGITAL</t>
        </is>
      </c>
      <c r="C4" s="0">
        <v>1</v>
      </c>
      <c r="D4" s="4" t="inlineStr">
        <is>
          <t xml:space="preserve">Unidades de electrocardiografía (ECG)</t>
        </is>
      </c>
      <c r="E4" s="4" t="inlineStr">
        <is>
          <t xml:space="preserve">Equipamiento y suministros médicos / Productos para exámenes y control de pacientes / Unidades de electrocardiografía (ECG) y productos relacionados</t>
        </is>
      </c>
      <c r="F4" s="0">
        <v>10.0</v>
      </c>
      <c r="G4" s="0" t="inlineStr">
        <is>
          <t xml:space="preserve">Unidad</t>
        </is>
      </c>
      <c r="H4"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5">
      <c r="A5" s="0" t="inlineStr">
        <is>
          <t xml:space="preserve">2490-91-LP26</t>
        </is>
      </c>
      <c r="B5" s="4" t="inlineStr">
        <is>
          <t xml:space="preserve">ARRIENDO SOPORTE Y MANTENCIÓN DE GABINETES PSICOSENSOMÉTRICOS Y EQUIPOS COMPUTACIONALES CON SOFTWARE SPI INTEGRADO 2027-2031</t>
        </is>
      </c>
      <c r="C5" s="0">
        <v>1</v>
      </c>
      <c r="D5" s="4" t="inlineStr">
        <is>
          <t xml:space="preserve">Señales de tránsito</t>
        </is>
      </c>
      <c r="E5" s="4" t="inlineStr">
        <is>
          <t xml:space="preserve">Equipos y suministros de defensa, orden público, protección y seguridad / Seguridad y control público / Control de tráfico</t>
        </is>
      </c>
      <c r="F5" s="0">
        <v>1.0</v>
      </c>
      <c r="G5" s="0" t="inlineStr">
        <is>
          <t xml:space="preserve">Global</t>
        </is>
      </c>
      <c r="H5" s="4" t="inlineStr">
        <is>
          <t xml:space="preserve">“ARRIENDO, SOPORTE Y MANTENCIÓN DE GABINETES PSICOSENSOMÉTRICOS Y EQUIPOS COMPUTACIONALES CON SOFTWARE SPI INTEGRADO 2027-2031”</t>
        </is>
      </c>
    </row>
    <row r="6">
      <c r="A6" s="0" t="inlineStr">
        <is>
          <t xml:space="preserve">1457282-6-LE26</t>
        </is>
      </c>
      <c r="B6" s="4" t="inlineStr">
        <is>
          <t xml:space="preserve">ADQUISICIÓN DE RADIOS DIGITALES PORTÁTILES</t>
        </is>
      </c>
      <c r="C6" s="0">
        <v>1</v>
      </c>
      <c r="D6" s="4" t="inlineStr">
        <is>
          <t xml:space="preserve">Dispositivos de identificación de radiofrecuencias</t>
        </is>
      </c>
      <c r="E6" s="4" t="inlineStr">
        <is>
          <t xml:space="preserve">Tecnologías de la información, telecomunicaciones y radiodifusión / Equipos informáticos y accesorios / Dispositivos informáticos de entrada de datos</t>
        </is>
      </c>
      <c r="F6" s="0">
        <v>1.0</v>
      </c>
      <c r="G6" s="0" t="inlineStr">
        <is>
          <t xml:space="preserve">Global</t>
        </is>
      </c>
      <c r="H6" s="4" t="inlineStr">
        <is>
          <t xml:space="preserve">Adquisición, suministro, configuración, puesta en marcha y marcha blanca de un sistema de radiocomunicación digital para la operación diaria de GAM.</t>
        </is>
      </c>
    </row>
    <row r="7">
      <c r="A7" s="0" t="inlineStr">
        <is>
          <t xml:space="preserve">3053-4-LE26</t>
        </is>
      </c>
      <c r="B7" s="4" t="inlineStr">
        <is>
          <t xml:space="preserve">Adquisición de insumos informáticos para la Municipalidad de San Pedro de Atacama.</t>
        </is>
      </c>
      <c r="C7" s="0">
        <v>1</v>
      </c>
      <c r="D7" s="4" t="inlineStr">
        <is>
          <t xml:space="preserve">Impresoras multifunción o multifuncionales</t>
        </is>
      </c>
      <c r="E7" s="4" t="inlineStr">
        <is>
          <t xml:space="preserve">Tecnologías de la información, telecomunicaciones y radiodifusión / Equipos informáticos y accesorios / Impresoras</t>
        </is>
      </c>
      <c r="F7" s="0">
        <v>1.0</v>
      </c>
      <c r="G7" s="0" t="inlineStr">
        <is>
          <t xml:space="preserve">Global</t>
        </is>
      </c>
      <c r="H7" s="4" t="inlineStr">
        <is>
          <t xml:space="preserve">Adquisición de insumos de impresión y repuestos para distintos modelos de impresoras pertenecientes a la Municipalidad de San Pedro de Atacama, de acuerdo a lo requerido en las especificaciones técnicas.</t>
        </is>
      </c>
    </row>
    <row r="8">
      <c r="A8" s="0" t="inlineStr">
        <is>
          <t xml:space="preserve">2020-23-LE26</t>
        </is>
      </c>
      <c r="B8" s="4" t="inlineStr">
        <is>
          <t xml:space="preserve">SERVICIOS DE DIGITALIZACIÓN Y EXTRACCIÓN DE TÉXTO.</t>
        </is>
      </c>
      <c r="C8" s="0">
        <v>1</v>
      </c>
      <c r="D8" s="4" t="inlineStr">
        <is>
          <t xml:space="preserve">Servicios de digitalización de documentos</t>
        </is>
      </c>
      <c r="E8" s="4" t="inlineStr">
        <is>
          <t xml:space="preserve">Servicios basados en ingeniería, ciencias sociales y tecnología de la información / Servicios informáticos / Servicios de datos</t>
        </is>
      </c>
      <c r="F8" s="0">
        <v>1.0</v>
      </c>
      <c r="G8" s="0" t="inlineStr">
        <is>
          <t xml:space="preserve">Unidad</t>
        </is>
      </c>
      <c r="H8" s="4" t="inlineStr">
        <is>
          <t xml:space="preserve">SERVICIO ESPECIALIZADO DE DIGITALIZACIÓN Y EXTRACCIÓN INTELIGENTE DE TEXTO, DEL ARCHIVO DE
PRENSA HISTÓRICA DE LA BIBLIOTECA DEL
CONGRESO NACIONAL.</t>
        </is>
      </c>
    </row>
    <row r="9">
      <c r="A9" s="0" t="inlineStr">
        <is>
          <t xml:space="preserve">680504-3-L126</t>
        </is>
      </c>
      <c r="B9" s="4" t="inlineStr">
        <is>
          <t xml:space="preserve">Mantención Anual Tableros Eléctricos del Edificio RPP Curicó</t>
        </is>
      </c>
      <c r="C9" s="0">
        <v>1</v>
      </c>
      <c r="D9" s="4" t="inlineStr">
        <is>
          <t xml:space="preserve">Instalación o servicio de sistemas de energía eléctrica</t>
        </is>
      </c>
      <c r="E9" s="4" t="inlineStr">
        <is>
          <t xml:space="preserve">Servicios de construcción y mantenimiento / Servicios de atención, mantenimiento y reparaciones de edificios / Servicios eléctricos</t>
        </is>
      </c>
      <c r="F9" s="0">
        <v>1.0</v>
      </c>
      <c r="G9" s="0" t="inlineStr">
        <is>
          <t xml:space="preserve">Unidad</t>
        </is>
      </c>
      <c r="H9" s="4" t="inlineStr">
        <is>
          <t xml:space="preserve">Mantención Anual Tableros Eléctricos del Edificio RPP Curicó por un periodo de 36 meses</t>
        </is>
      </c>
    </row>
    <row r="10">
      <c r="A10" s="0" t="inlineStr">
        <is>
          <t xml:space="preserve">662237-34-LE26</t>
        </is>
      </c>
      <c r="B10" s="4" t="inlineStr">
        <is>
          <t xml:space="preserve">Adquisición de licencias software antivirus</t>
        </is>
      </c>
      <c r="C10" s="0">
        <v>1</v>
      </c>
      <c r="D10" s="4" t="inlineStr">
        <is>
          <t xml:space="preserve">Software de protección antivirus y de seguridad de transacciones</t>
        </is>
      </c>
      <c r="E10" s="4" t="inlineStr">
        <is>
          <t xml:space="preserve">Tecnologías de la información, telecomunicaciones y radiodifusión / Software / Software de seguridad y protección</t>
        </is>
      </c>
      <c r="F10" s="0">
        <v>1.0</v>
      </c>
      <c r="G10" s="0" t="inlineStr">
        <is>
          <t xml:space="preserve">Unidad</t>
        </is>
      </c>
      <c r="H10" s="4" t="inlineStr">
        <is>
          <t xml:space="preserve">Adquisición de
530 licencias de software antivirus con funcionalidades EDR y RMM,
compatibles con la infraestructura institucional o equivalentes funcionalmente
a Xcitium Advanced Endpoint Protection</t>
        </is>
      </c>
    </row>
    <row r="11">
      <c r="A11" s="0" t="inlineStr">
        <is>
          <t xml:space="preserve">1375746-20-LE26</t>
        </is>
      </c>
      <c r="B11" s="4" t="inlineStr">
        <is>
          <t xml:space="preserve">SERVICIO DE PLATAFORMA DE VOTACIÓN ELECTRÓNICA</t>
        </is>
      </c>
      <c r="C11" s="0">
        <v>1</v>
      </c>
      <c r="D11" s="4" t="inlineStr">
        <is>
          <t xml:space="preserve">Asesorías Informáticas</t>
        </is>
      </c>
      <c r="E11" s="4" t="inlineStr">
        <is>
          <t xml:space="preserve">Servicios profesionales, administrativos y consultorías de gestión empresarial / Consultorías o asesorías en gestión empresarial / Servicios de consultoría en gestión de empresas</t>
        </is>
      </c>
      <c r="F11" s="0">
        <v>1.0</v>
      </c>
      <c r="G11" s="0" t="inlineStr">
        <is>
          <t xml:space="preserve">Unidad</t>
        </is>
      </c>
      <c r="H11" s="4" t="inlineStr">
        <is>
          <t xml:space="preserve">SERVICIO DE PLATAFORMA DE VOTACIÓN ELECTRÓNICA PARA LOS PROCESOS ELECCIONARIOS</t>
        </is>
      </c>
    </row>
    <row r="12">
      <c r="A12" s="0" t="inlineStr">
        <is>
          <t xml:space="preserve">2446-315-LE26</t>
        </is>
      </c>
      <c r="B12" s="4" t="inlineStr">
        <is>
          <t xml:space="preserve">ADQUISICIÓN DE LICENCIAS DE SOFTWARE INSTITUCIONAL</t>
        </is>
      </c>
      <c r="C12" s="0">
        <v>1</v>
      </c>
      <c r="D12" s="4" t="inlineStr">
        <is>
          <t xml:space="preserve">Paquetes de software para oficinas</t>
        </is>
      </c>
      <c r="E12" s="4" t="inlineStr">
        <is>
          <t xml:space="preserve">Tecnologías de la información, telecomunicaciones y radiodifusión / Software / Software de gestión</t>
        </is>
      </c>
      <c r="F12" s="0">
        <v>1.0</v>
      </c>
      <c r="G12" s="0" t="inlineStr">
        <is>
          <t xml:space="preserve">Global</t>
        </is>
      </c>
      <c r="H12" s="4" t="inlineStr">
        <is>
          <t xml:space="preserve">LÍNEA 1: Adquisición de licencias de software de diseño y producción audiovisual (Adobe Creative Cloud o equivalente) (INGRESAR VALOR NETO TOTAL)</t>
        </is>
      </c>
    </row>
    <row r="13">
      <c r="A13" s="0" t="inlineStr">
        <is>
          <t xml:space="preserve">2446-315-LE26</t>
        </is>
      </c>
      <c r="B13" s="4" t="inlineStr">
        <is>
          <t xml:space="preserve">ADQUISICIÓN DE LICENCIAS DE SOFTWARE INSTITUCIONAL</t>
        </is>
      </c>
      <c r="C13" s="0">
        <v>2</v>
      </c>
      <c r="D13" s="4" t="inlineStr">
        <is>
          <t xml:space="preserve">Paquetes de software para oficinas</t>
        </is>
      </c>
      <c r="E13" s="4" t="inlineStr">
        <is>
          <t xml:space="preserve">Tecnologías de la información, telecomunicaciones y radiodifusión / Software / Software de gestión</t>
        </is>
      </c>
      <c r="F13" s="0">
        <v>1.0</v>
      </c>
      <c r="G13" s="0" t="inlineStr">
        <is>
          <t xml:space="preserve">Global</t>
        </is>
      </c>
      <c r="H13" s="4" t="inlineStr">
        <is>
          <t xml:space="preserve">LÍNEA N°2: Adquisición de licencias de plataforma de inteligencia artificial conversacional para desarrollo de software (Claude o equivalente) (INGRESAR VALOR NETO TOTAL)</t>
        </is>
      </c>
    </row>
    <row r="14">
      <c r="A14" s="0" t="inlineStr">
        <is>
          <t xml:space="preserve">2446-315-LE26</t>
        </is>
      </c>
      <c r="B14" s="4" t="inlineStr">
        <is>
          <t xml:space="preserve">ADQUISICIÓN DE LICENCIAS DE SOFTWARE INSTITUCIONAL</t>
        </is>
      </c>
      <c r="C14" s="0">
        <v>3</v>
      </c>
      <c r="D14" s="4" t="inlineStr">
        <is>
          <t xml:space="preserve">Paquetes de software para oficinas</t>
        </is>
      </c>
      <c r="E14" s="4" t="inlineStr">
        <is>
          <t xml:space="preserve">Tecnologías de la información, telecomunicaciones y radiodifusión / Software / Software de gestión</t>
        </is>
      </c>
      <c r="F14" s="0">
        <v>1.0</v>
      </c>
      <c r="G14" s="0" t="inlineStr">
        <is>
          <t xml:space="preserve">Global</t>
        </is>
      </c>
      <c r="H14" s="4" t="inlineStr">
        <is>
          <t xml:space="preserve">LÍNEA N°3: Adquisición de licencia de software de escritorio remoto para soporte técnico y administración de equipos institucionales (AnyDesk o equivalente) INGRESAR VALOR NETO TOTAL</t>
        </is>
      </c>
    </row>
    <row r="15">
      <c r="A15" s="0" t="inlineStr">
        <is>
          <t xml:space="preserve">2446-315-LE26</t>
        </is>
      </c>
      <c r="B15" s="4" t="inlineStr">
        <is>
          <t xml:space="preserve">ADQUISICIÓN DE LICENCIAS DE SOFTWARE INSTITUCIONAL</t>
        </is>
      </c>
      <c r="C15" s="0">
        <v>4</v>
      </c>
      <c r="D15" s="4" t="inlineStr">
        <is>
          <t xml:space="preserve">Paquetes de software para oficinas</t>
        </is>
      </c>
      <c r="E15" s="4" t="inlineStr">
        <is>
          <t xml:space="preserve">Tecnologías de la información, telecomunicaciones y radiodifusión / Software / Software de gestión</t>
        </is>
      </c>
      <c r="F15" s="0">
        <v>1.0</v>
      </c>
      <c r="G15" s="0" t="inlineStr">
        <is>
          <t xml:space="preserve">Global</t>
        </is>
      </c>
      <c r="H15" s="4" t="inlineStr">
        <is>
          <t xml:space="preserve">LÍNEA N°4: Adquisición licencia de software de visualización de datos, analítica e inteligencia de negocios (Power BI o equivalente) INGRESAR VALOR NETO TOTAL</t>
        </is>
      </c>
    </row>
    <row r="16">
      <c r="A16" s="0" t="inlineStr">
        <is>
          <t xml:space="preserve">2446-315-LE26</t>
        </is>
      </c>
      <c r="B16" s="4" t="inlineStr">
        <is>
          <t xml:space="preserve">ADQUISICIÓN DE LICENCIAS DE SOFTWARE INSTITUCIONAL</t>
        </is>
      </c>
      <c r="C16" s="0">
        <v>5</v>
      </c>
      <c r="D16" s="4" t="inlineStr">
        <is>
          <t xml:space="preserve">Paquetes de software para oficinas</t>
        </is>
      </c>
      <c r="E16" s="4" t="inlineStr">
        <is>
          <t xml:space="preserve">Tecnologías de la información, telecomunicaciones y radiodifusión / Software / Software de gestión</t>
        </is>
      </c>
      <c r="F16" s="0">
        <v>1.0</v>
      </c>
      <c r="G16" s="0" t="inlineStr">
        <is>
          <t xml:space="preserve">Global</t>
        </is>
      </c>
      <c r="H16" s="4" t="inlineStr">
        <is>
          <t xml:space="preserve">LÍNEA N°5: Adquisición de licenciamiento de software de generación de imágenes y videos con inteligencia artificial (Runway o equivalente). INGRESAR VALOR NETO TOTAL</t>
        </is>
      </c>
    </row>
    <row r="17">
      <c r="A17" s="0" t="inlineStr">
        <is>
          <t xml:space="preserve">2563-43-LP26</t>
        </is>
      </c>
      <c r="B17" s="4" t="inlineStr">
        <is>
          <t xml:space="preserve">Adquisición de cámaras IA y radares de seguridad</t>
        </is>
      </c>
      <c r="C17" s="0">
        <v>1</v>
      </c>
      <c r="D17" s="4" t="inlineStr">
        <is>
          <t xml:space="preserve">Cámaras de seguridad</t>
        </is>
      </c>
      <c r="E17" s="4" t="inlineStr">
        <is>
          <t xml:space="preserve">Equipos y suministros de defensa, orden público, protección y seguridad / Seguridad, vigilancia y detección / Equipo de vigilancia y detección</t>
        </is>
      </c>
      <c r="F17" s="0">
        <v>2.0</v>
      </c>
      <c r="G17" s="0" t="inlineStr">
        <is>
          <t xml:space="preserve">Unidad</t>
        </is>
      </c>
      <c r="H1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8">
      <c r="A18" s="0" t="inlineStr">
        <is>
          <t xml:space="preserve">2563-43-LP26</t>
        </is>
      </c>
      <c r="B18" s="4" t="inlineStr">
        <is>
          <t xml:space="preserve">Adquisición de cámaras IA y radares de seguridad</t>
        </is>
      </c>
      <c r="C18" s="0">
        <v>2</v>
      </c>
      <c r="D18" s="4" t="inlineStr">
        <is>
          <t xml:space="preserve">Cámaras de seguridad</t>
        </is>
      </c>
      <c r="E18" s="4" t="inlineStr">
        <is>
          <t xml:space="preserve">Equipos y suministros de defensa, orden público, protección y seguridad / Seguridad, vigilancia y detección / Equipo de vigilancia y detección</t>
        </is>
      </c>
      <c r="F18" s="0">
        <v>2.0</v>
      </c>
      <c r="G18" s="0" t="inlineStr">
        <is>
          <t xml:space="preserve">Unidad</t>
        </is>
      </c>
      <c r="H1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9">
      <c r="A19" s="0" t="inlineStr">
        <is>
          <t xml:space="preserve">2563-43-LP26</t>
        </is>
      </c>
      <c r="B19" s="4" t="inlineStr">
        <is>
          <t xml:space="preserve">Adquisición de cámaras IA y radares de seguridad</t>
        </is>
      </c>
      <c r="C19" s="0">
        <v>3</v>
      </c>
      <c r="D19" s="4" t="inlineStr">
        <is>
          <t xml:space="preserve">Cámaras de seguridad</t>
        </is>
      </c>
      <c r="E19" s="4" t="inlineStr">
        <is>
          <t xml:space="preserve">Equipos y suministros de defensa, orden público, protección y seguridad / Seguridad, vigilancia y detección / Equipo de vigilancia y detección</t>
        </is>
      </c>
      <c r="F19" s="0">
        <v>1.0</v>
      </c>
      <c r="G19" s="0" t="inlineStr">
        <is>
          <t xml:space="preserve">Unidad</t>
        </is>
      </c>
      <c r="H19" s="4" t="inlineStr">
        <is>
          <t xml:space="preserve">ítem 2: Servidor de gestión de video.</t>
        </is>
      </c>
    </row>
    <row r="20">
      <c r="A20" s="0" t="inlineStr">
        <is>
          <t xml:space="preserve">2563-43-LP26</t>
        </is>
      </c>
      <c r="B20" s="4" t="inlineStr">
        <is>
          <t xml:space="preserve">Adquisición de cámaras IA y radares de seguridad</t>
        </is>
      </c>
      <c r="C20" s="0">
        <v>4</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1">
      <c r="A21" s="0" t="inlineStr">
        <is>
          <t xml:space="preserve">2563-43-LP26</t>
        </is>
      </c>
      <c r="B21" s="4" t="inlineStr">
        <is>
          <t xml:space="preserve">Adquisición de cámaras IA y radares de seguridad</t>
        </is>
      </c>
      <c r="C21" s="0">
        <v>5</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22">
      <c r="A22" s="0" t="inlineStr">
        <is>
          <t xml:space="preserve">2563-43-LP26</t>
        </is>
      </c>
      <c r="B22" s="4" t="inlineStr">
        <is>
          <t xml:space="preserve">Adquisición de cámaras IA y radares de seguridad</t>
        </is>
      </c>
      <c r="C22" s="0">
        <v>6</v>
      </c>
      <c r="D22" s="4" t="inlineStr">
        <is>
          <t xml:space="preserve">Cámaras de seguridad</t>
        </is>
      </c>
      <c r="E22" s="4" t="inlineStr">
        <is>
          <t xml:space="preserve">Equipos y suministros de defensa, orden público, protección y seguridad / Seguridad, vigilancia y detección / Equipo de vigilancia y detección</t>
        </is>
      </c>
      <c r="F22" s="0">
        <v>6.0</v>
      </c>
      <c r="G22" s="0" t="inlineStr">
        <is>
          <t xml:space="preserve">Unidad</t>
        </is>
      </c>
      <c r="H2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23">
      <c r="A23" s="0" t="inlineStr">
        <is>
          <t xml:space="preserve">2563-43-LP26</t>
        </is>
      </c>
      <c r="B23" s="4" t="inlineStr">
        <is>
          <t xml:space="preserve">Adquisición de cámaras IA y radares de seguridad</t>
        </is>
      </c>
      <c r="C23" s="0">
        <v>7</v>
      </c>
      <c r="D23" s="4" t="inlineStr">
        <is>
          <t xml:space="preserve">Cámaras de seguridad</t>
        </is>
      </c>
      <c r="E23" s="4" t="inlineStr">
        <is>
          <t xml:space="preserve">Equipos y suministros de defensa, orden público, protección y seguridad / Seguridad, vigilancia y detección / Equipo de vigilancia y detección</t>
        </is>
      </c>
      <c r="F23" s="0">
        <v>6.0</v>
      </c>
      <c r="G23" s="0" t="inlineStr">
        <is>
          <t xml:space="preserve">Unidad</t>
        </is>
      </c>
      <c r="H2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24">
      <c r="A24" s="0" t="inlineStr">
        <is>
          <t xml:space="preserve">2563-43-LP26</t>
        </is>
      </c>
      <c r="B24" s="4" t="inlineStr">
        <is>
          <t xml:space="preserve">Adquisición de cámaras IA y radares de seguridad</t>
        </is>
      </c>
      <c r="C24" s="0">
        <v>8</v>
      </c>
      <c r="D24" s="4" t="inlineStr">
        <is>
          <t xml:space="preserve">Cámaras de seguridad</t>
        </is>
      </c>
      <c r="E24" s="4" t="inlineStr">
        <is>
          <t xml:space="preserve">Equipos y suministros de defensa, orden público, protección y seguridad / Seguridad, vigilancia y detección / Equipo de vigilancia y detección</t>
        </is>
      </c>
      <c r="F24" s="0">
        <v>1.0</v>
      </c>
      <c r="G24" s="0" t="inlineStr">
        <is>
          <t xml:space="preserve">Unidad</t>
        </is>
      </c>
      <c r="H2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25">
      <c r="A25" s="0" t="inlineStr">
        <is>
          <t xml:space="preserve">2563-43-LP26</t>
        </is>
      </c>
      <c r="B25" s="4" t="inlineStr">
        <is>
          <t xml:space="preserve">Adquisición de cámaras IA y radares de seguridad</t>
        </is>
      </c>
      <c r="C25" s="0">
        <v>9</v>
      </c>
      <c r="D25" s="4" t="inlineStr">
        <is>
          <t xml:space="preserve">Cámaras de seguridad</t>
        </is>
      </c>
      <c r="E25" s="4" t="inlineStr">
        <is>
          <t xml:space="preserve">Equipos y suministros de defensa, orden público, protección y seguridad / Seguridad, vigilancia y detección / Equipo de vigilancia y detección</t>
        </is>
      </c>
      <c r="F25" s="0">
        <v>8.0</v>
      </c>
      <c r="G25" s="0" t="inlineStr">
        <is>
          <t xml:space="preserve">Unidad</t>
        </is>
      </c>
      <c r="H2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26">
      <c r="A26" s="0" t="inlineStr">
        <is>
          <t xml:space="preserve">2563-43-LP26</t>
        </is>
      </c>
      <c r="B26" s="4" t="inlineStr">
        <is>
          <t xml:space="preserve">Adquisición de cámaras IA y radares de seguridad</t>
        </is>
      </c>
      <c r="C26" s="0">
        <v>10</v>
      </c>
      <c r="D26" s="4" t="inlineStr">
        <is>
          <t xml:space="preserve">Cámaras de seguridad</t>
        </is>
      </c>
      <c r="E26" s="4" t="inlineStr">
        <is>
          <t xml:space="preserve">Equipos y suministros de defensa, orden público, protección y seguridad / Seguridad, vigilancia y detección / Equipo de vigilancia y detección</t>
        </is>
      </c>
      <c r="F26" s="0">
        <v>1.0</v>
      </c>
      <c r="G26" s="0" t="inlineStr">
        <is>
          <t xml:space="preserve">Unidad</t>
        </is>
      </c>
      <c r="H2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27">
      <c r="A27" s="0" t="inlineStr">
        <is>
          <t xml:space="preserve">2563-43-LP26</t>
        </is>
      </c>
      <c r="B27" s="4" t="inlineStr">
        <is>
          <t xml:space="preserve">Adquisición de cámaras IA y radares de seguridad</t>
        </is>
      </c>
      <c r="C27" s="0">
        <v>11</v>
      </c>
      <c r="D27" s="4" t="inlineStr">
        <is>
          <t xml:space="preserve">Cámaras de seguridad</t>
        </is>
      </c>
      <c r="E27" s="4" t="inlineStr">
        <is>
          <t xml:space="preserve">Equipos y suministros de defensa, orden público, protección y seguridad / Seguridad, vigilancia y detección / Equipo de vigilancia y detección</t>
        </is>
      </c>
      <c r="F27" s="0">
        <v>1.0</v>
      </c>
      <c r="G27" s="0" t="inlineStr">
        <is>
          <t xml:space="preserve">Unidad</t>
        </is>
      </c>
      <c r="H2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8">
      <c r="A28" s="0" t="inlineStr">
        <is>
          <t xml:space="preserve">2563-43-LP26</t>
        </is>
      </c>
      <c r="B28" s="4" t="inlineStr">
        <is>
          <t xml:space="preserve">Adquisición de cámaras IA y radares de seguridad</t>
        </is>
      </c>
      <c r="C28" s="0">
        <v>12</v>
      </c>
      <c r="D28" s="4" t="inlineStr">
        <is>
          <t xml:space="preserve">Cámaras de seguridad</t>
        </is>
      </c>
      <c r="E28" s="4" t="inlineStr">
        <is>
          <t xml:space="preserve">Equipos y suministros de defensa, orden público, protección y seguridad / Seguridad, vigilancia y detección / Equipo de vigilancia y detección</t>
        </is>
      </c>
      <c r="F28" s="0">
        <v>2.0</v>
      </c>
      <c r="G28" s="0" t="inlineStr">
        <is>
          <t xml:space="preserve">Unidad</t>
        </is>
      </c>
      <c r="H2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9">
      <c r="A29" s="0" t="inlineStr">
        <is>
          <t xml:space="preserve">2563-43-LP26</t>
        </is>
      </c>
      <c r="B29" s="4" t="inlineStr">
        <is>
          <t xml:space="preserve">Adquisición de cámaras IA y radares de seguridad</t>
        </is>
      </c>
      <c r="C29" s="0">
        <v>13</v>
      </c>
      <c r="D29" s="4" t="inlineStr">
        <is>
          <t xml:space="preserve">Cámaras de seguridad</t>
        </is>
      </c>
      <c r="E29" s="4" t="inlineStr">
        <is>
          <t xml:space="preserve">Equipos y suministros de defensa, orden público, protección y seguridad / Seguridad, vigilancia y detección / Equipo de vigilancia y detección</t>
        </is>
      </c>
      <c r="F29" s="0">
        <v>2.0</v>
      </c>
      <c r="G29" s="0" t="inlineStr">
        <is>
          <t xml:space="preserve">Unidad</t>
        </is>
      </c>
      <c r="H2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30">
      <c r="A30" s="0" t="inlineStr">
        <is>
          <t xml:space="preserve">2563-43-LP26</t>
        </is>
      </c>
      <c r="B30" s="4" t="inlineStr">
        <is>
          <t xml:space="preserve">Adquisición de cámaras IA y radares de seguridad</t>
        </is>
      </c>
      <c r="C30" s="0">
        <v>14</v>
      </c>
      <c r="D30" s="4" t="inlineStr">
        <is>
          <t xml:space="preserve">Cámaras de seguridad</t>
        </is>
      </c>
      <c r="E30" s="4" t="inlineStr">
        <is>
          <t xml:space="preserve">Equipos y suministros de defensa, orden público, protección y seguridad / Seguridad, vigilancia y detección / Equipo de vigilancia y detección</t>
        </is>
      </c>
      <c r="F30" s="0">
        <v>2.0</v>
      </c>
      <c r="G30" s="0" t="inlineStr">
        <is>
          <t xml:space="preserve">Unidad</t>
        </is>
      </c>
      <c r="H3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31">
      <c r="A31" s="0" t="inlineStr">
        <is>
          <t xml:space="preserve">2563-43-LP26</t>
        </is>
      </c>
      <c r="B31" s="4" t="inlineStr">
        <is>
          <t xml:space="preserve">Adquisición de cámaras IA y radares de seguridad</t>
        </is>
      </c>
      <c r="C31" s="0">
        <v>15</v>
      </c>
      <c r="D31" s="4" t="inlineStr">
        <is>
          <t xml:space="preserve">Cámaras de seguridad</t>
        </is>
      </c>
      <c r="E31" s="4" t="inlineStr">
        <is>
          <t xml:space="preserve">Equipos y suministros de defensa, orden público, protección y seguridad / Seguridad, vigilancia y detección / Equipo de vigilancia y detección</t>
        </is>
      </c>
      <c r="F31" s="0">
        <v>1.0</v>
      </c>
      <c r="G31" s="0" t="inlineStr">
        <is>
          <t xml:space="preserve">Unidad</t>
        </is>
      </c>
      <c r="H3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32">
      <c r="A32" s="0" t="inlineStr">
        <is>
          <t xml:space="preserve">2981-287-LP26</t>
        </is>
      </c>
      <c r="B32" s="4" t="inlineStr">
        <is>
          <t xml:space="preserve">CIBERSEGURIDAD- CONSULTORIA</t>
        </is>
      </c>
      <c r="C32" s="0">
        <v>1</v>
      </c>
      <c r="D32" s="4" t="inlineStr">
        <is>
          <t xml:space="preserve">Asesorías en gestión estratégica</t>
        </is>
      </c>
      <c r="E32" s="4" t="inlineStr">
        <is>
          <t xml:space="preserve">Servicios profesionales, administrativos y consultorías de gestión empresarial / Consultorías o asesorías en gestión empresarial / Servicios de consultoría en gestión de empresas</t>
        </is>
      </c>
      <c r="F32" s="0">
        <v>1.0</v>
      </c>
      <c r="G32" s="0" t="inlineStr">
        <is>
          <t xml:space="preserve">Unidad</t>
        </is>
      </c>
      <c r="H32" s="4" t="inlineStr">
        <is>
          <t xml:space="preserve">CONTRATACION  DEL SERVICIO DE CONSULTORIA PARA LA IMPLEMENTACION DE UN SISTEMA DE SEGURIDAD DE LA INFORMACION PARA LA PDI.</t>
        </is>
      </c>
    </row>
    <row r="33">
      <c r="A33" s="0" t="inlineStr">
        <is>
          <t xml:space="preserve">3945-31-LE26</t>
        </is>
      </c>
      <c r="B33" s="4" t="inlineStr">
        <is>
          <t xml:space="preserve">CONTRATACION SERVICIO DE SISTEMA INFORMATICO DE GESTION DOCUMENTAL- MUNICIPALIDAD LOS ALAMOS</t>
        </is>
      </c>
      <c r="C33" s="0">
        <v>1</v>
      </c>
      <c r="D33" s="4" t="inlineStr">
        <is>
          <t xml:space="preserve">Software de sistema operativo</t>
        </is>
      </c>
      <c r="E33" s="4" t="inlineStr">
        <is>
          <t xml:space="preserve">Tecnologías de la información, telecomunicaciones y radiodifusión / Software / Software de entorno operativo</t>
        </is>
      </c>
      <c r="F33" s="0">
        <v>1.0</v>
      </c>
      <c r="G33" s="0" t="inlineStr">
        <is>
          <t xml:space="preserve">Global</t>
        </is>
      </c>
      <c r="H33" s="4" t="inlineStr">
        <is>
          <t xml:space="preserve">Se requiere contratar SERVICIO DE SISTEMA INFORMATICO DE GESTION DOCUMENTAL- MUNICIPALIDAD LOS ALAMOS”,   por un periodo de 36 meses, según Bases Administrativas, técnicas y anexos adjuntos.</t>
        </is>
      </c>
    </row>
    <row r="34">
      <c r="A34" s="0" t="inlineStr">
        <is>
          <t xml:space="preserve">5441-12-LP26</t>
        </is>
      </c>
      <c r="B34" s="4" t="inlineStr">
        <is>
          <t xml:space="preserve">Generador 500 kVA y Tablero de Transf. Autom. 800A</t>
        </is>
      </c>
      <c r="C34" s="0">
        <v>1</v>
      </c>
      <c r="D34" s="4" t="inlineStr">
        <is>
          <t xml:space="preserve">Generadores diesel</t>
        </is>
      </c>
      <c r="E34" s="4" t="inlineStr">
        <is>
          <t xml:space="preserve">Maquinaria para generación y distribución de energía / Transmisión de energía eléctrica, mecánica y cinética / Grupos electrógenos</t>
        </is>
      </c>
      <c r="F34" s="0">
        <v>1.0</v>
      </c>
      <c r="G34" s="0" t="inlineStr">
        <is>
          <t xml:space="preserve">Unidad</t>
        </is>
      </c>
      <c r="H34" s="4" t="inlineStr">
        <is>
          <t xml:space="preserve">GENERADOR DE 500 kVA, SEGÚN BASES ADMINISTRATIVAS Y TÉCNICAS.</t>
        </is>
      </c>
    </row>
    <row r="35">
      <c r="A35" s="0" t="inlineStr">
        <is>
          <t xml:space="preserve">5441-12-LP26</t>
        </is>
      </c>
      <c r="B35" s="4" t="inlineStr">
        <is>
          <t xml:space="preserve">Generador 500 kVA y Tablero de Transf. Autom. 800A</t>
        </is>
      </c>
      <c r="C35" s="0">
        <v>2</v>
      </c>
      <c r="D35" s="4" t="inlineStr">
        <is>
          <t xml:space="preserve">Paneles de control eléctrico para generadores</t>
        </is>
      </c>
      <c r="E35" s="4" t="inlineStr">
        <is>
          <t xml:space="preserve">Maquinaria para generación y distribución de energía / Generación de energía / Equipo para control de producción de energía</t>
        </is>
      </c>
      <c r="F35" s="0">
        <v>1.0</v>
      </c>
      <c r="G35" s="0" t="inlineStr">
        <is>
          <t xml:space="preserve">Unidad</t>
        </is>
      </c>
      <c r="H35" s="4" t="inlineStr">
        <is>
          <t xml:space="preserve">TABLERO DE TRANSFERENCIA AUTOMÁTICA, SEGÚN BASES ADMINISTRATIVAS Y TÉCNICAS.</t>
        </is>
      </c>
    </row>
    <row r="36">
      <c r="A36" s="0" t="inlineStr">
        <is>
          <t xml:space="preserve">5482-115-LP26</t>
        </is>
      </c>
      <c r="B36" s="4" t="inlineStr">
        <is>
          <t xml:space="preserve">DIGITALIZACIÓNINTEGRACION SGL LICENCIAS CONDUCIR</t>
        </is>
      </c>
      <c r="C36" s="0">
        <v>1</v>
      </c>
      <c r="D36" s="4" t="inlineStr">
        <is>
          <t xml:space="preserve">Servicios de digitalización de documentos</t>
        </is>
      </c>
      <c r="E36" s="4" t="inlineStr">
        <is>
          <t xml:space="preserve">Servicios basados en ingeniería, ciencias sociales y tecnología de la información / Servicios informáticos / Servicios de datos</t>
        </is>
      </c>
      <c r="F36" s="0">
        <v>1.0</v>
      </c>
      <c r="G36" s="0" t="inlineStr">
        <is>
          <t xml:space="preserve">Global</t>
        </is>
      </c>
      <c r="H36" s="4"/>
    </row>
    <row r="37">
      <c r="A37" s="0" t="inlineStr">
        <is>
          <t xml:space="preserve">5482-116-LE26</t>
        </is>
      </c>
      <c r="B37" s="4" t="inlineStr">
        <is>
          <t xml:space="preserve">SERVICIO INFORMÁTICO INTEGRAL LICENCIAS CONDUCIR</t>
        </is>
      </c>
      <c r="C37" s="0">
        <v>1</v>
      </c>
      <c r="D37" s="4" t="inlineStr">
        <is>
          <t xml:space="preserve">Dispositivos de acceso de red digital de servicios integrados (RDSI)</t>
        </is>
      </c>
      <c r="E37" s="4" t="inlineStr">
        <is>
          <t xml:space="preserve">Tecnologías de la información, telecomunicaciones y radiodifusión / Equipos, plataformas y accesorios de redes multimedia, voz y datos / Equipos de servicio de red</t>
        </is>
      </c>
      <c r="F37" s="0">
        <v>1.0</v>
      </c>
      <c r="G37" s="0" t="inlineStr">
        <is>
          <t xml:space="preserve">Global</t>
        </is>
      </c>
      <c r="H37" s="4"/>
    </row>
    <row r="38">
      <c r="A38" s="0" t="inlineStr">
        <is>
          <t xml:space="preserve">2111-304-LP26</t>
        </is>
      </c>
      <c r="B38" s="4" t="inlineStr">
        <is>
          <t xml:space="preserve">SERV. ALMACENAJE CUSTODIA Y ADM. DE DATOS FÍSICOS</t>
        </is>
      </c>
      <c r="C38" s="0">
        <v>1</v>
      </c>
      <c r="D38" s="4" t="inlineStr">
        <is>
          <t xml:space="preserve">Almacenaje de documentos en carpetas</t>
        </is>
      </c>
      <c r="E38" s="4" t="inlineStr">
        <is>
          <t xml:space="preserve">Servicios de transporte, almacenaje y correo / Almacenaje / Almacenaje de mercancía en general</t>
        </is>
      </c>
      <c r="F38" s="0">
        <v>1.0</v>
      </c>
      <c r="G38" s="0" t="inlineStr">
        <is>
          <t xml:space="preserve">Unidad</t>
        </is>
      </c>
      <c r="H38" s="4" t="inlineStr">
        <is>
          <t xml:space="preserve">SERVICIO DE ALMACENAJE, CUSTODIA Y ADMINISTRACIÓN DE DATOS FÍSICOS DEL HUAP</t>
        </is>
      </c>
    </row>
    <row r="39">
      <c r="A39" s="0" t="inlineStr">
        <is>
          <t xml:space="preserve">587-47-LE26</t>
        </is>
      </c>
      <c r="B39" s="4" t="inlineStr">
        <is>
          <t xml:space="preserve">RENOVACIÓN DE LICENCIAS DE SOFTWARE</t>
        </is>
      </c>
      <c r="C39" s="0">
        <v>1</v>
      </c>
      <c r="D39" s="4" t="inlineStr">
        <is>
          <t xml:space="preserve">Software de gestión de licencias</t>
        </is>
      </c>
      <c r="E39" s="4" t="inlineStr">
        <is>
          <t xml:space="preserve">Tecnologías de la información, telecomunicaciones y radiodifusión / Software / Software de gestión</t>
        </is>
      </c>
      <c r="F39" s="0">
        <v>12.0</v>
      </c>
      <c r="G39" s="0" t="inlineStr">
        <is>
          <t xml:space="preserve">Unidad</t>
        </is>
      </c>
      <c r="H39"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40">
      <c r="A40" s="0" t="inlineStr">
        <is>
          <t xml:space="preserve">1461054-45-LP26</t>
        </is>
      </c>
      <c r="B40" s="4" t="inlineStr">
        <is>
          <t xml:space="preserve">PLATAFORMA DE GESTIÓN EDUCACIONAL PARA 77 E.E</t>
        </is>
      </c>
      <c r="C40" s="0">
        <v>1</v>
      </c>
      <c r="D40" s="4" t="inlineStr">
        <is>
          <t xml:space="preserve">Software del sistema de administración de bases de datos</t>
        </is>
      </c>
      <c r="E40" s="4" t="inlineStr">
        <is>
          <t xml:space="preserve">Tecnologías de la información, telecomunicaciones y radiodifusión / Software / Software de consultas y gestión de datos</t>
        </is>
      </c>
      <c r="F40" s="0">
        <v>1.0</v>
      </c>
      <c r="G40" s="0" t="inlineStr">
        <is>
          <t xml:space="preserve">Unidad</t>
        </is>
      </c>
      <c r="H40" s="4" t="inlineStr">
        <is>
          <t xml:space="preserve">PLATAFORMA DE GESTIÓN EDUCACIONAL PARA 77 ESTABLECIMIENTOS EDUCACIONALES DEPENDIENTES DEL SERVICIO LOCAL DE EDUCACIÓN PÚBLICA ELQUI</t>
        </is>
      </c>
    </row>
    <row r="41">
      <c r="A41" s="0" t="inlineStr">
        <is>
          <t xml:space="preserve">2107-164-LE26</t>
        </is>
      </c>
      <c r="B41" s="4" t="inlineStr">
        <is>
          <t xml:space="preserve">ARRIENDO DE TOTEMS AUTOADMINISTRADOS PARA HSC</t>
        </is>
      </c>
      <c r="C41" s="0">
        <v>1</v>
      </c>
      <c r="D41" s="4" t="inlineStr">
        <is>
          <t xml:space="preserve">Servidores de gama alta</t>
        </is>
      </c>
      <c r="E41" s="4" t="inlineStr">
        <is>
          <t xml:space="preserve">Tecnologías de la información, telecomunicaciones y radiodifusión / Equipos informáticos y accesorios / Computadores</t>
        </is>
      </c>
      <c r="F41" s="0">
        <v>36.0</v>
      </c>
      <c r="G41" s="0" t="inlineStr">
        <is>
          <t xml:space="preserve">Mes</t>
        </is>
      </c>
      <c r="H41" s="4" t="inlineStr">
        <is>
          <t xml:space="preserve">SERVICIO MENSUAL DE ARRIENDO DE 3 TOTEMS AUTOADMINISTRADOS SEGUN BASES</t>
        </is>
      </c>
    </row>
    <row r="42">
      <c r="A42" s="0" t="inlineStr">
        <is>
          <t xml:space="preserve">2107-164-LE26</t>
        </is>
      </c>
      <c r="B42" s="4" t="inlineStr">
        <is>
          <t xml:space="preserve">ARRIENDO DE TOTEMS AUTOADMINISTRADOS PARA HSC</t>
        </is>
      </c>
      <c r="C42" s="0">
        <v>2</v>
      </c>
      <c r="D42" s="4" t="inlineStr">
        <is>
          <t xml:space="preserve">Servidores de gama alta</t>
        </is>
      </c>
      <c r="E42" s="4" t="inlineStr">
        <is>
          <t xml:space="preserve">Tecnologías de la información, telecomunicaciones y radiodifusión / Equipos informáticos y accesorios / Computadores</t>
        </is>
      </c>
      <c r="F42" s="0">
        <v>2000.0</v>
      </c>
      <c r="G42" s="0" t="inlineStr">
        <is>
          <t xml:space="preserve">Unidad</t>
        </is>
      </c>
      <c r="H42" s="4" t="inlineStr">
        <is>
          <t xml:space="preserve">Tarjetas NFC/RFID con chip ACR122U</t>
        </is>
      </c>
    </row>
    <row r="43">
      <c r="A43" s="0" t="inlineStr">
        <is>
          <t xml:space="preserve">1247197-81-LE26</t>
        </is>
      </c>
      <c r="B43" s="4" t="inlineStr">
        <is>
          <t xml:space="preserve">SOFTWARE PARA FARMACIAS COMUNALES RES. 556</t>
        </is>
      </c>
      <c r="C43" s="0">
        <v>1</v>
      </c>
      <c r="D43" s="4" t="inlineStr">
        <is>
          <t xml:space="preserve">Software de administración</t>
        </is>
      </c>
      <c r="E43" s="4" t="inlineStr">
        <is>
          <t xml:space="preserve">Tecnologías de la información, telecomunicaciones y radiodifusión / Software / Software de administración de redes</t>
        </is>
      </c>
      <c r="F43" s="0">
        <v>1.0</v>
      </c>
      <c r="G43" s="0" t="inlineStr">
        <is>
          <t xml:space="preserve">Unidad</t>
        </is>
      </c>
      <c r="H43" s="4" t="inlineStr">
        <is>
          <t xml:space="preserve">Software para gestión de farmacias comunales</t>
        </is>
      </c>
    </row>
    <row r="44">
      <c r="A44" s="0" t="inlineStr">
        <is>
          <t xml:space="preserve">519302-9-LE26</t>
        </is>
      </c>
      <c r="B44" s="4" t="inlineStr">
        <is>
          <t xml:space="preserve">DISEÑO IMPLEMENTACIÓN MEDICION MARKETING DIGITAL</t>
        </is>
      </c>
      <c r="C44" s="0">
        <v>1</v>
      </c>
      <c r="D44" s="4" t="inlineStr">
        <is>
          <t xml:space="preserve">Campañas publicitarias o de marketing</t>
        </is>
      </c>
      <c r="E44" s="4" t="inlineStr">
        <is>
          <t xml:space="preserve">Servicios profesionales, administrativos y consultorías de gestión empresarial / Servicios para la comercialización y distribución / Ventas y marketing</t>
        </is>
      </c>
      <c r="F44" s="0">
        <v>1.0</v>
      </c>
      <c r="G44" s="0" t="inlineStr">
        <is>
          <t xml:space="preserve">Unidad</t>
        </is>
      </c>
      <c r="H44" s="4" t="inlineStr">
        <is>
          <t xml:space="preserve">DISEÑO, PLANIFICACIÓN, IMPLEMENTACIÓN, ADMINISTRACIÓN, OPTIMIZACIÓN Y MEDICIÓN DE CAMPAÑAS DE MARKETING DIGITAL</t>
        </is>
      </c>
    </row>
    <row r="45">
      <c r="A45" s="0" t="inlineStr">
        <is>
          <t xml:space="preserve">621-909-LR26</t>
        </is>
      </c>
      <c r="B45" s="4" t="inlineStr">
        <is>
          <t xml:space="preserve">TERMOGRAFO DIGITAL MONITOREO TEMPERATURA 1000023277</t>
        </is>
      </c>
      <c r="C45" s="0">
        <v>1</v>
      </c>
      <c r="D45" s="4" t="inlineStr">
        <is>
          <t xml:space="preserve">Termómetros de tele indicación</t>
        </is>
      </c>
      <c r="E45" s="4" t="inlineStr">
        <is>
          <t xml:space="preserve">Equipamiento para laboratorios / Instrumentos de medida y experimentación / Instrumentos para medir temperatura y calor</t>
        </is>
      </c>
      <c r="F45" s="0">
        <v>3000.0</v>
      </c>
      <c r="G45" s="0" t="inlineStr">
        <is>
          <t xml:space="preserve">Unidad</t>
        </is>
      </c>
      <c r="H45" s="4" t="inlineStr">
        <is>
          <t xml:space="preserve">TERMOGRAFO DIGITAL MONITOREO TEMPERATURA; 100005575</t>
        </is>
      </c>
    </row>
    <row r="46">
      <c r="A46" s="0" t="inlineStr">
        <is>
          <t xml:space="preserve">1389183-69-LE26</t>
        </is>
      </c>
      <c r="B46" s="4" t="inlineStr">
        <is>
          <t xml:space="preserve">EQUIPOS INFORMATICOS PARA LICEOS TP</t>
        </is>
      </c>
      <c r="C46" s="0">
        <v>1</v>
      </c>
      <c r="D46" s="4" t="inlineStr">
        <is>
          <t xml:space="preserve">Notebook, laptop o computador portátil excepto Tablet PC</t>
        </is>
      </c>
      <c r="E46" s="4" t="inlineStr">
        <is>
          <t xml:space="preserve">Tecnologías de la información, telecomunicaciones y radiodifusión / Equipos informáticos y accesorios / Computadores</t>
        </is>
      </c>
      <c r="F46" s="0">
        <v>1.0</v>
      </c>
      <c r="G46" s="0" t="inlineStr">
        <is>
          <t xml:space="preserve">Unidad</t>
        </is>
      </c>
      <c r="H46" s="4" t="inlineStr">
        <is>
          <t xml:space="preserve">EQUIPOS INFORMATICOS PARA LICEO COMERCIAL ANDRES BELLO</t>
        </is>
      </c>
    </row>
    <row r="47">
      <c r="A47" s="0" t="inlineStr">
        <is>
          <t xml:space="preserve">1389183-69-LE26</t>
        </is>
      </c>
      <c r="B47" s="4" t="inlineStr">
        <is>
          <t xml:space="preserve">EQUIPOS INFORMATICOS PARA LICEOS TP</t>
        </is>
      </c>
      <c r="C47" s="0">
        <v>2</v>
      </c>
      <c r="D47" s="4" t="inlineStr">
        <is>
          <t xml:space="preserve">Notebook, laptop o computador portátil excepto Tablet PC</t>
        </is>
      </c>
      <c r="E47" s="4" t="inlineStr">
        <is>
          <t xml:space="preserve">Tecnologías de la información, telecomunicaciones y radiodifusión / Equipos informáticos y accesorios / Computadores</t>
        </is>
      </c>
      <c r="F47" s="0">
        <v>1.0</v>
      </c>
      <c r="G47" s="0" t="inlineStr">
        <is>
          <t xml:space="preserve">Unidad</t>
        </is>
      </c>
      <c r="H47" s="4" t="inlineStr">
        <is>
          <t xml:space="preserve">EQUIPOS INFORMATICOS PARA LICEO EDUARDO FREI</t>
        </is>
      </c>
    </row>
    <row r="48">
      <c r="A48" s="0" t="inlineStr">
        <is>
          <t xml:space="preserve">1389183-69-LE26</t>
        </is>
      </c>
      <c r="B48" s="4" t="inlineStr">
        <is>
          <t xml:space="preserve">EQUIPOS INFORMATICOS PARA LICEOS TP</t>
        </is>
      </c>
      <c r="C48" s="0">
        <v>3</v>
      </c>
      <c r="D48" s="4" t="inlineStr">
        <is>
          <t xml:space="preserve">Notebook, laptop o computador portátil excepto Tablet PC</t>
        </is>
      </c>
      <c r="E48" s="4" t="inlineStr">
        <is>
          <t xml:space="preserve">Tecnologías de la información, telecomunicaciones y radiodifusión / Equipos informáticos y accesorios / Computadores</t>
        </is>
      </c>
      <c r="F48" s="0">
        <v>1.0</v>
      </c>
      <c r="G48" s="0" t="inlineStr">
        <is>
          <t xml:space="preserve">Unidad</t>
        </is>
      </c>
      <c r="H48" s="4" t="inlineStr">
        <is>
          <t xml:space="preserve">EQUIPOS INFORMATICOS PARA LICEO ROSAURO SANTANA</t>
        </is>
      </c>
    </row>
    <row r="49">
      <c r="A49" s="0" t="inlineStr">
        <is>
          <t xml:space="preserve">1389183-69-LE26</t>
        </is>
      </c>
      <c r="B49" s="4" t="inlineStr">
        <is>
          <t xml:space="preserve">EQUIPOS INFORMATICOS PARA LICEOS TP</t>
        </is>
      </c>
      <c r="C49" s="0">
        <v>4</v>
      </c>
      <c r="D49" s="4" t="inlineStr">
        <is>
          <t xml:space="preserve">Notebook, laptop o computador portátil excepto Tablet PC</t>
        </is>
      </c>
      <c r="E49" s="4" t="inlineStr">
        <is>
          <t xml:space="preserve">Tecnologías de la información, telecomunicaciones y radiodifusión / Equipos informáticos y accesorios / Computadores</t>
        </is>
      </c>
      <c r="F49" s="0">
        <v>1.0</v>
      </c>
      <c r="G49" s="0" t="inlineStr">
        <is>
          <t xml:space="preserve">Unidad</t>
        </is>
      </c>
      <c r="H49" s="4" t="inlineStr">
        <is>
          <t xml:space="preserve">EQUIPOS INFORMATICOS PARA LICEO NUEVA ZELANDIA</t>
        </is>
      </c>
    </row>
    <row r="50">
      <c r="A50" s="0" t="inlineStr">
        <is>
          <t xml:space="preserve">1389183-69-LE26</t>
        </is>
      </c>
      <c r="B50" s="4" t="inlineStr">
        <is>
          <t xml:space="preserve">EQUIPOS INFORMATICOS PARA LICEOS TP</t>
        </is>
      </c>
      <c r="C50" s="0">
        <v>5</v>
      </c>
      <c r="D50" s="4" t="inlineStr">
        <is>
          <t xml:space="preserve">Notebook, laptop o computador portátil excepto Tablet PC</t>
        </is>
      </c>
      <c r="E50" s="4" t="inlineStr">
        <is>
          <t xml:space="preserve">Tecnologías de la información, telecomunicaciones y radiodifusión / Equipos informáticos y accesorios / Computadores</t>
        </is>
      </c>
      <c r="F50" s="0">
        <v>1.0</v>
      </c>
      <c r="G50" s="0" t="inlineStr">
        <is>
          <t xml:space="preserve">Unidad</t>
        </is>
      </c>
      <c r="H50" s="4" t="inlineStr">
        <is>
          <t xml:space="preserve">EQUIPOS INFORMATICOS PARA LICEO YOBILO</t>
        </is>
      </c>
    </row>
    <row r="51">
      <c r="A51" s="0" t="inlineStr">
        <is>
          <t xml:space="preserve">1499-200-LE26</t>
        </is>
      </c>
      <c r="B51" s="4" t="inlineStr">
        <is>
          <t xml:space="preserve">RBV SERVICIO DE OPERADORA VIRTUAL IVR CON INTELIGENCIA ARTIFICIAL CONVERSACIONAL</t>
        </is>
      </c>
      <c r="C51" s="0">
        <v>1</v>
      </c>
      <c r="D51" s="4" t="inlineStr">
        <is>
          <t xml:space="preserve">Centro de servicio de mensajes cortos</t>
        </is>
      </c>
      <c r="E51" s="4" t="inlineStr">
        <is>
          <t xml:space="preserve">Tecnologías de la información, telecomunicaciones y radiodifusión / Equipos, plataformas y accesorios de redes multimedia, voz y datos / Plataformas de mensajería por móvil</t>
        </is>
      </c>
      <c r="F51" s="0">
        <v>1.0</v>
      </c>
      <c r="G51" s="0" t="inlineStr">
        <is>
          <t xml:space="preserve">Global</t>
        </is>
      </c>
      <c r="H51" s="4" t="inlineStr">
        <is>
          <t xml:space="preserve">Servicio contactabilidad</t>
        </is>
      </c>
    </row>
    <row r="52">
      <c r="A52" s="0" t="inlineStr">
        <is>
          <t xml:space="preserve">2426-52-LR26</t>
        </is>
      </c>
      <c r="B52" s="4" t="inlineStr">
        <is>
          <t xml:space="preserve">DATACENTER ENLACES DE DATOS TELEFONIA E INTERNET</t>
        </is>
      </c>
      <c r="C52" s="0">
        <v>1</v>
      </c>
      <c r="D52" s="4" t="inlineStr">
        <is>
          <t xml:space="preserve">Centro de servicios de datos</t>
        </is>
      </c>
      <c r="E52" s="4" t="inlineStr">
        <is>
          <t xml:space="preserve">Servicios basados en ingeniería, ciencias sociales y tecnología de la información / Servicios informáticos / Servicios de datos</t>
        </is>
      </c>
      <c r="F52" s="0">
        <v>1.0</v>
      </c>
      <c r="G52" s="0" t="inlineStr">
        <is>
          <t xml:space="preserve">Unidad</t>
        </is>
      </c>
      <c r="H52" s="4"/>
    </row>
    <row r="53">
      <c r="A53" s="0" t="inlineStr">
        <is>
          <t xml:space="preserve">3797-52-LE26</t>
        </is>
      </c>
      <c r="B53" s="4" t="inlineStr">
        <is>
          <t xml:space="preserve">ADQUISICION E INSTALACION DE TABLERO MARCADOR</t>
        </is>
      </c>
      <c r="C53" s="0">
        <v>1</v>
      </c>
      <c r="D53" s="4" t="inlineStr">
        <is>
          <t xml:space="preserve">Marcadores deportivos</t>
        </is>
      </c>
      <c r="E53" s="4" t="inlineStr">
        <is>
          <t xml:space="preserve">Equipos, suministros y accesorios deportivos y recreativos / Equipos y accesorios de deportes / Accesorios para deportes</t>
        </is>
      </c>
      <c r="F53" s="0">
        <v>1.0</v>
      </c>
      <c r="G53" s="0" t="inlineStr">
        <is>
          <t xml:space="preserve">Unidad</t>
        </is>
      </c>
      <c r="H53" s="4" t="inlineStr">
        <is>
          <t xml:space="preserve">Adquisición e instalación de Tablero Marcador</t>
        </is>
      </c>
    </row>
    <row r="54">
      <c r="A54" s="0" t="inlineStr">
        <is>
          <t xml:space="preserve">1221019-17-LE26</t>
        </is>
      </c>
      <c r="B54" s="4" t="inlineStr">
        <is>
          <t xml:space="preserve">Plataforma de Venta de Entradas para Evento.</t>
        </is>
      </c>
      <c r="C54" s="0">
        <v>1</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De acuerdo a lo Establecido en las Bases Administrativas y Técnicas de la presente propuesta pública.</t>
        </is>
      </c>
    </row>
    <row r="55">
      <c r="A55" s="0" t="inlineStr">
        <is>
          <t xml:space="preserve">599-41-LE26</t>
        </is>
      </c>
      <c r="B55" s="4" t="inlineStr">
        <is>
          <t xml:space="preserve">CREATIVE CLOUD ADOBE ACROBAT PRO Y ACROBAT O EQUI</t>
        </is>
      </c>
      <c r="C55" s="0">
        <v>1</v>
      </c>
      <c r="D55" s="4" t="inlineStr">
        <is>
          <t xml:space="preserve">Software de gestión de licencias</t>
        </is>
      </c>
      <c r="E55" s="4" t="inlineStr">
        <is>
          <t xml:space="preserve">Tecnologías de la información, telecomunicaciones y radiodifusión / Software / Software de gestión</t>
        </is>
      </c>
      <c r="F55" s="0">
        <v>22.0</v>
      </c>
      <c r="G55" s="0" t="inlineStr">
        <is>
          <t xml:space="preserve">Unidad</t>
        </is>
      </c>
      <c r="H55" s="4" t="inlineStr">
        <is>
          <t xml:space="preserve">Adobe Creative Cloud o equivalente</t>
        </is>
      </c>
    </row>
    <row r="56">
      <c r="A56" s="0" t="inlineStr">
        <is>
          <t xml:space="preserve">599-41-LE26</t>
        </is>
      </c>
      <c r="B56" s="4" t="inlineStr">
        <is>
          <t xml:space="preserve">CREATIVE CLOUD ADOBE ACROBAT PRO Y ACROBAT O EQUI</t>
        </is>
      </c>
      <c r="C56" s="0">
        <v>2</v>
      </c>
      <c r="D56" s="4" t="inlineStr">
        <is>
          <t xml:space="preserve">Software de gestión de licencias</t>
        </is>
      </c>
      <c r="E56" s="4" t="inlineStr">
        <is>
          <t xml:space="preserve">Tecnologías de la información, telecomunicaciones y radiodifusión / Software / Software de gestión</t>
        </is>
      </c>
      <c r="F56" s="0">
        <v>40.0</v>
      </c>
      <c r="G56" s="0" t="inlineStr">
        <is>
          <t xml:space="preserve">Unidad</t>
        </is>
      </c>
      <c r="H56" s="4" t="inlineStr">
        <is>
          <t xml:space="preserve">Adobe Acrobat Pro o equivalente</t>
        </is>
      </c>
    </row>
    <row r="57">
      <c r="A57" s="0" t="inlineStr">
        <is>
          <t xml:space="preserve">599-41-LE26</t>
        </is>
      </c>
      <c r="B57" s="4" t="inlineStr">
        <is>
          <t xml:space="preserve">CREATIVE CLOUD ADOBE ACROBAT PRO Y ACROBAT O EQUI</t>
        </is>
      </c>
      <c r="C57" s="0">
        <v>3</v>
      </c>
      <c r="D57" s="4" t="inlineStr">
        <is>
          <t xml:space="preserve">Software de gestión de licencias</t>
        </is>
      </c>
      <c r="E57" s="4" t="inlineStr">
        <is>
          <t xml:space="preserve">Tecnologías de la información, telecomunicaciones y radiodifusión / Software / Software de gestión</t>
        </is>
      </c>
      <c r="F57" s="0">
        <v>26.0</v>
      </c>
      <c r="G57" s="0" t="inlineStr">
        <is>
          <t xml:space="preserve">Unidad</t>
        </is>
      </c>
      <c r="H57" s="4" t="inlineStr">
        <is>
          <t xml:space="preserve">Adobe Acrobat Studio o equivalente</t>
        </is>
      </c>
    </row>
    <row r="58">
      <c r="A58" s="0" t="inlineStr">
        <is>
          <t xml:space="preserve">5416-43-L126</t>
        </is>
      </c>
      <c r="B58" s="4" t="inlineStr">
        <is>
          <t xml:space="preserve">Sistema Integral de Automatización Climática para Invernadero de Investigación</t>
        </is>
      </c>
      <c r="C58" s="0">
        <v>1</v>
      </c>
      <c r="D58" s="4" t="inlineStr">
        <is>
          <t xml:space="preserve">Servicios de reparación, mantenimiento o reparación de aire acondicionado</t>
        </is>
      </c>
      <c r="E58" s="4" t="inlineStr">
        <is>
          <t xml:space="preserve">Servicios de construcción y mantenimiento / Servicios de atención, mantenimiento y reparaciones de edificios / Gasfitería, calefacción y aire acondicionado</t>
        </is>
      </c>
      <c r="F58" s="0">
        <v>1.0</v>
      </c>
      <c r="G58" s="0" t="inlineStr">
        <is>
          <t xml:space="preserve">Unidad</t>
        </is>
      </c>
      <c r="H58" s="4" t="inlineStr">
        <is>
          <t xml:space="preserve">Sistema integral de automatización climática para invernadero de investigación</t>
        </is>
      </c>
    </row>
    <row r="59">
      <c r="A59" s="0" t="inlineStr">
        <is>
          <t xml:space="preserve">599-42-LE26</t>
        </is>
      </c>
      <c r="B59" s="4" t="inlineStr">
        <is>
          <t xml:space="preserve">PLATAFORMA INSTITUCIONAL DE IA GENERATIVA CHATGPT</t>
        </is>
      </c>
      <c r="C59" s="0">
        <v>1</v>
      </c>
      <c r="D59" s="4" t="inlineStr">
        <is>
          <t xml:space="preserve">Software de creación de informes de bases de datos</t>
        </is>
      </c>
      <c r="E59" s="4" t="inlineStr">
        <is>
          <t xml:space="preserve">Tecnologías de la información, telecomunicaciones y radiodifusión / Software / Software de consultas y gestión de datos</t>
        </is>
      </c>
      <c r="F59" s="0">
        <v>1.0</v>
      </c>
      <c r="G59" s="0" t="inlineStr">
        <is>
          <t xml:space="preserve">Unidad</t>
        </is>
      </c>
      <c r="H59" s="4" t="inlineStr">
        <is>
          <t xml:space="preserve">Inteligencia Artificial Generativa Chatgpt Business, Por Un Período De Doce Meses</t>
        </is>
      </c>
    </row>
    <row r="60">
      <c r="A60" s="0" t="inlineStr">
        <is>
          <t xml:space="preserve">1260113-6-L126</t>
        </is>
      </c>
      <c r="B60" s="4" t="inlineStr">
        <is>
          <t xml:space="preserve">ADQUISICIÓN LICENCIAS MICROSOFT OFFICE 365 A3 FOR FACULTY PARA PROYECTO “ADQUISICIÓN Y REPOSICIÓN DE EQUIPOS INFORMÁTICOS ESTABLECIMIENTOS EDUCACIONALES RURALES SLEPCH”, CÓDIGO BIP 40065439-0</t>
        </is>
      </c>
      <c r="C60" s="0">
        <v>1</v>
      </c>
      <c r="D60" s="4" t="inlineStr">
        <is>
          <t xml:space="preserve">Software de gestión de licencias</t>
        </is>
      </c>
      <c r="E60" s="4" t="inlineStr">
        <is>
          <t xml:space="preserve">Tecnologías de la información, telecomunicaciones y radiodifusión / Software / Software de gestión</t>
        </is>
      </c>
      <c r="F60" s="0">
        <v>72.0</v>
      </c>
      <c r="G60" s="0" t="inlineStr">
        <is>
          <t xml:space="preserve">Unidad</t>
        </is>
      </c>
      <c r="H60" s="4" t="inlineStr">
        <is>
          <t xml:space="preserve">ITEM N°1: LICENCIAS MICROSOFT OFFICE 365 A3 FOR FACULTY</t>
        </is>
      </c>
    </row>
    <row r="61">
      <c r="A61" s="0" t="inlineStr">
        <is>
          <t xml:space="preserve">1057432-101-LE26</t>
        </is>
      </c>
      <c r="B61" s="4" t="inlineStr">
        <is>
          <t xml:space="preserve">SOFTWARE DE DISEÑO PARA SSC POR 12 MESES.</t>
        </is>
      </c>
      <c r="C61" s="0">
        <v>1</v>
      </c>
      <c r="D61" s="4" t="inlineStr">
        <is>
          <t xml:space="preserve">Software de gestión de licencias</t>
        </is>
      </c>
      <c r="E61" s="4" t="inlineStr">
        <is>
          <t xml:space="preserve">Tecnologías de la información, telecomunicaciones y radiodifusión / Software / Software de gestión</t>
        </is>
      </c>
      <c r="F61" s="0">
        <v>13.0</v>
      </c>
      <c r="G61" s="0" t="inlineStr">
        <is>
          <t xml:space="preserve">Unidad</t>
        </is>
      </c>
      <c r="H61" s="4" t="inlineStr">
        <is>
          <t xml:space="preserve">Software CAD Básico (equivalente a Autodesk Autocad LT).</t>
        </is>
      </c>
    </row>
    <row r="62">
      <c r="A62" s="0" t="inlineStr">
        <is>
          <t xml:space="preserve">1057432-101-LE26</t>
        </is>
      </c>
      <c r="B62" s="4" t="inlineStr">
        <is>
          <t xml:space="preserve">SOFTWARE DE DISEÑO PARA SSC POR 12 MESES.</t>
        </is>
      </c>
      <c r="C62" s="0">
        <v>2</v>
      </c>
      <c r="D62" s="4" t="inlineStr">
        <is>
          <t xml:space="preserve">Software de gestión de licencias</t>
        </is>
      </c>
      <c r="E62" s="4" t="inlineStr">
        <is>
          <t xml:space="preserve">Tecnologías de la información, telecomunicaciones y radiodifusión / Software / Software de gestión</t>
        </is>
      </c>
      <c r="F62" s="0">
        <v>8.0</v>
      </c>
      <c r="G62" s="0" t="inlineStr">
        <is>
          <t xml:space="preserve">Unidad</t>
        </is>
      </c>
      <c r="H62"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63">
      <c r="A63" s="0" t="inlineStr">
        <is>
          <t xml:space="preserve">622-64-L126</t>
        </is>
      </c>
      <c r="B63" s="4" t="inlineStr">
        <is>
          <t xml:space="preserve">CONTRATACIÓN DEL CURSO INTELIGENCIA ARTIFICIAL APLICADA A LA GESTIÓN GREMIAL Y LA FUNCIÓN PÚBLICA</t>
        </is>
      </c>
      <c r="C63" s="0">
        <v>1</v>
      </c>
      <c r="D63" s="4" t="inlineStr">
        <is>
          <t xml:space="preserve">Capacitación a empleados</t>
        </is>
      </c>
      <c r="E63" s="4" t="inlineStr">
        <is>
          <t xml:space="preserve">Educación, formación, entrenamiento y capacitación / Sistemas educativos complementarios / Educación de adultos</t>
        </is>
      </c>
      <c r="F63" s="0">
        <v>1.0</v>
      </c>
      <c r="G63" s="0" t="inlineStr">
        <is>
          <t xml:space="preserve">Unidad</t>
        </is>
      </c>
      <c r="H63" s="4" t="inlineStr">
        <is>
          <t xml:space="preserve">CURSO INTELIGENCIA ARTIFICIAL APLICADA A LA GESTIÓN GREMIAL Y LA FUNCIÓN PÚBLICA</t>
        </is>
      </c>
    </row>
    <row r="64">
      <c r="A64" s="0" t="inlineStr">
        <is>
          <t xml:space="preserve">872-51-LE26</t>
        </is>
      </c>
      <c r="B64" s="4" t="inlineStr">
        <is>
          <t xml:space="preserve">Servicio Cloud Computing</t>
        </is>
      </c>
      <c r="C64" s="0">
        <v>1</v>
      </c>
      <c r="D64" s="4" t="inlineStr">
        <is>
          <t xml:space="preserve">Web Hosting</t>
        </is>
      </c>
      <c r="E64" s="4" t="inlineStr">
        <is>
          <t xml:space="preserve">Servicios basados en ingeniería, ciencias sociales y tecnología de la información / Servicios informáticos / Servicios para internet</t>
        </is>
      </c>
      <c r="F64" s="0">
        <v>1.0</v>
      </c>
      <c r="G64" s="0" t="inlineStr">
        <is>
          <t xml:space="preserve">Unidad</t>
        </is>
      </c>
      <c r="H64" s="4" t="inlineStr">
        <is>
          <t xml:space="preserve">Servicio de Cloud Computing</t>
        </is>
      </c>
    </row>
    <row r="65">
      <c r="A65" s="0" t="inlineStr">
        <is>
          <t xml:space="preserve">2770-154-LP26</t>
        </is>
      </c>
      <c r="B65" s="4" t="inlineStr">
        <is>
          <t xml:space="preserve">SERVICIOS DE TELEFONÍA Y DATOS MÓVILES</t>
        </is>
      </c>
      <c r="C65" s="0">
        <v>1</v>
      </c>
      <c r="D65" s="4" t="inlineStr">
        <is>
          <t xml:space="preserve">Servicios de telefonía móvil</t>
        </is>
      </c>
      <c r="E65" s="4" t="inlineStr">
        <is>
          <t xml:space="preserve">Servicios básicos y de información pública / Telecomunicaciones / Comunicaciones móviles</t>
        </is>
      </c>
      <c r="F65" s="0">
        <v>1.0</v>
      </c>
      <c r="G65" s="0" t="inlineStr">
        <is>
          <t xml:space="preserve">Global</t>
        </is>
      </c>
      <c r="H65" s="4" t="inlineStr">
        <is>
          <t xml:space="preserve">Servicio de telefonía y datos móviles, conforme a bases de licitación</t>
        </is>
      </c>
    </row>
    <row r="66">
      <c r="A66" s="0" t="inlineStr">
        <is>
          <t xml:space="preserve">629373-23-LE26</t>
        </is>
      </c>
      <c r="B66" s="4" t="inlineStr">
        <is>
          <t xml:space="preserve">SERVICIO DE TÓTEMS DE AUTOATENCIÓN</t>
        </is>
      </c>
      <c r="C66" s="0">
        <v>1</v>
      </c>
      <c r="D66" s="4" t="inlineStr">
        <is>
          <t xml:space="preserve">Sistemas de control de formación de filas</t>
        </is>
      </c>
      <c r="E66" s="4" t="inlineStr">
        <is>
          <t xml:space="preserve">Equipos y suministros de defensa, orden público, protección y seguridad / Equipos para orden público / Equipo para control de disturbios</t>
        </is>
      </c>
      <c r="F66" s="0">
        <v>1.0</v>
      </c>
      <c r="G66" s="0" t="inlineStr">
        <is>
          <t xml:space="preserve">Global</t>
        </is>
      </c>
      <c r="H66" s="4" t="inlineStr">
        <is>
          <t xml:space="preserve">“SERVICIO DE ATENCIÓN PARA LA ADMINISTRACIÓN DE FILAS (TÓTEMS DE 
AUTOATENCIÓN) Y CUMPLIMIENTO DE LA LEY DE ATENCIÓN PREFERENCIAL EN LOS 
CENTROS DE SALUD FAMILIAR DE LA COMUNA DE SAN MIGUEL”</t>
        </is>
      </c>
    </row>
    <row r="67">
      <c r="A67" s="0" t="inlineStr">
        <is>
          <t xml:space="preserve">3730-102-L126</t>
        </is>
      </c>
      <c r="B67" s="4" t="inlineStr">
        <is>
          <t xml:space="preserve">REPARACION , MANTECION  TABLEROS DE BASQUETBOL GIMNASIO MUNICIPAL</t>
        </is>
      </c>
      <c r="C67" s="0">
        <v>1</v>
      </c>
      <c r="D67" s="4" t="inlineStr">
        <is>
          <t xml:space="preserve">Servicios de reparación o manutención del panel de instrumentos</t>
        </is>
      </c>
      <c r="E67" s="4" t="inlineStr">
        <is>
          <t xml:space="preserve">Servicios de transporte, almacenaje y correo / Servicios de mantención o reparaciones de transportes / Servicios de panel, chapa y pintura</t>
        </is>
      </c>
      <c r="F67" s="0">
        <v>1.0</v>
      </c>
      <c r="G67" s="0" t="inlineStr">
        <is>
          <t xml:space="preserve">Unidad no definida</t>
        </is>
      </c>
      <c r="H67" s="4" t="inlineStr">
        <is>
          <t xml:space="preserve">REPARACIÓN, MANTENCIÓN Y MEJORAS DEL SISTEMA RETRÁCTIL, TABLEROS Y AROS DE BASQUETBOL DEL GIMNASIO MUNICIPAL</t>
        </is>
      </c>
    </row>
    <row r="68">
      <c r="A68" s="0" t="inlineStr">
        <is>
          <t xml:space="preserve">2735-149-LR26</t>
        </is>
      </c>
      <c r="B68" s="4" t="inlineStr">
        <is>
          <t xml:space="preserve">Servicio de Software de Gestión y Registro Clinico</t>
        </is>
      </c>
      <c r="C68" s="0">
        <v>1</v>
      </c>
      <c r="D68" s="4" t="inlineStr">
        <is>
          <t xml:space="preserve">Software médico</t>
        </is>
      </c>
      <c r="E68" s="4" t="inlineStr">
        <is>
          <t xml:space="preserve">Tecnologías de la información, telecomunicaciones y radiodifusión / Software / Software específico para la industria</t>
        </is>
      </c>
      <c r="F68" s="0">
        <v>1.0</v>
      </c>
      <c r="G68" s="0" t="inlineStr">
        <is>
          <t xml:space="preserve">Unidad</t>
        </is>
      </c>
      <c r="H6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69">
      <c r="A69" s="0" t="inlineStr">
        <is>
          <t xml:space="preserve">542429-10-LE26</t>
        </is>
      </c>
      <c r="B69" s="4" t="inlineStr">
        <is>
          <t xml:space="preserve">Renovación de licencias de software</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Renovación de licencias de software: Ítem 1: Log360, por 3 años.</t>
        </is>
      </c>
    </row>
    <row r="70">
      <c r="A70" s="0" t="inlineStr">
        <is>
          <t xml:space="preserve">542429-10-LE26</t>
        </is>
      </c>
      <c r="B70" s="4" t="inlineStr">
        <is>
          <t xml:space="preserve">Renovación de licencias de software</t>
        </is>
      </c>
      <c r="C70" s="0">
        <v>2</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Renovación de licencias de software: Ítem 2: Microsoft 365 descargable, por 1 año.</t>
        </is>
      </c>
    </row>
    <row r="71">
      <c r="A71" s="0" t="inlineStr">
        <is>
          <t xml:space="preserve">654478-7-LP26</t>
        </is>
      </c>
      <c r="B71" s="4" t="inlineStr">
        <is>
          <t xml:space="preserve">RENOVACIÓN DE SOPORTE DE LICENCIAS DE SOFTWARE</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Línea N° 1: Renovación de Soporte de Licencias Backup Exec</t>
        </is>
      </c>
    </row>
    <row r="72">
      <c r="A72" s="0" t="inlineStr">
        <is>
          <t xml:space="preserve">654478-7-LP26</t>
        </is>
      </c>
      <c r="B72" s="4" t="inlineStr">
        <is>
          <t xml:space="preserve">RENOVACIÓN DE SOPORTE DE LICENCIAS DE SOFTWARE</t>
        </is>
      </c>
      <c r="C72" s="0">
        <v>2</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Línea N°2: Renovación de suscripción de Soporte de Licencias InvGate Service-Desk</t>
        </is>
      </c>
    </row>
    <row r="73">
      <c r="A73" s="0" t="inlineStr">
        <is>
          <t xml:space="preserve">654478-7-LP26</t>
        </is>
      </c>
      <c r="B73" s="4" t="inlineStr">
        <is>
          <t xml:space="preserve">RENOVACIÓN DE SOPORTE DE LICENCIAS DE SOFTWARE</t>
        </is>
      </c>
      <c r="C73" s="0">
        <v>3</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Línea N°3: Renovación de Suscripción de licencia API Google Maps</t>
        </is>
      </c>
    </row>
    <row r="74">
      <c r="A74" s="0" t="inlineStr">
        <is>
          <t xml:space="preserve">654478-7-LP26</t>
        </is>
      </c>
      <c r="B74" s="4" t="inlineStr">
        <is>
          <t xml:space="preserve">RENOVACIÓN DE SOPORTE DE LICENCIAS DE SOFTWARE</t>
        </is>
      </c>
      <c r="C74" s="0">
        <v>4</v>
      </c>
      <c r="D74" s="4" t="inlineStr">
        <is>
          <t xml:space="preserve">Software de gestión de licencias</t>
        </is>
      </c>
      <c r="E74" s="4" t="inlineStr">
        <is>
          <t xml:space="preserve">Tecnologías de la información, telecomunicaciones y radiodifusión / Software / Software de gestión</t>
        </is>
      </c>
      <c r="F74" s="0">
        <v>1.0</v>
      </c>
      <c r="G74" s="0" t="inlineStr">
        <is>
          <t xml:space="preserve">Unidad</t>
        </is>
      </c>
      <c r="H74" s="4" t="inlineStr">
        <is>
          <t xml:space="preserve">Línea N°4: Renovación de Suscripción de Soporte de Licencias Red Hat Linux</t>
        </is>
      </c>
    </row>
    <row r="75">
      <c r="A75" s="0" t="inlineStr">
        <is>
          <t xml:space="preserve">654478-7-LP26</t>
        </is>
      </c>
      <c r="B75" s="4" t="inlineStr">
        <is>
          <t xml:space="preserve">RENOVACIÓN DE SOPORTE DE LICENCIAS DE SOFTWARE</t>
        </is>
      </c>
      <c r="C75" s="0">
        <v>5</v>
      </c>
      <c r="D75" s="4" t="inlineStr">
        <is>
          <t xml:space="preserve">Software de gestión de licencias</t>
        </is>
      </c>
      <c r="E75" s="4" t="inlineStr">
        <is>
          <t xml:space="preserve">Tecnologías de la información, telecomunicaciones y radiodifusión / Software / Software de gestión</t>
        </is>
      </c>
      <c r="F75" s="0">
        <v>1.0</v>
      </c>
      <c r="G75" s="0" t="inlineStr">
        <is>
          <t xml:space="preserve">Unidad</t>
        </is>
      </c>
      <c r="H75" s="4" t="inlineStr">
        <is>
          <t xml:space="preserve">Línea N°5: Renovación y Adquisición de Suscripción, Soporte y Migración hacia Qlik Cloud Analytics</t>
        </is>
      </c>
    </row>
    <row r="76">
      <c r="A76" s="0" t="inlineStr">
        <is>
          <t xml:space="preserve">654478-7-LP26</t>
        </is>
      </c>
      <c r="B76" s="4" t="inlineStr">
        <is>
          <t xml:space="preserve">RENOVACIÓN DE SOPORTE DE LICENCIAS DE SOFTWARE</t>
        </is>
      </c>
      <c r="C76" s="0">
        <v>6</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Línea N°6 Renovación de Suscripción de Licencia Tenable Nessus Expert</t>
        </is>
      </c>
    </row>
    <row r="77">
      <c r="A77" s="0" t="inlineStr">
        <is>
          <t xml:space="preserve">654478-7-LP26</t>
        </is>
      </c>
      <c r="B77" s="4" t="inlineStr">
        <is>
          <t xml:space="preserve">RENOVACIÓN DE SOPORTE DE LICENCIAS DE SOFTWARE</t>
        </is>
      </c>
      <c r="C77" s="0">
        <v>7</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Unidad</t>
        </is>
      </c>
      <c r="H77" s="4" t="inlineStr">
        <is>
          <t xml:space="preserve">Línea N°7   Renovación de Suscripción y Soporte de Licencias Statistics Smart Pack</t>
        </is>
      </c>
    </row>
    <row r="78">
      <c r="A78" s="0" t="inlineStr">
        <is>
          <t xml:space="preserve">654478-7-LP26</t>
        </is>
      </c>
      <c r="B78" s="4" t="inlineStr">
        <is>
          <t xml:space="preserve">RENOVACIÓN DE SOPORTE DE LICENCIAS DE SOFTWARE</t>
        </is>
      </c>
      <c r="C78" s="0">
        <v>8</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Unidad</t>
        </is>
      </c>
      <c r="H78" s="4" t="inlineStr">
        <is>
          <t xml:space="preserve">Línea N°8 Renovación de Suscripciones de Licencias Auto CAD LT 2024 Commercial New Single User ELD Annual</t>
        </is>
      </c>
    </row>
    <row r="79">
      <c r="A79" s="0" t="inlineStr">
        <is>
          <t xml:space="preserve">654478-7-LP26</t>
        </is>
      </c>
      <c r="B79" s="4" t="inlineStr">
        <is>
          <t xml:space="preserve">RENOVACIÓN DE SOPORTE DE LICENCIAS DE SOFTWARE</t>
        </is>
      </c>
      <c r="C79" s="0">
        <v>9</v>
      </c>
      <c r="D79" s="4" t="inlineStr">
        <is>
          <t xml:space="preserve">Software de gestión de licencias</t>
        </is>
      </c>
      <c r="E79" s="4" t="inlineStr">
        <is>
          <t xml:space="preserve">Tecnologías de la información, telecomunicaciones y radiodifusión / Software / Software de gestión</t>
        </is>
      </c>
      <c r="F79" s="0">
        <v>1.0</v>
      </c>
      <c r="G79" s="0" t="inlineStr">
        <is>
          <t xml:space="preserve">Unidad</t>
        </is>
      </c>
      <c r="H79" s="4" t="inlineStr">
        <is>
          <t xml:space="preserve">Línea N°9 Renovación de Suscripciones de Licencias Adobe Creative Cloud for Teams All multiple plataforms Multi Latin American Languages Subcription 1 User Level 11-9</t>
        </is>
      </c>
    </row>
    <row r="80">
      <c r="A80" s="0" t="inlineStr">
        <is>
          <t xml:space="preserve">654478-7-LP26</t>
        </is>
      </c>
      <c r="B80" s="4" t="inlineStr">
        <is>
          <t xml:space="preserve">RENOVACIÓN DE SOPORTE DE LICENCIAS DE SOFTWARE</t>
        </is>
      </c>
      <c r="C80" s="0">
        <v>10</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Línea N°10 Renovación y Adquisición de Suscripciones de Licencias Miro Project Planner Business</t>
        </is>
      </c>
    </row>
    <row r="81">
      <c r="A81" s="0" t="inlineStr">
        <is>
          <t xml:space="preserve">654478-7-LP26</t>
        </is>
      </c>
      <c r="B81" s="4" t="inlineStr">
        <is>
          <t xml:space="preserve">RENOVACIÓN DE SOPORTE DE LICENCIAS DE SOFTWARE</t>
        </is>
      </c>
      <c r="C81" s="0">
        <v>11</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Unidad</t>
        </is>
      </c>
      <c r="H81" s="4" t="inlineStr">
        <is>
          <t xml:space="preserve">Línea N°11 Renovación y Adquisición de Suscripciones de Licencias FIGMA Professional Full Seat</t>
        </is>
      </c>
    </row>
    <row r="82">
      <c r="A82" s="0" t="inlineStr">
        <is>
          <t xml:space="preserve">654478-7-LP26</t>
        </is>
      </c>
      <c r="B82" s="4" t="inlineStr">
        <is>
          <t xml:space="preserve">RENOVACIÓN DE SOPORTE DE LICENCIAS DE SOFTWARE</t>
        </is>
      </c>
      <c r="C82" s="0">
        <v>12</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Unidad</t>
        </is>
      </c>
      <c r="H82" s="4" t="inlineStr">
        <is>
          <t xml:space="preserve">Línea N°12 Adquisición de Suscripción de Licencia SonarQube Developer Edition</t>
        </is>
      </c>
    </row>
    <row r="83">
      <c r="A83" s="0" t="inlineStr">
        <is>
          <t xml:space="preserve">654478-7-LP26</t>
        </is>
      </c>
      <c r="B83" s="4" t="inlineStr">
        <is>
          <t xml:space="preserve">RENOVACIÓN DE SOPORTE DE LICENCIAS DE SOFTWARE</t>
        </is>
      </c>
      <c r="C83" s="0">
        <v>13</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Línea N°13 Adquisición de Suscripción de Licencias Claude AI Team Standard Seats</t>
        </is>
      </c>
    </row>
    <row r="84">
      <c r="A84" s="0" t="inlineStr">
        <is>
          <t xml:space="preserve">654478-7-LP26</t>
        </is>
      </c>
      <c r="B84" s="4" t="inlineStr">
        <is>
          <t xml:space="preserve">RENOVACIÓN DE SOPORTE DE LICENCIAS DE SOFTWARE</t>
        </is>
      </c>
      <c r="C84" s="0">
        <v>14</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Línea N°14 Adquisición de suscripción de Licencias Claude Max 20x</t>
        </is>
      </c>
    </row>
    <row r="85">
      <c r="A85" s="0" t="inlineStr">
        <is>
          <t xml:space="preserve">885-107-LE26</t>
        </is>
      </c>
      <c r="B85" s="4" t="inlineStr">
        <is>
          <t xml:space="preserve">Contratación de una herramienta automatizada de análisis de vulnerabilidades de ciberseguridad para la CGR</t>
        </is>
      </c>
      <c r="C85" s="0">
        <v>1</v>
      </c>
      <c r="D85" s="4" t="inlineStr">
        <is>
          <t xml:space="preserve">Software de sistema experto</t>
        </is>
      </c>
      <c r="E85" s="4" t="inlineStr">
        <is>
          <t xml:space="preserve">Tecnologías de la información, telecomunicaciones y radiodifusión / Software / Software de gestión</t>
        </is>
      </c>
      <c r="F85" s="0">
        <v>1.0</v>
      </c>
      <c r="G85" s="0" t="inlineStr">
        <is>
          <t xml:space="preserve">Global</t>
        </is>
      </c>
      <c r="H85" s="4" t="inlineStr">
        <is>
          <t xml:space="preserve">Herramienta automatizada de análisis de vulnerabilidades de ciberseguridad, que incluya la provisión e instalación del software, capacitación para su uso, licencias y soporte, por un período de 12 meses.</t>
        </is>
      </c>
    </row>
    <row r="86">
      <c r="A86" s="0" t="inlineStr">
        <is>
          <t xml:space="preserve">591-39-LE26</t>
        </is>
      </c>
      <c r="B86" s="4" t="inlineStr">
        <is>
          <t xml:space="preserve">CURSO HERRAM-ANALI-AUTOMA-GESTION DATOS-AUDITORIA</t>
        </is>
      </c>
      <c r="C86" s="0">
        <v>1</v>
      </c>
      <c r="D86" s="4" t="inlineStr">
        <is>
          <t xml:space="preserve">Programas o cursos no diplomados a distancia</t>
        </is>
      </c>
      <c r="E86" s="4" t="inlineStr">
        <is>
          <t xml:space="preserve">Educación, formación, entrenamiento y capacitación / Sistemas educativos complementarios / Aprendizaje a distancia</t>
        </is>
      </c>
      <c r="F86" s="0">
        <v>1.0</v>
      </c>
      <c r="G86" s="0" t="inlineStr">
        <is>
          <t xml:space="preserve">Unidad</t>
        </is>
      </c>
      <c r="H86"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87">
      <c r="A87" s="0" t="inlineStr">
        <is>
          <t xml:space="preserve">4362-31-LP26</t>
        </is>
      </c>
      <c r="B87" s="4" t="inlineStr">
        <is>
          <t xml:space="preserve">Construcción Hitos de Acceso y Tótems Turísticos</t>
        </is>
      </c>
      <c r="C87" s="0">
        <v>1</v>
      </c>
      <c r="D87" s="4" t="inlineStr">
        <is>
          <t xml:space="preserve">Construcción de obras civiles</t>
        </is>
      </c>
      <c r="E87" s="4" t="inlineStr">
        <is>
          <t xml:space="preserve">Servicios de construcción y mantenimiento / Construcción de edificios en general / Construcción de obras civiles y infraestructuras</t>
        </is>
      </c>
      <c r="F87" s="0">
        <v>1.0</v>
      </c>
      <c r="G87" s="0" t="inlineStr">
        <is>
          <t xml:space="preserve">Unidad</t>
        </is>
      </c>
      <c r="H87" s="4" t="inlineStr">
        <is>
          <t xml:space="preserve">.</t>
        </is>
      </c>
    </row>
    <row r="88">
      <c r="A88" s="0" t="inlineStr">
        <is>
          <t xml:space="preserve">1602-21-LE26</t>
        </is>
      </c>
      <c r="B88" s="4" t="inlineStr">
        <is>
          <t xml:space="preserve">ADQUISICIÓN DE LICENCIAS DE SOFTWARE VEEAM PREMIUM</t>
        </is>
      </c>
      <c r="C88" s="0">
        <v>1</v>
      </c>
      <c r="D88" s="4" t="inlineStr">
        <is>
          <t xml:space="preserve">Software de gestión de licencias</t>
        </is>
      </c>
      <c r="E88" s="4" t="inlineStr">
        <is>
          <t xml:space="preserve">Tecnologías de la información, telecomunicaciones y radiodifusión / Software / Software de gestión</t>
        </is>
      </c>
      <c r="F88" s="0">
        <v>15.0</v>
      </c>
      <c r="G88" s="0" t="inlineStr">
        <is>
          <t xml:space="preserve">Unidad</t>
        </is>
      </c>
      <c r="H88" s="4" t="inlineStr">
        <is>
          <t xml:space="preserve">Licencias de Veeam Data Platform Premium (pack 10 instancias) que multiplicado por la cantidad serían 150 instancias (Según Bases Técnicas adjuntas)</t>
        </is>
      </c>
    </row>
    <row r="89">
      <c r="A89" s="0" t="inlineStr">
        <is>
          <t xml:space="preserve">1782-17-LE26</t>
        </is>
      </c>
      <c r="B89" s="4" t="inlineStr">
        <is>
          <t xml:space="preserve">Consultoría Plataforma Inteligencia Inversión FRPD</t>
        </is>
      </c>
      <c r="C89" s="0">
        <v>1</v>
      </c>
      <c r="D89" s="4" t="inlineStr">
        <is>
          <t xml:space="preserve">Asesorías Informáticas</t>
        </is>
      </c>
      <c r="E89" s="4" t="inlineStr">
        <is>
          <t xml:space="preserve">Servicios profesionales, administrativos y consultorías de gestión empresarial / Consultorías o asesorías en gestión empresarial / Servicios de consultoría en gestión de empresas</t>
        </is>
      </c>
      <c r="F89" s="0">
        <v>1.0</v>
      </c>
      <c r="G89" s="0" t="inlineStr">
        <is>
          <t xml:space="preserve">Unidad</t>
        </is>
      </c>
      <c r="H89" s="4" t="inlineStr">
        <is>
          <t xml:space="preserve">Consultoría para diagnóstico integral y propuesta para plataforma de inteligencia territorial para la inversión productiva del Royalty de la Región Antofagasta - FRPD</t>
        </is>
      </c>
    </row>
    <row r="90">
      <c r="A90" s="0" t="inlineStr">
        <is>
          <t xml:space="preserve">4127-51-LR26</t>
        </is>
      </c>
      <c r="B90" s="4" t="inlineStr">
        <is>
          <t xml:space="preserve">[DIGEDEP]Cursos M-Learning Plataforma SIAD 26-27</t>
        </is>
      </c>
      <c r="C90" s="0">
        <v>1</v>
      </c>
      <c r="D90" s="4" t="inlineStr">
        <is>
          <t xml:space="preserve">Capacitación a empleados</t>
        </is>
      </c>
      <c r="E90" s="4" t="inlineStr">
        <is>
          <t xml:space="preserve">Educación, formación, entrenamiento y capacitación / Sistemas educativos complementarios / Educación de adultos</t>
        </is>
      </c>
      <c r="F90" s="0">
        <v>1.0</v>
      </c>
      <c r="G90" s="0" t="inlineStr">
        <is>
          <t xml:space="preserve">Unidad</t>
        </is>
      </c>
      <c r="H90" s="4"/>
    </row>
    <row r="91">
      <c r="A91" s="0" t="inlineStr">
        <is>
          <t xml:space="preserve">652-61-LP26</t>
        </is>
      </c>
      <c r="B91" s="4" t="inlineStr">
        <is>
          <t xml:space="preserve">ARRIENDO SERVIDOR INFORMATICO PARA PROGRAMA SISSA.</t>
        </is>
      </c>
      <c r="C91" s="0">
        <v>1</v>
      </c>
      <c r="D91" s="4" t="inlineStr">
        <is>
          <t xml:space="preserve">Servidores</t>
        </is>
      </c>
      <c r="E91" s="4" t="inlineStr">
        <is>
          <t xml:space="preserve">Tecnologías de la información, telecomunicaciones y radiodifusión / Equipos informáticos y accesorios / Computadores</t>
        </is>
      </c>
      <c r="F91" s="0">
        <v>1.0</v>
      </c>
      <c r="G91" s="0" t="inlineStr">
        <is>
          <t xml:space="preserve">Unidad</t>
        </is>
      </c>
      <c r="H91" s="4" t="inlineStr">
        <is>
          <t xml:space="preserve">Convenio Arriendo Servidor Informático para el Programa SISSA por un Periodo de 36 meses, Servicio de Salud Arauco para el Servicio de Salud Araucanía Sur, Según Requerimientos Técnicos Adjuntos.</t>
        </is>
      </c>
    </row>
    <row r="92">
      <c r="A92" s="0" t="inlineStr">
        <is>
          <t xml:space="preserve">5403-11-LP26</t>
        </is>
      </c>
      <c r="B92" s="4" t="inlineStr">
        <is>
          <t xml:space="preserve">Diseño e instalación de gobernanza de datos</t>
        </is>
      </c>
      <c r="C92" s="0">
        <v>1</v>
      </c>
      <c r="D92" s="4" t="inlineStr">
        <is>
          <t xml:space="preserve">Asesorías en gestión estratégica</t>
        </is>
      </c>
      <c r="E92" s="4" t="inlineStr">
        <is>
          <t xml:space="preserve">Servicios profesionales, administrativos y consultorías de gestión empresarial / Consultorías o asesorías en gestión empresarial / Servicios de consultoría en gestión de empresas</t>
        </is>
      </c>
      <c r="F92" s="0">
        <v>1.0</v>
      </c>
      <c r="G92" s="0" t="inlineStr">
        <is>
          <t xml:space="preserve">Unidad</t>
        </is>
      </c>
      <c r="H92" s="4" t="inlineStr">
        <is>
          <t xml:space="preserve">Servicio de asesoría estratégica para el diseño e instalación inicial del modelo institucional de gobernanza y gestión de datos de la Comisión Nacional de Acreditación</t>
        </is>
      </c>
    </row>
    <row r="93">
      <c r="A93" s="0" t="inlineStr">
        <is>
          <t xml:space="preserve">2713-199-LE26</t>
        </is>
      </c>
      <c r="B93" s="4" t="inlineStr">
        <is>
          <t xml:space="preserve">Equipamiento informático para oficinas municipales</t>
        </is>
      </c>
      <c r="C93" s="0">
        <v>1</v>
      </c>
      <c r="D93" s="4" t="inlineStr">
        <is>
          <t xml:space="preserve">Notebook, laptop o computador portátil excepto Tablet PC</t>
        </is>
      </c>
      <c r="E93" s="4" t="inlineStr">
        <is>
          <t xml:space="preserve">Tecnologías de la información, telecomunicaciones y radiodifusión / Equipos informáticos y accesorios / Computadores</t>
        </is>
      </c>
      <c r="F93" s="0">
        <v>1.0</v>
      </c>
      <c r="G93" s="0" t="inlineStr">
        <is>
          <t xml:space="preserve">Unidad</t>
        </is>
      </c>
      <c r="H93" s="4" t="inlineStr">
        <is>
          <t xml:space="preserve">Notebook ofimática</t>
        </is>
      </c>
    </row>
    <row r="94">
      <c r="A94" s="0" t="inlineStr">
        <is>
          <t xml:space="preserve">2713-199-LE26</t>
        </is>
      </c>
      <c r="B94" s="4" t="inlineStr">
        <is>
          <t xml:space="preserve">Equipamiento informático para oficinas municipales</t>
        </is>
      </c>
      <c r="C94" s="0">
        <v>2</v>
      </c>
      <c r="D94" s="4" t="inlineStr">
        <is>
          <t xml:space="preserve">Notebook, laptop o computador portátil excepto Tablet PC</t>
        </is>
      </c>
      <c r="E94" s="4" t="inlineStr">
        <is>
          <t xml:space="preserve">Tecnologías de la información, telecomunicaciones y radiodifusión / Equipos informáticos y accesorios / Computadores</t>
        </is>
      </c>
      <c r="F94" s="0">
        <v>1.0</v>
      </c>
      <c r="G94" s="0" t="inlineStr">
        <is>
          <t xml:space="preserve">Unidad</t>
        </is>
      </c>
      <c r="H94" s="4" t="inlineStr">
        <is>
          <t xml:space="preserve">Notebook técnico</t>
        </is>
      </c>
    </row>
    <row r="95">
      <c r="A95" s="0" t="inlineStr">
        <is>
          <t xml:space="preserve">2713-199-LE26</t>
        </is>
      </c>
      <c r="B95" s="4" t="inlineStr">
        <is>
          <t xml:space="preserve">Equipamiento informático para oficinas municipales</t>
        </is>
      </c>
      <c r="C95" s="0">
        <v>3</v>
      </c>
      <c r="D95" s="4" t="inlineStr">
        <is>
          <t xml:space="preserve">Computadores personales</t>
        </is>
      </c>
      <c r="E95" s="4" t="inlineStr">
        <is>
          <t xml:space="preserve">Tecnologías de la información, telecomunicaciones y radiodifusión / Equipos informáticos y accesorios / Computadores</t>
        </is>
      </c>
      <c r="F95" s="0">
        <v>16.0</v>
      </c>
      <c r="G95" s="0" t="inlineStr">
        <is>
          <t xml:space="preserve">Unidad</t>
        </is>
      </c>
      <c r="H95" s="4" t="inlineStr">
        <is>
          <t xml:space="preserve">Computador AIO</t>
        </is>
      </c>
    </row>
    <row r="96">
      <c r="A96" s="0" t="inlineStr">
        <is>
          <t xml:space="preserve">2713-199-LE26</t>
        </is>
      </c>
      <c r="B96" s="4" t="inlineStr">
        <is>
          <t xml:space="preserve">Equipamiento informático para oficinas municipales</t>
        </is>
      </c>
      <c r="C96" s="0">
        <v>4</v>
      </c>
      <c r="D96" s="4" t="inlineStr">
        <is>
          <t xml:space="preserve">Impresoras de chorro de tinta</t>
        </is>
      </c>
      <c r="E96" s="4" t="inlineStr">
        <is>
          <t xml:space="preserve">Tecnologías de la información, telecomunicaciones y radiodifusión / Equipos informáticos y accesorios / Impresoras</t>
        </is>
      </c>
      <c r="F96" s="0">
        <v>9.0</v>
      </c>
      <c r="G96" s="0" t="inlineStr">
        <is>
          <t xml:space="preserve">Unidad</t>
        </is>
      </c>
      <c r="H96" s="4" t="inlineStr">
        <is>
          <t xml:space="preserve">Multifuncional tinta LAN</t>
        </is>
      </c>
    </row>
    <row r="97">
      <c r="A97" s="0" t="inlineStr">
        <is>
          <t xml:space="preserve">2713-199-LE26</t>
        </is>
      </c>
      <c r="B97" s="4" t="inlineStr">
        <is>
          <t xml:space="preserve">Equipamiento informático para oficinas municipales</t>
        </is>
      </c>
      <c r="C97" s="0">
        <v>5</v>
      </c>
      <c r="D97" s="4" t="inlineStr">
        <is>
          <t xml:space="preserve">Impresoras de chorro de tinta</t>
        </is>
      </c>
      <c r="E97" s="4" t="inlineStr">
        <is>
          <t xml:space="preserve">Tecnologías de la información, telecomunicaciones y radiodifusión / Equipos informáticos y accesorios / Impresoras</t>
        </is>
      </c>
      <c r="F97" s="0">
        <v>7.0</v>
      </c>
      <c r="G97" s="0" t="inlineStr">
        <is>
          <t xml:space="preserve">Unidad</t>
        </is>
      </c>
      <c r="H97" s="4" t="inlineStr">
        <is>
          <t xml:space="preserve">Multifuncional tinta USB</t>
        </is>
      </c>
    </row>
    <row r="98">
      <c r="A98" s="0" t="inlineStr">
        <is>
          <t xml:space="preserve">2713-199-LE26</t>
        </is>
      </c>
      <c r="B98" s="4" t="inlineStr">
        <is>
          <t xml:space="preserve">Equipamiento informático para oficinas municipales</t>
        </is>
      </c>
      <c r="C98" s="0">
        <v>6</v>
      </c>
      <c r="D98" s="4" t="inlineStr">
        <is>
          <t xml:space="preserve">Impresoras de chorro de tinta</t>
        </is>
      </c>
      <c r="E98" s="4" t="inlineStr">
        <is>
          <t xml:space="preserve">Tecnologías de la información, telecomunicaciones y radiodifusión / Equipos informáticos y accesorios / Impresoras</t>
        </is>
      </c>
      <c r="F98" s="0">
        <v>4.0</v>
      </c>
      <c r="G98" s="0" t="inlineStr">
        <is>
          <t xml:space="preserve">Unidad</t>
        </is>
      </c>
      <c r="H98" s="4" t="inlineStr">
        <is>
          <t xml:space="preserve">Multifuncional tinta WLAN</t>
        </is>
      </c>
    </row>
    <row r="99">
      <c r="A99" s="0" t="inlineStr">
        <is>
          <t xml:space="preserve">2713-199-LE26</t>
        </is>
      </c>
      <c r="B99" s="4" t="inlineStr">
        <is>
          <t xml:space="preserve">Equipamiento informático para oficinas municipales</t>
        </is>
      </c>
      <c r="C99" s="0">
        <v>7</v>
      </c>
      <c r="D99" s="4" t="inlineStr">
        <is>
          <t xml:space="preserve">Computadores portátiles tipo Tablet PC</t>
        </is>
      </c>
      <c r="E99" s="4" t="inlineStr">
        <is>
          <t xml:space="preserve">Tecnologías de la información, telecomunicaciones y radiodifusión / Equipos informáticos y accesorios / Computadores</t>
        </is>
      </c>
      <c r="F99" s="0">
        <v>1.0</v>
      </c>
      <c r="G99" s="0" t="inlineStr">
        <is>
          <t xml:space="preserve">Unidad</t>
        </is>
      </c>
      <c r="H99" s="4" t="inlineStr">
        <is>
          <t xml:space="preserve">Tablet</t>
        </is>
      </c>
    </row>
    <row r="100">
      <c r="A100" s="0" t="inlineStr">
        <is>
          <t xml:space="preserve">2713-199-LE26</t>
        </is>
      </c>
      <c r="B100" s="4" t="inlineStr">
        <is>
          <t xml:space="preserve">Equipamiento informático para oficinas municipales</t>
        </is>
      </c>
      <c r="C100" s="0">
        <v>8</v>
      </c>
      <c r="D100" s="4" t="inlineStr">
        <is>
          <t xml:space="preserve">Escáner</t>
        </is>
      </c>
      <c r="E100" s="4" t="inlineStr">
        <is>
          <t xml:space="preserve">Tecnologías de la información, telecomunicaciones y radiodifusión / Equipos informáticos y accesorios / Dispositivos informáticos de entrada de datos</t>
        </is>
      </c>
      <c r="F100" s="0">
        <v>7.0</v>
      </c>
      <c r="G100" s="0" t="inlineStr">
        <is>
          <t xml:space="preserve">Unidad</t>
        </is>
      </c>
      <c r="H100" s="4" t="inlineStr">
        <is>
          <t xml:space="preserve">Escáner LAN</t>
        </is>
      </c>
    </row>
    <row r="101">
      <c r="A101" s="0" t="inlineStr">
        <is>
          <t xml:space="preserve">2713-199-LE26</t>
        </is>
      </c>
      <c r="B101" s="4" t="inlineStr">
        <is>
          <t xml:space="preserve">Equipamiento informático para oficinas municipales</t>
        </is>
      </c>
      <c r="C101" s="0">
        <v>9</v>
      </c>
      <c r="D101" s="4" t="inlineStr">
        <is>
          <t xml:space="preserve">Escáner</t>
        </is>
      </c>
      <c r="E101" s="4" t="inlineStr">
        <is>
          <t xml:space="preserve">Tecnologías de la información, telecomunicaciones y radiodifusión / Equipos informáticos y accesorios / Dispositivos informáticos de entrada de datos</t>
        </is>
      </c>
      <c r="F101" s="0">
        <v>10.0</v>
      </c>
      <c r="G101" s="0" t="inlineStr">
        <is>
          <t xml:space="preserve">Unidad</t>
        </is>
      </c>
      <c r="H101" s="4" t="inlineStr">
        <is>
          <t xml:space="preserve">Escáner USB</t>
        </is>
      </c>
    </row>
    <row r="102">
      <c r="A102" s="0" t="inlineStr">
        <is>
          <t xml:space="preserve">2713-199-LE26</t>
        </is>
      </c>
      <c r="B102" s="4" t="inlineStr">
        <is>
          <t xml:space="preserve">Equipamiento informático para oficinas municipales</t>
        </is>
      </c>
      <c r="C102" s="0">
        <v>10</v>
      </c>
      <c r="D102" s="4" t="inlineStr">
        <is>
          <t xml:space="preserve">Monitores o pantallas de visualización en cristal líquido (LCD)</t>
        </is>
      </c>
      <c r="E102" s="4" t="inlineStr">
        <is>
          <t xml:space="preserve">Tecnologías de la información, telecomunicaciones y radiodifusión / Equipos informáticos y accesorios / Pantallas o monitores de computador</t>
        </is>
      </c>
      <c r="F102" s="0">
        <v>2.0</v>
      </c>
      <c r="G102" s="0" t="inlineStr">
        <is>
          <t xml:space="preserve">Unidad</t>
        </is>
      </c>
      <c r="H102" s="4" t="inlineStr">
        <is>
          <t xml:space="preserve">Monitor 27”</t>
        </is>
      </c>
    </row>
    <row r="103">
      <c r="A103" s="0" t="inlineStr">
        <is>
          <t xml:space="preserve">2713-199-LE26</t>
        </is>
      </c>
      <c r="B103" s="4" t="inlineStr">
        <is>
          <t xml:space="preserve">Equipamiento informático para oficinas municipales</t>
        </is>
      </c>
      <c r="C103" s="0">
        <v>11</v>
      </c>
      <c r="D103" s="4" t="inlineStr">
        <is>
          <t xml:space="preserve">Monitores o pantallas de visualización en cristal líquido (LCD)</t>
        </is>
      </c>
      <c r="E103" s="4" t="inlineStr">
        <is>
          <t xml:space="preserve">Tecnologías de la información, telecomunicaciones y radiodifusión / Equipos informáticos y accesorios / Pantallas o monitores de computador</t>
        </is>
      </c>
      <c r="F103" s="0">
        <v>5.0</v>
      </c>
      <c r="G103" s="0" t="inlineStr">
        <is>
          <t xml:space="preserve">Unidad</t>
        </is>
      </c>
      <c r="H103" s="4" t="inlineStr">
        <is>
          <t xml:space="preserve">Monitor 24”</t>
        </is>
      </c>
    </row>
    <row r="104">
      <c r="A104" s="0" t="inlineStr">
        <is>
          <t xml:space="preserve">2713-199-LE26</t>
        </is>
      </c>
      <c r="B104" s="4" t="inlineStr">
        <is>
          <t xml:space="preserve">Equipamiento informático para oficinas municipales</t>
        </is>
      </c>
      <c r="C104" s="0">
        <v>12</v>
      </c>
      <c r="D104" s="4" t="inlineStr">
        <is>
          <t xml:space="preserve">Monitores o pantallas de visualización en cristal líquido (LCD)</t>
        </is>
      </c>
      <c r="E104" s="4" t="inlineStr">
        <is>
          <t xml:space="preserve">Tecnologías de la información, telecomunicaciones y radiodifusión / Equipos informáticos y accesorios / Pantallas o monitores de computador</t>
        </is>
      </c>
      <c r="F104" s="0">
        <v>1.0</v>
      </c>
      <c r="G104" s="0" t="inlineStr">
        <is>
          <t xml:space="preserve">Unidad</t>
        </is>
      </c>
      <c r="H104" s="4" t="inlineStr">
        <is>
          <t xml:space="preserve">Monitor 24” USB-C</t>
        </is>
      </c>
    </row>
    <row r="105">
      <c r="A105" s="0" t="inlineStr">
        <is>
          <t xml:space="preserve">2713-199-LE26</t>
        </is>
      </c>
      <c r="B105" s="4" t="inlineStr">
        <is>
          <t xml:space="preserve">Equipamiento informático para oficinas municipales</t>
        </is>
      </c>
      <c r="C105" s="0">
        <v>13</v>
      </c>
      <c r="D105" s="4" t="inlineStr">
        <is>
          <t xml:space="preserve">Equipos multimedia</t>
        </is>
      </c>
      <c r="E105" s="4" t="inlineStr">
        <is>
          <t xml:space="preserve">Tecnologías de la información, telecomunicaciones y radiodifusión / Equipos informáticos y accesorios / Accesorios de computador</t>
        </is>
      </c>
      <c r="F105" s="0">
        <v>6.0</v>
      </c>
      <c r="G105" s="0" t="inlineStr">
        <is>
          <t xml:space="preserve">Unidad</t>
        </is>
      </c>
      <c r="H105" s="4" t="inlineStr">
        <is>
          <t xml:space="preserve">Proyector</t>
        </is>
      </c>
    </row>
    <row r="106">
      <c r="A106" s="0" t="inlineStr">
        <is>
          <t xml:space="preserve">1469-324-L126</t>
        </is>
      </c>
      <c r="B106" s="4" t="inlineStr">
        <is>
          <t xml:space="preserve">ADQUISICIÓN LICENCIAS DIGITALES PLATAFORMA EDUCACIONAL IDIOMA FRANCÉS</t>
        </is>
      </c>
      <c r="C106" s="0">
        <v>1</v>
      </c>
      <c r="D106" s="4" t="inlineStr">
        <is>
          <t xml:space="preserve">Cursos y materiales de apoyo para aprender a hablar francés</t>
        </is>
      </c>
      <c r="E106" s="4" t="inlineStr">
        <is>
          <t xml:space="preserve">Instrumentos musicales, juegos, juguetes, artesanías y materiales educativos / Materiales, artículos y suministros didácticos profesionales y para el desarrollo personal / Recursos de lenguas extranjeras</t>
        </is>
      </c>
      <c r="F106" s="0">
        <v>2.0</v>
      </c>
      <c r="G106" s="0" t="inlineStr">
        <is>
          <t xml:space="preserve">Unidad</t>
        </is>
      </c>
      <c r="H106" s="4" t="inlineStr">
        <is>
          <t xml:space="preserve">La Universidad de Talca requiere adquirir licencias digitales de 3 editoriales, Maison des Langues, Clé y Hachette, para docentes de cursos de francés de pregrado</t>
        </is>
      </c>
    </row>
    <row r="107">
      <c r="A107" s="0" t="inlineStr">
        <is>
          <t xml:space="preserve">1469-324-L126</t>
        </is>
      </c>
      <c r="B107" s="4" t="inlineStr">
        <is>
          <t xml:space="preserve">ADQUISICIÓN LICENCIAS DIGITALES PLATAFORMA EDUCACIONAL IDIOMA FRANCÉS</t>
        </is>
      </c>
      <c r="C107" s="0">
        <v>2</v>
      </c>
      <c r="D107" s="4" t="inlineStr">
        <is>
          <t xml:space="preserve">Cursos y materiales de apoyo para aprender a hablar francés</t>
        </is>
      </c>
      <c r="E107" s="4" t="inlineStr">
        <is>
          <t xml:space="preserve">Instrumentos musicales, juegos, juguetes, artesanías y materiales educativos / Materiales, artículos y suministros didácticos profesionales y para el desarrollo personal / Recursos de lenguas extranjeras</t>
        </is>
      </c>
      <c r="F107" s="0">
        <v>2.0</v>
      </c>
      <c r="G107" s="0" t="inlineStr">
        <is>
          <t xml:space="preserve">Unidad</t>
        </is>
      </c>
      <c r="H107" s="4" t="inlineStr">
        <is>
          <t xml:space="preserve">La Universidad de Talca requiere adquirir licencias digitales de 3 editoriales, Maison des Langues, Clé y Hachette, para docentes de cursos de francés de pregrado</t>
        </is>
      </c>
    </row>
    <row r="108">
      <c r="A108" s="0" t="inlineStr">
        <is>
          <t xml:space="preserve">1469-324-L126</t>
        </is>
      </c>
      <c r="B108" s="4" t="inlineStr">
        <is>
          <t xml:space="preserve">ADQUISICIÓN LICENCIAS DIGITALES PLATAFORMA EDUCACIONAL IDIOMA FRANCÉS</t>
        </is>
      </c>
      <c r="C108" s="0">
        <v>3</v>
      </c>
      <c r="D108" s="4" t="inlineStr">
        <is>
          <t xml:space="preserve">Cursos y materiales de apoyo para aprender a hablar francés</t>
        </is>
      </c>
      <c r="E108" s="4" t="inlineStr">
        <is>
          <t xml:space="preserve">Instrumentos musicales, juegos, juguetes, artesanías y materiales educativos / Materiales, artículos y suministros didácticos profesionales y para el desarrollo personal / Recursos de lenguas extranjeras</t>
        </is>
      </c>
      <c r="F108" s="0">
        <v>2.0</v>
      </c>
      <c r="G108" s="0" t="inlineStr">
        <is>
          <t xml:space="preserve">Unidad</t>
        </is>
      </c>
      <c r="H108" s="4" t="inlineStr">
        <is>
          <t xml:space="preserve">La Universidad de Talca requiere adquirir licencias digitales de 3 editoriales, Maison des Langues, Clé y Hachette, para docentes de cursos de francés de pregrado</t>
        </is>
      </c>
    </row>
    <row r="109">
      <c r="A109" s="0" t="inlineStr">
        <is>
          <t xml:space="preserve">1469-324-L126</t>
        </is>
      </c>
      <c r="B109" s="4" t="inlineStr">
        <is>
          <t xml:space="preserve">ADQUISICIÓN LICENCIAS DIGITALES PLATAFORMA EDUCACIONAL IDIOMA FRANCÉS</t>
        </is>
      </c>
      <c r="C109" s="0">
        <v>4</v>
      </c>
      <c r="D109" s="4" t="inlineStr">
        <is>
          <t xml:space="preserve">Cursos y materiales de apoyo para aprender a hablar francés</t>
        </is>
      </c>
      <c r="E109" s="4" t="inlineStr">
        <is>
          <t xml:space="preserve">Instrumentos musicales, juegos, juguetes, artesanías y materiales educativos / Materiales, artículos y suministros didácticos profesionales y para el desarrollo personal / Recursos de lenguas extranjeras</t>
        </is>
      </c>
      <c r="F109" s="0">
        <v>2.0</v>
      </c>
      <c r="G109" s="0" t="inlineStr">
        <is>
          <t xml:space="preserve">Unidad</t>
        </is>
      </c>
      <c r="H109" s="4" t="inlineStr">
        <is>
          <t xml:space="preserve">La Universidad de Talca requiere adquirir licencias digitales de 3 editoriales, Maison des Langues, Clé y Hachette, para docentes de cursos de francés de pregrado</t>
        </is>
      </c>
    </row>
    <row r="110">
      <c r="A110" s="0" t="inlineStr">
        <is>
          <t xml:space="preserve">1469-324-L126</t>
        </is>
      </c>
      <c r="B110" s="4" t="inlineStr">
        <is>
          <t xml:space="preserve">ADQUISICIÓN LICENCIAS DIGITALES PLATAFORMA EDUCACIONAL IDIOMA FRANCÉS</t>
        </is>
      </c>
      <c r="C110" s="0">
        <v>5</v>
      </c>
      <c r="D110" s="4" t="inlineStr">
        <is>
          <t xml:space="preserve">Cursos y materiales de apoyo para aprender a hablar francés</t>
        </is>
      </c>
      <c r="E110" s="4" t="inlineStr">
        <is>
          <t xml:space="preserve">Instrumentos musicales, juegos, juguetes, artesanías y materiales educativos / Materiales, artículos y suministros didácticos profesionales y para el desarrollo personal / Recursos de lenguas extranjeras</t>
        </is>
      </c>
      <c r="F110" s="0">
        <v>2.0</v>
      </c>
      <c r="G110" s="0" t="inlineStr">
        <is>
          <t xml:space="preserve">Unidad</t>
        </is>
      </c>
      <c r="H110" s="4" t="inlineStr">
        <is>
          <t xml:space="preserve">La Universidad de Talca requiere adquirir licencias digitales de 3 editoriales, Maison des Langues, Clé y Hachette, para docentes de cursos de francés de pregrado</t>
        </is>
      </c>
    </row>
    <row r="111">
      <c r="A111" s="0" t="inlineStr">
        <is>
          <t xml:space="preserve">1469-324-L126</t>
        </is>
      </c>
      <c r="B111" s="4" t="inlineStr">
        <is>
          <t xml:space="preserve">ADQUISICIÓN LICENCIAS DIGITALES PLATAFORMA EDUCACIONAL IDIOMA FRANCÉS</t>
        </is>
      </c>
      <c r="C111" s="0">
        <v>6</v>
      </c>
      <c r="D111" s="4" t="inlineStr">
        <is>
          <t xml:space="preserve">Cursos y materiales de apoyo para aprender a hablar francés</t>
        </is>
      </c>
      <c r="E111" s="4" t="inlineStr">
        <is>
          <t xml:space="preserve">Instrumentos musicales, juegos, juguetes, artesanías y materiales educativos / Materiales, artículos y suministros didácticos profesionales y para el desarrollo personal / Recursos de lenguas extranjeras</t>
        </is>
      </c>
      <c r="F111" s="0">
        <v>2.0</v>
      </c>
      <c r="G111" s="0" t="inlineStr">
        <is>
          <t xml:space="preserve">Unidad</t>
        </is>
      </c>
      <c r="H111" s="4" t="inlineStr">
        <is>
          <t xml:space="preserve">La Universidad de Talca requiere adquirir licencias digitales de 3 editoriales, Maison des Langues, Clé y Hachette, para docentes de cursos de francés de pregrado</t>
        </is>
      </c>
    </row>
    <row r="112">
      <c r="A112" s="0" t="inlineStr">
        <is>
          <t xml:space="preserve">1469-324-L126</t>
        </is>
      </c>
      <c r="B112" s="4" t="inlineStr">
        <is>
          <t xml:space="preserve">ADQUISICIÓN LICENCIAS DIGITALES PLATAFORMA EDUCACIONAL IDIOMA FRANCÉS</t>
        </is>
      </c>
      <c r="C112" s="0">
        <v>7</v>
      </c>
      <c r="D112" s="4" t="inlineStr">
        <is>
          <t xml:space="preserve">Cursos y materiales de apoyo para aprender a hablar francés</t>
        </is>
      </c>
      <c r="E112" s="4" t="inlineStr">
        <is>
          <t xml:space="preserve">Instrumentos musicales, juegos, juguetes, artesanías y materiales educativos / Materiales, artículos y suministros didácticos profesionales y para el desarrollo personal / Recursos de lenguas extranjeras</t>
        </is>
      </c>
      <c r="F112" s="0">
        <v>2.0</v>
      </c>
      <c r="G112" s="0" t="inlineStr">
        <is>
          <t xml:space="preserve">Unidad</t>
        </is>
      </c>
      <c r="H112" s="4" t="inlineStr">
        <is>
          <t xml:space="preserve">La Universidad de Talca requiere adquirir licencias digitales de 3 editoriales, Maison des Langues, Clé y Hachette, para docentes de cursos de francés de pregrado</t>
        </is>
      </c>
    </row>
    <row r="113">
      <c r="A113" s="0" t="inlineStr">
        <is>
          <t xml:space="preserve">1469-324-L126</t>
        </is>
      </c>
      <c r="B113" s="4" t="inlineStr">
        <is>
          <t xml:space="preserve">ADQUISICIÓN LICENCIAS DIGITALES PLATAFORMA EDUCACIONAL IDIOMA FRANCÉS</t>
        </is>
      </c>
      <c r="C113" s="0">
        <v>8</v>
      </c>
      <c r="D113" s="4" t="inlineStr">
        <is>
          <t xml:space="preserve">Cursos y materiales de apoyo para aprender a hablar francés</t>
        </is>
      </c>
      <c r="E113" s="4" t="inlineStr">
        <is>
          <t xml:space="preserve">Instrumentos musicales, juegos, juguetes, artesanías y materiales educativos / Materiales, artículos y suministros didácticos profesionales y para el desarrollo personal / Recursos de lenguas extranjeras</t>
        </is>
      </c>
      <c r="F113" s="0">
        <v>2.0</v>
      </c>
      <c r="G113" s="0" t="inlineStr">
        <is>
          <t xml:space="preserve">Unidad</t>
        </is>
      </c>
      <c r="H113" s="4" t="inlineStr">
        <is>
          <t xml:space="preserve">La Universidad de Talca requiere adquirir licencias digitales de 3 editoriales, Maison des Langues, Clé y Hachette, para docentes de cursos de francés de pregrado</t>
        </is>
      </c>
    </row>
    <row r="114">
      <c r="A114" s="0" t="inlineStr">
        <is>
          <t xml:space="preserve">1469-324-L126</t>
        </is>
      </c>
      <c r="B114" s="4" t="inlineStr">
        <is>
          <t xml:space="preserve">ADQUISICIÓN LICENCIAS DIGITALES PLATAFORMA EDUCACIONAL IDIOMA FRANCÉS</t>
        </is>
      </c>
      <c r="C114" s="0">
        <v>9</v>
      </c>
      <c r="D114" s="4" t="inlineStr">
        <is>
          <t xml:space="preserve">Cursos y materiales de apoyo para aprender a hablar francés</t>
        </is>
      </c>
      <c r="E114" s="4" t="inlineStr">
        <is>
          <t xml:space="preserve">Instrumentos musicales, juegos, juguetes, artesanías y materiales educativos / Materiales, artículos y suministros didácticos profesionales y para el desarrollo personal / Recursos de lenguas extranjeras</t>
        </is>
      </c>
      <c r="F114" s="0">
        <v>2.0</v>
      </c>
      <c r="G114" s="0" t="inlineStr">
        <is>
          <t xml:space="preserve">Unidad</t>
        </is>
      </c>
      <c r="H114" s="4" t="inlineStr">
        <is>
          <t xml:space="preserve">La Universidad de Talca requiere adquirir licencias digitales de 3 editoriales, Maison des Langues, Clé y Hachette, para docentes de cursos de francés de pregrado</t>
        </is>
      </c>
    </row>
    <row r="115">
      <c r="A115" s="0" t="inlineStr">
        <is>
          <t xml:space="preserve">1469-324-L126</t>
        </is>
      </c>
      <c r="B115" s="4" t="inlineStr">
        <is>
          <t xml:space="preserve">ADQUISICIÓN LICENCIAS DIGITALES PLATAFORMA EDUCACIONAL IDIOMA FRANCÉS</t>
        </is>
      </c>
      <c r="C115" s="0">
        <v>10</v>
      </c>
      <c r="D115" s="4" t="inlineStr">
        <is>
          <t xml:space="preserve">Cursos y materiales de apoyo para aprender a hablar francés</t>
        </is>
      </c>
      <c r="E115" s="4" t="inlineStr">
        <is>
          <t xml:space="preserve">Instrumentos musicales, juegos, juguetes, artesanías y materiales educativos / Materiales, artículos y suministros didácticos profesionales y para el desarrollo personal / Recursos de lenguas extranjeras</t>
        </is>
      </c>
      <c r="F115" s="0">
        <v>2.0</v>
      </c>
      <c r="G115" s="0" t="inlineStr">
        <is>
          <t xml:space="preserve">Unidad</t>
        </is>
      </c>
      <c r="H115" s="4" t="inlineStr">
        <is>
          <t xml:space="preserve">La Universidad de Talca requiere adquirir licencias digitales de 3 editoriales, Maison des Langues, Clé y Hachette, para docentes de cursos de francés de pregrado</t>
        </is>
      </c>
    </row>
    <row r="116">
      <c r="A116" s="0" t="inlineStr">
        <is>
          <t xml:space="preserve">1469-324-L126</t>
        </is>
      </c>
      <c r="B116" s="4" t="inlineStr">
        <is>
          <t xml:space="preserve">ADQUISICIÓN LICENCIAS DIGITALES PLATAFORMA EDUCACIONAL IDIOMA FRANCÉS</t>
        </is>
      </c>
      <c r="C116" s="0">
        <v>11</v>
      </c>
      <c r="D116" s="4" t="inlineStr">
        <is>
          <t xml:space="preserve">Cursos y materiales de apoyo para aprender a hablar francés</t>
        </is>
      </c>
      <c r="E116" s="4" t="inlineStr">
        <is>
          <t xml:space="preserve">Instrumentos musicales, juegos, juguetes, artesanías y materiales educativos / Materiales, artículos y suministros didácticos profesionales y para el desarrollo personal / Recursos de lenguas extranjeras</t>
        </is>
      </c>
      <c r="F116" s="0">
        <v>2.0</v>
      </c>
      <c r="G116" s="0" t="inlineStr">
        <is>
          <t xml:space="preserve">Unidad</t>
        </is>
      </c>
      <c r="H116" s="4" t="inlineStr">
        <is>
          <t xml:space="preserve">Libros numéricos de métodos de enseñanza del idioma francés, Editorial Clé, material Vite et bien N° 2</t>
        </is>
      </c>
    </row>
    <row r="117">
      <c r="A117" s="0" t="inlineStr">
        <is>
          <t xml:space="preserve">1469-324-L126</t>
        </is>
      </c>
      <c r="B117" s="4" t="inlineStr">
        <is>
          <t xml:space="preserve">ADQUISICIÓN LICENCIAS DIGITALES PLATAFORMA EDUCACIONAL IDIOMA FRANCÉS</t>
        </is>
      </c>
      <c r="C117" s="0">
        <v>12</v>
      </c>
      <c r="D117" s="4" t="inlineStr">
        <is>
          <t xml:space="preserve">Cursos y materiales de apoyo para aprender a hablar francés</t>
        </is>
      </c>
      <c r="E117" s="4" t="inlineStr">
        <is>
          <t xml:space="preserve">Instrumentos musicales, juegos, juguetes, artesanías y materiales educativos / Materiales, artículos y suministros didácticos profesionales y para el desarrollo personal / Recursos de lenguas extranjeras</t>
        </is>
      </c>
      <c r="F117" s="0">
        <v>2.0</v>
      </c>
      <c r="G117" s="0" t="inlineStr">
        <is>
          <t xml:space="preserve">Unidad</t>
        </is>
      </c>
      <c r="H117" s="4" t="inlineStr">
        <is>
          <t xml:space="preserve">La Universidad de Talca requiere adquirir licencias digitales de 3 editoriales, Maison des Langues, Clé y Hachette, para docentes de cursos de francés de pregrado</t>
        </is>
      </c>
    </row>
    <row r="118">
      <c r="A118" s="0" t="inlineStr">
        <is>
          <t xml:space="preserve">1469-324-L126</t>
        </is>
      </c>
      <c r="B118" s="4" t="inlineStr">
        <is>
          <t xml:space="preserve">ADQUISICIÓN LICENCIAS DIGITALES PLATAFORMA EDUCACIONAL IDIOMA FRANCÉS</t>
        </is>
      </c>
      <c r="C118" s="0">
        <v>13</v>
      </c>
      <c r="D118" s="4" t="inlineStr">
        <is>
          <t xml:space="preserve">Cursos y materiales de apoyo para aprender a hablar francés</t>
        </is>
      </c>
      <c r="E118" s="4" t="inlineStr">
        <is>
          <t xml:space="preserve">Instrumentos musicales, juegos, juguetes, artesanías y materiales educativos / Materiales, artículos y suministros didácticos profesionales y para el desarrollo personal / Recursos de lenguas extranjeras</t>
        </is>
      </c>
      <c r="F118" s="0">
        <v>2.0</v>
      </c>
      <c r="G118" s="0" t="inlineStr">
        <is>
          <t xml:space="preserve">Unidad</t>
        </is>
      </c>
      <c r="H118" s="4" t="inlineStr">
        <is>
          <t xml:space="preserve">La Universidad de Talca requiere adquirir licencias digitales de 3 editoriales, Maison des Langues, Clé y Hachette, para docentes de cursos de francés de pregrado</t>
        </is>
      </c>
    </row>
    <row r="119">
      <c r="A119" s="0" t="inlineStr">
        <is>
          <t xml:space="preserve">1469-324-L126</t>
        </is>
      </c>
      <c r="B119" s="4" t="inlineStr">
        <is>
          <t xml:space="preserve">ADQUISICIÓN LICENCIAS DIGITALES PLATAFORMA EDUCACIONAL IDIOMA FRANCÉS</t>
        </is>
      </c>
      <c r="C119" s="0">
        <v>14</v>
      </c>
      <c r="D119" s="4" t="inlineStr">
        <is>
          <t xml:space="preserve">Cursos y materiales de apoyo para aprender a hablar francés</t>
        </is>
      </c>
      <c r="E119" s="4" t="inlineStr">
        <is>
          <t xml:space="preserve">Instrumentos musicales, juegos, juguetes, artesanías y materiales educativos / Materiales, artículos y suministros didácticos profesionales y para el desarrollo personal / Recursos de lenguas extranjeras</t>
        </is>
      </c>
      <c r="F119" s="0">
        <v>2.0</v>
      </c>
      <c r="G119" s="0" t="inlineStr">
        <is>
          <t xml:space="preserve">Unidad</t>
        </is>
      </c>
      <c r="H119" s="4" t="inlineStr">
        <is>
          <t xml:space="preserve">La Universidad de Talca requiere adquirir licencias digitales de 3 editoriales, Maison des Langues, Clé y Hachette, para docentes de cursos de francés de pregrado</t>
        </is>
      </c>
    </row>
    <row r="120">
      <c r="A120" s="0" t="inlineStr">
        <is>
          <t xml:space="preserve">1057922-33-LP26</t>
        </is>
      </c>
      <c r="B120" s="4" t="inlineStr">
        <is>
          <t xml:space="preserve">ADQUISICION EQUIPOS Y EQUIPAMIENTO TECNOLOGÍAS DE LA INFORMACIÓN PARA CESFAM CON SAR RAHUE ALTO</t>
        </is>
      </c>
      <c r="C120" s="0">
        <v>1</v>
      </c>
      <c r="D120" s="4" t="inlineStr">
        <is>
          <t xml:space="preserve">Computadores de escritorio</t>
        </is>
      </c>
      <c r="E120" s="4" t="inlineStr">
        <is>
          <t xml:space="preserve">Tecnologías de la información, telecomunicaciones y radiodifusión / Equipos informáticos y accesorios / Computadores</t>
        </is>
      </c>
      <c r="F120" s="0">
        <v>102.0</v>
      </c>
      <c r="G120" s="0" t="inlineStr">
        <is>
          <t xml:space="preserve">Unidad</t>
        </is>
      </c>
      <c r="H120" s="4" t="inlineStr">
        <is>
          <t xml:space="preserve">COMPUTADOR AIO</t>
        </is>
      </c>
    </row>
    <row r="121">
      <c r="A121" s="0" t="inlineStr">
        <is>
          <t xml:space="preserve">1057922-33-LP26</t>
        </is>
      </c>
      <c r="B121" s="4" t="inlineStr">
        <is>
          <t xml:space="preserve">ADQUISICION EQUIPOS Y EQUIPAMIENTO TECNOLOGÍAS DE LA INFORMACIÓN PARA CESFAM CON SAR RAHUE ALTO</t>
        </is>
      </c>
      <c r="C121" s="0">
        <v>2</v>
      </c>
      <c r="D121" s="4" t="inlineStr">
        <is>
          <t xml:space="preserve">Notebook, laptop o computador portátil excepto Tablet PC</t>
        </is>
      </c>
      <c r="E121" s="4" t="inlineStr">
        <is>
          <t xml:space="preserve">Tecnologías de la información, telecomunicaciones y radiodifusión / Equipos informáticos y accesorios / Computadores</t>
        </is>
      </c>
      <c r="F121" s="0">
        <v>5.0</v>
      </c>
      <c r="G121" s="0" t="inlineStr">
        <is>
          <t xml:space="preserve">Unidad</t>
        </is>
      </c>
      <c r="H121" s="4" t="inlineStr">
        <is>
          <t xml:space="preserve">NOTEBOOK</t>
        </is>
      </c>
    </row>
    <row r="122">
      <c r="A122" s="0" t="inlineStr">
        <is>
          <t xml:space="preserve">1057922-33-LP26</t>
        </is>
      </c>
      <c r="B122" s="4" t="inlineStr">
        <is>
          <t xml:space="preserve">ADQUISICION EQUIPOS Y EQUIPAMIENTO TECNOLOGÍAS DE LA INFORMACIÓN PARA CESFAM CON SAR RAHUE ALTO</t>
        </is>
      </c>
      <c r="C122" s="0">
        <v>3</v>
      </c>
      <c r="D122" s="4" t="inlineStr">
        <is>
          <t xml:space="preserve">Tickets o rollos de tickets</t>
        </is>
      </c>
      <c r="E122" s="4" t="inlineStr">
        <is>
          <t xml:space="preserve">Productos de papel / Productos de papel / Papeles comerciales</t>
        </is>
      </c>
      <c r="F122" s="0">
        <v>6.0</v>
      </c>
      <c r="G122" s="0" t="inlineStr">
        <is>
          <t xml:space="preserve">Unidad</t>
        </is>
      </c>
      <c r="H122" s="4" t="inlineStr">
        <is>
          <t xml:space="preserve">TURNOMÁTICO</t>
        </is>
      </c>
    </row>
    <row r="123">
      <c r="A123" s="0" t="inlineStr">
        <is>
          <t xml:space="preserve">1057922-33-LP26</t>
        </is>
      </c>
      <c r="B123" s="4" t="inlineStr">
        <is>
          <t xml:space="preserve">ADQUISICION EQUIPOS Y EQUIPAMIENTO TECNOLOGÍAS DE LA INFORMACIÓN PARA CESFAM CON SAR RAHUE ALTO</t>
        </is>
      </c>
      <c r="C123" s="0">
        <v>4</v>
      </c>
      <c r="D123" s="4" t="inlineStr">
        <is>
          <t xml:space="preserve">Impresoras de cinta térmica</t>
        </is>
      </c>
      <c r="E123" s="4" t="inlineStr">
        <is>
          <t xml:space="preserve">Tecnologías de la información, telecomunicaciones y radiodifusión / Equipos informáticos y accesorios / Impresoras</t>
        </is>
      </c>
      <c r="F123" s="0">
        <v>6.0</v>
      </c>
      <c r="G123" s="0" t="inlineStr">
        <is>
          <t xml:space="preserve">Unidad</t>
        </is>
      </c>
      <c r="H123" s="4" t="inlineStr">
        <is>
          <t xml:space="preserve">IMPRESORA DE ETIQUETAS</t>
        </is>
      </c>
    </row>
    <row r="124">
      <c r="A124" s="0" t="inlineStr">
        <is>
          <t xml:space="preserve">1057922-33-LP26</t>
        </is>
      </c>
      <c r="B124" s="4" t="inlineStr">
        <is>
          <t xml:space="preserve">ADQUISICION EQUIPOS Y EQUIPAMIENTO TECNOLOGÍAS DE LA INFORMACIÓN PARA CESFAM CON SAR RAHUE ALTO</t>
        </is>
      </c>
      <c r="C124" s="0">
        <v>5</v>
      </c>
      <c r="D124" s="4" t="inlineStr">
        <is>
          <t xml:space="preserve">Impresoras de cinta térmica</t>
        </is>
      </c>
      <c r="E124" s="4" t="inlineStr">
        <is>
          <t xml:space="preserve">Tecnologías de la información, telecomunicaciones y radiodifusión / Equipos informáticos y accesorios / Impresoras</t>
        </is>
      </c>
      <c r="F124" s="0">
        <v>2.0</v>
      </c>
      <c r="G124" s="0" t="inlineStr">
        <is>
          <t xml:space="preserve">Unidad</t>
        </is>
      </c>
      <c r="H124" s="4" t="inlineStr">
        <is>
          <t xml:space="preserve">IMPRESORA DE VOUCHER</t>
        </is>
      </c>
    </row>
    <row r="125">
      <c r="A125" s="0" t="inlineStr">
        <is>
          <t xml:space="preserve">1057922-33-LP26</t>
        </is>
      </c>
      <c r="B125" s="4" t="inlineStr">
        <is>
          <t xml:space="preserve">ADQUISICION EQUIPOS Y EQUIPAMIENTO TECNOLOGÍAS DE LA INFORMACIÓN PARA CESFAM CON SAR RAHUE ALTO</t>
        </is>
      </c>
      <c r="C125" s="0">
        <v>6</v>
      </c>
      <c r="D125" s="4" t="inlineStr">
        <is>
          <t xml:space="preserve">Impresoras de cinta térmica</t>
        </is>
      </c>
      <c r="E125" s="4" t="inlineStr">
        <is>
          <t xml:space="preserve">Tecnologías de la información, telecomunicaciones y radiodifusión / Equipos informáticos y accesorios / Impresoras</t>
        </is>
      </c>
      <c r="F125" s="0">
        <v>2.0</v>
      </c>
      <c r="G125" s="0" t="inlineStr">
        <is>
          <t xml:space="preserve">Unidad</t>
        </is>
      </c>
      <c r="H125" s="4" t="inlineStr">
        <is>
          <t xml:space="preserve">IMPRESORA DE BRAZALETES</t>
        </is>
      </c>
    </row>
    <row r="126">
      <c r="A126" s="0" t="inlineStr">
        <is>
          <t xml:space="preserve">1057922-33-LP26</t>
        </is>
      </c>
      <c r="B126" s="4" t="inlineStr">
        <is>
          <t xml:space="preserve">ADQUISICION EQUIPOS Y EQUIPAMIENTO TECNOLOGÍAS DE LA INFORMACIÓN PARA CESFAM CON SAR RAHUE ALTO</t>
        </is>
      </c>
      <c r="C126" s="0">
        <v>7</v>
      </c>
      <c r="D126" s="4" t="inlineStr">
        <is>
          <t xml:space="preserve">Proyectores multimedia</t>
        </is>
      </c>
      <c r="E126" s="4" t="inlineStr">
        <is>
          <t xml:space="preserve">Equipos y suministros de imprenta, fotográficos y audiovisuales / Equipos de composición y presentación audiovisual / Proyectores y suministros</t>
        </is>
      </c>
      <c r="F126" s="0">
        <v>4.0</v>
      </c>
      <c r="G126" s="0" t="inlineStr">
        <is>
          <t xml:space="preserve">Unidad</t>
        </is>
      </c>
      <c r="H126" s="4" t="inlineStr">
        <is>
          <t xml:space="preserve">PROYECTOR ANDROID TV</t>
        </is>
      </c>
    </row>
    <row r="127">
      <c r="A127" s="0" t="inlineStr">
        <is>
          <t xml:space="preserve">1057922-33-LP26</t>
        </is>
      </c>
      <c r="B127" s="4" t="inlineStr">
        <is>
          <t xml:space="preserve">ADQUISICION EQUIPOS Y EQUIPAMIENTO TECNOLOGÍAS DE LA INFORMACIÓN PARA CESFAM CON SAR RAHUE ALTO</t>
        </is>
      </c>
      <c r="C127" s="0">
        <v>8</v>
      </c>
      <c r="D127" s="4" t="inlineStr">
        <is>
          <t xml:space="preserve">Televisores convencionales, de plasma y LCD</t>
        </is>
      </c>
      <c r="E127" s="4" t="inlineStr">
        <is>
          <t xml:space="preserve">Muebles, accesorios, electrodomésticos y productos electrónicos / Equipos y accesorios audiovisuales / Equipos audiovisuales y de electrónica menor</t>
        </is>
      </c>
      <c r="F127" s="0">
        <v>4.0</v>
      </c>
      <c r="G127" s="0" t="inlineStr">
        <is>
          <t xml:space="preserve">Unidad</t>
        </is>
      </c>
      <c r="H127" s="4" t="inlineStr">
        <is>
          <t xml:space="preserve">TELEVISOR 32"</t>
        </is>
      </c>
    </row>
    <row r="128">
      <c r="A128" s="0" t="inlineStr">
        <is>
          <t xml:space="preserve">1057922-33-LP26</t>
        </is>
      </c>
      <c r="B128" s="4" t="inlineStr">
        <is>
          <t xml:space="preserve">ADQUISICION EQUIPOS Y EQUIPAMIENTO TECNOLOGÍAS DE LA INFORMACIÓN PARA CESFAM CON SAR RAHUE ALTO</t>
        </is>
      </c>
      <c r="C128" s="0">
        <v>9</v>
      </c>
      <c r="D128" s="4" t="inlineStr">
        <is>
          <t xml:space="preserve">Televisores convencionales, de plasma y LCD</t>
        </is>
      </c>
      <c r="E128" s="4" t="inlineStr">
        <is>
          <t xml:space="preserve">Muebles, accesorios, electrodomésticos y productos electrónicos / Equipos y accesorios audiovisuales / Equipos audiovisuales y de electrónica menor</t>
        </is>
      </c>
      <c r="F128" s="0">
        <v>3.0</v>
      </c>
      <c r="G128" s="0" t="inlineStr">
        <is>
          <t xml:space="preserve">Unidad</t>
        </is>
      </c>
      <c r="H128" s="4" t="inlineStr">
        <is>
          <t xml:space="preserve">TELEVISOR 40"</t>
        </is>
      </c>
    </row>
    <row r="129">
      <c r="A129" s="0" t="inlineStr">
        <is>
          <t xml:space="preserve">1057922-33-LP26</t>
        </is>
      </c>
      <c r="B129" s="4" t="inlineStr">
        <is>
          <t xml:space="preserve">ADQUISICION EQUIPOS Y EQUIPAMIENTO TECNOLOGÍAS DE LA INFORMACIÓN PARA CESFAM CON SAR RAHUE ALTO</t>
        </is>
      </c>
      <c r="C129" s="0">
        <v>10</v>
      </c>
      <c r="D129" s="4" t="inlineStr">
        <is>
          <t xml:space="preserve">Televisores convencionales, de plasma y LCD</t>
        </is>
      </c>
      <c r="E129" s="4" t="inlineStr">
        <is>
          <t xml:space="preserve">Muebles, accesorios, electrodomésticos y productos electrónicos / Equipos y accesorios audiovisuales / Equipos audiovisuales y de electrónica menor</t>
        </is>
      </c>
      <c r="F129" s="0">
        <v>3.0</v>
      </c>
      <c r="G129" s="0" t="inlineStr">
        <is>
          <t xml:space="preserve">Unidad</t>
        </is>
      </c>
      <c r="H129" s="4" t="inlineStr">
        <is>
          <t xml:space="preserve">TELEVISOR 50"</t>
        </is>
      </c>
    </row>
    <row r="130">
      <c r="A130" s="0" t="inlineStr">
        <is>
          <t xml:space="preserve">1057922-33-LP26</t>
        </is>
      </c>
      <c r="B130" s="4" t="inlineStr">
        <is>
          <t xml:space="preserve">ADQUISICION EQUIPOS Y EQUIPAMIENTO TECNOLOGÍAS DE LA INFORMACIÓN PARA CESFAM CON SAR RAHUE ALTO</t>
        </is>
      </c>
      <c r="C130" s="0">
        <v>11</v>
      </c>
      <c r="D130" s="4" t="inlineStr">
        <is>
          <t xml:space="preserve">Equipo para huellas dactilares</t>
        </is>
      </c>
      <c r="E130" s="4" t="inlineStr">
        <is>
          <t xml:space="preserve">Equipos y suministros de defensa, orden público, protección y seguridad / Equipos para orden público / Equipo forense, accesorios y suministros</t>
        </is>
      </c>
      <c r="F130" s="0">
        <v>32.0</v>
      </c>
      <c r="G130" s="0" t="inlineStr">
        <is>
          <t xml:space="preserve">Unidad</t>
        </is>
      </c>
      <c r="H130" s="4" t="inlineStr">
        <is>
          <t xml:space="preserve">HUELLEROS BIOMÉTRICOS</t>
        </is>
      </c>
    </row>
    <row r="131">
      <c r="A131" s="0" t="inlineStr">
        <is>
          <t xml:space="preserve">1057922-33-LP26</t>
        </is>
      </c>
      <c r="B131" s="4" t="inlineStr">
        <is>
          <t xml:space="preserve">ADQUISICION EQUIPOS Y EQUIPAMIENTO TECNOLOGÍAS DE LA INFORMACIÓN PARA CESFAM CON SAR RAHUE ALTO</t>
        </is>
      </c>
      <c r="C131" s="0">
        <v>12</v>
      </c>
      <c r="D131" s="4" t="inlineStr">
        <is>
          <t xml:space="preserve">Atriles de pie</t>
        </is>
      </c>
      <c r="E131" s="4" t="inlineStr">
        <is>
          <t xml:space="preserve">Equipos y suministros de imprenta, fotográficos y audiovisuales / Equipos de composición y presentación audiovisual / Atriles, sistemas de sonido y accesorios</t>
        </is>
      </c>
      <c r="F131" s="0">
        <v>1.0</v>
      </c>
      <c r="G131" s="0" t="inlineStr">
        <is>
          <t xml:space="preserve">Unidad</t>
        </is>
      </c>
      <c r="H131" s="4" t="inlineStr">
        <is>
          <t xml:space="preserve">TELÓN PARA PROYECTOR CON TRIPODE</t>
        </is>
      </c>
    </row>
    <row r="132">
      <c r="A132" s="0" t="inlineStr">
        <is>
          <t xml:space="preserve">5350-38-LE26</t>
        </is>
      </c>
      <c r="B132" s="4" t="inlineStr">
        <is>
          <t xml:space="preserve">CONVENIO SUMINISTRO SOFTWARE INVENTARIO DROGUERIA</t>
        </is>
      </c>
      <c r="C132" s="0">
        <v>1</v>
      </c>
      <c r="D132" s="4" t="inlineStr">
        <is>
          <t xml:space="preserve">Programas de gestión de inventario</t>
        </is>
      </c>
      <c r="E132" s="4" t="inlineStr">
        <is>
          <t xml:space="preserve">Tecnologías de la información, telecomunicaciones y radiodifusión / Software / Software de gestión</t>
        </is>
      </c>
      <c r="F132" s="0">
        <v>1.0</v>
      </c>
      <c r="G132" s="0" t="inlineStr">
        <is>
          <t xml:space="preserve">Unidad</t>
        </is>
      </c>
      <c r="H132" s="4" t="inlineStr">
        <is>
          <t xml:space="preserve">Programa suministro de Software Inventario, Droguería Farmacia Central</t>
        </is>
      </c>
    </row>
    <row r="133">
      <c r="A133" s="0" t="inlineStr">
        <is>
          <t xml:space="preserve">1057062-10-LE26</t>
        </is>
      </c>
      <c r="B133" s="4" t="inlineStr">
        <is>
          <t xml:space="preserve">Servicio de Medios Digital y Radial URYRED 22992</t>
        </is>
      </c>
      <c r="C133" s="0">
        <v>1</v>
      </c>
      <c r="D133" s="4" t="inlineStr">
        <is>
          <t xml:space="preserve">Campañas publicitarias</t>
        </is>
      </c>
      <c r="E133" s="4" t="inlineStr">
        <is>
          <t xml:space="preserve">Servicios editoriales, de diseño, publicidad, gráficos y artistas / Publicidad / Agencias de publicidad</t>
        </is>
      </c>
      <c r="F133" s="0">
        <v>1.0</v>
      </c>
      <c r="G133" s="0" t="inlineStr">
        <is>
          <t xml:space="preserve">Unidad</t>
        </is>
      </c>
      <c r="H133" s="4" t="inlineStr">
        <is>
          <t xml:space="preserve">diseñar, implementar y administrar un plan de medios digital para apoyar la estrategia de posicionamiento del Sistema de Universidades del Estado de Chile.</t>
        </is>
      </c>
    </row>
    <row r="134">
      <c r="A134" s="0" t="inlineStr">
        <is>
          <t xml:space="preserve">662237-35-LE26</t>
        </is>
      </c>
      <c r="B134" s="4" t="inlineStr">
        <is>
          <t xml:space="preserve">Adquisición de créditos Google Cloud Platform GCP</t>
        </is>
      </c>
      <c r="C134" s="0">
        <v>1</v>
      </c>
      <c r="D134" s="4" t="inlineStr">
        <is>
          <t xml:space="preserve">Software de gestión de adquisiciones</t>
        </is>
      </c>
      <c r="E134" s="4" t="inlineStr">
        <is>
          <t xml:space="preserve">Tecnologías de la información, telecomunicaciones y radiodifusión / Software / Software de gestión</t>
        </is>
      </c>
      <c r="F134" s="0">
        <v>1.0</v>
      </c>
      <c r="G134" s="0" t="inlineStr">
        <is>
          <t xml:space="preserve">Unidad</t>
        </is>
      </c>
      <c r="H134" s="4" t="inlineStr">
        <is>
          <t xml:space="preserve">Adquisición de créditos Google Cloud Platform (GCP) para dar continuidad operativa a los servicios que actualmente utiliza SENDA</t>
        </is>
      </c>
    </row>
    <row r="135">
      <c r="A135" s="0" t="inlineStr">
        <is>
          <t xml:space="preserve">1447930-15-LP26</t>
        </is>
      </c>
      <c r="B135" s="4" t="inlineStr">
        <is>
          <t xml:space="preserve">SSP - Plataforma de virtualización On Premise</t>
        </is>
      </c>
      <c r="C135" s="0">
        <v>1</v>
      </c>
      <c r="D135" s="4" t="inlineStr">
        <is>
          <t xml:space="preserve">Software de interconectividad de plataformas</t>
        </is>
      </c>
      <c r="E135" s="4" t="inlineStr">
        <is>
          <t xml:space="preserve">Tecnologías de la información, telecomunicaciones y radiodifusión / Software / Software para trabajo en redes</t>
        </is>
      </c>
      <c r="F135" s="0">
        <v>1.0</v>
      </c>
      <c r="G135" s="0" t="inlineStr">
        <is>
          <t xml:space="preserve">Unidad</t>
        </is>
      </c>
      <c r="H135" s="4" t="inlineStr">
        <is>
          <t xml:space="preserve">ADQUISICIÓN E IMPLEMENTACIÓN DE EQUIPAMIENTO, SOFTWARE, PUESTA EN MARCHA Y PASO APRODUCCIÓN DE UNA PLATAFORMA DE VIRTUALIZACIÓN ON PREMISE PARA LA SUBSECRETARÍA DESEGURIDAD PÚBLICA</t>
        </is>
      </c>
    </row>
    <row r="136">
      <c r="A136" s="0" t="inlineStr">
        <is>
          <t xml:space="preserve">1232565-42-LP26</t>
        </is>
      </c>
      <c r="B136" s="4" t="inlineStr">
        <is>
          <t xml:space="preserve">Mesa Digital de Disección Anatómica Convertible</t>
        </is>
      </c>
      <c r="C136" s="0">
        <v>1</v>
      </c>
      <c r="D136" s="4" t="inlineStr">
        <is>
          <t xml:space="preserve">Equipos para formación y estudios de medicina</t>
        </is>
      </c>
      <c r="E136" s="4" t="inlineStr">
        <is>
          <t xml:space="preserve">Equipamiento y suministros médicos / Suministros para formación y estudios de medicina / Ayudas para la formación médica</t>
        </is>
      </c>
      <c r="F136" s="0">
        <v>1.0</v>
      </c>
      <c r="G136" s="0" t="inlineStr">
        <is>
          <t xml:space="preserve">Unidad</t>
        </is>
      </c>
      <c r="H136" s="4" t="inlineStr">
        <is>
          <t xml:space="preserve">Mesa de Anatomía de Disección Virtual ANATOMAGE o su equivalente técnico.</t>
        </is>
      </c>
    </row>
    <row r="137">
      <c r="A137" s="0" t="inlineStr">
        <is>
          <t xml:space="preserve">3328-116-LE26</t>
        </is>
      </c>
      <c r="B137" s="4" t="inlineStr">
        <is>
          <t xml:space="preserve">ASB ADQ. PLATAFORMA AVANZADA ELECTROQUIRÚRGICA</t>
        </is>
      </c>
      <c r="C137" s="0">
        <v>1</v>
      </c>
      <c r="D137" s="4" t="inlineStr">
        <is>
          <t xml:space="preserve">Equipo de microcirugía o accesorios</t>
        </is>
      </c>
      <c r="E137" s="4" t="inlineStr">
        <is>
          <t xml:space="preserve">Equipamiento y suministros médicos / Productos quirúrgicos / Equipo quirúrgico, accesorios y productos relacionados</t>
        </is>
      </c>
      <c r="F137" s="0">
        <v>2.0</v>
      </c>
      <c r="G137" s="0" t="inlineStr">
        <is>
          <t xml:space="preserve">Unidad</t>
        </is>
      </c>
      <c r="H137" s="4" t="inlineStr">
        <is>
          <t xml:space="preserve">PLATAFORMA AVANZADA ELECTROQUIRÚRGICA + ULTRASÓNICA EN UN SOLO GENERADOR. SEGUN BASES TECNICA</t>
        </is>
      </c>
    </row>
    <row r="138">
      <c r="A138" s="0" t="inlineStr">
        <is>
          <t xml:space="preserve">5251-93-LE26</t>
        </is>
      </c>
      <c r="B138" s="4" t="inlineStr">
        <is>
          <t xml:space="preserve">SERVICIOS DE SOPORTE PARA BASE DE DATOS INSTITUCIONALES</t>
        </is>
      </c>
      <c r="C138" s="0">
        <v>1</v>
      </c>
      <c r="D138" s="4" t="inlineStr">
        <is>
          <t xml:space="preserve">Mantenimiento y soporte de hardware</t>
        </is>
      </c>
      <c r="E138" s="4" t="inlineStr">
        <is>
          <t xml:space="preserve">Servicios basados en ingeniería, ciencias sociales y tecnología de la información / Servicios informáticos / Administración de sistemas</t>
        </is>
      </c>
      <c r="F138" s="0">
        <v>1.0</v>
      </c>
      <c r="G138" s="0" t="inlineStr">
        <is>
          <t xml:space="preserve">Unidad</t>
        </is>
      </c>
      <c r="H138" s="4" t="inlineStr">
        <is>
          <t xml:space="preserve">SERVICIOS DE SOPORTE PARA BASE DE DATOS INSTITUCIONALES</t>
        </is>
      </c>
    </row>
    <row r="139">
      <c r="A139" s="0" t="inlineStr">
        <is>
          <t xml:space="preserve">976-15-O126</t>
        </is>
      </c>
      <c r="B139" s="4" t="inlineStr">
        <is>
          <t xml:space="preserve">Ampliación Plataformas Comercial y General Ad. El Loa</t>
        </is>
      </c>
      <c r="C139" s="0">
        <v>1</v>
      </c>
      <c r="D139" s="4" t="inlineStr">
        <is>
          <t xml:space="preserve">Licitación Pública de Obra</t>
        </is>
      </c>
      <c r="E139" s="4" t="inlineStr">
        <is>
          <t xml:space="preserve">Consultoria / Consultoria / Planificación y Factibilidad</t>
        </is>
      </c>
      <c r="F139" s="0">
        <v>1.0</v>
      </c>
      <c r="G139" s="0" t="inlineStr">
        <is>
          <t xml:space="preserve">Unidad</t>
        </is>
      </c>
      <c r="H139" s="4" t="inlineStr">
        <is>
          <t xml:space="preserve">Licitación Pública de Obra</t>
        </is>
      </c>
    </row>
    <row r="140">
      <c r="A140" s="0" t="inlineStr">
        <is>
          <t xml:space="preserve">765-24-LE26</t>
        </is>
      </c>
      <c r="B140" s="4" t="inlineStr">
        <is>
          <t xml:space="preserve">Digitalizar e integrar trámites plataforma SUPER</t>
        </is>
      </c>
      <c r="C140" s="0">
        <v>1</v>
      </c>
      <c r="D140" s="4" t="inlineStr">
        <is>
          <t xml:space="preserve">Software de gestión de relaciones con el cliente (CRM)</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Desarrollo de cuatro módulos (SIMPLE) para la gestión administrativa de autorizaciones CONADI e integrarlos con el Sistema Unificado de Permisos (SUPER)</t>
        </is>
      </c>
    </row>
    <row r="141">
      <c r="A141" s="0" t="inlineStr">
        <is>
          <t xml:space="preserve">1079516-43-LE26</t>
        </is>
      </c>
      <c r="B141" s="4" t="inlineStr">
        <is>
          <t xml:space="preserve">ADQ. ACTUALIZACION  12 MESES LICENCIA SOFTWARE PARA SECCION OS 9 VALPARAISO</t>
        </is>
      </c>
      <c r="C141" s="0">
        <v>1</v>
      </c>
      <c r="D141" s="4" t="inlineStr">
        <is>
          <t xml:space="preserve">Software de sistemas de archivado de película radiográfica médica</t>
        </is>
      </c>
      <c r="E141" s="4" t="inlineStr">
        <is>
          <t xml:space="preserve">Equipamiento y suministros médicos / Productos para imágenes y de medicina nuclear / Artículos para archivar información e imágenes radiológicas</t>
        </is>
      </c>
      <c r="F141" s="0">
        <v>1.0</v>
      </c>
      <c r="G141" s="0" t="inlineStr">
        <is>
          <t xml:space="preserve">Unidad</t>
        </is>
      </c>
      <c r="H141" s="4" t="inlineStr">
        <is>
          <t xml:space="preserve">ACTUALIZACION 12 MESES Y SOPORTE TÉCNICO DE LICIENCIA SOFTWARE EXTRACCION FORENSE PARA SECCION 0.S.9 VALPARAISO, INCLUYE 15 DESBLOQUEOS.</t>
        </is>
      </c>
    </row>
    <row r="142">
      <c r="A142" s="0" t="inlineStr">
        <is>
          <t xml:space="preserve">1020-54-LP26</t>
        </is>
      </c>
      <c r="B142" s="4" t="inlineStr">
        <is>
          <t xml:space="preserve">Administración y Mantención de Bases de Datos MOP</t>
        </is>
      </c>
      <c r="C142" s="0">
        <v>1</v>
      </c>
      <c r="D142" s="4" t="inlineStr">
        <is>
          <t xml:space="preserve">Administradores de bases de datos</t>
        </is>
      </c>
      <c r="E142" s="4" t="inlineStr">
        <is>
          <t xml:space="preserve">Servicios profesionales, administrativos y consultorías de gestión empresarial / Servicios de recursos humanos / Contratación de personal</t>
        </is>
      </c>
      <c r="F142" s="0">
        <v>24.0</v>
      </c>
      <c r="G142" s="0" t="inlineStr">
        <is>
          <t xml:space="preserve">Mes</t>
        </is>
      </c>
      <c r="H142" s="4" t="inlineStr">
        <is>
          <t xml:space="preserve">SERVICIO DE ADMINISTRACIÓN  Y  MANTENCION DE BASES DE DATOS  ORACLE, MS SQL SERVER, POSTGRESQL y MySQL (24 meses)</t>
        </is>
      </c>
    </row>
    <row r="143">
      <c r="A143" s="0" t="inlineStr">
        <is>
          <t xml:space="preserve">605-17-LP26</t>
        </is>
      </c>
      <c r="B143" s="4" t="inlineStr">
        <is>
          <t xml:space="preserve">TELEFONÍA FIJA Y RED PRIVADA DE DATOS</t>
        </is>
      </c>
      <c r="C143" s="0">
        <v>1</v>
      </c>
      <c r="D143" s="4" t="inlineStr">
        <is>
          <t xml:space="preserve">Servicio telefónico local</t>
        </is>
      </c>
      <c r="E143" s="4" t="inlineStr">
        <is>
          <t xml:space="preserve">Servicios básicos y de información pública / Telecomunicaciones / Telefonía local y de larga distancia</t>
        </is>
      </c>
      <c r="F143" s="0">
        <v>1.0</v>
      </c>
      <c r="G143" s="0" t="inlineStr">
        <is>
          <t xml:space="preserve">Unidad</t>
        </is>
      </c>
      <c r="H14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44">
      <c r="A144" s="0" t="inlineStr">
        <is>
          <t xml:space="preserve">605-17-LP26</t>
        </is>
      </c>
      <c r="B144" s="4" t="inlineStr">
        <is>
          <t xml:space="preserve">TELEFONÍA FIJA Y RED PRIVADA DE DATOS</t>
        </is>
      </c>
      <c r="C144" s="0">
        <v>2</v>
      </c>
      <c r="D144" s="4" t="inlineStr">
        <is>
          <t xml:space="preserve">Servicio de comunicación IP</t>
        </is>
      </c>
      <c r="E144" s="4" t="inlineStr">
        <is>
          <t xml:space="preserve">Servicios básicos y de información pública / Telecomunicaciones / Telefonía local y de larga distancia</t>
        </is>
      </c>
      <c r="F144" s="0">
        <v>1.0</v>
      </c>
      <c r="G144" s="0" t="inlineStr">
        <is>
          <t xml:space="preserve">Unidad</t>
        </is>
      </c>
      <c r="H14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45">
      <c r="A145" s="0" t="inlineStr">
        <is>
          <t xml:space="preserve">1057432-98-LE26</t>
        </is>
      </c>
      <c r="B145" s="4" t="inlineStr">
        <is>
          <t xml:space="preserve">CONTRATACIÓN PLATAFORMA MOODLE POR UN PERIODO DE 2</t>
        </is>
      </c>
      <c r="C145" s="0">
        <v>1</v>
      </c>
      <c r="D145" s="4" t="inlineStr">
        <is>
          <t xml:space="preserve">Software de desarrollo de plataforma Web</t>
        </is>
      </c>
      <c r="E145" s="4" t="inlineStr">
        <is>
          <t xml:space="preserve">Tecnologías de la información, telecomunicaciones y radiodifusión / Software / Programas de desarrollo</t>
        </is>
      </c>
      <c r="F145" s="0">
        <v>1.0</v>
      </c>
      <c r="G145" s="0" t="inlineStr">
        <is>
          <t xml:space="preserve">Unidad</t>
        </is>
      </c>
      <c r="H145" s="4" t="inlineStr">
        <is>
          <t xml:space="preserve">CONTRATACIÓN PLATAFORMA MOODLE POR UN PERIODO DE 24 MESES DSSC</t>
        </is>
      </c>
    </row>
    <row r="146">
      <c r="A146" s="0" t="inlineStr">
        <is>
          <t xml:space="preserve">1375746-21-LE26</t>
        </is>
      </c>
      <c r="B146" s="4" t="inlineStr">
        <is>
          <t xml:space="preserve">ADQUISICIÓN DE SOFTWARE Y PLATAFORMAS</t>
        </is>
      </c>
      <c r="C146" s="0">
        <v>1</v>
      </c>
      <c r="D146" s="4" t="inlineStr">
        <is>
          <t xml:space="preserve">Software de administración</t>
        </is>
      </c>
      <c r="E146" s="4" t="inlineStr">
        <is>
          <t xml:space="preserve">Tecnologías de la información, telecomunicaciones y radiodifusión / Software / Software de administración de redes</t>
        </is>
      </c>
      <c r="F146" s="0">
        <v>1.0</v>
      </c>
      <c r="G146" s="0" t="inlineStr">
        <is>
          <t xml:space="preserve">Global</t>
        </is>
      </c>
      <c r="H146" s="4" t="inlineStr">
        <is>
          <t xml:space="preserve">LICITACIÓN PÚBLICA ADQUISICIÓN DE SOFTWARE Y PLATAFORMAS PARA LA GESTIÓN ADMINISTRATIVA DEL SERVICIO LOCAL DE EDUCACIÓN PÚBLICA DEL ACONCAGUA</t>
        </is>
      </c>
    </row>
    <row r="147">
      <c r="A147" s="0" t="inlineStr">
        <is>
          <t xml:space="preserve">2686-140-LE26</t>
        </is>
      </c>
      <c r="B147" s="4" t="inlineStr">
        <is>
          <t xml:space="preserve">ADQUISICIÓN DE TÓTEMS AUTOATENCIÓN</t>
        </is>
      </c>
      <c r="C147" s="0">
        <v>1</v>
      </c>
      <c r="D147" s="4" t="inlineStr">
        <is>
          <t xml:space="preserve">Sistemas de control de formación de filas</t>
        </is>
      </c>
      <c r="E147" s="4" t="inlineStr">
        <is>
          <t xml:space="preserve">Equipos y suministros de defensa, orden público, protección y seguridad / Equipos para orden público / Equipo para control de disturbios</t>
        </is>
      </c>
      <c r="F147" s="0">
        <v>1.0</v>
      </c>
      <c r="G147" s="0" t="inlineStr">
        <is>
          <t xml:space="preserve">Unidad</t>
        </is>
      </c>
      <c r="H147" s="4" t="inlineStr">
        <is>
          <t xml:space="preserve">“ADQUISICIÓN DE TÓTEMS AUTOATENCIÓN PARA LA MUNICIPALIDAD DE COLINA”.</t>
        </is>
      </c>
    </row>
    <row r="148">
      <c r="A148" s="0" t="inlineStr">
        <is>
          <t xml:space="preserve">1426102-7-LE26</t>
        </is>
      </c>
      <c r="B148" s="4" t="inlineStr">
        <is>
          <t xml:space="preserve">SERVICIO DE TELEFONIA IP Y TV DIGITAL PARA LAE IP PTO. MONTT</t>
        </is>
      </c>
      <c r="C148" s="0">
        <v>1</v>
      </c>
      <c r="D148" s="4" t="inlineStr">
        <is>
          <t xml:space="preserve">Servicio de comunicación IP</t>
        </is>
      </c>
      <c r="E148" s="4" t="inlineStr">
        <is>
          <t xml:space="preserve">Servicios básicos y de información pública / Telecomunicaciones / Telefonía local y de larga distancia</t>
        </is>
      </c>
      <c r="F148" s="0">
        <v>1.0</v>
      </c>
      <c r="G148" s="0" t="inlineStr">
        <is>
          <t xml:space="preserve">Unidad</t>
        </is>
      </c>
      <c r="H148" s="4" t="inlineStr">
        <is>
          <t xml:space="preserve">SERVICIO DE TELEFONIA IP Y TV DIGITAL PARA EL CENTRO LAE IP, UBICADO EN CALLE TALCA N° 379 SECTOR CENTRICO DE PUERTO MONTT.</t>
        </is>
      </c>
    </row>
    <row r="149">
      <c r="A149" s="0" t="inlineStr">
        <is>
          <t xml:space="preserve">1113265-17-LE26</t>
        </is>
      </c>
      <c r="B149" s="4" t="inlineStr">
        <is>
          <t xml:space="preserve">PLATAFORMA DE GESTIÓN ESTRATÉGICA</t>
        </is>
      </c>
      <c r="C149" s="0">
        <v>1</v>
      </c>
      <c r="D149" s="4" t="inlineStr">
        <is>
          <t xml:space="preserve">Software del sistema de administración de bases de datos</t>
        </is>
      </c>
      <c r="E149" s="4" t="inlineStr">
        <is>
          <t xml:space="preserve">Tecnologías de la información, telecomunicaciones y radiodifusión / Software / Software de consultas y gestión de datos</t>
        </is>
      </c>
      <c r="F149" s="0">
        <v>1.0</v>
      </c>
      <c r="G149" s="0" t="inlineStr">
        <is>
          <t xml:space="preserve">Unidad</t>
        </is>
      </c>
      <c r="H149" s="4" t="inlineStr">
        <is>
          <t xml:space="preserve">PLATAFORMA DE GESTIÓN ESTRATÉGICA DE LA PERMANENCIA ESTUDIANTIL PARA EL CENTRO DE FORMACIÓN TÉCNICA ESTATAL DE LA REGIÓN DE ANTOFAGASTA</t>
        </is>
      </c>
    </row>
    <row r="150">
      <c r="A150" s="0" t="inlineStr">
        <is>
          <t xml:space="preserve">3608-29-LE26</t>
        </is>
      </c>
      <c r="B150" s="4" t="inlineStr">
        <is>
          <t xml:space="preserve">Adquisición de equipos computacionales e informáticos</t>
        </is>
      </c>
      <c r="C150" s="0">
        <v>1</v>
      </c>
      <c r="D150" s="4" t="inlineStr">
        <is>
          <t xml:space="preserve">Computadores personales</t>
        </is>
      </c>
      <c r="E150" s="4" t="inlineStr">
        <is>
          <t xml:space="preserve">Tecnologías de la información, telecomunicaciones y radiodifusión / Equipos informáticos y accesorios / Computadores</t>
        </is>
      </c>
      <c r="F150" s="0">
        <v>6.0</v>
      </c>
      <c r="G150" s="0" t="inlineStr">
        <is>
          <t xml:space="preserve">Unidad</t>
        </is>
      </c>
      <c r="H150" s="4" t="inlineStr">
        <is>
          <t xml:space="preserve">Computador All In One, según especificaciones.</t>
        </is>
      </c>
    </row>
    <row r="151">
      <c r="A151" s="0" t="inlineStr">
        <is>
          <t xml:space="preserve">3608-29-LE26</t>
        </is>
      </c>
      <c r="B151" s="4" t="inlineStr">
        <is>
          <t xml:space="preserve">Adquisición de equipos computacionales e informáticos</t>
        </is>
      </c>
      <c r="C151" s="0">
        <v>2</v>
      </c>
      <c r="D151" s="4" t="inlineStr">
        <is>
          <t xml:space="preserve">Monitores de vídeo</t>
        </is>
      </c>
      <c r="E151" s="4" t="inlineStr">
        <is>
          <t xml:space="preserve">Equipos y suministros de defensa, orden público, protección y seguridad / Seguridad, vigilancia y detección / Equipo de vigilancia y detección</t>
        </is>
      </c>
      <c r="F151" s="0">
        <v>2.0</v>
      </c>
      <c r="G151" s="0" t="inlineStr">
        <is>
          <t xml:space="preserve">Unidad</t>
        </is>
      </c>
      <c r="H151" s="4" t="inlineStr">
        <is>
          <t xml:space="preserve">Monitor PC, según especificaciones.</t>
        </is>
      </c>
    </row>
    <row r="152">
      <c r="A152" s="0" t="inlineStr">
        <is>
          <t xml:space="preserve">3608-29-LE26</t>
        </is>
      </c>
      <c r="B152" s="4" t="inlineStr">
        <is>
          <t xml:space="preserve">Adquisición de equipos computacionales e informáticos</t>
        </is>
      </c>
      <c r="C152" s="0">
        <v>3</v>
      </c>
      <c r="D152" s="4" t="inlineStr">
        <is>
          <t xml:space="preserve">Notebook, laptop o computador portátil excepto Tablet PC</t>
        </is>
      </c>
      <c r="E152" s="4" t="inlineStr">
        <is>
          <t xml:space="preserve">Tecnologías de la información, telecomunicaciones y radiodifusión / Equipos informáticos y accesorios / Computadores</t>
        </is>
      </c>
      <c r="F152" s="0">
        <v>1.0</v>
      </c>
      <c r="G152" s="0" t="inlineStr">
        <is>
          <t xml:space="preserve">Unidad</t>
        </is>
      </c>
      <c r="H152" s="4" t="inlineStr">
        <is>
          <t xml:space="preserve">Notebook, según especificaciones.</t>
        </is>
      </c>
    </row>
    <row r="153">
      <c r="A153" s="0" t="inlineStr">
        <is>
          <t xml:space="preserve">3608-29-LE26</t>
        </is>
      </c>
      <c r="B153" s="4" t="inlineStr">
        <is>
          <t xml:space="preserve">Adquisición de equipos computacionales e informáticos</t>
        </is>
      </c>
      <c r="C153" s="0">
        <v>4</v>
      </c>
      <c r="D153" s="4" t="inlineStr">
        <is>
          <t xml:space="preserve">Pantallas de proyección</t>
        </is>
      </c>
      <c r="E153" s="4" t="inlineStr">
        <is>
          <t xml:space="preserve">Equipos y suministros de imprenta, fotográficos y audiovisuales / Equipos de composición y presentación audiovisual / Proyectores y suministros</t>
        </is>
      </c>
      <c r="F153" s="0">
        <v>1.0</v>
      </c>
      <c r="G153" s="0" t="inlineStr">
        <is>
          <t xml:space="preserve">Unidad</t>
        </is>
      </c>
      <c r="H153" s="4" t="inlineStr">
        <is>
          <t xml:space="preserve">Data, según especificaciones.</t>
        </is>
      </c>
    </row>
    <row r="154">
      <c r="A154" s="0" t="inlineStr">
        <is>
          <t xml:space="preserve">3608-29-LE26</t>
        </is>
      </c>
      <c r="B154" s="4" t="inlineStr">
        <is>
          <t xml:space="preserve">Adquisición de equipos computacionales e informáticos</t>
        </is>
      </c>
      <c r="C154" s="0">
        <v>5</v>
      </c>
      <c r="D154" s="4" t="inlineStr">
        <is>
          <t xml:space="preserve">Computadores personales</t>
        </is>
      </c>
      <c r="E154" s="4" t="inlineStr">
        <is>
          <t xml:space="preserve">Tecnologías de la información, telecomunicaciones y radiodifusión / Equipos informáticos y accesorios / Computadores</t>
        </is>
      </c>
      <c r="F154" s="0">
        <v>1.0</v>
      </c>
      <c r="G154" s="0" t="inlineStr">
        <is>
          <t xml:space="preserve">Unidad</t>
        </is>
      </c>
      <c r="H154" s="4" t="inlineStr">
        <is>
          <t xml:space="preserve">Mini PC, según especificaciones.</t>
        </is>
      </c>
    </row>
    <row r="155">
      <c r="A155" s="0" t="inlineStr">
        <is>
          <t xml:space="preserve">5126-4-LE26</t>
        </is>
      </c>
      <c r="B155" s="4" t="inlineStr">
        <is>
          <t xml:space="preserve">Cambio de tablero y protecciones eléctricas del CCN</t>
        </is>
      </c>
      <c r="C155" s="0">
        <v>1</v>
      </c>
      <c r="D155" s="4" t="inlineStr">
        <is>
          <t xml:space="preserve">Paneles de control eléctrico para generadores</t>
        </is>
      </c>
      <c r="E155" s="4" t="inlineStr">
        <is>
          <t xml:space="preserve">Maquinaria para generación y distribución de energía / Generación de energía / Equipo para control de producción de energía</t>
        </is>
      </c>
      <c r="F155" s="0">
        <v>1.0</v>
      </c>
      <c r="G155" s="0" t="inlineStr">
        <is>
          <t xml:space="preserve">Unidad</t>
        </is>
      </c>
      <c r="H155" s="4" t="inlineStr">
        <is>
          <t xml:space="preserve">Cambio de tablero y protecciones eléctricas pertenecientes al segundo piso del Comando Conjunto Norte, en consideración al Anexo N° 1 "Bases Técnicas".</t>
        </is>
      </c>
    </row>
    <row r="156">
      <c r="A156" s="0" t="inlineStr">
        <is>
          <t xml:space="preserve">1020-38-LP26</t>
        </is>
      </c>
      <c r="B156" s="4" t="inlineStr">
        <is>
          <t xml:space="preserve">Adquisición de Plataforma Next Generation Firewall</t>
        </is>
      </c>
      <c r="C156" s="0">
        <v>1</v>
      </c>
      <c r="D156" s="4" t="inlineStr">
        <is>
          <t xml:space="preserve">Equipo de seguridad de red de firewall</t>
        </is>
      </c>
      <c r="E156" s="4" t="inlineStr">
        <is>
          <t xml:space="preserve">Tecnologías de la información, telecomunicaciones y radiodifusión / Equipos, plataformas y accesorios de redes multimedia, voz y datos / Equipos de seguridad de red</t>
        </is>
      </c>
      <c r="F156" s="0">
        <v>2.0</v>
      </c>
      <c r="G156" s="0" t="inlineStr">
        <is>
          <t xml:space="preserve">Unidad</t>
        </is>
      </c>
      <c r="H156" s="4" t="inlineStr">
        <is>
          <t xml:space="preserve">Equipos.</t>
        </is>
      </c>
    </row>
    <row r="157">
      <c r="A157" s="0" t="inlineStr">
        <is>
          <t xml:space="preserve">1020-38-LP26</t>
        </is>
      </c>
      <c r="B157" s="4" t="inlineStr">
        <is>
          <t xml:space="preserve">Adquisición de Plataforma Next Generation Firewall</t>
        </is>
      </c>
      <c r="C157" s="0">
        <v>2</v>
      </c>
      <c r="D157" s="4" t="inlineStr">
        <is>
          <t xml:space="preserve">Software de vigilancia de redes</t>
        </is>
      </c>
      <c r="E157" s="4" t="inlineStr">
        <is>
          <t xml:space="preserve">Tecnologías de la información, telecomunicaciones y radiodifusión / Software / Software de administración de redes</t>
        </is>
      </c>
      <c r="F157" s="0">
        <v>1.0</v>
      </c>
      <c r="G157" s="0" t="inlineStr">
        <is>
          <t xml:space="preserve">Unidad</t>
        </is>
      </c>
      <c r="H157" s="4" t="inlineStr">
        <is>
          <t xml:space="preserve">Licenciamiento de software para la Plataforma Next Generation Firewall (NGFW)</t>
        </is>
      </c>
    </row>
    <row r="158">
      <c r="A158" s="0" t="inlineStr">
        <is>
          <t xml:space="preserve">1177296-25-LP26</t>
        </is>
      </c>
      <c r="B158"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58" s="0">
        <v>1</v>
      </c>
      <c r="D158" s="4" t="inlineStr">
        <is>
          <t xml:space="preserve">Reloj de control</t>
        </is>
      </c>
      <c r="E158" s="4" t="inlineStr">
        <is>
          <t xml:space="preserve">Equipos, accesorios y suministros de oficina / Maquinarias, suministros y accesorios de oficina / Máquinas y accesorios para registro de hora y asistencia en la oficina</t>
        </is>
      </c>
      <c r="F158" s="0">
        <v>1.0</v>
      </c>
      <c r="G158" s="0" t="inlineStr">
        <is>
          <t xml:space="preserve">Global</t>
        </is>
      </c>
      <c r="H158"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59">
      <c r="A159" s="0" t="inlineStr">
        <is>
          <t xml:space="preserve">2421-52-LR26</t>
        </is>
      </c>
      <c r="B159" s="4" t="inlineStr">
        <is>
          <t xml:space="preserve">SUMINISTRO SERVICIO DE TELECOMUNICACIONES DATOS Y VOZ</t>
        </is>
      </c>
      <c r="C159" s="0">
        <v>1</v>
      </c>
      <c r="D159" s="4" t="inlineStr">
        <is>
          <t xml:space="preserve">Servicio telefónico local</t>
        </is>
      </c>
      <c r="E159" s="4" t="inlineStr">
        <is>
          <t xml:space="preserve">Servicios básicos y de información pública / Telecomunicaciones / Telefonía local y de larga distancia</t>
        </is>
      </c>
      <c r="F159" s="0">
        <v>1.0</v>
      </c>
      <c r="G159" s="0" t="inlineStr">
        <is>
          <t xml:space="preserve">Unidad</t>
        </is>
      </c>
      <c r="H159" s="4" t="inlineStr">
        <is>
          <t xml:space="preserve">Valor total neto mensual (sin impuesto) por los servicios de red de datos, Internet en red de datos, sistema de comunicación de voz y otros, según especificaciones técnicas adjuntas (Anexo Nº8). VER FORMATO ANEXO Nº4.</t>
        </is>
      </c>
    </row>
    <row r="160">
      <c r="A160" s="0" t="inlineStr">
        <is>
          <t xml:space="preserve">2421-52-LR26</t>
        </is>
      </c>
      <c r="B160" s="4" t="inlineStr">
        <is>
          <t xml:space="preserve">SUMINISTRO SERVICIO DE TELECOMUNICACIONES DATOS Y VOZ</t>
        </is>
      </c>
      <c r="C160" s="0">
        <v>2</v>
      </c>
      <c r="D160" s="4" t="inlineStr">
        <is>
          <t xml:space="preserve">Servicio telefónico local</t>
        </is>
      </c>
      <c r="E160" s="4" t="inlineStr">
        <is>
          <t xml:space="preserve">Servicios básicos y de información pública / Telecomunicaciones / Telefonía local y de larga distancia</t>
        </is>
      </c>
      <c r="F160" s="0">
        <v>1.0</v>
      </c>
      <c r="G160" s="0" t="inlineStr">
        <is>
          <t xml:space="preserve">Unidad</t>
        </is>
      </c>
      <c r="H160" s="4" t="inlineStr">
        <is>
          <t xml:space="preserve">Valor Total Neto Cobro Inicial correspondiente a la habilitación y puesta en marcha de los Servicios, cobro aplicado por única vez.</t>
        </is>
      </c>
    </row>
    <row r="161">
      <c r="A161" s="0" t="inlineStr">
        <is>
          <t xml:space="preserve">619-13-LP26</t>
        </is>
      </c>
      <c r="B161" s="4" t="inlineStr">
        <is>
          <t xml:space="preserve">Suscripción de licencias IA generativa Claude.</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 no definida</t>
        </is>
      </c>
      <c r="H161" s="4" t="inlineStr">
        <is>
          <t xml:space="preserve">124 licencias de IA generativa Claude o equivalente: 47 Premium y 77 Standard, con vigencia de 12 meses.</t>
        </is>
      </c>
    </row>
    <row r="162">
      <c r="A162" s="0" t="inlineStr">
        <is>
          <t xml:space="preserve">594965-31-LE26</t>
        </is>
      </c>
      <c r="B162" s="4" t="inlineStr">
        <is>
          <t xml:space="preserve">INSUMOS INFORMATICOS PARA REGION DE OHIGGINS</t>
        </is>
      </c>
      <c r="C162" s="0">
        <v>1</v>
      </c>
      <c r="D162" s="4" t="inlineStr">
        <is>
          <t xml:space="preserve">Tóner</t>
        </is>
      </c>
      <c r="E162" s="4" t="inlineStr">
        <is>
          <t xml:space="preserve">Equipos, accesorios y suministros de oficina / Maquinarias, suministros y accesorios de oficina / Suministros para impresora, fax y fotocopiadora</t>
        </is>
      </c>
      <c r="F162" s="0">
        <v>124.0</v>
      </c>
      <c r="G162" s="0" t="inlineStr">
        <is>
          <t xml:space="preserve">Unidad</t>
        </is>
      </c>
      <c r="H162" s="4" t="inlineStr">
        <is>
          <t xml:space="preserve">Tóner HP 83A o equivalente
SEGUN RESOLUCION TECNICA NUMERAL 3</t>
        </is>
      </c>
    </row>
    <row r="163">
      <c r="A163" s="0" t="inlineStr">
        <is>
          <t xml:space="preserve">594965-31-LE26</t>
        </is>
      </c>
      <c r="B163" s="4" t="inlineStr">
        <is>
          <t xml:space="preserve">INSUMOS INFORMATICOS PARA REGION DE OHIGGINS</t>
        </is>
      </c>
      <c r="C163" s="0">
        <v>2</v>
      </c>
      <c r="D163" s="4" t="inlineStr">
        <is>
          <t xml:space="preserve">Tóner</t>
        </is>
      </c>
      <c r="E163" s="4" t="inlineStr">
        <is>
          <t xml:space="preserve">Equipos, accesorios y suministros de oficina / Maquinarias, suministros y accesorios de oficina / Suministros para impresora, fax y fotocopiadora</t>
        </is>
      </c>
      <c r="F163" s="0">
        <v>139.0</v>
      </c>
      <c r="G163" s="0" t="inlineStr">
        <is>
          <t xml:space="preserve">Unidad</t>
        </is>
      </c>
      <c r="H163" s="4" t="inlineStr">
        <is>
          <t xml:space="preserve">Tóner HP 85A o equivalente
SEGUN RESOLUCION TECNICA NUMERAL 3</t>
        </is>
      </c>
    </row>
    <row r="164">
      <c r="A164" s="0" t="inlineStr">
        <is>
          <t xml:space="preserve">594965-31-LE26</t>
        </is>
      </c>
      <c r="B164" s="4" t="inlineStr">
        <is>
          <t xml:space="preserve">INSUMOS INFORMATICOS PARA REGION DE OHIGGINS</t>
        </is>
      </c>
      <c r="C164" s="0">
        <v>3</v>
      </c>
      <c r="D164" s="4" t="inlineStr">
        <is>
          <t xml:space="preserve">Tóner</t>
        </is>
      </c>
      <c r="E164" s="4" t="inlineStr">
        <is>
          <t xml:space="preserve">Equipos, accesorios y suministros de oficina / Maquinarias, suministros y accesorios de oficina / Suministros para impresora, fax y fotocopiadora</t>
        </is>
      </c>
      <c r="F164" s="0">
        <v>57.0</v>
      </c>
      <c r="G164" s="0" t="inlineStr">
        <is>
          <t xml:space="preserve">Unidad</t>
        </is>
      </c>
      <c r="H164" s="4" t="inlineStr">
        <is>
          <t xml:space="preserve">Tóner HP 105A o equivalente
SEGUN RESOLUCION TECNICA NUMERAL 3</t>
        </is>
      </c>
    </row>
    <row r="165">
      <c r="A165" s="0" t="inlineStr">
        <is>
          <t xml:space="preserve">594965-31-LE26</t>
        </is>
      </c>
      <c r="B165" s="4" t="inlineStr">
        <is>
          <t xml:space="preserve">INSUMOS INFORMATICOS PARA REGION DE OHIGGINS</t>
        </is>
      </c>
      <c r="C165" s="0">
        <v>4</v>
      </c>
      <c r="D165" s="4" t="inlineStr">
        <is>
          <t xml:space="preserve">Tóner</t>
        </is>
      </c>
      <c r="E165" s="4" t="inlineStr">
        <is>
          <t xml:space="preserve">Equipos, accesorios y suministros de oficina / Maquinarias, suministros y accesorios de oficina / Suministros para impresora, fax y fotocopiadora</t>
        </is>
      </c>
      <c r="F165" s="0">
        <v>17.0</v>
      </c>
      <c r="G165" s="0" t="inlineStr">
        <is>
          <t xml:space="preserve">Unidad</t>
        </is>
      </c>
      <c r="H165" s="4" t="inlineStr">
        <is>
          <t xml:space="preserve">Tóner HP 151A o equivalente
SEGUN RESOLUCION TECNICA NUMERAL 3</t>
        </is>
      </c>
    </row>
    <row r="166">
      <c r="A166" s="0" t="inlineStr">
        <is>
          <t xml:space="preserve">594965-31-LE26</t>
        </is>
      </c>
      <c r="B166" s="4" t="inlineStr">
        <is>
          <t xml:space="preserve">INSUMOS INFORMATICOS PARA REGION DE OHIGGINS</t>
        </is>
      </c>
      <c r="C166" s="0">
        <v>5</v>
      </c>
      <c r="D166" s="4" t="inlineStr">
        <is>
          <t xml:space="preserve">Tóner</t>
        </is>
      </c>
      <c r="E166" s="4" t="inlineStr">
        <is>
          <t xml:space="preserve">Equipos, accesorios y suministros de oficina / Maquinarias, suministros y accesorios de oficina / Suministros para impresora, fax y fotocopiadora</t>
        </is>
      </c>
      <c r="F166" s="0">
        <v>2.0</v>
      </c>
      <c r="G166" s="0" t="inlineStr">
        <is>
          <t xml:space="preserve">Unidad</t>
        </is>
      </c>
      <c r="H166" s="4" t="inlineStr">
        <is>
          <t xml:space="preserve">Tóner TN-1060 Negro o equivalente
SEGUN RESOLUCION TECNICA NUMERAL 3</t>
        </is>
      </c>
    </row>
    <row r="167">
      <c r="A167" s="0" t="inlineStr">
        <is>
          <t xml:space="preserve">594965-31-LE26</t>
        </is>
      </c>
      <c r="B167" s="4" t="inlineStr">
        <is>
          <t xml:space="preserve">INSUMOS INFORMATICOS PARA REGION DE OHIGGINS</t>
        </is>
      </c>
      <c r="C167" s="0">
        <v>6</v>
      </c>
      <c r="D167" s="4" t="inlineStr">
        <is>
          <t xml:space="preserve">Tóner</t>
        </is>
      </c>
      <c r="E167" s="4" t="inlineStr">
        <is>
          <t xml:space="preserve">Equipos, accesorios y suministros de oficina / Maquinarias, suministros y accesorios de oficina / Suministros para impresora, fax y fotocopiadora</t>
        </is>
      </c>
      <c r="F167" s="0">
        <v>1.0</v>
      </c>
      <c r="G167" s="0" t="inlineStr">
        <is>
          <t xml:space="preserve">Unidad</t>
        </is>
      </c>
      <c r="H167" s="4" t="inlineStr">
        <is>
          <t xml:space="preserve">Tóner HP 126A Cyan o equivalente
SEGUN RESOLUCION TECNICA NUMERAL 3</t>
        </is>
      </c>
    </row>
    <row r="168">
      <c r="A168" s="0" t="inlineStr">
        <is>
          <t xml:space="preserve">594965-31-LE26</t>
        </is>
      </c>
      <c r="B168" s="4" t="inlineStr">
        <is>
          <t xml:space="preserve">INSUMOS INFORMATICOS PARA REGION DE OHIGGINS</t>
        </is>
      </c>
      <c r="C168" s="0">
        <v>7</v>
      </c>
      <c r="D168" s="4" t="inlineStr">
        <is>
          <t xml:space="preserve">Tóner</t>
        </is>
      </c>
      <c r="E168" s="4" t="inlineStr">
        <is>
          <t xml:space="preserve">Equipos, accesorios y suministros de oficina / Maquinarias, suministros y accesorios de oficina / Suministros para impresora, fax y fotocopiadora</t>
        </is>
      </c>
      <c r="F168" s="0">
        <v>1.0</v>
      </c>
      <c r="G168" s="0" t="inlineStr">
        <is>
          <t xml:space="preserve">Unidad</t>
        </is>
      </c>
      <c r="H168" s="4" t="inlineStr">
        <is>
          <t xml:space="preserve">Tóner HP 126A Magenta o equivalente
SEGUN RESOLUCION TECNICA NUMERAL 3</t>
        </is>
      </c>
    </row>
    <row r="169">
      <c r="A169" s="0" t="inlineStr">
        <is>
          <t xml:space="preserve">594965-31-LE26</t>
        </is>
      </c>
      <c r="B169" s="4" t="inlineStr">
        <is>
          <t xml:space="preserve">INSUMOS INFORMATICOS PARA REGION DE OHIGGINS</t>
        </is>
      </c>
      <c r="C169" s="0">
        <v>8</v>
      </c>
      <c r="D169" s="4" t="inlineStr">
        <is>
          <t xml:space="preserve">Tóner</t>
        </is>
      </c>
      <c r="E169" s="4" t="inlineStr">
        <is>
          <t xml:space="preserve">Equipos, accesorios y suministros de oficina / Maquinarias, suministros y accesorios de oficina / Suministros para impresora, fax y fotocopiadora</t>
        </is>
      </c>
      <c r="F169" s="0">
        <v>2.0</v>
      </c>
      <c r="G169" s="0" t="inlineStr">
        <is>
          <t xml:space="preserve">Unidad</t>
        </is>
      </c>
      <c r="H169" s="4" t="inlineStr">
        <is>
          <t xml:space="preserve">Tóner HP 126A Yellow o equivalente
SEGUN RESOLUCION TECNICA NUMERAL 3</t>
        </is>
      </c>
    </row>
    <row r="170">
      <c r="A170" s="0" t="inlineStr">
        <is>
          <t xml:space="preserve">594965-31-LE26</t>
        </is>
      </c>
      <c r="B170" s="4" t="inlineStr">
        <is>
          <t xml:space="preserve">INSUMOS INFORMATICOS PARA REGION DE OHIGGINS</t>
        </is>
      </c>
      <c r="C170" s="0">
        <v>9</v>
      </c>
      <c r="D170" s="4" t="inlineStr">
        <is>
          <t xml:space="preserve">Tóner</t>
        </is>
      </c>
      <c r="E170" s="4" t="inlineStr">
        <is>
          <t xml:space="preserve">Equipos, accesorios y suministros de oficina / Maquinarias, suministros y accesorios de oficina / Suministros para impresora, fax y fotocopiadora</t>
        </is>
      </c>
      <c r="F170" s="0">
        <v>1.0</v>
      </c>
      <c r="G170" s="0" t="inlineStr">
        <is>
          <t xml:space="preserve">Unidad</t>
        </is>
      </c>
      <c r="H170" s="4" t="inlineStr">
        <is>
          <t xml:space="preserve">Tóner HP 126A Black o equivalente
SEGUN RESOLUCION TECNICA NUMERAL 3</t>
        </is>
      </c>
    </row>
    <row r="171">
      <c r="A171" s="0" t="inlineStr">
        <is>
          <t xml:space="preserve">594965-31-LE26</t>
        </is>
      </c>
      <c r="B171" s="4" t="inlineStr">
        <is>
          <t xml:space="preserve">INSUMOS INFORMATICOS PARA REGION DE OHIGGINS</t>
        </is>
      </c>
      <c r="C171" s="0">
        <v>10</v>
      </c>
      <c r="D171" s="4" t="inlineStr">
        <is>
          <t xml:space="preserve">Cartuchos de tinta</t>
        </is>
      </c>
      <c r="E171" s="4" t="inlineStr">
        <is>
          <t xml:space="preserve">Equipos, accesorios y suministros de oficina / Maquinarias, suministros y accesorios de oficina / Suministros para impresora, fax y fotocopiadora</t>
        </is>
      </c>
      <c r="F171" s="0">
        <v>5.0</v>
      </c>
      <c r="G171" s="0" t="inlineStr">
        <is>
          <t xml:space="preserve">Unidad</t>
        </is>
      </c>
      <c r="H171" s="4" t="inlineStr">
        <is>
          <t xml:space="preserve">Tinta Brother BT5001C Cyan o equivalente
SEGUN RESOLUCION TECNICA NUMERAL 3</t>
        </is>
      </c>
    </row>
    <row r="172">
      <c r="A172" s="0" t="inlineStr">
        <is>
          <t xml:space="preserve">594965-31-LE26</t>
        </is>
      </c>
      <c r="B172" s="4" t="inlineStr">
        <is>
          <t xml:space="preserve">INSUMOS INFORMATICOS PARA REGION DE OHIGGINS</t>
        </is>
      </c>
      <c r="C172" s="0">
        <v>11</v>
      </c>
      <c r="D172" s="4" t="inlineStr">
        <is>
          <t xml:space="preserve">Cartuchos de tinta</t>
        </is>
      </c>
      <c r="E172" s="4" t="inlineStr">
        <is>
          <t xml:space="preserve">Equipos, accesorios y suministros de oficina / Maquinarias, suministros y accesorios de oficina / Suministros para impresora, fax y fotocopiadora</t>
        </is>
      </c>
      <c r="F172" s="0">
        <v>5.0</v>
      </c>
      <c r="G172" s="0" t="inlineStr">
        <is>
          <t xml:space="preserve">Unidad</t>
        </is>
      </c>
      <c r="H172" s="4" t="inlineStr">
        <is>
          <t xml:space="preserve">Tinta Brother BT5001M Magenta o equivalente
SEGUN RESOLUCION TECNICA NUMERAL 3</t>
        </is>
      </c>
    </row>
    <row r="173">
      <c r="A173" s="0" t="inlineStr">
        <is>
          <t xml:space="preserve">594965-31-LE26</t>
        </is>
      </c>
      <c r="B173" s="4" t="inlineStr">
        <is>
          <t xml:space="preserve">INSUMOS INFORMATICOS PARA REGION DE OHIGGINS</t>
        </is>
      </c>
      <c r="C173" s="0">
        <v>12</v>
      </c>
      <c r="D173" s="4" t="inlineStr">
        <is>
          <t xml:space="preserve">Cartuchos de tinta</t>
        </is>
      </c>
      <c r="E173" s="4" t="inlineStr">
        <is>
          <t xml:space="preserve">Equipos, accesorios y suministros de oficina / Maquinarias, suministros y accesorios de oficina / Suministros para impresora, fax y fotocopiadora</t>
        </is>
      </c>
      <c r="F173" s="0">
        <v>5.0</v>
      </c>
      <c r="G173" s="0" t="inlineStr">
        <is>
          <t xml:space="preserve">Unidad</t>
        </is>
      </c>
      <c r="H173" s="4" t="inlineStr">
        <is>
          <t xml:space="preserve">Tinta Brother BT5001Y Yellow  o equivalente
SEGUN RESOLUCION TECNICA NUMERAL 3</t>
        </is>
      </c>
    </row>
    <row r="174">
      <c r="A174" s="0" t="inlineStr">
        <is>
          <t xml:space="preserve">594965-31-LE26</t>
        </is>
      </c>
      <c r="B174" s="4" t="inlineStr">
        <is>
          <t xml:space="preserve">INSUMOS INFORMATICOS PARA REGION DE OHIGGINS</t>
        </is>
      </c>
      <c r="C174" s="0">
        <v>13</v>
      </c>
      <c r="D174" s="4" t="inlineStr">
        <is>
          <t xml:space="preserve">Cartuchos de tinta</t>
        </is>
      </c>
      <c r="E174" s="4" t="inlineStr">
        <is>
          <t xml:space="preserve">Equipos, accesorios y suministros de oficina / Maquinarias, suministros y accesorios de oficina / Suministros para impresora, fax y fotocopiadora</t>
        </is>
      </c>
      <c r="F174" s="0">
        <v>5.0</v>
      </c>
      <c r="G174" s="0" t="inlineStr">
        <is>
          <t xml:space="preserve">Unidad</t>
        </is>
      </c>
      <c r="H174" s="4" t="inlineStr">
        <is>
          <t xml:space="preserve">Tinta Brother BTD60BK Black o equivalente
SEGUN RESOLUCION TECNICA NUMERAL 3</t>
        </is>
      </c>
    </row>
    <row r="175">
      <c r="A175" s="0" t="inlineStr">
        <is>
          <t xml:space="preserve">594965-31-LE26</t>
        </is>
      </c>
      <c r="B175" s="4" t="inlineStr">
        <is>
          <t xml:space="preserve">INSUMOS INFORMATICOS PARA REGION DE OHIGGINS</t>
        </is>
      </c>
      <c r="C175" s="0">
        <v>14</v>
      </c>
      <c r="D175" s="4" t="inlineStr">
        <is>
          <t xml:space="preserve">Cartuchos de tinta</t>
        </is>
      </c>
      <c r="E175" s="4" t="inlineStr">
        <is>
          <t xml:space="preserve">Equipos, accesorios y suministros de oficina / Maquinarias, suministros y accesorios de oficina / Suministros para impresora, fax y fotocopiadora</t>
        </is>
      </c>
      <c r="F175" s="0">
        <v>5.0</v>
      </c>
      <c r="G175" s="0" t="inlineStr">
        <is>
          <t xml:space="preserve">Unidad</t>
        </is>
      </c>
      <c r="H175" s="4" t="inlineStr">
        <is>
          <t xml:space="preserve">Botella Brother BTD100C Cyan o equivalente
SEGUN RESOLUCION TECNICA NUMERAL 3</t>
        </is>
      </c>
    </row>
    <row r="176">
      <c r="A176" s="0" t="inlineStr">
        <is>
          <t xml:space="preserve">594965-31-LE26</t>
        </is>
      </c>
      <c r="B176" s="4" t="inlineStr">
        <is>
          <t xml:space="preserve">INSUMOS INFORMATICOS PARA REGION DE OHIGGINS</t>
        </is>
      </c>
      <c r="C176" s="0">
        <v>15</v>
      </c>
      <c r="D176" s="4" t="inlineStr">
        <is>
          <t xml:space="preserve">Cartuchos de tinta</t>
        </is>
      </c>
      <c r="E176" s="4" t="inlineStr">
        <is>
          <t xml:space="preserve">Equipos, accesorios y suministros de oficina / Maquinarias, suministros y accesorios de oficina / Suministros para impresora, fax y fotocopiadora</t>
        </is>
      </c>
      <c r="F176" s="0">
        <v>5.0</v>
      </c>
      <c r="G176" s="0" t="inlineStr">
        <is>
          <t xml:space="preserve">Unidad</t>
        </is>
      </c>
      <c r="H176" s="4" t="inlineStr">
        <is>
          <t xml:space="preserve">Botella Brother BTD100M Magenta o equivalente
SEGUN RESOLUCION TECNICA NUMERAL 3</t>
        </is>
      </c>
    </row>
    <row r="177">
      <c r="A177" s="0" t="inlineStr">
        <is>
          <t xml:space="preserve">1082957-34-LP26</t>
        </is>
      </c>
      <c r="B177" s="4" t="inlineStr">
        <is>
          <t xml:space="preserve">Servicios de telefonía IP Cloud y otros para ProChile.</t>
        </is>
      </c>
      <c r="C177" s="0">
        <v>1</v>
      </c>
      <c r="D177" s="4" t="inlineStr">
        <is>
          <t xml:space="preserve">Servicio de comunicación IP</t>
        </is>
      </c>
      <c r="E177" s="4" t="inlineStr">
        <is>
          <t xml:space="preserve">Servicios básicos y de información pública / Telecomunicaciones / Telefonía local y de larga distancia</t>
        </is>
      </c>
      <c r="F177" s="0">
        <v>1.0</v>
      </c>
      <c r="G177" s="0" t="inlineStr">
        <is>
          <t xml:space="preserve">Unidad</t>
        </is>
      </c>
      <c r="H177" s="4" t="inlineStr">
        <is>
          <t xml:space="preserve">Servicios telefonía IP en Cloud y otros, por un periodo de 36 meses, para ProChile.</t>
        </is>
      </c>
    </row>
    <row r="178">
      <c r="A178" s="0" t="inlineStr">
        <is>
          <t xml:space="preserve">4629-35-LE26</t>
        </is>
      </c>
      <c r="B178" s="4" t="inlineStr">
        <is>
          <t xml:space="preserve">CONVENIO DE SUMINISTRO - REDES CITOFONÍA Y DATOS</t>
        </is>
      </c>
      <c r="C178" s="0">
        <v>1</v>
      </c>
      <c r="D178" s="4" t="inlineStr">
        <is>
          <t xml:space="preserve">Asistencia o mantenimiento de servicio de telecomunicaciones</t>
        </is>
      </c>
      <c r="E178" s="4" t="inlineStr">
        <is>
          <t xml:space="preserve">Servicios de construcción y mantenimiento / Servicios de atención, mantenimiento y reparaciones de edificios / Servicios eléctricos</t>
        </is>
      </c>
      <c r="F178" s="0">
        <v>1.0</v>
      </c>
      <c r="G178" s="0" t="inlineStr">
        <is>
          <t xml:space="preserve">Unidad</t>
        </is>
      </c>
      <c r="H178" s="4" t="inlineStr">
        <is>
          <t xml:space="preserve">CONVENIO DE SUMINISTRO DE PROVISIÓN, INSTALACIÓN Y MANTENCIÓN DE REDES, CITOFONÍA Y DATOS DE LAS OFICINAS DE LA REGIÓN METROPOLITANA DE LA DIRECCIÓN DEL TRABAJO</t>
        </is>
      </c>
    </row>
    <row r="179">
      <c r="A179" s="0" t="inlineStr">
        <is>
          <t xml:space="preserve">1057390-21-LR26</t>
        </is>
      </c>
      <c r="B179" s="4" t="inlineStr">
        <is>
          <t xml:space="preserve">PLATAFORMA CLOUD COMPUTING Y SERVICIOS ASOCIADOS ESISSAN</t>
        </is>
      </c>
      <c r="C179" s="0">
        <v>1</v>
      </c>
      <c r="D179" s="4" t="inlineStr">
        <is>
          <t xml:space="preserve">Software de interconectividad de plataformas</t>
        </is>
      </c>
      <c r="E179" s="4" t="inlineStr">
        <is>
          <t xml:space="preserve">Tecnologías de la información, telecomunicaciones y radiodifusión / Software / Software para trabajo en redes</t>
        </is>
      </c>
      <c r="F179" s="0">
        <v>1.0</v>
      </c>
      <c r="G179" s="0" t="inlineStr">
        <is>
          <t xml:space="preserve">Unidad</t>
        </is>
      </c>
      <c r="H179" s="4" t="inlineStr">
        <is>
          <t xml:space="preserve">PLATAFORMA CLOUD COMPUTING Y SERVICIOS ASOCIADOS ESISSAN  Total proyecto neto según Anexo 4 Oferta Económica.   (OC se emitiran de acuerdo a la programación)</t>
        </is>
      </c>
    </row>
    <row r="180">
      <c r="A180" s="0" t="inlineStr">
        <is>
          <t xml:space="preserve">1260-17-LP26</t>
        </is>
      </c>
      <c r="B180" s="4" t="inlineStr">
        <is>
          <t xml:space="preserve">NARRATIVAS DIGITALES Y PRODUCCION CONTENIDOS</t>
        </is>
      </c>
      <c r="C180" s="0">
        <v>1</v>
      </c>
      <c r="D180" s="4" t="inlineStr">
        <is>
          <t xml:space="preserve">Agencias de marketing de ventas, incluidas las impresiones</t>
        </is>
      </c>
      <c r="E180" s="4" t="inlineStr">
        <is>
          <t xml:space="preserve">Servicios profesionales, administrativos y consultorías de gestión empresarial / Servicios para la comercialización y distribución / Ventas y marketing</t>
        </is>
      </c>
      <c r="F180" s="0">
        <v>1.0</v>
      </c>
      <c r="G180" s="0" t="inlineStr">
        <is>
          <t xml:space="preserve">Unidad</t>
        </is>
      </c>
      <c r="H180" s="4" t="inlineStr">
        <is>
          <t xml:space="preserve">SERVICIO DE ANÁLISIS DE NARRATIVAS DIGITALES Y PRODUCCIÓN DE CONTENIDOS CREATIVOS. Ver archivos adjuntos RES_EXENTA_N°1419(11-08-2026)_Aprueba Bases.pdf y RESOLUCION_EXENTA_N°1745(06-10-2026)_Modifica REX 1419.pdf</t>
        </is>
      </c>
    </row>
    <row r="181">
      <c r="A181" s="0" t="inlineStr">
        <is>
          <t xml:space="preserve">425-73-LP26</t>
        </is>
      </c>
      <c r="B181" s="4" t="inlineStr">
        <is>
          <t xml:space="preserve">Renovación de licencias de software CISCO</t>
        </is>
      </c>
      <c r="C181" s="0">
        <v>1</v>
      </c>
      <c r="D181" s="4" t="inlineStr">
        <is>
          <t xml:space="preserve">Software de gestión de licencias</t>
        </is>
      </c>
      <c r="E181" s="4" t="inlineStr">
        <is>
          <t xml:space="preserve">Tecnologías de la información, telecomunicaciones y radiodifusión / Software / Software de gestión</t>
        </is>
      </c>
      <c r="F181" s="0">
        <v>5000.0</v>
      </c>
      <c r="G181" s="0" t="inlineStr">
        <is>
          <t xml:space="preserve">Unidad</t>
        </is>
      </c>
      <c r="H181" s="4" t="inlineStr">
        <is>
          <t xml:space="preserve">CISCO ISE Essentials,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2</v>
      </c>
      <c r="D182" s="4" t="inlineStr">
        <is>
          <t xml:space="preserve">Software de gestión de licencias</t>
        </is>
      </c>
      <c r="E182" s="4" t="inlineStr">
        <is>
          <t xml:space="preserve">Tecnologías de la información, telecomunicaciones y radiodifusión / Software / Software de gestión</t>
        </is>
      </c>
      <c r="F182" s="0">
        <v>20000.0</v>
      </c>
      <c r="G182" s="0" t="inlineStr">
        <is>
          <t xml:space="preserve">Unidad</t>
        </is>
      </c>
      <c r="H182" s="4" t="inlineStr">
        <is>
          <t xml:space="preserve">Cisco Secure Network Analytics,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3</v>
      </c>
      <c r="D183" s="4" t="inlineStr">
        <is>
          <t xml:space="preserve">Software de gestión de licencias</t>
        </is>
      </c>
      <c r="E183" s="4" t="inlineStr">
        <is>
          <t xml:space="preserve">Tecnologías de la información, telecomunicaciones y radiodifusión / Software / Software de gestión</t>
        </is>
      </c>
      <c r="F183" s="0">
        <v>11000.0</v>
      </c>
      <c r="G183" s="0" t="inlineStr">
        <is>
          <t xml:space="preserve">Unidad</t>
        </is>
      </c>
      <c r="H183" s="4" t="inlineStr">
        <is>
          <t xml:space="preserve">CISCO ISE Advantage,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4</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Threat Intelligence,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5</v>
      </c>
      <c r="D185" s="4" t="inlineStr">
        <is>
          <t xml:space="preserve">Software de gestión de licencias</t>
        </is>
      </c>
      <c r="E185" s="4" t="inlineStr">
        <is>
          <t xml:space="preserve">Tecnologías de la información, telecomunicaciones y radiodifusión / Software / Software de gestión</t>
        </is>
      </c>
      <c r="F185" s="0">
        <v>3000.0</v>
      </c>
      <c r="G185" s="0" t="inlineStr">
        <is>
          <t xml:space="preserve">Unidad</t>
        </is>
      </c>
      <c r="H185" s="4" t="inlineStr">
        <is>
          <t xml:space="preserve">CISCO ISE Premier, Valor neto según Formulario Económico N°1 (en caso de discrepancia entre el valor y el Formulario Económico N° 1 primará este último)</t>
        </is>
      </c>
    </row>
    <row r="186">
      <c r="A186" s="0" t="inlineStr">
        <is>
          <t xml:space="preserve">425-73-LP26</t>
        </is>
      </c>
      <c r="B186" s="4" t="inlineStr">
        <is>
          <t xml:space="preserve">Renovación de licencias de software CISCO</t>
        </is>
      </c>
      <c r="C186" s="0">
        <v>6</v>
      </c>
      <c r="D186" s="4" t="inlineStr">
        <is>
          <t xml:space="preserve">Software de gestión de licencias</t>
        </is>
      </c>
      <c r="E186" s="4" t="inlineStr">
        <is>
          <t xml:space="preserve">Tecnologías de la información, telecomunicaciones y radiodifusión / Software / Software de gestión</t>
        </is>
      </c>
      <c r="F186" s="0">
        <v>2.0</v>
      </c>
      <c r="G186" s="0" t="inlineStr">
        <is>
          <t xml:space="preserve">Unidad</t>
        </is>
      </c>
      <c r="H186" s="4" t="inlineStr">
        <is>
          <t xml:space="preserve">CISCO ISE VM, Valor neto según Formulario Económico N°1 (en caso de discrepancia entre el valor y el Formulario Económico N° 1 primará este último)</t>
        </is>
      </c>
    </row>
    <row r="187">
      <c r="A187" s="0" t="inlineStr">
        <is>
          <t xml:space="preserve">425-73-LP26</t>
        </is>
      </c>
      <c r="B187" s="4" t="inlineStr">
        <is>
          <t xml:space="preserve">Renovación de licencias de software CISCO</t>
        </is>
      </c>
      <c r="C187" s="0">
        <v>7</v>
      </c>
      <c r="D187" s="4" t="inlineStr">
        <is>
          <t xml:space="preserve">Software de gestión de licencias</t>
        </is>
      </c>
      <c r="E187" s="4" t="inlineStr">
        <is>
          <t xml:space="preserve">Tecnologías de la información, telecomunicaciones y radiodifusión / Software / Software de gestión</t>
        </is>
      </c>
      <c r="F187" s="0">
        <v>2700.0</v>
      </c>
      <c r="G187" s="0" t="inlineStr">
        <is>
          <t xml:space="preserve">Unidad</t>
        </is>
      </c>
      <c r="H187" s="4" t="inlineStr">
        <is>
          <t xml:space="preserve">Umbrella SIG Essentials, Valor neto según Formulario Económico N°1 (en caso de discrepancia entre el valor y el Formulario Económico N° 1 primará este último)</t>
        </is>
      </c>
    </row>
    <row r="188">
      <c r="A188" s="0" t="inlineStr">
        <is>
          <t xml:space="preserve">425-73-LP26</t>
        </is>
      </c>
      <c r="B188" s="4" t="inlineStr">
        <is>
          <t xml:space="preserve">Renovación de licencias de software CISCO</t>
        </is>
      </c>
      <c r="C188" s="0">
        <v>8</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Unidad</t>
        </is>
      </c>
      <c r="H188" s="4" t="inlineStr">
        <is>
          <t xml:space="preserve">FMC v300, Valor neto según Formulario Económico N°1 (en caso de discrepancia entre el valor y el Formulario Económico N° 1 primará este último)</t>
        </is>
      </c>
    </row>
    <row r="189">
      <c r="A189" s="0" t="inlineStr">
        <is>
          <t xml:space="preserve">425-73-LP26</t>
        </is>
      </c>
      <c r="B189" s="4" t="inlineStr">
        <is>
          <t xml:space="preserve">Renovación de licencias de software CISCO</t>
        </is>
      </c>
      <c r="C189" s="0">
        <v>9</v>
      </c>
      <c r="D189" s="4" t="inlineStr">
        <is>
          <t xml:space="preserve">Software de gestión de licencias</t>
        </is>
      </c>
      <c r="E189" s="4" t="inlineStr">
        <is>
          <t xml:space="preserve">Tecnologías de la información, telecomunicaciones y radiodifusión / Software / Software de gestión</t>
        </is>
      </c>
      <c r="F189" s="0">
        <v>2.0</v>
      </c>
      <c r="G189" s="0" t="inlineStr">
        <is>
          <t xml:space="preserve">Unidad</t>
        </is>
      </c>
      <c r="H189" s="4" t="inlineStr">
        <is>
          <t xml:space="preserve">Firepower 4115, Valor neto según Formulario Económico N°1 (en caso de discrepancia entre el valor y el Formulario Económico N° 1 primará este último)</t>
        </is>
      </c>
    </row>
    <row r="190">
      <c r="A190" s="0" t="inlineStr">
        <is>
          <t xml:space="preserve">425-73-LP26</t>
        </is>
      </c>
      <c r="B190" s="4" t="inlineStr">
        <is>
          <t xml:space="preserve">Renovación de licencias de software CISCO</t>
        </is>
      </c>
      <c r="C190" s="0">
        <v>10</v>
      </c>
      <c r="D190" s="4" t="inlineStr">
        <is>
          <t xml:space="preserve">Software de gestión de licencias</t>
        </is>
      </c>
      <c r="E190" s="4" t="inlineStr">
        <is>
          <t xml:space="preserve">Tecnologías de la información, telecomunicaciones y radiodifusión / Software / Software de gestión</t>
        </is>
      </c>
      <c r="F190" s="0">
        <v>3000.0</v>
      </c>
      <c r="G190" s="0" t="inlineStr">
        <is>
          <t xml:space="preserve">Unidad</t>
        </is>
      </c>
      <c r="H190" s="4" t="inlineStr">
        <is>
          <t xml:space="preserve">Cisco Secure Client Premier, Valor neto según Formulario Económico N°1 (en caso de discrepancia entre el valor y el Formulario Económico N° 1 primará este último)</t>
        </is>
      </c>
    </row>
    <row r="191">
      <c r="A191" s="0" t="inlineStr">
        <is>
          <t xml:space="preserve">564953-78-B226</t>
        </is>
      </c>
      <c r="B191" s="4" t="inlineStr">
        <is>
          <t xml:space="preserve">ACTUALIZACIÓN PLATAFORMA ERP</t>
        </is>
      </c>
      <c r="C191" s="0">
        <v>1</v>
      </c>
      <c r="D191" s="4" t="inlineStr">
        <is>
          <t xml:space="preserve">Software de planificación de recursos empresariales (ERP)</t>
        </is>
      </c>
      <c r="E191" s="4" t="inlineStr">
        <is>
          <t xml:space="preserve">Tecnologías de la información, telecomunicaciones y radiodifusión / Software / Software de planificación de recursos empresariales (ERP) y contabilidad financiera</t>
        </is>
      </c>
      <c r="F191" s="0">
        <v>1.0</v>
      </c>
      <c r="G191" s="0" t="inlineStr">
        <is>
          <t xml:space="preserve">Unidad</t>
        </is>
      </c>
      <c r="H191" s="4" t="inlineStr">
        <is>
          <t xml:space="preserve">ACTUALIZACIÓN PLATAFORMA ERP</t>
        </is>
      </c>
    </row>
    <row r="192">
      <c r="A192" s="0" t="inlineStr">
        <is>
          <t xml:space="preserve">4160-22-LP26</t>
        </is>
      </c>
      <c r="B192" s="4" t="inlineStr">
        <is>
          <t xml:space="preserve">SERVICIO DE INTERNET VOZ Y DATOS</t>
        </is>
      </c>
      <c r="C192" s="0">
        <v>1</v>
      </c>
      <c r="D192" s="4" t="inlineStr">
        <is>
          <t xml:space="preserve">Proveedores de servicio de Internet (ISP)</t>
        </is>
      </c>
      <c r="E192" s="4" t="inlineStr">
        <is>
          <t xml:space="preserve">Servicios basados en ingeniería, ciencias sociales y tecnología de la información / Servicios informáticos / Servicios para internet</t>
        </is>
      </c>
      <c r="F192" s="0">
        <v>36.0</v>
      </c>
      <c r="G192" s="0" t="inlineStr">
        <is>
          <t xml:space="preserve">Mes</t>
        </is>
      </c>
      <c r="H192"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93">
      <c r="A193" s="0" t="inlineStr">
        <is>
          <t xml:space="preserve">1233623-47-LP26</t>
        </is>
      </c>
      <c r="B193" s="4" t="inlineStr">
        <is>
          <t xml:space="preserve">SOFTWARE PARA GESTION DE PERSONAS LICANCABUR</t>
        </is>
      </c>
      <c r="C193" s="0">
        <v>1</v>
      </c>
      <c r="D193" s="4" t="inlineStr">
        <is>
          <t xml:space="preserve">Software de gestión de recursos humanos</t>
        </is>
      </c>
      <c r="E193" s="4" t="inlineStr">
        <is>
          <t xml:space="preserve">Tecnologías de la información, telecomunicaciones y radiodifusión / Software / Software de gestión</t>
        </is>
      </c>
      <c r="F193" s="0">
        <v>1.0</v>
      </c>
      <c r="G193" s="0" t="inlineStr">
        <is>
          <t xml:space="preserve">Unidad</t>
        </is>
      </c>
      <c r="H193" s="4" t="inlineStr">
        <is>
          <t xml:space="preserve">01 SOFTWARE SISTEMA DE GESTION DE PERSONAS (P01 Y P02) SEGUN LO INDICADO EN LAS BASES ADMINISTRATIVAS Y TECNICAS POR UN PERIODO DE 36 MESES</t>
        </is>
      </c>
    </row>
    <row r="194">
      <c r="A194" s="0" t="inlineStr">
        <is>
          <t xml:space="preserve">5482-101-LR26</t>
        </is>
      </c>
      <c r="B194" s="4" t="inlineStr">
        <is>
          <t xml:space="preserve">Plataforma IA para video y seguridad urbana</t>
        </is>
      </c>
      <c r="C194" s="0">
        <v>1</v>
      </c>
      <c r="D194" s="4" t="inlineStr">
        <is>
          <t xml:space="preserve">Software de desarrollo de plataforma Web</t>
        </is>
      </c>
      <c r="E194" s="4" t="inlineStr">
        <is>
          <t xml:space="preserve">Tecnologías de la información, telecomunicaciones y radiodifusión / Software / Programas de desarrollo</t>
        </is>
      </c>
      <c r="F194" s="0">
        <v>1.0</v>
      </c>
      <c r="G194" s="0" t="inlineStr">
        <is>
          <t xml:space="preserve">Global</t>
        </is>
      </c>
      <c r="H194" s="4" t="inlineStr">
        <is>
          <t xml:space="preserve">Setup o configuración inicial del servicio e instalación</t>
        </is>
      </c>
    </row>
    <row r="195">
      <c r="A195" s="0" t="inlineStr">
        <is>
          <t xml:space="preserve">5482-101-LR26</t>
        </is>
      </c>
      <c r="B195" s="4" t="inlineStr">
        <is>
          <t xml:space="preserve">Plataforma IA para video y seguridad urbana</t>
        </is>
      </c>
      <c r="C195" s="0">
        <v>2</v>
      </c>
      <c r="D195" s="4" t="inlineStr">
        <is>
          <t xml:space="preserve">Software de desarrollo de plataforma Web</t>
        </is>
      </c>
      <c r="E195" s="4" t="inlineStr">
        <is>
          <t xml:space="preserve">Tecnologías de la información, telecomunicaciones y radiodifusión / Software / Programas de desarrollo</t>
        </is>
      </c>
      <c r="F195" s="0">
        <v>26.0</v>
      </c>
      <c r="G195" s="0" t="inlineStr">
        <is>
          <t xml:space="preserve">Mes</t>
        </is>
      </c>
      <c r="H195" s="4" t="inlineStr">
        <is>
          <t xml:space="preserve">Servicio mensual (Operación)</t>
        </is>
      </c>
    </row>
    <row r="196">
      <c r="A196" s="0" t="inlineStr">
        <is>
          <t xml:space="preserve">1057049-394-LP26</t>
        </is>
      </c>
      <c r="B196" s="4" t="inlineStr">
        <is>
          <t xml:space="preserve">JLL CONTRATACION DE SERVICIOS DE TURNOS DE PERSONAL TECNICO INFORMATICO DE APOYO PARA EL DEPARTAMENTO DE TECNOLOGIAS DE LA INFORMACION Y COMUNICACIONES</t>
        </is>
      </c>
      <c r="C196" s="0">
        <v>1</v>
      </c>
      <c r="D196" s="4" t="inlineStr">
        <is>
          <t xml:space="preserve">Personal técnico temporal</t>
        </is>
      </c>
      <c r="E196" s="4" t="inlineStr">
        <is>
          <t xml:space="preserve">Servicios profesionales, administrativos y consultorías de gestión empresarial / Servicios de recursos humanos / Servicios de personal temporal</t>
        </is>
      </c>
      <c r="F196" s="0">
        <v>1.0</v>
      </c>
      <c r="G196" s="0" t="inlineStr">
        <is>
          <t xml:space="preserve">Global</t>
        </is>
      </c>
      <c r="H196" s="4" t="inlineStr">
        <is>
          <t xml:space="preserve">COD: 704-0011 SERVICIO DE TURNOS PERSONAL TECNICO INFORMATICO PARA DEPARTAMENTO DE TECNOLOGIA DE LA INFORMACION Y COMUNICACION DEL HOSPITAL CLINICO SAN BORJA ARRIARAN</t>
        </is>
      </c>
    </row>
    <row r="197">
      <c r="A197" s="0" t="inlineStr">
        <is>
          <t xml:space="preserve">948354-157-LP26</t>
        </is>
      </c>
      <c r="B197" s="4" t="inlineStr">
        <is>
          <t xml:space="preserve">CONTRATACIÓN DEL SERVICIO DE ARRIENDO DE UNA CABINA SANITARIA CON EQUIPO MAMÓGRAFO PARA USO DE MAMOGRAFÍA DIGITALIZADA PORTÁTIL PARA EL HOSPITAL DIPRECA</t>
        </is>
      </c>
      <c r="C197" s="0">
        <v>1</v>
      </c>
      <c r="D197" s="4" t="inlineStr">
        <is>
          <t xml:space="preserve">Equipo para radiografías mamográficas</t>
        </is>
      </c>
      <c r="E197" s="4" t="inlineStr">
        <is>
          <t xml:space="preserve">Equipamiento y suministros médicos / Productos para imágenes y de medicina nuclear / Artículos radiográficos de diagnóstico médico</t>
        </is>
      </c>
      <c r="F197" s="0">
        <v>12.0</v>
      </c>
      <c r="G197" s="0" t="inlineStr">
        <is>
          <t xml:space="preserve">Mes</t>
        </is>
      </c>
      <c r="H197" s="4" t="inlineStr">
        <is>
          <t xml:space="preserve">Servicio de Arriendo de una Cabina Sanitaria con Equipo Mamógrafo para Uso de Mamografía Digitalizada Portátil</t>
        </is>
      </c>
    </row>
    <row r="198">
      <c r="A198" s="0" t="inlineStr">
        <is>
          <t xml:space="preserve">621923-6-LP26</t>
        </is>
      </c>
      <c r="B198" s="4" t="inlineStr">
        <is>
          <t xml:space="preserve">Adquisición de licencias de software</t>
        </is>
      </c>
      <c r="C198" s="0">
        <v>1</v>
      </c>
      <c r="D198" s="4" t="inlineStr">
        <is>
          <t xml:space="preserve">Paquetes de software para oficinas</t>
        </is>
      </c>
      <c r="E198" s="4" t="inlineStr">
        <is>
          <t xml:space="preserve">Tecnologías de la información, telecomunicaciones y radiodifusión / Software / Software de gestión</t>
        </is>
      </c>
      <c r="F198" s="0">
        <v>6.0</v>
      </c>
      <c r="G198" s="0" t="inlineStr">
        <is>
          <t xml:space="preserve">Unidad</t>
        </is>
      </c>
      <c r="H198" s="4" t="inlineStr">
        <is>
          <t xml:space="preserve">Licencia Windows server 2025 Standard Edition perpetua.</t>
        </is>
      </c>
    </row>
    <row r="199">
      <c r="A199" s="0" t="inlineStr">
        <is>
          <t xml:space="preserve">621923-6-LP26</t>
        </is>
      </c>
      <c r="B199" s="4" t="inlineStr">
        <is>
          <t xml:space="preserve">Adquisición de licencias de software</t>
        </is>
      </c>
      <c r="C199" s="0">
        <v>2</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Unidad</t>
        </is>
      </c>
      <c r="H199" s="4" t="inlineStr">
        <is>
          <t xml:space="preserve">Licencia OPEN TEXT EnCase® Forensic (última versión disponible) Physical License with Additional Processor License Electronic software delivery with physical key.</t>
        </is>
      </c>
    </row>
    <row r="200">
      <c r="A200" s="0" t="inlineStr">
        <is>
          <t xml:space="preserve">621923-6-LP26</t>
        </is>
      </c>
      <c r="B200" s="4" t="inlineStr">
        <is>
          <t xml:space="preserve">Adquisición de licencias de software</t>
        </is>
      </c>
      <c r="C200" s="0">
        <v>3</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t>
        </is>
      </c>
      <c r="H200" s="4" t="inlineStr">
        <is>
          <t xml:space="preserve">Licencia Fortinet Enterprise Protection</t>
        </is>
      </c>
    </row>
    <row r="201">
      <c r="A201" s="0" t="inlineStr">
        <is>
          <t xml:space="preserve">621923-6-LP26</t>
        </is>
      </c>
      <c r="B201" s="4" t="inlineStr">
        <is>
          <t xml:space="preserve">Adquisición de licencias de software</t>
        </is>
      </c>
      <c r="C201" s="0">
        <v>4</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t>
        </is>
      </c>
      <c r="H201" s="4" t="inlineStr">
        <is>
          <t xml:space="preserve">Contratación de la suscripción de software FortiEDR Discover, Protect &amp; Respond (Part Number: FC2-10-FEDR1-348-01-12 o equivalente técnico) y el servicio especializado FortiCare Best Practice Service (BPS) for FortiEDR</t>
        </is>
      </c>
    </row>
    <row r="202">
      <c r="A202" s="0" t="inlineStr">
        <is>
          <t xml:space="preserve">621923-6-LP26</t>
        </is>
      </c>
      <c r="B202" s="4" t="inlineStr">
        <is>
          <t xml:space="preserve">Adquisición de licencias de software</t>
        </is>
      </c>
      <c r="C202" s="0">
        <v>5</v>
      </c>
      <c r="D202" s="4" t="inlineStr">
        <is>
          <t xml:space="preserve">Paquetes de software para oficinas</t>
        </is>
      </c>
      <c r="E202" s="4" t="inlineStr">
        <is>
          <t xml:space="preserve">Tecnologías de la información, telecomunicaciones y radiodifusión / Software / Software de gestión</t>
        </is>
      </c>
      <c r="F202" s="0">
        <v>100.0</v>
      </c>
      <c r="G202" s="0" t="inlineStr">
        <is>
          <t xml:space="preserve">Unidad</t>
        </is>
      </c>
      <c r="H202" s="4" t="inlineStr">
        <is>
          <t xml:space="preserve">Adobe Acrobat Pro-2020 o superior – Licencia para Windows.</t>
        </is>
      </c>
    </row>
    <row r="203">
      <c r="A203" s="0" t="inlineStr">
        <is>
          <t xml:space="preserve">621923-6-LP26</t>
        </is>
      </c>
      <c r="B203" s="4" t="inlineStr">
        <is>
          <t xml:space="preserve">Adquisición de licencias de software</t>
        </is>
      </c>
      <c r="C203" s="0">
        <v>6</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Unidad</t>
        </is>
      </c>
      <c r="H203" s="4" t="inlineStr">
        <is>
          <t xml:space="preserve">Licencia SQL Server 2025 Standard Edition por Core (4 × SQL Server 2025 Standard Core 2-Core Pack Perpetual).</t>
        </is>
      </c>
    </row>
    <row r="204">
      <c r="A204" s="0" t="inlineStr">
        <is>
          <t xml:space="preserve">885-98-LP26</t>
        </is>
      </c>
      <c r="B204" s="4" t="inlineStr">
        <is>
          <t xml:space="preserve">Adquisición de servidores destinados a la actualización de plataforma de búsqueda e indexación para la Contraloría General de la República</t>
        </is>
      </c>
      <c r="C204" s="0">
        <v>1</v>
      </c>
      <c r="D204" s="4" t="inlineStr">
        <is>
          <t xml:space="preserve">Servidores</t>
        </is>
      </c>
      <c r="E204" s="4" t="inlineStr">
        <is>
          <t xml:space="preserve">Tecnologías de la información, telecomunicaciones y radiodifusión / Equipos informáticos y accesorios / Computadores</t>
        </is>
      </c>
      <c r="F204" s="0">
        <v>1.0</v>
      </c>
      <c r="G204" s="0" t="inlineStr">
        <is>
          <t xml:space="preserve">Global</t>
        </is>
      </c>
      <c r="H204" s="4" t="inlineStr">
        <is>
          <t xml:space="preserve">Adquisición de cuatro (4) servidores para la renovación de la infraestructura física que soporta su plataforma de búsqueda e indexación.</t>
        </is>
      </c>
    </row>
    <row r="205">
      <c r="A205" s="0" t="inlineStr">
        <is>
          <t xml:space="preserve">1422051-31-LE26</t>
        </is>
      </c>
      <c r="B205" s="4" t="inlineStr">
        <is>
          <t xml:space="preserve">Contratación Servicio Plataforma de Gestión RRHH</t>
        </is>
      </c>
      <c r="C205" s="0">
        <v>1</v>
      </c>
      <c r="D205" s="4" t="inlineStr">
        <is>
          <t xml:space="preserve">Software de gestión de recursos humanos</t>
        </is>
      </c>
      <c r="E205" s="4" t="inlineStr">
        <is>
          <t xml:space="preserve">Tecnologías de la información, telecomunicaciones y radiodifusión / Software / Software de gestión</t>
        </is>
      </c>
      <c r="F205" s="0">
        <v>1.0</v>
      </c>
      <c r="G205" s="0" t="inlineStr">
        <is>
          <t xml:space="preserve">Unidad</t>
        </is>
      </c>
      <c r="H205" s="4" t="inlineStr">
        <is>
          <t xml:space="preserve">Software de Gestión para Recursos Humanos.</t>
        </is>
      </c>
    </row>
    <row r="206">
      <c r="A206" s="0" t="inlineStr">
        <is>
          <t xml:space="preserve">5240-109-LR26</t>
        </is>
      </c>
      <c r="B206" s="4" t="inlineStr">
        <is>
          <t xml:space="preserve">SOFTWARE USO FORENSE DE EXTRACC. Y ANALIS DE DATOS</t>
        </is>
      </c>
      <c r="C206" s="0">
        <v>1</v>
      </c>
      <c r="D206" s="4" t="inlineStr">
        <is>
          <t xml:space="preserve">Software de extracción de datos</t>
        </is>
      </c>
      <c r="E206" s="4" t="inlineStr">
        <is>
          <t xml:space="preserve">Tecnologías de la información, telecomunicaciones y radiodifusión / Software / Software de consultas y gestión de datos</t>
        </is>
      </c>
      <c r="F206" s="0">
        <v>2.0</v>
      </c>
      <c r="G206" s="0" t="inlineStr">
        <is>
          <t xml:space="preserve">Unidad</t>
        </is>
      </c>
      <c r="H206" s="4" t="inlineStr">
        <is>
          <t xml:space="preserve">LINEA 1: SOFTWARE FORENSE DE EXTRACCIÓN AVANZADO Y ANALISIS DE INFORMACIÓN DIGITAL</t>
        </is>
      </c>
    </row>
    <row r="207">
      <c r="A207" s="0" t="inlineStr">
        <is>
          <t xml:space="preserve">5240-109-LR26</t>
        </is>
      </c>
      <c r="B207" s="4" t="inlineStr">
        <is>
          <t xml:space="preserve">SOFTWARE USO FORENSE DE EXTRACC. Y ANALIS DE DATOS</t>
        </is>
      </c>
      <c r="C207" s="0">
        <v>2</v>
      </c>
      <c r="D207" s="4" t="inlineStr">
        <is>
          <t xml:space="preserve">Software de extracción de datos</t>
        </is>
      </c>
      <c r="E207" s="4" t="inlineStr">
        <is>
          <t xml:space="preserve">Tecnologías de la información, telecomunicaciones y radiodifusión / Software / Software de consultas y gestión de datos</t>
        </is>
      </c>
      <c r="F207" s="0">
        <v>1.0</v>
      </c>
      <c r="G207" s="0" t="inlineStr">
        <is>
          <t xml:space="preserve">Unidad</t>
        </is>
      </c>
      <c r="H207" s="4" t="inlineStr">
        <is>
          <t xml:space="preserve">LINEA 2: SOFTWARE FORENSE PARA RECUPERAR Y REPRODUCIR DISTINTOS FORMATOS DE VIDEO CAPTADOS POR DVR</t>
        </is>
      </c>
    </row>
    <row r="208">
      <c r="A208" s="0" t="inlineStr">
        <is>
          <t xml:space="preserve">5240-109-LR26</t>
        </is>
      </c>
      <c r="B208" s="4" t="inlineStr">
        <is>
          <t xml:space="preserve">SOFTWARE USO FORENSE DE EXTRACC. Y ANALIS DE DATOS</t>
        </is>
      </c>
      <c r="C208" s="0">
        <v>3</v>
      </c>
      <c r="D208" s="4" t="inlineStr">
        <is>
          <t xml:space="preserve">Software de extracción de datos</t>
        </is>
      </c>
      <c r="E208" s="4" t="inlineStr">
        <is>
          <t xml:space="preserve">Tecnologías de la información, telecomunicaciones y radiodifusión / Software / Software de consultas y gestión de datos</t>
        </is>
      </c>
      <c r="F208" s="0">
        <v>3.0</v>
      </c>
      <c r="G208" s="0" t="inlineStr">
        <is>
          <t xml:space="preserve">Unidad</t>
        </is>
      </c>
      <c r="H208" s="4" t="inlineStr">
        <is>
          <t xml:space="preserve">LINEA 3: LICENCIAS FORENSIC TOOL KIT SMS</t>
        </is>
      </c>
    </row>
    <row r="209">
      <c r="A209" s="0" t="inlineStr">
        <is>
          <t xml:space="preserve">5240-109-LR26</t>
        </is>
      </c>
      <c r="B209" s="4" t="inlineStr">
        <is>
          <t xml:space="preserve">SOFTWARE USO FORENSE DE EXTRACC. Y ANALIS DE DATOS</t>
        </is>
      </c>
      <c r="C209" s="0">
        <v>4</v>
      </c>
      <c r="D209" s="4" t="inlineStr">
        <is>
          <t xml:space="preserve">Software de extracción de datos</t>
        </is>
      </c>
      <c r="E209" s="4" t="inlineStr">
        <is>
          <t xml:space="preserve">Tecnologías de la información, telecomunicaciones y radiodifusión / Software / Software de consultas y gestión de datos</t>
        </is>
      </c>
      <c r="F209" s="0">
        <v>1.0</v>
      </c>
      <c r="G209" s="0" t="inlineStr">
        <is>
          <t xml:space="preserve">Unidad</t>
        </is>
      </c>
      <c r="H209" s="4" t="inlineStr">
        <is>
          <t xml:space="preserve">LINEA 4: LICENCIA ENCASE FORENSIC MAINTENANCE</t>
        </is>
      </c>
    </row>
    <row r="210">
      <c r="A210" s="0" t="inlineStr">
        <is>
          <t xml:space="preserve">5240-109-LR26</t>
        </is>
      </c>
      <c r="B210" s="4" t="inlineStr">
        <is>
          <t xml:space="preserve">SOFTWARE USO FORENSE DE EXTRACC. Y ANALIS DE DATOS</t>
        </is>
      </c>
      <c r="C210" s="0">
        <v>5</v>
      </c>
      <c r="D210" s="4" t="inlineStr">
        <is>
          <t xml:space="preserve">Software de extracción de datos</t>
        </is>
      </c>
      <c r="E210" s="4" t="inlineStr">
        <is>
          <t xml:space="preserve">Tecnologías de la información, telecomunicaciones y radiodifusión / Software / Software de consultas y gestión de datos</t>
        </is>
      </c>
      <c r="F210" s="0">
        <v>1.0</v>
      </c>
      <c r="G210" s="0" t="inlineStr">
        <is>
          <t xml:space="preserve">Unidad</t>
        </is>
      </c>
      <c r="H210" s="4" t="inlineStr">
        <is>
          <t xml:space="preserve">LINEA 5: LICENCIAS FORENSIC TOOL KIT SMS (RANCAGUA)</t>
        </is>
      </c>
    </row>
    <row r="211">
      <c r="A211" s="0" t="inlineStr">
        <is>
          <t xml:space="preserve">5240-109-LR26</t>
        </is>
      </c>
      <c r="B211" s="4" t="inlineStr">
        <is>
          <t xml:space="preserve">SOFTWARE USO FORENSE DE EXTRACC. Y ANALIS DE DATOS</t>
        </is>
      </c>
      <c r="C211" s="0">
        <v>6</v>
      </c>
      <c r="D211" s="4" t="inlineStr">
        <is>
          <t xml:space="preserve">Software de extracción de datos</t>
        </is>
      </c>
      <c r="E211" s="4" t="inlineStr">
        <is>
          <t xml:space="preserve">Tecnologías de la información, telecomunicaciones y radiodifusión / Software / Software de consultas y gestión de datos</t>
        </is>
      </c>
      <c r="F211" s="0">
        <v>1.0</v>
      </c>
      <c r="G211" s="0" t="inlineStr">
        <is>
          <t xml:space="preserve">Unidad</t>
        </is>
      </c>
      <c r="H211" s="4" t="inlineStr">
        <is>
          <t xml:space="preserve">LINEA 6: SOFTWARE FORENSE DE EXTRACCIÓN AVANZADO Y ANALISIS DE INFORMACIÓN DIGITAL (RANCAGUA)</t>
        </is>
      </c>
    </row>
    <row r="212">
      <c r="A212" s="0" t="inlineStr">
        <is>
          <t xml:space="preserve">5240-109-LR26</t>
        </is>
      </c>
      <c r="B212" s="4" t="inlineStr">
        <is>
          <t xml:space="preserve">SOFTWARE USO FORENSE DE EXTRACC. Y ANALIS DE DATOS</t>
        </is>
      </c>
      <c r="C212" s="0">
        <v>7</v>
      </c>
      <c r="D212" s="4" t="inlineStr">
        <is>
          <t xml:space="preserve">Software de extracción de datos</t>
        </is>
      </c>
      <c r="E212" s="4" t="inlineStr">
        <is>
          <t xml:space="preserve">Tecnologías de la información, telecomunicaciones y radiodifusión / Software / Software de consultas y gestión de datos</t>
        </is>
      </c>
      <c r="F212" s="0">
        <v>1.0</v>
      </c>
      <c r="G212" s="0" t="inlineStr">
        <is>
          <t xml:space="preserve">Unidad</t>
        </is>
      </c>
      <c r="H212" s="4" t="inlineStr">
        <is>
          <t xml:space="preserve">LINEA 7: SOFTWARE FORENSE DE EXTRACCIÓN AVANZADO Y ANALISIS DE INFORMACIÓN DIGITAL (TALCA)</t>
        </is>
      </c>
    </row>
    <row r="213">
      <c r="A213" s="0" t="inlineStr">
        <is>
          <t xml:space="preserve">5240-109-LR26</t>
        </is>
      </c>
      <c r="B213" s="4" t="inlineStr">
        <is>
          <t xml:space="preserve">SOFTWARE USO FORENSE DE EXTRACC. Y ANALIS DE DATOS</t>
        </is>
      </c>
      <c r="C213" s="0">
        <v>8</v>
      </c>
      <c r="D213" s="4" t="inlineStr">
        <is>
          <t xml:space="preserve">Software de extracción de datos</t>
        </is>
      </c>
      <c r="E213" s="4" t="inlineStr">
        <is>
          <t xml:space="preserve">Tecnologías de la información, telecomunicaciones y radiodifusión / Software / Software de consultas y gestión de datos</t>
        </is>
      </c>
      <c r="F213" s="0">
        <v>1.0</v>
      </c>
      <c r="G213" s="0" t="inlineStr">
        <is>
          <t xml:space="preserve">Unidad</t>
        </is>
      </c>
      <c r="H213" s="4" t="inlineStr">
        <is>
          <t xml:space="preserve">LINEA 8: SOFTWARE FORENSE DE EXTRACCIÓN AVANZADO Y ANALISIS DE INFORMACIÓN DIGITAL (VALDIVIA)</t>
        </is>
      </c>
    </row>
    <row r="214">
      <c r="A214" s="0" t="inlineStr">
        <is>
          <t xml:space="preserve">5240-109-LR26</t>
        </is>
      </c>
      <c r="B214" s="4" t="inlineStr">
        <is>
          <t xml:space="preserve">SOFTWARE USO FORENSE DE EXTRACC. Y ANALIS DE DATOS</t>
        </is>
      </c>
      <c r="C214" s="0">
        <v>9</v>
      </c>
      <c r="D214" s="4" t="inlineStr">
        <is>
          <t xml:space="preserve">Software de extracción de datos</t>
        </is>
      </c>
      <c r="E214" s="4" t="inlineStr">
        <is>
          <t xml:space="preserve">Tecnologías de la información, telecomunicaciones y radiodifusión / Software / Software de consultas y gestión de datos</t>
        </is>
      </c>
      <c r="F214" s="0">
        <v>1.0</v>
      </c>
      <c r="G214" s="0" t="inlineStr">
        <is>
          <t xml:space="preserve">Unidad</t>
        </is>
      </c>
      <c r="H214" s="4" t="inlineStr">
        <is>
          <t xml:space="preserve">LINEA 9: SOFTWARE FORENSE DE EXTRACCIÓN AVANZADO Y ANALISIS DE INFORMACIÓN DIGITAL (PUERTO MONTT)</t>
        </is>
      </c>
    </row>
    <row r="215">
      <c r="A215" s="0" t="inlineStr">
        <is>
          <t xml:space="preserve">2342-36-LR26</t>
        </is>
      </c>
      <c r="B215" s="4" t="inlineStr">
        <is>
          <t xml:space="preserve">CONCESIÓN DE ESTACIONAMIENTOS EN CALLES DE LA ZONA CENTRO DE LA COMUNA DE SAN BERNARDO APLICANDO SISTEMA DE CONTROL DE TIEMPO DE USO CAPTADORES DE DATOS</t>
        </is>
      </c>
      <c r="C215" s="0">
        <v>1</v>
      </c>
      <c r="D215" s="4" t="inlineStr">
        <is>
          <t xml:space="preserve">Estacionamientos</t>
        </is>
      </c>
      <c r="E215" s="4" t="inlineStr">
        <is>
          <t xml:space="preserve">Servicios de transporte, almacenaje y correo / Servicios de mantención o reparaciones de transportes / Combustible para vehículos de transporte, estacionamiento y otros servicios de apoyo</t>
        </is>
      </c>
      <c r="F215" s="0">
        <v>1.0</v>
      </c>
      <c r="G215" s="0" t="inlineStr">
        <is>
          <t xml:space="preserve">Unidad</t>
        </is>
      </c>
      <c r="H215" s="4" t="inlineStr">
        <is>
          <t xml:space="preserve">De acuerdo a lo indicado en Especificaciones Técnicas</t>
        </is>
      </c>
    </row>
    <row r="216">
      <c r="A216" s="0" t="inlineStr">
        <is>
          <t xml:space="preserve">2345-137-LR26</t>
        </is>
      </c>
      <c r="B216" s="4" t="inlineStr">
        <is>
          <t xml:space="preserve">SERVICIO DE APLICACIÓN MÓVIL DE SEGURIDAD 1402 PARA LA COMUNA DE LAS CONDES</t>
        </is>
      </c>
      <c r="C216" s="0">
        <v>1</v>
      </c>
      <c r="D216" s="4" t="inlineStr">
        <is>
          <t xml:space="preserve">Web Hosting</t>
        </is>
      </c>
      <c r="E216" s="4" t="inlineStr">
        <is>
          <t xml:space="preserve">Servicios basados en ingeniería, ciencias sociales y tecnología de la información / Servicios informáticos / Servicios para internet</t>
        </is>
      </c>
      <c r="F216" s="0">
        <v>1.0</v>
      </c>
      <c r="G216" s="0" t="inlineStr">
        <is>
          <t xml:space="preserve">Global</t>
        </is>
      </c>
      <c r="H216" s="4" t="inlineStr">
        <is>
          <t xml:space="preserve">De acuerdo a lo indicado en las Bases Técnicas y Anexo N° 3-A y N°3-B</t>
        </is>
      </c>
    </row>
    <row r="217">
      <c r="A217" s="0" t="inlineStr">
        <is>
          <t xml:space="preserve">2048-86-LP26</t>
        </is>
      </c>
      <c r="B217" s="4" t="inlineStr">
        <is>
          <t xml:space="preserve">Software de Gestión de Mantenimiento</t>
        </is>
      </c>
      <c r="C217" s="0">
        <v>1</v>
      </c>
      <c r="D217" s="4" t="inlineStr">
        <is>
          <t xml:space="preserve">Software de administración</t>
        </is>
      </c>
      <c r="E217" s="4" t="inlineStr">
        <is>
          <t xml:space="preserve">Tecnologías de la información, telecomunicaciones y radiodifusión / Software / Software de administración de redes</t>
        </is>
      </c>
      <c r="F217" s="0">
        <v>1.0</v>
      </c>
      <c r="G217" s="0" t="inlineStr">
        <is>
          <t xml:space="preserve">Unidad no definida</t>
        </is>
      </c>
      <c r="H217" s="4" t="inlineStr">
        <is>
          <t xml:space="preserve">SOFTWARE DE GESTION DE MANTENIMIENTO (INGRESAR PRECIO TOTAL DEL CONVENIO, SEGUN ANEXO ECONOMICO N°1)</t>
        </is>
      </c>
    </row>
    <row r="218">
      <c r="A218" s="0" t="inlineStr">
        <is>
          <t xml:space="preserve">869591-15-LP26</t>
        </is>
      </c>
      <c r="B218" s="4" t="inlineStr">
        <is>
          <t xml:space="preserve">CONTRATACIÓN DEL SERVICIO DE CIBERSEGURIDAD</t>
        </is>
      </c>
      <c r="C218" s="0">
        <v>1</v>
      </c>
      <c r="D218" s="4" t="inlineStr">
        <is>
          <t xml:space="preserve">Seguridad para computadores, redes e Internet</t>
        </is>
      </c>
      <c r="E218" s="4" t="inlineStr">
        <is>
          <t xml:space="preserve">Servicios basados en ingeniería, ciencias sociales y tecnología de la información / Servicios informáticos / Administración de sistemas</t>
        </is>
      </c>
      <c r="F218" s="0">
        <v>1.0</v>
      </c>
      <c r="G218" s="0" t="inlineStr">
        <is>
          <t xml:space="preserve">Unidad</t>
        </is>
      </c>
      <c r="H218" s="4" t="inlineStr">
        <is>
          <t xml:space="preserve">CONTRATACIÓN DEL SERVICIO DE CIBERSEGURIDAD AVANZADA Y RESPUESTA A INCIDENTES PARA MERCADO PÚBLICO</t>
        </is>
      </c>
    </row>
    <row r="219">
      <c r="A219" s="0" t="inlineStr">
        <is>
          <t xml:space="preserve">1882-3-LP26</t>
        </is>
      </c>
      <c r="B219" s="4" t="inlineStr">
        <is>
          <t xml:space="preserve">DPP LA ARAUCANIA SERVICIO DEFENSA RPA LLAMADO 2026</t>
        </is>
      </c>
      <c r="C219" s="0">
        <v>1</v>
      </c>
      <c r="D219" s="4" t="inlineStr">
        <is>
          <t xml:space="preserve">Servicio de defensa penal pública</t>
        </is>
      </c>
      <c r="E219" s="4" t="inlineStr">
        <is>
          <t xml:space="preserve">Servicios profesionales, administrativos y consultorías de gestión empresarial / Servicios legales / Derecho penal</t>
        </is>
      </c>
      <c r="F219" s="0">
        <v>1.0</v>
      </c>
      <c r="G219" s="0" t="inlineStr">
        <is>
          <t xml:space="preserve">Unidad</t>
        </is>
      </c>
      <c r="H219" s="4" t="inlineStr">
        <is>
          <t xml:space="preserve">Contratación con abogad@s, personas jurídicas o abogad@s particulares para la prestación de todo o parte del servicio de Defensa Penal EN LA ZONA 1 RPA ANGOL, SEGUN ANEXO N°1 ADJUNTO.</t>
        </is>
      </c>
    </row>
    <row r="220">
      <c r="A220" s="0" t="inlineStr">
        <is>
          <t xml:space="preserve">1887-4-LP26</t>
        </is>
      </c>
      <c r="B220" s="4" t="inlineStr">
        <is>
          <t xml:space="preserve">SERVICIO DE DEFENSA PENAL EN ZONA 1 RPA</t>
        </is>
      </c>
      <c r="C220" s="0">
        <v>1</v>
      </c>
      <c r="D220" s="4" t="inlineStr">
        <is>
          <t xml:space="preserve">Servicio de defensa penal pública</t>
        </is>
      </c>
      <c r="E220" s="4" t="inlineStr">
        <is>
          <t xml:space="preserve">Servicios profesionales, administrativos y consultorías de gestión empresarial / Servicios legales / Derecho penal</t>
        </is>
      </c>
      <c r="F220" s="0">
        <v>36.0</v>
      </c>
      <c r="G220" s="0" t="inlineStr">
        <is>
          <t xml:space="preserve">Mes</t>
        </is>
      </c>
      <c r="H220" s="4" t="inlineStr">
        <is>
          <t xml:space="preserve">SERVICIO DEFENSA PENAL ZONA 1 RPA(PREFERENTE)</t>
        </is>
      </c>
    </row>
    <row r="221">
      <c r="A221" s="0" t="inlineStr">
        <is>
          <t xml:space="preserve">1171317-96-LP26</t>
        </is>
      </c>
      <c r="B221" s="4" t="inlineStr">
        <is>
          <t xml:space="preserve">Adquisición de Licencias de Software Municipalida</t>
        </is>
      </c>
      <c r="C221" s="0">
        <v>1</v>
      </c>
      <c r="D221" s="4" t="inlineStr">
        <is>
          <t xml:space="preserve">Software de gestión de licencias</t>
        </is>
      </c>
      <c r="E221" s="4" t="inlineStr">
        <is>
          <t xml:space="preserve">Tecnologías de la información, telecomunicaciones y radiodifusión / Software / Software de gestión</t>
        </is>
      </c>
      <c r="F221" s="0">
        <v>1.0</v>
      </c>
      <c r="G221" s="0" t="inlineStr">
        <is>
          <t xml:space="preserve">Unidad</t>
        </is>
      </c>
      <c r="H221" s="4" t="inlineStr">
        <is>
          <t xml:space="preserve">Renovación y adquisición autocad, línea N°1</t>
        </is>
      </c>
    </row>
    <row r="222">
      <c r="A222" s="0" t="inlineStr">
        <is>
          <t xml:space="preserve">1171317-96-LP26</t>
        </is>
      </c>
      <c r="B222" s="4" t="inlineStr">
        <is>
          <t xml:space="preserve">Adquisición de Licencias de Software Municipalida</t>
        </is>
      </c>
      <c r="C222" s="0">
        <v>2</v>
      </c>
      <c r="D222" s="4" t="inlineStr">
        <is>
          <t xml:space="preserve">Software de gestión de licencias</t>
        </is>
      </c>
      <c r="E222" s="4" t="inlineStr">
        <is>
          <t xml:space="preserve">Tecnologías de la información, telecomunicaciones y radiodifusión / Software / Software de gestión</t>
        </is>
      </c>
      <c r="F222" s="0">
        <v>1.0</v>
      </c>
      <c r="G222" s="0" t="inlineStr">
        <is>
          <t xml:space="preserve">Unidad</t>
        </is>
      </c>
      <c r="H222" s="4" t="inlineStr">
        <is>
          <t xml:space="preserve">Renovación civil 3D, Línea N°2</t>
        </is>
      </c>
    </row>
    <row r="223">
      <c r="A223" s="0" t="inlineStr">
        <is>
          <t xml:space="preserve">1171317-96-LP26</t>
        </is>
      </c>
      <c r="B223" s="4" t="inlineStr">
        <is>
          <t xml:space="preserve">Adquisición de Licencias de Software Municipalida</t>
        </is>
      </c>
      <c r="C223" s="0">
        <v>3</v>
      </c>
      <c r="D223" s="4" t="inlineStr">
        <is>
          <t xml:space="preserve">Software de gestión de licencias</t>
        </is>
      </c>
      <c r="E223" s="4" t="inlineStr">
        <is>
          <t xml:space="preserve">Tecnologías de la información, telecomunicaciones y radiodifusión / Software / Software de gestión</t>
        </is>
      </c>
      <c r="F223" s="0">
        <v>1.0</v>
      </c>
      <c r="G223" s="0" t="inlineStr">
        <is>
          <t xml:space="preserve">Unidad</t>
        </is>
      </c>
      <c r="H223" s="4" t="inlineStr">
        <is>
          <t xml:space="preserve">Adquisición de sketchup pro 2026, Línea N°3</t>
        </is>
      </c>
    </row>
    <row r="224">
      <c r="A224" s="0" t="inlineStr">
        <is>
          <t xml:space="preserve">1171317-96-LP26</t>
        </is>
      </c>
      <c r="B224" s="4" t="inlineStr">
        <is>
          <t xml:space="preserve">Adquisición de Licencias de Software Municipalida</t>
        </is>
      </c>
      <c r="C224" s="0">
        <v>4</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Unidad</t>
        </is>
      </c>
      <c r="H224" s="4" t="inlineStr">
        <is>
          <t xml:space="preserve">Renovación arcgis online creator, Línea N°4</t>
        </is>
      </c>
    </row>
    <row r="225">
      <c r="A225" s="0" t="inlineStr">
        <is>
          <t xml:space="preserve">1171317-96-LP26</t>
        </is>
      </c>
      <c r="B225" s="4" t="inlineStr">
        <is>
          <t xml:space="preserve">Adquisición de Licencias de Software Municipalida</t>
        </is>
      </c>
      <c r="C225" s="0">
        <v>5</v>
      </c>
      <c r="D225" s="4" t="inlineStr">
        <is>
          <t xml:space="preserve">Software de gestión de licencias</t>
        </is>
      </c>
      <c r="E225" s="4" t="inlineStr">
        <is>
          <t xml:space="preserve">Tecnologías de la información, telecomunicaciones y radiodifusión / Software / Software de gestión</t>
        </is>
      </c>
      <c r="F225" s="0">
        <v>1.0</v>
      </c>
      <c r="G225" s="0" t="inlineStr">
        <is>
          <t xml:space="preserve">Unidad</t>
        </is>
      </c>
      <c r="H225" s="4" t="inlineStr">
        <is>
          <t xml:space="preserve">Adquisición SAP2000, Línea N°5</t>
        </is>
      </c>
    </row>
    <row r="226">
      <c r="A226" s="0" t="inlineStr">
        <is>
          <t xml:space="preserve">622-72-LP26</t>
        </is>
      </c>
      <c r="B226" s="4" t="inlineStr">
        <is>
          <t xml:space="preserve">SOLUCIÓN DE OBSERVABILIDAD UNIFICADA DE SOFTWARE</t>
        </is>
      </c>
      <c r="C226" s="0">
        <v>1</v>
      </c>
      <c r="D226" s="4" t="inlineStr">
        <is>
          <t xml:space="preserve">Software de gestión de licencias</t>
        </is>
      </c>
      <c r="E226" s="4" t="inlineStr">
        <is>
          <t xml:space="preserve">Tecnologías de la información, telecomunicaciones y radiodifusión / Software / Software de gestión</t>
        </is>
      </c>
      <c r="F226" s="0">
        <v>1.0</v>
      </c>
      <c r="G226" s="0" t="inlineStr">
        <is>
          <t xml:space="preserve">Unidad</t>
        </is>
      </c>
      <c r="H226" s="4" t="inlineStr">
        <is>
          <t xml:space="preserve">CONTRATACIÓN DE SOLUCIÓN DE OBSERVABILIDAD UNIFICADA DE SOFTWARE (APM/DEM) Y MONITOREO DE INFRAESTRUCTURA HÍBRIDA PARA TGR</t>
        </is>
      </c>
    </row>
    <row r="227">
      <c r="A227" s="0" t="inlineStr">
        <is>
          <t xml:space="preserve">2982-59-LE26</t>
        </is>
      </c>
      <c r="B227" s="4" t="inlineStr">
        <is>
          <t xml:space="preserve">SERVICIO DE RENOVACION Y ADQUISICION DE LICENCIAS SOFTWARE</t>
        </is>
      </c>
      <c r="C227" s="0">
        <v>1</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Kit</t>
        </is>
      </c>
      <c r="H227" s="4" t="inlineStr">
        <is>
          <t xml:space="preserve">SEGÚN LISTADO DETALLADO EN BASES DE LICITACIÓN</t>
        </is>
      </c>
    </row>
    <row r="228">
      <c r="A228" s="0" t="inlineStr">
        <is>
          <t xml:space="preserve">1605-52-LR26</t>
        </is>
      </c>
      <c r="B228" s="4" t="inlineStr">
        <is>
          <t xml:space="preserve">LR-5231 LICENCIAS DE SOFTWARE CONTROL M</t>
        </is>
      </c>
      <c r="C228" s="0">
        <v>1</v>
      </c>
      <c r="D228" s="4" t="inlineStr">
        <is>
          <t xml:space="preserve">Software de sistema experto</t>
        </is>
      </c>
      <c r="E228" s="4" t="inlineStr">
        <is>
          <t xml:space="preserve">Tecnologías de la información, telecomunicaciones y radiodifusión / Software / Software de gestión</t>
        </is>
      </c>
      <c r="F228" s="0">
        <v>1.0</v>
      </c>
      <c r="G228" s="0" t="inlineStr">
        <is>
          <t xml:space="preserve">Unidad</t>
        </is>
      </c>
      <c r="H228" s="4" t="inlineStr">
        <is>
          <t xml:space="preserve">Adquisición de licencias de Software Control-M modalidad Platform, las cuales serán utilizadas para automatizar, programar y monitorear procesos de negocio por un periodo de 36 meses.</t>
        </is>
      </c>
    </row>
    <row r="229">
      <c r="A229" s="0" t="inlineStr">
        <is>
          <t xml:space="preserve">1456837-4-LR26</t>
        </is>
      </c>
      <c r="B229" s="4" t="inlineStr">
        <is>
          <t xml:space="preserve">SUMINISTRO DE MATERIALES DE OFICINA A TRAVÉS DE PLATAFORMA CLOUDE-COMMERCE</t>
        </is>
      </c>
      <c r="C229" s="0">
        <v>1</v>
      </c>
      <c r="D229" s="4" t="inlineStr">
        <is>
          <t xml:space="preserve">Juegos de bolígrafos y lápices</t>
        </is>
      </c>
      <c r="E229" s="4" t="inlineStr">
        <is>
          <t xml:space="preserve">Equipos, accesorios y suministros de oficina / Suministros de oficina / Instrumentos de escritura</t>
        </is>
      </c>
      <c r="F229" s="0">
        <v>1.0</v>
      </c>
      <c r="G229" s="0" t="inlineStr">
        <is>
          <t xml:space="preserve">Unidad</t>
        </is>
      </c>
      <c r="H229" s="4" t="inlineStr">
        <is>
          <t xml:space="preserve">SUMINISTRO DE MATERIALES DE OFICINA A TRAVÉS DE PLATAFORMA CLOUD/E-COMMERCE SLEP DE LA QUEBRADA</t>
        </is>
      </c>
    </row>
    <row r="230">
      <c r="A230" s="0" t="inlineStr">
        <is>
          <t xml:space="preserve">3759-60-LR26</t>
        </is>
      </c>
      <c r="B230" s="4" t="inlineStr">
        <is>
          <t xml:space="preserve">SERVICIO DE ARRENDAMIENTO DE PLATAFORMA</t>
        </is>
      </c>
      <c r="C230" s="0">
        <v>1</v>
      </c>
      <c r="D230" s="4" t="inlineStr">
        <is>
          <t xml:space="preserve">Software del sistema de administración de bases de datos</t>
        </is>
      </c>
      <c r="E230" s="4" t="inlineStr">
        <is>
          <t xml:space="preserve">Tecnologías de la información, telecomunicaciones y radiodifusión / Software / Software de consultas y gestión de datos</t>
        </is>
      </c>
      <c r="F230" s="0">
        <v>1.0</v>
      </c>
      <c r="G230" s="0" t="inlineStr">
        <is>
          <t xml:space="preserve">Global</t>
        </is>
      </c>
      <c r="H230" s="4" t="inlineStr">
        <is>
          <t xml:space="preserve">SERVICIO DE ARRENDAMIENTO DE PLATAFORMA DE GESTIÓN Y VENTA DE PERMISOS DE CIRCULACIÓN VEHICULAR, COMUNA DE YERBAS BUENAS.</t>
        </is>
      </c>
    </row>
    <row r="231">
      <c r="A231" s="0" t="inlineStr">
        <is>
          <t xml:space="preserve">1057898-85-LR26</t>
        </is>
      </c>
      <c r="B231" s="4" t="inlineStr">
        <is>
          <t xml:space="preserve">ADQUISICIÓN DE SOFTWARES HIS-ESB-BI Y ERP PARA EL NUEVO HOSPITAL REGIONAL DE ÑUBLE</t>
        </is>
      </c>
      <c r="C231" s="0">
        <v>1</v>
      </c>
      <c r="D231" s="4" t="inlineStr">
        <is>
          <t xml:space="preserve">Software de administración</t>
        </is>
      </c>
      <c r="E231" s="4" t="inlineStr">
        <is>
          <t xml:space="preserve">Tecnologías de la información, telecomunicaciones y radiodifusión / Software / Software de administración de redes</t>
        </is>
      </c>
      <c r="F231" s="0">
        <v>1.0</v>
      </c>
      <c r="G231" s="0" t="inlineStr">
        <is>
          <t xml:space="preserve">Global</t>
        </is>
      </c>
      <c r="H231" s="4" t="inlineStr">
        <is>
          <t xml:space="preserve">FAMILIA N°1: SISTEMAS 1 PAQUETIZADO SOFTWARE PRINCIPAL(SOFTWARE COMO SERVICIO)</t>
        </is>
      </c>
    </row>
    <row r="232">
      <c r="A232" s="0" t="inlineStr">
        <is>
          <t xml:space="preserve">1057898-85-LR26</t>
        </is>
      </c>
      <c r="B232" s="4" t="inlineStr">
        <is>
          <t xml:space="preserve">ADQUISICIÓN DE SOFTWARES HIS-ESB-BI Y ERP PARA EL NUEVO HOSPITAL REGIONAL DE ÑUBLE</t>
        </is>
      </c>
      <c r="C232" s="0">
        <v>2</v>
      </c>
      <c r="D232" s="4" t="inlineStr">
        <is>
          <t xml:space="preserve">Software de administración</t>
        </is>
      </c>
      <c r="E232" s="4" t="inlineStr">
        <is>
          <t xml:space="preserve">Tecnologías de la información, telecomunicaciones y radiodifusión / Software / Software de administración de redes</t>
        </is>
      </c>
      <c r="F232" s="0">
        <v>1.0</v>
      </c>
      <c r="G232" s="0" t="inlineStr">
        <is>
          <t xml:space="preserve">Global</t>
        </is>
      </c>
      <c r="H232" s="4" t="inlineStr">
        <is>
          <t xml:space="preserve">FAMILIA N°2: SISTEMAS 2 SISTEMA ERP (SOFTWARE COMO SERVICIO)</t>
        </is>
      </c>
    </row>
    <row r="233">
      <c r="A233" s="0" t="inlineStr">
        <is>
          <t xml:space="preserve">2770-161-LR26</t>
        </is>
      </c>
      <c r="B233" s="4" t="inlineStr">
        <is>
          <t xml:space="preserve">SOLUCIÓN INFORMÁTICA INTEGRAL PARA LA GESTIÓN DE PROCESOS DE LA I. MUNICIPALIDAD DE MAIPÚ</t>
        </is>
      </c>
      <c r="C233" s="0">
        <v>1</v>
      </c>
      <c r="D233" s="4" t="inlineStr">
        <is>
          <t xml:space="preserve">Integración de sistemas</t>
        </is>
      </c>
      <c r="E233" s="4" t="inlineStr">
        <is>
          <t xml:space="preserve">Servicios basados en ingeniería, ciencias sociales y tecnología de la información / Servicios informáticos / Ingeniería en computación e informática</t>
        </is>
      </c>
      <c r="F233" s="0">
        <v>1.0</v>
      </c>
      <c r="G233" s="0" t="inlineStr">
        <is>
          <t xml:space="preserve">Global</t>
        </is>
      </c>
      <c r="H233" s="4" t="inlineStr">
        <is>
          <t xml:space="preserve">Solución Informática Integral para la Gestión de Procesos de la I. Municipalidad de Maipú, según bases de licitación</t>
        </is>
      </c>
    </row>
    <row r="234">
      <c r="A234" s="0" t="inlineStr">
        <is>
          <t xml:space="preserve">3841-34-LE26</t>
        </is>
      </c>
      <c r="B234" s="4" t="inlineStr">
        <is>
          <t xml:space="preserve">EQUIPOS INFORMATICOS Y AUDIO</t>
        </is>
      </c>
      <c r="C234" s="0">
        <v>1</v>
      </c>
      <c r="D234" s="4" t="inlineStr">
        <is>
          <t xml:space="preserve">Computadores de escritorio</t>
        </is>
      </c>
      <c r="E234" s="4" t="inlineStr">
        <is>
          <t xml:space="preserve">Tecnologías de la información, telecomunicaciones y radiodifusión / Equipos informáticos y accesorios / Computadores</t>
        </is>
      </c>
      <c r="F234" s="0">
        <v>1.0</v>
      </c>
      <c r="G234" s="0" t="inlineStr">
        <is>
          <t xml:space="preserve">Global</t>
        </is>
      </c>
      <c r="H234" s="4" t="inlineStr">
        <is>
          <t xml:space="preserve">EQUIPOS INFORMATICOS DIVERSAS UNIDADES MUNICIPALES SEGUN ANEXO</t>
        </is>
      </c>
    </row>
    <row r="235">
      <c r="A235" s="0" t="inlineStr">
        <is>
          <t xml:space="preserve">3841-34-LE26</t>
        </is>
      </c>
      <c r="B235" s="4" t="inlineStr">
        <is>
          <t xml:space="preserve">EQUIPOS INFORMATICOS Y AUDIO</t>
        </is>
      </c>
      <c r="C235" s="0">
        <v>2</v>
      </c>
      <c r="D235" s="4" t="inlineStr">
        <is>
          <t xml:space="preserve">Parlantes</t>
        </is>
      </c>
      <c r="E235" s="4" t="inlineStr">
        <is>
          <t xml:space="preserve">Muebles, accesorios, electrodomésticos y productos electrónicos / Equipos y accesorios audiovisuales / Equipos audiovisuales y de electrónica menor</t>
        </is>
      </c>
      <c r="F235" s="0">
        <v>1.0</v>
      </c>
      <c r="G235" s="0" t="inlineStr">
        <is>
          <t xml:space="preserve">Global</t>
        </is>
      </c>
      <c r="H235" s="4" t="inlineStr">
        <is>
          <t xml:space="preserve">EQUIPOS DE AUDIO/ AMPLIFIACCIÓN Y OTROS SEGUN ANEXO</t>
        </is>
      </c>
    </row>
    <row r="236">
      <c r="A236" s="0" t="inlineStr">
        <is>
          <t xml:space="preserve">1969-34-LS19</t>
        </is>
      </c>
      <c r="B236" s="4" t="inlineStr">
        <is>
          <t xml:space="preserve">AUTOMATIZACIÓN PORTÓN ACCESO A LINEA DE FUEGO</t>
        </is>
      </c>
      <c r="C236" s="0">
        <v>1</v>
      </c>
      <c r="D236" s="4" t="inlineStr">
        <is>
          <t xml:space="preserve">Puertas de metal</t>
        </is>
      </c>
      <c r="E236" s="4" t="inlineStr">
        <is>
          <t xml:space="preserve">Artículos para estructuras, obras y construcciones / Puertas, ventanas y vidrios / Puertas</t>
        </is>
      </c>
      <c r="F236" s="0">
        <v>1.0</v>
      </c>
      <c r="G236" s="0" t="inlineStr">
        <is>
          <t xml:space="preserve">Unidad</t>
        </is>
      </c>
      <c r="H236" s="4" t="inlineStr">
        <is>
          <t xml:space="preserve">AUTOMATIZACIÓN DE PORTÓN ACCESO A LINEA DE FUEGO C.P. CONCEPCIÓN</t>
        </is>
      </c>
    </row>
  </sheetData>
  <autoFilter ref="A1:H236"/>
</worksheet>
</file>