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3755-6-LP26</t>
        </is>
      </c>
      <c r="B2" s="4" t="inlineStr">
        <is>
          <t xml:space="preserve">Serv datos de tránsito y tráfico de dispositivos</t>
        </is>
      </c>
      <c r="C2" s="0" t="inlineStr">
        <is>
          <t xml:space="preserve">Publicada</t>
        </is>
      </c>
      <c r="D2" s="0" t="inlineStr">
        <is>
          <t xml:space="preserve">SUBSECRETARIA DE TRANSPORTES</t>
        </is>
      </c>
      <c r="E2" s="0" t="inlineStr">
        <is>
          <t xml:space="preserve">Fiscalización y Control</t>
        </is>
      </c>
      <c r="F2" s="0" t="inlineStr">
        <is>
          <t xml:space="preserve">Región Metropolitana de Santiago</t>
        </is>
      </c>
      <c r="G2" s="0" t="inlineStr">
        <is>
          <t xml:space="preserve">Santiago</t>
        </is>
      </c>
      <c r="H2" s="2">
        <v>46301.500694</v>
      </c>
      <c r="I2" s="2">
        <v>46323.666667</v>
      </c>
      <c r="J2" s="0">
        <v>3</v>
      </c>
      <c r="K2" s="3"/>
      <c r="L2" s="0" t="inlineStr">
        <is>
          <t xml:space="preserve">CLP</t>
        </is>
      </c>
      <c r="M2" s="0" t="inlineStr">
        <is>
          <t xml:space="preserve">LP</t>
        </is>
      </c>
      <c r="N2" s="4" t="inlineStr">
        <is>
          <t xml:space="preserve">Tecnologías de la información, telecomunicaciones y radiodifusión / Software / Software de consultas y gestión de datos</t>
        </is>
      </c>
      <c r="O2" s="4" t="inlineStr">
        <is>
          <t xml:space="preserve">1 Global · Software de extracción de datos</t>
        </is>
      </c>
      <c r="P2" s="2"/>
      <c r="Q2" s="2"/>
      <c r="R2" s="0" t="inlineStr">
        <is>
          <t xml:space="preserve">12 meses</t>
        </is>
      </c>
      <c r="S2" s="0" t="inlineStr">
        <is>
          <t xml:space="preserve">No</t>
        </is>
      </c>
      <c r="T2" s="4"/>
      <c r="U2" s="0" t="inlineStr">
        <is>
          <t xml:space="preserve">CARLOS TORO ARAYA</t>
        </is>
      </c>
      <c r="V2"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2" s="5" t="str">
        <f>HYPERLINK("https://www.mercadopublico.cl/Procurement/Modules/Attachment/ViewAttachment.aspx?enc=CiFlb24tpM7nGQEcMrGh3yfqNl4U2ggxLYX%2fjykD04%2bbVnz50MP6BA5rqMApyeIsVYCJoismddcR%2fYCOqK4HP5kKzGJwcTVnWZ4ExHSzY6udYE3nAjvrJNlAzed303UkugFT%2f3ziq9QaOIfusEugeV%2fDBfiEtrlzx9zQca766xI4Awf5oJs6PLtOv%2fYq6%2bYufRa6CkWmgLdVzpFbrIx1p1gOujBde9Q0tyaYzho8Ie%2fCiBpQRyX4SSyw9g6ofAWV1hGy1wXu7BDIPriQ2drDoHeSCRoXdT1iErg%2fi80K9wa4H9fh%2bhmPgqv88O5Sz2iD","descargar bases")</f>
      </c>
    </row>
    <row r="3">
      <c r="A3" s="0" t="inlineStr">
        <is>
          <t xml:space="preserve">2020-23-LE26</t>
        </is>
      </c>
      <c r="B3" s="4" t="inlineStr">
        <is>
          <t xml:space="preserve">SERVICIOS DE DIGITALIZACIÓN Y EXTRACCIÓN DE TÉXTO.</t>
        </is>
      </c>
      <c r="C3" s="0" t="inlineStr">
        <is>
          <t xml:space="preserve">Publicada</t>
        </is>
      </c>
      <c r="D3" s="0" t="inlineStr">
        <is>
          <t xml:space="preserve">Biblioteca del Congreso Nacional</t>
        </is>
      </c>
      <c r="E3" s="0" t="inlineStr">
        <is>
          <t xml:space="preserve">Biblioteca del Congreso Nacional</t>
        </is>
      </c>
      <c r="F3" s="0" t="inlineStr">
        <is>
          <t xml:space="preserve">Región Metropolitana de Santiago</t>
        </is>
      </c>
      <c r="G3" s="0" t="inlineStr">
        <is>
          <t xml:space="preserve">Santiago Centro</t>
        </is>
      </c>
      <c r="H3" s="2">
        <v>46309.468056</v>
      </c>
      <c r="I3" s="2">
        <v>46325.625694</v>
      </c>
      <c r="J3" s="0">
        <v>5</v>
      </c>
      <c r="K3" s="3">
        <v>72000000.0</v>
      </c>
      <c r="L3" s="0" t="inlineStr">
        <is>
          <t xml:space="preserve">CLP</t>
        </is>
      </c>
      <c r="M3" s="0" t="inlineStr">
        <is>
          <t xml:space="preserve">LE</t>
        </is>
      </c>
      <c r="N3" s="4" t="inlineStr">
        <is>
          <t xml:space="preserve">Servicios basados en ingeniería, ciencias sociales y tecnología de la información / Servicios informáticos / Servicios de datos</t>
        </is>
      </c>
      <c r="O3" s="4" t="inlineStr">
        <is>
          <t xml:space="preserve">1 Unidad · Servicios de digitalización de documentos</t>
        </is>
      </c>
      <c r="P3" s="2"/>
      <c r="Q3" s="2"/>
      <c r="R3" s="0" t="inlineStr">
        <is>
          <t xml:space="preserve">80 días</t>
        </is>
      </c>
      <c r="S3" s="0" t="inlineStr">
        <is>
          <t xml:space="preserve">No</t>
        </is>
      </c>
      <c r="T3" s="4" t="inlineStr">
        <is>
          <t xml:space="preserve">Según lo establecido en numeral 24. Subcontratación de las Bases de Licitación adjuntas.</t>
        </is>
      </c>
      <c r="U3" s="0" t="inlineStr">
        <is>
          <t xml:space="preserve">80 Días Hábiles. Unidad Requirente.</t>
        </is>
      </c>
      <c r="V3" s="4" t="inlineStr">
        <is>
          <t xml:space="preserve">SERVICIO ESPECIALIZADO DE DIGITALIZACIÓN Y EXTRACCIÓN INTELIGENTE DE TEXTO, DEL ARCHIVO DE PRENSA HISTÓRICA DE LA BIBLIOTECA DEL CONGRESO NACIONAL.</t>
        </is>
      </c>
      <c r="W3" s="5" t="str">
        <f>HYPERLINK("https://www.mercadopublico.cl/Procurement/Modules/Attachment/ViewAttachment.aspx?enc=BhF%2bThRNVcoXsAk5cW%2bV%2bQeOBurdN8osymvPZZVXcF%2b4u7ir9BMavNPGwOSagQn5Oi%2bjHxdUemE71MyRKYb43JKdYsv%2bezegi1CEyY18doocYqgGP7ncHaQohef0QRuE6948Vy1QchtE9fWfcTlFTAN33ucVheqDqe4QDM9FoFesEog%2fY6s03Oqm%2bld2Wy%2btCR%2brmMpggy4EWCcOKVTEHhpnnmQK9oZMsPQwAXr7KZFdLgBs15V%2bvNUTmw0DC4%2fJyNRs35gH5NNjK%2biPOsP2LbbRH%2f7HloTotoslcFS7b6TF8mZfy1tisziodENkTbfk","descargar bases")</f>
      </c>
    </row>
    <row r="4">
      <c r="A4" s="0" t="inlineStr">
        <is>
          <t xml:space="preserve">2563-43-LP26</t>
        </is>
      </c>
      <c r="B4" s="4" t="inlineStr">
        <is>
          <t xml:space="preserve">Adquisición de cámaras IA y radares de seguridad</t>
        </is>
      </c>
      <c r="C4" s="0" t="inlineStr">
        <is>
          <t xml:space="preserve">Publicada</t>
        </is>
      </c>
      <c r="D4" s="0" t="inlineStr">
        <is>
          <t xml:space="preserve">DIRECCION GENERAL DE AERONAUTICA CIVIL</t>
        </is>
      </c>
      <c r="E4" s="0" t="inlineStr">
        <is>
          <t xml:space="preserve">UNIDAD DE COMPRA CONTRATOS NACIONALES</t>
        </is>
      </c>
      <c r="F4" s="0" t="inlineStr">
        <is>
          <t xml:space="preserve">Región Metropolitana de Santiago</t>
        </is>
      </c>
      <c r="G4" s="0" t="inlineStr">
        <is>
          <t xml:space="preserve">Providencia</t>
        </is>
      </c>
      <c r="H4" s="2">
        <v>46293.538194</v>
      </c>
      <c r="I4" s="2">
        <v>46328.625694</v>
      </c>
      <c r="J4" s="0">
        <v>8</v>
      </c>
      <c r="K4" s="3">
        <v>192000000.0</v>
      </c>
      <c r="L4" s="0" t="inlineStr">
        <is>
          <t xml:space="preserve">CLP</t>
        </is>
      </c>
      <c r="M4" s="0" t="inlineStr">
        <is>
          <t xml:space="preserve">LP</t>
        </is>
      </c>
      <c r="N4" s="4" t="inlineStr">
        <is>
          <t xml:space="preserve">Equipos y suministros de defensa, orden público, protección y seguridad / Seguridad, vigilancia y detección / Equipo de vigilancia y detección</t>
        </is>
      </c>
      <c r="O4" s="4" t="inlineStr">
        <is>
          <t xml:space="preserve">2 Unidad · Cámaras de seguridad · 2 Unidad · Cámaras de seguridad · 1 Unidad · Cámaras de seguridad · y 13 más</t>
        </is>
      </c>
      <c r="P4" s="2"/>
      <c r="Q4" s="2"/>
      <c r="R4" s="0"/>
      <c r="S4" s="0" t="inlineStr">
        <is>
          <t xml:space="preserve">No</t>
        </is>
      </c>
      <c r="T4" s="4"/>
      <c r="U4" s="0" t="inlineStr">
        <is>
          <t xml:space="preserve">Javier Pacheco</t>
        </is>
      </c>
      <c r="V4"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4"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5">
      <c r="A5" s="0" t="inlineStr">
        <is>
          <t xml:space="preserve">5482-101-LR26</t>
        </is>
      </c>
      <c r="B5" s="4" t="inlineStr">
        <is>
          <t xml:space="preserve">Plataforma IA para video y seguridad urbana</t>
        </is>
      </c>
      <c r="C5" s="0" t="inlineStr">
        <is>
          <t xml:space="preserve">Publicada</t>
        </is>
      </c>
      <c r="D5" s="0" t="inlineStr">
        <is>
          <t xml:space="preserve">I MUNICIPALIDAD DE NUNOA</t>
        </is>
      </c>
      <c r="E5" s="0" t="inlineStr">
        <is>
          <t xml:space="preserve">SECPLANUNOA</t>
        </is>
      </c>
      <c r="F5" s="0" t="inlineStr">
        <is>
          <t xml:space="preserve">Región Metropolitana de Santiago</t>
        </is>
      </c>
      <c r="G5" s="0" t="inlineStr">
        <is>
          <t xml:space="preserve">Ñuñoa</t>
        </is>
      </c>
      <c r="H5" s="2">
        <v>46275.729861</v>
      </c>
      <c r="I5" s="2">
        <v>46336.625694</v>
      </c>
      <c r="J5" s="0">
        <v>16</v>
      </c>
      <c r="K5" s="3"/>
      <c r="L5" s="0" t="inlineStr">
        <is>
          <t xml:space="preserve">CLF</t>
        </is>
      </c>
      <c r="M5" s="0" t="inlineStr">
        <is>
          <t xml:space="preserve">LR</t>
        </is>
      </c>
      <c r="N5" s="4" t="inlineStr">
        <is>
          <t xml:space="preserve">Tecnologías de la información, telecomunicaciones y radiodifusión / Software / Programas de desarrollo</t>
        </is>
      </c>
      <c r="O5" s="4" t="inlineStr">
        <is>
          <t xml:space="preserve">1 Global · Software de desarrollo de plataforma Web · 26 Mes · Software de desarrollo de plataforma Web</t>
        </is>
      </c>
      <c r="P5" s="2"/>
      <c r="Q5" s="2"/>
      <c r="R5" s="0" t="inlineStr">
        <is>
          <t xml:space="preserve">26 meses</t>
        </is>
      </c>
      <c r="S5" s="0" t="inlineStr">
        <is>
          <t xml:space="preserve">No</t>
        </is>
      </c>
      <c r="T5" s="4"/>
      <c r="U5" s="0" t="inlineStr">
        <is>
          <t xml:space="preserve">Katherinne Ayala</t>
        </is>
      </c>
      <c r="V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5"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sheetData>
  <autoFilter ref="A1:W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3111-2-L126</t>
        </is>
      </c>
      <c r="B2" s="4" t="inlineStr">
        <is>
          <t xml:space="preserve">DIPLOMADO EN ACELERACIÓN DIGITAL BASADA EN ARQUITECTURA AGÉNTICA</t>
        </is>
      </c>
      <c r="C2" s="0" t="inlineStr">
        <is>
          <t xml:space="preserve">Publicada</t>
        </is>
      </c>
      <c r="D2" s="0" t="inlineStr">
        <is>
          <t xml:space="preserve">DIRECCION DE ABASTECIMIENTO DE LA ARMADA</t>
        </is>
      </c>
      <c r="E2" s="0" t="inlineStr">
        <is>
          <t xml:space="preserve">DIRECCION GENERAL DE FINANZAS DE LA ARMADA</t>
        </is>
      </c>
      <c r="F2" s="0" t="inlineStr">
        <is>
          <t xml:space="preserve">Región de Valparaíso </t>
        </is>
      </c>
      <c r="G2" s="0" t="inlineStr">
        <is>
          <t xml:space="preserve">Valparaíso</t>
        </is>
      </c>
      <c r="H2" s="2">
        <v>46316.457535</v>
      </c>
      <c r="I2" s="2">
        <v>46323.458333</v>
      </c>
      <c r="J2" s="0">
        <v>3</v>
      </c>
      <c r="K2" s="3">
        <v>3500000.0</v>
      </c>
      <c r="L2" s="0" t="inlineStr">
        <is>
          <t xml:space="preserve">CLP</t>
        </is>
      </c>
      <c r="M2" s="0" t="inlineStr">
        <is>
          <t xml:space="preserve">L1</t>
        </is>
      </c>
      <c r="N2" s="4" t="inlineStr">
        <is>
          <t xml:space="preserve">Educación, formación, entrenamiento y capacitación / Sistemas educativos complementarios / Educación de adultos</t>
        </is>
      </c>
      <c r="O2" s="4" t="inlineStr">
        <is>
          <t xml:space="preserve">2 Unidad no definida · Capacitación a empleados</t>
        </is>
      </c>
      <c r="P2" s="2"/>
      <c r="Q2" s="2"/>
      <c r="R2" s="0"/>
      <c r="S2" s="0" t="inlineStr">
        <is>
          <t xml:space="preserve">No</t>
        </is>
      </c>
      <c r="T2" s="4"/>
      <c r="U2" s="0"/>
      <c r="V2" s="4" t="inlineStr">
        <is>
          <t xml:space="preserve">CONTRATAR CURSOS DE CAPACITACIÓN (02) EXTRAINSTITUCIONALES: DIPLOMADO EN ACELERACIÓN DIGITAL BASADA EN ARQUITECTURA AGÉNTICA. O SIMILAR</t>
        </is>
      </c>
      <c r="W2" s="5" t="str">
        <f>HYPERLINK("https://www.mercadopublico.cl/Procurement/Modules/Attachment/ViewAttachment.aspx?enc=oeeMBnU%2f%2fZFJekvRzWKFrTRoLc6MVJt8koQkqHAjaygMY6CWaKRTMUq0MLqNq%2bDyvUAu1FdYVwfvZ94dn4QtQfcDz%2faoq9wZeOg2MG2Oou9juzcsAT5BZleAhFBPMyKvbJd4dsGJqec14bF6152J2IzybA8DQa9WwWqaikgUy%2f9cUvX2DTjGutiEJwc%2fCocEIW%2bXlQDrtYgwiFrdUYklOPuuQWEjsPI7xOpE7H2mC8GXfxsdrFngVXcP6uwD5bfrSAyTqcJCw3D7v%2fRq%2bYlzE%2fYFFTHvZEwgZzAlsiTSKHi4hqXwRKQdIaRi63FDtrKf","descargar bases")</f>
      </c>
    </row>
    <row r="3">
      <c r="A3" s="0" t="inlineStr">
        <is>
          <t xml:space="preserve">622-66-LE26</t>
        </is>
      </c>
      <c r="B3" s="4" t="inlineStr">
        <is>
          <t xml:space="preserve">ADQUISICIÓN DE LICENCIAS PARA SOFTWARE DLP</t>
        </is>
      </c>
      <c r="C3" s="0" t="inlineStr">
        <is>
          <t xml:space="preserve">Publicada</t>
        </is>
      </c>
      <c r="D3" s="0" t="inlineStr">
        <is>
          <t xml:space="preserve">TESORERIA GENERAL DE LA REPUBLICA</t>
        </is>
      </c>
      <c r="E3" s="0" t="inlineStr">
        <is>
          <t xml:space="preserve">Tesorería General de la República</t>
        </is>
      </c>
      <c r="F3" s="0" t="inlineStr">
        <is>
          <t xml:space="preserve">Región Metropolitana de Santiago</t>
        </is>
      </c>
      <c r="G3" s="0" t="inlineStr">
        <is>
          <t xml:space="preserve">Santiago</t>
        </is>
      </c>
      <c r="H3" s="2">
        <v>46303.43956</v>
      </c>
      <c r="I3" s="2">
        <v>46323.625</v>
      </c>
      <c r="J3" s="0">
        <v>3</v>
      </c>
      <c r="K3" s="3">
        <v>69700000.0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gestión de licencias</t>
        </is>
      </c>
      <c r="P3" s="2"/>
      <c r="Q3" s="2"/>
      <c r="R3" s="0" t="inlineStr">
        <is>
          <t xml:space="preserve">24 meses</t>
        </is>
      </c>
      <c r="S3" s="0" t="inlineStr">
        <is>
          <t xml:space="preserve">No</t>
        </is>
      </c>
      <c r="T3"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3" s="0" t="inlineStr">
        <is>
          <t xml:space="preserve">Será indicado en el contrato a suscribir.</t>
        </is>
      </c>
      <c r="V3"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3" s="5" t="str">
        <f>HYPERLINK("https://www.mercadopublico.cl/Procurement/Modules/Attachment/ViewAttachment.aspx?enc=ML6TIB%2fTsomVuUEByGS3D%2btnrgM%2bzBjoEhDjUFPvi6IqajBNjDMJ%2bj%2b8bqT3xk33Ekk%2bdIUoW8VejzrHSDSbXlriMYdp3psjoWJm5iksJ9zipOOEzpj37ElQe33xuLIij6LjBZKiztEkaHo3ezIZUQj9KRrbbc89ZtYcgJTuw%2bk%2bn10xkjgG1tgsli4TaZRAOBFEx8avikcbhqQhTvJ0B%2bLcGBxYifWi3OmEv%2fKV0fr5J7A38aca3GIjH6sq4kYqfhmvalhugj2%2bGjhOpnjKmDnsbNV5zkI4x%2f7DimbWjQTscUWRQnLYam%2bWaoE6u6eE","descargar bases")</f>
      </c>
    </row>
    <row r="4">
      <c r="A4" s="0" t="inlineStr">
        <is>
          <t xml:space="preserve">1057049-376-LP26</t>
        </is>
      </c>
      <c r="B4" s="4" t="inlineStr">
        <is>
          <t xml:space="preserve">PROV E INSTALACIÓN DE PLATAFORMAS DE SEGURIDAD PARA SHAFTS DEL HOSPITAL CLÍNICO SAN BORJA ARRIARÁN</t>
        </is>
      </c>
      <c r="C4" s="0" t="inlineStr">
        <is>
          <t xml:space="preserve">Publicada</t>
        </is>
      </c>
      <c r="D4" s="0" t="inlineStr">
        <is>
          <t xml:space="preserve">SERV SALUD METROPOLITANO CENTRAL HOSPITAL CLINICO SAN BORJA ARRIARAN</t>
        </is>
      </c>
      <c r="E4" s="0" t="inlineStr">
        <is>
          <t xml:space="preserve">Bienes y Servicios</t>
        </is>
      </c>
      <c r="F4" s="0" t="inlineStr">
        <is>
          <t xml:space="preserve">Región Metropolitana de Santiago</t>
        </is>
      </c>
      <c r="G4" s="0" t="inlineStr">
        <is>
          <t xml:space="preserve">Santiago</t>
        </is>
      </c>
      <c r="H4" s="2">
        <v>46303.592002</v>
      </c>
      <c r="I4" s="2">
        <v>46323.645833</v>
      </c>
      <c r="J4" s="0">
        <v>3</v>
      </c>
      <c r="K4" s="3"/>
      <c r="L4" s="0" t="inlineStr">
        <is>
          <t xml:space="preserve">CLP</t>
        </is>
      </c>
      <c r="M4" s="0" t="inlineStr">
        <is>
          <t xml:space="preserve">LP</t>
        </is>
      </c>
      <c r="N4" s="4" t="inlineStr">
        <is>
          <t xml:space="preserve">Maquinaria para construcción y edificación / Maquinaria pesada de construcción / Elevadores</t>
        </is>
      </c>
      <c r="O4" s="4" t="inlineStr">
        <is>
          <t xml:space="preserve">1 Global · Plataforma elevadora</t>
        </is>
      </c>
      <c r="P4" s="2"/>
      <c r="Q4" s="2"/>
      <c r="R4" s="0"/>
      <c r="S4" s="0" t="inlineStr">
        <is>
          <t xml:space="preserve">No</t>
        </is>
      </c>
      <c r="T4" s="4"/>
      <c r="U4" s="0" t="inlineStr">
        <is>
          <t xml:space="preserve">Andres Muñoz</t>
        </is>
      </c>
      <c r="V4"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4" s="5" t="str">
        <f>HYPERLINK("https://www.mercadopublico.cl/Procurement/Modules/Attachment/ViewAttachment.aspx?enc=zJq4DSN5afIFt2oMKfL2KIvcFF%2f0AHDjCFos4avieUIuKLvvW4uiTG0pIO1p9xC3fyWPtQ%2bDcYS%2f2LajHRwNMt2DatlhHPZbbBoYGmsT8FPAuq6vWlnXiIdvD68zCRyOPICwgByhxMAtLlVs58zTJZaKFcj4oFPb5IJS%2bGaEgqenc6BKbGfeCks0s8A712Dw1PK4eruqKFMZ7m1XY%2bt%2b9RaJCnA3A4aT9q4bIha0jQXe7OZv8BI3Rld%2b5Bt90VnijxNjrvD8jUQz3d37zz0iGdpUZAkXrVhE4MyCc%2bw3rqq9GGpnfU0ibc8HuyF7Xs7w","descargar bases")</f>
      </c>
    </row>
    <row r="5">
      <c r="A5" s="0" t="inlineStr">
        <is>
          <t xml:space="preserve">542429-9-L126</t>
        </is>
      </c>
      <c r="B5" s="4" t="inlineStr">
        <is>
          <t xml:space="preserve">CURSO INTELIGENCIA ARTIFICIAL APLICADA AL EJERCICIO JURÍDICO</t>
        </is>
      </c>
      <c r="C5" s="0" t="inlineStr">
        <is>
          <t xml:space="preserve">Publicada</t>
        </is>
      </c>
      <c r="D5" s="0" t="inlineStr">
        <is>
          <t xml:space="preserve">UNIDAD ADMINISTRADORA DE LOS TRIBUNALES TRIBUTARIOS Y ADUANEROS</t>
        </is>
      </c>
      <c r="E5" s="0" t="inlineStr">
        <is>
          <t xml:space="preserve">UNIDAD ADMINISTRADORA DE LOS TRIBUNALES TRIBUTARIOS Y ADUANEROS</t>
        </is>
      </c>
      <c r="F5" s="0" t="inlineStr">
        <is>
          <t xml:space="preserve">Región Metropolitana de Santiago</t>
        </is>
      </c>
      <c r="G5" s="0" t="inlineStr">
        <is>
          <t xml:space="preserve">Santiago</t>
        </is>
      </c>
      <c r="H5" s="2">
        <v>46315.61934</v>
      </c>
      <c r="I5" s="2">
        <v>46323.645833</v>
      </c>
      <c r="J5" s="0">
        <v>3</v>
      </c>
      <c r="K5" s="3"/>
      <c r="L5" s="0" t="inlineStr">
        <is>
          <t xml:space="preserve">CLP</t>
        </is>
      </c>
      <c r="M5" s="0" t="inlineStr">
        <is>
          <t xml:space="preserve">L1</t>
        </is>
      </c>
      <c r="N5" s="4" t="inlineStr">
        <is>
          <t xml:space="preserve">Educación, formación, entrenamiento y capacitación / Sistemas educativos complementarios / Educación de adultos</t>
        </is>
      </c>
      <c r="O5" s="4" t="inlineStr">
        <is>
          <t xml:space="preserve">1 Unidad · Capacitación a empleados</t>
        </is>
      </c>
      <c r="P5" s="2"/>
      <c r="Q5" s="2"/>
      <c r="R5" s="0"/>
      <c r="S5" s="0" t="inlineStr">
        <is>
          <t xml:space="preserve">No</t>
        </is>
      </c>
      <c r="T5" s="4"/>
      <c r="U5" s="0"/>
      <c r="V5" s="4" t="inlineStr">
        <is>
          <t xml:space="preserve">Desarrollar competencias prácticas para utilizar herramientas de Inteligencia Artificial generativa y analítica como apoyo al ejercicio jurídico, fortaleciendo la investigación, el análisis documental, la comparación normativa , la redacción asistida y la verificación de resultados, bajo criterios de uso responsable y confidencialidad.</t>
        </is>
      </c>
      <c r="W5" s="5" t="str">
        <f>HYPERLINK("https://www.mercadopublico.cl/Procurement/Modules/Attachment/ViewAttachment.aspx?enc=NvNWlyZOJgod60%2fkM183IjWOVNfpPxnaGx5Q8ibbWVhYDLBDkSvUZIcKn5Nq8mCnrWM4NOtS9NZGYb6LZsriuAwLogNTdQFqBZuIajF%2bAtcnDwYm0SXIH3hCrEhmewfKXf0lWoU8ZtOT2rzhFgxkRwxHOinI4EoKgcCC4ujmvKMdXXABP80rRRlkhyE0tcMKHlSEGRDfDCxQ1XsGEIWMyS4TRbWeNC2VsO5UBNEylVkyFRYWw8uh%2fGGBsfW0EZptGZLwC5o4RbD9mrcE%2fMv24zJEzPS4PfrbSV4MMTSMBcDfL8iMftmgXfXvkG9kp%2b4R","descargar bases")</f>
      </c>
    </row>
    <row r="6">
      <c r="A6" s="0" t="inlineStr">
        <is>
          <t xml:space="preserve">1005498-24-LP26</t>
        </is>
      </c>
      <c r="B6" s="4" t="inlineStr">
        <is>
          <t xml:space="preserve">SUSCRIPCIÓN DE LICENCIAS EN MODALIDAD CLOUD</t>
        </is>
      </c>
      <c r="C6" s="0" t="inlineStr">
        <is>
          <t xml:space="preserve">Publicada</t>
        </is>
      </c>
      <c r="D6" s="0" t="inlineStr">
        <is>
          <t xml:space="preserve">COMISION PARA EL MERCADO FINANCIERO</t>
        </is>
      </c>
      <c r="E6" s="0" t="inlineStr">
        <is>
          <t xml:space="preserve">COMISION PARA EL MERCADO FINANCIERO</t>
        </is>
      </c>
      <c r="F6" s="0" t="inlineStr">
        <is>
          <t xml:space="preserve">Región Metropolitana de Santiago</t>
        </is>
      </c>
      <c r="G6" s="0" t="inlineStr">
        <is>
          <t xml:space="preserve">Santiago Centro</t>
        </is>
      </c>
      <c r="H6" s="2">
        <v>46303.688009</v>
      </c>
      <c r="I6" s="2">
        <v>46323.666667</v>
      </c>
      <c r="J6" s="0">
        <v>3</v>
      </c>
      <c r="K6" s="3">
        <v>196000.0</v>
      </c>
      <c r="L6" s="0" t="inlineStr">
        <is>
          <t xml:space="preserve">USD</t>
        </is>
      </c>
      <c r="M6" s="0" t="inlineStr">
        <is>
          <t xml:space="preserve">LP</t>
        </is>
      </c>
      <c r="N6" s="4" t="inlineStr">
        <is>
          <t xml:space="preserve">Servicios basados en ingeniería, ciencias sociales y tecnología de la información / Servicios informáticos / Mantenimiento y soporte de software</t>
        </is>
      </c>
      <c r="O6" s="4" t="inlineStr">
        <is>
          <t xml:space="preserve">1 Global · Up grade de software</t>
        </is>
      </c>
      <c r="P6" s="2"/>
      <c r="Q6" s="2"/>
      <c r="R6" s="0" t="inlineStr">
        <is>
          <t xml:space="preserve">36 meses</t>
        </is>
      </c>
      <c r="S6" s="0" t="inlineStr">
        <is>
          <t xml:space="preserve">No</t>
        </is>
      </c>
      <c r="T6" s="4" t="inlineStr">
        <is>
          <t xml:space="preserve">No se permite según Art.13.2.2 de Bases de licitación</t>
        </is>
      </c>
      <c r="U6" s="0" t="inlineStr">
        <is>
          <t xml:space="preserve">CHRISTIAN METCALFE</t>
        </is>
      </c>
      <c r="V6"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6" s="5" t="str">
        <f>HYPERLINK("https://www.mercadopublico.cl/Procurement/Modules/Attachment/ViewAttachment.aspx?enc=7Ce07ij%2b0bddGFxf5M0Ak33Dq33i%2fKTGiZd1VKwmorGBgD2GZPfg5j7zodnfIcPqV8xyWz%2fZiWVSI%2bVTwkmBLe%2f%2fMDfQTqegdACCDA67Va1md08%2fdro%2bB0T0HDpQsBuft5IhWrSLTzZ8AJBWDJaAFkI%2bI8EnNO53aNAU8cpQOElyU2sR%2bpyRSn4lZfpyecAbUR%2b0p%2fiW%2fJD9AlJWSXTzIwhSgyGn1FA6lFtM2ItJ%2bu%2btPY5KnWB1x8FgLQODHsJFtn3tMyJI0MPCAaZwMZXZXn4lDy2Tr67MohaZjdp0qfLQiygb%2fp5Y7ZXCYEPE4%2bZo","descargar bases")</f>
      </c>
    </row>
    <row r="7">
      <c r="A7" s="0" t="inlineStr">
        <is>
          <t xml:space="preserve">5512-18-LE26</t>
        </is>
      </c>
      <c r="B7" s="4" t="inlineStr">
        <is>
          <t xml:space="preserve">ADQUISICIÓN DE MINICOMPUTADORES PARA IA PROYECTO UTA 22991</t>
        </is>
      </c>
      <c r="C7" s="0" t="inlineStr">
        <is>
          <t xml:space="preserve">Publicada</t>
        </is>
      </c>
      <c r="D7" s="0" t="inlineStr">
        <is>
          <t xml:space="preserve">UNIVERSIDAD DE TARAPACA</t>
        </is>
      </c>
      <c r="E7" s="0" t="inlineStr">
        <is>
          <t xml:space="preserve">Convenio de Desempeño</t>
        </is>
      </c>
      <c r="F7" s="0" t="inlineStr">
        <is>
          <t xml:space="preserve">Región de Arica y Parinacota</t>
        </is>
      </c>
      <c r="G7" s="0" t="inlineStr">
        <is>
          <t xml:space="preserve">Iquique</t>
        </is>
      </c>
      <c r="H7" s="2">
        <v>46304.456655</v>
      </c>
      <c r="I7" s="2">
        <v>46323.666667</v>
      </c>
      <c r="J7" s="0">
        <v>3</v>
      </c>
      <c r="K7" s="3">
        <v>30000000.0</v>
      </c>
      <c r="L7" s="0" t="inlineStr">
        <is>
          <t xml:space="preserve">CLP</t>
        </is>
      </c>
      <c r="M7" s="0" t="inlineStr">
        <is>
          <t xml:space="preserve">LE</t>
        </is>
      </c>
      <c r="N7" s="4" t="inlineStr">
        <is>
          <t xml:space="preserve">Tecnologías de la información, telecomunicaciones y radiodifusión / Equipos informáticos y accesorios / Computadores</t>
        </is>
      </c>
      <c r="O7" s="4" t="inlineStr">
        <is>
          <t xml:space="preserve">3 Unidad · Computadores de escritorio</t>
        </is>
      </c>
      <c r="P7" s="2"/>
      <c r="Q7" s="2"/>
      <c r="R7" s="0"/>
      <c r="S7" s="0" t="inlineStr">
        <is>
          <t xml:space="preserve">No</t>
        </is>
      </c>
      <c r="T7" s="4" t="inlineStr">
        <is>
          <t xml:space="preserve">No permite subcontratación De acuerdo al Capítulo IX Contrato de suministro y servicio, párrafo 4 Cesión y subcontratación, Artículo 128. Subcontratación del reglamento de Ley Nº 19.886 sobre compras Públicas.</t>
        </is>
      </c>
      <c r="U7" s="0" t="inlineStr">
        <is>
          <t xml:space="preserve">Jefe de Proyecto, UTA 22991</t>
        </is>
      </c>
      <c r="V7"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7" s="5" t="str">
        <f>HYPERLINK("https://www.mercadopublico.cl/Procurement/Modules/Attachment/ViewAttachment.aspx?enc=9M9m5m0wP4GGUHa9aLNUAQeKgNrOT1vckDQ%2fpmdv0wtP10DcJ1y%2b2JlA1nSaV8rnzFOuFbt9Tr%2boKaZLWYdlqUS2W%2bTvi0xI%2fZJ%2fDRzo4pmOex5yE5YcCz2p%2fgitV5pvXPpviSien6dZnDh7En%2fvNetoK9TmQAO2Uh6qHyMxLRg9%2fo3zKWs5Ex7bNqWP9bli28z3ZhUBUSXw9C6d2T1UTm0szTN5cYklDrFGCitGTDcWhVvxyu5lYWgb3jEUJAri9W0PyTENVCA8djnAogVetP7f%2b2AcYuC6gB2b%2bHlnnB346TJn3BbElrWs8TLEP07w","descargar bases")</f>
      </c>
    </row>
    <row r="8">
      <c r="A8" s="0" t="inlineStr">
        <is>
          <t xml:space="preserve">3755-6-LP26</t>
        </is>
      </c>
      <c r="B8" s="4" t="inlineStr">
        <is>
          <t xml:space="preserve">Serv datos de tránsito y tráfico de dispositivos</t>
        </is>
      </c>
      <c r="C8" s="0" t="inlineStr">
        <is>
          <t xml:space="preserve">Publicada</t>
        </is>
      </c>
      <c r="D8" s="0" t="inlineStr">
        <is>
          <t xml:space="preserve">SUBSECRETARIA DE TRANSPORTES</t>
        </is>
      </c>
      <c r="E8" s="0" t="inlineStr">
        <is>
          <t xml:space="preserve">Fiscalización y Control</t>
        </is>
      </c>
      <c r="F8" s="0" t="inlineStr">
        <is>
          <t xml:space="preserve">Región Metropolitana de Santiago</t>
        </is>
      </c>
      <c r="G8" s="0" t="inlineStr">
        <is>
          <t xml:space="preserve">Santiago</t>
        </is>
      </c>
      <c r="H8" s="2">
        <v>46301.500694</v>
      </c>
      <c r="I8" s="2">
        <v>46323.666667</v>
      </c>
      <c r="J8" s="0">
        <v>3</v>
      </c>
      <c r="K8" s="3"/>
      <c r="L8" s="0" t="inlineStr">
        <is>
          <t xml:space="preserve">CLP</t>
        </is>
      </c>
      <c r="M8" s="0" t="inlineStr">
        <is>
          <t xml:space="preserve">LP</t>
        </is>
      </c>
      <c r="N8" s="4" t="inlineStr">
        <is>
          <t xml:space="preserve">Tecnologías de la información, telecomunicaciones y radiodifusión / Software / Software de consultas y gestión de datos</t>
        </is>
      </c>
      <c r="O8" s="4" t="inlineStr">
        <is>
          <t xml:space="preserve">1 Global · Software de extracción de datos</t>
        </is>
      </c>
      <c r="P8" s="2"/>
      <c r="Q8" s="2"/>
      <c r="R8" s="0" t="inlineStr">
        <is>
          <t xml:space="preserve">12 meses</t>
        </is>
      </c>
      <c r="S8" s="0" t="inlineStr">
        <is>
          <t xml:space="preserve">No</t>
        </is>
      </c>
      <c r="T8" s="4"/>
      <c r="U8" s="0" t="inlineStr">
        <is>
          <t xml:space="preserve">CARLOS TORO ARAYA</t>
        </is>
      </c>
      <c r="V8"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8" s="5" t="str">
        <f>HYPERLINK("https://www.mercadopublico.cl/Procurement/Modules/Attachment/ViewAttachment.aspx?enc=CiFlb24tpM7nGQEcMrGh3yfqNl4U2ggxLYX%2fjykD04%2bbVnz50MP6BA5rqMApyeIsVYCJoismddcR%2fYCOqK4HP5kKzGJwcTVnWZ4ExHSzY6udYE3nAjvrJNlAzed303UkugFT%2f3ziq9QaOIfusEugeV%2fDBfiEtrlzx9zQca766xI4Awf5oJs6PLtOv%2fYq6%2bYufRa6CkWmgLdVzpFbrIx1p1gOujBde9Q0tyaYzho8Ie%2fCiBpQRyX4SSyw9g6ofAWV1hGy1wXu7BDIPriQ2drDoHeSCRoXdT1iErg%2fi80K9wa4H9fh%2bhmPgqv88O5Sz2iD","descargar bases")</f>
      </c>
    </row>
    <row r="9">
      <c r="A9" s="0" t="inlineStr">
        <is>
          <t xml:space="preserve">1469-297-L126</t>
        </is>
      </c>
      <c r="B9" s="4" t="inlineStr">
        <is>
          <t xml:space="preserve">“Servicio de mantenimiento preventivo y correctivo para equipos de clima de precisión Liebert CRV y UPS Tripp Lite del Centro de Datos del Campus Curicó de la Universidad de Talca”</t>
        </is>
      </c>
      <c r="C9" s="0" t="inlineStr">
        <is>
          <t xml:space="preserve">Publicada</t>
        </is>
      </c>
      <c r="D9" s="0" t="inlineStr">
        <is>
          <t xml:space="preserve">UNIVERSIDAD DE TALCA</t>
        </is>
      </c>
      <c r="E9" s="0" t="inlineStr">
        <is>
          <t xml:space="preserve">Universidad de Talca</t>
        </is>
      </c>
      <c r="F9" s="0" t="inlineStr">
        <is>
          <t xml:space="preserve">Región del Maule </t>
        </is>
      </c>
      <c r="G9" s="0" t="inlineStr">
        <is>
          <t xml:space="preserve">Talca</t>
        </is>
      </c>
      <c r="H9" s="2">
        <v>46315.7339</v>
      </c>
      <c r="I9" s="2">
        <v>46324.416667</v>
      </c>
      <c r="J9" s="0">
        <v>4</v>
      </c>
      <c r="K9" s="3"/>
      <c r="L9" s="0" t="inlineStr">
        <is>
          <t xml:space="preserve">CLP</t>
        </is>
      </c>
      <c r="M9" s="0" t="inlineStr">
        <is>
          <t xml:space="preserve">L1</t>
        </is>
      </c>
      <c r="N9" s="4" t="inlineStr">
        <is>
          <t xml:space="preserve">Servicios de producción y fabricación industrial / Servicios de apoyo o soporte a la fabricación / Servicios de mantenimiento y reparación de equipo de fabricación</t>
        </is>
      </c>
      <c r="O9" s="4" t="inlineStr">
        <is>
          <t xml:space="preserve">1 Unidad · Servicio de reparación de equipo de fabricación</t>
        </is>
      </c>
      <c r="P9" s="2"/>
      <c r="Q9" s="2"/>
      <c r="R9" s="0"/>
      <c r="S9" s="0" t="inlineStr">
        <is>
          <t xml:space="preserve">No</t>
        </is>
      </c>
      <c r="T9" s="4"/>
      <c r="U9" s="0"/>
      <c r="V9" s="4" t="inlineStr">
        <is>
          <t xml:space="preserve">Se requiere la realización de servicio de mantenimiento preventivo y soporte técnico correctivo para el Equipo de Clima de Precisión Liebert CRV y la UPS Tripp Lite del Centro de Datos del Campus Curicó de la Universidad de Talca con el objetivo de asegurar la continuidad operativa de la infraestructura critica por un periodo de 12 meses.
Actualmente, el equipo UPS carece de tarjeta de red para su monitoreo remoto, por lo que el servicio requiere la incorporación de dicho componente para la ges</t>
        </is>
      </c>
      <c r="W9" s="5" t="str">
        <f>HYPERLINK("https://www.mercadopublico.cl/Procurement/Modules/Attachment/ViewAttachment.aspx?enc=n7T62f6%2bnITFmcqZRqvOhwV6nUqBbLPtda%2fqLTU9DCd8llAY8DPZfvirm3N4rqrKsZLCF4uDp08skeVBIsY3itpNiB1qQkONj7XJ80BuQmTYvjgK1DVS%2bDe7YZUCoji8pH3JCliY1qc4G%2bngI58UmD%2bYTKG4LtDGhgBtXku7dOvcWlLv49om4Ifi2eWNXn7t%2fkPyg24JolAbkKf9f2dHNCR7QdccQdw0MZ%2bl%2b%2fKBy7Bi94WbPaGg5OxG3KkK5SSHxQbQ8Pro5rcORZJJtSLRcUqfH64XuGGIsw9VDDHLIzBROKYSIddtK5ZZSwp5bwzB","descargar bases")</f>
      </c>
    </row>
    <row r="10">
      <c r="A10" s="0" t="inlineStr">
        <is>
          <t xml:space="preserve">1469-302-L126</t>
        </is>
      </c>
      <c r="B10" s="4" t="inlineStr">
        <is>
          <t xml:space="preserve">“TABLERO PARA BOMBA SUMERGIBLE, CAMPUS TALCA, UNIVERSIDAD DE TALCA”</t>
        </is>
      </c>
      <c r="C10" s="0" t="inlineStr">
        <is>
          <t xml:space="preserve">Publicada</t>
        </is>
      </c>
      <c r="D10" s="0" t="inlineStr">
        <is>
          <t xml:space="preserve">UNIVERSIDAD DE TALCA</t>
        </is>
      </c>
      <c r="E10" s="0" t="inlineStr">
        <is>
          <t xml:space="preserve">Universidad de Talca</t>
        </is>
      </c>
      <c r="F10" s="0" t="inlineStr">
        <is>
          <t xml:space="preserve">Región del Maule </t>
        </is>
      </c>
      <c r="G10" s="0" t="inlineStr">
        <is>
          <t xml:space="preserve">Talca</t>
        </is>
      </c>
      <c r="H10" s="2">
        <v>46316.764236</v>
      </c>
      <c r="I10" s="2">
        <v>46324.416667</v>
      </c>
      <c r="J10" s="0">
        <v>4</v>
      </c>
      <c r="K10" s="3"/>
      <c r="L10" s="0" t="inlineStr">
        <is>
          <t xml:space="preserve">CLP</t>
        </is>
      </c>
      <c r="M10" s="0" t="inlineStr">
        <is>
          <t xml:space="preserve">L1</t>
        </is>
      </c>
      <c r="N10" s="4" t="inlineStr">
        <is>
          <t xml:space="preserve">Artículos eléctricos y de iluminación / Equipamiento y artículos eléctricos / Distribución de cableado y barras colectoras</t>
        </is>
      </c>
      <c r="O10" s="4" t="inlineStr">
        <is>
          <t xml:space="preserve">1 Unidad · Conductos eléctricos</t>
        </is>
      </c>
      <c r="P10" s="2"/>
      <c r="Q10" s="2"/>
      <c r="R10" s="0"/>
      <c r="S10" s="0" t="inlineStr">
        <is>
          <t xml:space="preserve">No</t>
        </is>
      </c>
      <c r="T10" s="4"/>
      <c r="U10" s="0"/>
      <c r="V10" s="4" t="inlineStr">
        <is>
          <t xml:space="preserve">La Universidad de Talca requiere de los servicios de retiro e instalación de nuevo tablero de control para bomba sumergible.</t>
        </is>
      </c>
      <c r="W10" s="5" t="str">
        <f>HYPERLINK("https://www.mercadopublico.cl/Procurement/Modules/Attachment/ViewAttachment.aspx?enc=4BtVIKXowAwH%2b6%2fQ7OrTgz4LeXsGbWEVj%2b4DkZSQRq7AQhaCsg40cYB%2bV9R%2f9JmDADzRE%2bzs6oWMb1fe7OUfaxCCoS8vtB9Iq1LTbFKpvcRro3ybB2AQYIVkycoauuCz3XWivCOuaaBFNy5shcu4VRRIERdCPTbIWnIZzE3DuqbsX%2f9%2fQvTfMPvt%2bP8CNkidZO0pZoFQcKQEfsLg2vzsmTD7LvAbqiNAaXXm9iwlUkd%2bQiNuEj%2bGwEUWkpDIASss3bcCtCU%2fWQBbYMXPWNhJ8SvKAzfH%2b9liYH0Qc8w3Q1gzCHHNl70BowGn3eRGTb8O","descargar bases")</f>
      </c>
    </row>
    <row r="11">
      <c r="A11" s="0" t="inlineStr">
        <is>
          <t xml:space="preserve">1020-55-LE26</t>
        </is>
      </c>
      <c r="B11" s="4" t="inlineStr">
        <is>
          <t xml:space="preserve">Adq. Sopor. y Actual. Software ServiceTonic MOP.</t>
        </is>
      </c>
      <c r="C11" s="0" t="inlineStr">
        <is>
          <t xml:space="preserve">Publicada</t>
        </is>
      </c>
      <c r="D11" s="0" t="inlineStr">
        <is>
          <t xml:space="preserve">MINISTERIO DE OBRAS PUBLICAS DIREC CION GRAL DE OO PP DCYF</t>
        </is>
      </c>
      <c r="E11" s="0" t="inlineStr">
        <is>
          <t xml:space="preserve">MOP Subsecretaría </t>
        </is>
      </c>
      <c r="F11" s="0" t="inlineStr">
        <is>
          <t xml:space="preserve">Región Metropolitana de Santiago</t>
        </is>
      </c>
      <c r="G11" s="0"/>
      <c r="H11" s="2">
        <v>46308.512766</v>
      </c>
      <c r="I11" s="2">
        <v>46324.625</v>
      </c>
      <c r="J11" s="0">
        <v>4</v>
      </c>
      <c r="K11" s="3">
        <v>22500000.0</v>
      </c>
      <c r="L11" s="0" t="inlineStr">
        <is>
          <t xml:space="preserve">CLP</t>
        </is>
      </c>
      <c r="M11" s="0" t="inlineStr">
        <is>
          <t xml:space="preserve">LE</t>
        </is>
      </c>
      <c r="N11" s="4" t="inlineStr">
        <is>
          <t xml:space="preserve">Tecnologías de la información, telecomunicaciones y radiodifusión / Software / Software de gestión</t>
        </is>
      </c>
      <c r="O11" s="4" t="inlineStr">
        <is>
          <t xml:space="preserve">50 Unidad · Software de gestión de licencias</t>
        </is>
      </c>
      <c r="P11" s="2"/>
      <c r="Q11" s="2"/>
      <c r="R11" s="0"/>
      <c r="S11" s="0" t="inlineStr">
        <is>
          <t xml:space="preserve">No</t>
        </is>
      </c>
      <c r="T11" s="4" t="inlineStr">
        <is>
          <t xml:space="preserve">El oferente adjudicado no podrá subcontratar los servicios derivados de la ejecución del contrato. VER NUMERAL 10.6 de las BA.</t>
        </is>
      </c>
      <c r="U11" s="0" t="inlineStr">
        <is>
          <t xml:space="preserve">Francisco Bórquez B.</t>
        </is>
      </c>
      <c r="V11" s="4" t="inlineStr">
        <is>
          <t xml:space="preserve">Que, el objetivo es la Adquisición de Soporte y Actualizaciones Software ServiceTonic Licencias en modalidad On-Premise, usuarios nombrados, por 12 meses.</t>
        </is>
      </c>
      <c r="W11" s="5" t="str">
        <f>HYPERLINK("https://www.mercadopublico.cl/Procurement/Modules/Attachment/ViewAttachment.aspx?enc=AMVx8zfCdAM1xuD5gPeRI1RN%2b5fYuyEQnsazL54fiM0X%2fnadtkv%2fDBIrHMg%2f1JBADndANFYmsvtpSVsvxunF8U2bwlzDmF8xngHQEQfeiPKTQnb9K9vuHsqTkDONa6oRnNnj1wcqQ6J24Mvo72udXxy2m2iw6Xbw0wFfdunXhxLp41tOdb3K6Kc2%2fEVomDOmX5GbLTV1utwM86p2SS3YeDrrS1CQNPIzdXD2xxxjIOmWPHN1W%2bNRzb34c2o7YSPAYEgqsscJHqQzosyXdyEh9XxKykVphJB7VV%2b%2f9PW6KGFK0bDmEao32co8F2FZyUn4","descargar bases")</f>
      </c>
    </row>
    <row r="12">
      <c r="A12" s="0" t="inlineStr">
        <is>
          <t xml:space="preserve">1067778-4-LP26</t>
        </is>
      </c>
      <c r="B12" s="4" t="inlineStr">
        <is>
          <t xml:space="preserve">ARRIENDO CON OPCION DE COMPRA  DE SERVIDOR PARA IA</t>
        </is>
      </c>
      <c r="C12" s="0" t="inlineStr">
        <is>
          <t xml:space="preserve">Publicada</t>
        </is>
      </c>
      <c r="D12" s="0" t="inlineStr">
        <is>
          <t xml:space="preserve">FISCALIA NACIONAL ECONOMICA</t>
        </is>
      </c>
      <c r="E12" s="0" t="inlineStr">
        <is>
          <t xml:space="preserve">Tecnologías de Información</t>
        </is>
      </c>
      <c r="F12" s="0" t="inlineStr">
        <is>
          <t xml:space="preserve">Región Metropolitana de Santiago</t>
        </is>
      </c>
      <c r="G12" s="0" t="inlineStr">
        <is>
          <t xml:space="preserve">Santiago Centro</t>
        </is>
      </c>
      <c r="H12" s="2">
        <v>46302.538113</v>
      </c>
      <c r="I12" s="2">
        <v>46324.625</v>
      </c>
      <c r="J12" s="0">
        <v>4</v>
      </c>
      <c r="K12" s="3">
        <v>75203.0</v>
      </c>
      <c r="L12" s="0" t="inlineStr">
        <is>
          <t xml:space="preserve">USD</t>
        </is>
      </c>
      <c r="M12" s="0" t="inlineStr">
        <is>
          <t xml:space="preserve">LP</t>
        </is>
      </c>
      <c r="N12" s="4" t="inlineStr">
        <is>
          <t xml:space="preserve">Tecnologías de la información, telecomunicaciones y radiodifusión / Equipos informáticos y accesorios / Computadores</t>
        </is>
      </c>
      <c r="O12" s="4" t="inlineStr">
        <is>
          <t xml:space="preserve">60 Mes · Servidores</t>
        </is>
      </c>
      <c r="P12" s="2"/>
      <c r="Q12" s="2"/>
      <c r="R12" s="0" t="inlineStr">
        <is>
          <t xml:space="preserve">60 meses</t>
        </is>
      </c>
      <c r="S12" s="0" t="inlineStr">
        <is>
          <t xml:space="preserve">No</t>
        </is>
      </c>
      <c r="T12"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12" s="0" t="inlineStr">
        <is>
          <t xml:space="preserve">Cristian Mella Cisterna</t>
        </is>
      </c>
      <c r="V12" s="4" t="inlineStr">
        <is>
          <t xml:space="preserve">Contar con una infraestructura tecnológica robusta, segura y escalable que permita alojar y soportar los desarrollos tecnológicos actuales y futuros de la Fiscalía Nacional Económica.</t>
        </is>
      </c>
      <c r="W12" s="5" t="str">
        <f>HYPERLINK("https://www.mercadopublico.cl/Procurement/Modules/Attachment/ViewAttachment.aspx?enc=bqrcEU38wfmWcBiO12rxvVr0yqytWQEFsOz5RhpkP%2fjPUkb4mEPfvQL3gghqhnQeHabkJA8meWEPLnzI4uDfciryvBXWBByF9M%2ffYETk0U6Q3XkEb2VpNow4XeBsBn1dneXjLoFIKQoedtFyTlHgFH3uBh6ndJlwKUJ12JPP77HsETUnHXvVVhxC%2fvabWl1jm7AVfHq%2bzIL5HSowAksViVa3RgB2Txgf5YYwF5fe%2bkn4rpdTPaGSVnRey2ysSRKX9dGc5Vx7Eslwv8vh%2b9suWQpBC9%2f%2feEAwcfOe2gMy1OWUtjXy6we64hZPnIo92xd2","descargar bases")</f>
      </c>
    </row>
    <row r="13">
      <c r="A13" s="0" t="inlineStr">
        <is>
          <t xml:space="preserve">2318-79-LE26</t>
        </is>
      </c>
      <c r="B13" s="4" t="inlineStr">
        <is>
          <t xml:space="preserve">SISTEMA DE GESTIÓN DOCUMENTAL</t>
        </is>
      </c>
      <c r="C13" s="0" t="inlineStr">
        <is>
          <t xml:space="preserve">Publicada</t>
        </is>
      </c>
      <c r="D13" s="0" t="inlineStr">
        <is>
          <t xml:space="preserve">I MUNICIPALIDAD DE SAN JAVIER</t>
        </is>
      </c>
      <c r="E13" s="0" t="inlineStr">
        <is>
          <t xml:space="preserve">IMUNI_SAN JAVIER DEPTO. ADQUISICIONES</t>
        </is>
      </c>
      <c r="F13" s="0" t="inlineStr">
        <is>
          <t xml:space="preserve">Región del Maule </t>
        </is>
      </c>
      <c r="G13" s="0" t="inlineStr">
        <is>
          <t xml:space="preserve">San Javier</t>
        </is>
      </c>
      <c r="H13" s="2">
        <v>46314.657778</v>
      </c>
      <c r="I13" s="2">
        <v>46324.625</v>
      </c>
      <c r="J13" s="0">
        <v>4</v>
      </c>
      <c r="K13" s="3">
        <v>28560000.0</v>
      </c>
      <c r="L13" s="0" t="inlineStr">
        <is>
          <t xml:space="preserve">CLP</t>
        </is>
      </c>
      <c r="M13" s="0" t="inlineStr">
        <is>
          <t xml:space="preserve">LE</t>
        </is>
      </c>
      <c r="N13" s="4" t="inlineStr">
        <is>
          <t xml:space="preserve">Tecnologías de la información, telecomunicaciones y radiodifusión / Software / Software de gestión</t>
        </is>
      </c>
      <c r="O13" s="4" t="inlineStr">
        <is>
          <t xml:space="preserve">1 Global · Software de gestión de licencias</t>
        </is>
      </c>
      <c r="P13" s="2"/>
      <c r="Q13" s="2"/>
      <c r="R13" s="0" t="inlineStr">
        <is>
          <t xml:space="preserve">12 meses</t>
        </is>
      </c>
      <c r="S13" s="0" t="inlineStr">
        <is>
          <t xml:space="preserve">No</t>
        </is>
      </c>
      <c r="T13" s="4"/>
      <c r="U13" s="0" t="inlineStr">
        <is>
          <t xml:space="preserve">MARCELO COFRE DOTE</t>
        </is>
      </c>
      <c r="V13" s="4" t="inlineStr">
        <is>
          <t xml:space="preserve">Arriendo de sistema de gestión documental Ilustre Municipalidad de San Javier</t>
        </is>
      </c>
      <c r="W13" s="5" t="str">
        <f>HYPERLINK("https://www.mercadopublico.cl/Procurement/Modules/Attachment/ViewAttachment.aspx?enc=GrqWrs%2bAYU%2bF7noZp4nALyo35P1BBZcajYbGh5nUC3gKldJHCGgqOiVgP9YgVyN1ReHGz9gAv2DkN8i%2bZaVwt94JbmBwQPNruFjlGWGi5L%2b4IOOdAkMemYb8Jrp1RaJsNXp7ih%2bKI%2fq583pXcCrxgw9SlNVNt%2bM%2fChXJU1iFwGSDZLPBd00%2bcCUroM2NOir0jkabteUUPmPyjt6LjBRWiEXYrvNG03MdJVJGXB8rcsDi3WVeNE7h4XFLihlx3QYGq%2f2riACKKf1Df3J7AMVEyAx9kgP6p8%2fe%2bxbiu4E0mpJT8M28c5Tpv9siA2WNtniW","descargar bases")</f>
      </c>
    </row>
    <row r="14">
      <c r="A14" s="0" t="inlineStr">
        <is>
          <t xml:space="preserve">3825-26-LE26</t>
        </is>
      </c>
      <c r="B14" s="4" t="inlineStr">
        <is>
          <t xml:space="preserve">Compra de Licencias Digitales Informatica</t>
        </is>
      </c>
      <c r="C14" s="0" t="inlineStr">
        <is>
          <t xml:space="preserve">Publicada</t>
        </is>
      </c>
      <c r="D14" s="0" t="inlineStr">
        <is>
          <t xml:space="preserve">I MUNICIPALIDAD DE PADRE HURTADO</t>
        </is>
      </c>
      <c r="E14" s="0" t="inlineStr">
        <is>
          <t xml:space="preserve">Direccion De Administracion Y Finanzas</t>
        </is>
      </c>
      <c r="F14" s="0" t="inlineStr">
        <is>
          <t xml:space="preserve">Región Metropolitana de Santiago</t>
        </is>
      </c>
      <c r="G14" s="0" t="inlineStr">
        <is>
          <t xml:space="preserve">Padre Hurtado</t>
        </is>
      </c>
      <c r="H14" s="2">
        <v>46314.674954</v>
      </c>
      <c r="I14" s="2">
        <v>46324.625</v>
      </c>
      <c r="J14" s="0">
        <v>4</v>
      </c>
      <c r="K14" s="3"/>
      <c r="L14" s="0" t="inlineStr">
        <is>
          <t xml:space="preserve">CLP</t>
        </is>
      </c>
      <c r="M14" s="0" t="inlineStr">
        <is>
          <t xml:space="preserve">LE</t>
        </is>
      </c>
      <c r="N14" s="4" t="inlineStr">
        <is>
          <t xml:space="preserve">Tecnologías de la información, telecomunicaciones y radiodifusión / Software / Software de controladores de dispositivos y utilidades, Tecnologías de la información, telecomunicaciones y radiodifusión / Software / Software para trabajo en redes</t>
        </is>
      </c>
      <c r="O14" s="4" t="inlineStr">
        <is>
          <t xml:space="preserve">12 Unidad · Software de conversión de datos · 4 Unidad · Software de interconectividad de plataformas</t>
        </is>
      </c>
      <c r="P14" s="2"/>
      <c r="Q14" s="2"/>
      <c r="R14" s="0"/>
      <c r="S14" s="0" t="inlineStr">
        <is>
          <t xml:space="preserve">No</t>
        </is>
      </c>
      <c r="T14" s="4"/>
      <c r="U14" s="0" t="inlineStr">
        <is>
          <t xml:space="preserve">Miguel Muoz Verdugo</t>
        </is>
      </c>
      <c r="V14" s="4" t="inlineStr">
        <is>
          <t xml:space="preserve">La necesidad de efectuar el llamado a licitación pública de la “COMPRA DE LICENCIAS DE EDITOR DE ARCHIVO DE PDF Y LICENCIAS DE IA PARA PROGRAMACIÓN, SOLICITADO POR LA UNIDAD DE INFORMÁTICA DE LA SECPLA”.</t>
        </is>
      </c>
      <c r="W14" s="5" t="str">
        <f>HYPERLINK("https://www.mercadopublico.cl/Procurement/Modules/Attachment/ViewAttachment.aspx?enc=LO%2b7taR5IyuDmNChZBvB3IGznzUi9UBjlOhAl0CHfZh1st7vVxeUKgZ9nWHp52hXU9MdShgySa4qQFzUcgljMFBnkbbWZ1cB3FFyrPr7q%2bYeVcXUUuuMzzjINAQU621MgslQ66irZI0Nj1WwroZ8nvKKuSKGLocD7Y6r7T%2fPGSKy3UiSq65iVLfV%2bUzVmhbJOWutyA4OeWiPuIjL%2bjkRy0YyKHcfyB6LN81SbQdUPu5ZKIwzP8y19cosedfYhPl0Kx4vf4l3YlMRheTDETJHCjNRZXruR8SXQORxGpMHzt%2fns03WtqJe4ZOfMLB5L2Jp","descargar bases")</f>
      </c>
    </row>
    <row r="15">
      <c r="A15" s="0" t="inlineStr">
        <is>
          <t xml:space="preserve">629373-23-LE26</t>
        </is>
      </c>
      <c r="B15" s="4" t="inlineStr">
        <is>
          <t xml:space="preserve">SERVICIO DE TÓTEMS DE AUTOATENCIÓN</t>
        </is>
      </c>
      <c r="C15" s="0" t="inlineStr">
        <is>
          <t xml:space="preserve">Publicada</t>
        </is>
      </c>
      <c r="D15" s="0" t="inlineStr">
        <is>
          <t xml:space="preserve">CORP MUNICIPAL DE SAN MIGUEL</t>
        </is>
      </c>
      <c r="E15" s="0" t="inlineStr">
        <is>
          <t xml:space="preserve">Corporación Municipal de San Miguel</t>
        </is>
      </c>
      <c r="F15" s="0" t="inlineStr">
        <is>
          <t xml:space="preserve">Región Metropolitana de Santiago</t>
        </is>
      </c>
      <c r="G15" s="0" t="inlineStr">
        <is>
          <t xml:space="preserve">San Miguel</t>
        </is>
      </c>
      <c r="H15" s="2">
        <v>46314.671123</v>
      </c>
      <c r="I15" s="2">
        <v>46324.625</v>
      </c>
      <c r="J15" s="0">
        <v>4</v>
      </c>
      <c r="K15" s="3">
        <v>70000000.0</v>
      </c>
      <c r="L15" s="0" t="inlineStr">
        <is>
          <t xml:space="preserve">CLP</t>
        </is>
      </c>
      <c r="M15" s="0" t="inlineStr">
        <is>
          <t xml:space="preserve">LE</t>
        </is>
      </c>
      <c r="N15" s="4" t="inlineStr">
        <is>
          <t xml:space="preserve">Equipos y suministros de defensa, orden público, protección y seguridad / Equipos para orden público / Equipo para control de disturbios</t>
        </is>
      </c>
      <c r="O15" s="4" t="inlineStr">
        <is>
          <t xml:space="preserve">1 Global · Sistemas de control de formación de filas</t>
        </is>
      </c>
      <c r="P15" s="2"/>
      <c r="Q15" s="2"/>
      <c r="R15" s="0" t="inlineStr">
        <is>
          <t xml:space="preserve">24 meses</t>
        </is>
      </c>
      <c r="S15" s="0" t="inlineStr">
        <is>
          <t xml:space="preserve">No</t>
        </is>
      </c>
      <c r="T15" s="4"/>
      <c r="U15" s="0" t="inlineStr">
        <is>
          <t xml:space="preserve">Karen Escobar</t>
        </is>
      </c>
      <c r="V15" s="4" t="inlineStr">
        <is>
          <t xml:space="preserve">La Corporación Municipal de San Miguel, a través de su Dirección de Salud, requiere contratar un servicio de administración de filas mediante tótems de autoatención en los Centros de Salud Familiar CESFAM Barros Luco, Recreo y CECOSF Atacama, ubicados en la comuna de San Miguel.</t>
        </is>
      </c>
      <c r="W15" s="5" t="str">
        <f>HYPERLINK("https://www.mercadopublico.cl/Procurement/Modules/Attachment/ViewAttachment.aspx?enc=Z5fA5qa8zX2WEMSlM7Dt5k0VZocOgeQ2kwu7ZPwSwMqXkfmGK%2bKCJ00dyjmbA%2fdZg7SZxsQHXho3caY3BxMbuQ7UIGM5246RV1A5tPFbuMPlrNcA%2fKJRmnECEMalJXxsAYypU73yfXkvtmxgTCVIKpgWMBSx%2ffLuNat0dSTUdqnYoST4JAiGRX66yA9Nk8aMKlYoJt0HZSXx8GQ%2f4CQpXcswl5vSZxR4Fhq6qwBzNu0Hll7oNKZrwvE3KMkzlFdQlE8wFD5B9PA0U%2bykoNmW3p2ltxp%2f5aUMn5u%2bxFauO43vyD%2bmmtTtp42IEWJHeeOE","descargar bases")</f>
      </c>
    </row>
    <row r="16">
      <c r="A16" s="0" t="inlineStr">
        <is>
          <t xml:space="preserve">2656-77-LP26</t>
        </is>
      </c>
      <c r="B16" s="4" t="inlineStr">
        <is>
          <t xml:space="preserve">ARRIENDO SISTEMAS MUNICIPALES Y CLOUD COMPUTING</t>
        </is>
      </c>
      <c r="C16" s="0" t="inlineStr">
        <is>
          <t xml:space="preserve">Publicada</t>
        </is>
      </c>
      <c r="D16" s="0" t="inlineStr">
        <is>
          <t xml:space="preserve">I MUNICIPALIDAD DE TOME</t>
        </is>
      </c>
      <c r="E16" s="0" t="inlineStr">
        <is>
          <t xml:space="preserve">Dirección de Administración y Finanzas</t>
        </is>
      </c>
      <c r="F16" s="0" t="inlineStr">
        <is>
          <t xml:space="preserve">Región del Biobío </t>
        </is>
      </c>
      <c r="G16" s="0" t="inlineStr">
        <is>
          <t xml:space="preserve">Tomé</t>
        </is>
      </c>
      <c r="H16" s="2">
        <v>46304.85662</v>
      </c>
      <c r="I16" s="2">
        <v>46324.625694</v>
      </c>
      <c r="J16" s="0">
        <v>4</v>
      </c>
      <c r="K16" s="3">
        <v>3907.0</v>
      </c>
      <c r="L16" s="0" t="inlineStr">
        <is>
          <t xml:space="preserve">CLF</t>
        </is>
      </c>
      <c r="M16" s="0" t="inlineStr">
        <is>
          <t xml:space="preserve">LP</t>
        </is>
      </c>
      <c r="N16" s="4" t="inlineStr">
        <is>
          <t xml:space="preserve">Tecnologías de la información, telecomunicaciones y radiodifusión / Software / Software de entorno operativo</t>
        </is>
      </c>
      <c r="O16" s="4" t="inlineStr">
        <is>
          <t xml:space="preserve">1 Pack · Software de sistema de archivos</t>
        </is>
      </c>
      <c r="P16" s="2"/>
      <c r="Q16" s="2"/>
      <c r="R16" s="0"/>
      <c r="S16" s="0" t="inlineStr">
        <is>
          <t xml:space="preserve">No</t>
        </is>
      </c>
      <c r="T16" s="4"/>
      <c r="U16" s="0" t="inlineStr">
        <is>
          <t xml:space="preserve">patricio parra</t>
        </is>
      </c>
      <c r="V16"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16" s="5" t="str">
        <f>HYPERLINK("https://www.mercadopublico.cl/Procurement/Modules/Attachment/ViewAttachment.aspx?enc=NuveW%2bsp1WPo%2fPHq7JzlFcma5pjgaTQLu6Hxu%2b4RODXA6%2fcZv4z1d4tHOh6RE%2fRuet07ZCPupVcnIzOnhf903gzQN1NSMtQo1%2fy4CEXIGsQzdN%2buc8t73glOvHvWEbOX%2f%2bYvm26AkJ1CHMtE1p0COjTk2DX51c28aOPrjfqB6h5RoF3%2fdx%2fCLsfcUg8D%2fRT7spvZBz5yqERV8lWVwmkMLRenbM6pbgkI1nPa6DqXWlQHn2ZAsi7g3akwGm2VLLSj5kw1PbFM3qWM1rCRuL4Lv248xQYPwEmnNCNvfUMfJnWuZp4zaHiC4lSO0pWVyLKh","descargar bases")</f>
      </c>
    </row>
    <row r="17">
      <c r="A17" s="0" t="inlineStr">
        <is>
          <t xml:space="preserve">5586-166-LE26</t>
        </is>
      </c>
      <c r="B17" s="4" t="inlineStr">
        <is>
          <t xml:space="preserve">CONTRATO DE SUMINISTRO DEL SERVICIO DE ENVÍO DE CARTA CERTIFICADA DOCUMENTO Y PAQUETERÍA EXPRESS PARA EL INSTITUTO DE INFORMÁTICA EDUCATIVA DE LA UNIVERSIDAD DE LA FRONTERA</t>
        </is>
      </c>
      <c r="C17" s="0" t="inlineStr">
        <is>
          <t xml:space="preserve">Publicada</t>
        </is>
      </c>
      <c r="D17" s="0" t="inlineStr">
        <is>
          <t xml:space="preserve">UNIVERSIDAD DE LA FRONTERA</t>
        </is>
      </c>
      <c r="E17" s="0" t="inlineStr">
        <is>
          <t xml:space="preserve">Universidad de la Frontera</t>
        </is>
      </c>
      <c r="F17" s="0" t="inlineStr">
        <is>
          <t xml:space="preserve">Región de la Araucanía </t>
        </is>
      </c>
      <c r="G17" s="0" t="inlineStr">
        <is>
          <t xml:space="preserve">Temuco</t>
        </is>
      </c>
      <c r="H17" s="2">
        <v>46314.682963</v>
      </c>
      <c r="I17" s="2">
        <v>46324.645833</v>
      </c>
      <c r="J17" s="0">
        <v>4</v>
      </c>
      <c r="K17" s="3"/>
      <c r="L17" s="0" t="inlineStr">
        <is>
          <t xml:space="preserve">CLP</t>
        </is>
      </c>
      <c r="M17" s="0" t="inlineStr">
        <is>
          <t xml:space="preserve">LE</t>
        </is>
      </c>
      <c r="N17" s="4" t="inlineStr">
        <is>
          <t xml:space="preserve">Servicios de transporte, almacenaje y correo / Transporte de correo y carga / Servicios postales de pequeños paquetes y mensajería</t>
        </is>
      </c>
      <c r="O17" s="4" t="inlineStr">
        <is>
          <t xml:space="preserve">1 Global · Servicios de entrega postal nacional</t>
        </is>
      </c>
      <c r="P17" s="2"/>
      <c r="Q17" s="2"/>
      <c r="R17" s="0" t="inlineStr">
        <is>
          <t xml:space="preserve">14 meses</t>
        </is>
      </c>
      <c r="S17" s="0" t="inlineStr">
        <is>
          <t xml:space="preserve">No</t>
        </is>
      </c>
      <c r="T17" s="4" t="inlineStr">
        <is>
          <t xml:space="preserve">de conformidad con lo establecido en el artículo 15 de la Ley N.º 19.886 y el artículo 128 de su Reglamento.</t>
        </is>
      </c>
      <c r="U17" s="0" t="inlineStr">
        <is>
          <t xml:space="preserve">Christian Labbé Barrientos</t>
        </is>
      </c>
      <c r="V17" s="4" t="inlineStr">
        <is>
          <t xml:space="preserve">CONTRATO DE SUMINISTRO DEL SERVICIO DE ENVÍO DE CARTA CERTIFICADA, DOCUMENTO Y
PAQUETERÍA EXPRESS PARA EL INSTITUTO DE INFORMÁTICA EDUCATIVA DE LA UNIVERSIDAD DE LA FRONTERA</t>
        </is>
      </c>
      <c r="W17" s="5" t="str">
        <f>HYPERLINK("https://www.mercadopublico.cl/Procurement/Modules/Attachment/ViewAttachment.aspx?enc=%2bzvmsS3vgsc4wm5rWqWKf%2f0YteQ5Yt6EXN9%2b75vp%2bj6I1et0ssjAlFq%2bGqjhUDZJkVYGStBn2vi9oI6cN55u3WbRYB5j%2fTmW7zpK9CsupECm9bkINTEeaD2mqJkpduoXbdqHVbxq04keFH9ikcjvwBDMjVCrasQtssET76JrlNEiHFUiY85VCIQglG%2bJGmpkmNpRVBgrLhl4Se9L6o8X%2fVjqvsRY3OLI6WiVeI5ySZ2uZzU%2bxZnHkhqMBe9gk9Ge4hk4rUi7nNi%2fDj5zgbeAXfHUQswVewMELXZqxgqnCs6nXyFkSTiqM%2fldCEsTtGRV","descargar bases")</f>
      </c>
    </row>
    <row r="18">
      <c r="A18" s="0" t="inlineStr">
        <is>
          <t xml:space="preserve">838794-12-LE26</t>
        </is>
      </c>
      <c r="B18" s="4" t="inlineStr">
        <is>
          <t xml:space="preserve">Tótem gestor de fila CAPSVILLA</t>
        </is>
      </c>
      <c r="C18" s="0" t="inlineStr">
        <is>
          <t xml:space="preserve">Publicada</t>
        </is>
      </c>
      <c r="D18" s="0" t="inlineStr">
        <is>
          <t xml:space="preserve">DIRECCION DE ABASTECIMIENTO DE LA ARMADA</t>
        </is>
      </c>
      <c r="E18" s="0" t="inlineStr">
        <is>
          <t xml:space="preserve">CENTRAL DE ATENCION PRIMARIA DE SALUD DE LA ARMADA</t>
        </is>
      </c>
      <c r="F18" s="0" t="inlineStr">
        <is>
          <t xml:space="preserve">Región de Valparaíso </t>
        </is>
      </c>
      <c r="G18" s="0" t="inlineStr">
        <is>
          <t xml:space="preserve">Viña del Mar</t>
        </is>
      </c>
      <c r="H18" s="2">
        <v>46309.66228</v>
      </c>
      <c r="I18" s="2">
        <v>46324.666667</v>
      </c>
      <c r="J18" s="0">
        <v>4</v>
      </c>
      <c r="K18" s="3"/>
      <c r="L18" s="0" t="inlineStr">
        <is>
          <t xml:space="preserve">CLP</t>
        </is>
      </c>
      <c r="M18" s="0" t="inlineStr">
        <is>
          <t xml:space="preserve">LE</t>
        </is>
      </c>
      <c r="N18" s="4" t="inlineStr">
        <is>
          <t xml:space="preserve">Equipos y suministros de defensa, orden público, protección y seguridad / Equipos para orden público / Equipo para control de disturbios</t>
        </is>
      </c>
      <c r="O18" s="4" t="inlineStr">
        <is>
          <t xml:space="preserve">1 Unidad · Sistemas de control de formación de filas</t>
        </is>
      </c>
      <c r="P18" s="2"/>
      <c r="Q18" s="2"/>
      <c r="R18" s="0"/>
      <c r="S18" s="0" t="inlineStr">
        <is>
          <t xml:space="preserve">No</t>
        </is>
      </c>
      <c r="T18" s="4" t="inlineStr">
        <is>
          <t xml:space="preserve">CAPITULO XVIII DE LAS BASES ADMINISTRATIVAS DE LA PRESENTE LICITACION.</t>
        </is>
      </c>
      <c r="U18" s="0" t="inlineStr">
        <is>
          <t xml:space="preserve">VICTOR LABRIN TAPIA</t>
        </is>
      </c>
      <c r="V18" s="4" t="inlineStr">
        <is>
          <t xml:space="preserve">Ordenar la espera de atención de pacientes que asisten a los Centros de Atención Primaria de Salud de Villa Alemana, en adelante CAPSVILLA.</t>
        </is>
      </c>
      <c r="W18" s="5" t="str">
        <f>HYPERLINK("https://www.mercadopublico.cl/Procurement/Modules/Attachment/ViewAttachment.aspx?enc=i%2fDsawW222z2t6FaRO5ajuORHqOZWMBmfKhM9NjkUG9aCUmpEm5qGozP2SMOJzSo5Xz3OZiiR7yfmq6QI0D7mwiEIjmx3Nd3j99%2fBXDhxhadzLuUcnW%2flUJBoL7lYp7XQbDv6jgSh89kJcqRl7e76%2fBinFxNPQuZBfc8z2V7kOjSNjf0CByBsgBfFeWNU1kq6mhQiASJsIWN3Msbq%2fExf1FMRBOZyICfLopB2DxzIKEGoBs3JJX%2fW6YjnOoexG5Ukf9%2fmieU0f%2bcP%2b%2fjbVVFaEiJDVGj21VPRhCpjSqaeiLX1JlJOjY%2bs1adSq3AlsGX","descargar bases")</f>
      </c>
    </row>
    <row r="19">
      <c r="A19" s="0" t="inlineStr">
        <is>
          <t xml:space="preserve">885-103-LE26</t>
        </is>
      </c>
      <c r="B19" s="4" t="inlineStr">
        <is>
          <t xml:space="preserve">Servicio de operación mantenimiento preventivo y soporte técnico para plataforma FortiNAC por un período de 12 meses para la Contraloría General de la República</t>
        </is>
      </c>
      <c r="C19" s="0" t="inlineStr">
        <is>
          <t xml:space="preserve">Publicada</t>
        </is>
      </c>
      <c r="D19" s="0" t="inlineStr">
        <is>
          <t xml:space="preserve">CONTRALORIA GENERAL DE LA REPUBLICA</t>
        </is>
      </c>
      <c r="E19" s="0" t="inlineStr">
        <is>
          <t xml:space="preserve">Contraloría General de la República</t>
        </is>
      </c>
      <c r="F19" s="0" t="inlineStr">
        <is>
          <t xml:space="preserve">Región Metropolitana de Santiago</t>
        </is>
      </c>
      <c r="G19" s="0"/>
      <c r="H19" s="2">
        <v>46314.721655</v>
      </c>
      <c r="I19" s="2">
        <v>46324.666667</v>
      </c>
      <c r="J19" s="0">
        <v>4</v>
      </c>
      <c r="K19" s="3">
        <v>36000000.0</v>
      </c>
      <c r="L19" s="0" t="inlineStr">
        <is>
          <t xml:space="preserve">CLP</t>
        </is>
      </c>
      <c r="M19" s="0" t="inlineStr">
        <is>
          <t xml:space="preserve">LE</t>
        </is>
      </c>
      <c r="N19" s="4" t="inlineStr">
        <is>
          <t xml:space="preserve">Tecnologías de la información, telecomunicaciones y radiodifusión / Equipos, plataformas y accesorios de redes multimedia, voz y datos / Equipos de seguridad de red</t>
        </is>
      </c>
      <c r="O19" s="4" t="inlineStr">
        <is>
          <t xml:space="preserve">1 Unidad · Equipo de seguridad de red de firewall</t>
        </is>
      </c>
      <c r="P19" s="2"/>
      <c r="Q19" s="2"/>
      <c r="R19" s="0" t="inlineStr">
        <is>
          <t xml:space="preserve">12 meses</t>
        </is>
      </c>
      <c r="S19" s="0" t="inlineStr">
        <is>
          <t xml:space="preserve">No</t>
        </is>
      </c>
      <c r="T19" s="4"/>
      <c r="U19" s="0" t="inlineStr">
        <is>
          <t xml:space="preserve">Irma del Carmen Garcés Ramírez</t>
        </is>
      </c>
      <c r="V19" s="4" t="inlineStr">
        <is>
          <t xml:space="preserve">La Contraloría General de la República –en adelante también “CGR” o “Contraloría”– llama a presentar ofertas para contratar un servicio de operación, mantenimiento preventivo y soporte técnico especializado de su plataforma FortiNAC, por un período de 12 meses. La contratación comprende únicamente servicios y excluye el suministro, renovación o ampliación de licencias, suscripciones, coberturas de soporte del fabricante y hardware.</t>
        </is>
      </c>
      <c r="W19" s="5" t="str">
        <f>HYPERLINK("https://www.mercadopublico.cl/Procurement/Modules/Attachment/ViewAttachment.aspx?enc=gAIyZR7xcjJ3et3DUgyqCnK083TIh3cP1J9sxoNPDE1v6935dIQ8A7ohFXUrnDB%2bVTIyT%2fAmpIfAqFnoeiHb%2bwSkV8LW9W5ImmHb8dq%2frASxPiWfZoxkIlGpzvnOwihjfRxZunOfbFKKM2m9ZGM7ybyL7b%2bMsmLSdstpv58Ear7wgEZf0T2bUnDnAiPrVkyjdwWJs5ecQ9fIH1fKIJy18vWXBNnTMjBm%2f2g96C%2b8CMEVbHyHMXNmOikTPIYP8FT6Ur3HBI6fj4FtJWBtK5WMpNeaUWrRQ2BF7midVAMzHZ8Uwbag6m22ozp26qdzRw8g","descargar bases")</f>
      </c>
    </row>
    <row r="20">
      <c r="A20" s="0" t="inlineStr">
        <is>
          <t xml:space="preserve">2766-152-L126</t>
        </is>
      </c>
      <c r="B20" s="4" t="inlineStr">
        <is>
          <t xml:space="preserve">SOFTWARE FARMACIA COMUNAL</t>
        </is>
      </c>
      <c r="C20" s="0" t="inlineStr">
        <is>
          <t xml:space="preserve">Publicada</t>
        </is>
      </c>
      <c r="D20" s="0" t="inlineStr">
        <is>
          <t xml:space="preserve">I MUNICIPALIDAD DE LA CISTERNA</t>
        </is>
      </c>
      <c r="E20" s="0" t="inlineStr">
        <is>
          <t xml:space="preserve">SALUD</t>
        </is>
      </c>
      <c r="F20" s="0" t="inlineStr">
        <is>
          <t xml:space="preserve">Región Metropolitana de Santiago</t>
        </is>
      </c>
      <c r="G20" s="0" t="inlineStr">
        <is>
          <t xml:space="preserve">La Cisterna</t>
        </is>
      </c>
      <c r="H20" s="2">
        <v>46317.707639</v>
      </c>
      <c r="I20" s="2">
        <v>46324.713889</v>
      </c>
      <c r="J20" s="0">
        <v>4</v>
      </c>
      <c r="K20" s="3">
        <v>7000000.0</v>
      </c>
      <c r="L20" s="0" t="inlineStr">
        <is>
          <t xml:space="preserve">CLP</t>
        </is>
      </c>
      <c r="M20" s="0" t="inlineStr">
        <is>
          <t xml:space="preserve">L1</t>
        </is>
      </c>
      <c r="N20" s="4" t="inlineStr">
        <is>
          <t xml:space="preserve">Tecnologías de la información, telecomunicaciones y radiodifusión / Software / Software de entorno operativo</t>
        </is>
      </c>
      <c r="O20" s="4" t="inlineStr">
        <is>
          <t xml:space="preserve">1 Unidad · Software de sistema operativo</t>
        </is>
      </c>
      <c r="P20" s="2"/>
      <c r="Q20" s="2"/>
      <c r="R20" s="0"/>
      <c r="S20" s="0" t="inlineStr">
        <is>
          <t xml:space="preserve">No</t>
        </is>
      </c>
      <c r="T20" s="4"/>
      <c r="U20" s="0" t="inlineStr">
        <is>
          <t xml:space="preserve">Julio Sarmiento</t>
        </is>
      </c>
      <c r="V20" s="4" t="inlineStr">
        <is>
          <t xml:space="preserve">La Dirección de Salud Municipal, mediante las siguientes Bases Administrativas y Técnicas, invita a participar a los proveedores de Mercado Público y fija los procedimientos y términos que regulan esta Propuesta Pública, para la contratación al arriendo, implementación, migración, capacitación, soporte técnico de software para la administración y gestión de farmacias, el cual deberá ser instalado en los sistemas computacionales de la Farmacia Comunal de La Cisterna ubicada en Gran Avenida N°8585, de acuerdo con lo detallado en las especificaciones técnicas señaladas en las bases correspondientes.
La propuesta deberá ceñirse a las presentes bases administrativas, a las especificaciones técnicas correspondientes y a los documentos Anexos que se detallan más adelante.
La publicación de la propuesta y de los antecedentes que forman parte de la presente licitación se realizará a través de la plataforma electrónica de mercado público.</t>
        </is>
      </c>
      <c r="W20" s="5" t="str">
        <f>HYPERLINK("https://www.mercadopublico.cl/Procurement/Modules/Attachment/ViewAttachment.aspx?enc=B89JngMOMB1c5Dh5fzjXGy%2fwpYcuTfT%2f3neD9%2bm%2b60WP0JHmm9FWyXNRVfQX1KZleZty8HSmQQcxa4Z4%2bMk6fZPdz1e3iHzjDxA%2b5rLaHE%2f%2bDhB1SMKsqJP3uVNuTM2ks%2bP9H9FTxP8fYHLotAxYCmc6yJ%2bq17tHga8Kam87v9ML%2b4h27VUIlx1JqYMYLB7h51rBCyHx%2fEOTsreEtPNVM8k%2fyF1de6zyylkLPYDpV7EpZSQegUf6B%2bZUVL1X4CnC2s%2fofsaKvmzPdnlc73x4ZqEM0orHlz5SRooy5uhSNovJ0vuV1IXDQ6K5g95e6tMP","descargar bases")</f>
      </c>
    </row>
    <row r="21">
      <c r="A21" s="0" t="inlineStr">
        <is>
          <t xml:space="preserve">1079576-54-LE26</t>
        </is>
      </c>
      <c r="B21" s="4" t="inlineStr">
        <is>
          <t xml:space="preserve">ADQUISICIÓN DE CAJAS FUERTES ELECTRÓNICAS DIGITALES DE SEGURIDAD ZONA BIOBÍO</t>
        </is>
      </c>
      <c r="C21" s="0" t="inlineStr">
        <is>
          <t xml:space="preserve">Publicada</t>
        </is>
      </c>
      <c r="D21" s="0" t="inlineStr">
        <is>
          <t xml:space="preserve">DIRECCION DE LOGISTICA DE CARABINEROS</t>
        </is>
      </c>
      <c r="E21" s="0" t="inlineStr">
        <is>
          <t xml:space="preserve">SECCIÓN COMPRAS ZONA DE CARABINEROS BIOBIO</t>
        </is>
      </c>
      <c r="F21" s="0" t="inlineStr">
        <is>
          <t xml:space="preserve">Región del Biobío </t>
        </is>
      </c>
      <c r="G21" s="0" t="inlineStr">
        <is>
          <t xml:space="preserve">Concepción</t>
        </is>
      </c>
      <c r="H21" s="2">
        <v>46315.635729</v>
      </c>
      <c r="I21" s="2">
        <v>46324.75</v>
      </c>
      <c r="J21" s="0">
        <v>4</v>
      </c>
      <c r="K21" s="3">
        <v>8800000.0</v>
      </c>
      <c r="L21" s="0" t="inlineStr">
        <is>
          <t xml:space="preserve">CLP</t>
        </is>
      </c>
      <c r="M21" s="0" t="inlineStr">
        <is>
          <t xml:space="preserve">LE</t>
        </is>
      </c>
      <c r="N21" s="4" t="inlineStr">
        <is>
          <t xml:space="preserve">Equipos y suministros de defensa, orden público, protección y seguridad / Seguridad, vigilancia y detección / Cerraduras, elementos de seguridad y accesorios</t>
        </is>
      </c>
      <c r="O21" s="4" t="inlineStr">
        <is>
          <t xml:space="preserve">1 Unidad · Cajas fuertes</t>
        </is>
      </c>
      <c r="P21" s="2"/>
      <c r="Q21" s="2"/>
      <c r="R21" s="0"/>
      <c r="S21" s="0" t="inlineStr">
        <is>
          <t xml:space="preserve">No</t>
        </is>
      </c>
      <c r="T21" s="4" t="inlineStr">
        <is>
          <t xml:space="preserve">Según Bases Administrativas</t>
        </is>
      </c>
      <c r="U21" s="0" t="inlineStr">
        <is>
          <t xml:space="preserve">SERGIO FIGUEROA VARGAS</t>
        </is>
      </c>
      <c r="V21" s="4" t="inlineStr">
        <is>
          <t xml:space="preserve">ADQUISICIÓN DE CAJAS FUERTES ELECTRÓNICAS DIGITALES DE SEGURIDAD, ZONA BIOBÍO</t>
        </is>
      </c>
      <c r="W21" s="5" t="str">
        <f>HYPERLINK("https://www.mercadopublico.cl/Procurement/Modules/Attachment/ViewAttachment.aspx?enc=tnJ2Np1AeeTnIwotdu5k5hipE%2bcKckihE%2fHiSNsfTS2fpiYincqr2CO4id9%2fYISmY02VbFXdPdieaVPBeUE%2fBMpyxsX6ADxFSs3MrzJnOu017vhFafkX6jyNZatbPLfthm%2fPkeYPh32AI59tZw34kAP2f2mtsIt%2b9udfe8kSzJSwwFU%2fsdbP54g%2fcgERKDgLqTLAU99ySHWyYOqXwYJaHvakwHp7x9nd4oNEm0fSjh7MbZXmbXYE84wVKabnLMPCzIQZIwjLKdd7dZNV%2fuoNGnXvmKurlCkrujTq6ej1GrzUNmO6ZxQfOh3ugYvl52t9","descargar bases")</f>
      </c>
    </row>
    <row r="22">
      <c r="A22" s="0" t="inlineStr">
        <is>
          <t xml:space="preserve">557639-100-LE26</t>
        </is>
      </c>
      <c r="B22" s="4" t="inlineStr">
        <is>
          <t xml:space="preserve">PLATAFORMA DE GESTIÓN DE EST. EDUCACIONALES CORMUN</t>
        </is>
      </c>
      <c r="C22" s="0" t="inlineStr">
        <is>
          <t xml:space="preserve">Publicada</t>
        </is>
      </c>
      <c r="D22" s="0" t="inlineStr">
        <is>
          <t xml:space="preserve">CORP MUNICIPAL DE SERVICIOS PUBLICOS TRASPASADOS DE RANCAGUA</t>
        </is>
      </c>
      <c r="E22" s="0" t="inlineStr">
        <is>
          <t xml:space="preserve">CORMUN RANCAGUA - ADMINISTRACIÓN CENTRAL</t>
        </is>
      </c>
      <c r="F22" s="0" t="inlineStr">
        <is>
          <t xml:space="preserve">Región del Libertador General Bernardo O´Higgins</t>
        </is>
      </c>
      <c r="G22" s="0" t="inlineStr">
        <is>
          <t xml:space="preserve">Rancagua</t>
        </is>
      </c>
      <c r="H22" s="2">
        <v>46314.954398</v>
      </c>
      <c r="I22" s="2">
        <v>46324.75</v>
      </c>
      <c r="J22" s="0">
        <v>4</v>
      </c>
      <c r="K22" s="3">
        <v>38900000.0</v>
      </c>
      <c r="L22" s="0" t="inlineStr">
        <is>
          <t xml:space="preserve">CLP</t>
        </is>
      </c>
      <c r="M22" s="0" t="inlineStr">
        <is>
          <t xml:space="preserve">LE</t>
        </is>
      </c>
      <c r="N22" s="4" t="inlineStr">
        <is>
          <t xml:space="preserve">Tecnologías de la información, telecomunicaciones y radiodifusión / Software / Programas de desarrollo</t>
        </is>
      </c>
      <c r="O22" s="4" t="inlineStr">
        <is>
          <t xml:space="preserve">1 Unidad · Software de desarrollo de plataforma Web</t>
        </is>
      </c>
      <c r="P22" s="2"/>
      <c r="Q22" s="2"/>
      <c r="R22" s="0" t="inlineStr">
        <is>
          <t xml:space="preserve">12 meses</t>
        </is>
      </c>
      <c r="S22" s="0" t="inlineStr">
        <is>
          <t xml:space="preserve">No</t>
        </is>
      </c>
      <c r="T22" s="4"/>
      <c r="U22" s="0" t="inlineStr">
        <is>
          <t xml:space="preserve">PAULA PONCE</t>
        </is>
      </c>
      <c r="V22" s="4" t="inlineStr">
        <is>
          <t xml:space="preserve">Implementar una Plataforma de Gestión de Establecimientos Educacionales que permita optimizar la administración académica, administrativa y comunicacional de los establecimientos educacionales, facilitando la gestión de información, el seguimiento de procesos escolares, el control de asistencia entre otras.</t>
        </is>
      </c>
      <c r="W22" s="5" t="str">
        <f>HYPERLINK("https://www.mercadopublico.cl/Procurement/Modules/Attachment/ViewAttachment.aspx?enc=o6PASLnxzcvN2uMSnpaxcl3KUz4%2bcNuZ0FVuchYKL6mTChs9Dh1XkwhMz9RpdBbv0LL6u%2fqJvXWAFAQVIch7ZRzoXjRiSrOkDGf0K3LZ7uKKY9xw1QZcFUmiacEshKNH3nDKrYUFsYQhNBc8KuJgtPS%2fwZA4oATmOf6ZhBQOjMfvI5fta%2f8sypP3K1DXRa5Z2z9hRhxxoJ6Z%2f2ZoDZKETCJXRriuLnspeFsXjhJLah2NKHjswXf5QNDmd6wGKVMMRZF9tKeg06S83LHUUstaTR3V5SPcNtCOkCOFoxMAA%2bpBYjQwRFV74tKGdbDQvK7C","descargar bases")</f>
      </c>
    </row>
    <row r="23">
      <c r="A23" s="0" t="inlineStr">
        <is>
          <t xml:space="preserve">727202-90-LE26</t>
        </is>
      </c>
      <c r="B23" s="4" t="inlineStr">
        <is>
          <t xml:space="preserve">ADQUISICIÓN DE LICENCIAS DE SOFTWARE DE DISEÑO</t>
        </is>
      </c>
      <c r="C23" s="0" t="inlineStr">
        <is>
          <t xml:space="preserve">Publicada</t>
        </is>
      </c>
      <c r="D23" s="0" t="inlineStr">
        <is>
          <t xml:space="preserve">I MUNICIPALIDAD DE VICUNA</t>
        </is>
      </c>
      <c r="E23" s="0" t="inlineStr">
        <is>
          <t xml:space="preserve">Secplan</t>
        </is>
      </c>
      <c r="F23" s="0" t="inlineStr">
        <is>
          <t xml:space="preserve">Región de Coquimbo </t>
        </is>
      </c>
      <c r="G23" s="0" t="inlineStr">
        <is>
          <t xml:space="preserve">Vicuña</t>
        </is>
      </c>
      <c r="H23" s="2">
        <v>46316.41537</v>
      </c>
      <c r="I23" s="2">
        <v>46325.375</v>
      </c>
      <c r="J23" s="0">
        <v>5</v>
      </c>
      <c r="K23" s="3">
        <v>17000000.0</v>
      </c>
      <c r="L23" s="0" t="inlineStr">
        <is>
          <t xml:space="preserve">CLP</t>
        </is>
      </c>
      <c r="M23" s="0" t="inlineStr">
        <is>
          <t xml:space="preserve">LE</t>
        </is>
      </c>
      <c r="N23" s="4" t="inlineStr">
        <is>
          <t xml:space="preserve">Tecnologías de la información, telecomunicaciones y radiodifusión / Software / Software de gestión</t>
        </is>
      </c>
      <c r="O23" s="4" t="inlineStr">
        <is>
          <t xml:space="preserve">1 Global · Software de gestión de licencias</t>
        </is>
      </c>
      <c r="P23" s="2"/>
      <c r="Q23" s="2"/>
      <c r="R23" s="0" t="inlineStr">
        <is>
          <t xml:space="preserve">24 meses</t>
        </is>
      </c>
      <c r="S23" s="0" t="inlineStr">
        <is>
          <t xml:space="preserve">No</t>
        </is>
      </c>
      <c r="T23" s="4"/>
      <c r="U23" s="0" t="inlineStr">
        <is>
          <t xml:space="preserve">Mario Aros Carvajal</t>
        </is>
      </c>
      <c r="V23" s="4" t="inlineStr">
        <is>
          <t xml:space="preserve">ADQUISICIÓN DE LICENCIAS DE SOFTWARE PARA DISEÑO GRÁFICO PARA LA UNIDAD DE SECPLAN, CONFORME A LA DOCUMENTACIÓN ADJUNTA.</t>
        </is>
      </c>
      <c r="W23" s="5" t="str">
        <f>HYPERLINK("https://www.mercadopublico.cl/Procurement/Modules/Attachment/ViewAttachment.aspx?enc=ne%2f4g%2fO1%2bQQ7NeHQ6V3amDHOppGJpPQBj5YjxHQ0D7eeRavuI7OG1GRLsNAJCltVHUlReEP18BL1lVI6WtoQkFnsHMtERHn4YsXM1ggoxOfzN7Zrd1yL2h8zbRuhd9edyrz8pelssUYP0Wpa06hOlrWIzHs3knAVUSkH7JtTisO9hacL2dh2vtCpUuBSQjsE%2bDPxO4HMgq9lfbADUFgwu%2bXJ%2bTH%2fWNu0hVuS8Dl3wAYE6RceCtoiz6diKubFFRsThKiQBnhTVbPkx6fTrNKJonT%2bRPGjRoK69iiNFrDaIMB3bTUrT46YkfW7mWsPqnF7","descargar bases")</f>
      </c>
    </row>
    <row r="24">
      <c r="A24" s="0" t="inlineStr">
        <is>
          <t xml:space="preserve">976-18-O126</t>
        </is>
      </c>
      <c r="B24" s="4" t="inlineStr">
        <is>
          <t xml:space="preserve">ATIF Ampliación Plataformas Comercial y General Ad. El Loa</t>
        </is>
      </c>
      <c r="C24" s="0" t="inlineStr">
        <is>
          <t xml:space="preserve">Publicada</t>
        </is>
      </c>
      <c r="D24" s="0" t="inlineStr">
        <is>
          <t xml:space="preserve">MINISTERIO DE OBRAS PUBLICAS DIREC CION GRAL DE OO PP DCYF</t>
        </is>
      </c>
      <c r="E24" s="0" t="inlineStr">
        <is>
          <t xml:space="preserve">Dirección de Aeropuertos - MOPTT</t>
        </is>
      </c>
      <c r="F24" s="0" t="inlineStr">
        <is>
          <t xml:space="preserve">Región de Antofagasta </t>
        </is>
      </c>
      <c r="G24" s="0" t="inlineStr">
        <is>
          <t xml:space="preserve">Santiago</t>
        </is>
      </c>
      <c r="H24" s="2">
        <v>46290.38125</v>
      </c>
      <c r="I24" s="2">
        <v>46325.375</v>
      </c>
      <c r="J24" s="0">
        <v>5</v>
      </c>
      <c r="K24" s="3"/>
      <c r="L24" s="0" t="inlineStr">
        <is>
          <t xml:space="preserve">CLP</t>
        </is>
      </c>
      <c r="M24" s="0" t="inlineStr">
        <is>
          <t xml:space="preserve">O1</t>
        </is>
      </c>
      <c r="N24" s="4" t="inlineStr">
        <is>
          <t xml:space="preserve">Consultoria / Consultoria / Planificación y Factibilidad</t>
        </is>
      </c>
      <c r="O24" s="4" t="inlineStr">
        <is>
          <t xml:space="preserve">1 Unidad · Licitación Pública de Consultoria</t>
        </is>
      </c>
      <c r="P24" s="2"/>
      <c r="Q24" s="2"/>
      <c r="R24" s="0"/>
      <c r="S24" s="0" t="inlineStr">
        <is>
          <t xml:space="preserve">No</t>
        </is>
      </c>
      <c r="T24" s="4"/>
      <c r="U24" s="0"/>
      <c r="V24" s="4" t="inlineStr">
        <is>
          <t xml:space="preserve">ESTA DIRECCIÓN NECESITA CONTRATAR ASESORÍA TECNICA DE INSPECCIÓN FISCAL PARA EL CONTRATO DE OBRA AMPLICACION PLATAFORMAS COMERCIAL Y GENERAL AERÓDROMO EL LOA</t>
        </is>
      </c>
      <c r="W24" s="5" t="str">
        <f>HYPERLINK("https://www.mercadopublico.cl/Procurement/Modules/Attachment/ViewAttachment.aspx?enc=iwndOzBOBB78DOHaJLoiOoUXyVPhkDyzahU4Gr0B4SQPnbxDeJBOuuRyocC%2fZ5B%2fq6JjzUXTw3x4QBPMDqT77M02m2CitzOS81sT2JFgL74G7mW1%2bHClNgDAWcXwAKNlaAzW%2bVbOLhT%2fV1vqUSH%2ffocrgfjFXeLGsGzKHckYNlx1CCL3HjNzyJ%2fNte2QWCesq7ArW8sSSKd2lpkE0DtuWAjVW8Kd58QG0hRMRqHFPYC3LtzCcuqX4Y5JjkdNQalZ3JZYXSWRp373%2fmN9jdH5hU1i091nAIKhlV4tYyOs3Av7l3TkkJs4Gx9qleyWA2KR","descargar bases")</f>
      </c>
    </row>
    <row r="25">
      <c r="A25" s="0" t="inlineStr">
        <is>
          <t xml:space="preserve">4037-69-LE26</t>
        </is>
      </c>
      <c r="B25" s="4" t="inlineStr">
        <is>
          <t xml:space="preserve">CONTRATACION DEL SERVICIO DE SERVIDOR VIRTUAL HOSTING munifresia.cl  SOPORTE Y MANTENCION DE LA PAGINA WEB SEGUN  BASES ADMINISTRATIVAS Y TECNICAS ADJUNTAS</t>
        </is>
      </c>
      <c r="C25" s="0" t="inlineStr">
        <is>
          <t xml:space="preserve">Publicada</t>
        </is>
      </c>
      <c r="D25" s="0" t="inlineStr">
        <is>
          <t xml:space="preserve">I MUNICIPALIDAD DE FRESIA</t>
        </is>
      </c>
      <c r="E25" s="0" t="inlineStr">
        <is>
          <t xml:space="preserve">Departamento de adquisiciones y abastecimiento</t>
        </is>
      </c>
      <c r="F25" s="0" t="inlineStr">
        <is>
          <t xml:space="preserve">Región de los Lagos </t>
        </is>
      </c>
      <c r="G25" s="0" t="inlineStr">
        <is>
          <t xml:space="preserve">Fresia</t>
        </is>
      </c>
      <c r="H25" s="2">
        <v>46314.705741</v>
      </c>
      <c r="I25" s="2">
        <v>46325.416667</v>
      </c>
      <c r="J25" s="0">
        <v>5</v>
      </c>
      <c r="K25" s="3">
        <v>9000000.0</v>
      </c>
      <c r="L25" s="0" t="inlineStr">
        <is>
          <t xml:space="preserve">CLP</t>
        </is>
      </c>
      <c r="M25" s="0" t="inlineStr">
        <is>
          <t xml:space="preserve">LE</t>
        </is>
      </c>
      <c r="N25" s="4" t="inlineStr">
        <is>
          <t xml:space="preserve">Servicios basados en ingeniería, ciencias sociales y tecnología de la información / Servicios informáticos / Servicios para internet</t>
        </is>
      </c>
      <c r="O25" s="4" t="inlineStr">
        <is>
          <t xml:space="preserve">1 Unidad · Web Hosting</t>
        </is>
      </c>
      <c r="P25" s="2"/>
      <c r="Q25" s="2"/>
      <c r="R25" s="0" t="inlineStr">
        <is>
          <t xml:space="preserve">12 meses</t>
        </is>
      </c>
      <c r="S25" s="0" t="inlineStr">
        <is>
          <t xml:space="preserve">No</t>
        </is>
      </c>
      <c r="T25" s="4"/>
      <c r="U25" s="0" t="inlineStr">
        <is>
          <t xml:space="preserve">ALEXIS ASENCIO</t>
        </is>
      </c>
      <c r="V25" s="4" t="inlineStr">
        <is>
          <t xml:space="preserve">CONTRATACION DEL SERVICIO DE SERVIDOR VIRTUAL HOSTING munifresia.cl , SOPORTE Y MANTENCION DE LA PAGINA WEB, SEGUN  BASES ADMINISTRATIVAS Y TECNICAS ADJUNTAS, DECRETO ALCALDICIO N° 1973 DE FECHA 19/10/2026</t>
        </is>
      </c>
      <c r="W25" s="5" t="str">
        <f>HYPERLINK("https://www.mercadopublico.cl/Procurement/Modules/Attachment/ViewAttachment.aspx?enc=pqtuuht6sA9v4sp2g3kqkunlWLmv8vhj04IJsDBgpIaTPOvIy21C7GpnPOpJve7aQkvFrcEO5Df66PvM57Q%2boelrRQ3mh0FFKkIRhCVjZdZAFTm7GaliggNVZzz9CFoiqqf%2fMypI02SDsTZBtvGUOPNoTkATkiUEYRnI45s2CucFidIkCiWgy1VZR%2fDmy%2f%2bKJKU7vjONh3qk2fxn99WUgEnX%2br%2bQ0LBulAV%2fY32OYfUhWidv2iOfuzch3k%2bzsXf%2fkT6PqL5i27Trvy%2bfLFTtELOL5n4ft1IRF1GwPizsIlcXTCXv1MXZwPq4Huky9ofv","descargar bases")</f>
      </c>
    </row>
    <row r="26">
      <c r="A26" s="0" t="inlineStr">
        <is>
          <t xml:space="preserve">2403-73-LR26</t>
        </is>
      </c>
      <c r="B26" s="4" t="inlineStr">
        <is>
          <t xml:space="preserve">Servicios de conectividad telecomunicaciones operación de infraestructura y gestión de ciberseguridad.</t>
        </is>
      </c>
      <c r="C26" s="0" t="inlineStr">
        <is>
          <t xml:space="preserve">Publicada</t>
        </is>
      </c>
      <c r="D26" s="0" t="inlineStr">
        <is>
          <t xml:space="preserve">I MUNICIPALIDAD DE PENALOLEN</t>
        </is>
      </c>
      <c r="E26" s="0" t="inlineStr">
        <is>
          <t xml:space="preserve">I.MUNICIPALIDAD DE PEÑALOLEN</t>
        </is>
      </c>
      <c r="F26" s="0" t="inlineStr">
        <is>
          <t xml:space="preserve">Región Metropolitana de Santiago</t>
        </is>
      </c>
      <c r="G26" s="0" t="inlineStr">
        <is>
          <t xml:space="preserve">Peñalolén</t>
        </is>
      </c>
      <c r="H26" s="2">
        <v>46288.604861</v>
      </c>
      <c r="I26" s="2">
        <v>46325.5</v>
      </c>
      <c r="J26" s="0">
        <v>5</v>
      </c>
      <c r="K26" s="3">
        <v>1910656000.0</v>
      </c>
      <c r="L26" s="0" t="inlineStr">
        <is>
          <t xml:space="preserve">CLP</t>
        </is>
      </c>
      <c r="M26" s="0" t="inlineStr">
        <is>
          <t xml:space="preserve">LR</t>
        </is>
      </c>
      <c r="N26" s="4" t="inlineStr">
        <is>
          <t xml:space="preserve">Servicios de construcción y mantenimiento / Servicios de atención, mantenimiento y reparaciones de edificios / Servicios eléctricos</t>
        </is>
      </c>
      <c r="O26" s="4" t="inlineStr">
        <is>
          <t xml:space="preserve">1 Global · Instalación de sistemas de seguridad</t>
        </is>
      </c>
      <c r="P26" s="2"/>
      <c r="Q26" s="2"/>
      <c r="R26" s="0" t="inlineStr">
        <is>
          <t xml:space="preserve">51 meses</t>
        </is>
      </c>
      <c r="S26" s="0" t="inlineStr">
        <is>
          <t xml:space="preserve">No</t>
        </is>
      </c>
      <c r="T26" s="4" t="inlineStr">
        <is>
          <t xml:space="preserve">Previa autorización de la inspección técnica, y siempre que no supere el 30% del precio total de la contratación.</t>
        </is>
      </c>
      <c r="U26" s="0" t="inlineStr">
        <is>
          <t xml:space="preserve">Matías Allende Contreras</t>
        </is>
      </c>
      <c r="V26"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26" s="5" t="str">
        <f>HYPERLINK("https://www.mercadopublico.cl/Procurement/Modules/Attachment/ViewAttachment.aspx?enc=j8N3%2b17ATanA9lSdYSIe1AzuDekBcVGhgNRIqBTqwgrZPMuo2ygCMH8HafQJZzL5KIoqYnnSUxAKyhReMzh8HM1h5n42AbETV26ZZWDw%2brSq7kOukBKJJss7PZn19q7tXLC0lWSXTYdCG7ybgHBAN1p3ita2%2fctmJ3GxJlBpVP7%2fAKF0P8hu3eMIoGd2m7KkZ4TT4eCKkbCP5fRPqIg8Ru6s1DQzv4gYxP29Yl1%2fNEGpOsmAFtd2buOQWdPu65x0ppR0Faw%2fdpeqasiEIVyy%2fvPJNPbtxeaLZgJlvbmlX2e91Wfe5IrGkdzZwvEZnECY","descargar bases")</f>
      </c>
    </row>
    <row r="27">
      <c r="A27" s="0" t="inlineStr">
        <is>
          <t xml:space="preserve">2467-120-LE26</t>
        </is>
      </c>
      <c r="B27" s="4" t="inlineStr">
        <is>
          <t xml:space="preserve">ADQUISICIÓN DE LICENCIA DE SOFTWARE</t>
        </is>
      </c>
      <c r="C27" s="0" t="inlineStr">
        <is>
          <t xml:space="preserve">Publicada</t>
        </is>
      </c>
      <c r="D27" s="0" t="inlineStr">
        <is>
          <t xml:space="preserve">I MUNICIPALIDAD DE CHILLAN</t>
        </is>
      </c>
      <c r="E27" s="0" t="inlineStr">
        <is>
          <t xml:space="preserve">IMUNI_CHILLAN ADQUISICIONES</t>
        </is>
      </c>
      <c r="F27" s="0" t="inlineStr">
        <is>
          <t xml:space="preserve">Región del Ñuble</t>
        </is>
      </c>
      <c r="G27" s="0" t="inlineStr">
        <is>
          <t xml:space="preserve">Chillán</t>
        </is>
      </c>
      <c r="H27" s="2">
        <v>46315.664502</v>
      </c>
      <c r="I27" s="2">
        <v>46325.525</v>
      </c>
      <c r="J27" s="0">
        <v>5</v>
      </c>
      <c r="K27" s="3">
        <v>15000000.0</v>
      </c>
      <c r="L27" s="0" t="inlineStr">
        <is>
          <t xml:space="preserve">CLP</t>
        </is>
      </c>
      <c r="M27" s="0" t="inlineStr">
        <is>
          <t xml:space="preserve">LE</t>
        </is>
      </c>
      <c r="N27" s="4" t="inlineStr">
        <is>
          <t xml:space="preserve">Tecnologías de la información, telecomunicaciones y radiodifusión / Software / Software de gestión</t>
        </is>
      </c>
      <c r="O27" s="4" t="inlineStr">
        <is>
          <t xml:space="preserve">1 Unidad · Software de gestión de licencias</t>
        </is>
      </c>
      <c r="P27" s="2"/>
      <c r="Q27" s="2"/>
      <c r="R27" s="0"/>
      <c r="S27" s="0" t="inlineStr">
        <is>
          <t xml:space="preserve">No</t>
        </is>
      </c>
      <c r="T27" s="4"/>
      <c r="U27" s="0" t="inlineStr">
        <is>
          <t xml:space="preserve">RODRIGO CHAMORRO</t>
        </is>
      </c>
      <c r="V27" s="4" t="inlineStr">
        <is>
          <t xml:space="preserve">La I. Municipalidad de Chillan, a través del Departamento de Informática solicita la adquisición de Software de seguimiento y gestión de causas judiciales, con integración mediante API interfaz de programación de aplicaciones con los sistemas del Poder Judicial de Chile, para el seguimiento, supervisión, gestión automatizada y control de procesos judiciales.</t>
        </is>
      </c>
      <c r="W27" s="5" t="str">
        <f>HYPERLINK("https://www.mercadopublico.cl/Procurement/Modules/Attachment/ViewAttachment.aspx?enc=zZalH1fcLS2hp50TFZEQkDbkQzvCm7Y1swPlm%2fTMqHRirLIL5aKBA6oNDvP3lKJNadIrmCOsCgHa2431lO%2fIw1AqDGAlejkSMyiEejTuhGhBHbAKvor0npm4%2ffiCKZAXksFkiDQhO%2bHHIZdzDpKuiYuW21eODkJ5ryDvuYFVO2mbpEDuD0KP1JfDeFT09PZizzjnwpuAmLsZZUS%2fDfSA5V6BWcErJjI%2famnK0dAPwLAlXXhoYXy3ETVPSNoilT6KURzXfrVnNqXefEp5szYVuUL%2fwttwgTduOJGrXHhF261NsqdsGkmIHKsHpZDgUnhl","descargar bases")</f>
      </c>
    </row>
    <row r="28">
      <c r="A28" s="0" t="inlineStr">
        <is>
          <t xml:space="preserve">2448-144-LE26</t>
        </is>
      </c>
      <c r="B28" s="4" t="inlineStr">
        <is>
          <t xml:space="preserve">ADQ. ELECTROCARDIOGRAFO DIGITAL</t>
        </is>
      </c>
      <c r="C28" s="0" t="inlineStr">
        <is>
          <t xml:space="preserve">Publicada</t>
        </is>
      </c>
      <c r="D28" s="0" t="inlineStr">
        <is>
          <t xml:space="preserve">I MUNICIPALIDAD DE COQUIMBO</t>
        </is>
      </c>
      <c r="E28" s="0" t="inlineStr">
        <is>
          <t xml:space="preserve">Departamento de Salud</t>
        </is>
      </c>
      <c r="F28" s="0" t="inlineStr">
        <is>
          <t xml:space="preserve">Región de Coquimbo </t>
        </is>
      </c>
      <c r="G28" s="0" t="inlineStr">
        <is>
          <t xml:space="preserve">Coquimbo</t>
        </is>
      </c>
      <c r="H28" s="2">
        <v>46315.505995</v>
      </c>
      <c r="I28" s="2">
        <v>46325.541667</v>
      </c>
      <c r="J28" s="0">
        <v>5</v>
      </c>
      <c r="K28" s="3"/>
      <c r="L28" s="0" t="inlineStr">
        <is>
          <t xml:space="preserve">CLP</t>
        </is>
      </c>
      <c r="M28" s="0" t="inlineStr">
        <is>
          <t xml:space="preserve">LE</t>
        </is>
      </c>
      <c r="N28" s="4" t="inlineStr">
        <is>
          <t xml:space="preserve">Equipamiento y suministros médicos / Productos para exámenes y control de pacientes / Unidades de electrocardiografía (ECG) y productos relacionados</t>
        </is>
      </c>
      <c r="O28" s="4" t="inlineStr">
        <is>
          <t xml:space="preserve">10 Unidad · Unidades de electrocardiografía (ECG)</t>
        </is>
      </c>
      <c r="P28" s="2"/>
      <c r="Q28" s="2"/>
      <c r="R28" s="0"/>
      <c r="S28" s="0" t="inlineStr">
        <is>
          <t xml:space="preserve">No</t>
        </is>
      </c>
      <c r="T28" s="4"/>
      <c r="U28" s="0" t="inlineStr">
        <is>
          <t xml:space="preserve">PAMELA MASSERANO SCHIAPPACASSE</t>
        </is>
      </c>
      <c r="V28" s="4" t="inlineStr">
        <is>
          <t xml:space="preserve">Equipos de ECG locales en urgencias APS de Coquimbo SAPUSAR garantizan respuesta inmediata y autónoma ante sospechas de infarto, sin depender de internet. Permiten al médico una evaluación directa y crítica en minutos. Al combinarse con telemedicina, ofrecen seguridad redundante: agilizan traslados justificados y aportan el respaldo remoto de especialistas sin perder autonomía operativa.</t>
        </is>
      </c>
      <c r="W28" s="5" t="str">
        <f>HYPERLINK("https://www.mercadopublico.cl/Procurement/Modules/Attachment/ViewAttachment.aspx?enc=Dq27a0%2ff0hClnx7vhaZuvkjY8OzRB1A090DwdymCV1VM7TsfLXFz%2fw%2bR4bK5Dk%2bUvC2%2beLpzYElPFusjRGUvJN4LO39YchNWs%2fNM0RZufsvrnkfX5NWolkMnH%2fTWTAVtCPiE1vMa%2bO06NC%2fScYfkocHUGZiv9qMZpNo8vS8uYRTKoNhOOWEtziTxAN4GJlqhTZgMMZDOSXOCaJ6R7iKHaYvz0eNHACLrSt34lWLWNjoOG4TzDAarSUBThaVJk6RUF%2fblSGDa3YjRfJPXCZYTSvbbrzVpDc%2fpBYJx4RKXYC%2b55ra7z1TSXw97FwPimxZs","descargar bases")</f>
      </c>
    </row>
    <row r="29">
      <c r="A29" s="0" t="inlineStr">
        <is>
          <t xml:space="preserve">2490-91-LP26</t>
        </is>
      </c>
      <c r="B29" s="4" t="inlineStr">
        <is>
          <t xml:space="preserve">ARRIENDO SOPORTE Y MANTENCIÓN DE GABINETES PSICOSENSOMÉTRICOS Y EQUIPOS COMPUTACIONALES CON SOFTWARE SPI INTEGRADO 2027-2031</t>
        </is>
      </c>
      <c r="C29" s="0" t="inlineStr">
        <is>
          <t xml:space="preserve">Publicada</t>
        </is>
      </c>
      <c r="D29" s="0" t="inlineStr">
        <is>
          <t xml:space="preserve">I MUNICIPALIDAD DE PROVIDENCIA</t>
        </is>
      </c>
      <c r="E29" s="0" t="inlineStr">
        <is>
          <t xml:space="preserve">Dirección de Secpla</t>
        </is>
      </c>
      <c r="F29" s="0" t="inlineStr">
        <is>
          <t xml:space="preserve">Región Metropolitana de Santiago</t>
        </is>
      </c>
      <c r="G29" s="0" t="inlineStr">
        <is>
          <t xml:space="preserve">Providencia</t>
        </is>
      </c>
      <c r="H29" s="2">
        <v>46296.700741</v>
      </c>
      <c r="I29" s="2">
        <v>46325.541667</v>
      </c>
      <c r="J29" s="0">
        <v>5</v>
      </c>
      <c r="K29" s="3">
        <v>190000000.0</v>
      </c>
      <c r="L29" s="0" t="inlineStr">
        <is>
          <t xml:space="preserve">CLP</t>
        </is>
      </c>
      <c r="M29" s="0" t="inlineStr">
        <is>
          <t xml:space="preserve">LP</t>
        </is>
      </c>
      <c r="N29" s="4" t="inlineStr">
        <is>
          <t xml:space="preserve">Equipos y suministros de defensa, orden público, protección y seguridad / Seguridad y control público / Control de tráfico</t>
        </is>
      </c>
      <c r="O29" s="4" t="inlineStr">
        <is>
          <t xml:space="preserve">1 Global · Señales de tránsito</t>
        </is>
      </c>
      <c r="P29" s="2"/>
      <c r="Q29" s="2"/>
      <c r="R29" s="0" t="inlineStr">
        <is>
          <t xml:space="preserve">48 meses</t>
        </is>
      </c>
      <c r="S29" s="0" t="inlineStr">
        <is>
          <t xml:space="preserve">No</t>
        </is>
      </c>
      <c r="T29" s="4"/>
      <c r="U29" s="0" t="inlineStr">
        <is>
          <t xml:space="preserve">Luis Barrientos Echavarría</t>
        </is>
      </c>
      <c r="V29"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29" s="5" t="str">
        <f>HYPERLINK("https://www.mercadopublico.cl/Procurement/Modules/Attachment/ViewAttachment.aspx?enc=faB4fawx8KObTmP45bX8d7iP1XGGBigkRqyY3L1CDyS5IFviQLlazQQxm3YQqoF5Fd9CUND8W%2bT8v3RF6MNzP8Xby3lWTFdv%2bIBnVsQ4FfngbTKRFW0kitgip32E8EVZ59%2bAJVOm6SEBUOs7YRmQT%2fWL8SGQ9fPqzDxROWzTkEYatrqIMCOh9KlwH4wz9626aU2QbIC%2fdrt7s09S9Ojlgpy8zkmHqQI02JGc5569Vnr7YM2mNZT%2f%2bmGkvVkn%2bDy%2bLarpACcHII6%2foggCO29M3zwOLehnhOyS78GTXzib3OYmvb1mYzC9%2fvv770yBNcNq","descargar bases")</f>
      </c>
    </row>
    <row r="30">
      <c r="A30" s="0" t="inlineStr">
        <is>
          <t xml:space="preserve">1457282-6-LE26</t>
        </is>
      </c>
      <c r="B30" s="4" t="inlineStr">
        <is>
          <t xml:space="preserve">ADQUISICIÓN DE RADIOS DIGITALES PORTÁTILES</t>
        </is>
      </c>
      <c r="C30" s="0" t="inlineStr">
        <is>
          <t xml:space="preserve">Publicada</t>
        </is>
      </c>
      <c r="D30" s="0" t="inlineStr">
        <is>
          <t xml:space="preserve">CORPORACION CENTRO CULTURAL GABRIELA MISTRAL</t>
        </is>
      </c>
      <c r="E30" s="0" t="inlineStr">
        <is>
          <t xml:space="preserve">CORPORACION CENTRO CULTURAL GABRIELA MISTRAL</t>
        </is>
      </c>
      <c r="F30" s="0" t="inlineStr">
        <is>
          <t xml:space="preserve">Región Metropolitana de Santiago</t>
        </is>
      </c>
      <c r="G30" s="0" t="inlineStr">
        <is>
          <t xml:space="preserve">Santiago</t>
        </is>
      </c>
      <c r="H30" s="2">
        <v>46311.501389</v>
      </c>
      <c r="I30" s="2">
        <v>46325.625</v>
      </c>
      <c r="J30" s="0">
        <v>5</v>
      </c>
      <c r="K30" s="3">
        <v>17000000.0</v>
      </c>
      <c r="L30" s="0" t="inlineStr">
        <is>
          <t xml:space="preserve">CLP</t>
        </is>
      </c>
      <c r="M30" s="0" t="inlineStr">
        <is>
          <t xml:space="preserve">LE</t>
        </is>
      </c>
      <c r="N30" s="4" t="inlineStr">
        <is>
          <t xml:space="preserve">Tecnologías de la información, telecomunicaciones y radiodifusión / Equipos informáticos y accesorios / Dispositivos informáticos de entrada de datos</t>
        </is>
      </c>
      <c r="O30" s="4" t="inlineStr">
        <is>
          <t xml:space="preserve">1 Global · Dispositivos de identificación de radiofrecuencias</t>
        </is>
      </c>
      <c r="P30" s="2"/>
      <c r="Q30" s="2"/>
      <c r="R30" s="0"/>
      <c r="S30" s="0" t="inlineStr">
        <is>
          <t xml:space="preserve">No</t>
        </is>
      </c>
      <c r="T30" s="4"/>
      <c r="U30" s="0" t="inlineStr">
        <is>
          <t xml:space="preserve">No hay información</t>
        </is>
      </c>
      <c r="V30"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30" s="5" t="str">
        <f>HYPERLINK("https://www.mercadopublico.cl/Procurement/Modules/Attachment/ViewAttachment.aspx?enc=Jhld79isaclPQT0viC3RIfEhZYxN%2bUMNK8rwxPIWiJrqawiRtkZC08StGhikPlZXhwBPmRO4tX648C2rKJMNdEIQMFjKfb0UrCGCvM%2fU4yzafc8hVfEYrgEUGDCVEPG4QkLQHJM96FSzpe2i%2fJ%2bfWFUTss7eH%2fKJcdxXuAWhTto%2f9y%2bwvA4PnlIDagrTvjQ5gw3DTEwqXpL%2bYT4RWJwVyhqr1HtY0sKg8eNbfj3RVh8JvD4NbyBJA%2fJ0GboQzlsLozHwk54WxQG3CDeUQ2OkFFs49TiApu6qDmsVuu4YFv9Y%2bTPwTRXowOtnPB5iDc%2fb","descargar bases")</f>
      </c>
    </row>
    <row r="31">
      <c r="A31" s="0" t="inlineStr">
        <is>
          <t xml:space="preserve">3053-4-LE26</t>
        </is>
      </c>
      <c r="B31" s="4" t="inlineStr">
        <is>
          <t xml:space="preserve">Adquisición de insumos informáticos para la Municipalidad de San Pedro de Atacama.</t>
        </is>
      </c>
      <c r="C31" s="0" t="inlineStr">
        <is>
          <t xml:space="preserve">Publicada</t>
        </is>
      </c>
      <c r="D31" s="0" t="inlineStr">
        <is>
          <t xml:space="preserve">I MUNICIPALIDAD DE SAN PEDRO DE ATACAMA</t>
        </is>
      </c>
      <c r="E31" s="0" t="inlineStr">
        <is>
          <t xml:space="preserve">Depto. de Finanzas</t>
        </is>
      </c>
      <c r="F31" s="0" t="inlineStr">
        <is>
          <t xml:space="preserve">Región de Antofagasta </t>
        </is>
      </c>
      <c r="G31" s="0" t="inlineStr">
        <is>
          <t xml:space="preserve">San Pedro de Atacama</t>
        </is>
      </c>
      <c r="H31" s="2">
        <v>46314.63728</v>
      </c>
      <c r="I31" s="2">
        <v>46325.625</v>
      </c>
      <c r="J31" s="0">
        <v>5</v>
      </c>
      <c r="K31" s="3"/>
      <c r="L31" s="0" t="inlineStr">
        <is>
          <t xml:space="preserve">CLP</t>
        </is>
      </c>
      <c r="M31" s="0" t="inlineStr">
        <is>
          <t xml:space="preserve">LE</t>
        </is>
      </c>
      <c r="N31" s="4" t="inlineStr">
        <is>
          <t xml:space="preserve">Tecnologías de la información, telecomunicaciones y radiodifusión / Equipos informáticos y accesorios / Impresoras</t>
        </is>
      </c>
      <c r="O31" s="4" t="inlineStr">
        <is>
          <t xml:space="preserve">1 Global · Impresoras multifunción o multifuncionales</t>
        </is>
      </c>
      <c r="P31" s="2"/>
      <c r="Q31" s="2"/>
      <c r="R31" s="0"/>
      <c r="S31" s="0" t="inlineStr">
        <is>
          <t xml:space="preserve">No</t>
        </is>
      </c>
      <c r="T31" s="4" t="inlineStr">
        <is>
          <t xml:space="preserve">El adjudicatario no podrá subcontratar, salvo autorización escrita de la Municipalidad de San Pedro de Atacama.</t>
        </is>
      </c>
      <c r="U31" s="0" t="inlineStr">
        <is>
          <t xml:space="preserve">DIAZ, CESAR</t>
        </is>
      </c>
      <c r="V31" s="4" t="inlineStr">
        <is>
          <t xml:space="preserve">La Municipalidad de San Pedro de Atacama invita a participar en el proceso de contratación para la Adquisición de insumos informáticos para la Municipalidad de San Pedro de Atacama, con el objeto de mantener la operatividad de los computadores e impresoras de la Municipalidad.</t>
        </is>
      </c>
      <c r="W31" s="5" t="str">
        <f>HYPERLINK("https://www.mercadopublico.cl/Procurement/Modules/Attachment/ViewAttachment.aspx?enc=qwH1FFhHtu8SVfmvh3pQoYT6kycVkN21H3VwscFo0CPk0LgohkSTl0LPUx2hAt%2fZIYexrMC25ZUUSPtdN6zds3Y6%2bDImjbW5EE%2fqCQtVBQOwLGANS%2fpNjtlsF7Q2lmrACQMof1rqAnMms4L3lhy8VTAtNGqfws7T5Ts28hAnDJyGfcOhLO%2fh3rw7Vs1poCYmbRqpvgfkAP0KrAKWyuUA%2fxEdTuxGVVzmugBMgJfgHYKeTr%2ba24ku25DoVG0sJZmw8wZ1Qjqh9d2xwEJ5Ysyv5U4HAtmhQpao7Zi1UuhkVdLwDq%2fVCaCSHXzMFcsiFWsj","descargar bases")</f>
      </c>
    </row>
    <row r="32">
      <c r="A32" s="0" t="inlineStr">
        <is>
          <t xml:space="preserve">2020-23-LE26</t>
        </is>
      </c>
      <c r="B32" s="4" t="inlineStr">
        <is>
          <t xml:space="preserve">SERVICIOS DE DIGITALIZACIÓN Y EXTRACCIÓN DE TÉXTO.</t>
        </is>
      </c>
      <c r="C32" s="0" t="inlineStr">
        <is>
          <t xml:space="preserve">Publicada</t>
        </is>
      </c>
      <c r="D32" s="0" t="inlineStr">
        <is>
          <t xml:space="preserve">Biblioteca del Congreso Nacional</t>
        </is>
      </c>
      <c r="E32" s="0" t="inlineStr">
        <is>
          <t xml:space="preserve">Biblioteca del Congreso Nacional</t>
        </is>
      </c>
      <c r="F32" s="0" t="inlineStr">
        <is>
          <t xml:space="preserve">Región Metropolitana de Santiago</t>
        </is>
      </c>
      <c r="G32" s="0" t="inlineStr">
        <is>
          <t xml:space="preserve">Santiago Centro</t>
        </is>
      </c>
      <c r="H32" s="2">
        <v>46309.468056</v>
      </c>
      <c r="I32" s="2">
        <v>46325.625694</v>
      </c>
      <c r="J32" s="0">
        <v>5</v>
      </c>
      <c r="K32" s="3">
        <v>72000000.0</v>
      </c>
      <c r="L32" s="0" t="inlineStr">
        <is>
          <t xml:space="preserve">CLP</t>
        </is>
      </c>
      <c r="M32" s="0" t="inlineStr">
        <is>
          <t xml:space="preserve">LE</t>
        </is>
      </c>
      <c r="N32" s="4" t="inlineStr">
        <is>
          <t xml:space="preserve">Servicios basados en ingeniería, ciencias sociales y tecnología de la información / Servicios informáticos / Servicios de datos</t>
        </is>
      </c>
      <c r="O32" s="4" t="inlineStr">
        <is>
          <t xml:space="preserve">1 Unidad · Servicios de digitalización de documentos</t>
        </is>
      </c>
      <c r="P32" s="2"/>
      <c r="Q32" s="2"/>
      <c r="R32" s="0" t="inlineStr">
        <is>
          <t xml:space="preserve">80 días</t>
        </is>
      </c>
      <c r="S32" s="0" t="inlineStr">
        <is>
          <t xml:space="preserve">No</t>
        </is>
      </c>
      <c r="T32" s="4" t="inlineStr">
        <is>
          <t xml:space="preserve">Según lo establecido en numeral 24. Subcontratación de las Bases de Licitación adjuntas.</t>
        </is>
      </c>
      <c r="U32" s="0" t="inlineStr">
        <is>
          <t xml:space="preserve">80 Días Hábiles. Unidad Requirente.</t>
        </is>
      </c>
      <c r="V32" s="4" t="inlineStr">
        <is>
          <t xml:space="preserve">SERVICIO ESPECIALIZADO DE DIGITALIZACIÓN Y EXTRACCIÓN INTELIGENTE DE TEXTO, DEL ARCHIVO DE PRENSA HISTÓRICA DE LA BIBLIOTECA DEL CONGRESO NACIONAL.</t>
        </is>
      </c>
      <c r="W32" s="5" t="str">
        <f>HYPERLINK("https://www.mercadopublico.cl/Procurement/Modules/Attachment/ViewAttachment.aspx?enc=BhF%2bThRNVcoXsAk5cW%2bV%2bQeOBurdN8osymvPZZVXcF%2b4u7ir9BMavNPGwOSagQn5Oi%2bjHxdUemE71MyRKYb43JKdYsv%2bezegi1CEyY18doocYqgGP7ncHaQohef0QRuE6948Vy1QchtE9fWfcTlFTAN33ucVheqDqe4QDM9FoFesEog%2fY6s03Oqm%2bld2Wy%2btCR%2brmMpggy4EWCcOKVTEHhpnnmQK9oZMsPQwAXr7KZFdLgBs15V%2bvNUTmw0DC4%2fJyNRs35gH5NNjK%2biPOsP2LbbRH%2f7HloTotoslcFS7b6TF8mZfy1tisziodENkTbfk","descargar bases")</f>
      </c>
    </row>
    <row r="33">
      <c r="A33" s="0" t="inlineStr">
        <is>
          <t xml:space="preserve">680504-3-L126</t>
        </is>
      </c>
      <c r="B33" s="4" t="inlineStr">
        <is>
          <t xml:space="preserve">Mantención Anual Tableros Eléctricos del Edificio RPP Curicó</t>
        </is>
      </c>
      <c r="C33" s="0" t="inlineStr">
        <is>
          <t xml:space="preserve">Publicada</t>
        </is>
      </c>
      <c r="D33" s="0" t="inlineStr">
        <is>
          <t xml:space="preserve">CORP ADMINISTRATIVA DEL PODER JUDICIAL</t>
        </is>
      </c>
      <c r="E33" s="0" t="inlineStr">
        <is>
          <t xml:space="preserve">TOP de Curico</t>
        </is>
      </c>
      <c r="F33" s="0" t="inlineStr">
        <is>
          <t xml:space="preserve">Región del Maule </t>
        </is>
      </c>
      <c r="G33" s="0" t="inlineStr">
        <is>
          <t xml:space="preserve">Curicó</t>
        </is>
      </c>
      <c r="H33" s="2">
        <v>46315.490579</v>
      </c>
      <c r="I33" s="2">
        <v>46325.666667</v>
      </c>
      <c r="J33" s="0">
        <v>5</v>
      </c>
      <c r="K33" s="3">
        <v>128.8</v>
      </c>
      <c r="L33" s="0" t="inlineStr">
        <is>
          <t xml:space="preserve">CLF</t>
        </is>
      </c>
      <c r="M33" s="0" t="inlineStr">
        <is>
          <t xml:space="preserve">L1</t>
        </is>
      </c>
      <c r="N33" s="4" t="inlineStr">
        <is>
          <t xml:space="preserve">Servicios de construcción y mantenimiento / Servicios de atención, mantenimiento y reparaciones de edificios / Servicios eléctricos</t>
        </is>
      </c>
      <c r="O33" s="4" t="inlineStr">
        <is>
          <t xml:space="preserve">1 Unidad · Instalación o servicio de sistemas de energía eléctrica</t>
        </is>
      </c>
      <c r="P33" s="2"/>
      <c r="Q33" s="2"/>
      <c r="R33" s="0"/>
      <c r="S33" s="0" t="inlineStr">
        <is>
          <t xml:space="preserve">No</t>
        </is>
      </c>
      <c r="T33" s="4"/>
      <c r="U33" s="0"/>
      <c r="V33" s="4" t="inlineStr">
        <is>
          <t xml:space="preserve">Mantención Anual Tableros Eléctricos del Edificio RPP Curicó por un periodo de 36 meses</t>
        </is>
      </c>
      <c r="W33" s="5" t="str">
        <f>HYPERLINK("https://www.mercadopublico.cl/Procurement/Modules/Attachment/ViewAttachment.aspx?enc=RUQNrKE01Nu9LWW0QUbWapCYEfnTin7pNbYQcnKyFQVXEcRrUmHaZZXdWrubqI2WQmD9EQWFXWhCNonS4ZvmndKoiw9n5nIkIXlCa8VC0SFThzbiRN6TnKrK8UYYfBkJXB5YN5CXSuFigso38MT9YfRb2HVfnjmMR%2faPzu7WSUJiyhIxdKJfhMGZM8AfTw%2b8d8aeRmSbm0RfBce83mEh6dNc5Hsfv3B%2bTuFzwQdbuEt%2fLYj7ftXL%2bDkumVjHa%2fvOX2KKsDGLjKfW1WvRcjtyG6eX0Fczea7Mp14qD1DI0EdOJrbZMQX3s2FKAW4QbsWU","descargar bases")</f>
      </c>
    </row>
    <row r="34">
      <c r="A34" s="0" t="inlineStr">
        <is>
          <t xml:space="preserve">662237-34-LE26</t>
        </is>
      </c>
      <c r="B34" s="4" t="inlineStr">
        <is>
          <t xml:space="preserve">Adquisición de licencias software antivirus</t>
        </is>
      </c>
      <c r="C34" s="0" t="inlineStr">
        <is>
          <t xml:space="preserve">Publicada</t>
        </is>
      </c>
      <c r="D34" s="0" t="inlineStr">
        <is>
          <t xml:space="preserve">SERVICIO NACIONAL PARA LA PREVENCION Y REHABILITACION DEL CONSUMO DE D</t>
        </is>
      </c>
      <c r="E34" s="0" t="inlineStr">
        <is>
          <t xml:space="preserve">SENDA NACIONAL</t>
        </is>
      </c>
      <c r="F34" s="0" t="inlineStr">
        <is>
          <t xml:space="preserve">Región Metropolitana de Santiago</t>
        </is>
      </c>
      <c r="G34" s="0" t="inlineStr">
        <is>
          <t xml:space="preserve">Santiago Centro</t>
        </is>
      </c>
      <c r="H34" s="2">
        <v>46315.769051</v>
      </c>
      <c r="I34" s="2">
        <v>46325.770833</v>
      </c>
      <c r="J34" s="0">
        <v>5</v>
      </c>
      <c r="K34" s="3">
        <v>14500000.0</v>
      </c>
      <c r="L34" s="0" t="inlineStr">
        <is>
          <t xml:space="preserve">CLP</t>
        </is>
      </c>
      <c r="M34" s="0" t="inlineStr">
        <is>
          <t xml:space="preserve">LE</t>
        </is>
      </c>
      <c r="N34" s="4" t="inlineStr">
        <is>
          <t xml:space="preserve">Tecnologías de la información, telecomunicaciones y radiodifusión / Software / Software de seguridad y protección</t>
        </is>
      </c>
      <c r="O34" s="4" t="inlineStr">
        <is>
          <t xml:space="preserve">1 Unidad · Software de protección antivirus y de seguridad de transacciones</t>
        </is>
      </c>
      <c r="P34" s="2"/>
      <c r="Q34" s="2"/>
      <c r="R34" s="0"/>
      <c r="S34" s="0" t="inlineStr">
        <is>
          <t xml:space="preserve">No</t>
        </is>
      </c>
      <c r="T34" s="4" t="inlineStr">
        <is>
          <t xml:space="preserve">No podrá subcontratar las prestaciones esenciales, especialmente la provisión y administración del licenciamiento, la habilitación,
el soporte principal y la responsabilidad frente a SENDA.</t>
        </is>
      </c>
      <c r="U34" s="0" t="inlineStr">
        <is>
          <t xml:space="preserve">Santiago Campos</t>
        </is>
      </c>
      <c r="V34" s="4" t="inlineStr">
        <is>
          <t xml:space="preserve">El Área de Tecnologías de la Información, mediante la Solicitud de Recursos N°356  REC 35626, requirió efectuar
una licitación pública para adquirir por doce meses 530 licencias de software antivirus para el equipamiento de la red
nacional de SENDA</t>
        </is>
      </c>
      <c r="W34" s="5" t="str">
        <f>HYPERLINK("https://www.mercadopublico.cl/Procurement/Modules/Attachment/ViewAttachment.aspx?enc=xaXA%2bRlcD2Wss0gax5UX3zElWiYVtQoWCKqG18zIsIevfO28CXHs8sKD2fDd6CYCxiB9P7TbN33rc5icGv%2bX04xkZMQjcaP%2fyROPNgRGNzp63vS125V9upvhOgVG2UflXq%2bDEqgj9JDgojDra43vWyjXkmwF14EUfL7i40Frwn4gq8acR3G34smfmy8bHZH4eIkmeRlENY2R5Gz0Yf%2faT%2fRaiUNeVR%2fX1v5CGQEguLeVs0McLLjYzGoQE6m6D19FYHEUCG66XrnvrjDtEjm435LP5HEEB5P9gqsYcpRroYhrildbu%2bJGWKu8G209eKM%2b","descargar bases")</f>
      </c>
    </row>
    <row r="35">
      <c r="A35" s="0" t="inlineStr">
        <is>
          <t xml:space="preserve">1375746-20-LE26</t>
        </is>
      </c>
      <c r="B35" s="4" t="inlineStr">
        <is>
          <t xml:space="preserve">SERVICIO DE PLATAFORMA DE VOTACIÓN ELECTRÓNICA</t>
        </is>
      </c>
      <c r="C35" s="0" t="inlineStr">
        <is>
          <t xml:space="preserve">Publicada</t>
        </is>
      </c>
      <c r="D35" s="0" t="inlineStr">
        <is>
          <t xml:space="preserve">SERVICIO LOCAL DE EDUCACIÓN PÚBLICA ACONCAGUA</t>
        </is>
      </c>
      <c r="E35" s="0" t="inlineStr">
        <is>
          <t xml:space="preserve">COMPRAS Y LICITACIONES</t>
        </is>
      </c>
      <c r="F35" s="0" t="inlineStr">
        <is>
          <t xml:space="preserve">Región de Valparaíso </t>
        </is>
      </c>
      <c r="G35" s="0" t="inlineStr">
        <is>
          <t xml:space="preserve">San Felipe</t>
        </is>
      </c>
      <c r="H35" s="2">
        <v>46318.635093</v>
      </c>
      <c r="I35" s="2">
        <v>46328.625694</v>
      </c>
      <c r="J35" s="0">
        <v>8</v>
      </c>
      <c r="K35" s="3">
        <v>10115000.0</v>
      </c>
      <c r="L35" s="0" t="inlineStr">
        <is>
          <t xml:space="preserve">CLP</t>
        </is>
      </c>
      <c r="M35" s="0" t="inlineStr">
        <is>
          <t xml:space="preserve">LE</t>
        </is>
      </c>
      <c r="N35" s="4" t="inlineStr">
        <is>
          <t xml:space="preserve">Servicios profesionales, administrativos y consultorías de gestión empresarial / Consultorías o asesorías en gestión empresarial / Servicios de consultoría en gestión de empresas</t>
        </is>
      </c>
      <c r="O35" s="4" t="inlineStr">
        <is>
          <t xml:space="preserve">1 Unidad · Asesorías Informáticas</t>
        </is>
      </c>
      <c r="P35" s="2"/>
      <c r="Q35" s="2"/>
      <c r="R35" s="0" t="inlineStr">
        <is>
          <t xml:space="preserve">12 meses</t>
        </is>
      </c>
      <c r="S35" s="0" t="inlineStr">
        <is>
          <t xml:space="preserve">No</t>
        </is>
      </c>
      <c r="T35" s="4" t="inlineStr">
        <is>
          <t xml:space="preserve">El adjudicatario no podrá ceder ni transferir en forma alguna, total ni parcialmente, los derechos y obligaciones que nacen del desarrollo de esta licitación, y, en especial, los establecidos en el respectivo contrato yo Orden de Compra que se celebre.</t>
        </is>
      </c>
      <c r="U35" s="0" t="inlineStr">
        <is>
          <t xml:space="preserve">Julio Vega Carreño</t>
        </is>
      </c>
      <c r="V35" s="4" t="inlineStr">
        <is>
          <t xml:space="preserve">SERVICIO DE PLATAFORMA DE VOTACIÓN ELECTRÓNICA PARA LOS PROCESOS ELECCIONARIOS, SLEP DEL ACONCAGUA.</t>
        </is>
      </c>
      <c r="W35" s="5" t="str">
        <f>HYPERLINK("https://www.mercadopublico.cl/Procurement/Modules/Attachment/ViewAttachment.aspx?enc=e7wI9nIzwNg1njlT1zVxTPWb8%2fN6URHyZfh%2fBMTQ5BGH5PdfBmXpqv4z6oLlSnZrjQroYOdSMJnl3E1SZEPNEGv9pG3w%2fyeVYOEV4TQI8M%2fzxPqgVY2HKLPJwxrp2ZSrLmrZForfzzuQDxlsLEPipjGfUb1baJPYb7bSef67ZGhpI0ssuPLAalYd0SBKp0oCEqsCqbmzBWJzHHi4RUDAlq4svCAHgX38%2bdajFQeLQRjpgULXhTxiCNwq0v%2bzFiPWF%2b0Vgw5VwZSMYKb4nRxDkY49FL2QrmEkwjraCemtF55p2DgSUrmVDNhpbv%2bLInEH","descargar bases")</f>
      </c>
    </row>
    <row r="36">
      <c r="A36" s="0" t="inlineStr">
        <is>
          <t xml:space="preserve">2111-304-LP26</t>
        </is>
      </c>
      <c r="B36" s="4" t="inlineStr">
        <is>
          <t xml:space="preserve">SERV. ALMACENAJE CUSTODIA Y ADM. DE DATOS FÍSICOS</t>
        </is>
      </c>
      <c r="C36" s="0" t="inlineStr">
        <is>
          <t xml:space="preserve">Publicada</t>
        </is>
      </c>
      <c r="D36" s="0" t="inlineStr">
        <is>
          <t xml:space="preserve">HOSPITAL DE URGENCIA ASISTENCIA PUBLICA DR ALEJANDRO DEL RIO</t>
        </is>
      </c>
      <c r="E36" s="0" t="inlineStr">
        <is>
          <t xml:space="preserve">Hospital de Urgencia Asistencia Pública</t>
        </is>
      </c>
      <c r="F36" s="0" t="inlineStr">
        <is>
          <t xml:space="preserve">Región Metropolitana de Santiago</t>
        </is>
      </c>
      <c r="G36" s="0" t="inlineStr">
        <is>
          <t xml:space="preserve">Santiago</t>
        </is>
      </c>
      <c r="H36" s="2">
        <v>46315.4939</v>
      </c>
      <c r="I36" s="2">
        <v>46328.625694</v>
      </c>
      <c r="J36" s="0">
        <v>8</v>
      </c>
      <c r="K36" s="3"/>
      <c r="L36" s="0" t="inlineStr">
        <is>
          <t xml:space="preserve">CLP</t>
        </is>
      </c>
      <c r="M36" s="0" t="inlineStr">
        <is>
          <t xml:space="preserve">LP</t>
        </is>
      </c>
      <c r="N36" s="4" t="inlineStr">
        <is>
          <t xml:space="preserve">Servicios de transporte, almacenaje y correo / Almacenaje / Almacenaje de mercancía en general</t>
        </is>
      </c>
      <c r="O36" s="4" t="inlineStr">
        <is>
          <t xml:space="preserve">1 Unidad · Almacenaje de documentos en carpetas</t>
        </is>
      </c>
      <c r="P36" s="2"/>
      <c r="Q36" s="2"/>
      <c r="R36" s="0" t="inlineStr">
        <is>
          <t xml:space="preserve">36 meses</t>
        </is>
      </c>
      <c r="S36" s="0" t="inlineStr">
        <is>
          <t xml:space="preserve">No</t>
        </is>
      </c>
      <c r="T36" s="4" t="inlineStr">
        <is>
          <t xml:space="preserve">SEGÚN LO ESTIPULADO EN BASES</t>
        </is>
      </c>
      <c r="U36" s="0" t="inlineStr">
        <is>
          <t xml:space="preserve">HUAP</t>
        </is>
      </c>
      <c r="V36" s="4" t="inlineStr">
        <is>
          <t xml:space="preserve">SE REQUIERE SERVICIO DE ALMACENAJE, CUSTODIA Y ADMINISTRACIÓN DE DATOS FÍSICOS PARA EL HUAP.</t>
        </is>
      </c>
      <c r="W36" s="5" t="str">
        <f>HYPERLINK("https://www.mercadopublico.cl/Procurement/Modules/Attachment/ViewAttachment.aspx?enc=oJLWBr2y5W1XGup1h4Ej46GD%2b1ilHNO%2belbVecbx1GxdFLicLUz5CRGag252cbQBZCJ2bn67h6b2Ludjr%2bEXcYNWSyWvGCWUCGnfbas5rHyFE%2fbMrTBnEczun4Fxx2bOthlZMKaf01QQUErrVp657fimueuFN426v1wZHSOQCvGScN7jpAOI%2fPUBtLGm%2bopOa%2bzcx8Bx1iIkYdMqNpleKs69xlYvXd3GNQVYhDiDfOXMk%2fa9PtWZWFtH9yUcSsn3cjEI0V1VKHcxvNR9XqBtuOU43E99zV0oUZP3MPXNWusnZQ%2f53%2f6BuXuXUt6RhqR3","descargar bases")</f>
      </c>
    </row>
    <row r="37">
      <c r="A37" s="0" t="inlineStr">
        <is>
          <t xml:space="preserve">2981-287-LP26</t>
        </is>
      </c>
      <c r="B37" s="4" t="inlineStr">
        <is>
          <t xml:space="preserve">CIBERSEGURIDAD- CONSULTORIA</t>
        </is>
      </c>
      <c r="C37" s="0" t="inlineStr">
        <is>
          <t xml:space="preserve">Publicada</t>
        </is>
      </c>
      <c r="D37" s="0" t="inlineStr">
        <is>
          <t xml:space="preserve">POLICIA DE INVESTIGACIONES DE CHILE</t>
        </is>
      </c>
      <c r="E37" s="0" t="inlineStr">
        <is>
          <t xml:space="preserve">DEPARTAMENTO ADMINISTRATIVO</t>
        </is>
      </c>
      <c r="F37" s="0" t="inlineStr">
        <is>
          <t xml:space="preserve">Región Metropolitana de Santiago</t>
        </is>
      </c>
      <c r="G37" s="0" t="inlineStr">
        <is>
          <t xml:space="preserve">Santiago Centro</t>
        </is>
      </c>
      <c r="H37" s="2">
        <v>46303.658333</v>
      </c>
      <c r="I37" s="2">
        <v>46328.625694</v>
      </c>
      <c r="J37" s="0">
        <v>8</v>
      </c>
      <c r="K37" s="3">
        <v>80000000.0</v>
      </c>
      <c r="L37" s="0" t="inlineStr">
        <is>
          <t xml:space="preserve">CLP</t>
        </is>
      </c>
      <c r="M37" s="0" t="inlineStr">
        <is>
          <t xml:space="preserve">LP</t>
        </is>
      </c>
      <c r="N37" s="4" t="inlineStr">
        <is>
          <t xml:space="preserve">Servicios profesionales, administrativos y consultorías de gestión empresarial / Consultorías o asesorías en gestión empresarial / Servicios de consultoría en gestión de empresas</t>
        </is>
      </c>
      <c r="O37" s="4" t="inlineStr">
        <is>
          <t xml:space="preserve">1 Unidad · Asesorías en gestión estratégica</t>
        </is>
      </c>
      <c r="P37" s="2"/>
      <c r="Q37" s="2"/>
      <c r="R37" s="0" t="inlineStr">
        <is>
          <t xml:space="preserve">12 meses</t>
        </is>
      </c>
      <c r="S37" s="0" t="inlineStr">
        <is>
          <t xml:space="preserve">No</t>
        </is>
      </c>
      <c r="T37" s="4" t="inlineStr">
        <is>
          <t xml:space="preserve">No permite subcontratacion, Art 53 de las bases</t>
        </is>
      </c>
      <c r="U37" s="0" t="inlineStr">
        <is>
          <t xml:space="preserve">CRISTOPHER SILVA GUZMAN</t>
        </is>
      </c>
      <c r="V37" s="4" t="inlineStr">
        <is>
          <t xml:space="preserve">SE REQUIERE CONTRATAR LOS SERVICIOS DE CONSULTORIA SEGUN BASES ADMINISTRATIVAS, TECNICAS Y ANEXOS ADJUNTOS.</t>
        </is>
      </c>
      <c r="W37" s="5" t="str">
        <f>HYPERLINK("https://www.mercadopublico.cl/Procurement/Modules/Attachment/ViewAttachment.aspx?enc=%2byHL2p6U7yiIwQIWfWSUMN18bBm5fgfdfJdTJ%2bVADCKPNBgt99JTVsHifYcvlUiFWtcY3hyKO0AGWDxYGimxe1d2viPjRk1IJlwZaPQDsP6A1iCjBn%2bSoLfMCVzqGoQ2d4fIhPTK599iw3ocPJSJzvaO8TqGUShBeupLxyT%2booPi2e23I%2bE5W2hJps%2fOcN22UgI0X1JO36kuwBK5rNvWqqS5GuGKSwBLD4xsYYWCEqoMlAIn4ds7wIcneDw%2fVcPCkMxdozAz%2fUm%2frvEpV9HyKZpAjnnJMrAsO0crYUx12kb7Barmj8X2E6aRKPWUMttH","descargar bases")</f>
      </c>
    </row>
    <row r="38">
      <c r="A38" s="0" t="inlineStr">
        <is>
          <t xml:space="preserve">3945-31-LE26</t>
        </is>
      </c>
      <c r="B38" s="4" t="inlineStr">
        <is>
          <t xml:space="preserve">CONTRATACION SERVICIO DE SISTEMA INFORMATICO DE GESTION DOCUMENTAL- MUNICIPALIDAD LOS ALAMOS</t>
        </is>
      </c>
      <c r="C38" s="0" t="inlineStr">
        <is>
          <t xml:space="preserve">Publicada</t>
        </is>
      </c>
      <c r="D38" s="0" t="inlineStr">
        <is>
          <t xml:space="preserve">I MUNICIPALIDAD DE LOS ALAMOS DEPTO COMUNAL</t>
        </is>
      </c>
      <c r="E38" s="0" t="inlineStr">
        <is>
          <t xml:space="preserve">Administración y Finanzas</t>
        </is>
      </c>
      <c r="F38" s="0" t="inlineStr">
        <is>
          <t xml:space="preserve">Región del Biobío </t>
        </is>
      </c>
      <c r="G38" s="0" t="inlineStr">
        <is>
          <t xml:space="preserve">Los Alamos</t>
        </is>
      </c>
      <c r="H38" s="2">
        <v>46318.49272</v>
      </c>
      <c r="I38" s="2">
        <v>46328.625694</v>
      </c>
      <c r="J38" s="0">
        <v>8</v>
      </c>
      <c r="K38" s="3">
        <v>70000000.0</v>
      </c>
      <c r="L38" s="0" t="inlineStr">
        <is>
          <t xml:space="preserve">CLP</t>
        </is>
      </c>
      <c r="M38" s="0" t="inlineStr">
        <is>
          <t xml:space="preserve">LE</t>
        </is>
      </c>
      <c r="N38" s="4" t="inlineStr">
        <is>
          <t xml:space="preserve">Tecnologías de la información, telecomunicaciones y radiodifusión / Software / Software de entorno operativo</t>
        </is>
      </c>
      <c r="O38" s="4" t="inlineStr">
        <is>
          <t xml:space="preserve">1 Global · Software de sistema operativo</t>
        </is>
      </c>
      <c r="P38" s="2"/>
      <c r="Q38" s="2"/>
      <c r="R38" s="0" t="inlineStr">
        <is>
          <t xml:space="preserve">36 meses</t>
        </is>
      </c>
      <c r="S38" s="0" t="inlineStr">
        <is>
          <t xml:space="preserve">No</t>
        </is>
      </c>
      <c r="T38" s="4"/>
      <c r="U38" s="0" t="inlineStr">
        <is>
          <t xml:space="preserve">Encargado de soporte informatico</t>
        </is>
      </c>
      <c r="V38" s="4" t="inlineStr">
        <is>
          <t xml:space="preserve">:    La   necesidad      de      contratar   “ADQUISICION       SERVICIO   DE 
SISTEMA             INFORMATIVO    DE     GESTION   DOCUMENTAL –
MUNICIPALIDAD LOS ALAMOS”, conforme a Bases Administrativas, 
 Técnicas y Anexos adjuntos.</t>
        </is>
      </c>
      <c r="W38" s="5" t="str">
        <f>HYPERLINK("https://www.mercadopublico.cl/Procurement/Modules/Attachment/ViewAttachment.aspx?enc=WHbZFeByC5HnAgzQFBoQ4KNixf31VGtUBxMVikmHG8R69K%2bZBuFHQ3PT8iwamC1f031%2f8zrDSm%2f%2fW4gMgs22X1ecBCB1B%2b%2bBpQ0Ib5u3Zt3E0gs56pD%2fe9TM6I4h7biWOiVFoudnoxmTImfZuO6%2bx688lczPId0QgjZS5KpdHFoM%2fEXBzqXkt0eqNKDIMeDHmaG7TMwh6S1IUq1hcYWR1gN%2fqCZL6SySfAed9m5UdGVot8sntAM6%2fCIIsQfqtO1Om2RJn3o7sbs6uEk6NntLv11PqTVl5n3E8G9LUwlfaM7kavq2Bx1MhHcYQX5OSGKu","descargar bases")</f>
      </c>
    </row>
    <row r="39">
      <c r="A39" s="0" t="inlineStr">
        <is>
          <t xml:space="preserve">5441-12-LP26</t>
        </is>
      </c>
      <c r="B39" s="4" t="inlineStr">
        <is>
          <t xml:space="preserve">Generador 500 kVA y Tablero de Transf. Autom. 800A</t>
        </is>
      </c>
      <c r="C39" s="0" t="inlineStr">
        <is>
          <t xml:space="preserve">Publicada</t>
        </is>
      </c>
      <c r="D39" s="0" t="inlineStr">
        <is>
          <t xml:space="preserve">UNIVERSIDAD DE CHILE</t>
        </is>
      </c>
      <c r="E39" s="0" t="inlineStr">
        <is>
          <t xml:space="preserve">UCHILE Facultad Cs.Veterinarias</t>
        </is>
      </c>
      <c r="F39" s="0" t="inlineStr">
        <is>
          <t xml:space="preserve">Región Metropolitana de Santiago</t>
        </is>
      </c>
      <c r="G39" s="0" t="inlineStr">
        <is>
          <t xml:space="preserve">La Pintana</t>
        </is>
      </c>
      <c r="H39" s="2">
        <v>46302.464919</v>
      </c>
      <c r="I39" s="2">
        <v>46328.625694</v>
      </c>
      <c r="J39" s="0">
        <v>8</v>
      </c>
      <c r="K39" s="3"/>
      <c r="L39" s="0" t="inlineStr">
        <is>
          <t xml:space="preserve">CLP</t>
        </is>
      </c>
      <c r="M39" s="0" t="inlineStr">
        <is>
          <t xml:space="preserve">LP</t>
        </is>
      </c>
      <c r="N39"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39" s="4" t="inlineStr">
        <is>
          <t xml:space="preserve">1 Unidad · Generadores diesel · 1 Unidad · Paneles de control eléctrico para generadores</t>
        </is>
      </c>
      <c r="P39" s="2"/>
      <c r="Q39" s="2"/>
      <c r="R39" s="0"/>
      <c r="S39" s="0" t="inlineStr">
        <is>
          <t xml:space="preserve">No</t>
        </is>
      </c>
      <c r="T39" s="4"/>
      <c r="U39" s="0" t="inlineStr">
        <is>
          <t xml:space="preserve">Carlos Miranda</t>
        </is>
      </c>
      <c r="V39"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39" s="5" t="str">
        <f>HYPERLINK("https://www.mercadopublico.cl/Procurement/Modules/Attachment/ViewAttachment.aspx?enc=wYK5v8oTBBUAHP98xy68FJCzgAoQ745R1zgJeRoeBcbr2htYMzI749FAKTZJbmaostXXPRrG0IxeUbZS1iMLsbTR8AasXttkhrb8jZy0kMqiwevVYPB%2bMiljV6T1mb9OTtONEaJxrHzGt8Opl%2fn10XvNQfkEv36D8FbveUgRdhzkrYwZ%2faGSLyL5hnVrDoMEiLtfCsv8OfWu6K8x2cf8We%2bgKlGXQiekLGSCCnuCq76Jhoh2XA3I14%2bw%2bOWXbC%2fC2sEM%2b87NjwPu5DsBwvvugesdS3%2fZ%2f%2fgrHo5Csc%2b4YpL9l5dh9B%2fvoCnU1bf%2btx3R","descargar bases")</f>
      </c>
    </row>
    <row r="40">
      <c r="A40" s="0" t="inlineStr">
        <is>
          <t xml:space="preserve">5482-115-LP26</t>
        </is>
      </c>
      <c r="B40" s="4" t="inlineStr">
        <is>
          <t xml:space="preserve">DIGITALIZACIÓNINTEGRACION SGL LICENCIAS CONDUCIR</t>
        </is>
      </c>
      <c r="C40" s="0" t="inlineStr">
        <is>
          <t xml:space="preserve">Publicada</t>
        </is>
      </c>
      <c r="D40" s="0" t="inlineStr">
        <is>
          <t xml:space="preserve">I MUNICIPALIDAD DE NUNOA</t>
        </is>
      </c>
      <c r="E40" s="0" t="inlineStr">
        <is>
          <t xml:space="preserve">SECPLANUNOA</t>
        </is>
      </c>
      <c r="F40" s="0" t="inlineStr">
        <is>
          <t xml:space="preserve">Región Metropolitana de Santiago</t>
        </is>
      </c>
      <c r="G40" s="0" t="inlineStr">
        <is>
          <t xml:space="preserve">Ñuñoa</t>
        </is>
      </c>
      <c r="H40" s="2">
        <v>46317.659491</v>
      </c>
      <c r="I40" s="2">
        <v>46328.625694</v>
      </c>
      <c r="J40" s="0">
        <v>8</v>
      </c>
      <c r="K40" s="3"/>
      <c r="L40" s="0" t="inlineStr">
        <is>
          <t xml:space="preserve">CLP</t>
        </is>
      </c>
      <c r="M40" s="0" t="inlineStr">
        <is>
          <t xml:space="preserve">LP</t>
        </is>
      </c>
      <c r="N40" s="4" t="inlineStr">
        <is>
          <t xml:space="preserve">Servicios basados en ingeniería, ciencias sociales y tecnología de la información / Servicios informáticos / Servicios de datos</t>
        </is>
      </c>
      <c r="O40" s="4" t="inlineStr">
        <is>
          <t xml:space="preserve">1 Global · Servicios de digitalización de documentos</t>
        </is>
      </c>
      <c r="P40" s="2"/>
      <c r="Q40" s="2"/>
      <c r="R40" s="0" t="inlineStr">
        <is>
          <t xml:space="preserve">12 meses</t>
        </is>
      </c>
      <c r="S40" s="0" t="inlineStr">
        <is>
          <t xml:space="preserve">No</t>
        </is>
      </c>
      <c r="T40" s="4"/>
      <c r="U40" s="0" t="inlineStr">
        <is>
          <t xml:space="preserve">Juan Pablo Jimenez</t>
        </is>
      </c>
      <c r="V40" s="4" t="inlineStr">
        <is>
          <t xml:space="preserve">Contratar un servicio integral para la digitalización, indexación, carga e integración al sistema SGL de CONASET de 150.000 carpetas del archivo histórico de licencias de conducir de la Municipalidad de Ñuñoa en un plazo máximo de 12
meses corridos.</t>
        </is>
      </c>
      <c r="W40" s="5" t="str">
        <f>HYPERLINK("https://www.mercadopublico.cl/Procurement/Modules/Attachment/ViewAttachment.aspx?enc=MBSzB1A%2fJbFKRQi9qafYbOOXbS%2fGuFhSyA8PQZZxuaiLp66nNs8nimjqVfPvRNzS36NKLC1bYRMS8buOSTtiEp1wKJxsUsqXcuMMBFO7KuP7l4l5rTxjSohPBlEvtuFBiULtFv3u3I2Mhq%2fBvY5b2qmkQqrP%2fQf60aOViQqkRl4gYqO47zCMpDyWpAbrurRVCpwmnc%2fRemKn8z3tqYCqo6I3QI2OCMmGhSZfSLA489lnuKr75yjKyPy2QsfVLw4u1ZMTt9ifVXdMKNzEjFhXh46R232hc%2fa4tSCGXFcly%2bT5%2bhiDwI4cnHhWsmJsM%2btY","descargar bases")</f>
      </c>
    </row>
    <row r="41">
      <c r="A41" s="0" t="inlineStr">
        <is>
          <t xml:space="preserve">5482-116-LE26</t>
        </is>
      </c>
      <c r="B41" s="4" t="inlineStr">
        <is>
          <t xml:space="preserve">SERVICIO INFORMÁTICO INTEGRAL LICENCIAS CONDUCIR</t>
        </is>
      </c>
      <c r="C41" s="0" t="inlineStr">
        <is>
          <t xml:space="preserve">Publicada</t>
        </is>
      </c>
      <c r="D41" s="0" t="inlineStr">
        <is>
          <t xml:space="preserve">I MUNICIPALIDAD DE NUNOA</t>
        </is>
      </c>
      <c r="E41" s="0" t="inlineStr">
        <is>
          <t xml:space="preserve">SECPLANUNOA</t>
        </is>
      </c>
      <c r="F41" s="0" t="inlineStr">
        <is>
          <t xml:space="preserve">Región Metropolitana de Santiago</t>
        </is>
      </c>
      <c r="G41" s="0" t="inlineStr">
        <is>
          <t xml:space="preserve">Ñuñoa</t>
        </is>
      </c>
      <c r="H41" s="2">
        <v>46317.721806</v>
      </c>
      <c r="I41" s="2">
        <v>46328.625694</v>
      </c>
      <c r="J41" s="0">
        <v>8</v>
      </c>
      <c r="K41" s="3"/>
      <c r="L41" s="0" t="inlineStr">
        <is>
          <t xml:space="preserve">CLP</t>
        </is>
      </c>
      <c r="M41" s="0" t="inlineStr">
        <is>
          <t xml:space="preserve">LE</t>
        </is>
      </c>
      <c r="N41" s="4" t="inlineStr">
        <is>
          <t xml:space="preserve">Tecnologías de la información, telecomunicaciones y radiodifusión / Equipos, plataformas y accesorios de redes multimedia, voz y datos / Equipos de servicio de red</t>
        </is>
      </c>
      <c r="O41" s="4" t="inlineStr">
        <is>
          <t xml:space="preserve">1 Global · Dispositivos de acceso de red digital de servicios integrados (RDSI)</t>
        </is>
      </c>
      <c r="P41" s="2"/>
      <c r="Q41" s="2"/>
      <c r="R41" s="0" t="inlineStr">
        <is>
          <t xml:space="preserve">13 meses</t>
        </is>
      </c>
      <c r="S41" s="0" t="inlineStr">
        <is>
          <t xml:space="preserve">No</t>
        </is>
      </c>
      <c r="T41" s="4"/>
      <c r="U41" s="0" t="inlineStr">
        <is>
          <t xml:space="preserve">Juan Pablo Jimenez</t>
        </is>
      </c>
      <c r="V41" s="4" t="inlineStr">
        <is>
          <t xml:space="preserve">Ejercer la función privativa de otorgamiento y renovación de Licencias de Conducir, conforme a lo establecido en la Resolución N° 64 del Ministerio de Transportes y Telecomunicaciones, de fecha 04 de agosto de 1986</t>
        </is>
      </c>
      <c r="W41" s="5" t="str">
        <f>HYPERLINK("https://www.mercadopublico.cl/Procurement/Modules/Attachment/ViewAttachment.aspx?enc=tqCHfTd0HR9LRZeynpY63g6c1yk609q65mwLWxrdA9fgA5PfECzWczLZvEV6nIn0vLsIzIcuEgxnkc0XWH98LY9w72uq5Oy4IPLCp1eCks3DlNLJwBIMyqL1ynia0bYf0KTspF9JMtEW5jlA%2bMU4vOglPtKi0dN67v%2bawJCS7cj%2fcMSV0Ofc59mugdEALTfzBQ7wg1n4eWwyk%2b8QkvSipNoeHDxkbVbRf2qLLFcJ%2b05%2fmVk%2bqNNNdu5SsFaeueWkmgjny5B4C0bExkG2rUzaxn%2b0e37uPCqyC08hx28APGovslN1dg7kffjSkoXQiXo%2b","descargar bases")</f>
      </c>
    </row>
    <row r="42">
      <c r="A42" s="0" t="inlineStr">
        <is>
          <t xml:space="preserve">2446-315-LE26</t>
        </is>
      </c>
      <c r="B42" s="4" t="inlineStr">
        <is>
          <t xml:space="preserve">ADQUISICIÓN DE LICENCIAS DE SOFTWARE INSTITUCIONAL</t>
        </is>
      </c>
      <c r="C42" s="0" t="inlineStr">
        <is>
          <t xml:space="preserve">Publicada</t>
        </is>
      </c>
      <c r="D42" s="0" t="inlineStr">
        <is>
          <t xml:space="preserve">I MUNICIPALIDAD DE COQUIMBO</t>
        </is>
      </c>
      <c r="E42" s="0" t="inlineStr">
        <is>
          <t xml:space="preserve">IMUNI_COQUIMBO</t>
        </is>
      </c>
      <c r="F42" s="0" t="inlineStr">
        <is>
          <t xml:space="preserve">Región de Coquimbo </t>
        </is>
      </c>
      <c r="G42" s="0" t="inlineStr">
        <is>
          <t xml:space="preserve">Coquimbo</t>
        </is>
      </c>
      <c r="H42" s="2">
        <v>46312.805787</v>
      </c>
      <c r="I42" s="2">
        <v>46328.625694</v>
      </c>
      <c r="J42" s="0">
        <v>8</v>
      </c>
      <c r="K42" s="3">
        <v>19200000.0</v>
      </c>
      <c r="L42" s="0" t="inlineStr">
        <is>
          <t xml:space="preserve">CLP</t>
        </is>
      </c>
      <c r="M42" s="0" t="inlineStr">
        <is>
          <t xml:space="preserve">LE</t>
        </is>
      </c>
      <c r="N42" s="4" t="inlineStr">
        <is>
          <t xml:space="preserve">Tecnologías de la información, telecomunicaciones y radiodifusión / Software / Software de gestión</t>
        </is>
      </c>
      <c r="O42" s="4" t="inlineStr">
        <is>
          <t xml:space="preserve">1 Global · Paquetes de software para oficinas · 1 Global · Paquetes de software para oficinas · 1 Global · Paquetes de software para oficinas · y 2 más</t>
        </is>
      </c>
      <c r="P42" s="2"/>
      <c r="Q42" s="2"/>
      <c r="R42" s="0" t="inlineStr">
        <is>
          <t xml:space="preserve">7 días</t>
        </is>
      </c>
      <c r="S42" s="0" t="inlineStr">
        <is>
          <t xml:space="preserve">No</t>
        </is>
      </c>
      <c r="T42" s="4"/>
      <c r="U42" s="0" t="inlineStr">
        <is>
          <t xml:space="preserve">Felipe Alegre Monroy</t>
        </is>
      </c>
      <c r="V42" s="4" t="inlineStr">
        <is>
          <t xml:space="preserve">Se requiere licitar la adquisición de adquisición de licencias de software para gestión audiovisual, soporte tecnológico, análisis de datos e inteligencia artificial, según lo solicitado en las presentes Bases Administrativas y Especificaciones Técnicas.</t>
        </is>
      </c>
      <c r="W42" s="5" t="str">
        <f>HYPERLINK("https://www.mercadopublico.cl/Procurement/Modules/Attachment/ViewAttachment.aspx?enc=7kjzrZLYdxl%2fG89kXagzkjJwtZuxXlbJFmbe5icSsaBO1ZRqoIfVGjWSdsv61vQGckcIXSZrpbgmvomAqakM3BUwHWYglsrRMrUuLuNrMCWbL0DjFblehfhaiN541cV3HDOa81xZrnBIMwghodqQzaQMJsNvi2m0zrpysJyuz%2bqun8Un8q767qO8EGHyfkEE%2fMBYgJwQ%2fphnSAQUxiSeLCluAKtTdq0uhEmW7Om3VxeiQvHs2INpCnEEP9EheeG93Qb%2fhPkrcoK8qcQUiiIVkWsO587gcHNogtj3ToCZq6v9intv4wqak42Q0qnvinFo","descargar bases")</f>
      </c>
    </row>
    <row r="43">
      <c r="A43" s="0" t="inlineStr">
        <is>
          <t xml:space="preserve">2563-43-LP26</t>
        </is>
      </c>
      <c r="B43" s="4" t="inlineStr">
        <is>
          <t xml:space="preserve">Adquisición de cámaras IA y radares de seguridad</t>
        </is>
      </c>
      <c r="C43" s="0" t="inlineStr">
        <is>
          <t xml:space="preserve">Publicada</t>
        </is>
      </c>
      <c r="D43" s="0" t="inlineStr">
        <is>
          <t xml:space="preserve">DIRECCION GENERAL DE AERONAUTICA CIVIL</t>
        </is>
      </c>
      <c r="E43" s="0" t="inlineStr">
        <is>
          <t xml:space="preserve">UNIDAD DE COMPRA CONTRATOS NACIONALES</t>
        </is>
      </c>
      <c r="F43" s="0" t="inlineStr">
        <is>
          <t xml:space="preserve">Región Metropolitana de Santiago</t>
        </is>
      </c>
      <c r="G43" s="0" t="inlineStr">
        <is>
          <t xml:space="preserve">Providencia</t>
        </is>
      </c>
      <c r="H43" s="2">
        <v>46293.538194</v>
      </c>
      <c r="I43" s="2">
        <v>46328.625694</v>
      </c>
      <c r="J43" s="0">
        <v>8</v>
      </c>
      <c r="K43" s="3">
        <v>192000000.0</v>
      </c>
      <c r="L43" s="0" t="inlineStr">
        <is>
          <t xml:space="preserve">CLP</t>
        </is>
      </c>
      <c r="M43" s="0" t="inlineStr">
        <is>
          <t xml:space="preserve">LP</t>
        </is>
      </c>
      <c r="N43" s="4" t="inlineStr">
        <is>
          <t xml:space="preserve">Equipos y suministros de defensa, orden público, protección y seguridad / Seguridad, vigilancia y detección / Equipo de vigilancia y detección</t>
        </is>
      </c>
      <c r="O43" s="4" t="inlineStr">
        <is>
          <t xml:space="preserve">2 Unidad · Cámaras de seguridad · 2 Unidad · Cámaras de seguridad · 1 Unidad · Cámaras de seguridad · y 13 más</t>
        </is>
      </c>
      <c r="P43" s="2"/>
      <c r="Q43" s="2"/>
      <c r="R43" s="0"/>
      <c r="S43" s="0" t="inlineStr">
        <is>
          <t xml:space="preserve">No</t>
        </is>
      </c>
      <c r="T43" s="4"/>
      <c r="U43" s="0" t="inlineStr">
        <is>
          <t xml:space="preserve">Javier Pacheco</t>
        </is>
      </c>
      <c r="V4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43" s="5" t="str">
        <f>HYPERLINK("https://www.mercadopublico.cl/Procurement/Modules/Attachment/ViewAttachment.aspx?enc=O3MfeQmIexn%2bxuscH4pkcAWbG%2bh5csFOzw8lZgxqFc0X3R2yLX3kBV7JSnYik8ZUounOhnv4HJSWwA%2fYGMjje5smdyvG0%2bZ7gnbrNxv4LsJeaqqNN6CKXW7zUkeLkHHH8OzusXt3xwgRmrGypJTqzcgTFx1L9a5T88i0BGqiuYV8sHYboAq2J0Oqj72aQSkxCC0m1%2f6aE80Bi0kwhJGX0wuNyXFC0U8g%2btSMnGSSpn7aWXDhRQVfjAg43BnJyR4u2k4r3vMdDoBXN1PgOYRM5nHpj8oydUVk0Mxc84GjqNPjj1MJDEKTqOMXAVxjBnyl","descargar bases")</f>
      </c>
    </row>
    <row r="44">
      <c r="A44" s="0" t="inlineStr">
        <is>
          <t xml:space="preserve">587-47-LE26</t>
        </is>
      </c>
      <c r="B44" s="4" t="inlineStr">
        <is>
          <t xml:space="preserve">RENOVACIÓN DE LICENCIAS DE SOFTWARE</t>
        </is>
      </c>
      <c r="C44" s="0" t="inlineStr">
        <is>
          <t xml:space="preserve">Publicada</t>
        </is>
      </c>
      <c r="D44" s="0" t="inlineStr">
        <is>
          <t xml:space="preserve">SUBSECRETARIA DEL MINISTERIO DE LA VIVIENDA Y URBANISMO</t>
        </is>
      </c>
      <c r="E44" s="0" t="inlineStr">
        <is>
          <t xml:space="preserve">Ministerio de Vivienda y Urbanismo(766)</t>
        </is>
      </c>
      <c r="F44" s="0" t="inlineStr">
        <is>
          <t xml:space="preserve">Región Metropolitana de Santiago</t>
        </is>
      </c>
      <c r="G44" s="0"/>
      <c r="H44" s="2">
        <v>46302.47669</v>
      </c>
      <c r="I44" s="2">
        <v>46328.631944</v>
      </c>
      <c r="J44" s="0">
        <v>8</v>
      </c>
      <c r="K44" s="3">
        <v>52000.0</v>
      </c>
      <c r="L44" s="0" t="inlineStr">
        <is>
          <t xml:space="preserve">USD</t>
        </is>
      </c>
      <c r="M44" s="0" t="inlineStr">
        <is>
          <t xml:space="preserve">LE</t>
        </is>
      </c>
      <c r="N44" s="4" t="inlineStr">
        <is>
          <t xml:space="preserve">Tecnologías de la información, telecomunicaciones y radiodifusión / Software / Software de gestión</t>
        </is>
      </c>
      <c r="O44" s="4" t="inlineStr">
        <is>
          <t xml:space="preserve">12 Unidad · Software de gestión de licencias</t>
        </is>
      </c>
      <c r="P44" s="2"/>
      <c r="Q44" s="2"/>
      <c r="R44" s="0" t="inlineStr">
        <is>
          <t xml:space="preserve">12 meses</t>
        </is>
      </c>
      <c r="S44" s="0" t="inlineStr">
        <is>
          <t xml:space="preserve">No</t>
        </is>
      </c>
      <c r="T44" s="4" t="inlineStr">
        <is>
          <t xml:space="preserve">NO PERMITE SUBCONTRATACIÓN VER PUNTO 1.13.5.7. “SUBCONTRATACIÓN” DE LAS BASES ADMINISTRATIVAS.</t>
        </is>
      </c>
      <c r="U44" s="0" t="inlineStr">
        <is>
          <t xml:space="preserve">Adrian Muñoz Brevis</t>
        </is>
      </c>
      <c r="V44"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44" s="5" t="str">
        <f>HYPERLINK("https://www.mercadopublico.cl/Procurement/Modules/Attachment/ViewAttachment.aspx?enc=5Yj9mElx2iTMkd3fN3qi1DGjrsDn9QmAsptWeJU4GUo3SJZHP9BA3LrEgrtuTVn0%2b6zr7nHTHPIZ6rhS8uD%2bh0kw4VLgfHWLRXMOeYRn6UN18TAAlSGi%2fngoFrCC139DFA0jA0rX03VRey6jFyeKH0FXUiaiR6L08ObJ%2bI00CdcdQdvCviZum9JjJUUaQqkRjL1EoUkl2T5zgPZT%2bYHtiNSoisWRQbPyVgiN87TLLNKHiHTU45Nz9R6Jw3d%2fD2eRcZeajVhTCX5vhKrxBTN0k3PlkC7STLeI%2ftFTs56nLuNSWr%2fZ5JhoLw87fbwd9q70","descargar bases")</f>
      </c>
    </row>
    <row r="45">
      <c r="A45" s="0" t="inlineStr">
        <is>
          <t xml:space="preserve">1461054-45-LP26</t>
        </is>
      </c>
      <c r="B45" s="4" t="inlineStr">
        <is>
          <t xml:space="preserve">PLATAFORMA DE GESTIÓN EDUCACIONAL PARA 77 E.E</t>
        </is>
      </c>
      <c r="C45" s="0" t="inlineStr">
        <is>
          <t xml:space="preserve">Publicada</t>
        </is>
      </c>
      <c r="D45" s="0" t="inlineStr">
        <is>
          <t xml:space="preserve">SERVICIO LOCAL DE EDUCACIÓN PÚBLICA DEL ELQUI</t>
        </is>
      </c>
      <c r="E45" s="0" t="inlineStr">
        <is>
          <t xml:space="preserve">P02 Establecimientos Educacionales</t>
        </is>
      </c>
      <c r="F45" s="0" t="inlineStr">
        <is>
          <t xml:space="preserve">Región de Coquimbo </t>
        </is>
      </c>
      <c r="G45" s="0" t="inlineStr">
        <is>
          <t xml:space="preserve">La Serena</t>
        </is>
      </c>
      <c r="H45" s="2">
        <v>46288.638889</v>
      </c>
      <c r="I45" s="2">
        <v>46328.645833</v>
      </c>
      <c r="J45" s="0">
        <v>8</v>
      </c>
      <c r="K45" s="3">
        <v>290234736.0</v>
      </c>
      <c r="L45" s="0" t="inlineStr">
        <is>
          <t xml:space="preserve">CLP</t>
        </is>
      </c>
      <c r="M45" s="0" t="inlineStr">
        <is>
          <t xml:space="preserve">LP</t>
        </is>
      </c>
      <c r="N45" s="4" t="inlineStr">
        <is>
          <t xml:space="preserve">Tecnologías de la información, telecomunicaciones y radiodifusión / Software / Software de consultas y gestión de datos</t>
        </is>
      </c>
      <c r="O45" s="4" t="inlineStr">
        <is>
          <t xml:space="preserve">1 Unidad · Software del sistema de administración de bases de datos</t>
        </is>
      </c>
      <c r="P45" s="2"/>
      <c r="Q45" s="2"/>
      <c r="R45" s="0" t="inlineStr">
        <is>
          <t xml:space="preserve">36 meses</t>
        </is>
      </c>
      <c r="S45" s="0" t="inlineStr">
        <is>
          <t xml:space="preserve">No</t>
        </is>
      </c>
      <c r="T45"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5" s="0" t="inlineStr">
        <is>
          <t xml:space="preserve">Francisca Pérez García</t>
        </is>
      </c>
      <c r="V45"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45" s="5" t="str">
        <f>HYPERLINK("https://www.mercadopublico.cl/Procurement/Modules/Attachment/ViewAttachment.aspx?enc=NeJNKLin926AK1fL7S%2boyo5IJms1dk%2bMc%2fwwBx7qr6ukHk8VWC64KEyeAj4BByaz9e%2fDZ9lE7hGbKYKeYlkEMoZD6BNtx5PZkRZgohzWh%2bpcoeSe%2fUH5KeHwFUoMCqo%2bbJQa3KUBPcn06HvdiVP%2bB5dM%2feBBW5xEuWkixexcV%2b9WMyc7%2bQTG4s2JpWqR71iZbGQHGuFyyurcfj4R2zcj%2fFriqvXGHRopK%2bKgbKp%2bwonRg7tnp7uprqlUPrMX5rNdOL6C07b5OP294jhe0ZOis0uc65WY3ZDF7uvN%2fQ28ihnJNi5AipkahAlV739Cc447","descargar bases")</f>
      </c>
    </row>
    <row r="46">
      <c r="A46" s="0" t="inlineStr">
        <is>
          <t xml:space="preserve">2107-164-LE26</t>
        </is>
      </c>
      <c r="B46" s="4" t="inlineStr">
        <is>
          <t xml:space="preserve">ARRIENDO DE TOTEMS AUTOADMINISTRADOS PARA HSC</t>
        </is>
      </c>
      <c r="C46" s="0" t="inlineStr">
        <is>
          <t xml:space="preserve">Publicada</t>
        </is>
      </c>
      <c r="D46" s="0" t="inlineStr">
        <is>
          <t xml:space="preserve">SERVICIO DE SALUD HOSPITAL DE SANTA CRUZ</t>
        </is>
      </c>
      <c r="E46" s="0" t="inlineStr">
        <is>
          <t xml:space="preserve">Hospital de Santa Cruz</t>
        </is>
      </c>
      <c r="F46" s="0" t="inlineStr">
        <is>
          <t xml:space="preserve">Región del Libertador General Bernardo O´Higgins</t>
        </is>
      </c>
      <c r="G46" s="0" t="inlineStr">
        <is>
          <t xml:space="preserve">Santa Cruz</t>
        </is>
      </c>
      <c r="H46" s="2">
        <v>46315.382361</v>
      </c>
      <c r="I46" s="2">
        <v>46328.645833</v>
      </c>
      <c r="J46" s="0">
        <v>8</v>
      </c>
      <c r="K46" s="3"/>
      <c r="L46" s="0" t="inlineStr">
        <is>
          <t xml:space="preserve">CLP</t>
        </is>
      </c>
      <c r="M46" s="0" t="inlineStr">
        <is>
          <t xml:space="preserve">LE</t>
        </is>
      </c>
      <c r="N46" s="4" t="inlineStr">
        <is>
          <t xml:space="preserve">Tecnologías de la información, telecomunicaciones y radiodifusión / Equipos informáticos y accesorios / Computadores</t>
        </is>
      </c>
      <c r="O46" s="4" t="inlineStr">
        <is>
          <t xml:space="preserve">36 Mes · Servidores de gama alta · 2000 Unidad · Servidores de gama alta</t>
        </is>
      </c>
      <c r="P46" s="2"/>
      <c r="Q46" s="2"/>
      <c r="R46" s="0" t="inlineStr">
        <is>
          <t xml:space="preserve">36 meses</t>
        </is>
      </c>
      <c r="S46" s="0" t="inlineStr">
        <is>
          <t xml:space="preserve">No</t>
        </is>
      </c>
      <c r="T46" s="4"/>
      <c r="U46" s="0" t="inlineStr">
        <is>
          <t xml:space="preserve">Nicolás Salgado Marín</t>
        </is>
      </c>
      <c r="V46" s="4" t="inlineStr">
        <is>
          <t xml:space="preserve">ARRIENDO DE TOTEMS AUTOADMINISTRADOS PARA HSC</t>
        </is>
      </c>
      <c r="W46" s="5" t="str">
        <f>HYPERLINK("https://www.mercadopublico.cl/Procurement/Modules/Attachment/ViewAttachment.aspx?enc=Amt0jd9AtHh%2fkKF9Mufra5ZCg2P8gCFi76Iob%2fNVzQTDRkVRAqtFWLZqINU5fhyedYdxU0CR0r4E0eCUHU141CdW8CpSnxo7cXDLPDJWBMAHtzm49qylmbtvQa1j%2fNMkyfYbG60tmcbFJumjezmUAblmjOefU%2ffEYb73xK0wlQwHR4MJymY1YaCXCnBY%2bR0lJLaSx0NGHcuIC9zy659cB8EzbhfSB1zGqq7apU8hlmr3fDJ7WENYj1k18%2bXx%2fJbvZWLhPZ6sns8%2fC6Gf90iqjicYI7QCwoRjYCmAgX4DKFLj4WyqKP4WVYU2ClLtdrBm","descargar bases")</f>
      </c>
    </row>
    <row r="47">
      <c r="A47" s="0" t="inlineStr">
        <is>
          <t xml:space="preserve">1247197-81-LE26</t>
        </is>
      </c>
      <c r="B47" s="4" t="inlineStr">
        <is>
          <t xml:space="preserve">SOFTWARE PARA FARMACIAS COMUNALES RES. 556</t>
        </is>
      </c>
      <c r="C47" s="0" t="inlineStr">
        <is>
          <t xml:space="preserve">Publicada</t>
        </is>
      </c>
      <c r="D47" s="0" t="inlineStr">
        <is>
          <t xml:space="preserve">CORP MUNICIPAL DE CONCHALI DE EDUCACION SALUD Y ATENCION DE MENORES</t>
        </is>
      </c>
      <c r="E47" s="0" t="inlineStr">
        <is>
          <t xml:space="preserve">Planificación</t>
        </is>
      </c>
      <c r="F47" s="0" t="inlineStr">
        <is>
          <t xml:space="preserve">Región Metropolitana de Santiago</t>
        </is>
      </c>
      <c r="G47" s="0" t="inlineStr">
        <is>
          <t xml:space="preserve">Conchalí</t>
        </is>
      </c>
      <c r="H47" s="2">
        <v>46317.403877</v>
      </c>
      <c r="I47" s="2">
        <v>46328.646528</v>
      </c>
      <c r="J47" s="0">
        <v>8</v>
      </c>
      <c r="K47" s="3">
        <v>11352600.0</v>
      </c>
      <c r="L47" s="0" t="inlineStr">
        <is>
          <t xml:space="preserve">CLP</t>
        </is>
      </c>
      <c r="M47" s="0" t="inlineStr">
        <is>
          <t xml:space="preserve">LE</t>
        </is>
      </c>
      <c r="N47" s="4" t="inlineStr">
        <is>
          <t xml:space="preserve">Tecnologías de la información, telecomunicaciones y radiodifusión / Software / Software de administración de redes</t>
        </is>
      </c>
      <c r="O47" s="4" t="inlineStr">
        <is>
          <t xml:space="preserve">1 Unidad · Software de administración</t>
        </is>
      </c>
      <c r="P47" s="2"/>
      <c r="Q47" s="2"/>
      <c r="R47" s="0" t="inlineStr">
        <is>
          <t xml:space="preserve">24 meses</t>
        </is>
      </c>
      <c r="S47" s="0" t="inlineStr">
        <is>
          <t xml:space="preserve">No</t>
        </is>
      </c>
      <c r="T47" s="4" t="inlineStr">
        <is>
          <t xml:space="preserve">El proveedor no podrá ceder ni transferir, total ni parcialmente, los derechos y obligaciones del contrato, sin perjuicio de la transferencia de créditos conforme a las reglas generales art. 14 de la ley N°19.886; art. 126 del Reglamento.</t>
        </is>
      </c>
      <c r="U47" s="0" t="inlineStr">
        <is>
          <t xml:space="preserve">Alisson Montecinos</t>
        </is>
      </c>
      <c r="V47" s="4" t="inlineStr">
        <is>
          <t xml:space="preserve">La Corporación de Educación, Salud y Atención de Menores de la Comuna de Conchalí CORESAM llama a licitación pública para contratar el servicio de un software de gestión farmacéutica para las dos Farmacias Comunales de Conchalí, en modalidad de servicio suscripción. El servicio incluye la implementación, la migración de los datos del sistema actual, la capacitación, el alojamiento externo de los datos, el soporte, las actualizaciones y la entrega íntegra de los datos al término del contrato.
El software debe permitir la gestión y el control de pacientes, dispensación y venta, compras, inventario por lote y vencimiento, caja, fraccionamiento y reportes, conforme a los requisitos mínimos de las Bases Técnicas. La CORESAM no adquiere la propiedad del software; los datos que se registren son de su exclusiva propiedad.
El servicio es requerido por la Dirección de Salud de la CORESAM para asegurar la trazabilidad de los medicamentos, el control de stock y de caja y el registro de las dispensaciones de las Farmacias Comunales. 
La licitación se adjudicará en forma total a un solo oferente.</t>
        </is>
      </c>
      <c r="W47" s="5" t="str">
        <f>HYPERLINK("https://www.mercadopublico.cl/Procurement/Modules/Attachment/ViewAttachment.aspx?enc=lQHFNqYpkJbMwuIW2Wp8CJTwW0nVs8KBDS15UTen3ezYlaGrhNRl0h%2bN68cSb91eMlLB4PRIHJfrQUwPaBk5ta%2fArD%2fHdVdowGRAExoOfQrRc6XsLWpMY0PX1%2fQIYkJ9QMltZmUjGZMwP8pRSlyeLNpBT6TzOPBAV9%2bQ2KcoZH2MSTA2s%2bUFUVLkQRxkhNje3xrnsBvSwIeJFioGoC2lWhT2kzPnMe6GLEHtX0WF16dhsB1lbKAAAMcLE7viaqVg5yMXyyACd8tqa8eMjvr6G%2bR8uzKgiIHvfUdpWYwX6kwhpy4iikFN5cXNK8nO3Pn5","descargar bases")</f>
      </c>
    </row>
    <row r="48">
      <c r="A48" s="0" t="inlineStr">
        <is>
          <t xml:space="preserve">519302-9-LE26</t>
        </is>
      </c>
      <c r="B48" s="4" t="inlineStr">
        <is>
          <t xml:space="preserve">DISEÑO IMPLEMENTACIÓN MEDICION MARKETING DIGITAL</t>
        </is>
      </c>
      <c r="C48" s="0" t="inlineStr">
        <is>
          <t xml:space="preserve">Publicada</t>
        </is>
      </c>
      <c r="D48" s="0" t="inlineStr">
        <is>
          <t xml:space="preserve">INSTITUTO NACIONAL DE PROPIEDAD INDUSTRIAL</t>
        </is>
      </c>
      <c r="E48" s="0" t="inlineStr">
        <is>
          <t xml:space="preserve">Servicios Generales</t>
        </is>
      </c>
      <c r="F48" s="0" t="inlineStr">
        <is>
          <t xml:space="preserve">Región Metropolitana de Santiago</t>
        </is>
      </c>
      <c r="G48" s="0" t="inlineStr">
        <is>
          <t xml:space="preserve">Santiago</t>
        </is>
      </c>
      <c r="H48" s="2">
        <v>46304.665139</v>
      </c>
      <c r="I48" s="2">
        <v>46328.666667</v>
      </c>
      <c r="J48" s="0">
        <v>8</v>
      </c>
      <c r="K48" s="3"/>
      <c r="L48" s="0" t="inlineStr">
        <is>
          <t xml:space="preserve">CLP</t>
        </is>
      </c>
      <c r="M48" s="0" t="inlineStr">
        <is>
          <t xml:space="preserve">LE</t>
        </is>
      </c>
      <c r="N48" s="4" t="inlineStr">
        <is>
          <t xml:space="preserve">Servicios profesionales, administrativos y consultorías de gestión empresarial / Servicios para la comercialización y distribución / Ventas y marketing</t>
        </is>
      </c>
      <c r="O48" s="4" t="inlineStr">
        <is>
          <t xml:space="preserve">1 Unidad · Campañas publicitarias o de marketing</t>
        </is>
      </c>
      <c r="P48" s="2"/>
      <c r="Q48" s="2"/>
      <c r="R48" s="0" t="inlineStr">
        <is>
          <t xml:space="preserve">3 meses</t>
        </is>
      </c>
      <c r="S48" s="0" t="inlineStr">
        <is>
          <t xml:space="preserve">No</t>
        </is>
      </c>
      <c r="T48" s="4"/>
      <c r="U48" s="0" t="inlineStr">
        <is>
          <t xml:space="preserve">Francisco Carrasco Ramírez</t>
        </is>
      </c>
      <c r="V48"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48" s="5" t="str">
        <f>HYPERLINK("https://www.mercadopublico.cl/Procurement/Modules/Attachment/ViewAttachment.aspx?enc=2DbOshn2pA2N%2fqWRsTTHZx5YW%2f4R8cAUiFAO8o%2b7vq0gJL00lCgsphpqOe6RXUhKBfTplChMR40XwhEdt7cBj1JpniNtV8Qyoag870K8H9diavtz59pPBxezBu5kBEVLeDr%2bHQYbXwUOtqTnqXtCU36m7hB1WSgYeEGD095L2EQeTWqmrJS3%2foHqd%2fYmR%2fPuM98O3lxnmrxCNqJyd8YFsCcdCqYlVpCUpvzZdtmSfHQUSdUR8xCDP2YgijT2B2honkuHOKKzOiKIGWWH8lVQ5SFfq8c9iZSv%2fLKMOWsjyNEQpQDkM9dx4zftjkv4fRIg","descargar bases")</f>
      </c>
    </row>
    <row r="49">
      <c r="A49" s="0" t="inlineStr">
        <is>
          <t xml:space="preserve">621-909-LR26</t>
        </is>
      </c>
      <c r="B49" s="4" t="inlineStr">
        <is>
          <t xml:space="preserve">TERMOGRAFO DIGITAL MONITOREO TEMPERATURA 1000023277</t>
        </is>
      </c>
      <c r="C49" s="0" t="inlineStr">
        <is>
          <t xml:space="preserve">Publicada</t>
        </is>
      </c>
      <c r="D49" s="0" t="inlineStr">
        <is>
          <t xml:space="preserve">CENTRAL DE ABASTECIMIENTO DEL SISTEMA NACIONAL DE SERVICIO DE SALUD</t>
        </is>
      </c>
      <c r="E49" s="0" t="inlineStr">
        <is>
          <t xml:space="preserve">Compras del Giro 621</t>
        </is>
      </c>
      <c r="F49" s="0" t="inlineStr">
        <is>
          <t xml:space="preserve">Región Metropolitana de Santiago</t>
        </is>
      </c>
      <c r="G49" s="0" t="inlineStr">
        <is>
          <t xml:space="preserve">Santiago Centro</t>
        </is>
      </c>
      <c r="H49" s="2">
        <v>46297.536181</v>
      </c>
      <c r="I49" s="2">
        <v>46328.666667</v>
      </c>
      <c r="J49" s="0">
        <v>8</v>
      </c>
      <c r="K49" s="3">
        <v>533715000.0</v>
      </c>
      <c r="L49" s="0" t="inlineStr">
        <is>
          <t xml:space="preserve">CLP</t>
        </is>
      </c>
      <c r="M49" s="0" t="inlineStr">
        <is>
          <t xml:space="preserve">LR</t>
        </is>
      </c>
      <c r="N49" s="4" t="inlineStr">
        <is>
          <t xml:space="preserve">Equipamiento para laboratorios / Instrumentos de medida y experimentación / Instrumentos para medir temperatura y calor</t>
        </is>
      </c>
      <c r="O49" s="4" t="inlineStr">
        <is>
          <t xml:space="preserve">3000 Unidad · Termómetros de tele indicación</t>
        </is>
      </c>
      <c r="P49" s="2"/>
      <c r="Q49" s="2"/>
      <c r="R49" s="0" t="inlineStr">
        <is>
          <t xml:space="preserve">14 meses</t>
        </is>
      </c>
      <c r="S49" s="0" t="inlineStr">
        <is>
          <t xml:space="preserve">No</t>
        </is>
      </c>
      <c r="T49" s="4"/>
      <c r="U49" s="0" t="inlineStr">
        <is>
          <t xml:space="preserve">Gisela Teresa Castro Gomez</t>
        </is>
      </c>
      <c r="V49"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49" s="5" t="str">
        <f>HYPERLINK("https://www.mercadopublico.cl/Procurement/Modules/Attachment/ViewAttachment.aspx?enc=eEcb42cc08Qxo3IbTEpwoQSQv5jfVEVAw%2fj1x5WrgBwGmH%2b12loeb6CaeVYvOKELct0KXzcMUaUxWeE8MH9kklive6NYdaXDZh8L6ZDAV05ZGsO5F9oszR%2fGlTUUI2g7LaAx5IN7%2bISPF%2fxX7RSpxaGoZSJkQpgcPjoNe6Vgm3ZQHiOKslbwIUqzBVLOElqKXMSC4yjs7exRMBfSCat8IEZo04sisH7C7wt%2bMl41UUP2y%2fgP5%2bOOqq9Om9RU44FGnzhmYRqLWaKH4Hr1cSmJcrsYRRc1vfqN2b%2fLf3UG23f4tOVz0wKoynTFQX5UeLjJ","descargar bases")</f>
      </c>
    </row>
    <row r="50">
      <c r="A50" s="0" t="inlineStr">
        <is>
          <t xml:space="preserve">1389183-69-LE26</t>
        </is>
      </c>
      <c r="B50" s="4" t="inlineStr">
        <is>
          <t xml:space="preserve">EQUIPOS INFORMATICOS PARA LICEOS TP</t>
        </is>
      </c>
      <c r="C50" s="0" t="inlineStr">
        <is>
          <t xml:space="preserve">Publicada</t>
        </is>
      </c>
      <c r="D50" s="0" t="inlineStr">
        <is>
          <t xml:space="preserve">SERVICIO LOCAL DE EDUCACIÓN PÚBLICA DE ANDALIÉN COSTA</t>
        </is>
      </c>
      <c r="E50" s="0" t="inlineStr">
        <is>
          <t xml:space="preserve">SERVICIO EDUCATIVO ANDALIEN COSTA</t>
        </is>
      </c>
      <c r="F50" s="0" t="inlineStr">
        <is>
          <t xml:space="preserve">Región del Biobío </t>
        </is>
      </c>
      <c r="G50" s="0" t="inlineStr">
        <is>
          <t xml:space="preserve">Coronel</t>
        </is>
      </c>
      <c r="H50" s="2">
        <v>46316.435405</v>
      </c>
      <c r="I50" s="2">
        <v>46328.708333</v>
      </c>
      <c r="J50" s="0">
        <v>8</v>
      </c>
      <c r="K50" s="3">
        <v>38589789.0</v>
      </c>
      <c r="L50" s="0" t="inlineStr">
        <is>
          <t xml:space="preserve">CLP</t>
        </is>
      </c>
      <c r="M50" s="0" t="inlineStr">
        <is>
          <t xml:space="preserve">LE</t>
        </is>
      </c>
      <c r="N50" s="4" t="inlineStr">
        <is>
          <t xml:space="preserve">Tecnologías de la información, telecomunicaciones y radiodifusión / Equipos informáticos y accesorios / Computadores</t>
        </is>
      </c>
      <c r="O50" s="4" t="inlineStr">
        <is>
          <t xml:space="preserve">1 Unidad · Notebook, laptop o computador portátil excepto Tablet PC · 1 Unidad · Notebook, laptop o computador portátil excepto Tablet PC · 1 Unidad · Notebook, laptop o computador portátil excepto Tablet PC · y 2 más</t>
        </is>
      </c>
      <c r="P50" s="2"/>
      <c r="Q50" s="2"/>
      <c r="R50" s="0"/>
      <c r="S50" s="0" t="inlineStr">
        <is>
          <t xml:space="preserve">No</t>
        </is>
      </c>
      <c r="T50" s="4"/>
      <c r="U50" s="0" t="inlineStr">
        <is>
          <t xml:space="preserve">Ingrid Cortes</t>
        </is>
      </c>
      <c r="V50" s="4" t="inlineStr">
        <is>
          <t xml:space="preserve">EQUIPOS INFORMATICOS PARA LICEOS TP</t>
        </is>
      </c>
      <c r="W50" s="5" t="str">
        <f>HYPERLINK("https://www.mercadopublico.cl/Procurement/Modules/Attachment/ViewAttachment.aspx?enc=D9euBDSEjXQzkmhGtQWZEOZ%2bQkpdVEVYT%2fKN6vPIIFSWou1yoJdxEHUHgFFxbi3JMenKW10vMPP9lyfWqN%2f0VmFvCT8DolRYP%2fmxeaq%2bYwrXxW%2f31CRxU7G6UOG5wZYuZhHh3pJ8%2bzEQirQ3lasJ6FenxjT9%2b%2b7poWS%2fyOE0O%2f9gI04OFNWmS%2fQfdRpkMyVQayJWsXkc7PUELBtyOehyxMbZvSrfl8EQ59723F2h6Dkw7mig%2bV2pZiQ%2f%2bdLobXRe4KoySQ7J6q9s4G4WKs2XGSWDMlKcm76IAWVSL502RwUTqCyGfEBVdDcr%2b1HvKClW","descargar bases")</f>
      </c>
    </row>
    <row r="51">
      <c r="A51" s="0" t="inlineStr">
        <is>
          <t xml:space="preserve">1499-200-LE26</t>
        </is>
      </c>
      <c r="B51" s="4" t="inlineStr">
        <is>
          <t xml:space="preserve">RBV SERVICIO DE OPERADORA VIRTUAL IVR CON INTELIGENCIA ARTIFICIAL CONVERSACIONAL</t>
        </is>
      </c>
      <c r="C51" s="0" t="inlineStr">
        <is>
          <t xml:space="preserve">Publicada</t>
        </is>
      </c>
      <c r="D51" s="0" t="inlineStr">
        <is>
          <t xml:space="preserve">INSTITUTO NACIONAL DEL TORAX</t>
        </is>
      </c>
      <c r="E51" s="0" t="inlineStr">
        <is>
          <t xml:space="preserve">INSTITUTO NACIONAL DEL TORAX</t>
        </is>
      </c>
      <c r="F51" s="0" t="inlineStr">
        <is>
          <t xml:space="preserve">Región Metropolitana de Santiago</t>
        </is>
      </c>
      <c r="G51" s="0" t="inlineStr">
        <is>
          <t xml:space="preserve">Providencia</t>
        </is>
      </c>
      <c r="H51" s="2">
        <v>46318.682396</v>
      </c>
      <c r="I51" s="2">
        <v>46328.708333</v>
      </c>
      <c r="J51" s="0">
        <v>8</v>
      </c>
      <c r="K51" s="3">
        <v>8000000.0</v>
      </c>
      <c r="L51" s="0" t="inlineStr">
        <is>
          <t xml:space="preserve">CLP</t>
        </is>
      </c>
      <c r="M51" s="0" t="inlineStr">
        <is>
          <t xml:space="preserve">LE</t>
        </is>
      </c>
      <c r="N51" s="4" t="inlineStr">
        <is>
          <t xml:space="preserve">Tecnologías de la información, telecomunicaciones y radiodifusión / Equipos, plataformas y accesorios de redes multimedia, voz y datos / Plataformas de mensajería por móvil</t>
        </is>
      </c>
      <c r="O51" s="4" t="inlineStr">
        <is>
          <t xml:space="preserve">1 Global · Centro de servicio de mensajes cortos</t>
        </is>
      </c>
      <c r="P51" s="2"/>
      <c r="Q51" s="2"/>
      <c r="R51" s="0" t="inlineStr">
        <is>
          <t xml:space="preserve">12 meses</t>
        </is>
      </c>
      <c r="S51" s="0" t="inlineStr">
        <is>
          <t xml:space="preserve">No</t>
        </is>
      </c>
      <c r="T51" s="4"/>
      <c r="U51" s="0" t="inlineStr">
        <is>
          <t xml:space="preserve">Jaime Perez L.</t>
        </is>
      </c>
      <c r="V51" s="4" t="inlineStr">
        <is>
          <t xml:space="preserve">A.Que el Instituto Nacional del Tórax necesita contar para su gestión con el SERVICIO DE OPERADORA VIRTUAL (IVR CON INTELIGENCIA ARTIFICIAL CONVERSACIONAL) en forma permanente, con el objeto de poder cumplir y satisfacer debidamente la demanda asistencial que legalmente le ha sido encomendada;</t>
        </is>
      </c>
      <c r="W51" s="5" t="str">
        <f>HYPERLINK("https://www.mercadopublico.cl/Procurement/Modules/Attachment/ViewAttachment.aspx?enc=%2bYHbFu4sLvHOE0e7PKbSr8qpU4QjtOO03HE1n4d%2fV5C8Jupt1tTc73HZ%2f7EAGqovRsxIZPaJqKPrcstlx4kpjfGGNCR3xTf6NCk6D5JsLaqn88c3nLVLGkrQ2moQW3rNSXUc2cNHgAT%2biV0P6YSB25DEXKHK6IG7u4vboVGOgzeI6xKKrQa5Nx7utbW%2beXM0v%2bWdgeqmLwQF7UvUr%2fzivCSYaordpiXZO%2bzHWv4n9WpT%2b62IzeXroeOuqxfl02ivGhPG64woDy5SH2NTl6dm%2fa3WIYM5p4TpZXbjIXsPjix9JZrApDQfggQ8L0yNir2W","descargar bases")</f>
      </c>
    </row>
    <row r="52">
      <c r="A52" s="0" t="inlineStr">
        <is>
          <t xml:space="preserve">2426-52-LR26</t>
        </is>
      </c>
      <c r="B52" s="4" t="inlineStr">
        <is>
          <t xml:space="preserve">DATACENTER ENLACES DE DATOS TELEFONIA E INTERNET</t>
        </is>
      </c>
      <c r="C52" s="0" t="inlineStr">
        <is>
          <t xml:space="preserve">Publicada</t>
        </is>
      </c>
      <c r="D52" s="0" t="inlineStr">
        <is>
          <t xml:space="preserve">I MUNICIPALIDAD DE VALPARAISO</t>
        </is>
      </c>
      <c r="E52" s="0" t="inlineStr">
        <is>
          <t xml:space="preserve">ADQUISICIONES MAYORES</t>
        </is>
      </c>
      <c r="F52" s="0" t="inlineStr">
        <is>
          <t xml:space="preserve">Región de Valparaíso </t>
        </is>
      </c>
      <c r="G52" s="0" t="inlineStr">
        <is>
          <t xml:space="preserve">Valparaíso</t>
        </is>
      </c>
      <c r="H52" s="2">
        <v>46297.657639</v>
      </c>
      <c r="I52" s="2">
        <v>46328.708333</v>
      </c>
      <c r="J52" s="0">
        <v>8</v>
      </c>
      <c r="K52" s="3">
        <v>40719.0</v>
      </c>
      <c r="L52" s="0" t="inlineStr">
        <is>
          <t xml:space="preserve">CLF</t>
        </is>
      </c>
      <c r="M52" s="0" t="inlineStr">
        <is>
          <t xml:space="preserve">LR</t>
        </is>
      </c>
      <c r="N52" s="4" t="inlineStr">
        <is>
          <t xml:space="preserve">Servicios basados en ingeniería, ciencias sociales y tecnología de la información / Servicios informáticos / Servicios de datos</t>
        </is>
      </c>
      <c r="O52" s="4" t="inlineStr">
        <is>
          <t xml:space="preserve">1 Unidad · Centro de servicios de datos</t>
        </is>
      </c>
      <c r="P52" s="2"/>
      <c r="Q52" s="2"/>
      <c r="R52" s="0" t="inlineStr">
        <is>
          <t xml:space="preserve">48 meses</t>
        </is>
      </c>
      <c r="S52" s="0" t="inlineStr">
        <is>
          <t xml:space="preserve">No</t>
        </is>
      </c>
      <c r="T52" s="4"/>
      <c r="U52" s="0" t="inlineStr">
        <is>
          <t xml:space="preserve">Juan Carlos Tempine</t>
        </is>
      </c>
      <c r="V52" s="4" t="inlineStr">
        <is>
          <t xml:space="preserve">SERVICIOS DE DATA CENTER, ENLACES DE DATOS, TELEFONÍA E INTERNET PARA LA MUNICIPALIDAD DE VALPARAÍSO</t>
        </is>
      </c>
      <c r="W52" s="5" t="str">
        <f>HYPERLINK("https://www.mercadopublico.cl/Procurement/Modules/Attachment/ViewAttachment.aspx?enc=A9z08rN2Zqm5i2mQprpbcHrZrN%2fRncYw0PfsXcOTKUE%2fbNAA5SmbfOzM5VOChYgvyMoLXSU5C%2bL4fPCtc8k2M8ohnPJefm0XmMBGgl4jtE6tlygKP%2bBo92evi7YyOfFx6Z78SFUbVNII%2fVx1XftlBQ13rimQwH6AZ%2bab%2f7TKMhHE%2fgJcbIY%2fLS8%2fyJrB3TNsI5ut1qP75afGe7ch%2bjqbvUfLu3M9%2by3T1NXRNykNVZKpQhTqqqUbn2xxvSILTCoAIwEU22M74iF6as9z%2bAb9Ss1R%2fX2H1GP%2fQtiEWO7QzH2gl7hjs6eZqHe%2beQ5eHw44","descargar bases")</f>
      </c>
    </row>
    <row r="53">
      <c r="A53" s="0" t="inlineStr">
        <is>
          <t xml:space="preserve">3797-52-LE26</t>
        </is>
      </c>
      <c r="B53" s="4" t="inlineStr">
        <is>
          <t xml:space="preserve">ADQUISICION E INSTALACION DE TABLERO MARCADOR</t>
        </is>
      </c>
      <c r="C53" s="0" t="inlineStr">
        <is>
          <t xml:space="preserve">Publicada</t>
        </is>
      </c>
      <c r="D53" s="0" t="inlineStr">
        <is>
          <t xml:space="preserve">I MUNICIPALIDAD DE COCHRANE</t>
        </is>
      </c>
      <c r="E53" s="0" t="inlineStr">
        <is>
          <t xml:space="preserve">I MUNICIPALIDAD DE COCHRANE</t>
        </is>
      </c>
      <c r="F53" s="0" t="inlineStr">
        <is>
          <t xml:space="preserve">Región Aysén del General Carlos Ibáñez del Campo</t>
        </is>
      </c>
      <c r="G53" s="0" t="inlineStr">
        <is>
          <t xml:space="preserve">Cochrane</t>
        </is>
      </c>
      <c r="H53" s="2">
        <v>46318.38522</v>
      </c>
      <c r="I53" s="2">
        <v>46328.729861</v>
      </c>
      <c r="J53" s="0">
        <v>8</v>
      </c>
      <c r="K53" s="3"/>
      <c r="L53" s="0" t="inlineStr">
        <is>
          <t xml:space="preserve">CLP</t>
        </is>
      </c>
      <c r="M53" s="0" t="inlineStr">
        <is>
          <t xml:space="preserve">LE</t>
        </is>
      </c>
      <c r="N53" s="4" t="inlineStr">
        <is>
          <t xml:space="preserve">Equipos, suministros y accesorios deportivos y recreativos / Equipos y accesorios de deportes / Accesorios para deportes</t>
        </is>
      </c>
      <c r="O53" s="4" t="inlineStr">
        <is>
          <t xml:space="preserve">1 Unidad · Marcadores deportivos</t>
        </is>
      </c>
      <c r="P53" s="2"/>
      <c r="Q53" s="2"/>
      <c r="R53" s="0"/>
      <c r="S53" s="0" t="inlineStr">
        <is>
          <t xml:space="preserve">No</t>
        </is>
      </c>
      <c r="T53" s="4"/>
      <c r="U53" s="0" t="inlineStr">
        <is>
          <t xml:space="preserve">ALAN JIMENEZ</t>
        </is>
      </c>
      <c r="V53" s="4" t="inlineStr">
        <is>
          <t xml:space="preserve">Adquirir un tablero electrónico deportivo para el Gimnasio Municipal, destinado a mejorar la gestión y visualización de los encuentros deportivos, permitiendo registrar y mostrar de manera clara y visible el marcador, tiempo de juego y demás información relevante durante el desarrollo de las actividades y competencias deportivas.</t>
        </is>
      </c>
      <c r="W53" s="5" t="str">
        <f>HYPERLINK("https://www.mercadopublico.cl/Procurement/Modules/Attachment/ViewAttachment.aspx?enc=7o7eLNIqjeZ5F1QVnum9E%2fbV4D2yPk2zKxr8w0jpqCzFt7PmiIuBAdEuiRbiKjQM4rVSLMiIQXqYHGJzis%2ftrLHYIAXp6tSK2js4OFPTZqF51kp9EH12XPAwIQ9JRmuRDvKtxkggTdV8XCNZOlC%2fkk%2fJJmTqfuzVj2wb8OIstp2v2ABrwJUqU16wPRg08HcDmQFQFYkc42YlHOd8rTUah2dARIxszvPB6ew6ywsyoDbTPmKUdSLZnHVPUEYQ5kKReaxFcQUXp%2bPEKqU8PD%2fTr8fCT15733GN4FA20IUfT5zFdhTnVyksoEk%2bCUDLU83s","descargar bases")</f>
      </c>
    </row>
    <row r="54">
      <c r="A54" s="0" t="inlineStr">
        <is>
          <t xml:space="preserve">1221019-17-LE26</t>
        </is>
      </c>
      <c r="B54" s="4" t="inlineStr">
        <is>
          <t xml:space="preserve">Plataforma de Venta de Entradas para Evento.</t>
        </is>
      </c>
      <c r="C54" s="0" t="inlineStr">
        <is>
          <t xml:space="preserve">Publicada</t>
        </is>
      </c>
      <c r="D54" s="0" t="inlineStr">
        <is>
          <t xml:space="preserve">Corporación Municipal de Deporte  de Vitacura</t>
        </is>
      </c>
      <c r="E54" s="0" t="inlineStr">
        <is>
          <t xml:space="preserve">Corporación</t>
        </is>
      </c>
      <c r="F54" s="0" t="inlineStr">
        <is>
          <t xml:space="preserve">Región Metropolitana de Santiago</t>
        </is>
      </c>
      <c r="G54" s="0" t="inlineStr">
        <is>
          <t xml:space="preserve">Vitacura</t>
        </is>
      </c>
      <c r="H54" s="2">
        <v>46311.643056</v>
      </c>
      <c r="I54" s="2">
        <v>46328.75</v>
      </c>
      <c r="J54" s="0">
        <v>8</v>
      </c>
      <c r="K54" s="3">
        <v>25000000.0</v>
      </c>
      <c r="L54" s="0" t="inlineStr">
        <is>
          <t xml:space="preserve">CLP</t>
        </is>
      </c>
      <c r="M54" s="0" t="inlineStr">
        <is>
          <t xml:space="preserve">LE</t>
        </is>
      </c>
      <c r="N54" s="4" t="inlineStr">
        <is>
          <t xml:space="preserve">Tecnologías de la información, telecomunicaciones y radiodifusión / Software / Programas de desarrollo</t>
        </is>
      </c>
      <c r="O54" s="4" t="inlineStr">
        <is>
          <t xml:space="preserve">1 Unidad · Software de desarrollo de plataforma Web</t>
        </is>
      </c>
      <c r="P54" s="2"/>
      <c r="Q54" s="2"/>
      <c r="R54" s="0"/>
      <c r="S54" s="0" t="inlineStr">
        <is>
          <t xml:space="preserve">No</t>
        </is>
      </c>
      <c r="T54" s="4"/>
      <c r="U54" s="0" t="inlineStr">
        <is>
          <t xml:space="preserve">Víctor Banda Carrasco</t>
        </is>
      </c>
      <c r="V54"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54" s="5" t="str">
        <f>HYPERLINK("https://www.mercadopublico.cl/Procurement/Modules/Attachment/ViewAttachment.aspx?enc=bp3Y7PCZoXCMwvMJW6uiZXxFrdoomdgllgVVNMUlvo1K%2fQ3HVSgzqO2f3FnIYqMGfexVcbuhGlbwA1dJNoyEpwZRTFq2KHZ%2fwc6avp4MyV18V1s0toQK97s4hmf%2ftS9YQbuUPJGROxwK4Ccs7opBSaW9KlMglpCwNE3oI%2ftyfn28BOKNkSnAZabjB3wIi2xnh%2b0I%2b7OSYC4MaW1abFFWVn7DX8KL5gBh4h6keZKnaUM%2bbSpx8nwIdzECaNZfuaWyo4egcHgP5tZ34A%2fOu4NvYpln9o4cc4vgsWRgJYT64xlP7gXK8hqwOOkbqufw3WYt","descargar bases")</f>
      </c>
    </row>
    <row r="55">
      <c r="A55" s="0" t="inlineStr">
        <is>
          <t xml:space="preserve">5416-43-L126</t>
        </is>
      </c>
      <c r="B55" s="4" t="inlineStr">
        <is>
          <t xml:space="preserve">Sistema Integral de Automatización Climática para Invernadero de Investigación</t>
        </is>
      </c>
      <c r="C55" s="0" t="inlineStr">
        <is>
          <t xml:space="preserve">Publicada</t>
        </is>
      </c>
      <c r="D55" s="0" t="inlineStr">
        <is>
          <t xml:space="preserve">UNIVERSIDAD DE LA SERENA</t>
        </is>
      </c>
      <c r="E55" s="0" t="inlineStr">
        <is>
          <t xml:space="preserve">DEPARTAMENTO DE ABASTECIMIENTO</t>
        </is>
      </c>
      <c r="F55" s="0" t="inlineStr">
        <is>
          <t xml:space="preserve">Región de Coquimbo </t>
        </is>
      </c>
      <c r="G55" s="0" t="inlineStr">
        <is>
          <t xml:space="preserve">La Serena</t>
        </is>
      </c>
      <c r="H55" s="2">
        <v>46315.450671</v>
      </c>
      <c r="I55" s="2">
        <v>46328.75</v>
      </c>
      <c r="J55" s="0">
        <v>8</v>
      </c>
      <c r="K55" s="3">
        <v>3000000.0</v>
      </c>
      <c r="L55" s="0" t="inlineStr">
        <is>
          <t xml:space="preserve">CLP</t>
        </is>
      </c>
      <c r="M55" s="0" t="inlineStr">
        <is>
          <t xml:space="preserve">L1</t>
        </is>
      </c>
      <c r="N55" s="4" t="inlineStr">
        <is>
          <t xml:space="preserve">Servicios de construcción y mantenimiento / Servicios de atención, mantenimiento y reparaciones de edificios / Gasfitería, calefacción y aire acondicionado</t>
        </is>
      </c>
      <c r="O55" s="4" t="inlineStr">
        <is>
          <t xml:space="preserve">1 Unidad · Servicios de reparación, mantenimiento o reparación de aire acondicionado</t>
        </is>
      </c>
      <c r="P55" s="2"/>
      <c r="Q55" s="2"/>
      <c r="R55" s="0"/>
      <c r="S55" s="0" t="inlineStr">
        <is>
          <t xml:space="preserve">No</t>
        </is>
      </c>
      <c r="T55" s="4"/>
      <c r="U55" s="0"/>
      <c r="V55" s="4" t="inlineStr">
        <is>
          <t xml:space="preserve">Se requiere Sistema Integral de Automatización Climática para Invernadero de Investigación para el Departamento de Agronomía. SC 51431.</t>
        </is>
      </c>
      <c r="W55" s="5" t="str">
        <f>HYPERLINK("https://www.mercadopublico.cl/Procurement/Modules/Attachment/ViewAttachment.aspx?enc=WXeNFGIMAVhWQSGbNdAT4qELIXxJ0cAvNti9eO%2fHJ9d49sktseGBoxgxtprwaMpLBhq2zJFI495N7UtmY2OCaBtv8xAOndE%2bTM906XkwhUeYUBoLTh6ukhbUQ1Uf2XmShtCSjn0zJO%2fl8aM4iYInNGLfo6hgJTpXqWL8rRVnoJVK4zIVrGBn6%2b8MPDu8%2bxgTwxGNIEpmvU%2fha6ZzBTo33Y9XAzuOPzfqOg7ZnUolcAUxUYgZ3h%2bIjdYBuFII9eCPHedAfsCG03YcTiy2HWHg4cZXoCevTOH3PhWf%2fy7WW1HtVHqaXRpgmcKnMZj1iUS8","descargar bases")</f>
      </c>
    </row>
    <row r="56">
      <c r="A56" s="0" t="inlineStr">
        <is>
          <t xml:space="preserve">599-41-LE26</t>
        </is>
      </c>
      <c r="B56" s="4" t="inlineStr">
        <is>
          <t xml:space="preserve">CREATIVE CLOUD ADOBE ACROBAT PRO Y ACROBAT O EQUI</t>
        </is>
      </c>
      <c r="C56" s="0" t="inlineStr">
        <is>
          <t xml:space="preserve">Publicada</t>
        </is>
      </c>
      <c r="D56" s="0" t="inlineStr">
        <is>
          <t xml:space="preserve">JUNTA NACIONAL DE JARDINES         INFANTILES</t>
        </is>
      </c>
      <c r="E56" s="0" t="inlineStr">
        <is>
          <t xml:space="preserve">JUNTA NACIONAL DE JARDINES         INFANTILES</t>
        </is>
      </c>
      <c r="F56" s="0" t="inlineStr">
        <is>
          <t xml:space="preserve">Región Metropolitana de Santiago</t>
        </is>
      </c>
      <c r="G56" s="0" t="inlineStr">
        <is>
          <t xml:space="preserve">Santiago</t>
        </is>
      </c>
      <c r="H56" s="2">
        <v>46317.5611</v>
      </c>
      <c r="I56" s="2">
        <v>46328.75</v>
      </c>
      <c r="J56" s="0">
        <v>8</v>
      </c>
      <c r="K56" s="3"/>
      <c r="L56" s="0" t="inlineStr">
        <is>
          <t xml:space="preserve">USD</t>
        </is>
      </c>
      <c r="M56" s="0" t="inlineStr">
        <is>
          <t xml:space="preserve">LE</t>
        </is>
      </c>
      <c r="N56" s="4" t="inlineStr">
        <is>
          <t xml:space="preserve">Tecnologías de la información, telecomunicaciones y radiodifusión / Software / Software de gestión</t>
        </is>
      </c>
      <c r="O56" s="4" t="inlineStr">
        <is>
          <t xml:space="preserve">22 Unidad · Software de gestión de licencias · 40 Unidad · Software de gestión de licencias · 26 Unidad · Software de gestión de licencias</t>
        </is>
      </c>
      <c r="P56" s="2"/>
      <c r="Q56" s="2"/>
      <c r="R56" s="0"/>
      <c r="S56" s="0" t="inlineStr">
        <is>
          <t xml:space="preserve">No</t>
        </is>
      </c>
      <c r="T56" s="4"/>
      <c r="U56" s="0" t="inlineStr">
        <is>
          <t xml:space="preserve">Luis Gomez</t>
        </is>
      </c>
      <c r="V56" s="4" t="inlineStr">
        <is>
          <t xml:space="preserve">La Junta Nacional de Jardines Infantiles JUNJI llama a licitación pública para la adquisición de licencias de software Adobe Creative Cloud, Adobe Acrobat Pro y Adobe Acrobat Studio o soluciones equivalentes de características similares, por un período de doce 12 meses.
Proveer a la JUNJI de licencias Adobe que permitan gestionar y proteger documentos PDF, incorporar firmas digitales, diseñar y editar piezas gráficas, imágenes, publicaciones y material audiovisual, administrar contenidos y activos digitales, y facilitar el trabajo colaborativo de los equipos institucionales, asegurando la continuidad operativa, la compatibilidad de formatos, la actualización permanente de las aplicaciones y el soporte técnico durante toda la vigencia de las suscripciones.
La adjudicación será efectuada por la línea de producto en forma independiente, adjudicándose cada una al oferente que alcance el mayor puntaje final, conforme a los criterios y la metodología de evaluación definidos en las presentes bases administrativas.</t>
        </is>
      </c>
      <c r="W56" s="5" t="str">
        <f>HYPERLINK("https://www.mercadopublico.cl/Procurement/Modules/Attachment/ViewAttachment.aspx?enc=AmeIicJkQRytcJDDUOAThwpy0tulE52JBn7mi3W2FwVJNz9Fo%2b4c67IVkBY8pmtqcB0FgXkpSX0SH4JS6E9VLqbuIJW4U9hO3sQZ%2fRsZmQBfQNfZOhHVaFDZ5ErL4kvqwAkOkqPfyCvRkpQdlNw8GrVjLGB54mN9U6fSk372QoUkonF87TXthF6hnGNDqgQTmHLETVg4Iq%2fq2yc8sGHxel1dVcG4ihNXTUnzyuOs%2bTZcaVmLxizRQkpBYt1lPj03BVmDR%2frqfmJLmP79bXZYn0f6dfYnfTsiVb0dz3wzahts3uW117sQqPlDkuKP3kb3","descargar bases")</f>
      </c>
    </row>
    <row r="57">
      <c r="A57" s="0" t="inlineStr">
        <is>
          <t xml:space="preserve">1057432-101-LE26</t>
        </is>
      </c>
      <c r="B57" s="4" t="inlineStr">
        <is>
          <t xml:space="preserve">SOFTWARE DE DISEÑO PARA SSC POR 12 MESES.</t>
        </is>
      </c>
      <c r="C57" s="0" t="inlineStr">
        <is>
          <t xml:space="preserve">Publicada</t>
        </is>
      </c>
      <c r="D57" s="0" t="inlineStr">
        <is>
          <t xml:space="preserve">SERVICIO DE SALUD CONCEPCION</t>
        </is>
      </c>
      <c r="E57" s="0" t="inlineStr">
        <is>
          <t xml:space="preserve">Servicio de Salud  Concepción</t>
        </is>
      </c>
      <c r="F57" s="0" t="inlineStr">
        <is>
          <t xml:space="preserve">Región del Biobío </t>
        </is>
      </c>
      <c r="G57" s="0" t="inlineStr">
        <is>
          <t xml:space="preserve">Concepción</t>
        </is>
      </c>
      <c r="H57" s="2">
        <v>46318.43265</v>
      </c>
      <c r="I57" s="2">
        <v>46329.625</v>
      </c>
      <c r="J57" s="0">
        <v>9</v>
      </c>
      <c r="K57" s="3"/>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13 Unidad · Software de gestión de licencias · 8 Unidad · Software de gestión de licencias</t>
        </is>
      </c>
      <c r="P57" s="2"/>
      <c r="Q57" s="2"/>
      <c r="R57" s="0" t="inlineStr">
        <is>
          <t xml:space="preserve">12 meses</t>
        </is>
      </c>
      <c r="S57" s="0" t="inlineStr">
        <is>
          <t xml:space="preserve">No</t>
        </is>
      </c>
      <c r="T57" s="4"/>
      <c r="U57" s="0" t="inlineStr">
        <is>
          <t xml:space="preserve">CLAUDIO SEPULVEDA</t>
        </is>
      </c>
      <c r="V57" s="4" t="inlineStr">
        <is>
          <t xml:space="preserve">Se requiere adquirir software de diseño asistido por computador y modelado de proyecto para SSC, según especificaciones técnicas.</t>
        </is>
      </c>
      <c r="W57" s="5" t="str">
        <f>HYPERLINK("https://www.mercadopublico.cl/Procurement/Modules/Attachment/ViewAttachment.aspx?enc=frSipQTzKeC%2f1Fx5s7E0WbWJHh9sg%2f6BqHsWMHgi61E%2bNf%2flqHGfiNaFuo7tz6UX%2bQtqGuSmu6DVOBR04%2bmtuujrp3IUQnMLwmNwYCmRQjyCuValhDsUM5tXUzBWLbBImyAqZNR%2fJvTQp73Muf%2boVJE6HsmaRq%2bzzSlbR%2fT0L0RDF1xNN0eH5XeaWHsY%2frecr58Maf8tTIPSFXb669fWaaGFSMM815EkYJhuswcOxntTDZUZ2tkRBYL9JCNAth9mbqBEPdy0CfsYYeY%2f7n0PRD3Im6tJRaVH8%2fg63Cvv3Lts8X3C%2bwz61H8QZNSQA7Qp","descargar bases")</f>
      </c>
    </row>
    <row r="58">
      <c r="A58" s="0" t="inlineStr">
        <is>
          <t xml:space="preserve">2770-154-LP26</t>
        </is>
      </c>
      <c r="B58" s="4" t="inlineStr">
        <is>
          <t xml:space="preserve">SERVICIOS DE TELEFONÍA Y DATOS MÓVILES</t>
        </is>
      </c>
      <c r="C58" s="0" t="inlineStr">
        <is>
          <t xml:space="preserve">Publicada</t>
        </is>
      </c>
      <c r="D58" s="0" t="inlineStr">
        <is>
          <t xml:space="preserve">I MUNICIPALIDAD DE MAIPU</t>
        </is>
      </c>
      <c r="E58" s="0" t="inlineStr">
        <is>
          <t xml:space="preserve">I MUNICIPALIDAD DE MAIPU</t>
        </is>
      </c>
      <c r="F58" s="0" t="inlineStr">
        <is>
          <t xml:space="preserve">Región Metropolitana de Santiago</t>
        </is>
      </c>
      <c r="G58" s="0" t="inlineStr">
        <is>
          <t xml:space="preserve">Maipú</t>
        </is>
      </c>
      <c r="H58" s="2">
        <v>46308.486238</v>
      </c>
      <c r="I58" s="2">
        <v>46329.625</v>
      </c>
      <c r="J58" s="0">
        <v>9</v>
      </c>
      <c r="K58" s="3">
        <v>193200000.0</v>
      </c>
      <c r="L58" s="0" t="inlineStr">
        <is>
          <t xml:space="preserve">CLP</t>
        </is>
      </c>
      <c r="M58" s="0" t="inlineStr">
        <is>
          <t xml:space="preserve">LP</t>
        </is>
      </c>
      <c r="N58" s="4" t="inlineStr">
        <is>
          <t xml:space="preserve">Servicios básicos y de información pública / Telecomunicaciones / Comunicaciones móviles</t>
        </is>
      </c>
      <c r="O58" s="4" t="inlineStr">
        <is>
          <t xml:space="preserve">1 Global · Servicios de telefonía móvil</t>
        </is>
      </c>
      <c r="P58" s="2"/>
      <c r="Q58" s="2"/>
      <c r="R58" s="0" t="inlineStr">
        <is>
          <t xml:space="preserve">24 meses</t>
        </is>
      </c>
      <c r="S58" s="0" t="inlineStr">
        <is>
          <t xml:space="preserve">No</t>
        </is>
      </c>
      <c r="T58" s="4"/>
      <c r="U58" s="0" t="inlineStr">
        <is>
          <t xml:space="preserve">Teresa Olave Quinteros</t>
        </is>
      </c>
      <c r="V58"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58" s="5" t="str">
        <f>HYPERLINK("https://www.mercadopublico.cl/Procurement/Modules/Attachment/ViewAttachment.aspx?enc=5CI8YrHhinC1o2N9%2fcvSswLY1jfGeeZKZvRF0jmury0VwAoD%2ba7yBl%2bHHXvs%2fkolrNrZ6K7Idon%2fw3GMfwk6ySYbT%2bxxQp9DT9WK5FSC%2bAz1NX2XxXdr9gkDuzBaccKKmdYmiuljL6W%2b4qiE2fCboaKIdCl4XBk0vBvOwe2OW7P1%2bMouSDzHcsRvZGoKUttag5%2fMmR%2f58FgGwkYy%2b2aWp0Mwlp19XfmyjUzifApoBoIfuYsrHEcZ3cVqi3KESrTr%2b72qkaoYAlZQqaucc9j%2bLjGdsTFV29WW%2bSbXqnr8v%2bgjPap3zlxKx5%2fPh79ttKVx","descargar bases")</f>
      </c>
    </row>
    <row r="59">
      <c r="A59" s="0" t="inlineStr">
        <is>
          <t xml:space="preserve">622-64-L126</t>
        </is>
      </c>
      <c r="B59" s="4" t="inlineStr">
        <is>
          <t xml:space="preserve">CONTRATACIÓN DEL CURSO INTELIGENCIA ARTIFICIAL APLICADA A LA GESTIÓN GREMIAL Y LA FUNCIÓN PÚBLICA</t>
        </is>
      </c>
      <c r="C59" s="0" t="inlineStr">
        <is>
          <t xml:space="preserve">Publicada</t>
        </is>
      </c>
      <c r="D59" s="0" t="inlineStr">
        <is>
          <t xml:space="preserve">TESORERIA GENERAL DE LA REPUBLICA</t>
        </is>
      </c>
      <c r="E59" s="0" t="inlineStr">
        <is>
          <t xml:space="preserve">Tesorería General de la República</t>
        </is>
      </c>
      <c r="F59" s="0" t="inlineStr">
        <is>
          <t xml:space="preserve">Región Metropolitana de Santiago</t>
        </is>
      </c>
      <c r="G59" s="0" t="inlineStr">
        <is>
          <t xml:space="preserve">Ñuñoa</t>
        </is>
      </c>
      <c r="H59" s="2">
        <v>46304.640278</v>
      </c>
      <c r="I59" s="2">
        <v>46329.625</v>
      </c>
      <c r="J59" s="0">
        <v>9</v>
      </c>
      <c r="K59" s="3">
        <v>5000000.0</v>
      </c>
      <c r="L59" s="0" t="inlineStr">
        <is>
          <t xml:space="preserve">CLP</t>
        </is>
      </c>
      <c r="M59" s="0" t="inlineStr">
        <is>
          <t xml:space="preserve">L1</t>
        </is>
      </c>
      <c r="N59" s="4" t="inlineStr">
        <is>
          <t xml:space="preserve">Educación, formación, entrenamiento y capacitación / Sistemas educativos complementarios / Educación de adultos</t>
        </is>
      </c>
      <c r="O59" s="4" t="inlineStr">
        <is>
          <t xml:space="preserve">1 Unidad · Capacitación a empleados</t>
        </is>
      </c>
      <c r="P59" s="2"/>
      <c r="Q59" s="2"/>
      <c r="R59" s="0"/>
      <c r="S59" s="0" t="inlineStr">
        <is>
          <t xml:space="preserve">No</t>
        </is>
      </c>
      <c r="T59" s="4"/>
      <c r="U59" s="0"/>
      <c r="V59"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59" s="5" t="str">
        <f>HYPERLINK("https://www.mercadopublico.cl/Procurement/Modules/Attachment/ViewAttachment.aspx?enc=bbnPxsGFqLo0HWiFb%2fjAFZqQEEnHFDdwgLk4ltWApssYaA2%2bJF990vSOVcRZCh7PZ3NtFoZ7xLvgtpTsrdoby%2byV2mfFMswpCoWzq2hdhDu5%2brCnHThKrc%2bVmIyxYIqkaqUUfk%2fGDbk%2fypjB9c%2fs2MERMiKn5JEq7jlyhRJzq7Fja%2fpfiBMB0vQA0rZ2HhrD7UtEhNXn9rPSeK1EugYLKKMtw1dEWSwu5byChQkWVm%2bTkk5W95XRausK5RpqTPJYTgQ65O1%2bXhohnru33xFbywy%2bgEtC8EwQZEvDXss8HQhm1h4sl8EwFu1re%2fhLQR6e","descargar bases")</f>
      </c>
    </row>
    <row r="60">
      <c r="A60" s="0" t="inlineStr">
        <is>
          <t xml:space="preserve">872-51-LE26</t>
        </is>
      </c>
      <c r="B60" s="4" t="inlineStr">
        <is>
          <t xml:space="preserve">Servicio Cloud Computing</t>
        </is>
      </c>
      <c r="C60" s="0" t="inlineStr">
        <is>
          <t xml:space="preserve">Publicada</t>
        </is>
      </c>
      <c r="D60" s="0" t="inlineStr">
        <is>
          <t xml:space="preserve">Comisión Chilena de Energía Nuclear</t>
        </is>
      </c>
      <c r="E60" s="0" t="inlineStr">
        <is>
          <t xml:space="preserve">Comisión Chilena de Energía Nuclear</t>
        </is>
      </c>
      <c r="F60" s="0" t="inlineStr">
        <is>
          <t xml:space="preserve">Región Metropolitana de Santiago</t>
        </is>
      </c>
      <c r="G60" s="0" t="inlineStr">
        <is>
          <t xml:space="preserve">Santiago</t>
        </is>
      </c>
      <c r="H60" s="2">
        <v>46318.398646</v>
      </c>
      <c r="I60" s="2">
        <v>46329.625</v>
      </c>
      <c r="J60" s="0">
        <v>9</v>
      </c>
      <c r="K60" s="3">
        <v>57000000.0</v>
      </c>
      <c r="L60" s="0" t="inlineStr">
        <is>
          <t xml:space="preserve">CLP</t>
        </is>
      </c>
      <c r="M60" s="0" t="inlineStr">
        <is>
          <t xml:space="preserve">LE</t>
        </is>
      </c>
      <c r="N60" s="4" t="inlineStr">
        <is>
          <t xml:space="preserve">Servicios basados en ingeniería, ciencias sociales y tecnología de la información / Servicios informáticos / Servicios para internet</t>
        </is>
      </c>
      <c r="O60" s="4" t="inlineStr">
        <is>
          <t xml:space="preserve">1 Unidad · Web Hosting</t>
        </is>
      </c>
      <c r="P60" s="2"/>
      <c r="Q60" s="2"/>
      <c r="R60" s="0"/>
      <c r="S60" s="0" t="inlineStr">
        <is>
          <t xml:space="preserve">No</t>
        </is>
      </c>
      <c r="T60" s="4" t="inlineStr">
        <is>
          <t xml:space="preserve">Indicado en bases de licitación</t>
        </is>
      </c>
      <c r="U60" s="0" t="inlineStr">
        <is>
          <t xml:space="preserve">Julio López</t>
        </is>
      </c>
      <c r="V60" s="4" t="inlineStr">
        <is>
          <t xml:space="preserve">La Comisión Chilena de Energía Nuclear CCHEN requiere contratar un servicio de Cloud Computing que permita mantener, operar y disponer de su infraestructura tecnológica en la nube, asegurando la continuidad, disponibilidad, seguridad y adecuado funcionamiento de los servicios y recursos tecnológicos asociados.
La contratación contempla la provisión de recursos y servicios de computación en la nube, tales como Infraestructura como Servicio IaaS o soluciones equivalentes, de acuerdo con los requerimientos técnicos establecidos en las presentes Bases de Licitación.</t>
        </is>
      </c>
      <c r="W60" s="5" t="str">
        <f>HYPERLINK("https://www.mercadopublico.cl/Procurement/Modules/Attachment/ViewAttachment.aspx?enc=5iwfDJ%2fQlZr0X9sKHpVIm0SN6VchMmnM3ZZLfOF8QYRBQms2tU6GZ0BKNYg2EAorDVi46DMR0jZaIMshnnCZKCF0U8z9i3KfEM4nOQX%2f4uO0qx6Sle05fRpNaq9u%2fb%2fVjWn4aQyIVRnRFpv9WWU16su511p29T4OoKqDIor7KtLed00OCtQJFHsGDZg%2b0A%2bUCYa1QRDA7NLWy5knnXhs9bzl8zflKL5bI69hm4F5lSDZglyzXaig6xVefPBxZhk%2betVBmdHvszh1ZfbkaT0erK3keG62BsJzYd9%2fnvdDPTSsOoDcenXNcowyvT1U9PG3","descargar bases")</f>
      </c>
    </row>
    <row r="61">
      <c r="A61" s="0" t="inlineStr">
        <is>
          <t xml:space="preserve">3730-102-L126</t>
        </is>
      </c>
      <c r="B61" s="4" t="inlineStr">
        <is>
          <t xml:space="preserve">REPARACION , MANTECION  TABLEROS DE BASQUETBOL GIMNASIO MUNICIPAL</t>
        </is>
      </c>
      <c r="C61" s="0" t="inlineStr">
        <is>
          <t xml:space="preserve">Publicada</t>
        </is>
      </c>
      <c r="D61" s="0" t="inlineStr">
        <is>
          <t xml:space="preserve">I MUNICIPALIDAD DE CHIMBARONGO</t>
        </is>
      </c>
      <c r="E61" s="0" t="inlineStr">
        <is>
          <t xml:space="preserve">Adquisiciones  Obras</t>
        </is>
      </c>
      <c r="F61" s="0" t="inlineStr">
        <is>
          <t xml:space="preserve">Región del Libertador General Bernardo O´Higgins</t>
        </is>
      </c>
      <c r="G61" s="0" t="inlineStr">
        <is>
          <t xml:space="preserve">Chimbarongo</t>
        </is>
      </c>
      <c r="H61" s="2">
        <v>46317.531343</v>
      </c>
      <c r="I61" s="2">
        <v>46329.631944</v>
      </c>
      <c r="J61" s="0">
        <v>9</v>
      </c>
      <c r="K61" s="3">
        <v>3300000.0</v>
      </c>
      <c r="L61" s="0" t="inlineStr">
        <is>
          <t xml:space="preserve">CLP</t>
        </is>
      </c>
      <c r="M61" s="0" t="inlineStr">
        <is>
          <t xml:space="preserve">L1</t>
        </is>
      </c>
      <c r="N61" s="4" t="inlineStr">
        <is>
          <t xml:space="preserve">Servicios de transporte, almacenaje y correo / Servicios de mantención o reparaciones de transportes / Servicios de panel, chapa y pintura</t>
        </is>
      </c>
      <c r="O61" s="4" t="inlineStr">
        <is>
          <t xml:space="preserve">1 Unidad no definida · Servicios de reparación o manutención del panel de instrumentos</t>
        </is>
      </c>
      <c r="P61" s="2"/>
      <c r="Q61" s="2"/>
      <c r="R61" s="0"/>
      <c r="S61" s="0" t="inlineStr">
        <is>
          <t xml:space="preserve">No</t>
        </is>
      </c>
      <c r="T61" s="4"/>
      <c r="U61" s="0"/>
      <c r="V61" s="4" t="inlineStr">
        <is>
          <t xml:space="preserve">LA CONTRATACIÓN DE LA REPARACIÓN, MANTENCIÓN Y MEJORAS DEL SISTEMA RETRÁCTIL, TABLEROS Y AROS DE BASQUETBOL DEL GIMNASIO MUNICIPAL, PARA GARANTIZAR EL CORRECTO FUNCIONAMIENTO OPERATIVO LA PRECISIÓN ESTRUCTURAL Y LOS ESTÁNDARES DE SEGURIDAD REQUERIDOS PARA EL DESARROLLO DE ACTIVIDADES DEPORTIVAS</t>
        </is>
      </c>
      <c r="W61" s="5" t="str">
        <f>HYPERLINK("https://www.mercadopublico.cl/Procurement/Modules/Attachment/ViewAttachment.aspx?enc=3%2b%2fMQTMa%2b5uhddSiRLD7KIPuRKnNM3d0JClzZtn3d7hsTS4QDeMepmEPBDTDbv9q9AY8PsaGUkbnG6hq1x2z%2bSYmIBmm%2bhkCoUsE8O95uNOeSZfmiLttsS%2bYlF6ZxpuV%2bn2WIL6N7hEdGRolW38F65zE2naIwxpOdbpJTETuAqrA3xHM%2fOBxdyt7jZYdPgx2qiMxjZc7BYaU0zhicWgq%2bxot2dTFpFJfrT4T0t6PyjJG5tdUjtHfyCTCStU8liT24FkDyO8x3pch%2fkxfPVQYbA9zqZei1ckccYDgtBxidK61O8gTGGhqEZfCRss6yd7Z","descargar bases")</f>
      </c>
    </row>
    <row r="62">
      <c r="A62" s="0" t="inlineStr">
        <is>
          <t xml:space="preserve">2735-149-LR26</t>
        </is>
      </c>
      <c r="B62" s="4" t="inlineStr">
        <is>
          <t xml:space="preserve">Servicio de Software de Gestión y Registro Clinico</t>
        </is>
      </c>
      <c r="C62" s="0" t="inlineStr">
        <is>
          <t xml:space="preserve">Publicada</t>
        </is>
      </c>
      <c r="D62" s="0" t="inlineStr">
        <is>
          <t xml:space="preserve">I MUNICIPALIDAD LO BARNECHEA</t>
        </is>
      </c>
      <c r="E62" s="0" t="inlineStr">
        <is>
          <t xml:space="preserve">Municipalidad de lo Barnechea - Adquisiciones - Consistorial</t>
        </is>
      </c>
      <c r="F62" s="0" t="inlineStr">
        <is>
          <t xml:space="preserve">Región Metropolitana de Santiago</t>
        </is>
      </c>
      <c r="G62" s="0" t="inlineStr">
        <is>
          <t xml:space="preserve">Lo Barnechea</t>
        </is>
      </c>
      <c r="H62" s="2">
        <v>46296.502778</v>
      </c>
      <c r="I62" s="2">
        <v>46329.645833</v>
      </c>
      <c r="J62" s="0">
        <v>9</v>
      </c>
      <c r="K62" s="3"/>
      <c r="L62" s="0" t="inlineStr">
        <is>
          <t xml:space="preserve">CLF</t>
        </is>
      </c>
      <c r="M62" s="0" t="inlineStr">
        <is>
          <t xml:space="preserve">LR</t>
        </is>
      </c>
      <c r="N62" s="4" t="inlineStr">
        <is>
          <t xml:space="preserve">Tecnologías de la información, telecomunicaciones y radiodifusión / Software / Software específico para la industria</t>
        </is>
      </c>
      <c r="O62" s="4" t="inlineStr">
        <is>
          <t xml:space="preserve">1 Unidad · Software médico</t>
        </is>
      </c>
      <c r="P62" s="2"/>
      <c r="Q62" s="2"/>
      <c r="R62" s="0" t="inlineStr">
        <is>
          <t xml:space="preserve">63 meses</t>
        </is>
      </c>
      <c r="S62" s="0" t="inlineStr">
        <is>
          <t xml:space="preserve">No</t>
        </is>
      </c>
      <c r="T62" s="4" t="inlineStr">
        <is>
          <t xml:space="preserve">Conforme a lo establecido en el numeral 16.6 de las bases administrativas</t>
        </is>
      </c>
      <c r="U62" s="0" t="inlineStr">
        <is>
          <t xml:space="preserve">Angelica Parra</t>
        </is>
      </c>
      <c r="V62"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62" s="5" t="str">
        <f>HYPERLINK("https://www.mercadopublico.cl/Procurement/Modules/Attachment/ViewAttachment.aspx?enc=23mgPlMHFAsrNn0yC%2fRFtuWiCRu9dHMxS9MRjbb0k3lm4A4yH0Gvc31JiXOSHDNHWRPajVWaBcqNWp3f3v3MkVJBS%2bj5WbK%2fkKwaY%2fw6plJNbH%2fLj6l9BopJJBHnj6xdVFbgEJ%2f56u5%2fEzo4eP6I4CYt5WrHQKeMI7QX7Q1hxfgkNwrtzq5A8gb3vhASyJ9dIa0ZdEUXGgxcJz3wcedyu%2bMRrefLSQFR8MjEw05fT3aJ4aJsqiPBhzd68LaV8DJcyeYd5hSeR4cE4ZUrVwFankKAx0yj7xbf7bvcdhU2UIlDW7sGkmUbeVlJWIK8QJXf","descargar bases")</f>
      </c>
    </row>
    <row r="63">
      <c r="A63" s="0" t="inlineStr">
        <is>
          <t xml:space="preserve">542429-10-LE26</t>
        </is>
      </c>
      <c r="B63" s="4" t="inlineStr">
        <is>
          <t xml:space="preserve">Renovación de licencias de software</t>
        </is>
      </c>
      <c r="C63" s="0" t="inlineStr">
        <is>
          <t xml:space="preserve">Publicada</t>
        </is>
      </c>
      <c r="D63" s="0" t="inlineStr">
        <is>
          <t xml:space="preserve">UNIDAD ADMINISTRADORA DE LOS TRIBUNALES TRIBUTARIOS Y ADUANEROS</t>
        </is>
      </c>
      <c r="E63" s="0" t="inlineStr">
        <is>
          <t xml:space="preserve">UNIDAD ADMINISTRADORA DE LOS TRIBUNALES TRIBUTARIOS Y ADUANEROS</t>
        </is>
      </c>
      <c r="F63" s="0" t="inlineStr">
        <is>
          <t xml:space="preserve">Región Metropolitana de Santiago</t>
        </is>
      </c>
      <c r="G63" s="0" t="inlineStr">
        <is>
          <t xml:space="preserve">Arica</t>
        </is>
      </c>
      <c r="H63" s="2">
        <v>46318.614248</v>
      </c>
      <c r="I63" s="2">
        <v>46329.645833</v>
      </c>
      <c r="J63" s="0">
        <v>9</v>
      </c>
      <c r="K63" s="3">
        <v>40580.0</v>
      </c>
      <c r="L63" s="0" t="inlineStr">
        <is>
          <t xml:space="preserve">USD</t>
        </is>
      </c>
      <c r="M63" s="0" t="inlineStr">
        <is>
          <t xml:space="preserve">LE</t>
        </is>
      </c>
      <c r="N63" s="4" t="inlineStr">
        <is>
          <t xml:space="preserve">Tecnologías de la información, telecomunicaciones y radiodifusión / Software / Software de gestión</t>
        </is>
      </c>
      <c r="O63" s="4" t="inlineStr">
        <is>
          <t xml:space="preserve">1 Unidad · Software de gestión de licencias · 1 Unidad · Software de gestión de licencias</t>
        </is>
      </c>
      <c r="P63" s="2"/>
      <c r="Q63" s="2"/>
      <c r="R63" s="0" t="inlineStr">
        <is>
          <t xml:space="preserve">36 meses</t>
        </is>
      </c>
      <c r="S63" s="0" t="inlineStr">
        <is>
          <t xml:space="preserve">No</t>
        </is>
      </c>
      <c r="T63" s="4"/>
      <c r="U63" s="0" t="inlineStr">
        <is>
          <t xml:space="preserve">Karen Brito</t>
        </is>
      </c>
      <c r="V63" s="4" t="inlineStr">
        <is>
          <t xml:space="preserve">Renovación de licencias de software</t>
        </is>
      </c>
      <c r="W63" s="5" t="str">
        <f>HYPERLINK("https://www.mercadopublico.cl/Procurement/Modules/Attachment/ViewAttachment.aspx?enc=CsRo7j92F9lsWgxF3dbSEk2ejGNauFwDpge2tuZR1AYhnlozSF2zpBLYiVVOFAhnFs3ZUxfnNi4FHS8VamVBqsEFCl%2frhdDMukj55YONcMPftEQSqioMvVVIWh%2fXBIcTcjQeEc65qByVqZoRBtxn%2fOQGFWSmtgE0Kd%2fFY3JRHUd0pErl1tjw3ffviRVYkr%2fVPDWbTxEjxVnZ9uBoxYOimF3wam7qhRHUu9MZfJjXcFY9bilvB3PwUh8svUGhihR4G9GC6ggGF9WOOg6DVbtbbgu%2bglby%2f0bH57dCZecxiEJjQDbUfmHdxgVhF0DWpdzp","descargar bases")</f>
      </c>
    </row>
    <row r="64">
      <c r="A64" s="0" t="inlineStr">
        <is>
          <t xml:space="preserve">654478-7-LP26</t>
        </is>
      </c>
      <c r="B64" s="4" t="inlineStr">
        <is>
          <t xml:space="preserve">RENOVACIÓN DE SOPORTE DE LICENCIAS DE SOFTWARE</t>
        </is>
      </c>
      <c r="C64" s="0" t="inlineStr">
        <is>
          <t xml:space="preserve">Publicada</t>
        </is>
      </c>
      <c r="D64" s="0" t="inlineStr">
        <is>
          <t xml:space="preserve">SUBSECRETARIA DE PREVENCION DEL DELITO</t>
        </is>
      </c>
      <c r="E64" s="0" t="inlineStr">
        <is>
          <t xml:space="preserve">Subsecretaría de Prevención del Delito</t>
        </is>
      </c>
      <c r="F64" s="0" t="inlineStr">
        <is>
          <t xml:space="preserve">Región Metropolitana de Santiago</t>
        </is>
      </c>
      <c r="G64" s="0" t="inlineStr">
        <is>
          <t xml:space="preserve">Santiago</t>
        </is>
      </c>
      <c r="H64" s="2">
        <v>46309.503866</v>
      </c>
      <c r="I64" s="2">
        <v>46329.666667</v>
      </c>
      <c r="J64" s="0">
        <v>9</v>
      </c>
      <c r="K64" s="3">
        <v>368390.0</v>
      </c>
      <c r="L64" s="0" t="inlineStr">
        <is>
          <t xml:space="preserve">USD</t>
        </is>
      </c>
      <c r="M64" s="0" t="inlineStr">
        <is>
          <t xml:space="preserve">LP</t>
        </is>
      </c>
      <c r="N64" s="4" t="inlineStr">
        <is>
          <t xml:space="preserve">Tecnologías de la información, telecomunicaciones y radiodifusión / Software / Software de gestión</t>
        </is>
      </c>
      <c r="O64" s="4" t="inlineStr">
        <is>
          <t xml:space="preserve">1 Unidad · Software de gestión de licencias · 1 Unidad · Software de gestión de licencias · 1 Unidad · Software de gestión de licencias · y 11 más</t>
        </is>
      </c>
      <c r="P64" s="2"/>
      <c r="Q64" s="2"/>
      <c r="R64" s="0" t="inlineStr">
        <is>
          <t xml:space="preserve">24 meses</t>
        </is>
      </c>
      <c r="S64" s="0" t="inlineStr">
        <is>
          <t xml:space="preserve">No</t>
        </is>
      </c>
      <c r="T64" s="4" t="inlineStr">
        <is>
          <t xml:space="preserve">No está permitida dada la especificidad del servicio requerido.</t>
        </is>
      </c>
      <c r="U64" s="0" t="inlineStr">
        <is>
          <t xml:space="preserve">Luis Alarcón Ruiz</t>
        </is>
      </c>
      <c r="V64"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64" s="5" t="str">
        <f>HYPERLINK("https://www.mercadopublico.cl/Procurement/Modules/Attachment/ViewAttachment.aspx?enc=BHSYE4CSuditmeRtcQXD3GTVBbfICiO2YFExxWQc3kIZli3bxj9jy5LpOP1LLBNNmBDOQI9h7qlZah6r1ZifxGDg9UCn%2fpVjv49wjdCCG91%2bn2wXvmN9XfsdqGHN5oOw4tat8%2fhohe1f2s0pIRdJWuwyegZ6Xd1CPOY%2bIc%2fVTTXFQZSF1SGTYT83gnfNoDCg3WV6Ua%2b5lusom1f30zqomaTNFMMMrI7fImVvoQ3MZ%2bD9OrU9JzK66SS4RpTju%2bUgFnWO%2bH6kMZQCHZgp%2fDaxygGRWbA%2f4ugnfS1cFK0GDMRHrohX%2bZFLNN0RtWGcYtUx","descargar bases")</f>
      </c>
    </row>
    <row r="65">
      <c r="A65" s="0" t="inlineStr">
        <is>
          <t xml:space="preserve">591-39-LE26</t>
        </is>
      </c>
      <c r="B65" s="4" t="inlineStr">
        <is>
          <t xml:space="preserve">CURSO HERRAM-ANALI-AUTOMA-GESTION DATOS-AUDITORIA</t>
        </is>
      </c>
      <c r="C65" s="0" t="inlineStr">
        <is>
          <t xml:space="preserve">Publicada</t>
        </is>
      </c>
      <c r="D65" s="0" t="inlineStr">
        <is>
          <t xml:space="preserve">FONDO NACIONAL DE SALUD</t>
        </is>
      </c>
      <c r="E65" s="0" t="inlineStr">
        <is>
          <t xml:space="preserve">FONASA, Nivel Central</t>
        </is>
      </c>
      <c r="F65" s="0" t="inlineStr">
        <is>
          <t xml:space="preserve">Región Metropolitana de Santiago</t>
        </is>
      </c>
      <c r="G65" s="0"/>
      <c r="H65" s="2">
        <v>46317.668299</v>
      </c>
      <c r="I65" s="2">
        <v>46329.826389</v>
      </c>
      <c r="J65" s="0">
        <v>9</v>
      </c>
      <c r="K65" s="3"/>
      <c r="L65" s="0" t="inlineStr">
        <is>
          <t xml:space="preserve">CLP</t>
        </is>
      </c>
      <c r="M65" s="0" t="inlineStr">
        <is>
          <t xml:space="preserve">LE</t>
        </is>
      </c>
      <c r="N65" s="4" t="inlineStr">
        <is>
          <t xml:space="preserve">Educación, formación, entrenamiento y capacitación / Sistemas educativos complementarios / Aprendizaje a distancia</t>
        </is>
      </c>
      <c r="O65" s="4" t="inlineStr">
        <is>
          <t xml:space="preserve">1 Unidad · Programas o cursos no diplomados a distancia</t>
        </is>
      </c>
      <c r="P65" s="2"/>
      <c r="Q65" s="2"/>
      <c r="R65" s="0"/>
      <c r="S65" s="0" t="inlineStr">
        <is>
          <t xml:space="preserve">No</t>
        </is>
      </c>
      <c r="T65" s="4" t="inlineStr">
        <is>
          <t xml:space="preserve">VER RESOLUCIÓN EXENTA 2B N°113882026</t>
        </is>
      </c>
      <c r="U65" s="0" t="inlineStr">
        <is>
          <t xml:space="preserve">ETELVINA NEIRA NAHUELPAN</t>
        </is>
      </c>
      <c r="V65"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Herramientas de Análisis, Automatización y Gestión de Datos para la Auditoría Interna” contenido en el Plan Anual de Capacitación y Formación 2026 del Fondo Nacional de Salud.</t>
        </is>
      </c>
      <c r="W65" s="5" t="str">
        <f>HYPERLINK("https://www.mercadopublico.cl/Procurement/Modules/Attachment/ViewAttachment.aspx?enc=xSwipCNxSEq4dM8m%2baKxFEuVCGKHPiVRXEqugtL1UKVXwUzXDTZx0q%2f2kZARneYgV8M6RYx%2b7dVc2k82oAOkhY%2f05%2boOxwanXu97%2fwEtC%2fvqYO2RWCfNWqYeV%2fC4RerRJKP9ZZ61zaAzRQXEsaAsq3XcHBonT7PL1P0sP76h0SXTfeQItiGE%2fRsFt8ru2bT9sEIYGV8zEUybBppqap1hHxY2sTiODb3OVGqkYzP91gAQi4MkJOhtZPGtn1FZNyEaUTYCukdVxxXXAt03mMv91Q4Dwxh00Be%2fvffgcKjOP3UW9QhQs9h2Ko6Fb4tkBvRt","descargar bases")</f>
      </c>
    </row>
    <row r="66">
      <c r="A66" s="0" t="inlineStr">
        <is>
          <t xml:space="preserve">4362-31-LP26</t>
        </is>
      </c>
      <c r="B66" s="4" t="inlineStr">
        <is>
          <t xml:space="preserve">Construcción Hitos de Acceso y Tótems Turísticos</t>
        </is>
      </c>
      <c r="C66" s="0" t="inlineStr">
        <is>
          <t xml:space="preserve">Publicada</t>
        </is>
      </c>
      <c r="D66" s="0" t="inlineStr">
        <is>
          <t xml:space="preserve">I MUNICIPALIDAD DE NACIMIENTO</t>
        </is>
      </c>
      <c r="E66" s="0" t="inlineStr">
        <is>
          <t xml:space="preserve">Secplan</t>
        </is>
      </c>
      <c r="F66" s="0" t="inlineStr">
        <is>
          <t xml:space="preserve">Región del Biobío </t>
        </is>
      </c>
      <c r="G66" s="0" t="inlineStr">
        <is>
          <t xml:space="preserve">Nacimiento</t>
        </is>
      </c>
      <c r="H66" s="2">
        <v>46309.782396</v>
      </c>
      <c r="I66" s="2">
        <v>46330.375</v>
      </c>
      <c r="J66" s="0">
        <v>10</v>
      </c>
      <c r="K66" s="3"/>
      <c r="L66" s="0" t="inlineStr">
        <is>
          <t xml:space="preserve">CLP</t>
        </is>
      </c>
      <c r="M66" s="0" t="inlineStr">
        <is>
          <t xml:space="preserve">LP</t>
        </is>
      </c>
      <c r="N66" s="4" t="inlineStr">
        <is>
          <t xml:space="preserve">Servicios de construcción y mantenimiento / Construcción de edificios en general / Construcción de obras civiles y infraestructuras</t>
        </is>
      </c>
      <c r="O66" s="4" t="inlineStr">
        <is>
          <t xml:space="preserve">1 Unidad · Construcción de obras civiles</t>
        </is>
      </c>
      <c r="P66" s="2"/>
      <c r="Q66" s="2"/>
      <c r="R66" s="0" t="inlineStr">
        <is>
          <t xml:space="preserve">90 días</t>
        </is>
      </c>
      <c r="S66" s="0" t="inlineStr">
        <is>
          <t xml:space="preserve">No</t>
        </is>
      </c>
      <c r="T66" s="4"/>
      <c r="U66" s="0" t="inlineStr">
        <is>
          <t xml:space="preserve">Gonzalo Antonio Oñate</t>
        </is>
      </c>
      <c r="V66"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66" s="5" t="str">
        <f>HYPERLINK("https://www.mercadopublico.cl/Procurement/Modules/Attachment/ViewAttachment.aspx?enc=p8FSB9DGHMJnq8D0PxVd3krnu1mwflgvsVKGel4oEO%2fqFvkpvDWrYiTZ6Rwsx3Vz94BTE7JJpMvqjFWAbRgaNOY%2bv1rAd63UhOR5dUFPasqT39aPKGmdy5y%2f%2b6aNF7jbwNQ0nrR6Q7m1CwSa4iwzd8lnz955erLWkVfZHy0iHZyGZ%2bSjRrDKN0XFeFf29oliWgmYVHuZYD6zgi%2bM%2bozpnqMjMwQpEc5Ia%2fRHtRHwyBxzj4B9B%2bGy9M1MbSsry9%2feRO3GcumNwEvUlQiy%2bTxNRj8O7RJVRiFneDttv8tlTJG8KZw8dXfdk2pSqOmGFmFT","descargar bases")</f>
      </c>
    </row>
    <row r="67">
      <c r="A67" s="0" t="inlineStr">
        <is>
          <t xml:space="preserve">1602-21-LE26</t>
        </is>
      </c>
      <c r="B67" s="4" t="inlineStr">
        <is>
          <t xml:space="preserve">ADQUISICIÓN DE LICENCIAS DE SOFTWARE VEEAM PREMIUM</t>
        </is>
      </c>
      <c r="C67" s="0" t="inlineStr">
        <is>
          <t xml:space="preserve">Publicada</t>
        </is>
      </c>
      <c r="D67" s="0" t="inlineStr">
        <is>
          <t xml:space="preserve">DIRECCION GENERAL DE AERONAUTICA CIVIL</t>
        </is>
      </c>
      <c r="E67" s="0" t="inlineStr">
        <is>
          <t xml:space="preserve">UNIDAD DE COMPRA SERVICIOS GENERALES</t>
        </is>
      </c>
      <c r="F67" s="0" t="inlineStr">
        <is>
          <t xml:space="preserve">Región Metropolitana de Santiago</t>
        </is>
      </c>
      <c r="G67" s="0" t="inlineStr">
        <is>
          <t xml:space="preserve">Providencia</t>
        </is>
      </c>
      <c r="H67" s="2">
        <v>46317.431111</v>
      </c>
      <c r="I67" s="2">
        <v>46330.5</v>
      </c>
      <c r="J67" s="0">
        <v>10</v>
      </c>
      <c r="K67" s="3">
        <v>30000000.0</v>
      </c>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15 Unidad · Software de gestión de licencias</t>
        </is>
      </c>
      <c r="P67" s="2"/>
      <c r="Q67" s="2"/>
      <c r="R67" s="0"/>
      <c r="S67" s="0" t="inlineStr">
        <is>
          <t xml:space="preserve">No</t>
        </is>
      </c>
      <c r="T67" s="4" t="inlineStr">
        <is>
          <t xml:space="preserve">No permite subcontratación DIRIGIRSE PUNTO: XX DE LA RESOLUCIÓN QUE SE ADJUNTA</t>
        </is>
      </c>
      <c r="U67" s="0" t="inlineStr">
        <is>
          <t xml:space="preserve">Jaime Leighton Castro</t>
        </is>
      </c>
      <c r="V67" s="4" t="inlineStr">
        <is>
          <t xml:space="preserve">Adquisición de Licencias de Veeam Data Platform Premium pack 10 instancias que multiplicado por la cantidad serían 150 instancias (jbt-147)</t>
        </is>
      </c>
      <c r="W67" s="5" t="str">
        <f>HYPERLINK("https://www.mercadopublico.cl/Procurement/Modules/Attachment/ViewAttachment.aspx?enc=C22a3F9%2bS7coDQRryGVLGqBpkjLdctbkidGHdQrpfLCoxIFErAZKK%2btpv8A77vsbAJtgt2nD6wla%2f7ZD2FKfpBtkHEUqZrbjFJOMFY2SbNxQM1RSM1gKYQrXTw0vNpiF0uMdNP8KsZ0t4Mu5YejO4T2j%2fmHhz4BSuIuhVGEokirRfjTtPtooxH946ueQfWTx3LzV%2bnkQtwhhvNxc4v%2f3YYyKQKez1dJZQzbrJjlnDpXh74zUPLoAXeTrY1HMsdhYOxtvVzS3ERdPvOIe0TS4atls5zYvk6WRufwQQcKdSJsnfEJlHm1Z8J%2f4KBzAxm0c","descargar bases")</f>
      </c>
    </row>
    <row r="68">
      <c r="A68" s="0" t="inlineStr">
        <is>
          <t xml:space="preserve">1782-17-LE26</t>
        </is>
      </c>
      <c r="B68" s="4" t="inlineStr">
        <is>
          <t xml:space="preserve">Consultoría Plataforma Inteligencia Inversión FRPD</t>
        </is>
      </c>
      <c r="C68" s="0" t="inlineStr">
        <is>
          <t xml:space="preserve">Publicada</t>
        </is>
      </c>
      <c r="D68" s="0" t="inlineStr">
        <is>
          <t xml:space="preserve">GOBIERNO REGIONAL DE ANTOFAGASTA</t>
        </is>
      </c>
      <c r="E68" s="0" t="inlineStr">
        <is>
          <t xml:space="preserve">GORE ANTOFAGASTA PROGRAMA 02 FNDR</t>
        </is>
      </c>
      <c r="F68" s="0" t="inlineStr">
        <is>
          <t xml:space="preserve">Región de Antofagasta </t>
        </is>
      </c>
      <c r="G68" s="0" t="inlineStr">
        <is>
          <t xml:space="preserve">Antofagasta</t>
        </is>
      </c>
      <c r="H68" s="2">
        <v>46310.685625</v>
      </c>
      <c r="I68" s="2">
        <v>46330.625</v>
      </c>
      <c r="J68" s="0">
        <v>10</v>
      </c>
      <c r="K68" s="3">
        <v>25000000.0</v>
      </c>
      <c r="L68" s="0" t="inlineStr">
        <is>
          <t xml:space="preserve">CLP</t>
        </is>
      </c>
      <c r="M68" s="0" t="inlineStr">
        <is>
          <t xml:space="preserve">LE</t>
        </is>
      </c>
      <c r="N68" s="4" t="inlineStr">
        <is>
          <t xml:space="preserve">Servicios profesionales, administrativos y consultorías de gestión empresarial / Consultorías o asesorías en gestión empresarial / Servicios de consultoría en gestión de empresas</t>
        </is>
      </c>
      <c r="O68" s="4" t="inlineStr">
        <is>
          <t xml:space="preserve">1 Unidad · Asesorías Informáticas</t>
        </is>
      </c>
      <c r="P68" s="2"/>
      <c r="Q68" s="2"/>
      <c r="R68" s="0"/>
      <c r="S68" s="0" t="inlineStr">
        <is>
          <t xml:space="preserve">No</t>
        </is>
      </c>
      <c r="T68" s="4"/>
      <c r="U68" s="0" t="inlineStr">
        <is>
          <t xml:space="preserve">Karla Dubo</t>
        </is>
      </c>
      <c r="V68"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68" s="5" t="str">
        <f>HYPERLINK("https://www.mercadopublico.cl/Procurement/Modules/Attachment/ViewAttachment.aspx?enc=zI7z23mSqpXlVS1cVk9RlL%2f%2f15V%2bHaZNAVRLI66qjEV%2fKTyAUhMXCNA491KiLIP%2bwg3lNT6RFCm9vBwYG0arcVN5UihDdN8d3nQ25JHV4MFfXDc%2fnkoTpqixh18IRKI4AFM7vf5TZXR7MktgFgfOSauBqNucU1wJWKkOTy1EfEMONxVMmG49IaTLcv40zzpt1TEZ9NyyKfOegMU5nc3vl%2b4CujVXFR9QmkFLJ7HEhfSdPXdeVZveGdn%2bZm1ZDOy6qBgIfb7H2LjqX2y%2f9%2bAycw6LYkWBWIjVYh%2bnzTv2si%2fKvTdem%2fxNFwycP%2fiPcQ6G","descargar bases")</f>
      </c>
    </row>
    <row r="69">
      <c r="A69" s="0" t="inlineStr">
        <is>
          <t xml:space="preserve">4127-51-LR26</t>
        </is>
      </c>
      <c r="B69" s="4" t="inlineStr">
        <is>
          <t xml:space="preserve">[DIGEDEP]Cursos M-Learning Plataforma SIAD 26-27</t>
        </is>
      </c>
      <c r="C69" s="0" t="inlineStr">
        <is>
          <t xml:space="preserve">Publicada</t>
        </is>
      </c>
      <c r="D69" s="0" t="inlineStr">
        <is>
          <t xml:space="preserve">SUBSECRETARIA DE SALUD PUBLICA</t>
        </is>
      </c>
      <c r="E69" s="0" t="inlineStr">
        <is>
          <t xml:space="preserve">Subsecretaria de Redes Asistenciales</t>
        </is>
      </c>
      <c r="F69" s="0" t="inlineStr">
        <is>
          <t xml:space="preserve">Región Metropolitana de Santiago</t>
        </is>
      </c>
      <c r="G69" s="0" t="inlineStr">
        <is>
          <t xml:space="preserve">Santiago</t>
        </is>
      </c>
      <c r="H69" s="2">
        <v>46300.445336</v>
      </c>
      <c r="I69" s="2">
        <v>46330.625</v>
      </c>
      <c r="J69" s="0">
        <v>10</v>
      </c>
      <c r="K69" s="3"/>
      <c r="L69" s="0" t="inlineStr">
        <is>
          <t xml:space="preserve">CLP</t>
        </is>
      </c>
      <c r="M69" s="0" t="inlineStr">
        <is>
          <t xml:space="preserve">LR</t>
        </is>
      </c>
      <c r="N69" s="4" t="inlineStr">
        <is>
          <t xml:space="preserve">Educación, formación, entrenamiento y capacitación / Sistemas educativos complementarios / Educación de adultos</t>
        </is>
      </c>
      <c r="O69" s="4" t="inlineStr">
        <is>
          <t xml:space="preserve">1 Unidad · Capacitación a empleados</t>
        </is>
      </c>
      <c r="P69" s="2"/>
      <c r="Q69" s="2"/>
      <c r="R69" s="0" t="inlineStr">
        <is>
          <t xml:space="preserve">12 meses</t>
        </is>
      </c>
      <c r="S69" s="0" t="inlineStr">
        <is>
          <t xml:space="preserve">No</t>
        </is>
      </c>
      <c r="T69" s="4"/>
      <c r="U69" s="0" t="inlineStr">
        <is>
          <t xml:space="preserve">Ana Osorio Yeuto</t>
        </is>
      </c>
      <c r="V69" s="4" t="inlineStr">
        <is>
          <t xml:space="preserve">Los servicios que considera este programa Sistema de Aprendizaje a Distancia SIAD son Despliegue de Cursos M- Learning, Desarrollo de Cursos Moodle, Actualizaciones Cursos Moodle Bacoffice para platafoma SIAD 2026 - 2027.</t>
        </is>
      </c>
      <c r="W69" s="5" t="str">
        <f>HYPERLINK("https://www.mercadopublico.cl/Procurement/Modules/Attachment/ViewAttachment.aspx?enc=Urz9JPq9M%2bo1KHp6cKd09F8v4a8RRQZ76ANLs6GIMwq7Y8jgda%2fxWZi4JLyXUjpwCK6pjy6iB0Gbbjh4ICoW2ZfLxTjpQHlXOl%2b1OjV1KjhIh%2ffQNDdI2n4I1uA%2bmhADY56zc1ttbhgD2RKHH3v7Xe9bI8zvPSfUS2FR30lI5SfSqzHPfWh%2bTxLkO%2fo1j2%2fGn6FjjvZzpUxpjoIEq9nrda1t2%2bVPFXwdE3ZEQzmWGft7NbNOXr%2fLVLlKx1wzluBVhhWWvW5u8gpIqLrhJ0ZKz8PIhS1hBSamwl8hKt74feksv4DJSiK%2bSR3JBiRydX32","descargar bases")</f>
      </c>
    </row>
    <row r="70">
      <c r="A70" s="0" t="inlineStr">
        <is>
          <t xml:space="preserve">652-61-LP26</t>
        </is>
      </c>
      <c r="B70" s="4" t="inlineStr">
        <is>
          <t xml:space="preserve">ARRIENDO SERVIDOR INFORMATICO PARA PROGRAMA SISSA.</t>
        </is>
      </c>
      <c r="C70" s="0" t="inlineStr">
        <is>
          <t xml:space="preserve">Publicada</t>
        </is>
      </c>
      <c r="D70" s="0" t="inlineStr">
        <is>
          <t xml:space="preserve">SERVICIO DE SALUD ARAUCO</t>
        </is>
      </c>
      <c r="E70" s="0" t="inlineStr">
        <is>
          <t xml:space="preserve">SERVICIO DE SALUD ARAUCO</t>
        </is>
      </c>
      <c r="F70" s="0" t="inlineStr">
        <is>
          <t xml:space="preserve">Región del Biobío </t>
        </is>
      </c>
      <c r="G70" s="0" t="inlineStr">
        <is>
          <t xml:space="preserve">Lebu</t>
        </is>
      </c>
      <c r="H70" s="2">
        <v>46310.878391</v>
      </c>
      <c r="I70" s="2">
        <v>46330.625</v>
      </c>
      <c r="J70" s="0">
        <v>10</v>
      </c>
      <c r="K70" s="3"/>
      <c r="L70" s="0" t="inlineStr">
        <is>
          <t xml:space="preserve">CLP</t>
        </is>
      </c>
      <c r="M70" s="0" t="inlineStr">
        <is>
          <t xml:space="preserve">LP</t>
        </is>
      </c>
      <c r="N70" s="4" t="inlineStr">
        <is>
          <t xml:space="preserve">Tecnologías de la información, telecomunicaciones y radiodifusión / Equipos informáticos y accesorios / Computadores</t>
        </is>
      </c>
      <c r="O70" s="4" t="inlineStr">
        <is>
          <t xml:space="preserve">1 Unidad · Servidores</t>
        </is>
      </c>
      <c r="P70" s="2"/>
      <c r="Q70" s="2"/>
      <c r="R70" s="0"/>
      <c r="S70" s="0" t="inlineStr">
        <is>
          <t xml:space="preserve">No</t>
        </is>
      </c>
      <c r="T70" s="4"/>
      <c r="U70" s="0" t="inlineStr">
        <is>
          <t xml:space="preserve">Jefe Depto. TIC del Servicio de Salud Arauco</t>
        </is>
      </c>
      <c r="V70"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70" s="5" t="str">
        <f>HYPERLINK("https://www.mercadopublico.cl/Procurement/Modules/Attachment/ViewAttachment.aspx?enc=8%2fpkImghcbHR3FdcolfuiAlB5veuzEE8EcN2wBvYEMoZQjrw2X1PDnzowWZSOGNqCIhFfFG14tN5VCPwQF9pRulsT%2bOPeOFL63QnRDRK0BIN%2bHYK29sGFAMbcnlCfPtNddm%2fuL%2bCmeRVboD32%2bdlBv7XDCHeEAv5OAJM1somh%2f8Y50xr3DODSepCdz58ZUV%2bgHTn%2fhfa4OTubnc6KSvWJN3EOGkGI%2bAgfOsU6S7FFB8IYjuPdl%2fKpldPjkAkFcL%2ffnv%2f2N682T%2bfEm6juNBNudNJuFgPoc8PWmk4Abi9a9rNVsbL0z9L07zbcaS%2bdALE","descargar bases")</f>
      </c>
    </row>
    <row r="71">
      <c r="A71" s="0" t="inlineStr">
        <is>
          <t xml:space="preserve">5403-11-LP26</t>
        </is>
      </c>
      <c r="B71" s="4" t="inlineStr">
        <is>
          <t xml:space="preserve">Diseño e instalación de gobernanza de datos</t>
        </is>
      </c>
      <c r="C71" s="0" t="inlineStr">
        <is>
          <t xml:space="preserve">Publicada</t>
        </is>
      </c>
      <c r="D71" s="0" t="inlineStr">
        <is>
          <t xml:space="preserve">COMISION NACIONAL DE ACREDITACION</t>
        </is>
      </c>
      <c r="E71" s="0" t="inlineStr">
        <is>
          <t xml:space="preserve">COMISION NACIONAL DE ACREDITACION</t>
        </is>
      </c>
      <c r="F71" s="0" t="inlineStr">
        <is>
          <t xml:space="preserve">Región Metropolitana de Santiago</t>
        </is>
      </c>
      <c r="G71" s="0" t="inlineStr">
        <is>
          <t xml:space="preserve">Santiago</t>
        </is>
      </c>
      <c r="H71" s="2">
        <v>46310.745671</v>
      </c>
      <c r="I71" s="2">
        <v>46330.666667</v>
      </c>
      <c r="J71" s="0">
        <v>10</v>
      </c>
      <c r="K71" s="3"/>
      <c r="L71" s="0" t="inlineStr">
        <is>
          <t xml:space="preserve">CLP</t>
        </is>
      </c>
      <c r="M71" s="0" t="inlineStr">
        <is>
          <t xml:space="preserve">LP</t>
        </is>
      </c>
      <c r="N71" s="4" t="inlineStr">
        <is>
          <t xml:space="preserve">Servicios profesionales, administrativos y consultorías de gestión empresarial / Consultorías o asesorías en gestión empresarial / Servicios de consultoría en gestión de empresas</t>
        </is>
      </c>
      <c r="O71" s="4" t="inlineStr">
        <is>
          <t xml:space="preserve">1 Unidad · Asesorías en gestión estratégica</t>
        </is>
      </c>
      <c r="P71" s="2"/>
      <c r="Q71" s="2"/>
      <c r="R71" s="0" t="inlineStr">
        <is>
          <t xml:space="preserve">9 meses</t>
        </is>
      </c>
      <c r="S71" s="0" t="inlineStr">
        <is>
          <t xml:space="preserve">No</t>
        </is>
      </c>
      <c r="T71" s="4"/>
      <c r="U71" s="0" t="inlineStr">
        <is>
          <t xml:space="preserve">Carolina Olea</t>
        </is>
      </c>
      <c r="V71"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71" s="5" t="str">
        <f>HYPERLINK("https://www.mercadopublico.cl/Procurement/Modules/Attachment/ViewAttachment.aspx?enc=9ER5bQkW1uInxquRfljVivW8Nl0vCuDlzzhbK4iCglnIy8H%2bFK941JLrCUgBFkLgF4qpcqcSqC5oCyInp0JxgE%2bPAAHG%2b6pctJJ9lp8Vmf0jxrV2L8CfZoMoKZhbgmCRfI75Y3kj21LrBjuBpzPjNWRu%2fx1pvbHIEaD9m5DHoGcbKuaETs8fzKkkL1opSHeBykTtnA2F75uTr5m9Ek1pwMfpLUA7YSwUlSLAj163BqwX2%2fJ3M22iFuYhd9GzIVWXRdptB%2fU%2bwGo8itjG2aKeoU%2bIaGRflbpIcWONG5ZmT1y3dYmcFVFOthIftSY3gH6t","descargar bases")</f>
      </c>
    </row>
    <row r="72">
      <c r="A72" s="0" t="inlineStr">
        <is>
          <t xml:space="preserve">2713-199-LE26</t>
        </is>
      </c>
      <c r="B72" s="4" t="inlineStr">
        <is>
          <t xml:space="preserve">Equipamiento informático para oficinas municipales</t>
        </is>
      </c>
      <c r="C72" s="0" t="inlineStr">
        <is>
          <t xml:space="preserve">Publicada</t>
        </is>
      </c>
      <c r="D72" s="0" t="inlineStr">
        <is>
          <t xml:space="preserve">I MUNICIPALIDAD DE AYSEN</t>
        </is>
      </c>
      <c r="E72" s="0" t="inlineStr">
        <is>
          <t xml:space="preserve">I.MUNICIPALIDAD AYSEN-ADQUISICIONES</t>
        </is>
      </c>
      <c r="F72" s="0" t="inlineStr">
        <is>
          <t xml:space="preserve">Región Aysén del General Carlos Ibáñez del Campo</t>
        </is>
      </c>
      <c r="G72" s="0" t="inlineStr">
        <is>
          <t xml:space="preserve">Aysén</t>
        </is>
      </c>
      <c r="H72" s="2">
        <v>46317.447211</v>
      </c>
      <c r="I72" s="2">
        <v>46331.604167</v>
      </c>
      <c r="J72" s="0">
        <v>11</v>
      </c>
      <c r="K72" s="3"/>
      <c r="L72" s="0" t="inlineStr">
        <is>
          <t xml:space="preserve">CLP</t>
        </is>
      </c>
      <c r="M72" s="0" t="inlineStr">
        <is>
          <t xml:space="preserve">LE</t>
        </is>
      </c>
      <c r="N72" s="4" t="inlineStr">
        <is>
          <t xml:space="preserve">Tecnologías de la información, telecomunicaciones y radiodifusión / Equipos informáticos y accesorios / Accesorios de computador,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 Tecnologías de la información, telecomunicaciones y radiodifusión / Equipos informáticos y accesorios / Pantallas o monitores de computador</t>
        </is>
      </c>
      <c r="O72" s="4" t="inlineStr">
        <is>
          <t xml:space="preserve">1 Unidad · Notebook, laptop o computador portátil excepto Tablet PC · 1 Unidad · Notebook, laptop o computador portátil excepto Tablet PC · 16 Unidad · Computadores personales · y 10 más</t>
        </is>
      </c>
      <c r="P72" s="2"/>
      <c r="Q72" s="2"/>
      <c r="R72" s="0"/>
      <c r="S72" s="0" t="inlineStr">
        <is>
          <t xml:space="preserve">No</t>
        </is>
      </c>
      <c r="T72" s="4"/>
      <c r="U72" s="0" t="inlineStr">
        <is>
          <t xml:space="preserve">Victor Godoy Tapia</t>
        </is>
      </c>
      <c r="V72" s="4" t="inlineStr">
        <is>
          <t xml:space="preserve">La institución requiere adquirir equipamiento de cómputo, digitalización, proyección e impresión para llevar a cabo la renovación programada de sus herramientas tecnológicas, reemplazando unidades en estado de obsolescencia o desgaste por uso continuo.</t>
        </is>
      </c>
      <c r="W72" s="5" t="str">
        <f>HYPERLINK("https://www.mercadopublico.cl/Procurement/Modules/Attachment/ViewAttachment.aspx?enc=qXmnObIjQbOHtKhh0CcSB%2bGMwb8Q8UBK1AekOJz42D2w4%2f7w7wzXRU3ybd1N5HHbkNGNKRDHfs6FHsnF%2frKvBYBbC5%2bbhY36pFU8Vy8X0tIlxy0gnO5L72FlQAxpGXFJMJQt4IYY4JsGHFnvm0uwroJGJDvsfuTDBocRdH2JxsHvhrFo1Scfsa62IlLfOpVMjOYadkpITfvtD%2bvHERYT5J%2bEX06xuelEX6%2b8nV1nd9eTUdU1ykoBVo0qjXxptMIOI4R3dKe34s3xBKEoDuOKgEpOYJGaDmOol4b3wqaU1w%2b5ssybFAgOsDUvb80Ca1Rm","descargar bases")</f>
      </c>
    </row>
    <row r="73">
      <c r="A73" s="0" t="inlineStr">
        <is>
          <t xml:space="preserve">662237-35-LE26</t>
        </is>
      </c>
      <c r="B73" s="4" t="inlineStr">
        <is>
          <t xml:space="preserve">Adquisición de créditos Google Cloud Platform GCP</t>
        </is>
      </c>
      <c r="C73" s="0" t="inlineStr">
        <is>
          <t xml:space="preserve">Publicada</t>
        </is>
      </c>
      <c r="D73" s="0" t="inlineStr">
        <is>
          <t xml:space="preserve">SERVICIO NACIONAL PARA LA PREVENCION Y REHABILITACION DEL CONSUMO DE D</t>
        </is>
      </c>
      <c r="E73" s="0" t="inlineStr">
        <is>
          <t xml:space="preserve">SENDA NACIONAL</t>
        </is>
      </c>
      <c r="F73" s="0" t="inlineStr">
        <is>
          <t xml:space="preserve">Región Metropolitana de Santiago</t>
        </is>
      </c>
      <c r="G73" s="0" t="inlineStr">
        <is>
          <t xml:space="preserve">Santiago Centro</t>
        </is>
      </c>
      <c r="H73" s="2">
        <v>46317.631042</v>
      </c>
      <c r="I73" s="2">
        <v>46331.666667</v>
      </c>
      <c r="J73" s="0">
        <v>11</v>
      </c>
      <c r="K73" s="3">
        <v>19000000.0</v>
      </c>
      <c r="L73" s="0" t="inlineStr">
        <is>
          <t xml:space="preserve">CLP</t>
        </is>
      </c>
      <c r="M73" s="0" t="inlineStr">
        <is>
          <t xml:space="preserve">LE</t>
        </is>
      </c>
      <c r="N73" s="4" t="inlineStr">
        <is>
          <t xml:space="preserve">Tecnologías de la información, telecomunicaciones y radiodifusión / Software / Software de gestión</t>
        </is>
      </c>
      <c r="O73" s="4" t="inlineStr">
        <is>
          <t xml:space="preserve">1 Unidad · Software de gestión de adquisiciones</t>
        </is>
      </c>
      <c r="P73" s="2"/>
      <c r="Q73" s="2"/>
      <c r="R73" s="0"/>
      <c r="S73" s="0" t="inlineStr">
        <is>
          <t xml:space="preserve">No</t>
        </is>
      </c>
      <c r="T73" s="4"/>
      <c r="U73" s="0" t="inlineStr">
        <is>
          <t xml:space="preserve">Santiago Campos</t>
        </is>
      </c>
      <c r="V73" s="4" t="inlineStr">
        <is>
          <t xml:space="preserve">El Servicio Nacional para la Prevención y Rehabilitación del Consumo de
Drogas y Alcohol, en adelante SENDA, requiere adquirir créditos Google Cloud
Platform GCP para asegurar la continuidad operativa de los servicios
institucionales actualmente alojados o utilizados en dicha plataforma.</t>
        </is>
      </c>
      <c r="W73" s="5" t="str">
        <f>HYPERLINK("https://www.mercadopublico.cl/Procurement/Modules/Attachment/ViewAttachment.aspx?enc=p04StBXIS4beZ4YjLD27o%2bozeEWl1GavAsPPqVyDsc6%2fxJMxL31GGigvq%2bKD46H0HTkYMj7hf5lPXt4IW1eQA%2buWUF2Gm%2fvPoTH7AaQdRaYwAe7013QtNhEybMD1HvkGSW%2fnGQR4iWb2biSiW5U1ZFZt4HoOFw7uO7K%2feyCCXcbtTDkvm6vhv26vQqSBu31mDtEBb%2butAxmyPoHHWUbdJAQPB0fug6UgyHBGwsP09lGT8VbxCVrEtTG0rEBB8p7lefek7rp%2b%2f8NJ%2bWDpbODhHpUOpkPYV7YAwyi6%2fMv1oq871AM17gKWO5s6FL4d%2bnv5","descargar bases")</f>
      </c>
    </row>
    <row r="74">
      <c r="A74" s="0" t="inlineStr">
        <is>
          <t xml:space="preserve">1447930-15-LP26</t>
        </is>
      </c>
      <c r="B74" s="4" t="inlineStr">
        <is>
          <t xml:space="preserve">SSP - Plataforma de virtualización On Premise</t>
        </is>
      </c>
      <c r="C74" s="0" t="inlineStr">
        <is>
          <t xml:space="preserve">Publicada</t>
        </is>
      </c>
      <c r="D74" s="0" t="inlineStr">
        <is>
          <t xml:space="preserve">SUBSECRETARIA DE SEGURIDAD PUBLICA</t>
        </is>
      </c>
      <c r="E74" s="0" t="inlineStr">
        <is>
          <t xml:space="preserve">SUBSECRETARIA DE SEGURIDAD PUBLICA</t>
        </is>
      </c>
      <c r="F74" s="0" t="inlineStr">
        <is>
          <t xml:space="preserve">Región Metropolitana de Santiago</t>
        </is>
      </c>
      <c r="G74" s="0" t="inlineStr">
        <is>
          <t xml:space="preserve">Santiago</t>
        </is>
      </c>
      <c r="H74" s="2">
        <v>46311.52985</v>
      </c>
      <c r="I74" s="2">
        <v>46331.708333</v>
      </c>
      <c r="J74" s="0">
        <v>11</v>
      </c>
      <c r="K74" s="3">
        <v>113050000.0</v>
      </c>
      <c r="L74" s="0" t="inlineStr">
        <is>
          <t xml:space="preserve">CLP</t>
        </is>
      </c>
      <c r="M74" s="0" t="inlineStr">
        <is>
          <t xml:space="preserve">LP</t>
        </is>
      </c>
      <c r="N74" s="4" t="inlineStr">
        <is>
          <t xml:space="preserve">Tecnologías de la información, telecomunicaciones y radiodifusión / Software / Software para trabajo en redes</t>
        </is>
      </c>
      <c r="O74" s="4" t="inlineStr">
        <is>
          <t xml:space="preserve">1 Unidad · Software de interconectividad de plataformas</t>
        </is>
      </c>
      <c r="P74" s="2"/>
      <c r="Q74" s="2"/>
      <c r="R74" s="0" t="inlineStr">
        <is>
          <t xml:space="preserve">40 meses</t>
        </is>
      </c>
      <c r="S74" s="0" t="inlineStr">
        <is>
          <t xml:space="preserve">No</t>
        </is>
      </c>
      <c r="T74" s="4"/>
      <c r="U74" s="0" t="inlineStr">
        <is>
          <t xml:space="preserve">Mauricio Quitral</t>
        </is>
      </c>
      <c r="V74"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74" s="5" t="str">
        <f>HYPERLINK("https://www.mercadopublico.cl/Procurement/Modules/Attachment/ViewAttachment.aspx?enc=GRHosqIR0DpVRk7alBRI3ixlu4kjrnd1ayROVQv4wP4Lg12mZmdbYgh7qQorP%2bNH2dKcGHeJOUNI6Ao8VRuHKPfjzre7rmuJYO0WIPLYlTTQa1RisqqhXVJTfYh2sPHEBpj56Cas%2fBYItDH9Jl%2b4WTwPEJ%2bl3khfDX0RebxuRj5ODIx3D3nZCPi8V%2bTiZOmrtSCMKCT%2bsYTYswCxiKZoF4%2bAtldaWW0MF%2fvXZkgLbc9KDtaARjDihror9RrwjcbRrIpvIX7QUxSj4EL4%2f20aT0DPG6b%2b8%2fqehEZXyOE5eDw57jgpUwzH%2f5hkUWlPg81a","descargar bases")</f>
      </c>
    </row>
    <row r="75">
      <c r="A75" s="0" t="inlineStr">
        <is>
          <t xml:space="preserve">1232565-42-LP26</t>
        </is>
      </c>
      <c r="B75" s="4" t="inlineStr">
        <is>
          <t xml:space="preserve">Mesa Digital de Disección Anatómica Convertible</t>
        </is>
      </c>
      <c r="C75" s="0" t="inlineStr">
        <is>
          <t xml:space="preserve">Publicada</t>
        </is>
      </c>
      <c r="D75" s="0" t="inlineStr">
        <is>
          <t xml:space="preserve">UNIVERSIDAD DE LA SERENA</t>
        </is>
      </c>
      <c r="E75" s="0" t="inlineStr">
        <is>
          <t xml:space="preserve">DIRECCIÓN DE GESTIÓN ESTRATÉGICA INSTITUCIONAL</t>
        </is>
      </c>
      <c r="F75" s="0" t="inlineStr">
        <is>
          <t xml:space="preserve">Región de Coquimbo </t>
        </is>
      </c>
      <c r="G75" s="0" t="inlineStr">
        <is>
          <t xml:space="preserve">La Serena</t>
        </is>
      </c>
      <c r="H75" s="2">
        <v>46311.490671</v>
      </c>
      <c r="I75" s="2">
        <v>46331.75</v>
      </c>
      <c r="J75" s="0">
        <v>11</v>
      </c>
      <c r="K75" s="3"/>
      <c r="L75" s="0" t="inlineStr">
        <is>
          <t xml:space="preserve">CLP</t>
        </is>
      </c>
      <c r="M75" s="0" t="inlineStr">
        <is>
          <t xml:space="preserve">LP</t>
        </is>
      </c>
      <c r="N75" s="4" t="inlineStr">
        <is>
          <t xml:space="preserve">Equipamiento y suministros médicos / Suministros para formación y estudios de medicina / Ayudas para la formación médica</t>
        </is>
      </c>
      <c r="O75" s="4" t="inlineStr">
        <is>
          <t xml:space="preserve">1 Unidad · Equipos para formación y estudios de medicina</t>
        </is>
      </c>
      <c r="P75" s="2"/>
      <c r="Q75" s="2"/>
      <c r="R75" s="0"/>
      <c r="S75" s="0" t="inlineStr">
        <is>
          <t xml:space="preserve">No</t>
        </is>
      </c>
      <c r="T75" s="4"/>
      <c r="U75" s="0" t="inlineStr">
        <is>
          <t xml:space="preserve">Estefania Muñoz Valdivia</t>
        </is>
      </c>
      <c r="V75"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75" s="5" t="str">
        <f>HYPERLINK("https://www.mercadopublico.cl/Procurement/Modules/Attachment/ViewAttachment.aspx?enc=N%2fqA2FMU%2bIEr6bEjgT9AZ3pO7PU7iXi4YHR%2fUeW9e5sNeryDdf71FtAEYzoiKhu7njuEnsVtk0O4CB49yhWdbPOiVZBIvZlN53L59Y27rFTHv%2bdtpOlqckgHD3RcR9n4tYqsan3xZ6ZYT%2fJv0rrvmZQvv3SqjamE881W98oQVrOxycF6zJzLj%2bxwJi72zMO6wx5wDk9YZmh4af4FpVjJds28dabHmPpw5tkDMRbAXmQo6EW7Gc%2fxAACQGPp1gIq9KWVNsyRBmA2XdBfNBVcGvCgPL0f0I8oNa9eH%2fYWOSLxOA0%2fQfglGHi3KwyJF5u5b","descargar bases")</f>
      </c>
    </row>
    <row r="76">
      <c r="A76" s="0" t="inlineStr">
        <is>
          <t xml:space="preserve">976-15-O126</t>
        </is>
      </c>
      <c r="B76" s="4" t="inlineStr">
        <is>
          <t xml:space="preserve">Ampliación Plataformas Comercial y General Ad. El Loa</t>
        </is>
      </c>
      <c r="C76" s="0" t="inlineStr">
        <is>
          <t xml:space="preserve">Publicada</t>
        </is>
      </c>
      <c r="D76" s="0" t="inlineStr">
        <is>
          <t xml:space="preserve">MINISTERIO DE OBRAS PUBLICAS DIREC CION GRAL DE OO PP DCYF</t>
        </is>
      </c>
      <c r="E76" s="0" t="inlineStr">
        <is>
          <t xml:space="preserve">Dirección de Aeropuertos - MOPTT</t>
        </is>
      </c>
      <c r="F76" s="0" t="inlineStr">
        <is>
          <t xml:space="preserve">Región de Antofagasta </t>
        </is>
      </c>
      <c r="G76" s="0" t="inlineStr">
        <is>
          <t xml:space="preserve">Santiago</t>
        </is>
      </c>
      <c r="H76" s="2">
        <v>46265.341667</v>
      </c>
      <c r="I76" s="2">
        <v>46332.458333</v>
      </c>
      <c r="J76" s="0">
        <v>12</v>
      </c>
      <c r="K76" s="3"/>
      <c r="L76" s="0" t="inlineStr">
        <is>
          <t xml:space="preserve">CLP</t>
        </is>
      </c>
      <c r="M76" s="0" t="inlineStr">
        <is>
          <t xml:space="preserve">O1</t>
        </is>
      </c>
      <c r="N76" s="4" t="inlineStr">
        <is>
          <t xml:space="preserve">Consultoria / Consultoria / Planificación y Factibilidad</t>
        </is>
      </c>
      <c r="O76" s="4" t="inlineStr">
        <is>
          <t xml:space="preserve">1 Unidad · Licitación Pública de Obra</t>
        </is>
      </c>
      <c r="P76" s="2"/>
      <c r="Q76" s="2"/>
      <c r="R76" s="0"/>
      <c r="S76" s="0" t="inlineStr">
        <is>
          <t xml:space="preserve">No</t>
        </is>
      </c>
      <c r="T76" s="4"/>
      <c r="U76" s="0"/>
      <c r="V76" s="4" t="inlineStr">
        <is>
          <t xml:space="preserve">Esta Dirección necesita llamar a licitación para contratar la obra Ampliación Plataformas Comercial y General Aeródromo El Loa.</t>
        </is>
      </c>
      <c r="W76" s="5" t="str">
        <f>HYPERLINK("https://www.mercadopublico.cl/Procurement/Modules/Attachment/ViewAttachment.aspx?enc=cJXsJL%2fpis7MXzODVQyidp5EfCQuJSB8Rd9x4P9xiZwO8eEf%2fwT%2bWjsFIAw37Su0G2onDjoJI%2bBBDrfys1Asem4SyPhAF21FTthNtE7Lp23Bg6Xo69NGp9gQYQJualj6pxNSv48lV6XXR5IcT%2fkAiDYinUhQPqV7r1Omgr5j%2fwMy8yyN%2fECvDR0rnPiQsdSPW4UV97BaEyKRadgIYTKw4oD2fsP51f0fmXP7BHNpfV6phiPI6NQ0%2bH4nBjXyDS%2blN3OrphuHhue1mhxOvSpYp9vZh69dwLQJ3VtphTsufm3FOJHdwyR9sJLLQN%2bRDLxk","descargar bases")</f>
      </c>
    </row>
    <row r="77">
      <c r="A77" s="0" t="inlineStr">
        <is>
          <t xml:space="preserve">765-24-LE26</t>
        </is>
      </c>
      <c r="B77" s="4" t="inlineStr">
        <is>
          <t xml:space="preserve">Digitalizar e integrar trámites plataforma SUPER</t>
        </is>
      </c>
      <c r="C77" s="0" t="inlineStr">
        <is>
          <t xml:space="preserve">Publicada</t>
        </is>
      </c>
      <c r="D77" s="0" t="inlineStr">
        <is>
          <t xml:space="preserve">CORP NACIONAL DE DESARROLLO INDIGENA</t>
        </is>
      </c>
      <c r="E77" s="0" t="inlineStr">
        <is>
          <t xml:space="preserve">CORP NACIONAL DE DESARROLLO INDIGENA</t>
        </is>
      </c>
      <c r="F77" s="0" t="inlineStr">
        <is>
          <t xml:space="preserve">Región de la Araucanía </t>
        </is>
      </c>
      <c r="G77" s="0" t="inlineStr">
        <is>
          <t xml:space="preserve">Temuco</t>
        </is>
      </c>
      <c r="H77" s="2">
        <v>46318.517975</v>
      </c>
      <c r="I77" s="2">
        <v>46332.5</v>
      </c>
      <c r="J77" s="0">
        <v>12</v>
      </c>
      <c r="K77" s="3"/>
      <c r="L77" s="0" t="inlineStr">
        <is>
          <t xml:space="preserve">CLP</t>
        </is>
      </c>
      <c r="M77" s="0" t="inlineStr">
        <is>
          <t xml:space="preserve">LE</t>
        </is>
      </c>
      <c r="N77" s="4" t="inlineStr">
        <is>
          <t xml:space="preserve">Tecnologías de la información, telecomunicaciones y radiodifusión / Software / Software de consultas y gestión de datos</t>
        </is>
      </c>
      <c r="O77" s="4" t="inlineStr">
        <is>
          <t xml:space="preserve">1 Unidad · Software de gestión de relaciones con el cliente (CRM)</t>
        </is>
      </c>
      <c r="P77" s="2"/>
      <c r="Q77" s="2"/>
      <c r="R77" s="0"/>
      <c r="S77" s="0" t="inlineStr">
        <is>
          <t xml:space="preserve">No</t>
        </is>
      </c>
      <c r="T77" s="4"/>
      <c r="U77" s="0" t="inlineStr">
        <is>
          <t xml:space="preserve">Marco Alcaman Painen</t>
        </is>
      </c>
      <c r="V77" s="4" t="inlineStr">
        <is>
          <t xml:space="preserve">Desarrollo de cuatro módulos SIMPLE para la gestión administrativa de autorizaciones CONADI e integrarlos con el Sistema Unificado de Permisos SUPER</t>
        </is>
      </c>
      <c r="W77" s="5" t="str">
        <f>HYPERLINK("https://www.mercadopublico.cl/Procurement/Modules/Attachment/ViewAttachment.aspx?enc=u%2fI6atDCUgodFQuFDUeGm5%2bDj8c4Z5OkIDKlRgiqT9mjkfe9jteBHyksR3FASKW1ADw373wClo8VV1%2f5uIdim%2btnfLnIGNN7kyQTrzU0TTjhZbVQ2f5ydp%2f%2bKT535Hq5RvB%2fWiug4Zj0s%2beyvoJY7Nn0MOFPhmikvtq3K9Aqy8pHv55PeHX7kMWHo%2f0uC%2fC7KswijdNanXnh98IB3H6HjEuPmSe18JVTO%2bqyzfShY86DylhhcdIFPB0nmWtFXfNbHzcCGKZlfBOFVfXNPfeD0Q%2fgXqgQ6VVoLwGBrUIR1rzl9s%2fObnojO%2bzX5nagJDzg","descargar bases")</f>
      </c>
    </row>
    <row r="78">
      <c r="A78" s="0" t="inlineStr">
        <is>
          <t xml:space="preserve">1020-54-LP26</t>
        </is>
      </c>
      <c r="B78" s="4" t="inlineStr">
        <is>
          <t xml:space="preserve">Administración y Mantención de Bases de Datos MOP</t>
        </is>
      </c>
      <c r="C78" s="0" t="inlineStr">
        <is>
          <t xml:space="preserve">Publicada</t>
        </is>
      </c>
      <c r="D78" s="0" t="inlineStr">
        <is>
          <t xml:space="preserve">MINISTERIO DE OBRAS PUBLICAS DIREC CION GRAL DE OO PP DCYF</t>
        </is>
      </c>
      <c r="E78" s="0" t="inlineStr">
        <is>
          <t xml:space="preserve">MOP Subsecretaría </t>
        </is>
      </c>
      <c r="F78" s="0" t="inlineStr">
        <is>
          <t xml:space="preserve">Región Metropolitana de Santiago</t>
        </is>
      </c>
      <c r="G78" s="0"/>
      <c r="H78" s="2">
        <v>46303.478727</v>
      </c>
      <c r="I78" s="2">
        <v>46332.625</v>
      </c>
      <c r="J78" s="0">
        <v>12</v>
      </c>
      <c r="K78" s="3">
        <v>174000000.0</v>
      </c>
      <c r="L78" s="0" t="inlineStr">
        <is>
          <t xml:space="preserve">CLP</t>
        </is>
      </c>
      <c r="M78" s="0" t="inlineStr">
        <is>
          <t xml:space="preserve">LP</t>
        </is>
      </c>
      <c r="N78" s="4" t="inlineStr">
        <is>
          <t xml:space="preserve">Servicios profesionales, administrativos y consultorías de gestión empresarial / Servicios de recursos humanos / Contratación de personal</t>
        </is>
      </c>
      <c r="O78" s="4" t="inlineStr">
        <is>
          <t xml:space="preserve">24 Mes · Administradores de bases de datos</t>
        </is>
      </c>
      <c r="P78" s="2"/>
      <c r="Q78" s="2"/>
      <c r="R78" s="0" t="inlineStr">
        <is>
          <t xml:space="preserve">25 meses</t>
        </is>
      </c>
      <c r="S78" s="0" t="inlineStr">
        <is>
          <t xml:space="preserve">No</t>
        </is>
      </c>
      <c r="T78" s="4" t="inlineStr">
        <is>
          <t xml:space="preserve">Según 10.5 de las BA El oferente adjudicado no podrá subcontratar los servicios derivados de la ejecución del Contrato</t>
        </is>
      </c>
      <c r="U78" s="0" t="inlineStr">
        <is>
          <t xml:space="preserve">Francisco Borquez</t>
        </is>
      </c>
      <c r="V78"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78" s="5" t="str">
        <f>HYPERLINK("https://www.mercadopublico.cl/Procurement/Modules/Attachment/ViewAttachment.aspx?enc=UNFezrFHYfrk1tWeyo3h7LUkj%2ffRj%2fK1ZKOcpkokASEwUW7OjqgzR6ajKNkOIYk2ibQzYJGXZzQSSxbo%2bPPyJV2nAYG0Sl7xbE%2bLCnTGTKnkquHubRlbLpUaeeColgdPh408cyyt6zfdGtKQrDk9RYQmWyw7bVnWm9EjISYobXQjQMJwld%2bbi7MjoUZE3FNPuk%2fPbfYIJWWkW9kuzfxCZIpO%2fqRlIUG59fiM59Kxpp%2bVJyc83pY%2fn379DzrzgaQcqPKWzno0Q6jGDbJHlf2cWU5fSlRl4zg9wiigEpUfaw1q8bySN2AQYms7YRp65IJM","descargar bases")</f>
      </c>
    </row>
    <row r="79">
      <c r="A79" s="0" t="inlineStr">
        <is>
          <t xml:space="preserve">605-17-LP26</t>
        </is>
      </c>
      <c r="B79" s="4" t="inlineStr">
        <is>
          <t xml:space="preserve">TELEFONÍA FIJA Y RED PRIVADA DE DATOS</t>
        </is>
      </c>
      <c r="C79" s="0" t="inlineStr">
        <is>
          <t xml:space="preserve">Publicada</t>
        </is>
      </c>
      <c r="D79" s="0" t="inlineStr">
        <is>
          <t xml:space="preserve">Consejo de Defensa del Estado</t>
        </is>
      </c>
      <c r="E79" s="0" t="inlineStr">
        <is>
          <t xml:space="preserve">Consejo de Defensa del Estado</t>
        </is>
      </c>
      <c r="F79" s="0" t="inlineStr">
        <is>
          <t xml:space="preserve">Región Metropolitana de Santiago</t>
        </is>
      </c>
      <c r="G79" s="0" t="inlineStr">
        <is>
          <t xml:space="preserve">Santiago</t>
        </is>
      </c>
      <c r="H79" s="2">
        <v>46267.454861</v>
      </c>
      <c r="I79" s="2">
        <v>46332.625</v>
      </c>
      <c r="J79" s="0">
        <v>12</v>
      </c>
      <c r="K79" s="3">
        <v>8500.0</v>
      </c>
      <c r="L79" s="0" t="inlineStr">
        <is>
          <t xml:space="preserve">CLF</t>
        </is>
      </c>
      <c r="M79" s="0" t="inlineStr">
        <is>
          <t xml:space="preserve">LP</t>
        </is>
      </c>
      <c r="N79" s="4" t="inlineStr">
        <is>
          <t xml:space="preserve">Servicios básicos y de información pública / Telecomunicaciones / Telefonía local y de larga distancia</t>
        </is>
      </c>
      <c r="O79" s="4" t="inlineStr">
        <is>
          <t xml:space="preserve">1 Unidad · Servicio telefónico local · 1 Unidad · Servicio de comunicación IP</t>
        </is>
      </c>
      <c r="P79" s="2"/>
      <c r="Q79" s="2"/>
      <c r="R79" s="0" t="inlineStr">
        <is>
          <t xml:space="preserve">24 meses</t>
        </is>
      </c>
      <c r="S79" s="0" t="inlineStr">
        <is>
          <t xml:space="preserve">No</t>
        </is>
      </c>
      <c r="T79"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79" s="0" t="inlineStr">
        <is>
          <t xml:space="preserve">IVANHOE AGUIRRE RIVERA</t>
        </is>
      </c>
      <c r="V79"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79" s="5" t="str">
        <f>HYPERLINK("https://www.mercadopublico.cl/Procurement/Modules/Attachment/ViewAttachment.aspx?enc=hfOqnXw8XEvb2IMobMGQMLmb7RavZvisJSYaDaJARAMeWHNaH76wmnIox52o89EZYWGYl1vcBTnivoB0xNwPPfldLyJIprlmqt0VLjwM1%2bfmpQJN6iIRysXOUZSvtIDn%2b2FOLTDs%2f5XUM7oIcYwl6r%2f4k0VpifwnfpVF75Jv%2bSRzCLNpE7Fi8BDn8NWZx035AjIgpvU4jHeTBSZMuYcBmpo3CSfXZvrjGZ2RbX4jK7G33SpevAV8o29qszNiH5ZdxNH9YiajkqRMNcnmok%2bFXGIaA3PzoMVa01VPJgcQMVrJeEehD3EdTtJljUea5S8E","descargar bases")</f>
      </c>
    </row>
    <row r="80">
      <c r="A80" s="0" t="inlineStr">
        <is>
          <t xml:space="preserve">1113265-17-LE26</t>
        </is>
      </c>
      <c r="B80" s="4" t="inlineStr">
        <is>
          <t xml:space="preserve">PLATAFORMA DE GESTIÓN ESTRATÉGICA</t>
        </is>
      </c>
      <c r="C80" s="0" t="inlineStr">
        <is>
          <t xml:space="preserve">Publicada</t>
        </is>
      </c>
      <c r="D80" s="0" t="inlineStr">
        <is>
          <t xml:space="preserve">CENTRO DE FORMACION TECNICA DE LA REGION DE ANTOFAGASTA</t>
        </is>
      </c>
      <c r="E80" s="0" t="inlineStr">
        <is>
          <t xml:space="preserve">UNIDAD DE COMPRAS</t>
        </is>
      </c>
      <c r="F80" s="0" t="inlineStr">
        <is>
          <t xml:space="preserve">Región de Antofagasta </t>
        </is>
      </c>
      <c r="G80" s="0" t="inlineStr">
        <is>
          <t xml:space="preserve">Calama</t>
        </is>
      </c>
      <c r="H80" s="2">
        <v>46309.735046</v>
      </c>
      <c r="I80" s="2">
        <v>46332.63125</v>
      </c>
      <c r="J80" s="0">
        <v>12</v>
      </c>
      <c r="K80" s="3"/>
      <c r="L80" s="0" t="inlineStr">
        <is>
          <t xml:space="preserve">CLP</t>
        </is>
      </c>
      <c r="M80" s="0" t="inlineStr">
        <is>
          <t xml:space="preserve">LE</t>
        </is>
      </c>
      <c r="N80" s="4" t="inlineStr">
        <is>
          <t xml:space="preserve">Tecnologías de la información, telecomunicaciones y radiodifusión / Software / Software de consultas y gestión de datos</t>
        </is>
      </c>
      <c r="O80" s="4" t="inlineStr">
        <is>
          <t xml:space="preserve">1 Unidad · Software del sistema de administración de bases de datos</t>
        </is>
      </c>
      <c r="P80" s="2"/>
      <c r="Q80" s="2"/>
      <c r="R80" s="0" t="inlineStr">
        <is>
          <t xml:space="preserve">12 meses</t>
        </is>
      </c>
      <c r="S80" s="0" t="inlineStr">
        <is>
          <t xml:space="preserve">No</t>
        </is>
      </c>
      <c r="T80" s="4"/>
      <c r="U80" s="0" t="inlineStr">
        <is>
          <t xml:space="preserve">IVAN MELLA</t>
        </is>
      </c>
      <c r="V80" s="4" t="inlineStr">
        <is>
          <t xml:space="preserve">ADQUISICIÓN E IMPLEMENTACIÓN DE PLATAFORMA DE GESTIÓN ESTRATÉGICA DE LA PERMANENCIA ESTUDIANTIL PARA EL CENTRO DE FORMACIÓN TÉCNICA ESTATAL DE LA REGIÓN DE ANTOFAGASTA</t>
        </is>
      </c>
      <c r="W80" s="5" t="str">
        <f>HYPERLINK("https://www.mercadopublico.cl/Procurement/Modules/Attachment/ViewAttachment.aspx?enc=o81gmnpsg4kB3UO4iFcmWzHmL5DkMGX4BtqCR4%2biHQiu1stNbdCLWLt%2bTgeCG%2bj7vTthP%2fW7fMd4mELMRIpEZnB2dkEqMVvlP6EnyNzH0VR%2fgylHrHLdwCSUOWQbKiNYKTzb8NoXj5mRoNWNwiOFOVEZbYsGM8JVJJ0jYSXCL%2fc8YPHfnoog5YSvxr2ZiEPPRL4S%2baIIn9iFznIue0JQYac3GH7lMIIQDVMyI4Yqpfyc9ISZgoCPoh7iP07Xvxpdqi3FDOdnIqZEZPRIcQYzYlaOfW8%2fA6LLfdmdXnG%2byFn9SglhsmRjGkpGxo0mgbZ%2f","descargar bases")</f>
      </c>
    </row>
    <row r="81">
      <c r="A81" s="0" t="inlineStr">
        <is>
          <t xml:space="preserve">5126-4-LE26</t>
        </is>
      </c>
      <c r="B81" s="4" t="inlineStr">
        <is>
          <t xml:space="preserve">Cambio de tablero y protecciones eléctricas del CCN</t>
        </is>
      </c>
      <c r="C81" s="0" t="inlineStr">
        <is>
          <t xml:space="preserve">Publicada</t>
        </is>
      </c>
      <c r="D81" s="0" t="inlineStr">
        <is>
          <t xml:space="preserve">ESTADO MAYOR CONJUNTO</t>
        </is>
      </c>
      <c r="E81" s="0" t="inlineStr">
        <is>
          <t xml:space="preserve">EMC-Comando Conjunto Norte</t>
        </is>
      </c>
      <c r="F81" s="0" t="inlineStr">
        <is>
          <t xml:space="preserve">Región de Tarapacá  </t>
        </is>
      </c>
      <c r="G81" s="0" t="inlineStr">
        <is>
          <t xml:space="preserve">Iquique</t>
        </is>
      </c>
      <c r="H81" s="2">
        <v>46317.495069</v>
      </c>
      <c r="I81" s="2">
        <v>46332.833333</v>
      </c>
      <c r="J81" s="0">
        <v>12</v>
      </c>
      <c r="K81" s="3">
        <v>14807000.0</v>
      </c>
      <c r="L81" s="0" t="inlineStr">
        <is>
          <t xml:space="preserve">CLP</t>
        </is>
      </c>
      <c r="M81" s="0" t="inlineStr">
        <is>
          <t xml:space="preserve">LE</t>
        </is>
      </c>
      <c r="N81" s="4" t="inlineStr">
        <is>
          <t xml:space="preserve">Maquinaria para generación y distribución de energía / Generación de energía / Equipo para control de producción de energía</t>
        </is>
      </c>
      <c r="O81" s="4" t="inlineStr">
        <is>
          <t xml:space="preserve">1 Unidad · Paneles de control eléctrico para generadores</t>
        </is>
      </c>
      <c r="P81" s="2"/>
      <c r="Q81" s="2"/>
      <c r="R81" s="0"/>
      <c r="S81" s="0" t="inlineStr">
        <is>
          <t xml:space="preserve">No</t>
        </is>
      </c>
      <c r="T81" s="4"/>
      <c r="U81" s="0" t="inlineStr">
        <is>
          <t xml:space="preserve">Capitán de Bandada Sebastián Leyton Arancibia</t>
        </is>
      </c>
      <c r="V81" s="4" t="inlineStr">
        <is>
          <t xml:space="preserve">Cambio de tablero y protecciones eléctricas pertenecientes al segundo piso del Comando Conjunto Norte.</t>
        </is>
      </c>
      <c r="W81" s="5" t="str">
        <f>HYPERLINK("https://www.mercadopublico.cl/Procurement/Modules/Attachment/ViewAttachment.aspx?enc=aV%2fyc0FW9vI7SJqjdYEyJYK4RSu3hOjS2gEX6i1%2fTFQ3ikUmL2r7dsuWejUjSVd%2fG3DMCfgVpJnItrSaR4GONv2tXOMIj2XjL%2f1djK273dZo1iPqbnuma%2bbdToXWbNKx7ue3%2bh4wSz6g6GVr3M%2bl741qassC6yecgRlXhq%2fI0VpBQI%2beM3iX2y1uSwNgzWo0pi%2fvFJ6brT1CHGbIvIEUKtnhJiV5hUJkUBJGbpXHcWFaMvLA1gErSx%2fVyhW181CSmqnX%2bufxpB61%2bFj2xK9pv%2br0EHWKE2RUuqYGvmoC2o5MnsXJMCBPOtuVW5BkuEcc","descargar bases")</f>
      </c>
    </row>
    <row r="82">
      <c r="A82" s="0" t="inlineStr">
        <is>
          <t xml:space="preserve">1177296-25-LP26</t>
        </is>
      </c>
      <c r="B82"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82" s="0" t="inlineStr">
        <is>
          <t xml:space="preserve">Publicada</t>
        </is>
      </c>
      <c r="D82" s="0" t="inlineStr">
        <is>
          <t xml:space="preserve">SERVICIO NACIONAL DE PROTECCIÓN ESPECIALIZADA A LA NIÑEZ Y ADOLESCENCI</t>
        </is>
      </c>
      <c r="E82" s="0" t="inlineStr">
        <is>
          <t xml:space="preserve">SERVICIO NACIONAL DE PROTECCIÓN ESPECIALIZADA A LA</t>
        </is>
      </c>
      <c r="F82" s="0" t="inlineStr">
        <is>
          <t xml:space="preserve">Región Metropolitana de Santiago</t>
        </is>
      </c>
      <c r="G82" s="0" t="inlineStr">
        <is>
          <t xml:space="preserve">Santiago</t>
        </is>
      </c>
      <c r="H82" s="2">
        <v>46309.722616</v>
      </c>
      <c r="I82" s="2">
        <v>46335.625</v>
      </c>
      <c r="J82" s="0">
        <v>15</v>
      </c>
      <c r="K82" s="3"/>
      <c r="L82" s="0" t="inlineStr">
        <is>
          <t xml:space="preserve">CLP</t>
        </is>
      </c>
      <c r="M82" s="0" t="inlineStr">
        <is>
          <t xml:space="preserve">LP</t>
        </is>
      </c>
      <c r="N82" s="4" t="inlineStr">
        <is>
          <t xml:space="preserve">Equipos, accesorios y suministros de oficina / Maquinarias, suministros y accesorios de oficina / Máquinas y accesorios para registro de hora y asistencia en la oficina</t>
        </is>
      </c>
      <c r="O82" s="4" t="inlineStr">
        <is>
          <t xml:space="preserve">1 Global · Reloj de control</t>
        </is>
      </c>
      <c r="P82" s="2"/>
      <c r="Q82" s="2"/>
      <c r="R82" s="0" t="inlineStr">
        <is>
          <t xml:space="preserve">24 meses</t>
        </is>
      </c>
      <c r="S82" s="0" t="inlineStr">
        <is>
          <t xml:space="preserve">No</t>
        </is>
      </c>
      <c r="T82" s="4" t="inlineStr">
        <is>
          <t xml:space="preserve">Según lo indicado en bases de licitación adjuntas.</t>
        </is>
      </c>
      <c r="U82" s="0" t="inlineStr">
        <is>
          <t xml:space="preserve">Maximo Ovalle</t>
        </is>
      </c>
      <c r="V82" s="4" t="inlineStr">
        <is>
          <t xml:space="preserve">Adquirir servicios de instalación, mplementación, arriendo, soporte, mantención y operación de software y hardware de un sistema de  gestión de asistencia, relojes control y marcaje remoto con georreferenciación</t>
        </is>
      </c>
      <c r="W82" s="5" t="str">
        <f>HYPERLINK("https://www.mercadopublico.cl/Procurement/Modules/Attachment/ViewAttachment.aspx?enc=CzzVvLvWT%2fripXE7rKmBwXbUMPWROXA%2fJmwVpurJsxcar2LXx5QOh35g8Ae4eEUgzfA%2fEhFl8G%2fNgOVGsJQD5uIsn%2bD3DfQqKEm9po6J93J8yAlFBhnyu%2f5xGpthMNuMflHkAyzZ6SvsiaoO%2bWcWQPo3oXOxY1VFq9wr8tZgYiSqE56LyPsoM4HN7w0zE7NujTg5jmvl6PKAMt3ALB4WG5HXQPz%2bcg76IAKpwOlVnOoWsPJhu0VdwJwUd5iPYULnlb8lILOqzFhX9EFAt0cg6G9Bn17NTJSNEkcj9O4b0oxnxma8LDfLUNnG%2fP9gf64u","descargar bases")</f>
      </c>
    </row>
    <row r="83">
      <c r="A83" s="0" t="inlineStr">
        <is>
          <t xml:space="preserve">2421-52-LR26</t>
        </is>
      </c>
      <c r="B83" s="4" t="inlineStr">
        <is>
          <t xml:space="preserve">SUMINISTRO SERVICIO DE TELECOMUNICACIONES DATOS Y VOZ</t>
        </is>
      </c>
      <c r="C83" s="0" t="inlineStr">
        <is>
          <t xml:space="preserve">Publicada</t>
        </is>
      </c>
      <c r="D83" s="0" t="inlineStr">
        <is>
          <t xml:space="preserve">I MUNICIPALIDAD DE CONCEPCION</t>
        </is>
      </c>
      <c r="E83" s="0" t="inlineStr">
        <is>
          <t xml:space="preserve">DIRECCION DE SALUD MUNICIPAL DE CONCEPCION</t>
        </is>
      </c>
      <c r="F83" s="0" t="inlineStr">
        <is>
          <t xml:space="preserve">Región del Biobío </t>
        </is>
      </c>
      <c r="G83" s="0" t="inlineStr">
        <is>
          <t xml:space="preserve">Concepción</t>
        </is>
      </c>
      <c r="H83" s="2">
        <v>46303.407569</v>
      </c>
      <c r="I83" s="2">
        <v>46335.625</v>
      </c>
      <c r="J83" s="0">
        <v>15</v>
      </c>
      <c r="K83" s="3"/>
      <c r="L83" s="0" t="inlineStr">
        <is>
          <t xml:space="preserve">CLP</t>
        </is>
      </c>
      <c r="M83" s="0" t="inlineStr">
        <is>
          <t xml:space="preserve">LR</t>
        </is>
      </c>
      <c r="N83" s="4" t="inlineStr">
        <is>
          <t xml:space="preserve">Servicios básicos y de información pública / Telecomunicaciones / Telefonía local y de larga distancia</t>
        </is>
      </c>
      <c r="O83" s="4" t="inlineStr">
        <is>
          <t xml:space="preserve">1 Unidad · Servicio telefónico local · 1 Unidad · Servicio telefónico local</t>
        </is>
      </c>
      <c r="P83" s="2"/>
      <c r="Q83" s="2"/>
      <c r="R83" s="0" t="inlineStr">
        <is>
          <t xml:space="preserve">60 meses</t>
        </is>
      </c>
      <c r="S83" s="0" t="inlineStr">
        <is>
          <t xml:space="preserve">No</t>
        </is>
      </c>
      <c r="T83" s="4"/>
      <c r="U83" s="0" t="inlineStr">
        <is>
          <t xml:space="preserve">MARCELO SEPULVEDA</t>
        </is>
      </c>
      <c r="V83" s="4" t="inlineStr">
        <is>
          <t xml:space="preserve">LA DIRECCION DE SALUD DE CONCEPCION SOLICITA LA ADQUISICION DE SUMINISTRO DE SERVICIO DE TELECOMUNICACIONES DE DATOS Y VOZ POR UN PLAZO DE 60 MESES.</t>
        </is>
      </c>
      <c r="W83" s="5" t="str">
        <f>HYPERLINK("https://www.mercadopublico.cl/Procurement/Modules/Attachment/ViewAttachment.aspx?enc=JfYYTCayfSAKN8Go1vyZRgEb8u0B5X0hA18v2170e6cWMz3RsHX32lf9UJz6iS1JeHUuFe4dWcl3ipXVFedF2k7LUZDf6BLnBegYLoK3Z%2fCvNWrl43JCxXl8bbMxqh1SNZ5Be5NnQFzZa3OoAP%2byT55zv61OYfbxMA19LfHuLFTpSNGsga%2bekPDmvtkqMn1b3%2f1KFu%2fQTBHgiBGzHQEkKpLCs5bdYV%2bH6pL8Ct%2fXEr0hbygpZCBOwm6lD75Nctd6LuVO1DOfSAH4iYw0PbLPTlItrC2BKWLxbsUmaqs6MJ5hEvR6%2bHbSO0lEZX0CyqlR","descargar bases")</f>
      </c>
    </row>
    <row r="84">
      <c r="A84" s="0" t="inlineStr">
        <is>
          <t xml:space="preserve">619-13-LP26</t>
        </is>
      </c>
      <c r="B84" s="4" t="inlineStr">
        <is>
          <t xml:space="preserve">Suscripción de licencias IA generativa Claude.</t>
        </is>
      </c>
      <c r="C84" s="0" t="inlineStr">
        <is>
          <t xml:space="preserve">Publicada</t>
        </is>
      </c>
      <c r="D84" s="0" t="inlineStr">
        <is>
          <t xml:space="preserve">SUBSECRETARIA DEL MINISTERIO DE HACIENDA</t>
        </is>
      </c>
      <c r="E84" s="0" t="inlineStr">
        <is>
          <t xml:space="preserve">SUBSECRETARIA DEL MINISTERIO DE HACIENDA</t>
        </is>
      </c>
      <c r="F84" s="0" t="inlineStr">
        <is>
          <t xml:space="preserve">Región Metropolitana de Santiago</t>
        </is>
      </c>
      <c r="G84" s="0" t="inlineStr">
        <is>
          <t xml:space="preserve">Santiago</t>
        </is>
      </c>
      <c r="H84" s="2">
        <v>46314.50441</v>
      </c>
      <c r="I84" s="2">
        <v>46335.625</v>
      </c>
      <c r="J84" s="0">
        <v>15</v>
      </c>
      <c r="K84" s="3">
        <v>105000000.0</v>
      </c>
      <c r="L84" s="0" t="inlineStr">
        <is>
          <t xml:space="preserve">CLP</t>
        </is>
      </c>
      <c r="M84" s="0" t="inlineStr">
        <is>
          <t xml:space="preserve">LP</t>
        </is>
      </c>
      <c r="N84" s="4" t="inlineStr">
        <is>
          <t xml:space="preserve">Tecnologías de la información, telecomunicaciones y radiodifusión / Software / Software de gestión</t>
        </is>
      </c>
      <c r="O84" s="4" t="inlineStr">
        <is>
          <t xml:space="preserve">1 Unidad no definida · Software de gestión de licencias</t>
        </is>
      </c>
      <c r="P84" s="2"/>
      <c r="Q84" s="2"/>
      <c r="R84" s="0" t="inlineStr">
        <is>
          <t xml:space="preserve">13 meses</t>
        </is>
      </c>
      <c r="S84" s="0" t="inlineStr">
        <is>
          <t xml:space="preserve">No</t>
        </is>
      </c>
      <c r="T84" s="4"/>
      <c r="U84" s="0" t="inlineStr">
        <is>
          <t xml:space="preserve">Óscar Escobar</t>
        </is>
      </c>
      <c r="V84" s="4" t="inlineStr">
        <is>
          <t xml:space="preserve">La Subsecretaría de Hacienda requiere contratar la suscripción de 124 licencias anuales de inteligencia artificial generativa Claude, equivalente o superior, distribuidas en 47 licencias Premium y 77 licencias Standard, por un período de 12 meses, destinadas a apoyar las labores técnicas y mejorar la productividad de los equipos institucionales, conforme a las especificaciones establecidas en las bases de licitación.</t>
        </is>
      </c>
      <c r="W84" s="5" t="str">
        <f>HYPERLINK("https://www.mercadopublico.cl/Procurement/Modules/Attachment/ViewAttachment.aspx?enc=SPbwSIDkkiPy1fumkPbZb%2bHAmMULnqExxbwIgi5b5tXXRWISKCkpAzQGM6zqL%2f3%2bfvp2Ri1q8eZrXXdo6Q8Cl4sdi7c1NrUa8eEW56Jzls24K2rp%2f8K5BruHoqh2PMawP1dlOLFzchY6dH%2bUzi5Pqg9N44Ck58WPBZsAA3mR91%2bhco%2f095EIZ13Orzj4ABI3%2feDDdfEKOjHkbmg2dXTUHtR25Xa3NxAJMNzNE95Ni7W56AdpltEv0vWzpuWslC0TWBqwlXfCKeSjF0qEAp3%2b9pCUhRf5Y505PI81AJUDrE0q2Xa5uPUoHqQQC0Uifxa1","descargar bases")</f>
      </c>
    </row>
    <row r="85">
      <c r="A85" s="0" t="inlineStr">
        <is>
          <t xml:space="preserve">1020-38-LP26</t>
        </is>
      </c>
      <c r="B85" s="4" t="inlineStr">
        <is>
          <t xml:space="preserve">Adquisición de Plataforma Next Generation Firewall</t>
        </is>
      </c>
      <c r="C85" s="0" t="inlineStr">
        <is>
          <t xml:space="preserve">Publicada</t>
        </is>
      </c>
      <c r="D85" s="0" t="inlineStr">
        <is>
          <t xml:space="preserve">MINISTERIO DE OBRAS PUBLICAS DIREC CION GRAL DE OO PP DCYF</t>
        </is>
      </c>
      <c r="E85" s="0" t="inlineStr">
        <is>
          <t xml:space="preserve">MOP Subsecretaría </t>
        </is>
      </c>
      <c r="F85" s="0" t="inlineStr">
        <is>
          <t xml:space="preserve">Región Metropolitana de Santiago</t>
        </is>
      </c>
      <c r="G85" s="0"/>
      <c r="H85" s="2">
        <v>46252.442361</v>
      </c>
      <c r="I85" s="2">
        <v>46335.625</v>
      </c>
      <c r="J85" s="0">
        <v>15</v>
      </c>
      <c r="K85" s="3">
        <v>240000000.0</v>
      </c>
      <c r="L85" s="0" t="inlineStr">
        <is>
          <t xml:space="preserve">CLP</t>
        </is>
      </c>
      <c r="M85" s="0" t="inlineStr">
        <is>
          <t xml:space="preserve">LP</t>
        </is>
      </c>
      <c r="N85"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85" s="4" t="inlineStr">
        <is>
          <t xml:space="preserve">2 Unidad · Equipo de seguridad de red de firewall · 1 Unidad · Software de vigilancia de redes</t>
        </is>
      </c>
      <c r="P85" s="2"/>
      <c r="Q85" s="2"/>
      <c r="R85" s="0" t="inlineStr">
        <is>
          <t xml:space="preserve">16 meses</t>
        </is>
      </c>
      <c r="S85" s="0" t="inlineStr">
        <is>
          <t xml:space="preserve">No</t>
        </is>
      </c>
      <c r="T85" s="4" t="inlineStr">
        <is>
          <t xml:space="preserve">Conforme al punto 10.5 de las Bases Administrativas, el oferente adjudicado no podrá subcontratar los servicios derivados de la ejecución del Contrato</t>
        </is>
      </c>
      <c r="U85" s="0" t="inlineStr">
        <is>
          <t xml:space="preserve">Francisco Borques</t>
        </is>
      </c>
      <c r="V85"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85" s="5" t="str">
        <f>HYPERLINK("https://www.mercadopublico.cl/Procurement/Modules/Attachment/ViewAttachment.aspx?enc=ry2Hoj%2bWf8GGzqkiRGqF1hJbi%2b8EchPMvo86oAs%2bQS5YjhCwHNaDGLftbQDA%2b7Oj2cJDiWvmgBwcNXgdbSw525HksBuN0NpXgW5WXBK6M%2fc0mMi7jPXFsskTF1TWxRAoK6x0UGiPZ4yhgPxdr5AqmOIe9Hv3ew80sccSP%2fzyei7wcbKQvaJwFt1RGoDLlzyVOqJn%2fChAfxtK2oyS8Jn%2bycdb2YQia177Q6i3DqNZwZfOBtS3Yj%2bES7U5ogRyZYNZzR%2bTzbBHFaN7PaqBz%2fsAoSt0jc7LHNh6SlOUCR1nYMVRDnosCgvtE4Oc1%2fOJ3u%2bn","descargar bases")</f>
      </c>
    </row>
    <row r="86">
      <c r="A86" s="0" t="inlineStr">
        <is>
          <t xml:space="preserve">594965-31-LE26</t>
        </is>
      </c>
      <c r="B86" s="4" t="inlineStr">
        <is>
          <t xml:space="preserve">INSUMOS INFORMATICOS PARA REGION DE OHIGGINS</t>
        </is>
      </c>
      <c r="C86" s="0" t="inlineStr">
        <is>
          <t xml:space="preserve">Publicada</t>
        </is>
      </c>
      <c r="D86" s="0" t="inlineStr">
        <is>
          <t xml:space="preserve">FUNDACION EDUCACIONAL PARA EL DESAROLLO INTEGRAL DE LA NIÑEZ</t>
        </is>
      </c>
      <c r="E86" s="0" t="inlineStr">
        <is>
          <t xml:space="preserve">Regional Lib Bdo Ohiggins</t>
        </is>
      </c>
      <c r="F86" s="0" t="inlineStr">
        <is>
          <t xml:space="preserve">Región del Libertador General Bernardo O´Higgins</t>
        </is>
      </c>
      <c r="G86" s="0" t="inlineStr">
        <is>
          <t xml:space="preserve">Rancagua</t>
        </is>
      </c>
      <c r="H86" s="2">
        <v>46317.452975</v>
      </c>
      <c r="I86" s="2">
        <v>46335.625694</v>
      </c>
      <c r="J86" s="0">
        <v>15</v>
      </c>
      <c r="K86" s="3">
        <v>37984000.0</v>
      </c>
      <c r="L86" s="0" t="inlineStr">
        <is>
          <t xml:space="preserve">CLP</t>
        </is>
      </c>
      <c r="M86" s="0" t="inlineStr">
        <is>
          <t xml:space="preserve">LE</t>
        </is>
      </c>
      <c r="N86" s="4" t="inlineStr">
        <is>
          <t xml:space="preserve">Equipos, accesorios y suministros de oficina / Maquinarias, suministros y accesorios de oficina / Suministros para impresora, fax y fotocopiadora</t>
        </is>
      </c>
      <c r="O86" s="4" t="inlineStr">
        <is>
          <t xml:space="preserve">124 Unidad · Tóner · 139 Unidad · Tóner · 57 Unidad · Tóner · y 34 más</t>
        </is>
      </c>
      <c r="P86" s="2"/>
      <c r="Q86" s="2"/>
      <c r="R86" s="0"/>
      <c r="S86" s="0" t="inlineStr">
        <is>
          <t xml:space="preserve">No</t>
        </is>
      </c>
      <c r="T86" s="4" t="inlineStr">
        <is>
          <t xml:space="preserve">Durante la ejecución de la presente contratación, el Proveedor NO estará facultado para subcontratar las obligaciones objeto de la presente licitación.
No obstante, se permitirá la utilización de terceros para el transporte y la distribución de los prod</t>
        </is>
      </c>
      <c r="U86" s="0" t="inlineStr">
        <is>
          <t xml:space="preserve">MARIO ORTIZ ESPINOZA</t>
        </is>
      </c>
      <c r="V86"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86" s="5" t="str">
        <f>HYPERLINK("https://www.mercadopublico.cl/Procurement/Modules/Attachment/ViewAttachment.aspx?enc=A3Hi4ispFiS21BJjBSm5GA7WdITuOOGzIKp8Eite1MLwnF2REpowVTwcvMWon96%2fS3qdqPjXbULMoevnJn7PUiIDbA%2b0pKnNhtjFakZufnMNNZuCs4MOHyte9Qa%2foCFBeMoyiwJ9CInfjTbj5QdUXPSGplzjBIJEwjd40FjNHtxIlBNo43ydwk0H6DS3JOUkRwkintLEtMGp95BtTlNzm9S8lG3bRgkxVe7asIz3G%2fc%2b1YX65MEvNrIo7Ne9b4FbIdeHArzUoj%2bED4zy6d0yu80d067Fe9lbW%2fDz88JHi5%2bsY6%2bdz%2b95KDuciGqeH0KO","descargar bases")</f>
      </c>
    </row>
    <row r="87">
      <c r="A87" s="0" t="inlineStr">
        <is>
          <t xml:space="preserve">1057390-21-LR26</t>
        </is>
      </c>
      <c r="B87" s="4" t="inlineStr">
        <is>
          <t xml:space="preserve">PLATAFORMA CLOUD COMPUTING Y SERVICIOS ASOCIADOS ESISSAN</t>
        </is>
      </c>
      <c r="C87" s="0" t="inlineStr">
        <is>
          <t xml:space="preserve">Publicada</t>
        </is>
      </c>
      <c r="D87" s="0" t="inlineStr">
        <is>
          <t xml:space="preserve">SERVICIO DE SALUD ARAUCANIA NORTE</t>
        </is>
      </c>
      <c r="E87" s="0" t="inlineStr">
        <is>
          <t xml:space="preserve">Bienes y Servicios</t>
        </is>
      </c>
      <c r="F87" s="0" t="inlineStr">
        <is>
          <t xml:space="preserve">Región de la Araucanía </t>
        </is>
      </c>
      <c r="G87" s="0" t="inlineStr">
        <is>
          <t xml:space="preserve">Angol</t>
        </is>
      </c>
      <c r="H87" s="2">
        <v>46304.689398</v>
      </c>
      <c r="I87" s="2">
        <v>46335.645833</v>
      </c>
      <c r="J87" s="0">
        <v>15</v>
      </c>
      <c r="K87" s="3">
        <v>487000000.0</v>
      </c>
      <c r="L87" s="0" t="inlineStr">
        <is>
          <t xml:space="preserve">CLP</t>
        </is>
      </c>
      <c r="M87" s="0" t="inlineStr">
        <is>
          <t xml:space="preserve">LR</t>
        </is>
      </c>
      <c r="N87" s="4" t="inlineStr">
        <is>
          <t xml:space="preserve">Tecnologías de la información, telecomunicaciones y radiodifusión / Software / Software para trabajo en redes</t>
        </is>
      </c>
      <c r="O87" s="4" t="inlineStr">
        <is>
          <t xml:space="preserve">1 Unidad · Software de interconectividad de plataformas</t>
        </is>
      </c>
      <c r="P87" s="2"/>
      <c r="Q87" s="2"/>
      <c r="R87" s="0" t="inlineStr">
        <is>
          <t xml:space="preserve">36 meses</t>
        </is>
      </c>
      <c r="S87" s="0" t="inlineStr">
        <is>
          <t xml:space="preserve">No</t>
        </is>
      </c>
      <c r="T87" s="4"/>
      <c r="U87" s="0" t="inlineStr">
        <is>
          <t xml:space="preserve">Jorge Mora Bustamante</t>
        </is>
      </c>
      <c r="V87"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87" s="5" t="str">
        <f>HYPERLINK("https://www.mercadopublico.cl/Procurement/Modules/Attachment/ViewAttachment.aspx?enc=RVCNlxHvkDkgOYKJCYn1tn7nFouAgPIWCn7GhOgHWA8iC6B3QsuNh7Rgi8mBhHrlJxOD6b1V6uAwecxyQYtB91tff6RA%2f5lFXmRagbmOV2DhpJlOST9c6Ie90z%2frFkd0d7QEXECH24YoFN5tGZo9btweo%2fGAaI4wrXDNerQ9Ihk8%2bPzCBs%2fUqtzOS5w%2bWBZPwuaRJd%2fn%2fggopQi3dk1ghyrsDwY3o0XGDrdyRAthuHgbsgbBqSqVPRIeQGVHb7MnbxzyaY9RX8jiWILbpN7G4yMBOCkKqiFfebnltj%2bSQjz24zB2aqcvyY0qNvbmbvkd","descargar bases")</f>
      </c>
    </row>
    <row r="88">
      <c r="A88" s="0" t="inlineStr">
        <is>
          <t xml:space="preserve">1260-17-LP26</t>
        </is>
      </c>
      <c r="B88" s="4" t="inlineStr">
        <is>
          <t xml:space="preserve">NARRATIVAS DIGITALES Y PRODUCCION CONTENIDOS</t>
        </is>
      </c>
      <c r="C88" s="0" t="inlineStr">
        <is>
          <t xml:space="preserve">Publicada</t>
        </is>
      </c>
      <c r="D88" s="0" t="inlineStr">
        <is>
          <t xml:space="preserve">GOBIERNO REGIONAL REGION METROPOLITANA</t>
        </is>
      </c>
      <c r="E88" s="0" t="inlineStr">
        <is>
          <t xml:space="preserve">ADQUISICIONES - PROGRAMA 01</t>
        </is>
      </c>
      <c r="F88" s="0" t="inlineStr">
        <is>
          <t xml:space="preserve">Región Metropolitana de Santiago</t>
        </is>
      </c>
      <c r="G88" s="0"/>
      <c r="H88" s="2">
        <v>46303.472778</v>
      </c>
      <c r="I88" s="2">
        <v>46335.645833</v>
      </c>
      <c r="J88" s="0">
        <v>15</v>
      </c>
      <c r="K88" s="3">
        <v>160650000.0</v>
      </c>
      <c r="L88" s="0" t="inlineStr">
        <is>
          <t xml:space="preserve">CLP</t>
        </is>
      </c>
      <c r="M88" s="0" t="inlineStr">
        <is>
          <t xml:space="preserve">LP</t>
        </is>
      </c>
      <c r="N88" s="4" t="inlineStr">
        <is>
          <t xml:space="preserve">Servicios profesionales, administrativos y consultorías de gestión empresarial / Servicios para la comercialización y distribución / Ventas y marketing</t>
        </is>
      </c>
      <c r="O88" s="4" t="inlineStr">
        <is>
          <t xml:space="preserve">1 Unidad · Agencias de marketing de ventas, incluidas las impresiones</t>
        </is>
      </c>
      <c r="P88" s="2"/>
      <c r="Q88" s="2"/>
      <c r="R88" s="0" t="inlineStr">
        <is>
          <t xml:space="preserve">365 días</t>
        </is>
      </c>
      <c r="S88" s="0" t="inlineStr">
        <is>
          <t xml:space="preserve">No</t>
        </is>
      </c>
      <c r="T88" s="4"/>
      <c r="U88" s="0" t="inlineStr">
        <is>
          <t xml:space="preserve">Joaquín Orellana Calderón</t>
        </is>
      </c>
      <c r="V88"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88" s="5" t="str">
        <f>HYPERLINK("https://www.mercadopublico.cl/Procurement/Modules/Attachment/ViewAttachment.aspx?enc=cdHZPWQixnOO%2bEIbVwvhoPKZhtRxk9kl%2bDMB1sV2XjXi5FCEYUApYLp9xG7nz3AaYbdnsF2DgJZldfjGit2uOuDdvkUKHpsU6heXu1Z1fW%2bTDIOrrZslo9b2xb3%2bxT2t8LajxkvK3nb53ZdRruHIcKhabqYFgqBaKVQwsAQGjURfAfBqgWd%2bPo4wuYMvuSZUEcJvqBsfLN%2fuHONSKRD05oogmQiD8lAra9Lq7%2bXx08e%2bMxxdPuNtkcVBdip73%2f90fHmW0E5l9Y1Vgxbf3VqwyMBiS3DQehlfxtaUrVDPkQr%2btl2rgLrgH%2bHK0px7BfNW","descargar bases")</f>
      </c>
    </row>
    <row r="89">
      <c r="A89" s="0" t="inlineStr">
        <is>
          <t xml:space="preserve">425-73-LP26</t>
        </is>
      </c>
      <c r="B89" s="4" t="inlineStr">
        <is>
          <t xml:space="preserve">Renovación de licencias de software CISCO</t>
        </is>
      </c>
      <c r="C89" s="0" t="inlineStr">
        <is>
          <t xml:space="preserve">Publicada</t>
        </is>
      </c>
      <c r="D89" s="0" t="inlineStr">
        <is>
          <t xml:space="preserve">CORP ADMINISTRATIVA DEL PODER JUDICIAL</t>
        </is>
      </c>
      <c r="E89" s="0" t="inlineStr">
        <is>
          <t xml:space="preserve">Servicios</t>
        </is>
      </c>
      <c r="F89" s="0" t="inlineStr">
        <is>
          <t xml:space="preserve">Región Metropolitana de Santiago</t>
        </is>
      </c>
      <c r="G89" s="0" t="inlineStr">
        <is>
          <t xml:space="preserve">Santiago Centro</t>
        </is>
      </c>
      <c r="H89" s="2">
        <v>46304.698588</v>
      </c>
      <c r="I89" s="2">
        <v>46335.666667</v>
      </c>
      <c r="J89" s="0">
        <v>15</v>
      </c>
      <c r="K89" s="3"/>
      <c r="L89" s="0" t="inlineStr">
        <is>
          <t xml:space="preserve">USD</t>
        </is>
      </c>
      <c r="M89" s="0" t="inlineStr">
        <is>
          <t xml:space="preserve">LP</t>
        </is>
      </c>
      <c r="N89" s="4" t="inlineStr">
        <is>
          <t xml:space="preserve">Tecnologías de la información, telecomunicaciones y radiodifusión / Software / Software de gestión</t>
        </is>
      </c>
      <c r="O89" s="4" t="inlineStr">
        <is>
          <t xml:space="preserve">5000 Unidad · Software de gestión de licencias · 20000 Unidad · Software de gestión de licencias · 11000 Unidad · Software de gestión de licencias · y 7 más</t>
        </is>
      </c>
      <c r="P89" s="2"/>
      <c r="Q89" s="2"/>
      <c r="R89" s="0" t="inlineStr">
        <is>
          <t xml:space="preserve">12 meses</t>
        </is>
      </c>
      <c r="S89" s="0" t="inlineStr">
        <is>
          <t xml:space="preserve">No</t>
        </is>
      </c>
      <c r="T89" s="4" t="inlineStr">
        <is>
          <t xml:space="preserve">Remítase a lo indicado en el numeral 15 de las bases administrativas especiales</t>
        </is>
      </c>
      <c r="U89" s="0" t="inlineStr">
        <is>
          <t xml:space="preserve">César Herrera Mejías</t>
        </is>
      </c>
      <c r="V89" s="4" t="inlineStr">
        <is>
          <t xml:space="preserve">UR (1804), Renovación de licencias de software CISCO</t>
        </is>
      </c>
      <c r="W89" s="5" t="str">
        <f>HYPERLINK("https://www.mercadopublico.cl/Procurement/Modules/Attachment/ViewAttachment.aspx?enc=UM2GcoQuEczzo2dX%2fQFuP893eubEU5Eg238tt3d7uyagrgMHGutPWgLYKGb6fUgJ9xG4QM1hutuatv2XLDFgD%2bEHTbp0jmFDDJ38tH8vvni61W2R%2f0mGjp0xfMa7a2qJkNsP1AlDG5yi7IdurTMgQA9dkt5RAlJPpJQI5Kfnj6Fw1F%2fVK5yz8FaVQE%2fBSNzQEStf8P2KRUQY%2beO%2bQ1H9lQsN14iE5tAzg%2bcXAsYXiQ4ZRkEzfcdGurYne7RViDfI2HzeH2hvQsRrD23zr1EknO8XR04DTQNygY3hBlHJxDW8MCYYPdAGS6wN1E1Jksfw","descargar bases")</f>
      </c>
    </row>
    <row r="90">
      <c r="A90" s="0" t="inlineStr">
        <is>
          <t xml:space="preserve">564953-78-B226</t>
        </is>
      </c>
      <c r="B90" s="4" t="inlineStr">
        <is>
          <t xml:space="preserve">ACTUALIZACIÓN PLATAFORMA ERP</t>
        </is>
      </c>
      <c r="C90" s="0" t="inlineStr">
        <is>
          <t xml:space="preserve">Publicada</t>
        </is>
      </c>
      <c r="D90" s="0" t="inlineStr">
        <is>
          <t xml:space="preserve">Corporación de Educación y Salud de Las Condes</t>
        </is>
      </c>
      <c r="E90" s="0" t="inlineStr">
        <is>
          <t xml:space="preserve">Corporación de Educación y Salud de Las Condes</t>
        </is>
      </c>
      <c r="F90" s="0" t="inlineStr">
        <is>
          <t xml:space="preserve">Región Metropolitana de Santiago</t>
        </is>
      </c>
      <c r="G90" s="0" t="inlineStr">
        <is>
          <t xml:space="preserve">Las Condes</t>
        </is>
      </c>
      <c r="H90" s="2">
        <v>46315.70647</v>
      </c>
      <c r="I90" s="2">
        <v>46335.749306</v>
      </c>
      <c r="J90" s="0">
        <v>15</v>
      </c>
      <c r="K90" s="3">
        <v>250000000.0</v>
      </c>
      <c r="L90" s="0" t="inlineStr">
        <is>
          <t xml:space="preserve">CLP</t>
        </is>
      </c>
      <c r="M90" s="0" t="inlineStr">
        <is>
          <t xml:space="preserve">B2</t>
        </is>
      </c>
      <c r="N90" s="4" t="inlineStr">
        <is>
          <t xml:space="preserve">Tecnologías de la información, telecomunicaciones y radiodifusión / Software / Software de planificación de recursos empresariales (ERP) y contabilidad financiera</t>
        </is>
      </c>
      <c r="O90" s="4" t="inlineStr">
        <is>
          <t xml:space="preserve">1 Unidad · Software de planificación de recursos empresariales (ERP)</t>
        </is>
      </c>
      <c r="P90" s="2"/>
      <c r="Q90" s="2"/>
      <c r="R90" s="0" t="inlineStr">
        <is>
          <t xml:space="preserve">40 meses</t>
        </is>
      </c>
      <c r="S90" s="0" t="inlineStr">
        <is>
          <t xml:space="preserve">No</t>
        </is>
      </c>
      <c r="T90" s="4"/>
      <c r="U90" s="0" t="inlineStr">
        <is>
          <t xml:space="preserve">Cristian Seguel</t>
        </is>
      </c>
      <c r="V90" s="4" t="inlineStr">
        <is>
          <t xml:space="preserve">El objetivo de la presente licitación es contratar el servicio de implementación y soporte de ERP Dynamics Business Central</t>
        </is>
      </c>
      <c r="W90" s="5" t="str">
        <f>HYPERLINK("https://www.mercadopublico.cl/Procurement/Modules/Attachment/ViewAttachment.aspx?enc=zU7EnX88Muq5P2uWLE6X8l2LAEpECN6e6H8QBfFWkg8vthCS3twTLO0GEBvCxYQJ7bqEBMNcXEFzwZAPHcfE8ANzQpmN%2bB%2fS8TLXrEXAnR5uzQYHWLD7p1R%2b%2fHb6L9rxXRGeOg9ZocVoxTvdLxUHwLHhD%2fwtHVKayxpgs0k8DdpwfDM9cxg3%2bFCQh6LIJaHk4YpWDxyCnKssLJx1zKJKUMcztfCuJXVHUtk%2f8l6gZz7nIX3%2bbNMPGTwu%2fwiKpSyDOjfFHqmegtMMA1e9THlUHyW9wEDcxgcmPq7Sj0n5i8nMHOaPlw9o3T40a%2bbwUc7X","descargar bases")</f>
      </c>
    </row>
    <row r="91">
      <c r="A91" s="0" t="inlineStr">
        <is>
          <t xml:space="preserve">4160-22-LP26</t>
        </is>
      </c>
      <c r="B91" s="4" t="inlineStr">
        <is>
          <t xml:space="preserve">SERVICIO DE INTERNET VOZ Y DATOS</t>
        </is>
      </c>
      <c r="C91" s="0" t="inlineStr">
        <is>
          <t xml:space="preserve">Publicada</t>
        </is>
      </c>
      <c r="D91" s="0" t="inlineStr">
        <is>
          <t xml:space="preserve">MUNICIPALIDAD DE HUALPEN</t>
        </is>
      </c>
      <c r="E91" s="0" t="inlineStr">
        <is>
          <t xml:space="preserve">Secplan</t>
        </is>
      </c>
      <c r="F91" s="0" t="inlineStr">
        <is>
          <t xml:space="preserve">Región del Biobío </t>
        </is>
      </c>
      <c r="G91" s="0" t="inlineStr">
        <is>
          <t xml:space="preserve">Hualpén</t>
        </is>
      </c>
      <c r="H91" s="2">
        <v>46314.427569</v>
      </c>
      <c r="I91" s="2">
        <v>46336.583333</v>
      </c>
      <c r="J91" s="0">
        <v>16</v>
      </c>
      <c r="K91" s="3"/>
      <c r="L91" s="0" t="inlineStr">
        <is>
          <t xml:space="preserve">CLF</t>
        </is>
      </c>
      <c r="M91" s="0" t="inlineStr">
        <is>
          <t xml:space="preserve">LP</t>
        </is>
      </c>
      <c r="N91" s="4" t="inlineStr">
        <is>
          <t xml:space="preserve">Servicios basados en ingeniería, ciencias sociales y tecnología de la información / Servicios informáticos / Servicios para internet</t>
        </is>
      </c>
      <c r="O91" s="4" t="inlineStr">
        <is>
          <t xml:space="preserve">36 Mes · Proveedores de servicio de Internet (ISP)</t>
        </is>
      </c>
      <c r="P91" s="2"/>
      <c r="Q91" s="2"/>
      <c r="R91" s="0" t="inlineStr">
        <is>
          <t xml:space="preserve">36 meses</t>
        </is>
      </c>
      <c r="S91" s="0" t="inlineStr">
        <is>
          <t xml:space="preserve">No</t>
        </is>
      </c>
      <c r="T91" s="4"/>
      <c r="U91" s="0" t="inlineStr">
        <is>
          <t xml:space="preserve">RENE IBAÑEZ RETAMAL</t>
        </is>
      </c>
      <c r="V91"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 objetivo es la contratación del “SERVICIO DE INTERNET, VOZ Y DATOS PARA LA MUNICIPALIDAD DE HUALPÉN”, para lo cual se deberá considerar un plazo de prestación del servicio de 36 meses corridos.</t>
        </is>
      </c>
      <c r="W91" s="5" t="str">
        <f>HYPERLINK("https://www.mercadopublico.cl/Procurement/Modules/Attachment/ViewAttachment.aspx?enc=xYU%2bFf8%2bLDu4bcRRxdxBpDZaOd%2bcxbkE6ohqFMkOCA34wfmP7Sy5c%2fIUv6yqyqz1QDqaB1r%2f%2fHYuuzjjLAqfY11tWC3ZF5G5Ll7TBuim5nJN%2bz%2bZ9zdtNmj7GP2K7Cqcs1gwA2ISy4PjMAydELzozKxZH12aB5RdGMS9MTUvPP4WlOGdsKk%2b37C0ISAVj%2bDVwR1d1LBrVqhgBhbcAH4dW2iHAuaEgeVRkYkZkpv7YPH2ChPWW6U%2fFsTRYsUVj0doRXPtClT4msbhguMiolcK%2bdsgblILa10U5tfz7bKIOxHvRyv2uniSLzmiMQTqKJmi","descargar bases")</f>
      </c>
    </row>
    <row r="92">
      <c r="A92" s="0" t="inlineStr">
        <is>
          <t xml:space="preserve">1233623-47-LP26</t>
        </is>
      </c>
      <c r="B92" s="4" t="inlineStr">
        <is>
          <t xml:space="preserve">SOFTWARE PARA GESTION DE PERSONAS LICANCABUR</t>
        </is>
      </c>
      <c r="C92" s="0" t="inlineStr">
        <is>
          <t xml:space="preserve">Publicada</t>
        </is>
      </c>
      <c r="D92" s="0" t="inlineStr">
        <is>
          <t xml:space="preserve">Servicio Local de Educación Pública Licancabur</t>
        </is>
      </c>
      <c r="E92" s="0" t="inlineStr">
        <is>
          <t xml:space="preserve">Servicio Local de Educación Pública Licancabur</t>
        </is>
      </c>
      <c r="F92" s="0" t="inlineStr">
        <is>
          <t xml:space="preserve">Región de Antofagasta </t>
        </is>
      </c>
      <c r="G92" s="0" t="inlineStr">
        <is>
          <t xml:space="preserve">Calama</t>
        </is>
      </c>
      <c r="H92" s="2">
        <v>46316.519699</v>
      </c>
      <c r="I92" s="2">
        <v>46336.625</v>
      </c>
      <c r="J92" s="0">
        <v>16</v>
      </c>
      <c r="K92" s="3"/>
      <c r="L92" s="0" t="inlineStr">
        <is>
          <t xml:space="preserve">CLP</t>
        </is>
      </c>
      <c r="M92" s="0" t="inlineStr">
        <is>
          <t xml:space="preserve">LP</t>
        </is>
      </c>
      <c r="N92" s="4" t="inlineStr">
        <is>
          <t xml:space="preserve">Tecnologías de la información, telecomunicaciones y radiodifusión / Software / Software de gestión</t>
        </is>
      </c>
      <c r="O92" s="4" t="inlineStr">
        <is>
          <t xml:space="preserve">1 Unidad · Software de gestión de recursos humanos</t>
        </is>
      </c>
      <c r="P92" s="2"/>
      <c r="Q92" s="2"/>
      <c r="R92" s="0" t="inlineStr">
        <is>
          <t xml:space="preserve">36 meses</t>
        </is>
      </c>
      <c r="S92" s="0" t="inlineStr">
        <is>
          <t xml:space="preserve">No</t>
        </is>
      </c>
      <c r="T92" s="4"/>
      <c r="U92" s="0" t="inlineStr">
        <is>
          <t xml:space="preserve">BRUNO BERKHOFF</t>
        </is>
      </c>
      <c r="V92" s="4" t="inlineStr">
        <is>
          <t xml:space="preserve">SOFTWARE PARA GESTION DE PERSONAS SLEP LICANCABUR POR UN PERIODO DE 36 MESES SEGUN LO INDICADO EN LAS BASES ADMINISTRATIVAS Y TECNICAS. COMPLETAR LOS ANEXOS FIRMARLOS SUBIRLOS A LA PLATAFORMA Y REALIZAR EXPOSICION TECNICA REMOTA</t>
        </is>
      </c>
      <c r="W92" s="5" t="str">
        <f>HYPERLINK("https://www.mercadopublico.cl/Procurement/Modules/Attachment/ViewAttachment.aspx?enc=Hdi4SeIpk77Dj0hwuGFlor5ja8i9ZczXQzKD1ktthgEKxwULy2EIC5CXZJTUF2TZ1zRl5doecUroHZixWgNNDymCibXKmD19MeU8qaZBVGGQxMCbHx%2buSSoRnkzNzgS4wNBqraWZa5OdDRnL00HbCLcRDUgCZm34wDMKOU3jqkAqYl6a0P2OrWaWqOybq45%2fC3oxK%2f8ldBQrixxxWrvO2WIPIoYdgCxYDiiNqQaUehBqbhC50YP7RQ89pPBgPqAjTpfa7IAGO5s49FWQAeaEm4Pryjl5a%2fXXACOonUW1K27jRSiyDRXwz3NXPGmHdf0c","descargar bases")</f>
      </c>
    </row>
    <row r="93">
      <c r="A93" s="0" t="inlineStr">
        <is>
          <t xml:space="preserve">5482-101-LR26</t>
        </is>
      </c>
      <c r="B93" s="4" t="inlineStr">
        <is>
          <t xml:space="preserve">Plataforma IA para video y seguridad urbana</t>
        </is>
      </c>
      <c r="C93" s="0" t="inlineStr">
        <is>
          <t xml:space="preserve">Publicada</t>
        </is>
      </c>
      <c r="D93" s="0" t="inlineStr">
        <is>
          <t xml:space="preserve">I MUNICIPALIDAD DE NUNOA</t>
        </is>
      </c>
      <c r="E93" s="0" t="inlineStr">
        <is>
          <t xml:space="preserve">SECPLANUNOA</t>
        </is>
      </c>
      <c r="F93" s="0" t="inlineStr">
        <is>
          <t xml:space="preserve">Región Metropolitana de Santiago</t>
        </is>
      </c>
      <c r="G93" s="0" t="inlineStr">
        <is>
          <t xml:space="preserve">Ñuñoa</t>
        </is>
      </c>
      <c r="H93" s="2">
        <v>46275.729861</v>
      </c>
      <c r="I93" s="2">
        <v>46336.625694</v>
      </c>
      <c r="J93" s="0">
        <v>16</v>
      </c>
      <c r="K93" s="3"/>
      <c r="L93" s="0" t="inlineStr">
        <is>
          <t xml:space="preserve">CLF</t>
        </is>
      </c>
      <c r="M93" s="0" t="inlineStr">
        <is>
          <t xml:space="preserve">LR</t>
        </is>
      </c>
      <c r="N93" s="4" t="inlineStr">
        <is>
          <t xml:space="preserve">Tecnologías de la información, telecomunicaciones y radiodifusión / Software / Programas de desarrollo</t>
        </is>
      </c>
      <c r="O93" s="4" t="inlineStr">
        <is>
          <t xml:space="preserve">1 Global · Software de desarrollo de plataforma Web · 26 Mes · Software de desarrollo de plataforma Web</t>
        </is>
      </c>
      <c r="P93" s="2"/>
      <c r="Q93" s="2"/>
      <c r="R93" s="0" t="inlineStr">
        <is>
          <t xml:space="preserve">26 meses</t>
        </is>
      </c>
      <c r="S93" s="0" t="inlineStr">
        <is>
          <t xml:space="preserve">No</t>
        </is>
      </c>
      <c r="T93" s="4"/>
      <c r="U93" s="0" t="inlineStr">
        <is>
          <t xml:space="preserve">Katherinne Ayala</t>
        </is>
      </c>
      <c r="V93"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93" s="5" t="str">
        <f>HYPERLINK("https://www.mercadopublico.cl/Procurement/Modules/Attachment/ViewAttachment.aspx?enc=n2kp3hsRmYWe1CYsQQbtBw8u3PsGR%2b4CYVEeNllckDHGuD6DCVDXKfO9E1CeHZuTfccmNz73%2bDjZUbRWvOf1CpnbA9it2EGZfJHf%2bAAf3VOKyFSlkoJh%2fWCe9%2fkyytG2SC%2b4HaV7t%2buKA%2fWmwfMS6NDh30mpKNOWwQ5qv0Rv3rkHYfcmOF8iprZIeq96K1N5HmStdk7ln0XbRrCoGeVPImqFVX9e6s6uP1u%2fjPCEvvgvdYaZHzVKfPcCjRvF1HWBMH8XIpZDSOPV12UVgeJxtHez5KXnc4M9a3FDxdRIT3SaQWmkpJFrLUsHeMQZlq9X","descargar bases")</f>
      </c>
    </row>
    <row r="94">
      <c r="A94" s="0" t="inlineStr">
        <is>
          <t xml:space="preserve">1057049-394-LP26</t>
        </is>
      </c>
      <c r="B94" s="4" t="inlineStr">
        <is>
          <t xml:space="preserve">JLL CONTRATACION DE SERVICIOS DE TURNOS DE PERSONAL TECNICO INFORMATICO DE APOYO PARA EL DEPARTAMENTO DE TECNOLOGIAS DE LA INFORMACION Y COMUNICACIONES</t>
        </is>
      </c>
      <c r="C94" s="0" t="inlineStr">
        <is>
          <t xml:space="preserve">Publicada</t>
        </is>
      </c>
      <c r="D94" s="0" t="inlineStr">
        <is>
          <t xml:space="preserve">SERV SALUD METROPOLITANO CENTRAL HOSPITAL CLINICO SAN BORJA ARRIARAN</t>
        </is>
      </c>
      <c r="E94" s="0" t="inlineStr">
        <is>
          <t xml:space="preserve">Bienes y Servicios</t>
        </is>
      </c>
      <c r="F94" s="0" t="inlineStr">
        <is>
          <t xml:space="preserve">Región Metropolitana de Santiago</t>
        </is>
      </c>
      <c r="G94" s="0" t="inlineStr">
        <is>
          <t xml:space="preserve">Santiago</t>
        </is>
      </c>
      <c r="H94" s="2">
        <v>46315.59515</v>
      </c>
      <c r="I94" s="2">
        <v>46336.645833</v>
      </c>
      <c r="J94" s="0">
        <v>16</v>
      </c>
      <c r="K94" s="3"/>
      <c r="L94" s="0" t="inlineStr">
        <is>
          <t xml:space="preserve">CLP</t>
        </is>
      </c>
      <c r="M94" s="0" t="inlineStr">
        <is>
          <t xml:space="preserve">LP</t>
        </is>
      </c>
      <c r="N94" s="4" t="inlineStr">
        <is>
          <t xml:space="preserve">Servicios profesionales, administrativos y consultorías de gestión empresarial / Servicios de recursos humanos / Servicios de personal temporal</t>
        </is>
      </c>
      <c r="O94" s="4" t="inlineStr">
        <is>
          <t xml:space="preserve">1 Global · Personal técnico temporal</t>
        </is>
      </c>
      <c r="P94" s="2"/>
      <c r="Q94" s="2"/>
      <c r="R94" s="0" t="inlineStr">
        <is>
          <t xml:space="preserve">24 meses</t>
        </is>
      </c>
      <c r="S94" s="0" t="inlineStr">
        <is>
          <t xml:space="preserve">No</t>
        </is>
      </c>
      <c r="T94" s="4"/>
      <c r="U94" s="0" t="inlineStr">
        <is>
          <t xml:space="preserve">JUAN CARLOS LAFONT</t>
        </is>
      </c>
      <c r="V94" s="4" t="inlineStr">
        <is>
          <t xml:space="preserve">JLL APRUEBA BASES DE LICITACION DE CONTRATACION DE SERVICIOS DE TURNOS DE PERSONAL TECNICO INFORMATICO DE APOYO PARA EL DEPARTAMENTO DE TECNOLOGIAS DE LA INFORMACION Y COMUNICACIONES DEL HOSPITAL CLINICO SAN BORJA ARRIARAN.</t>
        </is>
      </c>
      <c r="W94" s="5" t="str">
        <f>HYPERLINK("https://www.mercadopublico.cl/Procurement/Modules/Attachment/ViewAttachment.aspx?enc=v%2bAC40AZz4QRWey3gj55Vrwf6HzOvFeb8M5nJ0btZ5yym9hTRiFHTsl1UOdKKGwbLvWyjQroe0HNgnp7kOmZ32BvBKD092CuPwWr%2fKtk1qdupruomqtWyODSCte%2bkHgeRFfAN0r%2f9Gy67C2XGjtkOeAQphmQKJOdRE7p%2bwjuQ9CXr0mBmNGKAqvHcOogpXcxHWswfk6hQfIHEvlDSmfmwCtXN4OPKP3ri%2f1aqDut5yLlocFHx6e4RDsqGfyE6zqBuO%2fM6B0zAi1yU%2f%2bg0ik2lV5xO6rHBvr5iJ2eW5ncymdo0Tsq1FfR5TRn%2bZoXHcNG","descargar bases")</f>
      </c>
    </row>
    <row r="95">
      <c r="A95" s="0" t="inlineStr">
        <is>
          <t xml:space="preserve">948354-157-LP26</t>
        </is>
      </c>
      <c r="B95" s="4" t="inlineStr">
        <is>
          <t xml:space="preserve">CONTRATACIÓN DEL SERVICIO DE ARRIENDO DE UNA CABINA SANITARIA CON EQUIPO MAMÓGRAFO PARA USO DE MAMOGRAFÍA DIGITALIZADA PORTÁTIL PARA EL HOSPITAL DIPRECA</t>
        </is>
      </c>
      <c r="C95" s="0" t="inlineStr">
        <is>
          <t xml:space="preserve">Publicada</t>
        </is>
      </c>
      <c r="D95" s="0" t="inlineStr">
        <is>
          <t xml:space="preserve">FONDO HOSPITAL DE LA DIRECCION DE PREVISION DE CARABINEROS DE CHILE</t>
        </is>
      </c>
      <c r="E95" s="0" t="inlineStr">
        <is>
          <t xml:space="preserve">Unidad de Compra de Bienes y Servicios</t>
        </is>
      </c>
      <c r="F95" s="0" t="inlineStr">
        <is>
          <t xml:space="preserve">Región Metropolitana de Santiago</t>
        </is>
      </c>
      <c r="G95" s="0" t="inlineStr">
        <is>
          <t xml:space="preserve">Las Condes</t>
        </is>
      </c>
      <c r="H95" s="2">
        <v>46316.642211</v>
      </c>
      <c r="I95" s="2">
        <v>46336.666667</v>
      </c>
      <c r="J95" s="0">
        <v>16</v>
      </c>
      <c r="K95" s="3"/>
      <c r="L95" s="0" t="inlineStr">
        <is>
          <t xml:space="preserve">CLP</t>
        </is>
      </c>
      <c r="M95" s="0" t="inlineStr">
        <is>
          <t xml:space="preserve">LP</t>
        </is>
      </c>
      <c r="N95" s="4" t="inlineStr">
        <is>
          <t xml:space="preserve">Equipamiento y suministros médicos / Productos para imágenes y de medicina nuclear / Artículos radiográficos de diagnóstico médico</t>
        </is>
      </c>
      <c r="O95" s="4" t="inlineStr">
        <is>
          <t xml:space="preserve">12 Mes · Equipo para radiografías mamográficas</t>
        </is>
      </c>
      <c r="P95" s="2"/>
      <c r="Q95" s="2"/>
      <c r="R95" s="0" t="inlineStr">
        <is>
          <t xml:space="preserve">12 meses</t>
        </is>
      </c>
      <c r="S95" s="0" t="inlineStr">
        <is>
          <t xml:space="preserve">No</t>
        </is>
      </c>
      <c r="T95" s="4"/>
      <c r="U95" s="0" t="inlineStr">
        <is>
          <t xml:space="preserve">Dra. Constanza Damm Araneda</t>
        </is>
      </c>
      <c r="V95"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5" s="5" t="str">
        <f>HYPERLINK("https://www.mercadopublico.cl/Procurement/Modules/Attachment/ViewAttachment.aspx?enc=hJ0ceYkzgvLlyvsUB0Gj5ShYDxg4k8iWjR7cQXAdkJwHRR%2brb%2b7QD9QArUQF9F9D6a2Z8Cwg1%2bvtGvTGaOnZcuDUoi6n7sLe7OLDWCMwSOEQzu%2f%2ffF%2flAPDHMSnb8cvLeyHHbsx5RcExMbZv7AiJcO8ilJruK5kN3MWNLQvDFxCZZ0ZHmDqo%2fDeJoB6m%2bAtsEQesVffF1NX8zdDAEKxT5rXgtOslBNw93Mk9vFG6F6w7IfSU9V415mkvs1pjZl%2bANHQxvF7H4UeBO9dfhOq4xIDruzHjRXd%2f2QbSXjbyf9d5djQ9F4GC%2bB5zGs1s1x1b","descargar bases")</f>
      </c>
    </row>
    <row r="96">
      <c r="A96" s="0" t="inlineStr">
        <is>
          <t xml:space="preserve">621923-6-LP26</t>
        </is>
      </c>
      <c r="B96" s="4" t="inlineStr">
        <is>
          <t xml:space="preserve">Adquisición de licencias de software</t>
        </is>
      </c>
      <c r="C96" s="0" t="inlineStr">
        <is>
          <t xml:space="preserve">Publicada</t>
        </is>
      </c>
      <c r="D96" s="0" t="inlineStr">
        <is>
          <t xml:space="preserve">DIVISION LOGISTICA DEL EJERCITO</t>
        </is>
      </c>
      <c r="E96" s="0" t="inlineStr">
        <is>
          <t xml:space="preserve">Regimiento de Inteligencia del Ejército N2 Llaitún</t>
        </is>
      </c>
      <c r="F96" s="0" t="inlineStr">
        <is>
          <t xml:space="preserve">Región Metropolitana de Santiago</t>
        </is>
      </c>
      <c r="G96" s="0" t="inlineStr">
        <is>
          <t xml:space="preserve">Peñalolén</t>
        </is>
      </c>
      <c r="H96" s="2">
        <v>46314.691424</v>
      </c>
      <c r="I96" s="2">
        <v>46336.791667</v>
      </c>
      <c r="J96" s="0">
        <v>16</v>
      </c>
      <c r="K96" s="3"/>
      <c r="L96" s="0" t="inlineStr">
        <is>
          <t xml:space="preserve">CLP</t>
        </is>
      </c>
      <c r="M96" s="0" t="inlineStr">
        <is>
          <t xml:space="preserve">LP</t>
        </is>
      </c>
      <c r="N96" s="4" t="inlineStr">
        <is>
          <t xml:space="preserve">Tecnologías de la información, telecomunicaciones y radiodifusión / Software / Software de gestión</t>
        </is>
      </c>
      <c r="O96" s="4" t="inlineStr">
        <is>
          <t xml:space="preserve">6 Unidad · Paquetes de software para oficinas · 1 Unidad · Software de gestión de licencias · 1 Unidad · Software de gestión de licencias · y 3 más</t>
        </is>
      </c>
      <c r="P96" s="2"/>
      <c r="Q96" s="2"/>
      <c r="R96" s="0"/>
      <c r="S96" s="0" t="inlineStr">
        <is>
          <t xml:space="preserve">No</t>
        </is>
      </c>
      <c r="T96" s="4"/>
      <c r="U96" s="0" t="inlineStr">
        <is>
          <t xml:space="preserve">LEONARDO GALLARDO SOTO</t>
        </is>
      </c>
      <c r="V96" s="4" t="inlineStr">
        <is>
          <t xml:space="preserve">Licitación pública para la adquisición, por líneas de compra, de licencias de software para el Regimiento de Inteligencia N.º 2 “Llaitún.</t>
        </is>
      </c>
      <c r="W96" s="5" t="str">
        <f>HYPERLINK("https://www.mercadopublico.cl/Procurement/Modules/Attachment/ViewAttachment.aspx?enc=b%2bAT0uXsuoextsnPuxqB5P7Agg5qrK6XXEGxBgbyz%2fIpSey%2bQU6w4UNdQaAJ9uZIRyeTaJToKqw4dMHmZHSesuiusRg465Y0Nr6b5rH%2bRBiyo7p6wRElg4LFPvZRrN%2boY%2fb9OenaW72c37jrKgGlhrIhuA%2fnnHKnchYpZnuJmyXvZOmuiXyyGufj16C4KziWMP1iscfIrITiWkl58o%2bqqi32pcNz4XIVUFBQRVAXUIFfzFPlWM17mQanMAwTbGnYPlvN4wdGlCi2zeRqbEx2mVIXKRXmF34xYWjurzDWC0jBcqKZaa29pwB4LkLj8GlL","descargar bases")</f>
      </c>
    </row>
    <row r="97">
      <c r="A97" s="0" t="inlineStr">
        <is>
          <t xml:space="preserve">885-98-LP26</t>
        </is>
      </c>
      <c r="B97" s="4" t="inlineStr">
        <is>
          <t xml:space="preserve">Adquisición de servidores destinados a la actualización de plataforma de búsqueda e indexación para la Contraloría General de la República</t>
        </is>
      </c>
      <c r="C97" s="0" t="inlineStr">
        <is>
          <t xml:space="preserve">Publicada</t>
        </is>
      </c>
      <c r="D97" s="0" t="inlineStr">
        <is>
          <t xml:space="preserve">CONTRALORIA GENERAL DE LA REPUBLICA</t>
        </is>
      </c>
      <c r="E97" s="0" t="inlineStr">
        <is>
          <t xml:space="preserve">Contraloría General de la República</t>
        </is>
      </c>
      <c r="F97" s="0" t="inlineStr">
        <is>
          <t xml:space="preserve">Región Metropolitana de Santiago</t>
        </is>
      </c>
      <c r="G97" s="0"/>
      <c r="H97" s="2">
        <v>46317.692153</v>
      </c>
      <c r="I97" s="2">
        <v>46337.666667</v>
      </c>
      <c r="J97" s="0">
        <v>17</v>
      </c>
      <c r="K97" s="3">
        <v>220000000.0</v>
      </c>
      <c r="L97" s="0" t="inlineStr">
        <is>
          <t xml:space="preserve">CLP</t>
        </is>
      </c>
      <c r="M97" s="0" t="inlineStr">
        <is>
          <t xml:space="preserve">LP</t>
        </is>
      </c>
      <c r="N97" s="4" t="inlineStr">
        <is>
          <t xml:space="preserve">Tecnologías de la información, telecomunicaciones y radiodifusión / Equipos informáticos y accesorios / Computadores</t>
        </is>
      </c>
      <c r="O97" s="4" t="inlineStr">
        <is>
          <t xml:space="preserve">1 Global · Servidores</t>
        </is>
      </c>
      <c r="P97" s="2"/>
      <c r="Q97" s="2"/>
      <c r="R97" s="0" t="inlineStr">
        <is>
          <t xml:space="preserve">36 meses</t>
        </is>
      </c>
      <c r="S97" s="0" t="inlineStr">
        <is>
          <t xml:space="preserve">No</t>
        </is>
      </c>
      <c r="T97" s="4"/>
      <c r="U97" s="0" t="inlineStr">
        <is>
          <t xml:space="preserve">Tania Cornejo Abarca</t>
        </is>
      </c>
      <c r="V97" s="4" t="inlineStr">
        <is>
          <t xml:space="preserve">La Contraloría General de la República requiere renovar su plataforma de búsqueda e indexación, disponiendo de una infraestructura física moderna,
escalable y de alta disponibilidad que permita soportar el crecimiento sostenido del volumen documental y los requerimientos actuales y futuros
de procesamiento y consulta de información.</t>
        </is>
      </c>
      <c r="W97" s="5" t="str">
        <f>HYPERLINK("https://www.mercadopublico.cl/Procurement/Modules/Attachment/ViewAttachment.aspx?enc=ovwRmHkpRspR2Njcj32cbwToKvW6A42UG53Wg1DDJuvavCfOZc4pX7mWyWoF4%2b8ICk%2bGc5Jede4yXytmHLbLx6iuQ8yahScT8bA1KTqDlUhmfCwYPg%2fNCTHj9eoHIj2oW8Sx4ro8hYRqQQ7wXaY4Liy%2bqWlJUh%2fhmgMyNCo752ZypJVNRUz4B9G82r1Kj5tDu5vIgRYxRF3YR%2boHFh8CIMG69%2baCMnd2Ahni2NDbOoUhiGdfHESAmXrGksn%2blP%2bG0D9fmhlb6EGuGd7w9uSdGTGU9S4wTpnjCXv%2b3ZAKzbGnBKYzKUFGsMVnwNHYjPwI","descargar bases")</f>
      </c>
    </row>
    <row r="98">
      <c r="A98" s="0" t="inlineStr">
        <is>
          <t xml:space="preserve">1422051-31-LE26</t>
        </is>
      </c>
      <c r="B98" s="4" t="inlineStr">
        <is>
          <t xml:space="preserve">Contratación Servicio Plataforma de Gestión RRHH</t>
        </is>
      </c>
      <c r="C98" s="0" t="inlineStr">
        <is>
          <t xml:space="preserve">Publicada</t>
        </is>
      </c>
      <c r="D98" s="0" t="inlineStr">
        <is>
          <t xml:space="preserve">JUNTA DE ALCALDES PROVIDENCIA LAS CONDES LA REINA</t>
        </is>
      </c>
      <c r="E98" s="0" t="inlineStr">
        <is>
          <t xml:space="preserve">JUNTA DE ALCALDES PROVIDENCIA LAS CONDES LA REINA</t>
        </is>
      </c>
      <c r="F98" s="0" t="inlineStr">
        <is>
          <t xml:space="preserve">Región Metropolitana de Santiago</t>
        </is>
      </c>
      <c r="G98" s="0"/>
      <c r="H98" s="2">
        <v>46318.614398</v>
      </c>
      <c r="I98" s="2">
        <v>46337.708333</v>
      </c>
      <c r="J98" s="0">
        <v>17</v>
      </c>
      <c r="K98" s="3">
        <v>30500000.0</v>
      </c>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Unidad · Software de gestión de recursos humanos</t>
        </is>
      </c>
      <c r="P98" s="2"/>
      <c r="Q98" s="2"/>
      <c r="R98" s="0" t="inlineStr">
        <is>
          <t xml:space="preserve">24 horas</t>
        </is>
      </c>
      <c r="S98" s="0" t="inlineStr">
        <is>
          <t xml:space="preserve">No</t>
        </is>
      </c>
      <c r="T98" s="4" t="inlineStr">
        <is>
          <t xml:space="preserve">Revisar numeral 2.2</t>
        </is>
      </c>
      <c r="U98" s="0" t="inlineStr">
        <is>
          <t xml:space="preserve">Hector Fuentealba Riquelme</t>
        </is>
      </c>
      <c r="V98" s="4" t="inlineStr">
        <is>
          <t xml:space="preserve">El servicio para contratar corresponde a una plataforma integral de gestión de personas en modalidad
de servicio (software como servicio, alojado en infraestructura del proveedor), que comprende la
implementación, migración de datos, capacitación, soporte y operación continua de los módulos y
funcionalidades descritos en las Especificaciones Técnicas de las presentes Bases, para una dotación
aproximada de 260 trabajadores y 10 prestadores de servicios.</t>
        </is>
      </c>
      <c r="W98" s="5" t="str">
        <f>HYPERLINK("https://www.mercadopublico.cl/Procurement/Modules/Attachment/ViewAttachment.aspx?enc=3dMMwuQtIVGH5DxW%2f%2fwizqI4HVHkLIG1kpzBvjtzFgOWpLc7na6oqMAZQpdSirv3zr1%2fl8wDEjhikqgA0nEyXi8vKpwiuJU0OgS%2f7bkQxRpgnlTzh0DgXBhP09Icd0dpdKgz%2b31M%2bCXNiXm%2fBZi%2bLhyKq93BCk%2bTS42c0OQ6JOCeCxSlxaDQooKUES7e8dgS9y17SV38acTlqCzEVCWUT2BncX8JbP0LDcJRj9x5z8YPnjxyyd1AO93xEm1HTEAG0%2bxfm03m81PBoNBzTuCMLzk4g%2bZFqSRTl4qXgh%2bwTDq%2f9ycKqohdL6Hm8e4%2fSsc5","descargar bases")</f>
      </c>
    </row>
    <row r="99">
      <c r="A99" s="0" t="inlineStr">
        <is>
          <t xml:space="preserve">5240-109-LR26</t>
        </is>
      </c>
      <c r="B99" s="4" t="inlineStr">
        <is>
          <t xml:space="preserve">SOFTWARE USO FORENSE DE EXTRACC. Y ANALIS DE DATOS</t>
        </is>
      </c>
      <c r="C99" s="0" t="inlineStr">
        <is>
          <t xml:space="preserve">Publicada</t>
        </is>
      </c>
      <c r="D99" s="0" t="inlineStr">
        <is>
          <t xml:space="preserve">DIRECCION DE LOGISTICA DE CARABINEROS</t>
        </is>
      </c>
      <c r="E99" s="0" t="inlineStr">
        <is>
          <t xml:space="preserve">Direccion de Compras Publicas de Carabineros</t>
        </is>
      </c>
      <c r="F99" s="0" t="inlineStr">
        <is>
          <t xml:space="preserve">Región Metropolitana de Santiago</t>
        </is>
      </c>
      <c r="G99" s="0" t="inlineStr">
        <is>
          <t xml:space="preserve">Santiago Centro</t>
        </is>
      </c>
      <c r="H99" s="2">
        <v>46308.369236</v>
      </c>
      <c r="I99" s="2">
        <v>46339.645833</v>
      </c>
      <c r="J99" s="0">
        <v>19</v>
      </c>
      <c r="K99" s="3">
        <v>418036746.0</v>
      </c>
      <c r="L99" s="0" t="inlineStr">
        <is>
          <t xml:space="preserve">CLP</t>
        </is>
      </c>
      <c r="M99" s="0" t="inlineStr">
        <is>
          <t xml:space="preserve">LR</t>
        </is>
      </c>
      <c r="N99" s="4" t="inlineStr">
        <is>
          <t xml:space="preserve">Tecnologías de la información, telecomunicaciones y radiodifusión / Software / Software de consultas y gestión de datos</t>
        </is>
      </c>
      <c r="O99" s="4" t="inlineStr">
        <is>
          <t xml:space="preserve">2 Unidad · Software de extracción de datos · 1 Unidad · Software de extracción de datos · 3 Unidad · Software de extracción de datos · y 6 más</t>
        </is>
      </c>
      <c r="P99" s="2"/>
      <c r="Q99" s="2"/>
      <c r="R99" s="0"/>
      <c r="S99" s="0" t="inlineStr">
        <is>
          <t xml:space="preserve">No</t>
        </is>
      </c>
      <c r="T99" s="4" t="inlineStr">
        <is>
          <t xml:space="preserve">EL PROVEEDOR ADJUDICADO NO PODRA SUBCONTRATAR, CONFORME A LO SEÑALADO EN EL NUMERAL 5.21 CESIBILIDAD DEL CONTRATO Y SUBCONTRATACION DE LAS BASES ADMINISTRATIVAS ADJUNTAS.</t>
        </is>
      </c>
      <c r="U99" s="0" t="inlineStr">
        <is>
          <t xml:space="preserve">Departamento gestion de contratos</t>
        </is>
      </c>
      <c r="V99" s="4" t="inlineStr">
        <is>
          <t xml:space="preserve">MATERIALIZAR LA ADQUISICION DE SOFTWARE DE USO FORENSE DE EXTRACCION AVANZADO Y ANALISIS DE INFORMACION DIGITAL PARA EL DEPARTAMENTO CRIMINALISTICA DE CARABINEROS DE CHILE LABOCAR Y SECCIONES REGIONALES.</t>
        </is>
      </c>
      <c r="W99" s="5" t="str">
        <f>HYPERLINK("https://www.mercadopublico.cl/Procurement/Modules/Attachment/ViewAttachment.aspx?enc=gVeqAtreGn8%2feSWDmXU5S0US6oLtW%2fpqc6tj2ktZ9O8GkW6%2bGuVpBxfL7RhH9Yd8Qg1iPEeolgMqT8QH2AJy%2bzr5JXAFlukQWg5sKJXYfucOAGriCDwlQOOHh6fiN2CGnLmQ4ce4LOaZzATc7ugcqTgrktMNvASfnAPaTy08fJp2yRU5kfXg3x%2fOQPAnaxF4CBlqrWU3EJfwcXqXJO3Y4OMoaFBoVxcbVARXc25yIClSspeOeCQ51hf74NLux%2bwY3z%2faWVYV4wGYXN2QS25t%2ba%2b0%2fflkmT%2bcx5nzNqjHyzQbQS9Iof%2bssHB7dIPsGWTh","descargar bases")</f>
      </c>
    </row>
    <row r="100">
      <c r="A100" s="0" t="inlineStr">
        <is>
          <t xml:space="preserve">2342-36-LR26</t>
        </is>
      </c>
      <c r="B100" s="4" t="inlineStr">
        <is>
          <t xml:space="preserve">CONCESIÓN DE ESTACIONAMIENTOS EN CALLES DE LA ZONA CENTRO DE LA COMUNA DE SAN BERNARDO APLICANDO SISTEMA DE CONTROL DE TIEMPO DE USO CAPTADORES DE DATOS</t>
        </is>
      </c>
      <c r="C100" s="0" t="inlineStr">
        <is>
          <t xml:space="preserve">Publicada</t>
        </is>
      </c>
      <c r="D100" s="0" t="inlineStr">
        <is>
          <t xml:space="preserve">I MUNICIPALIDAD DE SAN BERNARDO</t>
        </is>
      </c>
      <c r="E100" s="0" t="inlineStr">
        <is>
          <t xml:space="preserve">SECRETARIA COMUNAL DE PLANIFICACION</t>
        </is>
      </c>
      <c r="F100" s="0" t="inlineStr">
        <is>
          <t xml:space="preserve">Región Metropolitana de Santiago</t>
        </is>
      </c>
      <c r="G100" s="0" t="inlineStr">
        <is>
          <t xml:space="preserve">San Bernardo</t>
        </is>
      </c>
      <c r="H100" s="2">
        <v>46289.689583</v>
      </c>
      <c r="I100" s="2">
        <v>46342.625694</v>
      </c>
      <c r="J100" s="0">
        <v>22</v>
      </c>
      <c r="K100" s="3"/>
      <c r="L100" s="0" t="inlineStr">
        <is>
          <t xml:space="preserve">UTM</t>
        </is>
      </c>
      <c r="M100" s="0" t="inlineStr">
        <is>
          <t xml:space="preserve">LR</t>
        </is>
      </c>
      <c r="N100" s="4" t="inlineStr">
        <is>
          <t xml:space="preserve">Servicios de transporte, almacenaje y correo / Servicios de mantención o reparaciones de transportes / Combustible para vehículos de transporte, estacionamiento y otros servicios de apoyo</t>
        </is>
      </c>
      <c r="O100" s="4" t="inlineStr">
        <is>
          <t xml:space="preserve">1 Unidad · Estacionamientos</t>
        </is>
      </c>
      <c r="P100" s="2"/>
      <c r="Q100" s="2"/>
      <c r="R100" s="0" t="inlineStr">
        <is>
          <t xml:space="preserve">36 meses</t>
        </is>
      </c>
      <c r="S100" s="0" t="inlineStr">
        <is>
          <t xml:space="preserve">No</t>
        </is>
      </c>
      <c r="T100" s="4"/>
      <c r="U100" s="0" t="inlineStr">
        <is>
          <t xml:space="preserve">JUAN CARLOS CABRERA CAMPOS</t>
        </is>
      </c>
      <c r="V100" s="4" t="inlineStr">
        <is>
          <t xml:space="preserve">CONCESIÓN DE ESTACIONAMIENTOS EN CALLES DE LA ZONA CENTRO DE LA COMUNA DE SAN BERNARDO, APLICANDO SISTEMA DE CONTROL DE TIEMPO DE USO CAPTADORES DE DATOS</t>
        </is>
      </c>
      <c r="W100" s="5" t="str">
        <f>HYPERLINK("https://www.mercadopublico.cl/Procurement/Modules/Attachment/ViewAttachment.aspx?enc=c5Yr7xdSuPf94M4sHlaASJnJWa9PREfYsCAXMprmfh94jxx7WNBJjeR0TqNW%2fHpc6dU%2fTW3ZrdhMes78vCTFGAAQmgklZk%2bA7bJNNw8NtUkcLufwCOioISVI5fpRGREb6gbibMag12d4Ir7uTs51aa5SGlPwRdLK6t7zHAXo55HYjukLx10qeMuvYTyD0zFqVXYjjadCYLODHF33Aa634j15XwBqm95h0dT5CaUOIQyHN2s5P7zaWvDt9w7ooNdAkChNY4S%2f0lfwdO3W9JueOvrlf70fsdLoDvX31rgJLYkQ90uVvCeh2Avjl8LGrk2F","descargar bases")</f>
      </c>
    </row>
    <row r="101">
      <c r="A101" s="0" t="inlineStr">
        <is>
          <t xml:space="preserve">2345-137-LR26</t>
        </is>
      </c>
      <c r="B101" s="4" t="inlineStr">
        <is>
          <t xml:space="preserve">SERVICIO DE APLICACIÓN MÓVIL DE SEGURIDAD 1402 PARA LA COMUNA DE LAS CONDES</t>
        </is>
      </c>
      <c r="C101" s="0" t="inlineStr">
        <is>
          <t xml:space="preserve">Publicada</t>
        </is>
      </c>
      <c r="D101" s="0" t="inlineStr">
        <is>
          <t xml:space="preserve">I MUNICIPALIDAD DE LAS CONDES</t>
        </is>
      </c>
      <c r="E101" s="0" t="inlineStr">
        <is>
          <t xml:space="preserve">I MUNICIPALIDAD DE LAS CONDES</t>
        </is>
      </c>
      <c r="F101" s="0" t="inlineStr">
        <is>
          <t xml:space="preserve">Región Metropolitana de Santiago</t>
        </is>
      </c>
      <c r="G101" s="0" t="inlineStr">
        <is>
          <t xml:space="preserve">Las Condes</t>
        </is>
      </c>
      <c r="H101" s="2">
        <v>46311.430463</v>
      </c>
      <c r="I101" s="2">
        <v>46342.625694</v>
      </c>
      <c r="J101" s="0">
        <v>22</v>
      </c>
      <c r="K101" s="3">
        <v>504000000.0</v>
      </c>
      <c r="L101" s="0" t="inlineStr">
        <is>
          <t xml:space="preserve">CLP</t>
        </is>
      </c>
      <c r="M101" s="0" t="inlineStr">
        <is>
          <t xml:space="preserve">LR</t>
        </is>
      </c>
      <c r="N101" s="4" t="inlineStr">
        <is>
          <t xml:space="preserve">Servicios basados en ingeniería, ciencias sociales y tecnología de la información / Servicios informáticos / Servicios para internet</t>
        </is>
      </c>
      <c r="O101" s="4" t="inlineStr">
        <is>
          <t xml:space="preserve">1 Global · Web Hosting</t>
        </is>
      </c>
      <c r="P101" s="2"/>
      <c r="Q101" s="2"/>
      <c r="R101" s="0" t="inlineStr">
        <is>
          <t xml:space="preserve">48 meses</t>
        </is>
      </c>
      <c r="S101" s="0" t="inlineStr">
        <is>
          <t xml:space="preserve">No</t>
        </is>
      </c>
      <c r="T101" s="4"/>
      <c r="U101" s="0" t="inlineStr">
        <is>
          <t xml:space="preserve">Jaime Izarnotegui Lopez</t>
        </is>
      </c>
      <c r="V101"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01" s="5" t="str">
        <f>HYPERLINK("https://www.mercadopublico.cl/Procurement/Modules/Attachment/ViewAttachment.aspx?enc=wDh3z73eeRzbl%2bRa6eeEuNjYsbbKKERfLOspd9e8rc0SjpcKVyPR9xJYXg3gvIQY91T0O7RQlJbA0J3ErGV2D%2f597qdwRR0%2b2mz%2bMtiuSJ57OM5eQE%2bxdyecVQ02ZPDYlocY61nDsFn3DzJqUclaba8d4BJIgwKYJWGbxm2fEZvyXpzAl0L6AgAPARypKIG2BrFKngGbX51EwIXue5ejX5UW%2f7oPM9e42Pohg5UHZSc6J7NjtU5F6O8YQWZ2bSJheUz7Vz3UYIp8Ee3f0UqblwoNqxjLvcS6Tshp4saRFzeoC7wI2Gh91irE7Tqfli9V","descargar bases")</f>
      </c>
    </row>
    <row r="102">
      <c r="A102" s="0" t="inlineStr">
        <is>
          <t xml:space="preserve">1882-3-LP26</t>
        </is>
      </c>
      <c r="B102" s="4" t="inlineStr">
        <is>
          <t xml:space="preserve">DPP LA ARAUCANIA SERVICIO DEFENSA RPA LLAMADO 2026</t>
        </is>
      </c>
      <c r="C102" s="0" t="inlineStr">
        <is>
          <t xml:space="preserve">Publicada</t>
        </is>
      </c>
      <c r="D102" s="0" t="inlineStr">
        <is>
          <t xml:space="preserve">DEFENSORIA PENAL PUBLICA</t>
        </is>
      </c>
      <c r="E102" s="0" t="inlineStr">
        <is>
          <t xml:space="preserve">Defensoría Regional de La Araucanía</t>
        </is>
      </c>
      <c r="F102" s="0" t="inlineStr">
        <is>
          <t xml:space="preserve">Región de la Araucanía </t>
        </is>
      </c>
      <c r="G102" s="0" t="inlineStr">
        <is>
          <t xml:space="preserve">Temuco</t>
        </is>
      </c>
      <c r="H102" s="2">
        <v>46310.629259</v>
      </c>
      <c r="I102" s="2">
        <v>46342.666667</v>
      </c>
      <c r="J102" s="0">
        <v>22</v>
      </c>
      <c r="K102" s="3"/>
      <c r="L102" s="0" t="inlineStr">
        <is>
          <t xml:space="preserve">CLP</t>
        </is>
      </c>
      <c r="M102" s="0" t="inlineStr">
        <is>
          <t xml:space="preserve">LP</t>
        </is>
      </c>
      <c r="N102" s="4" t="inlineStr">
        <is>
          <t xml:space="preserve">Servicios profesionales, administrativos y consultorías de gestión empresarial / Servicios legales / Derecho penal</t>
        </is>
      </c>
      <c r="O102" s="4" t="inlineStr">
        <is>
          <t xml:space="preserve">1 Unidad · Servicio de defensa penal pública</t>
        </is>
      </c>
      <c r="P102" s="2"/>
      <c r="Q102" s="2"/>
      <c r="R102" s="0" t="inlineStr">
        <is>
          <t xml:space="preserve">36 meses</t>
        </is>
      </c>
      <c r="S102" s="0" t="inlineStr">
        <is>
          <t xml:space="preserve">No</t>
        </is>
      </c>
      <c r="T102" s="4" t="inlineStr">
        <is>
          <t xml:space="preserve">Se prohíbe absolutamente en atención a la integridad y naturaleza de la prestación, según punto N°8.17 de las Bases Administrativas.</t>
        </is>
      </c>
      <c r="U102" s="0" t="inlineStr">
        <is>
          <t xml:space="preserve">Humberto Serri Gajardo</t>
        </is>
      </c>
      <c r="V102" s="4" t="inlineStr">
        <is>
          <t xml:space="preserve">Defensa Responsabilidad Penal Adolescente Zona Angol de acuerdo a la REX N°198 de fecha 15 de octubre de 2026.</t>
        </is>
      </c>
      <c r="W102" s="5" t="str">
        <f>HYPERLINK("https://www.mercadopublico.cl/Procurement/Modules/Attachment/ViewAttachment.aspx?enc=rumLjtbNb7LEZG4jGWmMWjxZrLHtglURT3teFG80djjsODVyojsVFa%2fM9pskq3Pew8A9GwhXeORpEEt%2fUAYFB7EJsIUlPNL5mT8RnkbSesLCHepp2Vs9k%2bBQoj1Z6TVi%2fV7AamlMucf6hUCzi0SgzN5AH5eX4Hdrktv8X0yEhepT0Ec%2bIEfMw3oY5AfeAOvzaTgBrLMmbHPwHFTmTmSUTpJ898%2bVsnZ1wzXcxSzEl6pS6IXFmcOA%2bSa1IZ6RYXbiSxjwkhDn2HtClBPTq%2fKagDKAuwgzdRmGl8KiOL2%2bfgthocIj6zEENOkcBG%2fhdx9Y","descargar bases")</f>
      </c>
    </row>
    <row r="103">
      <c r="A103" s="0" t="inlineStr">
        <is>
          <t xml:space="preserve">1887-4-LP26</t>
        </is>
      </c>
      <c r="B103" s="4" t="inlineStr">
        <is>
          <t xml:space="preserve">SERVICIO DE DEFENSA PENAL EN ZONA 1 RPA</t>
        </is>
      </c>
      <c r="C103" s="0" t="inlineStr">
        <is>
          <t xml:space="preserve">Publicada</t>
        </is>
      </c>
      <c r="D103" s="0" t="inlineStr">
        <is>
          <t xml:space="preserve">DEFENSORIA PENAL PUBLICA</t>
        </is>
      </c>
      <c r="E103" s="0" t="inlineStr">
        <is>
          <t xml:space="preserve">Defensoría Regional de Aysén</t>
        </is>
      </c>
      <c r="F103" s="0" t="inlineStr">
        <is>
          <t xml:space="preserve">Región Aysén del General Carlos Ibáñez del Campo</t>
        </is>
      </c>
      <c r="G103" s="0" t="inlineStr">
        <is>
          <t xml:space="preserve">Coyhaique</t>
        </is>
      </c>
      <c r="H103" s="2">
        <v>46310.617616</v>
      </c>
      <c r="I103" s="2">
        <v>46342.666667</v>
      </c>
      <c r="J103" s="0">
        <v>22</v>
      </c>
      <c r="K103" s="3">
        <v>108000000.0</v>
      </c>
      <c r="L103" s="0" t="inlineStr">
        <is>
          <t xml:space="preserve">CLP</t>
        </is>
      </c>
      <c r="M103" s="0" t="inlineStr">
        <is>
          <t xml:space="preserve">LP</t>
        </is>
      </c>
      <c r="N103" s="4" t="inlineStr">
        <is>
          <t xml:space="preserve">Servicios profesionales, administrativos y consultorías de gestión empresarial / Servicios legales / Derecho penal</t>
        </is>
      </c>
      <c r="O103" s="4" t="inlineStr">
        <is>
          <t xml:space="preserve">36 Mes · Servicio de defensa penal pública</t>
        </is>
      </c>
      <c r="P103" s="2"/>
      <c r="Q103" s="2"/>
      <c r="R103" s="0" t="inlineStr">
        <is>
          <t xml:space="preserve">36 meses</t>
        </is>
      </c>
      <c r="S103" s="0" t="inlineStr">
        <is>
          <t xml:space="preserve">No</t>
        </is>
      </c>
      <c r="T103" s="4" t="inlineStr">
        <is>
          <t xml:space="preserve">8.17.PROHIBICIÓN DE TRASPASO, CESIÓN Y SUBCONTRATACIÓN DEL CONTRATO</t>
        </is>
      </c>
      <c r="U103" s="0" t="inlineStr">
        <is>
          <t xml:space="preserve">MARIANELA MOLINA MANSILLA</t>
        </is>
      </c>
      <c r="V103" s="4" t="inlineStr">
        <is>
          <t xml:space="preserve">2.DISPOSICIONES GENERALES
2.1.DEL OBJETIVO DE LA LICITACIÓN</t>
        </is>
      </c>
      <c r="W103" s="5" t="str">
        <f>HYPERLINK("https://www.mercadopublico.cl/Procurement/Modules/Attachment/ViewAttachment.aspx?enc=mLEgfmef7QPOTV%2flqmDhhYVdfPOZHcusC6n4eKXW9Es9JIs3WzmXkZLHnImb2rNlvkM0aKw1QThsZ0u%2bhF52PCdbD9AyCkGPrNddOYZtkg003%2fI2RVs%2bUC36EbCU3dTca5Edn5r%2b2MFhKcu59IOIFjBROoNfut7ckXr%2b5TCPN0KvQrCj3xnGksrkgcQkfPbpa7iD9mvuRMn9DKsCfecDOw54VybQLVZ%2flLKBlmHnLhQyVkEYiRozXjx55sjF6bOoodwAcBV6qfOzyOEU9a439wEyCycQ%2bX8OPxPadUQiIwr6JNTHmCxj%2fcmzk4ScV1Bx","descargar bases")</f>
      </c>
    </row>
    <row r="104">
      <c r="A104" s="0" t="inlineStr">
        <is>
          <t xml:space="preserve">1605-52-LR26</t>
        </is>
      </c>
      <c r="B104" s="4" t="inlineStr">
        <is>
          <t xml:space="preserve">LR-5231 LICENCIAS DE SOFTWARE CONTROL M</t>
        </is>
      </c>
      <c r="C104" s="0" t="inlineStr">
        <is>
          <t xml:space="preserve">Publicada</t>
        </is>
      </c>
      <c r="D104" s="0" t="inlineStr">
        <is>
          <t xml:space="preserve">SERVICIO DE IMPUESTOS INTERNOS DIRECCION</t>
        </is>
      </c>
      <c r="E104" s="0" t="inlineStr">
        <is>
          <t xml:space="preserve">SII Dirección Nacional</t>
        </is>
      </c>
      <c r="F104" s="0" t="inlineStr">
        <is>
          <t xml:space="preserve">Región Metropolitana de Santiago</t>
        </is>
      </c>
      <c r="G104" s="0" t="inlineStr">
        <is>
          <t xml:space="preserve">Santiago</t>
        </is>
      </c>
      <c r="H104" s="2">
        <v>46315.383125</v>
      </c>
      <c r="I104" s="2">
        <v>46345.666667</v>
      </c>
      <c r="J104" s="0">
        <v>25</v>
      </c>
      <c r="K104" s="3">
        <v>660000.0</v>
      </c>
      <c r="L104" s="0" t="inlineStr">
        <is>
          <t xml:space="preserve">USD</t>
        </is>
      </c>
      <c r="M104" s="0" t="inlineStr">
        <is>
          <t xml:space="preserve">LR</t>
        </is>
      </c>
      <c r="N104" s="4" t="inlineStr">
        <is>
          <t xml:space="preserve">Tecnologías de la información, telecomunicaciones y radiodifusión / Software / Software de gestión</t>
        </is>
      </c>
      <c r="O104" s="4" t="inlineStr">
        <is>
          <t xml:space="preserve">1 Unidad · Software de sistema experto</t>
        </is>
      </c>
      <c r="P104" s="2"/>
      <c r="Q104" s="2"/>
      <c r="R104" s="0" t="inlineStr">
        <is>
          <t xml:space="preserve">36 meses</t>
        </is>
      </c>
      <c r="S104" s="0" t="inlineStr">
        <is>
          <t xml:space="preserve">No</t>
        </is>
      </c>
      <c r="T104" s="4" t="inlineStr">
        <is>
          <t xml:space="preserve">De acuerdo a numeral 2.3 de las bases administrativas - parte I de las Resolución Exenta 4518 del 2026.</t>
        </is>
      </c>
      <c r="U104" s="0" t="inlineStr">
        <is>
          <t xml:space="preserve">Cesar Zegarra Rojas</t>
        </is>
      </c>
      <c r="V104" s="4" t="inlineStr">
        <is>
          <t xml:space="preserve">Adquirir licencias de Software Control-M modalidad Platform, las cuales serán utilizadas para automatizar, programar y monitorear procesos de negocio por un periodo de 36 meses.</t>
        </is>
      </c>
      <c r="W104" s="5" t="str">
        <f>HYPERLINK("https://www.mercadopublico.cl/Procurement/Modules/Attachment/ViewAttachment.aspx?enc=JcdoxCuzLghHmbFDrCkBmo9rBYqf320KdXMXZKpr8wXoUjIWG6SSgcozerqK6J9VQquJceBY%2bJlih0tkwBgSapLf9QtTCFQFUa5x%2bBmEEVw1%2fVM3%2bv%2b7%2bB7HKmvsygfZOL1Tq5GzQh804BlAreIXa6U10FGUzh3h0Yhz92Zqynbs9g2kOkA9WDwdDcJZRkeKtogh9OFT3gLFZbu2LJjrFjp%2b9XuNtvjtDh843a7UrwQvEyeKW6XZGJvzlMTFQc6VvbMXtWRnLikqdxoHp5ekPBGasB1U%2bJRlBpuSxI8aPbOSSanZlDFRbJE8LL5%2fssp4","descargar bases")</f>
      </c>
    </row>
    <row r="105">
      <c r="A105" s="0" t="inlineStr">
        <is>
          <t xml:space="preserve">1456837-4-LR26</t>
        </is>
      </c>
      <c r="B105" s="4" t="inlineStr">
        <is>
          <t xml:space="preserve">SUMINISTRO DE MATERIALES DE OFICINA A TRAVÉS DE PLATAFORMA CLOUDE-COMMERCE</t>
        </is>
      </c>
      <c r="C105" s="0" t="inlineStr">
        <is>
          <t xml:space="preserve">Publicada</t>
        </is>
      </c>
      <c r="D105" s="0" t="inlineStr">
        <is>
          <t xml:space="preserve">SERVICIO LOCAL DE EDUCACIÓN PÚBLICA LA QUEBRADA</t>
        </is>
      </c>
      <c r="E105" s="0" t="inlineStr">
        <is>
          <t xml:space="preserve">SERVICIO LOCAL DE EDUCACIÓN PÚBLICA LA QUEBRADA</t>
        </is>
      </c>
      <c r="F105" s="0" t="inlineStr">
        <is>
          <t xml:space="preserve">Región Metropolitana de Santiago</t>
        </is>
      </c>
      <c r="G105" s="0" t="inlineStr">
        <is>
          <t xml:space="preserve">La Florida</t>
        </is>
      </c>
      <c r="H105" s="2">
        <v>46318.697801</v>
      </c>
      <c r="I105" s="2">
        <v>46349.625694</v>
      </c>
      <c r="J105" s="0">
        <v>29</v>
      </c>
      <c r="K105" s="3">
        <v>420000000.0</v>
      </c>
      <c r="L105" s="0" t="inlineStr">
        <is>
          <t xml:space="preserve">CLP</t>
        </is>
      </c>
      <c r="M105" s="0" t="inlineStr">
        <is>
          <t xml:space="preserve">LR</t>
        </is>
      </c>
      <c r="N105" s="4" t="inlineStr">
        <is>
          <t xml:space="preserve">Equipos, accesorios y suministros de oficina / Suministros de oficina / Instrumentos de escritura</t>
        </is>
      </c>
      <c r="O105" s="4" t="inlineStr">
        <is>
          <t xml:space="preserve">1 Unidad · Juegos de bolígrafos y lápices</t>
        </is>
      </c>
      <c r="P105" s="2"/>
      <c r="Q105" s="2"/>
      <c r="R105" s="0" t="inlineStr">
        <is>
          <t xml:space="preserve">18 meses</t>
        </is>
      </c>
      <c r="S105" s="0" t="inlineStr">
        <is>
          <t xml:space="preserve">No</t>
        </is>
      </c>
      <c r="T105" s="4"/>
      <c r="U105" s="0" t="inlineStr">
        <is>
          <t xml:space="preserve">Gloria Montecinos Leiva</t>
        </is>
      </c>
      <c r="V105" s="4" t="inlineStr">
        <is>
          <t xml:space="preserve">SUMINISTRO DE MATERIALES DE OFICINA A TRAVÉS DE PLATAFORMA CLOUD/E-COMMERCE</t>
        </is>
      </c>
      <c r="W105" s="5" t="str">
        <f>HYPERLINK("https://www.mercadopublico.cl/Procurement/Modules/Attachment/ViewAttachment.aspx?enc=gpD%2fsOJzb9wdGfJdF3psYQjjG7tXX07TOuo7gXo0QDGmTWXWew%2b9BUI62dBDM0GMeb8rf0jamCtICubV9T5fXv%2fWdYRavlIAywipwQOM74DvOU9ApbgQY1puw97u67GbxojtWT7kNd8pd%2bCyo4EFXaWuVHCtKzdS2md30APfQntpouIVrPWR3ZeV1VY83xSHLwIpLTVv29UF4r8vvdFFP%2f28laPHYCQdVJZD5PT1eT%2fqgoO2RJ0Hx7%2fnIbUkbh1jwafvjCE3e7%2fc3BQZUqmtJv8sIVD8gh%2fpJPL6EWJhXmxFobBuwOjEPa0vb%2bWBYZZO","descargar bases")</f>
      </c>
    </row>
    <row r="106">
      <c r="A106" s="0" t="inlineStr">
        <is>
          <t xml:space="preserve">3759-60-LR26</t>
        </is>
      </c>
      <c r="B106" s="4" t="inlineStr">
        <is>
          <t xml:space="preserve">SERVICIO DE ARRENDAMIENTO DE PLATAFORMA</t>
        </is>
      </c>
      <c r="C106" s="0" t="inlineStr">
        <is>
          <t xml:space="preserve">Publicada</t>
        </is>
      </c>
      <c r="D106" s="0" t="inlineStr">
        <is>
          <t xml:space="preserve">Ilustre Municipalidad de Yerbas Buenas</t>
        </is>
      </c>
      <c r="E106" s="0" t="inlineStr">
        <is>
          <t xml:space="preserve">Ilustre Municipalidad de Yerbas Buenas</t>
        </is>
      </c>
      <c r="F106" s="0" t="inlineStr">
        <is>
          <t xml:space="preserve">Región del Maule </t>
        </is>
      </c>
      <c r="G106" s="0" t="inlineStr">
        <is>
          <t xml:space="preserve">Yerbas Buenas</t>
        </is>
      </c>
      <c r="H106" s="2">
        <v>46316.508831</v>
      </c>
      <c r="I106" s="2">
        <v>46349.625694</v>
      </c>
      <c r="J106" s="0">
        <v>29</v>
      </c>
      <c r="K106" s="3"/>
      <c r="L106" s="0" t="inlineStr">
        <is>
          <t xml:space="preserve">CLP</t>
        </is>
      </c>
      <c r="M106" s="0" t="inlineStr">
        <is>
          <t xml:space="preserve">LR</t>
        </is>
      </c>
      <c r="N106" s="4" t="inlineStr">
        <is>
          <t xml:space="preserve">Tecnologías de la información, telecomunicaciones y radiodifusión / Software / Software de consultas y gestión de datos</t>
        </is>
      </c>
      <c r="O106" s="4" t="inlineStr">
        <is>
          <t xml:space="preserve">1 Global · Software del sistema de administración de bases de datos</t>
        </is>
      </c>
      <c r="P106" s="2"/>
      <c r="Q106" s="2"/>
      <c r="R106" s="0" t="inlineStr">
        <is>
          <t xml:space="preserve">24 meses</t>
        </is>
      </c>
      <c r="S106" s="0" t="inlineStr">
        <is>
          <t xml:space="preserve">No</t>
        </is>
      </c>
      <c r="T106" s="4"/>
      <c r="U106" s="0" t="inlineStr">
        <is>
          <t xml:space="preserve">MUNICIPALIDAD DE YERBAS BUENAS</t>
        </is>
      </c>
      <c r="V106" s="4" t="inlineStr">
        <is>
          <t xml:space="preserve">SERVICIO DE ARRENDAMIENTO DE PLATAFORMA DE GESTIÓN Y VENTA DE PERMISOS DE CIRCULACIÓN VEHICULAR, COMUNA DE YERBAS BUENAS.</t>
        </is>
      </c>
      <c r="W106" s="5" t="str">
        <f>HYPERLINK("https://www.mercadopublico.cl/Procurement/Modules/Attachment/ViewAttachment.aspx?enc=T3lj0KbvMHFV8caGI92PbzLdquEe4mfjgMszwRnLF7BOsBXr4uN8j3%2fULpCbV9f%2bc7Uv%2fWBaMXpDyqgkzKMa0GISfOIvb0hZjYUkLFMWsAnZRgYMIXh7R4hjttHfqvinWleESiaq07h5jaaK5v3NG1%2bub%2bGy1KdHnx%2f17%2bx4SguoCYZFdREMBlOCe3q39Gafx30G2xIY%2bRWXOLxOrmsu4VPf7GauD82vnt%2b%2faT9cjFUu0CDYahP6mT0YpnKsb3K3EuT60nRzLLT%2b79vh%2fL5D%2fCeHjrgawwJXUqW9STIQ%2bw7xLzyHNl7BcrxkTt3qdhii","descargar bases")</f>
      </c>
    </row>
    <row r="107">
      <c r="A107" s="0" t="inlineStr">
        <is>
          <t xml:space="preserve">1057898-85-LR26</t>
        </is>
      </c>
      <c r="B107" s="4" t="inlineStr">
        <is>
          <t xml:space="preserve">ADQUISICIÓN DE SOFTWARES HIS-ESB-BI Y ERP PARA EL NUEVO HOSPITAL REGIONAL DE ÑUBLE</t>
        </is>
      </c>
      <c r="C107" s="0" t="inlineStr">
        <is>
          <t xml:space="preserve">Publicada</t>
        </is>
      </c>
      <c r="D107" s="0" t="inlineStr">
        <is>
          <t xml:space="preserve">SERVICIO DE SALUD NUBLE</t>
        </is>
      </c>
      <c r="E107" s="0" t="inlineStr">
        <is>
          <t xml:space="preserve">Activos Fijos</t>
        </is>
      </c>
      <c r="F107" s="0" t="inlineStr">
        <is>
          <t xml:space="preserve">Región del Ñuble</t>
        </is>
      </c>
      <c r="G107" s="0" t="inlineStr">
        <is>
          <t xml:space="preserve">Chillán</t>
        </is>
      </c>
      <c r="H107" s="2">
        <v>46304.500694</v>
      </c>
      <c r="I107" s="2">
        <v>46349.708333</v>
      </c>
      <c r="J107" s="0">
        <v>29</v>
      </c>
      <c r="K107" s="3">
        <v>19373825000.0</v>
      </c>
      <c r="L107" s="0" t="inlineStr">
        <is>
          <t xml:space="preserve">CLP</t>
        </is>
      </c>
      <c r="M107" s="0" t="inlineStr">
        <is>
          <t xml:space="preserve">LR</t>
        </is>
      </c>
      <c r="N107" s="4" t="inlineStr">
        <is>
          <t xml:space="preserve">Tecnologías de la información, telecomunicaciones y radiodifusión / Software / Software de administración de redes</t>
        </is>
      </c>
      <c r="O107" s="4" t="inlineStr">
        <is>
          <t xml:space="preserve">1 Global · Software de administración · 1 Global · Software de administración</t>
        </is>
      </c>
      <c r="P107" s="2"/>
      <c r="Q107" s="2"/>
      <c r="R107" s="0" t="inlineStr">
        <is>
          <t xml:space="preserve">96 meses</t>
        </is>
      </c>
      <c r="S107" s="0" t="inlineStr">
        <is>
          <t xml:space="preserve">No</t>
        </is>
      </c>
      <c r="T107" s="4"/>
      <c r="U107" s="0" t="inlineStr">
        <is>
          <t xml:space="preserve">RODOLFO JIMENEZ</t>
        </is>
      </c>
      <c r="V107" s="4" t="inlineStr">
        <is>
          <t xml:space="preserve">El Servicio de Salud Ñuble requiere efectuar la ADQUISICIÓN DE SOFTWARES HIS-ESB-BI Y ERP PARA EL NUEVO HOSPITAL REGIONAL DE ÑUBLE, de acuerdo a las Bases Administrativas adjuntas y sus respectivos Anexos.</t>
        </is>
      </c>
      <c r="W107" s="5" t="str">
        <f>HYPERLINK("https://www.mercadopublico.cl/Procurement/Modules/Attachment/ViewAttachment.aspx?enc=aHSO%2bGSEwgSzuuCm0x9NnOT98d89TcOlEFE4nduaefPr5f9zbGh5B8n8TyyDnH%2bsmgL3D4Q%2fptSOPdSc7eBH4FGXPwvEWgPvg9fUvwLXibpSa69VWW9qBXsh82wo%2f7PidIG9WHYFkYoy9kn4t8fPn6bP3O5jqTfSqnrx7K9Esv6vtrmIbbr0tFU8y89cLhA6p0drNU3QE5i8aiHYDvj6PqGLzo12egw%2bs8XUNasiyS1N9BqucK9GEEtSIkjXWS3zfl4hgQu61ua%2fTmqRMNW%2fridmwRulEpdTvZ%2fQHWS9ZA2xEHetMiUUSzsQO4hxNBij","descargar bases")</f>
      </c>
    </row>
    <row r="108">
      <c r="A108" s="0" t="inlineStr">
        <is>
          <t xml:space="preserve">3841-34-LE26</t>
        </is>
      </c>
      <c r="B108" s="4" t="inlineStr">
        <is>
          <t xml:space="preserve">EQUIPOS INFORMATICOS Y AUDIO</t>
        </is>
      </c>
      <c r="C108" s="0" t="inlineStr">
        <is>
          <t xml:space="preserve">Publicada</t>
        </is>
      </c>
      <c r="D108" s="0" t="inlineStr">
        <is>
          <t xml:space="preserve">I MUNICIPALIDAD DE PEMUCO</t>
        </is>
      </c>
      <c r="E108" s="0" t="inlineStr">
        <is>
          <t xml:space="preserve">I MUNICIPALIDAD DE PEMUCO</t>
        </is>
      </c>
      <c r="F108" s="0" t="inlineStr">
        <is>
          <t xml:space="preserve">Región del Ñuble</t>
        </is>
      </c>
      <c r="G108" s="0" t="inlineStr">
        <is>
          <t xml:space="preserve">Pemuco</t>
        </is>
      </c>
      <c r="H108" s="2">
        <v>46316.380023</v>
      </c>
      <c r="I108" s="2">
        <v>46352.625</v>
      </c>
      <c r="J108" s="0">
        <v>32</v>
      </c>
      <c r="K108" s="3">
        <v>9500000.0</v>
      </c>
      <c r="L108" s="0" t="inlineStr">
        <is>
          <t xml:space="preserve">CLP</t>
        </is>
      </c>
      <c r="M108" s="0" t="inlineStr">
        <is>
          <t xml:space="preserve">LE</t>
        </is>
      </c>
      <c r="N108" s="4" t="inlineStr">
        <is>
          <t xml:space="preserve">Muebles, accesorios, electrodomésticos y productos electrónicos / Equipos y accesorios audiovisuales / Equipos audiovisuales y de electrónica menor, Tecnologías de la información, telecomunicaciones y radiodifusión / Equipos informáticos y accesorios / Computadores</t>
        </is>
      </c>
      <c r="O108" s="4" t="inlineStr">
        <is>
          <t xml:space="preserve">1 Global · Computadores de escritorio · 1 Global · Parlantes</t>
        </is>
      </c>
      <c r="P108" s="2"/>
      <c r="Q108" s="2"/>
      <c r="R108" s="0"/>
      <c r="S108" s="0" t="inlineStr">
        <is>
          <t xml:space="preserve">No</t>
        </is>
      </c>
      <c r="T108" s="4"/>
      <c r="U108" s="0" t="inlineStr">
        <is>
          <t xml:space="preserve">JUAN SEBASTIAN CASANUEVA ARIAS</t>
        </is>
      </c>
      <c r="V108" s="4" t="inlineStr">
        <is>
          <t xml:space="preserve">EQUIPOS INFORMATICOS DIVERSAS UNIDADES MUNICIPALES, PEMUCO</t>
        </is>
      </c>
      <c r="W108" s="5" t="str">
        <f>HYPERLINK("https://www.mercadopublico.cl/Procurement/Modules/Attachment/ViewAttachment.aspx?enc=vKM4oR%2bp1ibdEK5LVJI9TRZ9C5ku0ymALeJXZAFqoZS7RPR7kMBxfYkU1zYM07U902uj6%2fp%2f51o%2buq80pXZNXZcglSqR9DjjlVS0qBNvGuUhiNtvdc1tZeJPz0IUYBw4ZTO8n2TdRhkXzGud9YRA9rofGN3hyQR%2fcFkchDusyIndiM7HtFZ7Crm5avoamHXVSmTqIhlfSBlEdbLSFh%2bq1HH24V0ZYiBuM12EfmmgQIABanz%2f7N7ItogwLCRpweINFN52AFR74XZkoN6AsLpNCgUBCu%2bJ829rRYbydehrIjSsRc43ijrhWZDxOxiu9sPd","descargar bases")</f>
      </c>
    </row>
    <row r="109">
      <c r="A109" s="0" t="inlineStr">
        <is>
          <t xml:space="preserve">1969-34-LS19</t>
        </is>
      </c>
      <c r="B109" s="4" t="inlineStr">
        <is>
          <t xml:space="preserve">AUTOMATIZACIÓN PORTÓN ACCESO A LINEA DE FUEGO</t>
        </is>
      </c>
      <c r="C109" s="0" t="inlineStr">
        <is>
          <t xml:space="preserve">Publicada</t>
        </is>
      </c>
      <c r="D109" s="0" t="inlineStr">
        <is>
          <t xml:space="preserve">DIRECCION GENERAL DE GENDARMERIA DE CHIL</t>
        </is>
      </c>
      <c r="E109" s="0" t="inlineStr">
        <is>
          <t xml:space="preserve">Región del Bio Bío</t>
        </is>
      </c>
      <c r="F109" s="0" t="inlineStr">
        <is>
          <t xml:space="preserve">Región del Biobío </t>
        </is>
      </c>
      <c r="G109" s="0" t="inlineStr">
        <is>
          <t xml:space="preserve">Concepción</t>
        </is>
      </c>
      <c r="H109" s="2">
        <v>43588.74809</v>
      </c>
      <c r="I109" s="2"/>
      <c r="J109" s="0"/>
      <c r="K109" s="3"/>
      <c r="L109" s="0" t="inlineStr">
        <is>
          <t xml:space="preserve">CLP</t>
        </is>
      </c>
      <c r="M109" s="0" t="inlineStr">
        <is>
          <t xml:space="preserve">LS</t>
        </is>
      </c>
      <c r="N109" s="4" t="inlineStr">
        <is>
          <t xml:space="preserve">Artículos para estructuras, obras y construcciones / Puertas, ventanas y vidrios / Puertas</t>
        </is>
      </c>
      <c r="O109" s="4" t="inlineStr">
        <is>
          <t xml:space="preserve">1 Unidad · Puertas de metal</t>
        </is>
      </c>
      <c r="P109" s="2"/>
      <c r="Q109" s="2"/>
      <c r="R109" s="0"/>
      <c r="S109" s="0" t="inlineStr">
        <is>
          <t xml:space="preserve">No</t>
        </is>
      </c>
      <c r="T109" s="4"/>
      <c r="U109" s="0" t="inlineStr">
        <is>
          <t xml:space="preserve">Héctor Polma Lillo</t>
        </is>
      </c>
      <c r="V109" s="4" t="inlineStr">
        <is>
          <t xml:space="preserve">AUTOMATIZACIÓN DE PORTÓN ACCESO A LINEA DE FUEGO C.P. CONCEPCIÓN</t>
        </is>
      </c>
      <c r="W109" s="5" t="str">
        <f>HYPERLINK("https://www.mercadopublico.cl/Procurement/Modules/Attachment/ViewAttachment.aspx?enc=zhqee5YvA2CiVptBi6JWZW0K3Zc9728OD6kWppj%2boNL0cq1YbI9rd6rqVEjU17r06gEXRPkNui5SO5Bh7ZWwwCntgw%2fYwk1WA%2faV7QEWdwUB%2f3lZgHVz%2ffjxA2mJ%2bXD%2bwmJApcsWgJcj3YubJY2dkw5NGZQCaSyFO%2bAzvp%2f6lFlvUyErrIkABeYwfvun1m0%2bIJaw%2b2Ckt5EGqibsZ0e3DTc9%2bkQpM8LNiXuDcoCH0Fwd5OwVyIhVlrHd5ydbYHG7UzHccgszmGv2BWO7vaFat6z4IstA9sZi8OIkKzvtxkAAABFJ1sf4m8hZ0%2fk2%2b7Zp","descargar bases")</f>
      </c>
    </row>
  </sheetData>
  <autoFilter ref="A1:W10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3111-2-L126</t>
        </is>
      </c>
      <c r="B2" s="4" t="inlineStr">
        <is>
          <t xml:space="preserve">DIPLOMADO EN ACELERACIÓN DIGITAL BASADA EN ARQUITECTURA AGÉNTICA</t>
        </is>
      </c>
      <c r="C2" s="0">
        <v>1</v>
      </c>
      <c r="D2" s="4" t="inlineStr">
        <is>
          <t xml:space="preserve">Capacitación a empleados</t>
        </is>
      </c>
      <c r="E2" s="4" t="inlineStr">
        <is>
          <t xml:space="preserve">Educación, formación, entrenamiento y capacitación / Sistemas educativos complementarios / Educación de adultos</t>
        </is>
      </c>
      <c r="F2" s="0">
        <v>2.0</v>
      </c>
      <c r="G2" s="0" t="inlineStr">
        <is>
          <t xml:space="preserve">Unidad no definida</t>
        </is>
      </c>
      <c r="H2" s="4" t="inlineStr">
        <is>
          <t xml:space="preserve">DIPLOMADO EN ACELERACIÓN DIGITAL BASADA EN ARQUITECTURA AGÉNTICA</t>
        </is>
      </c>
    </row>
    <row r="3">
      <c r="A3" s="0" t="inlineStr">
        <is>
          <t xml:space="preserve">622-66-LE26</t>
        </is>
      </c>
      <c r="B3" s="4" t="inlineStr">
        <is>
          <t xml:space="preserve">ADQUISICIÓN DE LICENCIAS PARA SOFTWARE DLP</t>
        </is>
      </c>
      <c r="C3" s="0">
        <v>1</v>
      </c>
      <c r="D3" s="4" t="inlineStr">
        <is>
          <t xml:space="preserve">Software de gestión de licencias</t>
        </is>
      </c>
      <c r="E3" s="4" t="inlineStr">
        <is>
          <t xml:space="preserve">Tecnologías de la información, telecomunicaciones y radiodifusión / Software / Software de gestión</t>
        </is>
      </c>
      <c r="F3" s="0">
        <v>1.0</v>
      </c>
      <c r="G3" s="0" t="inlineStr">
        <is>
          <t xml:space="preserve">Unidad</t>
        </is>
      </c>
      <c r="H3" s="4" t="inlineStr">
        <is>
          <t xml:space="preserve">Suscripción de Licenciamiento Endpoint DLP (Trellix DLP Endpoint Complete o equivalente), incluyendo implementación (revisar anexo 1 de las bases)</t>
        </is>
      </c>
    </row>
    <row r="4">
      <c r="A4" s="0" t="inlineStr">
        <is>
          <t xml:space="preserve">1057049-376-LP26</t>
        </is>
      </c>
      <c r="B4" s="4" t="inlineStr">
        <is>
          <t xml:space="preserve">PROV E INSTALACIÓN DE PLATAFORMAS DE SEGURIDAD PARA SHAFTS DEL HOSPITAL CLÍNICO SAN BORJA ARRIARÁN</t>
        </is>
      </c>
      <c r="C4" s="0">
        <v>1</v>
      </c>
      <c r="D4" s="4" t="inlineStr">
        <is>
          <t xml:space="preserve">Plataforma elevadora</t>
        </is>
      </c>
      <c r="E4" s="4" t="inlineStr">
        <is>
          <t xml:space="preserve">Maquinaria para construcción y edificación / Maquinaria pesada de construcción / Elevadores</t>
        </is>
      </c>
      <c r="F4" s="0">
        <v>1.0</v>
      </c>
      <c r="G4" s="0" t="inlineStr">
        <is>
          <t xml:space="preserve">Global</t>
        </is>
      </c>
      <c r="H4" s="4" t="inlineStr">
        <is>
          <t xml:space="preserve">Servicio de Provisión e Instalación de Plataformas de Seguridad para Shafts del Hospital Clínico San Borja Arriarán</t>
        </is>
      </c>
    </row>
    <row r="5">
      <c r="A5" s="0" t="inlineStr">
        <is>
          <t xml:space="preserve">542429-9-L126</t>
        </is>
      </c>
      <c r="B5" s="4" t="inlineStr">
        <is>
          <t xml:space="preserve">CURSO INTELIGENCIA ARTIFICIAL APLICADA AL EJERCICIO JURÍDICO</t>
        </is>
      </c>
      <c r="C5" s="0">
        <v>1</v>
      </c>
      <c r="D5" s="4" t="inlineStr">
        <is>
          <t xml:space="preserve">Capacitación a empleados</t>
        </is>
      </c>
      <c r="E5" s="4" t="inlineStr">
        <is>
          <t xml:space="preserve">Educación, formación, entrenamiento y capacitación / Sistemas educativos complementarios / Educación de adultos</t>
        </is>
      </c>
      <c r="F5" s="0">
        <v>1.0</v>
      </c>
      <c r="G5" s="0" t="inlineStr">
        <is>
          <t xml:space="preserve">Unidad</t>
        </is>
      </c>
      <c r="H5" s="4" t="inlineStr">
        <is>
          <t xml:space="preserve">Contratar una actividad de capacitación en modalidad curso cerrado, para el personal de los Tribunales Tributarios y Aduaneros, en el adquieran conocimientos y habilidades para utilizar las herramientas de IA aplicada al ejercicio jurídico.</t>
        </is>
      </c>
    </row>
    <row r="6">
      <c r="A6" s="0" t="inlineStr">
        <is>
          <t xml:space="preserve">1005498-24-LP26</t>
        </is>
      </c>
      <c r="B6" s="4" t="inlineStr">
        <is>
          <t xml:space="preserve">SUSCRIPCIÓN DE LICENCIAS EN MODALIDAD CLOUD</t>
        </is>
      </c>
      <c r="C6" s="0">
        <v>1</v>
      </c>
      <c r="D6" s="4" t="inlineStr">
        <is>
          <t xml:space="preserve">Up grade de software</t>
        </is>
      </c>
      <c r="E6" s="4" t="inlineStr">
        <is>
          <t xml:space="preserve">Servicios basados en ingeniería, ciencias sociales y tecnología de la información / Servicios informáticos / Mantenimiento y soporte de software</t>
        </is>
      </c>
      <c r="F6" s="0">
        <v>1.0</v>
      </c>
      <c r="G6" s="0" t="inlineStr">
        <is>
          <t xml:space="preserve">Global</t>
        </is>
      </c>
      <c r="H6" s="4" t="inlineStr">
        <is>
          <t xml:space="preserve">SUSCRIPCIÓN DE LICENCIAS EN MODALIDAD CLOUD COMPUTING SaaS CON SOPORTE LOCAL Y MANTENCIÓN</t>
        </is>
      </c>
    </row>
    <row r="7">
      <c r="A7" s="0" t="inlineStr">
        <is>
          <t xml:space="preserve">5512-18-LE26</t>
        </is>
      </c>
      <c r="B7" s="4" t="inlineStr">
        <is>
          <t xml:space="preserve">ADQUISICIÓN DE MINICOMPUTADORES PARA IA PROYECTO UTA 22991</t>
        </is>
      </c>
      <c r="C7" s="0">
        <v>1</v>
      </c>
      <c r="D7" s="4" t="inlineStr">
        <is>
          <t xml:space="preserve">Computadores de escritorio</t>
        </is>
      </c>
      <c r="E7" s="4" t="inlineStr">
        <is>
          <t xml:space="preserve">Tecnologías de la información, telecomunicaciones y radiodifusión / Equipos informáticos y accesorios / Computadores</t>
        </is>
      </c>
      <c r="F7" s="0">
        <v>3.0</v>
      </c>
      <c r="G7" s="0" t="inlineStr">
        <is>
          <t xml:space="preserve">Unidad</t>
        </is>
      </c>
      <c r="H7"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8">
      <c r="A8" s="0" t="inlineStr">
        <is>
          <t xml:space="preserve">3755-6-LP26</t>
        </is>
      </c>
      <c r="B8" s="4" t="inlineStr">
        <is>
          <t xml:space="preserve">Serv datos de tránsito y tráfico de dispositivos</t>
        </is>
      </c>
      <c r="C8" s="0">
        <v>1</v>
      </c>
      <c r="D8" s="4" t="inlineStr">
        <is>
          <t xml:space="preserve">Software de extracción de datos</t>
        </is>
      </c>
      <c r="E8" s="4" t="inlineStr">
        <is>
          <t xml:space="preserve">Tecnologías de la información, telecomunicaciones y radiodifusión / Software / Software de consultas y gestión de datos</t>
        </is>
      </c>
      <c r="F8" s="0">
        <v>1.0</v>
      </c>
      <c r="G8" s="0" t="inlineStr">
        <is>
          <t xml:space="preserve">Global</t>
        </is>
      </c>
      <c r="H8" s="4" t="inlineStr">
        <is>
          <t xml:space="preserve">SERVICIO DE DATOS DE TRÁNSITO Y TRÁFICO PROVISTOS DESDE LA NAVEGACIÓN DE DISPOSITIVOS QUE CUENTEN CON GPS</t>
        </is>
      </c>
    </row>
    <row r="9">
      <c r="A9" s="0" t="inlineStr">
        <is>
          <t xml:space="preserve">1469-297-L126</t>
        </is>
      </c>
      <c r="B9" s="4" t="inlineStr">
        <is>
          <t xml:space="preserve">“Servicio de mantenimiento preventivo y correctivo para equipos de clima de precisión Liebert CRV y UPS Tripp Lite del Centro de Datos del Campus Curicó de la Universidad de Talca”</t>
        </is>
      </c>
      <c r="C9" s="0">
        <v>1</v>
      </c>
      <c r="D9" s="4" t="inlineStr">
        <is>
          <t xml:space="preserve">Servicio de reparación de equipo de fabricación</t>
        </is>
      </c>
      <c r="E9" s="4" t="inlineStr">
        <is>
          <t xml:space="preserve">Servicios de producción y fabricación industrial / Servicios de apoyo o soporte a la fabricación / Servicios de mantenimiento y reparación de equipo de fabricación</t>
        </is>
      </c>
      <c r="F9" s="0">
        <v>1.0</v>
      </c>
      <c r="G9" s="0" t="inlineStr">
        <is>
          <t xml:space="preserve">Unidad</t>
        </is>
      </c>
      <c r="H9" s="4" t="inlineStr">
        <is>
          <t xml:space="preserve">Servicio de mantenimiento preventivo y correctivo para equipos de clima de precisión Liebert CRV y UPS Tripp Lite del Centro de Datos del Campus Curicó de la Universidad de Talca</t>
        </is>
      </c>
    </row>
    <row r="10">
      <c r="A10" s="0" t="inlineStr">
        <is>
          <t xml:space="preserve">1469-302-L126</t>
        </is>
      </c>
      <c r="B10" s="4" t="inlineStr">
        <is>
          <t xml:space="preserve">“TABLERO PARA BOMBA SUMERGIBLE, CAMPUS TALCA, UNIVERSIDAD DE TALCA”</t>
        </is>
      </c>
      <c r="C10" s="0">
        <v>1</v>
      </c>
      <c r="D10" s="4" t="inlineStr">
        <is>
          <t xml:space="preserve">Conductos eléctricos</t>
        </is>
      </c>
      <c r="E10" s="4" t="inlineStr">
        <is>
          <t xml:space="preserve">Artículos eléctricos y de iluminación / Equipamiento y artículos eléctricos / Distribución de cableado y barras colectoras</t>
        </is>
      </c>
      <c r="F10" s="0">
        <v>1.0</v>
      </c>
      <c r="G10" s="0" t="inlineStr">
        <is>
          <t xml:space="preserve">Unidad</t>
        </is>
      </c>
      <c r="H10" s="4" t="inlineStr">
        <is>
          <t xml:space="preserve">TABLERO PARA BOMBA SUMERGIBLE, CAMPUS TALCA, UNIVERSIDAD DE TALCA</t>
        </is>
      </c>
    </row>
    <row r="11">
      <c r="A11" s="0" t="inlineStr">
        <is>
          <t xml:space="preserve">1020-55-LE26</t>
        </is>
      </c>
      <c r="B11" s="4" t="inlineStr">
        <is>
          <t xml:space="preserve">Adq. Sopor. y Actual. Software ServiceTonic MOP.</t>
        </is>
      </c>
      <c r="C11" s="0">
        <v>1</v>
      </c>
      <c r="D11" s="4" t="inlineStr">
        <is>
          <t xml:space="preserve">Software de gestión de licencias</t>
        </is>
      </c>
      <c r="E11" s="4" t="inlineStr">
        <is>
          <t xml:space="preserve">Tecnologías de la información, telecomunicaciones y radiodifusión / Software / Software de gestión</t>
        </is>
      </c>
      <c r="F11" s="0">
        <v>50.0</v>
      </c>
      <c r="G11" s="0" t="inlineStr">
        <is>
          <t xml:space="preserve">Unidad</t>
        </is>
      </c>
      <c r="H11" s="4" t="inlineStr">
        <is>
          <t xml:space="preserve">Soporte y Actualizaciones Software ServiceTonic Licencias en modalidad On-Premise, usuarios nombrados, por 12 meses. Hasta el 19 de Octubre de 2027</t>
        </is>
      </c>
    </row>
    <row r="12">
      <c r="A12" s="0" t="inlineStr">
        <is>
          <t xml:space="preserve">1067778-4-LP26</t>
        </is>
      </c>
      <c r="B12" s="4" t="inlineStr">
        <is>
          <t xml:space="preserve">ARRIENDO CON OPCION DE COMPRA  DE SERVIDOR PARA IA</t>
        </is>
      </c>
      <c r="C12" s="0">
        <v>1</v>
      </c>
      <c r="D12" s="4" t="inlineStr">
        <is>
          <t xml:space="preserve">Servidores</t>
        </is>
      </c>
      <c r="E12" s="4" t="inlineStr">
        <is>
          <t xml:space="preserve">Tecnologías de la información, telecomunicaciones y radiodifusión / Equipos informáticos y accesorios / Computadores</t>
        </is>
      </c>
      <c r="F12" s="0">
        <v>60.0</v>
      </c>
      <c r="G12" s="0" t="inlineStr">
        <is>
          <t xml:space="preserve">Mes</t>
        </is>
      </c>
      <c r="H12" s="4" t="inlineStr">
        <is>
          <t xml:space="preserve">ARRIENDO CON OPCION DE COMPRA DE SERVIDOR PARA IA. VER BASES PARA MAYOR DETALLE</t>
        </is>
      </c>
    </row>
    <row r="13">
      <c r="A13" s="0" t="inlineStr">
        <is>
          <t xml:space="preserve">2318-79-LE26</t>
        </is>
      </c>
      <c r="B13" s="4" t="inlineStr">
        <is>
          <t xml:space="preserve">SISTEMA DE GESTIÓN DOCUMENTAL</t>
        </is>
      </c>
      <c r="C13" s="0">
        <v>1</v>
      </c>
      <c r="D13" s="4" t="inlineStr">
        <is>
          <t xml:space="preserve">Software de gestión de licencias</t>
        </is>
      </c>
      <c r="E13" s="4" t="inlineStr">
        <is>
          <t xml:space="preserve">Tecnologías de la información, telecomunicaciones y radiodifusión / Software / Software de gestión</t>
        </is>
      </c>
      <c r="F13" s="0">
        <v>1.0</v>
      </c>
      <c r="G13" s="0" t="inlineStr">
        <is>
          <t xml:space="preserve">Global</t>
        </is>
      </c>
      <c r="H13" s="4" t="inlineStr">
        <is>
          <t xml:space="preserve">Arriendo de sistema de gestión documental y expediente electrónico para la Ilustre Municipalidad de San Javier</t>
        </is>
      </c>
    </row>
    <row r="14">
      <c r="A14" s="0" t="inlineStr">
        <is>
          <t xml:space="preserve">3825-26-LE26</t>
        </is>
      </c>
      <c r="B14" s="4" t="inlineStr">
        <is>
          <t xml:space="preserve">Compra de Licencias Digitales Informatica</t>
        </is>
      </c>
      <c r="C14" s="0">
        <v>1</v>
      </c>
      <c r="D14" s="4" t="inlineStr">
        <is>
          <t xml:space="preserve">Software de conversión de datos</t>
        </is>
      </c>
      <c r="E14" s="4" t="inlineStr">
        <is>
          <t xml:space="preserve">Tecnologías de la información, telecomunicaciones y radiodifusión / Software / Software de controladores de dispositivos y utilidades</t>
        </is>
      </c>
      <c r="F14" s="0">
        <v>12.0</v>
      </c>
      <c r="G14" s="0" t="inlineStr">
        <is>
          <t xml:space="preserve">Unidad</t>
        </is>
      </c>
      <c r="H14" s="4" t="inlineStr">
        <is>
          <t xml:space="preserve">Licencia editor de archivos PDF, según ficha tecnica adjunta</t>
        </is>
      </c>
    </row>
    <row r="15">
      <c r="A15" s="0" t="inlineStr">
        <is>
          <t xml:space="preserve">3825-26-LE26</t>
        </is>
      </c>
      <c r="B15" s="4" t="inlineStr">
        <is>
          <t xml:space="preserve">Compra de Licencias Digitales Informatica</t>
        </is>
      </c>
      <c r="C15" s="0">
        <v>2</v>
      </c>
      <c r="D15" s="4" t="inlineStr">
        <is>
          <t xml:space="preserve">Software de interconectividad de plataformas</t>
        </is>
      </c>
      <c r="E15" s="4" t="inlineStr">
        <is>
          <t xml:space="preserve">Tecnologías de la información, telecomunicaciones y radiodifusión / Software / Software para trabajo en redes</t>
        </is>
      </c>
      <c r="F15" s="0">
        <v>4.0</v>
      </c>
      <c r="G15" s="0" t="inlineStr">
        <is>
          <t xml:space="preserve">Unidad</t>
        </is>
      </c>
      <c r="H15" s="4" t="inlineStr">
        <is>
          <t xml:space="preserve">Licencias de IA para programación, según ficha técnica adjunta</t>
        </is>
      </c>
    </row>
    <row r="16">
      <c r="A16" s="0" t="inlineStr">
        <is>
          <t xml:space="preserve">629373-23-LE26</t>
        </is>
      </c>
      <c r="B16" s="4" t="inlineStr">
        <is>
          <t xml:space="preserve">SERVICIO DE TÓTEMS DE AUTOATENCIÓN</t>
        </is>
      </c>
      <c r="C16" s="0">
        <v>1</v>
      </c>
      <c r="D16" s="4" t="inlineStr">
        <is>
          <t xml:space="preserve">Sistemas de control de formación de filas</t>
        </is>
      </c>
      <c r="E16" s="4" t="inlineStr">
        <is>
          <t xml:space="preserve">Equipos y suministros de defensa, orden público, protección y seguridad / Equipos para orden público / Equipo para control de disturbios</t>
        </is>
      </c>
      <c r="F16" s="0">
        <v>1.0</v>
      </c>
      <c r="G16" s="0" t="inlineStr">
        <is>
          <t xml:space="preserve">Global</t>
        </is>
      </c>
      <c r="H16" s="4" t="inlineStr">
        <is>
          <t xml:space="preserve">“SERVICIO DE ATENCIÓN PARA LA ADMINISTRACIÓN DE FILAS (TÓTEMS DE 
AUTOATENCIÓN) Y CUMPLIMIENTO DE LA LEY DE ATENCIÓN PREFERENCIAL EN LOS 
CENTROS DE SALUD FAMILIAR DE LA COMUNA DE SAN MIGUEL”</t>
        </is>
      </c>
    </row>
    <row r="17">
      <c r="A17" s="0" t="inlineStr">
        <is>
          <t xml:space="preserve">2656-77-LP26</t>
        </is>
      </c>
      <c r="B17" s="4" t="inlineStr">
        <is>
          <t xml:space="preserve">ARRIENDO SISTEMAS MUNICIPALES Y CLOUD COMPUTING</t>
        </is>
      </c>
      <c r="C17" s="0">
        <v>1</v>
      </c>
      <c r="D17" s="4" t="inlineStr">
        <is>
          <t xml:space="preserve">Software de sistema de archivos</t>
        </is>
      </c>
      <c r="E17" s="4" t="inlineStr">
        <is>
          <t xml:space="preserve">Tecnologías de la información, telecomunicaciones y radiodifusión / Software / Software de entorno operativo</t>
        </is>
      </c>
      <c r="F17" s="0">
        <v>1.0</v>
      </c>
      <c r="G17" s="0" t="inlineStr">
        <is>
          <t xml:space="preserve">Pack</t>
        </is>
      </c>
      <c r="H17"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8">
      <c r="A18" s="0" t="inlineStr">
        <is>
          <t xml:space="preserve">5586-166-LE26</t>
        </is>
      </c>
      <c r="B18" s="4" t="inlineStr">
        <is>
          <t xml:space="preserve">CONTRATO DE SUMINISTRO DEL SERVICIO DE ENVÍO DE CARTA CERTIFICADA DOCUMENTO Y PAQUETERÍA EXPRESS PARA EL INSTITUTO DE INFORMÁTICA EDUCATIVA DE LA UNIVERSIDAD DE LA FRONTERA</t>
        </is>
      </c>
      <c r="C18" s="0">
        <v>1</v>
      </c>
      <c r="D18" s="4" t="inlineStr">
        <is>
          <t xml:space="preserve">Servicios de entrega postal nacional</t>
        </is>
      </c>
      <c r="E18" s="4" t="inlineStr">
        <is>
          <t xml:space="preserve">Servicios de transporte, almacenaje y correo / Transporte de correo y carga / Servicios postales de pequeños paquetes y mensajería</t>
        </is>
      </c>
      <c r="F18" s="0">
        <v>1.0</v>
      </c>
      <c r="G18" s="0" t="inlineStr">
        <is>
          <t xml:space="preserve">Global</t>
        </is>
      </c>
      <c r="H18" s="4" t="inlineStr">
        <is>
          <t xml:space="preserve">CONTRATO DE SUMINISTRO DEL SERVICIO DE
ENVÍO DE CARTA CERTIFICADA, DOCUMENTO Y
PAQUETERÍA EXPRESS PARA EL INSTITUTO DE
INFORMÁTICA EDUCATIVA DE LA UNIVERSIDAD
DE LA FRONTERA</t>
        </is>
      </c>
    </row>
    <row r="19">
      <c r="A19" s="0" t="inlineStr">
        <is>
          <t xml:space="preserve">838794-12-LE26</t>
        </is>
      </c>
      <c r="B19" s="4" t="inlineStr">
        <is>
          <t xml:space="preserve">Tótem gestor de fila CAPSVILLA</t>
        </is>
      </c>
      <c r="C19" s="0">
        <v>1</v>
      </c>
      <c r="D19" s="4" t="inlineStr">
        <is>
          <t xml:space="preserve">Sistemas de control de formación de filas</t>
        </is>
      </c>
      <c r="E19" s="4" t="inlineStr">
        <is>
          <t xml:space="preserve">Equipos y suministros de defensa, orden público, protección y seguridad / Equipos para orden público / Equipo para control de disturbios</t>
        </is>
      </c>
      <c r="F19" s="0">
        <v>1.0</v>
      </c>
      <c r="G19" s="0" t="inlineStr">
        <is>
          <t xml:space="preserve">Unidad</t>
        </is>
      </c>
      <c r="H19" s="4" t="inlineStr">
        <is>
          <t xml:space="preserve">servicio de tótem gestor de filas para el Centro de Atención Primaria de Salud de Villa Alemana</t>
        </is>
      </c>
    </row>
    <row r="20">
      <c r="A20" s="0" t="inlineStr">
        <is>
          <t xml:space="preserve">885-103-LE26</t>
        </is>
      </c>
      <c r="B20" s="4" t="inlineStr">
        <is>
          <t xml:space="preserve">Servicio de operación mantenimiento preventivo y soporte técnico para plataforma FortiNAC por un período de 12 meses para la Contraloría General de la República</t>
        </is>
      </c>
      <c r="C20" s="0">
        <v>1</v>
      </c>
      <c r="D20" s="4" t="inlineStr">
        <is>
          <t xml:space="preserve">Equipo de seguridad de red de firewall</t>
        </is>
      </c>
      <c r="E20" s="4" t="inlineStr">
        <is>
          <t xml:space="preserve">Tecnologías de la información, telecomunicaciones y radiodifusión / Equipos, plataformas y accesorios de redes multimedia, voz y datos / Equipos de seguridad de red</t>
        </is>
      </c>
      <c r="F20" s="0">
        <v>1.0</v>
      </c>
      <c r="G20" s="0" t="inlineStr">
        <is>
          <t xml:space="preserve">Unidad</t>
        </is>
      </c>
      <c r="H20" s="4" t="inlineStr">
        <is>
          <t xml:space="preserve">Servicio de operación mantenimiento preventivo y soporte técnico para plataforma FortiNAC por un período de 12 meses para la Contraloría General de la República.</t>
        </is>
      </c>
    </row>
    <row r="21">
      <c r="A21" s="0" t="inlineStr">
        <is>
          <t xml:space="preserve">2766-152-L126</t>
        </is>
      </c>
      <c r="B21" s="4" t="inlineStr">
        <is>
          <t xml:space="preserve">SOFTWARE FARMACIA COMUNAL</t>
        </is>
      </c>
      <c r="C21" s="0">
        <v>1</v>
      </c>
      <c r="D21" s="4" t="inlineStr">
        <is>
          <t xml:space="preserve">Software de sistema operativo</t>
        </is>
      </c>
      <c r="E21" s="4" t="inlineStr">
        <is>
          <t xml:space="preserve">Tecnologías de la información, telecomunicaciones y radiodifusión / Software / Software de entorno operativo</t>
        </is>
      </c>
      <c r="F21" s="0">
        <v>1.0</v>
      </c>
      <c r="G21" s="0" t="inlineStr">
        <is>
          <t xml:space="preserve">Unidad</t>
        </is>
      </c>
      <c r="H21" s="4" t="inlineStr">
        <is>
          <t xml:space="preserve">SERVICIO DE ARRIENDO DE SOFTWARE PARA LA ADMINISTRACION Y GESTIÓN DE FARMACIA COMUNAL DE LA CISTERNA”</t>
        </is>
      </c>
    </row>
    <row r="22">
      <c r="A22" s="0" t="inlineStr">
        <is>
          <t xml:space="preserve">1079576-54-LE26</t>
        </is>
      </c>
      <c r="B22" s="4" t="inlineStr">
        <is>
          <t xml:space="preserve">ADQUISICIÓN DE CAJAS FUERTES ELECTRÓNICAS DIGITALES DE SEGURIDAD ZONA BIOBÍO</t>
        </is>
      </c>
      <c r="C22" s="0">
        <v>1</v>
      </c>
      <c r="D22" s="4" t="inlineStr">
        <is>
          <t xml:space="preserve">Cajas fuertes</t>
        </is>
      </c>
      <c r="E22" s="4" t="inlineStr">
        <is>
          <t xml:space="preserve">Equipos y suministros de defensa, orden público, protección y seguridad / Seguridad, vigilancia y detección / Cerraduras, elementos de seguridad y accesorios</t>
        </is>
      </c>
      <c r="F22" s="0">
        <v>1.0</v>
      </c>
      <c r="G22" s="0" t="inlineStr">
        <is>
          <t xml:space="preserve">Unidad</t>
        </is>
      </c>
      <c r="H22" s="4" t="inlineStr">
        <is>
          <t xml:space="preserve">SEGÚN ANEXO N°1 DE REQUERIMIENTOS ECONÓMICOS Y TÉCNICOS</t>
        </is>
      </c>
    </row>
    <row r="23">
      <c r="A23" s="0" t="inlineStr">
        <is>
          <t xml:space="preserve">557639-100-LE26</t>
        </is>
      </c>
      <c r="B23" s="4" t="inlineStr">
        <is>
          <t xml:space="preserve">PLATAFORMA DE GESTIÓN DE EST. EDUCACIONALES CORMUN</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Unidad</t>
        </is>
      </c>
      <c r="H23" s="4" t="inlineStr">
        <is>
          <t xml:space="preserve">PLATAFORMA DE GESTIÓN DE ESTABLECIMIENTOS EDUCACIONALES CORMUN RANCAGUA</t>
        </is>
      </c>
    </row>
    <row r="24">
      <c r="A24" s="0" t="inlineStr">
        <is>
          <t xml:space="preserve">727202-90-LE26</t>
        </is>
      </c>
      <c r="B24" s="4" t="inlineStr">
        <is>
          <t xml:space="preserve">ADQUISICIÓN DE LICENCIAS DE SOFTWARE DE DISEÑO</t>
        </is>
      </c>
      <c r="C24" s="0">
        <v>1</v>
      </c>
      <c r="D24" s="4" t="inlineStr">
        <is>
          <t xml:space="preserve">Software de gestión de licencias</t>
        </is>
      </c>
      <c r="E24" s="4" t="inlineStr">
        <is>
          <t xml:space="preserve">Tecnologías de la información, telecomunicaciones y radiodifusión / Software / Software de gestión</t>
        </is>
      </c>
      <c r="F24" s="0">
        <v>1.0</v>
      </c>
      <c r="G24" s="0" t="inlineStr">
        <is>
          <t xml:space="preserve">Global</t>
        </is>
      </c>
      <c r="H24" s="4" t="inlineStr">
        <is>
          <t xml:space="preserve">ADQUISICIÓN DE LICENCIAS DE SOFTWARE PARA DISEÑO GRÁFICO (INGRESAR VALOR NETO TOTAL)</t>
        </is>
      </c>
    </row>
    <row r="25">
      <c r="A25" s="0" t="inlineStr">
        <is>
          <t xml:space="preserve">976-18-O126</t>
        </is>
      </c>
      <c r="B25" s="4" t="inlineStr">
        <is>
          <t xml:space="preserve">ATIF Ampliación Plataformas Comercial y General Ad. El Loa</t>
        </is>
      </c>
      <c r="C25" s="0">
        <v>1</v>
      </c>
      <c r="D25" s="4" t="inlineStr">
        <is>
          <t xml:space="preserve">Licitación Pública de Consultoria</t>
        </is>
      </c>
      <c r="E25" s="4" t="inlineStr">
        <is>
          <t xml:space="preserve">Consultoria / Consultoria / Planificación y Factibilidad</t>
        </is>
      </c>
      <c r="F25" s="0">
        <v>1.0</v>
      </c>
      <c r="G25" s="0" t="inlineStr">
        <is>
          <t xml:space="preserve">Unidad</t>
        </is>
      </c>
      <c r="H25" s="4" t="inlineStr">
        <is>
          <t xml:space="preserve">Licitación Pública de Consultoria</t>
        </is>
      </c>
    </row>
    <row r="26">
      <c r="A26" s="0" t="inlineStr">
        <is>
          <t xml:space="preserve">4037-69-LE26</t>
        </is>
      </c>
      <c r="B26" s="4" t="inlineStr">
        <is>
          <t xml:space="preserve">CONTRATACION DEL SERVICIO DE SERVIDOR VIRTUAL HOSTING munifresia.cl  SOPORTE Y MANTENCION DE LA PAGINA WEB SEGUN  BASES ADMINISTRATIVAS Y TECNICAS ADJUNTAS</t>
        </is>
      </c>
      <c r="C26" s="0">
        <v>1</v>
      </c>
      <c r="D26" s="4" t="inlineStr">
        <is>
          <t xml:space="preserve">Web Hosting</t>
        </is>
      </c>
      <c r="E26" s="4" t="inlineStr">
        <is>
          <t xml:space="preserve">Servicios basados en ingeniería, ciencias sociales y tecnología de la información / Servicios informáticos / Servicios para internet</t>
        </is>
      </c>
      <c r="F26" s="0">
        <v>1.0</v>
      </c>
      <c r="G26" s="0" t="inlineStr">
        <is>
          <t xml:space="preserve">Unidad</t>
        </is>
      </c>
      <c r="H26" s="4" t="inlineStr">
        <is>
          <t xml:space="preserve">CONTRATACION DEL SERVICIO DE SERVIDOR VIRTUAL HOSTING munifresia.cl , SOPORTE Y MANTENCION DE LA PAGINA WEB, SEGUN  BASES ADMINISTRATIVAS Y TECNICAS ADJUNTAS, DECRETO ALCALDICIO N° 1973 DE FECHA 19/10/2026</t>
        </is>
      </c>
    </row>
    <row r="27">
      <c r="A27" s="0" t="inlineStr">
        <is>
          <t xml:space="preserve">2403-73-LR26</t>
        </is>
      </c>
      <c r="B27" s="4" t="inlineStr">
        <is>
          <t xml:space="preserve">Servicios de conectividad telecomunicaciones operación de infraestructura y gestión de ciberseguridad.</t>
        </is>
      </c>
      <c r="C27" s="0">
        <v>1</v>
      </c>
      <c r="D27" s="4" t="inlineStr">
        <is>
          <t xml:space="preserve">Instalación de sistemas de seguridad</t>
        </is>
      </c>
      <c r="E27" s="4" t="inlineStr">
        <is>
          <t xml:space="preserve">Servicios de construcción y mantenimiento / Servicios de atención, mantenimiento y reparaciones de edificios / Servicios eléctricos</t>
        </is>
      </c>
      <c r="F27" s="0">
        <v>1.0</v>
      </c>
      <c r="G27" s="0" t="inlineStr">
        <is>
          <t xml:space="preserve">Global</t>
        </is>
      </c>
      <c r="H27"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8">
      <c r="A28" s="0" t="inlineStr">
        <is>
          <t xml:space="preserve">2467-120-LE26</t>
        </is>
      </c>
      <c r="B28" s="4" t="inlineStr">
        <is>
          <t xml:space="preserve">ADQUISICIÓN DE LICENCIA DE SOFTWARE</t>
        </is>
      </c>
      <c r="C28" s="0">
        <v>1</v>
      </c>
      <c r="D28" s="4" t="inlineStr">
        <is>
          <t xml:space="preserve">Software de gestión de licencias</t>
        </is>
      </c>
      <c r="E28" s="4" t="inlineStr">
        <is>
          <t xml:space="preserve">Tecnologías de la información, telecomunicaciones y radiodifusión / Software / Software de gestión</t>
        </is>
      </c>
      <c r="F28" s="0">
        <v>1.0</v>
      </c>
      <c r="G28" s="0" t="inlineStr">
        <is>
          <t xml:space="preserve">Unidad</t>
        </is>
      </c>
      <c r="H28" s="4" t="inlineStr">
        <is>
          <t xml:space="preserve">Software de seguimiento y gestión de causas judiciales, con integración mediante API (interfaz de programación de aplicaciones) con los sistemas del Poder Judicial de Chile, para el seguimiento, supervisión, gestión automatizada y control de procesos judi</t>
        </is>
      </c>
    </row>
    <row r="29">
      <c r="A29" s="0" t="inlineStr">
        <is>
          <t xml:space="preserve">2448-144-LE26</t>
        </is>
      </c>
      <c r="B29" s="4" t="inlineStr">
        <is>
          <t xml:space="preserve">ADQ. ELECTROCARDIOGRAFO DIGITAL</t>
        </is>
      </c>
      <c r="C29" s="0">
        <v>1</v>
      </c>
      <c r="D29" s="4" t="inlineStr">
        <is>
          <t xml:space="preserve">Unidades de electrocardiografía (ECG)</t>
        </is>
      </c>
      <c r="E29" s="4" t="inlineStr">
        <is>
          <t xml:space="preserve">Equipamiento y suministros médicos / Productos para exámenes y control de pacientes / Unidades de electrocardiografía (ECG) y productos relacionados</t>
        </is>
      </c>
      <c r="F29" s="0">
        <v>10.0</v>
      </c>
      <c r="G29" s="0" t="inlineStr">
        <is>
          <t xml:space="preserve">Unidad</t>
        </is>
      </c>
      <c r="H29" s="4" t="inlineStr">
        <is>
          <t xml:space="preserve">Electrocardiógrafo Digital pantalla táctil, que recopile señales de ECG de 12 derivaciones simultáneamente e imprimir formas de onda de ECG con un sistema de impresión térmica.Cuenta con pantalla táctil a color de 8″,se incluye,registra y muestra la forma</t>
        </is>
      </c>
    </row>
    <row r="30">
      <c r="A30" s="0" t="inlineStr">
        <is>
          <t xml:space="preserve">2490-91-LP26</t>
        </is>
      </c>
      <c r="B30" s="4" t="inlineStr">
        <is>
          <t xml:space="preserve">ARRIENDO SOPORTE Y MANTENCIÓN DE GABINETES PSICOSENSOMÉTRICOS Y EQUIPOS COMPUTACIONALES CON SOFTWARE SPI INTEGRADO 2027-2031</t>
        </is>
      </c>
      <c r="C30" s="0">
        <v>1</v>
      </c>
      <c r="D30" s="4" t="inlineStr">
        <is>
          <t xml:space="preserve">Señales de tránsito</t>
        </is>
      </c>
      <c r="E30" s="4" t="inlineStr">
        <is>
          <t xml:space="preserve">Equipos y suministros de defensa, orden público, protección y seguridad / Seguridad y control público / Control de tráfico</t>
        </is>
      </c>
      <c r="F30" s="0">
        <v>1.0</v>
      </c>
      <c r="G30" s="0" t="inlineStr">
        <is>
          <t xml:space="preserve">Global</t>
        </is>
      </c>
      <c r="H30" s="4" t="inlineStr">
        <is>
          <t xml:space="preserve">“ARRIENDO, SOPORTE Y MANTENCIÓN DE GABINETES PSICOSENSOMÉTRICOS Y EQUIPOS COMPUTACIONALES CON SOFTWARE SPI INTEGRADO 2027-2031”</t>
        </is>
      </c>
    </row>
    <row r="31">
      <c r="A31" s="0" t="inlineStr">
        <is>
          <t xml:space="preserve">1457282-6-LE26</t>
        </is>
      </c>
      <c r="B31" s="4" t="inlineStr">
        <is>
          <t xml:space="preserve">ADQUISICIÓN DE RADIOS DIGITALES PORTÁTILES</t>
        </is>
      </c>
      <c r="C31" s="0">
        <v>1</v>
      </c>
      <c r="D31" s="4" t="inlineStr">
        <is>
          <t xml:space="preserve">Dispositivos de identificación de radiofrecuencias</t>
        </is>
      </c>
      <c r="E31" s="4" t="inlineStr">
        <is>
          <t xml:space="preserve">Tecnologías de la información, telecomunicaciones y radiodifusión / Equipos informáticos y accesorios / Dispositivos informáticos de entrada de datos</t>
        </is>
      </c>
      <c r="F31" s="0">
        <v>1.0</v>
      </c>
      <c r="G31" s="0" t="inlineStr">
        <is>
          <t xml:space="preserve">Global</t>
        </is>
      </c>
      <c r="H31" s="4" t="inlineStr">
        <is>
          <t xml:space="preserve">Adquisición, suministro, configuración, puesta en marcha y marcha blanca de un sistema de radiocomunicación digital para la operación diaria de GAM.</t>
        </is>
      </c>
    </row>
    <row r="32">
      <c r="A32" s="0" t="inlineStr">
        <is>
          <t xml:space="preserve">3053-4-LE26</t>
        </is>
      </c>
      <c r="B32" s="4" t="inlineStr">
        <is>
          <t xml:space="preserve">Adquisición de insumos informáticos para la Municipalidad de San Pedro de Atacama.</t>
        </is>
      </c>
      <c r="C32" s="0">
        <v>1</v>
      </c>
      <c r="D32" s="4" t="inlineStr">
        <is>
          <t xml:space="preserve">Impresoras multifunción o multifuncionales</t>
        </is>
      </c>
      <c r="E32" s="4" t="inlineStr">
        <is>
          <t xml:space="preserve">Tecnologías de la información, telecomunicaciones y radiodifusión / Equipos informáticos y accesorios / Impresoras</t>
        </is>
      </c>
      <c r="F32" s="0">
        <v>1.0</v>
      </c>
      <c r="G32" s="0" t="inlineStr">
        <is>
          <t xml:space="preserve">Global</t>
        </is>
      </c>
      <c r="H32" s="4" t="inlineStr">
        <is>
          <t xml:space="preserve">Adquisición de insumos de impresión y repuestos para distintos modelos de impresoras pertenecientes a la Municipalidad de San Pedro de Atacama, de acuerdo a lo requerido en las especificaciones técnicas.</t>
        </is>
      </c>
    </row>
    <row r="33">
      <c r="A33" s="0" t="inlineStr">
        <is>
          <t xml:space="preserve">2020-23-LE26</t>
        </is>
      </c>
      <c r="B33" s="4" t="inlineStr">
        <is>
          <t xml:space="preserve">SERVICIOS DE DIGITALIZACIÓN Y EXTRACCIÓN DE TÉXTO.</t>
        </is>
      </c>
      <c r="C33" s="0">
        <v>1</v>
      </c>
      <c r="D33" s="4" t="inlineStr">
        <is>
          <t xml:space="preserve">Servicios de digitalización de documentos</t>
        </is>
      </c>
      <c r="E33" s="4" t="inlineStr">
        <is>
          <t xml:space="preserve">Servicios basados en ingeniería, ciencias sociales y tecnología de la información / Servicios informáticos / Servicios de datos</t>
        </is>
      </c>
      <c r="F33" s="0">
        <v>1.0</v>
      </c>
      <c r="G33" s="0" t="inlineStr">
        <is>
          <t xml:space="preserve">Unidad</t>
        </is>
      </c>
      <c r="H33" s="4" t="inlineStr">
        <is>
          <t xml:space="preserve">SERVICIO ESPECIALIZADO DE DIGITALIZACIÓN Y EXTRACCIÓN INTELIGENTE DE TEXTO, DEL ARCHIVO DE
PRENSA HISTÓRICA DE LA BIBLIOTECA DEL
CONGRESO NACIONAL.</t>
        </is>
      </c>
    </row>
    <row r="34">
      <c r="A34" s="0" t="inlineStr">
        <is>
          <t xml:space="preserve">680504-3-L126</t>
        </is>
      </c>
      <c r="B34" s="4" t="inlineStr">
        <is>
          <t xml:space="preserve">Mantención Anual Tableros Eléctricos del Edificio RPP Curicó</t>
        </is>
      </c>
      <c r="C34" s="0">
        <v>1</v>
      </c>
      <c r="D34" s="4" t="inlineStr">
        <is>
          <t xml:space="preserve">Instalación o servicio de sistemas de energía eléctrica</t>
        </is>
      </c>
      <c r="E34" s="4" t="inlineStr">
        <is>
          <t xml:space="preserve">Servicios de construcción y mantenimiento / Servicios de atención, mantenimiento y reparaciones de edificios / Servicios eléctricos</t>
        </is>
      </c>
      <c r="F34" s="0">
        <v>1.0</v>
      </c>
      <c r="G34" s="0" t="inlineStr">
        <is>
          <t xml:space="preserve">Unidad</t>
        </is>
      </c>
      <c r="H34" s="4" t="inlineStr">
        <is>
          <t xml:space="preserve">Mantención Anual Tableros Eléctricos del Edificio RPP Curicó por un periodo de 36 meses</t>
        </is>
      </c>
    </row>
    <row r="35">
      <c r="A35" s="0" t="inlineStr">
        <is>
          <t xml:space="preserve">662237-34-LE26</t>
        </is>
      </c>
      <c r="B35" s="4" t="inlineStr">
        <is>
          <t xml:space="preserve">Adquisición de licencias software antivirus</t>
        </is>
      </c>
      <c r="C35" s="0">
        <v>1</v>
      </c>
      <c r="D35" s="4" t="inlineStr">
        <is>
          <t xml:space="preserve">Software de protección antivirus y de seguridad de transacciones</t>
        </is>
      </c>
      <c r="E35" s="4" t="inlineStr">
        <is>
          <t xml:space="preserve">Tecnologías de la información, telecomunicaciones y radiodifusión / Software / Software de seguridad y protección</t>
        </is>
      </c>
      <c r="F35" s="0">
        <v>1.0</v>
      </c>
      <c r="G35" s="0" t="inlineStr">
        <is>
          <t xml:space="preserve">Unidad</t>
        </is>
      </c>
      <c r="H35" s="4" t="inlineStr">
        <is>
          <t xml:space="preserve">Adquisición de
530 licencias de software antivirus con funcionalidades EDR y RMM,
compatibles con la infraestructura institucional o equivalentes funcionalmente
a Xcitium Advanced Endpoint Protection</t>
        </is>
      </c>
    </row>
    <row r="36">
      <c r="A36" s="0" t="inlineStr">
        <is>
          <t xml:space="preserve">1375746-20-LE26</t>
        </is>
      </c>
      <c r="B36" s="4" t="inlineStr">
        <is>
          <t xml:space="preserve">SERVICIO DE PLATAFORMA DE VOTACIÓN ELECTRÓNICA</t>
        </is>
      </c>
      <c r="C36" s="0">
        <v>1</v>
      </c>
      <c r="D36" s="4" t="inlineStr">
        <is>
          <t xml:space="preserve">Asesorías Informáticas</t>
        </is>
      </c>
      <c r="E36" s="4" t="inlineStr">
        <is>
          <t xml:space="preserve">Servicios profesionales, administrativos y consultorías de gestión empresarial / Consultorías o asesorías en gestión empresarial / Servicios de consultoría en gestión de empresas</t>
        </is>
      </c>
      <c r="F36" s="0">
        <v>1.0</v>
      </c>
      <c r="G36" s="0" t="inlineStr">
        <is>
          <t xml:space="preserve">Unidad</t>
        </is>
      </c>
      <c r="H36" s="4" t="inlineStr">
        <is>
          <t xml:space="preserve">SERVICIO DE PLATAFORMA DE VOTACIÓN ELECTRÓNICA PARA LOS PROCESOS ELECCIONARIOS</t>
        </is>
      </c>
    </row>
    <row r="37">
      <c r="A37" s="0" t="inlineStr">
        <is>
          <t xml:space="preserve">2111-304-LP26</t>
        </is>
      </c>
      <c r="B37" s="4" t="inlineStr">
        <is>
          <t xml:space="preserve">SERV. ALMACENAJE CUSTODIA Y ADM. DE DATOS FÍSICOS</t>
        </is>
      </c>
      <c r="C37" s="0">
        <v>1</v>
      </c>
      <c r="D37" s="4" t="inlineStr">
        <is>
          <t xml:space="preserve">Almacenaje de documentos en carpetas</t>
        </is>
      </c>
      <c r="E37" s="4" t="inlineStr">
        <is>
          <t xml:space="preserve">Servicios de transporte, almacenaje y correo / Almacenaje / Almacenaje de mercancía en general</t>
        </is>
      </c>
      <c r="F37" s="0">
        <v>1.0</v>
      </c>
      <c r="G37" s="0" t="inlineStr">
        <is>
          <t xml:space="preserve">Unidad</t>
        </is>
      </c>
      <c r="H37" s="4" t="inlineStr">
        <is>
          <t xml:space="preserve">SERVICIO DE ALMACENAJE, CUSTODIA Y ADMINISTRACIÓN DE DATOS FÍSICOS DEL HUAP</t>
        </is>
      </c>
    </row>
    <row r="38">
      <c r="A38" s="0" t="inlineStr">
        <is>
          <t xml:space="preserve">2981-287-LP26</t>
        </is>
      </c>
      <c r="B38" s="4" t="inlineStr">
        <is>
          <t xml:space="preserve">CIBERSEGURIDAD- CONSULTORIA</t>
        </is>
      </c>
      <c r="C38" s="0">
        <v>1</v>
      </c>
      <c r="D38" s="4" t="inlineStr">
        <is>
          <t xml:space="preserve">Asesorías en gestión estratégica</t>
        </is>
      </c>
      <c r="E38" s="4" t="inlineStr">
        <is>
          <t xml:space="preserve">Servicios profesionales, administrativos y consultorías de gestión empresarial / Consultorías o asesorías en gestión empresarial / Servicios de consultoría en gestión de empresas</t>
        </is>
      </c>
      <c r="F38" s="0">
        <v>1.0</v>
      </c>
      <c r="G38" s="0" t="inlineStr">
        <is>
          <t xml:space="preserve">Unidad</t>
        </is>
      </c>
      <c r="H38" s="4" t="inlineStr">
        <is>
          <t xml:space="preserve">CONTRATACION  DEL SERVICIO DE CONSULTORIA PARA LA IMPLEMENTACION DE UN SISTEMA DE SEGURIDAD DE LA INFORMACION PARA LA PDI.</t>
        </is>
      </c>
    </row>
    <row r="39">
      <c r="A39" s="0" t="inlineStr">
        <is>
          <t xml:space="preserve">3945-31-LE26</t>
        </is>
      </c>
      <c r="B39" s="4" t="inlineStr">
        <is>
          <t xml:space="preserve">CONTRATACION SERVICIO DE SISTEMA INFORMATICO DE GESTION DOCUMENTAL- MUNICIPALIDAD LOS ALAMOS</t>
        </is>
      </c>
      <c r="C39" s="0">
        <v>1</v>
      </c>
      <c r="D39" s="4" t="inlineStr">
        <is>
          <t xml:space="preserve">Software de sistema operativo</t>
        </is>
      </c>
      <c r="E39" s="4" t="inlineStr">
        <is>
          <t xml:space="preserve">Tecnologías de la información, telecomunicaciones y radiodifusión / Software / Software de entorno operativo</t>
        </is>
      </c>
      <c r="F39" s="0">
        <v>1.0</v>
      </c>
      <c r="G39" s="0" t="inlineStr">
        <is>
          <t xml:space="preserve">Global</t>
        </is>
      </c>
      <c r="H39" s="4" t="inlineStr">
        <is>
          <t xml:space="preserve">Se requiere contratar SERVICIO DE SISTEMA INFORMATICO DE GESTION DOCUMENTAL- MUNICIPALIDAD LOS ALAMOS”,   por un periodo de 36 meses, según Bases Administrativas, técnicas y anexos adjuntos.</t>
        </is>
      </c>
    </row>
    <row r="40">
      <c r="A40" s="0" t="inlineStr">
        <is>
          <t xml:space="preserve">5441-12-LP26</t>
        </is>
      </c>
      <c r="B40" s="4" t="inlineStr">
        <is>
          <t xml:space="preserve">Generador 500 kVA y Tablero de Transf. Autom. 800A</t>
        </is>
      </c>
      <c r="C40" s="0">
        <v>1</v>
      </c>
      <c r="D40" s="4" t="inlineStr">
        <is>
          <t xml:space="preserve">Generadores diesel</t>
        </is>
      </c>
      <c r="E40" s="4" t="inlineStr">
        <is>
          <t xml:space="preserve">Maquinaria para generación y distribución de energía / Transmisión de energía eléctrica, mecánica y cinética / Grupos electrógenos</t>
        </is>
      </c>
      <c r="F40" s="0">
        <v>1.0</v>
      </c>
      <c r="G40" s="0" t="inlineStr">
        <is>
          <t xml:space="preserve">Unidad</t>
        </is>
      </c>
      <c r="H40" s="4" t="inlineStr">
        <is>
          <t xml:space="preserve">GENERADOR DE 500 kVA, SEGÚN BASES ADMINISTRATIVAS Y TÉCNICAS.</t>
        </is>
      </c>
    </row>
    <row r="41">
      <c r="A41" s="0" t="inlineStr">
        <is>
          <t xml:space="preserve">5441-12-LP26</t>
        </is>
      </c>
      <c r="B41" s="4" t="inlineStr">
        <is>
          <t xml:space="preserve">Generador 500 kVA y Tablero de Transf. Autom. 800A</t>
        </is>
      </c>
      <c r="C41" s="0">
        <v>2</v>
      </c>
      <c r="D41" s="4" t="inlineStr">
        <is>
          <t xml:space="preserve">Paneles de control eléctrico para generadores</t>
        </is>
      </c>
      <c r="E41" s="4" t="inlineStr">
        <is>
          <t xml:space="preserve">Maquinaria para generación y distribución de energía / Generación de energía / Equipo para control de producción de energía</t>
        </is>
      </c>
      <c r="F41" s="0">
        <v>1.0</v>
      </c>
      <c r="G41" s="0" t="inlineStr">
        <is>
          <t xml:space="preserve">Unidad</t>
        </is>
      </c>
      <c r="H41" s="4" t="inlineStr">
        <is>
          <t xml:space="preserve">TABLERO DE TRANSFERENCIA AUTOMÁTICA, SEGÚN BASES ADMINISTRATIVAS Y TÉCNICAS.</t>
        </is>
      </c>
    </row>
    <row r="42">
      <c r="A42" s="0" t="inlineStr">
        <is>
          <t xml:space="preserve">5482-115-LP26</t>
        </is>
      </c>
      <c r="B42" s="4" t="inlineStr">
        <is>
          <t xml:space="preserve">DIGITALIZACIÓNINTEGRACION SGL LICENCIAS CONDUCIR</t>
        </is>
      </c>
      <c r="C42" s="0">
        <v>1</v>
      </c>
      <c r="D42" s="4" t="inlineStr">
        <is>
          <t xml:space="preserve">Servicios de digitalización de documentos</t>
        </is>
      </c>
      <c r="E42" s="4" t="inlineStr">
        <is>
          <t xml:space="preserve">Servicios basados en ingeniería, ciencias sociales y tecnología de la información / Servicios informáticos / Servicios de datos</t>
        </is>
      </c>
      <c r="F42" s="0">
        <v>1.0</v>
      </c>
      <c r="G42" s="0" t="inlineStr">
        <is>
          <t xml:space="preserve">Global</t>
        </is>
      </c>
      <c r="H42" s="4"/>
    </row>
    <row r="43">
      <c r="A43" s="0" t="inlineStr">
        <is>
          <t xml:space="preserve">5482-116-LE26</t>
        </is>
      </c>
      <c r="B43" s="4" t="inlineStr">
        <is>
          <t xml:space="preserve">SERVICIO INFORMÁTICO INTEGRAL LICENCIAS CONDUCIR</t>
        </is>
      </c>
      <c r="C43" s="0">
        <v>1</v>
      </c>
      <c r="D43" s="4" t="inlineStr">
        <is>
          <t xml:space="preserve">Dispositivos de acceso de red digital de servicios integrados (RDSI)</t>
        </is>
      </c>
      <c r="E43" s="4" t="inlineStr">
        <is>
          <t xml:space="preserve">Tecnologías de la información, telecomunicaciones y radiodifusión / Equipos, plataformas y accesorios de redes multimedia, voz y datos / Equipos de servicio de red</t>
        </is>
      </c>
      <c r="F43" s="0">
        <v>1.0</v>
      </c>
      <c r="G43" s="0" t="inlineStr">
        <is>
          <t xml:space="preserve">Global</t>
        </is>
      </c>
      <c r="H43" s="4"/>
    </row>
    <row r="44">
      <c r="A44" s="0" t="inlineStr">
        <is>
          <t xml:space="preserve">2446-315-LE26</t>
        </is>
      </c>
      <c r="B44" s="4" t="inlineStr">
        <is>
          <t xml:space="preserve">ADQUISICIÓN DE LICENCIAS DE SOFTWARE INSTITUCIONAL</t>
        </is>
      </c>
      <c r="C44" s="0">
        <v>1</v>
      </c>
      <c r="D44" s="4" t="inlineStr">
        <is>
          <t xml:space="preserve">Paquetes de software para oficinas</t>
        </is>
      </c>
      <c r="E44" s="4" t="inlineStr">
        <is>
          <t xml:space="preserve">Tecnologías de la información, telecomunicaciones y radiodifusión / Software / Software de gestión</t>
        </is>
      </c>
      <c r="F44" s="0">
        <v>1.0</v>
      </c>
      <c r="G44" s="0" t="inlineStr">
        <is>
          <t xml:space="preserve">Global</t>
        </is>
      </c>
      <c r="H44" s="4" t="inlineStr">
        <is>
          <t xml:space="preserve">LÍNEA 1: Adquisición de licencias de software de diseño y producción audiovisual (Adobe Creative Cloud o equivalente) (INGRESAR VALOR NETO TOTAL)</t>
        </is>
      </c>
    </row>
    <row r="45">
      <c r="A45" s="0" t="inlineStr">
        <is>
          <t xml:space="preserve">2446-315-LE26</t>
        </is>
      </c>
      <c r="B45" s="4" t="inlineStr">
        <is>
          <t xml:space="preserve">ADQUISICIÓN DE LICENCIAS DE SOFTWARE INSTITUCIONAL</t>
        </is>
      </c>
      <c r="C45" s="0">
        <v>2</v>
      </c>
      <c r="D45" s="4" t="inlineStr">
        <is>
          <t xml:space="preserve">Paquetes de software para oficinas</t>
        </is>
      </c>
      <c r="E45" s="4" t="inlineStr">
        <is>
          <t xml:space="preserve">Tecnologías de la información, telecomunicaciones y radiodifusión / Software / Software de gestión</t>
        </is>
      </c>
      <c r="F45" s="0">
        <v>1.0</v>
      </c>
      <c r="G45" s="0" t="inlineStr">
        <is>
          <t xml:space="preserve">Global</t>
        </is>
      </c>
      <c r="H45" s="4" t="inlineStr">
        <is>
          <t xml:space="preserve">LÍNEA N°2: Adquisición de licencias de plataforma de inteligencia artificial conversacional para desarrollo de software (Claude o equivalente) (INGRESAR VALOR NETO TOTAL)</t>
        </is>
      </c>
    </row>
    <row r="46">
      <c r="A46" s="0" t="inlineStr">
        <is>
          <t xml:space="preserve">2446-315-LE26</t>
        </is>
      </c>
      <c r="B46" s="4" t="inlineStr">
        <is>
          <t xml:space="preserve">ADQUISICIÓN DE LICENCIAS DE SOFTWARE INSTITUCIONAL</t>
        </is>
      </c>
      <c r="C46" s="0">
        <v>3</v>
      </c>
      <c r="D46" s="4" t="inlineStr">
        <is>
          <t xml:space="preserve">Paquetes de software para oficinas</t>
        </is>
      </c>
      <c r="E46" s="4" t="inlineStr">
        <is>
          <t xml:space="preserve">Tecnologías de la información, telecomunicaciones y radiodifusión / Software / Software de gestión</t>
        </is>
      </c>
      <c r="F46" s="0">
        <v>1.0</v>
      </c>
      <c r="G46" s="0" t="inlineStr">
        <is>
          <t xml:space="preserve">Global</t>
        </is>
      </c>
      <c r="H46" s="4" t="inlineStr">
        <is>
          <t xml:space="preserve">LÍNEA N°3: Adquisición de licencia de software de escritorio remoto para soporte técnico y administración de equipos institucionales (AnyDesk o equivalente) INGRESAR VALOR NETO TOTAL</t>
        </is>
      </c>
    </row>
    <row r="47">
      <c r="A47" s="0" t="inlineStr">
        <is>
          <t xml:space="preserve">2446-315-LE26</t>
        </is>
      </c>
      <c r="B47" s="4" t="inlineStr">
        <is>
          <t xml:space="preserve">ADQUISICIÓN DE LICENCIAS DE SOFTWARE INSTITUCIONAL</t>
        </is>
      </c>
      <c r="C47" s="0">
        <v>4</v>
      </c>
      <c r="D47" s="4" t="inlineStr">
        <is>
          <t xml:space="preserve">Paquetes de software para oficinas</t>
        </is>
      </c>
      <c r="E47" s="4" t="inlineStr">
        <is>
          <t xml:space="preserve">Tecnologías de la información, telecomunicaciones y radiodifusión / Software / Software de gestión</t>
        </is>
      </c>
      <c r="F47" s="0">
        <v>1.0</v>
      </c>
      <c r="G47" s="0" t="inlineStr">
        <is>
          <t xml:space="preserve">Global</t>
        </is>
      </c>
      <c r="H47" s="4" t="inlineStr">
        <is>
          <t xml:space="preserve">LÍNEA N°4: Adquisición licencia de software de visualización de datos, analítica e inteligencia de negocios (Power BI o equivalente) INGRESAR VALOR NETO TOTAL</t>
        </is>
      </c>
    </row>
    <row r="48">
      <c r="A48" s="0" t="inlineStr">
        <is>
          <t xml:space="preserve">2446-315-LE26</t>
        </is>
      </c>
      <c r="B48" s="4" t="inlineStr">
        <is>
          <t xml:space="preserve">ADQUISICIÓN DE LICENCIAS DE SOFTWARE INSTITUCIONAL</t>
        </is>
      </c>
      <c r="C48" s="0">
        <v>5</v>
      </c>
      <c r="D48" s="4" t="inlineStr">
        <is>
          <t xml:space="preserve">Paquetes de software para oficinas</t>
        </is>
      </c>
      <c r="E48" s="4" t="inlineStr">
        <is>
          <t xml:space="preserve">Tecnologías de la información, telecomunicaciones y radiodifusión / Software / Software de gestión</t>
        </is>
      </c>
      <c r="F48" s="0">
        <v>1.0</v>
      </c>
      <c r="G48" s="0" t="inlineStr">
        <is>
          <t xml:space="preserve">Global</t>
        </is>
      </c>
      <c r="H48" s="4" t="inlineStr">
        <is>
          <t xml:space="preserve">LÍNEA N°5: Adquisición de licenciamiento de software de generación de imágenes y videos con inteligencia artificial (Runway o equivalente). INGRESAR VALOR NETO TOTAL</t>
        </is>
      </c>
    </row>
    <row r="49">
      <c r="A49" s="0" t="inlineStr">
        <is>
          <t xml:space="preserve">2563-43-LP26</t>
        </is>
      </c>
      <c r="B49" s="4" t="inlineStr">
        <is>
          <t xml:space="preserve">Adquisición de cámaras IA y radares de seguridad</t>
        </is>
      </c>
      <c r="C49" s="0">
        <v>1</v>
      </c>
      <c r="D49" s="4" t="inlineStr">
        <is>
          <t xml:space="preserve">Cámaras de seguridad</t>
        </is>
      </c>
      <c r="E49" s="4" t="inlineStr">
        <is>
          <t xml:space="preserve">Equipos y suministros de defensa, orden público, protección y seguridad / Seguridad, vigilancia y detección / Equipo de vigilancia y detección</t>
        </is>
      </c>
      <c r="F49" s="0">
        <v>2.0</v>
      </c>
      <c r="G49" s="0" t="inlineStr">
        <is>
          <t xml:space="preserve">Unidad</t>
        </is>
      </c>
      <c r="H49"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50">
      <c r="A50" s="0" t="inlineStr">
        <is>
          <t xml:space="preserve">2563-43-LP26</t>
        </is>
      </c>
      <c r="B50" s="4" t="inlineStr">
        <is>
          <t xml:space="preserve">Adquisición de cámaras IA y radares de seguridad</t>
        </is>
      </c>
      <c r="C50" s="0">
        <v>2</v>
      </c>
      <c r="D50" s="4" t="inlineStr">
        <is>
          <t xml:space="preserve">Cámaras de seguridad</t>
        </is>
      </c>
      <c r="E50" s="4" t="inlineStr">
        <is>
          <t xml:space="preserve">Equipos y suministros de defensa, orden público, protección y seguridad / Seguridad, vigilancia y detección / Equipo de vigilancia y detección</t>
        </is>
      </c>
      <c r="F50" s="0">
        <v>2.0</v>
      </c>
      <c r="G50" s="0" t="inlineStr">
        <is>
          <t xml:space="preserve">Unidad</t>
        </is>
      </c>
      <c r="H50"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51">
      <c r="A51" s="0" t="inlineStr">
        <is>
          <t xml:space="preserve">2563-43-LP26</t>
        </is>
      </c>
      <c r="B51" s="4" t="inlineStr">
        <is>
          <t xml:space="preserve">Adquisición de cámaras IA y radares de seguridad</t>
        </is>
      </c>
      <c r="C51" s="0">
        <v>3</v>
      </c>
      <c r="D51" s="4" t="inlineStr">
        <is>
          <t xml:space="preserve">Cámaras de seguridad</t>
        </is>
      </c>
      <c r="E51" s="4" t="inlineStr">
        <is>
          <t xml:space="preserve">Equipos y suministros de defensa, orden público, protección y seguridad / Seguridad, vigilancia y detección / Equipo de vigilancia y detección</t>
        </is>
      </c>
      <c r="F51" s="0">
        <v>1.0</v>
      </c>
      <c r="G51" s="0" t="inlineStr">
        <is>
          <t xml:space="preserve">Unidad</t>
        </is>
      </c>
      <c r="H51" s="4" t="inlineStr">
        <is>
          <t xml:space="preserve">ítem 2: Servidor de gestión de video.</t>
        </is>
      </c>
    </row>
    <row r="52">
      <c r="A52" s="0" t="inlineStr">
        <is>
          <t xml:space="preserve">2563-43-LP26</t>
        </is>
      </c>
      <c r="B52" s="4" t="inlineStr">
        <is>
          <t xml:space="preserve">Adquisición de cámaras IA y radares de seguridad</t>
        </is>
      </c>
      <c r="C52" s="0">
        <v>4</v>
      </c>
      <c r="D52" s="4" t="inlineStr">
        <is>
          <t xml:space="preserve">Cámaras de seguridad</t>
        </is>
      </c>
      <c r="E52" s="4" t="inlineStr">
        <is>
          <t xml:space="preserve">Equipos y suministros de defensa, orden público, protección y seguridad / Seguridad, vigilancia y detección / Equipo de vigilancia y detección</t>
        </is>
      </c>
      <c r="F52" s="0">
        <v>2.0</v>
      </c>
      <c r="G52" s="0" t="inlineStr">
        <is>
          <t xml:space="preserve">Unidad</t>
        </is>
      </c>
      <c r="H52"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53">
      <c r="A53" s="0" t="inlineStr">
        <is>
          <t xml:space="preserve">2563-43-LP26</t>
        </is>
      </c>
      <c r="B53" s="4" t="inlineStr">
        <is>
          <t xml:space="preserve">Adquisición de cámaras IA y radares de seguridad</t>
        </is>
      </c>
      <c r="C53" s="0">
        <v>5</v>
      </c>
      <c r="D53" s="4" t="inlineStr">
        <is>
          <t xml:space="preserve">Cámaras de seguridad</t>
        </is>
      </c>
      <c r="E53" s="4" t="inlineStr">
        <is>
          <t xml:space="preserve">Equipos y suministros de defensa, orden público, protección y seguridad / Seguridad, vigilancia y detección / Equipo de vigilancia y detección</t>
        </is>
      </c>
      <c r="F53" s="0">
        <v>2.0</v>
      </c>
      <c r="G53" s="0" t="inlineStr">
        <is>
          <t xml:space="preserve">Unidad</t>
        </is>
      </c>
      <c r="H53"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54">
      <c r="A54" s="0" t="inlineStr">
        <is>
          <t xml:space="preserve">2563-43-LP26</t>
        </is>
      </c>
      <c r="B54" s="4" t="inlineStr">
        <is>
          <t xml:space="preserve">Adquisición de cámaras IA y radares de seguridad</t>
        </is>
      </c>
      <c r="C54" s="0">
        <v>6</v>
      </c>
      <c r="D54" s="4" t="inlineStr">
        <is>
          <t xml:space="preserve">Cámaras de seguridad</t>
        </is>
      </c>
      <c r="E54" s="4" t="inlineStr">
        <is>
          <t xml:space="preserve">Equipos y suministros de defensa, orden público, protección y seguridad / Seguridad, vigilancia y detección / Equipo de vigilancia y detección</t>
        </is>
      </c>
      <c r="F54" s="0">
        <v>6.0</v>
      </c>
      <c r="G54" s="0" t="inlineStr">
        <is>
          <t xml:space="preserve">Unidad</t>
        </is>
      </c>
      <c r="H54"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55">
      <c r="A55" s="0" t="inlineStr">
        <is>
          <t xml:space="preserve">2563-43-LP26</t>
        </is>
      </c>
      <c r="B55" s="4" t="inlineStr">
        <is>
          <t xml:space="preserve">Adquisición de cámaras IA y radares de seguridad</t>
        </is>
      </c>
      <c r="C55" s="0">
        <v>7</v>
      </c>
      <c r="D55" s="4" t="inlineStr">
        <is>
          <t xml:space="preserve">Cámaras de seguridad</t>
        </is>
      </c>
      <c r="E55" s="4" t="inlineStr">
        <is>
          <t xml:space="preserve">Equipos y suministros de defensa, orden público, protección y seguridad / Seguridad, vigilancia y detección / Equipo de vigilancia y detección</t>
        </is>
      </c>
      <c r="F55" s="0">
        <v>6.0</v>
      </c>
      <c r="G55" s="0" t="inlineStr">
        <is>
          <t xml:space="preserve">Unidad</t>
        </is>
      </c>
      <c r="H55"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56">
      <c r="A56" s="0" t="inlineStr">
        <is>
          <t xml:space="preserve">2563-43-LP26</t>
        </is>
      </c>
      <c r="B56" s="4" t="inlineStr">
        <is>
          <t xml:space="preserve">Adquisición de cámaras IA y radares de seguridad</t>
        </is>
      </c>
      <c r="C56" s="0">
        <v>8</v>
      </c>
      <c r="D56" s="4" t="inlineStr">
        <is>
          <t xml:space="preserve">Cámaras de seguridad</t>
        </is>
      </c>
      <c r="E56" s="4" t="inlineStr">
        <is>
          <t xml:space="preserve">Equipos y suministros de defensa, orden público, protección y seguridad / Seguridad, vigilancia y detección / Equipo de vigilancia y detección</t>
        </is>
      </c>
      <c r="F56" s="0">
        <v>1.0</v>
      </c>
      <c r="G56" s="0" t="inlineStr">
        <is>
          <t xml:space="preserve">Unidad</t>
        </is>
      </c>
      <c r="H56"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57">
      <c r="A57" s="0" t="inlineStr">
        <is>
          <t xml:space="preserve">2563-43-LP26</t>
        </is>
      </c>
      <c r="B57" s="4" t="inlineStr">
        <is>
          <t xml:space="preserve">Adquisición de cámaras IA y radares de seguridad</t>
        </is>
      </c>
      <c r="C57" s="0">
        <v>9</v>
      </c>
      <c r="D57" s="4" t="inlineStr">
        <is>
          <t xml:space="preserve">Cámaras de seguridad</t>
        </is>
      </c>
      <c r="E57" s="4" t="inlineStr">
        <is>
          <t xml:space="preserve">Equipos y suministros de defensa, orden público, protección y seguridad / Seguridad, vigilancia y detección / Equipo de vigilancia y detección</t>
        </is>
      </c>
      <c r="F57" s="0">
        <v>8.0</v>
      </c>
      <c r="G57" s="0" t="inlineStr">
        <is>
          <t xml:space="preserve">Unidad</t>
        </is>
      </c>
      <c r="H57"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58">
      <c r="A58" s="0" t="inlineStr">
        <is>
          <t xml:space="preserve">2563-43-LP26</t>
        </is>
      </c>
      <c r="B58" s="4" t="inlineStr">
        <is>
          <t xml:space="preserve">Adquisición de cámaras IA y radares de seguridad</t>
        </is>
      </c>
      <c r="C58" s="0">
        <v>10</v>
      </c>
      <c r="D58" s="4" t="inlineStr">
        <is>
          <t xml:space="preserve">Cámaras de seguridad</t>
        </is>
      </c>
      <c r="E58" s="4" t="inlineStr">
        <is>
          <t xml:space="preserve">Equipos y suministros de defensa, orden público, protección y seguridad / Seguridad, vigilancia y detección / Equipo de vigilancia y detección</t>
        </is>
      </c>
      <c r="F58" s="0">
        <v>1.0</v>
      </c>
      <c r="G58" s="0" t="inlineStr">
        <is>
          <t xml:space="preserve">Unidad</t>
        </is>
      </c>
      <c r="H58"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59">
      <c r="A59" s="0" t="inlineStr">
        <is>
          <t xml:space="preserve">2563-43-LP26</t>
        </is>
      </c>
      <c r="B59" s="4" t="inlineStr">
        <is>
          <t xml:space="preserve">Adquisición de cámaras IA y radares de seguridad</t>
        </is>
      </c>
      <c r="C59" s="0">
        <v>11</v>
      </c>
      <c r="D59" s="4" t="inlineStr">
        <is>
          <t xml:space="preserve">Cámaras de seguridad</t>
        </is>
      </c>
      <c r="E59" s="4" t="inlineStr">
        <is>
          <t xml:space="preserve">Equipos y suministros de defensa, orden público, protección y seguridad / Seguridad, vigilancia y detección / Equipo de vigilancia y detección</t>
        </is>
      </c>
      <c r="F59" s="0">
        <v>1.0</v>
      </c>
      <c r="G59" s="0" t="inlineStr">
        <is>
          <t xml:space="preserve">Unidad</t>
        </is>
      </c>
      <c r="H59"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60">
      <c r="A60" s="0" t="inlineStr">
        <is>
          <t xml:space="preserve">2563-43-LP26</t>
        </is>
      </c>
      <c r="B60" s="4" t="inlineStr">
        <is>
          <t xml:space="preserve">Adquisición de cámaras IA y radares de seguridad</t>
        </is>
      </c>
      <c r="C60" s="0">
        <v>12</v>
      </c>
      <c r="D60" s="4" t="inlineStr">
        <is>
          <t xml:space="preserve">Cámaras de seguridad</t>
        </is>
      </c>
      <c r="E60" s="4" t="inlineStr">
        <is>
          <t xml:space="preserve">Equipos y suministros de defensa, orden público, protección y seguridad / Seguridad, vigilancia y detección / Equipo de vigilancia y detección</t>
        </is>
      </c>
      <c r="F60" s="0">
        <v>2.0</v>
      </c>
      <c r="G60" s="0" t="inlineStr">
        <is>
          <t xml:space="preserve">Unidad</t>
        </is>
      </c>
      <c r="H60"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61">
      <c r="A61" s="0" t="inlineStr">
        <is>
          <t xml:space="preserve">2563-43-LP26</t>
        </is>
      </c>
      <c r="B61" s="4" t="inlineStr">
        <is>
          <t xml:space="preserve">Adquisición de cámaras IA y radares de seguridad</t>
        </is>
      </c>
      <c r="C61" s="0">
        <v>13</v>
      </c>
      <c r="D61" s="4" t="inlineStr">
        <is>
          <t xml:space="preserve">Cámaras de seguridad</t>
        </is>
      </c>
      <c r="E61" s="4" t="inlineStr">
        <is>
          <t xml:space="preserve">Equipos y suministros de defensa, orden público, protección y seguridad / Seguridad, vigilancia y detección / Equipo de vigilancia y detección</t>
        </is>
      </c>
      <c r="F61" s="0">
        <v>2.0</v>
      </c>
      <c r="G61" s="0" t="inlineStr">
        <is>
          <t xml:space="preserve">Unidad</t>
        </is>
      </c>
      <c r="H61"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62">
      <c r="A62" s="0" t="inlineStr">
        <is>
          <t xml:space="preserve">2563-43-LP26</t>
        </is>
      </c>
      <c r="B62" s="4" t="inlineStr">
        <is>
          <t xml:space="preserve">Adquisición de cámaras IA y radares de seguridad</t>
        </is>
      </c>
      <c r="C62" s="0">
        <v>14</v>
      </c>
      <c r="D62" s="4" t="inlineStr">
        <is>
          <t xml:space="preserve">Cámaras de seguridad</t>
        </is>
      </c>
      <c r="E62" s="4" t="inlineStr">
        <is>
          <t xml:space="preserve">Equipos y suministros de defensa, orden público, protección y seguridad / Seguridad, vigilancia y detección / Equipo de vigilancia y detección</t>
        </is>
      </c>
      <c r="F62" s="0">
        <v>2.0</v>
      </c>
      <c r="G62" s="0" t="inlineStr">
        <is>
          <t xml:space="preserve">Unidad</t>
        </is>
      </c>
      <c r="H62"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63">
      <c r="A63" s="0" t="inlineStr">
        <is>
          <t xml:space="preserve">2563-43-LP26</t>
        </is>
      </c>
      <c r="B63" s="4" t="inlineStr">
        <is>
          <t xml:space="preserve">Adquisición de cámaras IA y radares de seguridad</t>
        </is>
      </c>
      <c r="C63" s="0">
        <v>15</v>
      </c>
      <c r="D63" s="4" t="inlineStr">
        <is>
          <t xml:space="preserve">Cámaras de seguridad</t>
        </is>
      </c>
      <c r="E63" s="4" t="inlineStr">
        <is>
          <t xml:space="preserve">Equipos y suministros de defensa, orden público, protección y seguridad / Seguridad, vigilancia y detección / Equipo de vigilancia y detección</t>
        </is>
      </c>
      <c r="F63" s="0">
        <v>1.0</v>
      </c>
      <c r="G63" s="0" t="inlineStr">
        <is>
          <t xml:space="preserve">Unidad</t>
        </is>
      </c>
      <c r="H63"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64">
      <c r="A64" s="0" t="inlineStr">
        <is>
          <t xml:space="preserve">587-47-LE26</t>
        </is>
      </c>
      <c r="B64" s="4" t="inlineStr">
        <is>
          <t xml:space="preserve">RENOVACIÓN DE LICENCIAS DE SOFTWARE</t>
        </is>
      </c>
      <c r="C64" s="0">
        <v>1</v>
      </c>
      <c r="D64" s="4" t="inlineStr">
        <is>
          <t xml:space="preserve">Software de gestión de licencias</t>
        </is>
      </c>
      <c r="E64" s="4" t="inlineStr">
        <is>
          <t xml:space="preserve">Tecnologías de la información, telecomunicaciones y radiodifusión / Software / Software de gestión</t>
        </is>
      </c>
      <c r="F64" s="0">
        <v>12.0</v>
      </c>
      <c r="G64" s="0" t="inlineStr">
        <is>
          <t xml:space="preserve">Unidad</t>
        </is>
      </c>
      <c r="H64"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65">
      <c r="A65" s="0" t="inlineStr">
        <is>
          <t xml:space="preserve">1461054-45-LP26</t>
        </is>
      </c>
      <c r="B65" s="4" t="inlineStr">
        <is>
          <t xml:space="preserve">PLATAFORMA DE GESTIÓN EDUCACIONAL PARA 77 E.E</t>
        </is>
      </c>
      <c r="C65" s="0">
        <v>1</v>
      </c>
      <c r="D65" s="4" t="inlineStr">
        <is>
          <t xml:space="preserve">Software del sistema de administración de bases de datos</t>
        </is>
      </c>
      <c r="E65" s="4" t="inlineStr">
        <is>
          <t xml:space="preserve">Tecnologías de la información, telecomunicaciones y radiodifusión / Software / Software de consultas y gestión de datos</t>
        </is>
      </c>
      <c r="F65" s="0">
        <v>1.0</v>
      </c>
      <c r="G65" s="0" t="inlineStr">
        <is>
          <t xml:space="preserve">Unidad</t>
        </is>
      </c>
      <c r="H65" s="4" t="inlineStr">
        <is>
          <t xml:space="preserve">PLATAFORMA DE GESTIÓN EDUCACIONAL PARA 77 ESTABLECIMIENTOS EDUCACIONALES DEPENDIENTES DEL SERVICIO LOCAL DE EDUCACIÓN PÚBLICA ELQUI</t>
        </is>
      </c>
    </row>
    <row r="66">
      <c r="A66" s="0" t="inlineStr">
        <is>
          <t xml:space="preserve">2107-164-LE26</t>
        </is>
      </c>
      <c r="B66" s="4" t="inlineStr">
        <is>
          <t xml:space="preserve">ARRIENDO DE TOTEMS AUTOADMINISTRADOS PARA HSC</t>
        </is>
      </c>
      <c r="C66" s="0">
        <v>1</v>
      </c>
      <c r="D66" s="4" t="inlineStr">
        <is>
          <t xml:space="preserve">Servidores de gama alta</t>
        </is>
      </c>
      <c r="E66" s="4" t="inlineStr">
        <is>
          <t xml:space="preserve">Tecnologías de la información, telecomunicaciones y radiodifusión / Equipos informáticos y accesorios / Computadores</t>
        </is>
      </c>
      <c r="F66" s="0">
        <v>36.0</v>
      </c>
      <c r="G66" s="0" t="inlineStr">
        <is>
          <t xml:space="preserve">Mes</t>
        </is>
      </c>
      <c r="H66" s="4" t="inlineStr">
        <is>
          <t xml:space="preserve">SERVICIO MENSUAL DE ARRIENDO DE 3 TOTEMS AUTOADMINISTRADOS SEGUN BASES</t>
        </is>
      </c>
    </row>
    <row r="67">
      <c r="A67" s="0" t="inlineStr">
        <is>
          <t xml:space="preserve">2107-164-LE26</t>
        </is>
      </c>
      <c r="B67" s="4" t="inlineStr">
        <is>
          <t xml:space="preserve">ARRIENDO DE TOTEMS AUTOADMINISTRADOS PARA HSC</t>
        </is>
      </c>
      <c r="C67" s="0">
        <v>2</v>
      </c>
      <c r="D67" s="4" t="inlineStr">
        <is>
          <t xml:space="preserve">Servidores de gama alta</t>
        </is>
      </c>
      <c r="E67" s="4" t="inlineStr">
        <is>
          <t xml:space="preserve">Tecnologías de la información, telecomunicaciones y radiodifusión / Equipos informáticos y accesorios / Computadores</t>
        </is>
      </c>
      <c r="F67" s="0">
        <v>2000.0</v>
      </c>
      <c r="G67" s="0" t="inlineStr">
        <is>
          <t xml:space="preserve">Unidad</t>
        </is>
      </c>
      <c r="H67" s="4" t="inlineStr">
        <is>
          <t xml:space="preserve">Tarjetas NFC/RFID con chip ACR122U</t>
        </is>
      </c>
    </row>
    <row r="68">
      <c r="A68" s="0" t="inlineStr">
        <is>
          <t xml:space="preserve">1247197-81-LE26</t>
        </is>
      </c>
      <c r="B68" s="4" t="inlineStr">
        <is>
          <t xml:space="preserve">SOFTWARE PARA FARMACIAS COMUNALES RES. 556</t>
        </is>
      </c>
      <c r="C68" s="0">
        <v>1</v>
      </c>
      <c r="D68" s="4" t="inlineStr">
        <is>
          <t xml:space="preserve">Software de administración</t>
        </is>
      </c>
      <c r="E68" s="4" t="inlineStr">
        <is>
          <t xml:space="preserve">Tecnologías de la información, telecomunicaciones y radiodifusión / Software / Software de administración de redes</t>
        </is>
      </c>
      <c r="F68" s="0">
        <v>1.0</v>
      </c>
      <c r="G68" s="0" t="inlineStr">
        <is>
          <t xml:space="preserve">Unidad</t>
        </is>
      </c>
      <c r="H68" s="4" t="inlineStr">
        <is>
          <t xml:space="preserve">Software para gestión de farmacias comunales</t>
        </is>
      </c>
    </row>
    <row r="69">
      <c r="A69" s="0" t="inlineStr">
        <is>
          <t xml:space="preserve">519302-9-LE26</t>
        </is>
      </c>
      <c r="B69" s="4" t="inlineStr">
        <is>
          <t xml:space="preserve">DISEÑO IMPLEMENTACIÓN MEDICION MARKETING DIGITAL</t>
        </is>
      </c>
      <c r="C69" s="0">
        <v>1</v>
      </c>
      <c r="D69" s="4" t="inlineStr">
        <is>
          <t xml:space="preserve">Campañas publicitarias o de marketing</t>
        </is>
      </c>
      <c r="E69" s="4" t="inlineStr">
        <is>
          <t xml:space="preserve">Servicios profesionales, administrativos y consultorías de gestión empresarial / Servicios para la comercialización y distribución / Ventas y marketing</t>
        </is>
      </c>
      <c r="F69" s="0">
        <v>1.0</v>
      </c>
      <c r="G69" s="0" t="inlineStr">
        <is>
          <t xml:space="preserve">Unidad</t>
        </is>
      </c>
      <c r="H69" s="4" t="inlineStr">
        <is>
          <t xml:space="preserve">DISEÑO, PLANIFICACIÓN, IMPLEMENTACIÓN, ADMINISTRACIÓN, OPTIMIZACIÓN Y MEDICIÓN DE CAMPAÑAS DE MARKETING DIGITAL</t>
        </is>
      </c>
    </row>
    <row r="70">
      <c r="A70" s="0" t="inlineStr">
        <is>
          <t xml:space="preserve">621-909-LR26</t>
        </is>
      </c>
      <c r="B70" s="4" t="inlineStr">
        <is>
          <t xml:space="preserve">TERMOGRAFO DIGITAL MONITOREO TEMPERATURA 1000023277</t>
        </is>
      </c>
      <c r="C70" s="0">
        <v>1</v>
      </c>
      <c r="D70" s="4" t="inlineStr">
        <is>
          <t xml:space="preserve">Termómetros de tele indicación</t>
        </is>
      </c>
      <c r="E70" s="4" t="inlineStr">
        <is>
          <t xml:space="preserve">Equipamiento para laboratorios / Instrumentos de medida y experimentación / Instrumentos para medir temperatura y calor</t>
        </is>
      </c>
      <c r="F70" s="0">
        <v>3000.0</v>
      </c>
      <c r="G70" s="0" t="inlineStr">
        <is>
          <t xml:space="preserve">Unidad</t>
        </is>
      </c>
      <c r="H70" s="4" t="inlineStr">
        <is>
          <t xml:space="preserve">TERMOGRAFO DIGITAL MONITOREO TEMPERATURA; 100005575</t>
        </is>
      </c>
    </row>
    <row r="71">
      <c r="A71" s="0" t="inlineStr">
        <is>
          <t xml:space="preserve">1389183-69-LE26</t>
        </is>
      </c>
      <c r="B71" s="4" t="inlineStr">
        <is>
          <t xml:space="preserve">EQUIPOS INFORMATICOS PARA LICEOS TP</t>
        </is>
      </c>
      <c r="C71" s="0">
        <v>1</v>
      </c>
      <c r="D71" s="4" t="inlineStr">
        <is>
          <t xml:space="preserve">Notebook, laptop o computador portátil excepto Tablet PC</t>
        </is>
      </c>
      <c r="E71" s="4" t="inlineStr">
        <is>
          <t xml:space="preserve">Tecnologías de la información, telecomunicaciones y radiodifusión / Equipos informáticos y accesorios / Computadores</t>
        </is>
      </c>
      <c r="F71" s="0">
        <v>1.0</v>
      </c>
      <c r="G71" s="0" t="inlineStr">
        <is>
          <t xml:space="preserve">Unidad</t>
        </is>
      </c>
      <c r="H71" s="4" t="inlineStr">
        <is>
          <t xml:space="preserve">EQUIPOS INFORMATICOS PARA LICEO COMERCIAL ANDRES BELLO</t>
        </is>
      </c>
    </row>
    <row r="72">
      <c r="A72" s="0" t="inlineStr">
        <is>
          <t xml:space="preserve">1389183-69-LE26</t>
        </is>
      </c>
      <c r="B72" s="4" t="inlineStr">
        <is>
          <t xml:space="preserve">EQUIPOS INFORMATICOS PARA LICEOS TP</t>
        </is>
      </c>
      <c r="C72" s="0">
        <v>2</v>
      </c>
      <c r="D72" s="4" t="inlineStr">
        <is>
          <t xml:space="preserve">Notebook, laptop o computador portátil excepto Tablet PC</t>
        </is>
      </c>
      <c r="E72" s="4" t="inlineStr">
        <is>
          <t xml:space="preserve">Tecnologías de la información, telecomunicaciones y radiodifusión / Equipos informáticos y accesorios / Computadores</t>
        </is>
      </c>
      <c r="F72" s="0">
        <v>1.0</v>
      </c>
      <c r="G72" s="0" t="inlineStr">
        <is>
          <t xml:space="preserve">Unidad</t>
        </is>
      </c>
      <c r="H72" s="4" t="inlineStr">
        <is>
          <t xml:space="preserve">EQUIPOS INFORMATICOS PARA LICEO EDUARDO FREI</t>
        </is>
      </c>
    </row>
    <row r="73">
      <c r="A73" s="0" t="inlineStr">
        <is>
          <t xml:space="preserve">1389183-69-LE26</t>
        </is>
      </c>
      <c r="B73" s="4" t="inlineStr">
        <is>
          <t xml:space="preserve">EQUIPOS INFORMATICOS PARA LICEOS TP</t>
        </is>
      </c>
      <c r="C73" s="0">
        <v>3</v>
      </c>
      <c r="D73" s="4" t="inlineStr">
        <is>
          <t xml:space="preserve">Notebook, laptop o computador portátil excepto Tablet PC</t>
        </is>
      </c>
      <c r="E73" s="4" t="inlineStr">
        <is>
          <t xml:space="preserve">Tecnologías de la información, telecomunicaciones y radiodifusión / Equipos informáticos y accesorios / Computadores</t>
        </is>
      </c>
      <c r="F73" s="0">
        <v>1.0</v>
      </c>
      <c r="G73" s="0" t="inlineStr">
        <is>
          <t xml:space="preserve">Unidad</t>
        </is>
      </c>
      <c r="H73" s="4" t="inlineStr">
        <is>
          <t xml:space="preserve">EQUIPOS INFORMATICOS PARA LICEO ROSAURO SANTANA</t>
        </is>
      </c>
    </row>
    <row r="74">
      <c r="A74" s="0" t="inlineStr">
        <is>
          <t xml:space="preserve">1389183-69-LE26</t>
        </is>
      </c>
      <c r="B74" s="4" t="inlineStr">
        <is>
          <t xml:space="preserve">EQUIPOS INFORMATICOS PARA LICEOS TP</t>
        </is>
      </c>
      <c r="C74" s="0">
        <v>4</v>
      </c>
      <c r="D74" s="4" t="inlineStr">
        <is>
          <t xml:space="preserve">Notebook, laptop o computador portátil excepto Tablet PC</t>
        </is>
      </c>
      <c r="E74" s="4" t="inlineStr">
        <is>
          <t xml:space="preserve">Tecnologías de la información, telecomunicaciones y radiodifusión / Equipos informáticos y accesorios / Computadores</t>
        </is>
      </c>
      <c r="F74" s="0">
        <v>1.0</v>
      </c>
      <c r="G74" s="0" t="inlineStr">
        <is>
          <t xml:space="preserve">Unidad</t>
        </is>
      </c>
      <c r="H74" s="4" t="inlineStr">
        <is>
          <t xml:space="preserve">EQUIPOS INFORMATICOS PARA LICEO NUEVA ZELANDIA</t>
        </is>
      </c>
    </row>
    <row r="75">
      <c r="A75" s="0" t="inlineStr">
        <is>
          <t xml:space="preserve">1389183-69-LE26</t>
        </is>
      </c>
      <c r="B75" s="4" t="inlineStr">
        <is>
          <t xml:space="preserve">EQUIPOS INFORMATICOS PARA LICEOS TP</t>
        </is>
      </c>
      <c r="C75" s="0">
        <v>5</v>
      </c>
      <c r="D75" s="4" t="inlineStr">
        <is>
          <t xml:space="preserve">Notebook, laptop o computador portátil excepto Tablet PC</t>
        </is>
      </c>
      <c r="E75" s="4" t="inlineStr">
        <is>
          <t xml:space="preserve">Tecnologías de la información, telecomunicaciones y radiodifusión / Equipos informáticos y accesorios / Computadores</t>
        </is>
      </c>
      <c r="F75" s="0">
        <v>1.0</v>
      </c>
      <c r="G75" s="0" t="inlineStr">
        <is>
          <t xml:space="preserve">Unidad</t>
        </is>
      </c>
      <c r="H75" s="4" t="inlineStr">
        <is>
          <t xml:space="preserve">EQUIPOS INFORMATICOS PARA LICEO YOBILO</t>
        </is>
      </c>
    </row>
    <row r="76">
      <c r="A76" s="0" t="inlineStr">
        <is>
          <t xml:space="preserve">1499-200-LE26</t>
        </is>
      </c>
      <c r="B76" s="4" t="inlineStr">
        <is>
          <t xml:space="preserve">RBV SERVICIO DE OPERADORA VIRTUAL IVR CON INTELIGENCIA ARTIFICIAL CONVERSACIONAL</t>
        </is>
      </c>
      <c r="C76" s="0">
        <v>1</v>
      </c>
      <c r="D76" s="4" t="inlineStr">
        <is>
          <t xml:space="preserve">Centro de servicio de mensajes cortos</t>
        </is>
      </c>
      <c r="E76" s="4" t="inlineStr">
        <is>
          <t xml:space="preserve">Tecnologías de la información, telecomunicaciones y radiodifusión / Equipos, plataformas y accesorios de redes multimedia, voz y datos / Plataformas de mensajería por móvil</t>
        </is>
      </c>
      <c r="F76" s="0">
        <v>1.0</v>
      </c>
      <c r="G76" s="0" t="inlineStr">
        <is>
          <t xml:space="preserve">Global</t>
        </is>
      </c>
      <c r="H76" s="4" t="inlineStr">
        <is>
          <t xml:space="preserve">Servicio contactabilidad</t>
        </is>
      </c>
    </row>
    <row r="77">
      <c r="A77" s="0" t="inlineStr">
        <is>
          <t xml:space="preserve">2426-52-LR26</t>
        </is>
      </c>
      <c r="B77" s="4" t="inlineStr">
        <is>
          <t xml:space="preserve">DATACENTER ENLACES DE DATOS TELEFONIA E INTERNET</t>
        </is>
      </c>
      <c r="C77" s="0">
        <v>1</v>
      </c>
      <c r="D77" s="4" t="inlineStr">
        <is>
          <t xml:space="preserve">Centro de servicios de datos</t>
        </is>
      </c>
      <c r="E77" s="4" t="inlineStr">
        <is>
          <t xml:space="preserve">Servicios basados en ingeniería, ciencias sociales y tecnología de la información / Servicios informáticos / Servicios de datos</t>
        </is>
      </c>
      <c r="F77" s="0">
        <v>1.0</v>
      </c>
      <c r="G77" s="0" t="inlineStr">
        <is>
          <t xml:space="preserve">Unidad</t>
        </is>
      </c>
      <c r="H77" s="4"/>
    </row>
    <row r="78">
      <c r="A78" s="0" t="inlineStr">
        <is>
          <t xml:space="preserve">3797-52-LE26</t>
        </is>
      </c>
      <c r="B78" s="4" t="inlineStr">
        <is>
          <t xml:space="preserve">ADQUISICION E INSTALACION DE TABLERO MARCADOR</t>
        </is>
      </c>
      <c r="C78" s="0">
        <v>1</v>
      </c>
      <c r="D78" s="4" t="inlineStr">
        <is>
          <t xml:space="preserve">Marcadores deportivos</t>
        </is>
      </c>
      <c r="E78" s="4" t="inlineStr">
        <is>
          <t xml:space="preserve">Equipos, suministros y accesorios deportivos y recreativos / Equipos y accesorios de deportes / Accesorios para deportes</t>
        </is>
      </c>
      <c r="F78" s="0">
        <v>1.0</v>
      </c>
      <c r="G78" s="0" t="inlineStr">
        <is>
          <t xml:space="preserve">Unidad</t>
        </is>
      </c>
      <c r="H78" s="4" t="inlineStr">
        <is>
          <t xml:space="preserve">Adquisición e instalación de Tablero Marcador</t>
        </is>
      </c>
    </row>
    <row r="79">
      <c r="A79" s="0" t="inlineStr">
        <is>
          <t xml:space="preserve">1221019-17-LE26</t>
        </is>
      </c>
      <c r="B79" s="4" t="inlineStr">
        <is>
          <t xml:space="preserve">Plataforma de Venta de Entradas para Evento.</t>
        </is>
      </c>
      <c r="C79" s="0">
        <v>1</v>
      </c>
      <c r="D79" s="4" t="inlineStr">
        <is>
          <t xml:space="preserve">Software de desarrollo de plataforma Web</t>
        </is>
      </c>
      <c r="E79" s="4" t="inlineStr">
        <is>
          <t xml:space="preserve">Tecnologías de la información, telecomunicaciones y radiodifusión / Software / Programas de desarrollo</t>
        </is>
      </c>
      <c r="F79" s="0">
        <v>1.0</v>
      </c>
      <c r="G79" s="0" t="inlineStr">
        <is>
          <t xml:space="preserve">Unidad</t>
        </is>
      </c>
      <c r="H79" s="4" t="inlineStr">
        <is>
          <t xml:space="preserve">De acuerdo a lo Establecido en las Bases Administrativas y Técnicas de la presente propuesta pública.</t>
        </is>
      </c>
    </row>
    <row r="80">
      <c r="A80" s="0" t="inlineStr">
        <is>
          <t xml:space="preserve">5416-43-L126</t>
        </is>
      </c>
      <c r="B80" s="4" t="inlineStr">
        <is>
          <t xml:space="preserve">Sistema Integral de Automatización Climática para Invernadero de Investigación</t>
        </is>
      </c>
      <c r="C80" s="0">
        <v>1</v>
      </c>
      <c r="D80" s="4" t="inlineStr">
        <is>
          <t xml:space="preserve">Servicios de reparación, mantenimiento o reparación de aire acondicionado</t>
        </is>
      </c>
      <c r="E80" s="4" t="inlineStr">
        <is>
          <t xml:space="preserve">Servicios de construcción y mantenimiento / Servicios de atención, mantenimiento y reparaciones de edificios / Gasfitería, calefacción y aire acondicionado</t>
        </is>
      </c>
      <c r="F80" s="0">
        <v>1.0</v>
      </c>
      <c r="G80" s="0" t="inlineStr">
        <is>
          <t xml:space="preserve">Unidad</t>
        </is>
      </c>
      <c r="H80" s="4" t="inlineStr">
        <is>
          <t xml:space="preserve">Sistema integral de automatización climática para invernadero de investigación</t>
        </is>
      </c>
    </row>
    <row r="81">
      <c r="A81" s="0" t="inlineStr">
        <is>
          <t xml:space="preserve">599-41-LE26</t>
        </is>
      </c>
      <c r="B81" s="4" t="inlineStr">
        <is>
          <t xml:space="preserve">CREATIVE CLOUD ADOBE ACROBAT PRO Y ACROBAT O EQUI</t>
        </is>
      </c>
      <c r="C81" s="0">
        <v>1</v>
      </c>
      <c r="D81" s="4" t="inlineStr">
        <is>
          <t xml:space="preserve">Software de gestión de licencias</t>
        </is>
      </c>
      <c r="E81" s="4" t="inlineStr">
        <is>
          <t xml:space="preserve">Tecnologías de la información, telecomunicaciones y radiodifusión / Software / Software de gestión</t>
        </is>
      </c>
      <c r="F81" s="0">
        <v>22.0</v>
      </c>
      <c r="G81" s="0" t="inlineStr">
        <is>
          <t xml:space="preserve">Unidad</t>
        </is>
      </c>
      <c r="H81" s="4" t="inlineStr">
        <is>
          <t xml:space="preserve">Adobe Creative Cloud o equivalente</t>
        </is>
      </c>
    </row>
    <row r="82">
      <c r="A82" s="0" t="inlineStr">
        <is>
          <t xml:space="preserve">599-41-LE26</t>
        </is>
      </c>
      <c r="B82" s="4" t="inlineStr">
        <is>
          <t xml:space="preserve">CREATIVE CLOUD ADOBE ACROBAT PRO Y ACROBAT O EQUI</t>
        </is>
      </c>
      <c r="C82" s="0">
        <v>2</v>
      </c>
      <c r="D82" s="4" t="inlineStr">
        <is>
          <t xml:space="preserve">Software de gestión de licencias</t>
        </is>
      </c>
      <c r="E82" s="4" t="inlineStr">
        <is>
          <t xml:space="preserve">Tecnologías de la información, telecomunicaciones y radiodifusión / Software / Software de gestión</t>
        </is>
      </c>
      <c r="F82" s="0">
        <v>40.0</v>
      </c>
      <c r="G82" s="0" t="inlineStr">
        <is>
          <t xml:space="preserve">Unidad</t>
        </is>
      </c>
      <c r="H82" s="4" t="inlineStr">
        <is>
          <t xml:space="preserve">Adobe Acrobat Pro o equivalente</t>
        </is>
      </c>
    </row>
    <row r="83">
      <c r="A83" s="0" t="inlineStr">
        <is>
          <t xml:space="preserve">599-41-LE26</t>
        </is>
      </c>
      <c r="B83" s="4" t="inlineStr">
        <is>
          <t xml:space="preserve">CREATIVE CLOUD ADOBE ACROBAT PRO Y ACROBAT O EQUI</t>
        </is>
      </c>
      <c r="C83" s="0">
        <v>3</v>
      </c>
      <c r="D83" s="4" t="inlineStr">
        <is>
          <t xml:space="preserve">Software de gestión de licencias</t>
        </is>
      </c>
      <c r="E83" s="4" t="inlineStr">
        <is>
          <t xml:space="preserve">Tecnologías de la información, telecomunicaciones y radiodifusión / Software / Software de gestión</t>
        </is>
      </c>
      <c r="F83" s="0">
        <v>26.0</v>
      </c>
      <c r="G83" s="0" t="inlineStr">
        <is>
          <t xml:space="preserve">Unidad</t>
        </is>
      </c>
      <c r="H83" s="4" t="inlineStr">
        <is>
          <t xml:space="preserve">Adobe Acrobat Studio o equivalente</t>
        </is>
      </c>
    </row>
    <row r="84">
      <c r="A84" s="0" t="inlineStr">
        <is>
          <t xml:space="preserve">1057432-101-LE26</t>
        </is>
      </c>
      <c r="B84" s="4" t="inlineStr">
        <is>
          <t xml:space="preserve">SOFTWARE DE DISEÑO PARA SSC POR 12 MESES.</t>
        </is>
      </c>
      <c r="C84" s="0">
        <v>1</v>
      </c>
      <c r="D84" s="4" t="inlineStr">
        <is>
          <t xml:space="preserve">Software de gestión de licencias</t>
        </is>
      </c>
      <c r="E84" s="4" t="inlineStr">
        <is>
          <t xml:space="preserve">Tecnologías de la información, telecomunicaciones y radiodifusión / Software / Software de gestión</t>
        </is>
      </c>
      <c r="F84" s="0">
        <v>13.0</v>
      </c>
      <c r="G84" s="0" t="inlineStr">
        <is>
          <t xml:space="preserve">Unidad</t>
        </is>
      </c>
      <c r="H84" s="4" t="inlineStr">
        <is>
          <t xml:space="preserve">Software CAD Básico (equivalente a Autodesk Autocad LT).</t>
        </is>
      </c>
    </row>
    <row r="85">
      <c r="A85" s="0" t="inlineStr">
        <is>
          <t xml:space="preserve">1057432-101-LE26</t>
        </is>
      </c>
      <c r="B85" s="4" t="inlineStr">
        <is>
          <t xml:space="preserve">SOFTWARE DE DISEÑO PARA SSC POR 12 MESES.</t>
        </is>
      </c>
      <c r="C85" s="0">
        <v>2</v>
      </c>
      <c r="D85" s="4" t="inlineStr">
        <is>
          <t xml:space="preserve">Software de gestión de licencias</t>
        </is>
      </c>
      <c r="E85" s="4" t="inlineStr">
        <is>
          <t xml:space="preserve">Tecnologías de la información, telecomunicaciones y radiodifusión / Software / Software de gestión</t>
        </is>
      </c>
      <c r="F85" s="0">
        <v>8.0</v>
      </c>
      <c r="G85" s="0" t="inlineStr">
        <is>
          <t xml:space="preserve">Unidad</t>
        </is>
      </c>
      <c r="H85" s="4" t="inlineStr">
        <is>
          <t xml:space="preserve">Paquete de Software BIM profesional (Equivalente a AEC Collection con softwares como mínimo equivalentes a Autodesk REVIT versión completa, equivalentes a AUTOCAD versión completa, equivalentes a Navisworks, equivalentes a Autocad MEP, equivalentes a Auto</t>
        </is>
      </c>
    </row>
    <row r="86">
      <c r="A86" s="0" t="inlineStr">
        <is>
          <t xml:space="preserve">2770-154-LP26</t>
        </is>
      </c>
      <c r="B86" s="4" t="inlineStr">
        <is>
          <t xml:space="preserve">SERVICIOS DE TELEFONÍA Y DATOS MÓVILES</t>
        </is>
      </c>
      <c r="C86" s="0">
        <v>1</v>
      </c>
      <c r="D86" s="4" t="inlineStr">
        <is>
          <t xml:space="preserve">Servicios de telefonía móvil</t>
        </is>
      </c>
      <c r="E86" s="4" t="inlineStr">
        <is>
          <t xml:space="preserve">Servicios básicos y de información pública / Telecomunicaciones / Comunicaciones móviles</t>
        </is>
      </c>
      <c r="F86" s="0">
        <v>1.0</v>
      </c>
      <c r="G86" s="0" t="inlineStr">
        <is>
          <t xml:space="preserve">Global</t>
        </is>
      </c>
      <c r="H86" s="4" t="inlineStr">
        <is>
          <t xml:space="preserve">Servicio de telefonía y datos móviles, conforme a bases de licitación</t>
        </is>
      </c>
    </row>
    <row r="87">
      <c r="A87" s="0" t="inlineStr">
        <is>
          <t xml:space="preserve">622-64-L126</t>
        </is>
      </c>
      <c r="B87" s="4" t="inlineStr">
        <is>
          <t xml:space="preserve">CONTRATACIÓN DEL CURSO INTELIGENCIA ARTIFICIAL APLICADA A LA GESTIÓN GREMIAL Y LA FUNCIÓN PÚBLICA</t>
        </is>
      </c>
      <c r="C87" s="0">
        <v>1</v>
      </c>
      <c r="D87" s="4" t="inlineStr">
        <is>
          <t xml:space="preserve">Capacitación a empleados</t>
        </is>
      </c>
      <c r="E87" s="4" t="inlineStr">
        <is>
          <t xml:space="preserve">Educación, formación, entrenamiento y capacitación / Sistemas educativos complementarios / Educación de adultos</t>
        </is>
      </c>
      <c r="F87" s="0">
        <v>1.0</v>
      </c>
      <c r="G87" s="0" t="inlineStr">
        <is>
          <t xml:space="preserve">Unidad</t>
        </is>
      </c>
      <c r="H87" s="4" t="inlineStr">
        <is>
          <t xml:space="preserve">CURSO INTELIGENCIA ARTIFICIAL APLICADA A LA GESTIÓN GREMIAL Y LA FUNCIÓN PÚBLICA</t>
        </is>
      </c>
    </row>
    <row r="88">
      <c r="A88" s="0" t="inlineStr">
        <is>
          <t xml:space="preserve">872-51-LE26</t>
        </is>
      </c>
      <c r="B88" s="4" t="inlineStr">
        <is>
          <t xml:space="preserve">Servicio Cloud Computing</t>
        </is>
      </c>
      <c r="C88" s="0">
        <v>1</v>
      </c>
      <c r="D88" s="4" t="inlineStr">
        <is>
          <t xml:space="preserve">Web Hosting</t>
        </is>
      </c>
      <c r="E88" s="4" t="inlineStr">
        <is>
          <t xml:space="preserve">Servicios basados en ingeniería, ciencias sociales y tecnología de la información / Servicios informáticos / Servicios para internet</t>
        </is>
      </c>
      <c r="F88" s="0">
        <v>1.0</v>
      </c>
      <c r="G88" s="0" t="inlineStr">
        <is>
          <t xml:space="preserve">Unidad</t>
        </is>
      </c>
      <c r="H88" s="4" t="inlineStr">
        <is>
          <t xml:space="preserve">Servicio de Cloud Computing</t>
        </is>
      </c>
    </row>
    <row r="89">
      <c r="A89" s="0" t="inlineStr">
        <is>
          <t xml:space="preserve">3730-102-L126</t>
        </is>
      </c>
      <c r="B89" s="4" t="inlineStr">
        <is>
          <t xml:space="preserve">REPARACION , MANTECION  TABLEROS DE BASQUETBOL GIMNASIO MUNICIPAL</t>
        </is>
      </c>
      <c r="C89" s="0">
        <v>1</v>
      </c>
      <c r="D89" s="4" t="inlineStr">
        <is>
          <t xml:space="preserve">Servicios de reparación o manutención del panel de instrumentos</t>
        </is>
      </c>
      <c r="E89" s="4" t="inlineStr">
        <is>
          <t xml:space="preserve">Servicios de transporte, almacenaje y correo / Servicios de mantención o reparaciones de transportes / Servicios de panel, chapa y pintura</t>
        </is>
      </c>
      <c r="F89" s="0">
        <v>1.0</v>
      </c>
      <c r="G89" s="0" t="inlineStr">
        <is>
          <t xml:space="preserve">Unidad no definida</t>
        </is>
      </c>
      <c r="H89" s="4" t="inlineStr">
        <is>
          <t xml:space="preserve">REPARACIÓN, MANTENCIÓN Y MEJORAS DEL SISTEMA RETRÁCTIL, TABLEROS Y AROS DE BASQUETBOL DEL GIMNASIO MUNICIPAL</t>
        </is>
      </c>
    </row>
    <row r="90">
      <c r="A90" s="0" t="inlineStr">
        <is>
          <t xml:space="preserve">2735-149-LR26</t>
        </is>
      </c>
      <c r="B90" s="4" t="inlineStr">
        <is>
          <t xml:space="preserve">Servicio de Software de Gestión y Registro Clinico</t>
        </is>
      </c>
      <c r="C90" s="0">
        <v>1</v>
      </c>
      <c r="D90" s="4" t="inlineStr">
        <is>
          <t xml:space="preserve">Software médico</t>
        </is>
      </c>
      <c r="E90" s="4" t="inlineStr">
        <is>
          <t xml:space="preserve">Tecnologías de la información, telecomunicaciones y radiodifusión / Software / Software específico para la industria</t>
        </is>
      </c>
      <c r="F90" s="0">
        <v>1.0</v>
      </c>
      <c r="G90" s="0" t="inlineStr">
        <is>
          <t xml:space="preserve">Unidad</t>
        </is>
      </c>
      <c r="H90"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91">
      <c r="A91" s="0" t="inlineStr">
        <is>
          <t xml:space="preserve">542429-10-LE26</t>
        </is>
      </c>
      <c r="B91" s="4" t="inlineStr">
        <is>
          <t xml:space="preserve">Renovación de licencias de software</t>
        </is>
      </c>
      <c r="C91" s="0">
        <v>1</v>
      </c>
      <c r="D91" s="4" t="inlineStr">
        <is>
          <t xml:space="preserve">Software de gestión de licencias</t>
        </is>
      </c>
      <c r="E91" s="4" t="inlineStr">
        <is>
          <t xml:space="preserve">Tecnologías de la información, telecomunicaciones y radiodifusión / Software / Software de gestión</t>
        </is>
      </c>
      <c r="F91" s="0">
        <v>1.0</v>
      </c>
      <c r="G91" s="0" t="inlineStr">
        <is>
          <t xml:space="preserve">Unidad</t>
        </is>
      </c>
      <c r="H91" s="4" t="inlineStr">
        <is>
          <t xml:space="preserve">Renovación de licencias de software: Ítem 1: Log360, por 3 años.</t>
        </is>
      </c>
    </row>
    <row r="92">
      <c r="A92" s="0" t="inlineStr">
        <is>
          <t xml:space="preserve">542429-10-LE26</t>
        </is>
      </c>
      <c r="B92" s="4" t="inlineStr">
        <is>
          <t xml:space="preserve">Renovación de licencias de software</t>
        </is>
      </c>
      <c r="C92" s="0">
        <v>2</v>
      </c>
      <c r="D92" s="4" t="inlineStr">
        <is>
          <t xml:space="preserve">Software de gestión de licencias</t>
        </is>
      </c>
      <c r="E92" s="4" t="inlineStr">
        <is>
          <t xml:space="preserve">Tecnologías de la información, telecomunicaciones y radiodifusión / Software / Software de gestión</t>
        </is>
      </c>
      <c r="F92" s="0">
        <v>1.0</v>
      </c>
      <c r="G92" s="0" t="inlineStr">
        <is>
          <t xml:space="preserve">Unidad</t>
        </is>
      </c>
      <c r="H92" s="4" t="inlineStr">
        <is>
          <t xml:space="preserve">Renovación de licencias de software: Ítem 2: Microsoft 365 descargable, por 1 año.</t>
        </is>
      </c>
    </row>
    <row r="93">
      <c r="A93" s="0" t="inlineStr">
        <is>
          <t xml:space="preserve">654478-7-LP26</t>
        </is>
      </c>
      <c r="B93" s="4" t="inlineStr">
        <is>
          <t xml:space="preserve">RENOVACIÓN DE SOPORTE DE LICENCIAS DE SOFTWARE</t>
        </is>
      </c>
      <c r="C93" s="0">
        <v>1</v>
      </c>
      <c r="D93" s="4" t="inlineStr">
        <is>
          <t xml:space="preserve">Software de gestión de licencias</t>
        </is>
      </c>
      <c r="E93" s="4" t="inlineStr">
        <is>
          <t xml:space="preserve">Tecnologías de la información, telecomunicaciones y radiodifusión / Software / Software de gestión</t>
        </is>
      </c>
      <c r="F93" s="0">
        <v>1.0</v>
      </c>
      <c r="G93" s="0" t="inlineStr">
        <is>
          <t xml:space="preserve">Unidad</t>
        </is>
      </c>
      <c r="H93" s="4" t="inlineStr">
        <is>
          <t xml:space="preserve">Línea N° 1: Renovación de Soporte de Licencias Backup Exec</t>
        </is>
      </c>
    </row>
    <row r="94">
      <c r="A94" s="0" t="inlineStr">
        <is>
          <t xml:space="preserve">654478-7-LP26</t>
        </is>
      </c>
      <c r="B94" s="4" t="inlineStr">
        <is>
          <t xml:space="preserve">RENOVACIÓN DE SOPORTE DE LICENCIAS DE SOFTWARE</t>
        </is>
      </c>
      <c r="C94" s="0">
        <v>2</v>
      </c>
      <c r="D94" s="4" t="inlineStr">
        <is>
          <t xml:space="preserve">Software de gestión de licencias</t>
        </is>
      </c>
      <c r="E94" s="4" t="inlineStr">
        <is>
          <t xml:space="preserve">Tecnologías de la información, telecomunicaciones y radiodifusión / Software / Software de gestión</t>
        </is>
      </c>
      <c r="F94" s="0">
        <v>1.0</v>
      </c>
      <c r="G94" s="0" t="inlineStr">
        <is>
          <t xml:space="preserve">Unidad</t>
        </is>
      </c>
      <c r="H94" s="4" t="inlineStr">
        <is>
          <t xml:space="preserve">Línea N°2: Renovación de suscripción de Soporte de Licencias InvGate Service-Desk</t>
        </is>
      </c>
    </row>
    <row r="95">
      <c r="A95" s="0" t="inlineStr">
        <is>
          <t xml:space="preserve">654478-7-LP26</t>
        </is>
      </c>
      <c r="B95" s="4" t="inlineStr">
        <is>
          <t xml:space="preserve">RENOVACIÓN DE SOPORTE DE LICENCIAS DE SOFTWARE</t>
        </is>
      </c>
      <c r="C95" s="0">
        <v>3</v>
      </c>
      <c r="D95" s="4" t="inlineStr">
        <is>
          <t xml:space="preserve">Software de gestión de licencias</t>
        </is>
      </c>
      <c r="E95" s="4" t="inlineStr">
        <is>
          <t xml:space="preserve">Tecnologías de la información, telecomunicaciones y radiodifusión / Software / Software de gestión</t>
        </is>
      </c>
      <c r="F95" s="0">
        <v>1.0</v>
      </c>
      <c r="G95" s="0" t="inlineStr">
        <is>
          <t xml:space="preserve">Unidad</t>
        </is>
      </c>
      <c r="H95" s="4" t="inlineStr">
        <is>
          <t xml:space="preserve">Línea N°3: Renovación de Suscripción de licencia API Google Maps</t>
        </is>
      </c>
    </row>
    <row r="96">
      <c r="A96" s="0" t="inlineStr">
        <is>
          <t xml:space="preserve">654478-7-LP26</t>
        </is>
      </c>
      <c r="B96" s="4" t="inlineStr">
        <is>
          <t xml:space="preserve">RENOVACIÓN DE SOPORTE DE LICENCIAS DE SOFTWARE</t>
        </is>
      </c>
      <c r="C96" s="0">
        <v>4</v>
      </c>
      <c r="D96" s="4" t="inlineStr">
        <is>
          <t xml:space="preserve">Software de gestión de licencias</t>
        </is>
      </c>
      <c r="E96" s="4" t="inlineStr">
        <is>
          <t xml:space="preserve">Tecnologías de la información, telecomunicaciones y radiodifusión / Software / Software de gestión</t>
        </is>
      </c>
      <c r="F96" s="0">
        <v>1.0</v>
      </c>
      <c r="G96" s="0" t="inlineStr">
        <is>
          <t xml:space="preserve">Unidad</t>
        </is>
      </c>
      <c r="H96" s="4" t="inlineStr">
        <is>
          <t xml:space="preserve">Línea N°4: Renovación de Suscripción de Soporte de Licencias Red Hat Linux</t>
        </is>
      </c>
    </row>
    <row r="97">
      <c r="A97" s="0" t="inlineStr">
        <is>
          <t xml:space="preserve">654478-7-LP26</t>
        </is>
      </c>
      <c r="B97" s="4" t="inlineStr">
        <is>
          <t xml:space="preserve">RENOVACIÓN DE SOPORTE DE LICENCIAS DE SOFTWARE</t>
        </is>
      </c>
      <c r="C97" s="0">
        <v>5</v>
      </c>
      <c r="D97" s="4" t="inlineStr">
        <is>
          <t xml:space="preserve">Software de gestión de licencias</t>
        </is>
      </c>
      <c r="E97" s="4" t="inlineStr">
        <is>
          <t xml:space="preserve">Tecnologías de la información, telecomunicaciones y radiodifusión / Software / Software de gestión</t>
        </is>
      </c>
      <c r="F97" s="0">
        <v>1.0</v>
      </c>
      <c r="G97" s="0" t="inlineStr">
        <is>
          <t xml:space="preserve">Unidad</t>
        </is>
      </c>
      <c r="H97" s="4" t="inlineStr">
        <is>
          <t xml:space="preserve">Línea N°5: Renovación y Adquisición de Suscripción, Soporte y Migración hacia Qlik Cloud Analytics</t>
        </is>
      </c>
    </row>
    <row r="98">
      <c r="A98" s="0" t="inlineStr">
        <is>
          <t xml:space="preserve">654478-7-LP26</t>
        </is>
      </c>
      <c r="B98" s="4" t="inlineStr">
        <is>
          <t xml:space="preserve">RENOVACIÓN DE SOPORTE DE LICENCIAS DE SOFTWARE</t>
        </is>
      </c>
      <c r="C98" s="0">
        <v>6</v>
      </c>
      <c r="D98" s="4" t="inlineStr">
        <is>
          <t xml:space="preserve">Software de gestión de licencias</t>
        </is>
      </c>
      <c r="E98" s="4" t="inlineStr">
        <is>
          <t xml:space="preserve">Tecnologías de la información, telecomunicaciones y radiodifusión / Software / Software de gestión</t>
        </is>
      </c>
      <c r="F98" s="0">
        <v>1.0</v>
      </c>
      <c r="G98" s="0" t="inlineStr">
        <is>
          <t xml:space="preserve">Unidad</t>
        </is>
      </c>
      <c r="H98" s="4" t="inlineStr">
        <is>
          <t xml:space="preserve">Línea N°6 Renovación de Suscripción de Licencia Tenable Nessus Expert</t>
        </is>
      </c>
    </row>
    <row r="99">
      <c r="A99" s="0" t="inlineStr">
        <is>
          <t xml:space="preserve">654478-7-LP26</t>
        </is>
      </c>
      <c r="B99" s="4" t="inlineStr">
        <is>
          <t xml:space="preserve">RENOVACIÓN DE SOPORTE DE LICENCIAS DE SOFTWARE</t>
        </is>
      </c>
      <c r="C99" s="0">
        <v>7</v>
      </c>
      <c r="D99" s="4" t="inlineStr">
        <is>
          <t xml:space="preserve">Software de gestión de licencias</t>
        </is>
      </c>
      <c r="E99" s="4" t="inlineStr">
        <is>
          <t xml:space="preserve">Tecnologías de la información, telecomunicaciones y radiodifusión / Software / Software de gestión</t>
        </is>
      </c>
      <c r="F99" s="0">
        <v>1.0</v>
      </c>
      <c r="G99" s="0" t="inlineStr">
        <is>
          <t xml:space="preserve">Unidad</t>
        </is>
      </c>
      <c r="H99" s="4" t="inlineStr">
        <is>
          <t xml:space="preserve">Línea N°7   Renovación de Suscripción y Soporte de Licencias Statistics Smart Pack</t>
        </is>
      </c>
    </row>
    <row r="100">
      <c r="A100" s="0" t="inlineStr">
        <is>
          <t xml:space="preserve">654478-7-LP26</t>
        </is>
      </c>
      <c r="B100" s="4" t="inlineStr">
        <is>
          <t xml:space="preserve">RENOVACIÓN DE SOPORTE DE LICENCIAS DE SOFTWARE</t>
        </is>
      </c>
      <c r="C100" s="0">
        <v>8</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Línea N°8 Renovación de Suscripciones de Licencias Auto CAD LT 2024 Commercial New Single User ELD Annual</t>
        </is>
      </c>
    </row>
    <row r="101">
      <c r="A101" s="0" t="inlineStr">
        <is>
          <t xml:space="preserve">654478-7-LP26</t>
        </is>
      </c>
      <c r="B101" s="4" t="inlineStr">
        <is>
          <t xml:space="preserve">RENOVACIÓN DE SOPORTE DE LICENCIAS DE SOFTWARE</t>
        </is>
      </c>
      <c r="C101" s="0">
        <v>9</v>
      </c>
      <c r="D101" s="4" t="inlineStr">
        <is>
          <t xml:space="preserve">Software de gestión de licencias</t>
        </is>
      </c>
      <c r="E101" s="4" t="inlineStr">
        <is>
          <t xml:space="preserve">Tecnologías de la información, telecomunicaciones y radiodifusión / Software / Software de gestión</t>
        </is>
      </c>
      <c r="F101" s="0">
        <v>1.0</v>
      </c>
      <c r="G101" s="0" t="inlineStr">
        <is>
          <t xml:space="preserve">Unidad</t>
        </is>
      </c>
      <c r="H101" s="4" t="inlineStr">
        <is>
          <t xml:space="preserve">Línea N°9 Renovación de Suscripciones de Licencias Adobe Creative Cloud for Teams All multiple plataforms Multi Latin American Languages Subcription 1 User Level 11-9</t>
        </is>
      </c>
    </row>
    <row r="102">
      <c r="A102" s="0" t="inlineStr">
        <is>
          <t xml:space="preserve">654478-7-LP26</t>
        </is>
      </c>
      <c r="B102" s="4" t="inlineStr">
        <is>
          <t xml:space="preserve">RENOVACIÓN DE SOPORTE DE LICENCIAS DE SOFTWARE</t>
        </is>
      </c>
      <c r="C102" s="0">
        <v>10</v>
      </c>
      <c r="D102" s="4" t="inlineStr">
        <is>
          <t xml:space="preserve">Software de gestión de licencias</t>
        </is>
      </c>
      <c r="E102" s="4" t="inlineStr">
        <is>
          <t xml:space="preserve">Tecnologías de la información, telecomunicaciones y radiodifusión / Software / Software de gestión</t>
        </is>
      </c>
      <c r="F102" s="0">
        <v>1.0</v>
      </c>
      <c r="G102" s="0" t="inlineStr">
        <is>
          <t xml:space="preserve">Unidad</t>
        </is>
      </c>
      <c r="H102" s="4" t="inlineStr">
        <is>
          <t xml:space="preserve">Línea N°10 Renovación y Adquisición de Suscripciones de Licencias Miro Project Planner Business</t>
        </is>
      </c>
    </row>
    <row r="103">
      <c r="A103" s="0" t="inlineStr">
        <is>
          <t xml:space="preserve">654478-7-LP26</t>
        </is>
      </c>
      <c r="B103" s="4" t="inlineStr">
        <is>
          <t xml:space="preserve">RENOVACIÓN DE SOPORTE DE LICENCIAS DE SOFTWARE</t>
        </is>
      </c>
      <c r="C103" s="0">
        <v>11</v>
      </c>
      <c r="D103" s="4" t="inlineStr">
        <is>
          <t xml:space="preserve">Software de gestión de licencias</t>
        </is>
      </c>
      <c r="E103" s="4" t="inlineStr">
        <is>
          <t xml:space="preserve">Tecnologías de la información, telecomunicaciones y radiodifusión / Software / Software de gestión</t>
        </is>
      </c>
      <c r="F103" s="0">
        <v>1.0</v>
      </c>
      <c r="G103" s="0" t="inlineStr">
        <is>
          <t xml:space="preserve">Unidad</t>
        </is>
      </c>
      <c r="H103" s="4" t="inlineStr">
        <is>
          <t xml:space="preserve">Línea N°11 Renovación y Adquisición de Suscripciones de Licencias FIGMA Professional Full Seat</t>
        </is>
      </c>
    </row>
    <row r="104">
      <c r="A104" s="0" t="inlineStr">
        <is>
          <t xml:space="preserve">654478-7-LP26</t>
        </is>
      </c>
      <c r="B104" s="4" t="inlineStr">
        <is>
          <t xml:space="preserve">RENOVACIÓN DE SOPORTE DE LICENCIAS DE SOFTWARE</t>
        </is>
      </c>
      <c r="C104" s="0">
        <v>12</v>
      </c>
      <c r="D104" s="4" t="inlineStr">
        <is>
          <t xml:space="preserve">Software de gestión de licencias</t>
        </is>
      </c>
      <c r="E104" s="4" t="inlineStr">
        <is>
          <t xml:space="preserve">Tecnologías de la información, telecomunicaciones y radiodifusión / Software / Software de gestión</t>
        </is>
      </c>
      <c r="F104" s="0">
        <v>1.0</v>
      </c>
      <c r="G104" s="0" t="inlineStr">
        <is>
          <t xml:space="preserve">Unidad</t>
        </is>
      </c>
      <c r="H104" s="4" t="inlineStr">
        <is>
          <t xml:space="preserve">Línea N°12 Adquisición de Suscripción de Licencia SonarQube Developer Edition</t>
        </is>
      </c>
    </row>
    <row r="105">
      <c r="A105" s="0" t="inlineStr">
        <is>
          <t xml:space="preserve">654478-7-LP26</t>
        </is>
      </c>
      <c r="B105" s="4" t="inlineStr">
        <is>
          <t xml:space="preserve">RENOVACIÓN DE SOPORTE DE LICENCIAS DE SOFTWARE</t>
        </is>
      </c>
      <c r="C105" s="0">
        <v>13</v>
      </c>
      <c r="D105" s="4" t="inlineStr">
        <is>
          <t xml:space="preserve">Software de gestión de licencias</t>
        </is>
      </c>
      <c r="E105" s="4" t="inlineStr">
        <is>
          <t xml:space="preserve">Tecnologías de la información, telecomunicaciones y radiodifusión / Software / Software de gestión</t>
        </is>
      </c>
      <c r="F105" s="0">
        <v>1.0</v>
      </c>
      <c r="G105" s="0" t="inlineStr">
        <is>
          <t xml:space="preserve">Unidad</t>
        </is>
      </c>
      <c r="H105" s="4" t="inlineStr">
        <is>
          <t xml:space="preserve">Línea N°13 Adquisición de Suscripción de Licencias Claude AI Team Standard Seats</t>
        </is>
      </c>
    </row>
    <row r="106">
      <c r="A106" s="0" t="inlineStr">
        <is>
          <t xml:space="preserve">654478-7-LP26</t>
        </is>
      </c>
      <c r="B106" s="4" t="inlineStr">
        <is>
          <t xml:space="preserve">RENOVACIÓN DE SOPORTE DE LICENCIAS DE SOFTWARE</t>
        </is>
      </c>
      <c r="C106" s="0">
        <v>14</v>
      </c>
      <c r="D106" s="4" t="inlineStr">
        <is>
          <t xml:space="preserve">Software de gestión de licencias</t>
        </is>
      </c>
      <c r="E106" s="4" t="inlineStr">
        <is>
          <t xml:space="preserve">Tecnologías de la información, telecomunicaciones y radiodifusión / Software / Software de gestión</t>
        </is>
      </c>
      <c r="F106" s="0">
        <v>1.0</v>
      </c>
      <c r="G106" s="0" t="inlineStr">
        <is>
          <t xml:space="preserve">Unidad</t>
        </is>
      </c>
      <c r="H106" s="4" t="inlineStr">
        <is>
          <t xml:space="preserve">Línea N°14 Adquisición de suscripción de Licencias Claude Max 20x</t>
        </is>
      </c>
    </row>
    <row r="107">
      <c r="A107" s="0" t="inlineStr">
        <is>
          <t xml:space="preserve">591-39-LE26</t>
        </is>
      </c>
      <c r="B107" s="4" t="inlineStr">
        <is>
          <t xml:space="preserve">CURSO HERRAM-ANALI-AUTOMA-GESTION DATOS-AUDITORIA</t>
        </is>
      </c>
      <c r="C107" s="0">
        <v>1</v>
      </c>
      <c r="D107" s="4" t="inlineStr">
        <is>
          <t xml:space="preserve">Programas o cursos no diplomados a distancia</t>
        </is>
      </c>
      <c r="E107" s="4" t="inlineStr">
        <is>
          <t xml:space="preserve">Educación, formación, entrenamiento y capacitación / Sistemas educativos complementarios / Aprendizaje a distancia</t>
        </is>
      </c>
      <c r="F107" s="0">
        <v>1.0</v>
      </c>
      <c r="G107" s="0" t="inlineStr">
        <is>
          <t xml:space="preserve">Unidad</t>
        </is>
      </c>
      <c r="H107" s="4" t="inlineStr">
        <is>
          <t xml:space="preserve">FONASA busca fortalecer las competencias técnicas de sus funcionarios y funcionarias para mejorar su desempeño laboral y contribuir al óptimo funcionamiento institucional. En este contexto, se requiere la contratación del “Programa de Capacitación en Herr</t>
        </is>
      </c>
    </row>
    <row r="108">
      <c r="A108" s="0" t="inlineStr">
        <is>
          <t xml:space="preserve">4362-31-LP26</t>
        </is>
      </c>
      <c r="B108" s="4" t="inlineStr">
        <is>
          <t xml:space="preserve">Construcción Hitos de Acceso y Tótems Turísticos</t>
        </is>
      </c>
      <c r="C108" s="0">
        <v>1</v>
      </c>
      <c r="D108" s="4" t="inlineStr">
        <is>
          <t xml:space="preserve">Construcción de obras civiles</t>
        </is>
      </c>
      <c r="E108" s="4" t="inlineStr">
        <is>
          <t xml:space="preserve">Servicios de construcción y mantenimiento / Construcción de edificios en general / Construcción de obras civiles y infraestructuras</t>
        </is>
      </c>
      <c r="F108" s="0">
        <v>1.0</v>
      </c>
      <c r="G108" s="0" t="inlineStr">
        <is>
          <t xml:space="preserve">Unidad</t>
        </is>
      </c>
      <c r="H108" s="4" t="inlineStr">
        <is>
          <t xml:space="preserve">.</t>
        </is>
      </c>
    </row>
    <row r="109">
      <c r="A109" s="0" t="inlineStr">
        <is>
          <t xml:space="preserve">1602-21-LE26</t>
        </is>
      </c>
      <c r="B109" s="4" t="inlineStr">
        <is>
          <t xml:space="preserve">ADQUISICIÓN DE LICENCIAS DE SOFTWARE VEEAM PREMIUM</t>
        </is>
      </c>
      <c r="C109" s="0">
        <v>1</v>
      </c>
      <c r="D109" s="4" t="inlineStr">
        <is>
          <t xml:space="preserve">Software de gestión de licencias</t>
        </is>
      </c>
      <c r="E109" s="4" t="inlineStr">
        <is>
          <t xml:space="preserve">Tecnologías de la información, telecomunicaciones y radiodifusión / Software / Software de gestión</t>
        </is>
      </c>
      <c r="F109" s="0">
        <v>15.0</v>
      </c>
      <c r="G109" s="0" t="inlineStr">
        <is>
          <t xml:space="preserve">Unidad</t>
        </is>
      </c>
      <c r="H109" s="4" t="inlineStr">
        <is>
          <t xml:space="preserve">Licencias de Veeam Data Platform Premium (pack 10 instancias) que multiplicado por la cantidad serían 150 instancias (Según Bases Técnicas adjuntas)</t>
        </is>
      </c>
    </row>
    <row r="110">
      <c r="A110" s="0" t="inlineStr">
        <is>
          <t xml:space="preserve">1782-17-LE26</t>
        </is>
      </c>
      <c r="B110" s="4" t="inlineStr">
        <is>
          <t xml:space="preserve">Consultoría Plataforma Inteligencia Inversión FRPD</t>
        </is>
      </c>
      <c r="C110" s="0">
        <v>1</v>
      </c>
      <c r="D110" s="4" t="inlineStr">
        <is>
          <t xml:space="preserve">Asesorías Informáticas</t>
        </is>
      </c>
      <c r="E110" s="4" t="inlineStr">
        <is>
          <t xml:space="preserve">Servicios profesionales, administrativos y consultorías de gestión empresarial / Consultorías o asesorías en gestión empresarial / Servicios de consultoría en gestión de empresas</t>
        </is>
      </c>
      <c r="F110" s="0">
        <v>1.0</v>
      </c>
      <c r="G110" s="0" t="inlineStr">
        <is>
          <t xml:space="preserve">Unidad</t>
        </is>
      </c>
      <c r="H110" s="4" t="inlineStr">
        <is>
          <t xml:space="preserve">Consultoría para diagnóstico integral y propuesta para plataforma de inteligencia territorial para la inversión productiva del Royalty de la Región Antofagasta - FRPD</t>
        </is>
      </c>
    </row>
    <row r="111">
      <c r="A111" s="0" t="inlineStr">
        <is>
          <t xml:space="preserve">4127-51-LR26</t>
        </is>
      </c>
      <c r="B111" s="4" t="inlineStr">
        <is>
          <t xml:space="preserve">[DIGEDEP]Cursos M-Learning Plataforma SIAD 26-27</t>
        </is>
      </c>
      <c r="C111" s="0">
        <v>1</v>
      </c>
      <c r="D111" s="4" t="inlineStr">
        <is>
          <t xml:space="preserve">Capacitación a empleados</t>
        </is>
      </c>
      <c r="E111" s="4" t="inlineStr">
        <is>
          <t xml:space="preserve">Educación, formación, entrenamiento y capacitación / Sistemas educativos complementarios / Educación de adultos</t>
        </is>
      </c>
      <c r="F111" s="0">
        <v>1.0</v>
      </c>
      <c r="G111" s="0" t="inlineStr">
        <is>
          <t xml:space="preserve">Unidad</t>
        </is>
      </c>
      <c r="H111" s="4"/>
    </row>
    <row r="112">
      <c r="A112" s="0" t="inlineStr">
        <is>
          <t xml:space="preserve">652-61-LP26</t>
        </is>
      </c>
      <c r="B112" s="4" t="inlineStr">
        <is>
          <t xml:space="preserve">ARRIENDO SERVIDOR INFORMATICO PARA PROGRAMA SISSA.</t>
        </is>
      </c>
      <c r="C112" s="0">
        <v>1</v>
      </c>
      <c r="D112" s="4" t="inlineStr">
        <is>
          <t xml:space="preserve">Servidores</t>
        </is>
      </c>
      <c r="E112" s="4" t="inlineStr">
        <is>
          <t xml:space="preserve">Tecnologías de la información, telecomunicaciones y radiodifusión / Equipos informáticos y accesorios / Computadores</t>
        </is>
      </c>
      <c r="F112" s="0">
        <v>1.0</v>
      </c>
      <c r="G112" s="0" t="inlineStr">
        <is>
          <t xml:space="preserve">Unidad</t>
        </is>
      </c>
      <c r="H112" s="4" t="inlineStr">
        <is>
          <t xml:space="preserve">Convenio Arriendo Servidor Informático para el Programa SISSA por un Periodo de 36 meses, Servicio de Salud Arauco para el Servicio de Salud Araucanía Sur, Según Requerimientos Técnicos Adjuntos.</t>
        </is>
      </c>
    </row>
    <row r="113">
      <c r="A113" s="0" t="inlineStr">
        <is>
          <t xml:space="preserve">5403-11-LP26</t>
        </is>
      </c>
      <c r="B113" s="4" t="inlineStr">
        <is>
          <t xml:space="preserve">Diseño e instalación de gobernanza de datos</t>
        </is>
      </c>
      <c r="C113" s="0">
        <v>1</v>
      </c>
      <c r="D113" s="4" t="inlineStr">
        <is>
          <t xml:space="preserve">Asesorías en gestión estratégica</t>
        </is>
      </c>
      <c r="E113" s="4" t="inlineStr">
        <is>
          <t xml:space="preserve">Servicios profesionales, administrativos y consultorías de gestión empresarial / Consultorías o asesorías en gestión empresarial / Servicios de consultoría en gestión de empresas</t>
        </is>
      </c>
      <c r="F113" s="0">
        <v>1.0</v>
      </c>
      <c r="G113" s="0" t="inlineStr">
        <is>
          <t xml:space="preserve">Unidad</t>
        </is>
      </c>
      <c r="H113" s="4" t="inlineStr">
        <is>
          <t xml:space="preserve">Servicio de asesoría estratégica para el diseño e instalación inicial del modelo institucional de gobernanza y gestión de datos de la Comisión Nacional de Acreditación</t>
        </is>
      </c>
    </row>
    <row r="114">
      <c r="A114" s="0" t="inlineStr">
        <is>
          <t xml:space="preserve">2713-199-LE26</t>
        </is>
      </c>
      <c r="B114" s="4" t="inlineStr">
        <is>
          <t xml:space="preserve">Equipamiento informático para oficinas municipales</t>
        </is>
      </c>
      <c r="C114" s="0">
        <v>1</v>
      </c>
      <c r="D114" s="4" t="inlineStr">
        <is>
          <t xml:space="preserve">Notebook, laptop o computador portátil excepto Tablet PC</t>
        </is>
      </c>
      <c r="E114" s="4" t="inlineStr">
        <is>
          <t xml:space="preserve">Tecnologías de la información, telecomunicaciones y radiodifusión / Equipos informáticos y accesorios / Computadores</t>
        </is>
      </c>
      <c r="F114" s="0">
        <v>1.0</v>
      </c>
      <c r="G114" s="0" t="inlineStr">
        <is>
          <t xml:space="preserve">Unidad</t>
        </is>
      </c>
      <c r="H114" s="4" t="inlineStr">
        <is>
          <t xml:space="preserve">Notebook ofimática</t>
        </is>
      </c>
    </row>
    <row r="115">
      <c r="A115" s="0" t="inlineStr">
        <is>
          <t xml:space="preserve">2713-199-LE26</t>
        </is>
      </c>
      <c r="B115" s="4" t="inlineStr">
        <is>
          <t xml:space="preserve">Equipamiento informático para oficinas municipales</t>
        </is>
      </c>
      <c r="C115" s="0">
        <v>2</v>
      </c>
      <c r="D115" s="4" t="inlineStr">
        <is>
          <t xml:space="preserve">Notebook, laptop o computador portátil excepto Tablet PC</t>
        </is>
      </c>
      <c r="E115" s="4" t="inlineStr">
        <is>
          <t xml:space="preserve">Tecnologías de la información, telecomunicaciones y radiodifusión / Equipos informáticos y accesorios / Computadores</t>
        </is>
      </c>
      <c r="F115" s="0">
        <v>1.0</v>
      </c>
      <c r="G115" s="0" t="inlineStr">
        <is>
          <t xml:space="preserve">Unidad</t>
        </is>
      </c>
      <c r="H115" s="4" t="inlineStr">
        <is>
          <t xml:space="preserve">Notebook técnico</t>
        </is>
      </c>
    </row>
    <row r="116">
      <c r="A116" s="0" t="inlineStr">
        <is>
          <t xml:space="preserve">2713-199-LE26</t>
        </is>
      </c>
      <c r="B116" s="4" t="inlineStr">
        <is>
          <t xml:space="preserve">Equipamiento informático para oficinas municipales</t>
        </is>
      </c>
      <c r="C116" s="0">
        <v>3</v>
      </c>
      <c r="D116" s="4" t="inlineStr">
        <is>
          <t xml:space="preserve">Computadores personales</t>
        </is>
      </c>
      <c r="E116" s="4" t="inlineStr">
        <is>
          <t xml:space="preserve">Tecnologías de la información, telecomunicaciones y radiodifusión / Equipos informáticos y accesorios / Computadores</t>
        </is>
      </c>
      <c r="F116" s="0">
        <v>16.0</v>
      </c>
      <c r="G116" s="0" t="inlineStr">
        <is>
          <t xml:space="preserve">Unidad</t>
        </is>
      </c>
      <c r="H116" s="4" t="inlineStr">
        <is>
          <t xml:space="preserve">Computador AIO</t>
        </is>
      </c>
    </row>
    <row r="117">
      <c r="A117" s="0" t="inlineStr">
        <is>
          <t xml:space="preserve">2713-199-LE26</t>
        </is>
      </c>
      <c r="B117" s="4" t="inlineStr">
        <is>
          <t xml:space="preserve">Equipamiento informático para oficinas municipales</t>
        </is>
      </c>
      <c r="C117" s="0">
        <v>4</v>
      </c>
      <c r="D117" s="4" t="inlineStr">
        <is>
          <t xml:space="preserve">Impresoras de chorro de tinta</t>
        </is>
      </c>
      <c r="E117" s="4" t="inlineStr">
        <is>
          <t xml:space="preserve">Tecnologías de la información, telecomunicaciones y radiodifusión / Equipos informáticos y accesorios / Impresoras</t>
        </is>
      </c>
      <c r="F117" s="0">
        <v>9.0</v>
      </c>
      <c r="G117" s="0" t="inlineStr">
        <is>
          <t xml:space="preserve">Unidad</t>
        </is>
      </c>
      <c r="H117" s="4" t="inlineStr">
        <is>
          <t xml:space="preserve">Multifuncional tinta LAN</t>
        </is>
      </c>
    </row>
    <row r="118">
      <c r="A118" s="0" t="inlineStr">
        <is>
          <t xml:space="preserve">2713-199-LE26</t>
        </is>
      </c>
      <c r="B118" s="4" t="inlineStr">
        <is>
          <t xml:space="preserve">Equipamiento informático para oficinas municipales</t>
        </is>
      </c>
      <c r="C118" s="0">
        <v>5</v>
      </c>
      <c r="D118" s="4" t="inlineStr">
        <is>
          <t xml:space="preserve">Impresoras de chorro de tinta</t>
        </is>
      </c>
      <c r="E118" s="4" t="inlineStr">
        <is>
          <t xml:space="preserve">Tecnologías de la información, telecomunicaciones y radiodifusión / Equipos informáticos y accesorios / Impresoras</t>
        </is>
      </c>
      <c r="F118" s="0">
        <v>7.0</v>
      </c>
      <c r="G118" s="0" t="inlineStr">
        <is>
          <t xml:space="preserve">Unidad</t>
        </is>
      </c>
      <c r="H118" s="4" t="inlineStr">
        <is>
          <t xml:space="preserve">Multifuncional tinta USB</t>
        </is>
      </c>
    </row>
    <row r="119">
      <c r="A119" s="0" t="inlineStr">
        <is>
          <t xml:space="preserve">2713-199-LE26</t>
        </is>
      </c>
      <c r="B119" s="4" t="inlineStr">
        <is>
          <t xml:space="preserve">Equipamiento informático para oficinas municipales</t>
        </is>
      </c>
      <c r="C119" s="0">
        <v>6</v>
      </c>
      <c r="D119" s="4" t="inlineStr">
        <is>
          <t xml:space="preserve">Impresoras de chorro de tinta</t>
        </is>
      </c>
      <c r="E119" s="4" t="inlineStr">
        <is>
          <t xml:space="preserve">Tecnologías de la información, telecomunicaciones y radiodifusión / Equipos informáticos y accesorios / Impresoras</t>
        </is>
      </c>
      <c r="F119" s="0">
        <v>4.0</v>
      </c>
      <c r="G119" s="0" t="inlineStr">
        <is>
          <t xml:space="preserve">Unidad</t>
        </is>
      </c>
      <c r="H119" s="4" t="inlineStr">
        <is>
          <t xml:space="preserve">Multifuncional tinta WLAN</t>
        </is>
      </c>
    </row>
    <row r="120">
      <c r="A120" s="0" t="inlineStr">
        <is>
          <t xml:space="preserve">2713-199-LE26</t>
        </is>
      </c>
      <c r="B120" s="4" t="inlineStr">
        <is>
          <t xml:space="preserve">Equipamiento informático para oficinas municipales</t>
        </is>
      </c>
      <c r="C120" s="0">
        <v>7</v>
      </c>
      <c r="D120" s="4" t="inlineStr">
        <is>
          <t xml:space="preserve">Computadores portátiles tipo Tablet PC</t>
        </is>
      </c>
      <c r="E120" s="4" t="inlineStr">
        <is>
          <t xml:space="preserve">Tecnologías de la información, telecomunicaciones y radiodifusión / Equipos informáticos y accesorios / Computadores</t>
        </is>
      </c>
      <c r="F120" s="0">
        <v>1.0</v>
      </c>
      <c r="G120" s="0" t="inlineStr">
        <is>
          <t xml:space="preserve">Unidad</t>
        </is>
      </c>
      <c r="H120" s="4" t="inlineStr">
        <is>
          <t xml:space="preserve">Tablet</t>
        </is>
      </c>
    </row>
    <row r="121">
      <c r="A121" s="0" t="inlineStr">
        <is>
          <t xml:space="preserve">2713-199-LE26</t>
        </is>
      </c>
      <c r="B121" s="4" t="inlineStr">
        <is>
          <t xml:space="preserve">Equipamiento informático para oficinas municipales</t>
        </is>
      </c>
      <c r="C121" s="0">
        <v>8</v>
      </c>
      <c r="D121" s="4" t="inlineStr">
        <is>
          <t xml:space="preserve">Escáner</t>
        </is>
      </c>
      <c r="E121" s="4" t="inlineStr">
        <is>
          <t xml:space="preserve">Tecnologías de la información, telecomunicaciones y radiodifusión / Equipos informáticos y accesorios / Dispositivos informáticos de entrada de datos</t>
        </is>
      </c>
      <c r="F121" s="0">
        <v>7.0</v>
      </c>
      <c r="G121" s="0" t="inlineStr">
        <is>
          <t xml:space="preserve">Unidad</t>
        </is>
      </c>
      <c r="H121" s="4" t="inlineStr">
        <is>
          <t xml:space="preserve">Escáner LAN</t>
        </is>
      </c>
    </row>
    <row r="122">
      <c r="A122" s="0" t="inlineStr">
        <is>
          <t xml:space="preserve">2713-199-LE26</t>
        </is>
      </c>
      <c r="B122" s="4" t="inlineStr">
        <is>
          <t xml:space="preserve">Equipamiento informático para oficinas municipales</t>
        </is>
      </c>
      <c r="C122" s="0">
        <v>9</v>
      </c>
      <c r="D122" s="4" t="inlineStr">
        <is>
          <t xml:space="preserve">Escáner</t>
        </is>
      </c>
      <c r="E122" s="4" t="inlineStr">
        <is>
          <t xml:space="preserve">Tecnologías de la información, telecomunicaciones y radiodifusión / Equipos informáticos y accesorios / Dispositivos informáticos de entrada de datos</t>
        </is>
      </c>
      <c r="F122" s="0">
        <v>10.0</v>
      </c>
      <c r="G122" s="0" t="inlineStr">
        <is>
          <t xml:space="preserve">Unidad</t>
        </is>
      </c>
      <c r="H122" s="4" t="inlineStr">
        <is>
          <t xml:space="preserve">Escáner USB</t>
        </is>
      </c>
    </row>
    <row r="123">
      <c r="A123" s="0" t="inlineStr">
        <is>
          <t xml:space="preserve">2713-199-LE26</t>
        </is>
      </c>
      <c r="B123" s="4" t="inlineStr">
        <is>
          <t xml:space="preserve">Equipamiento informático para oficinas municipales</t>
        </is>
      </c>
      <c r="C123" s="0">
        <v>10</v>
      </c>
      <c r="D123" s="4" t="inlineStr">
        <is>
          <t xml:space="preserve">Monitores o pantallas de visualización en cristal líquido (LCD)</t>
        </is>
      </c>
      <c r="E123" s="4" t="inlineStr">
        <is>
          <t xml:space="preserve">Tecnologías de la información, telecomunicaciones y radiodifusión / Equipos informáticos y accesorios / Pantallas o monitores de computador</t>
        </is>
      </c>
      <c r="F123" s="0">
        <v>2.0</v>
      </c>
      <c r="G123" s="0" t="inlineStr">
        <is>
          <t xml:space="preserve">Unidad</t>
        </is>
      </c>
      <c r="H123" s="4" t="inlineStr">
        <is>
          <t xml:space="preserve">Monitor 27”</t>
        </is>
      </c>
    </row>
    <row r="124">
      <c r="A124" s="0" t="inlineStr">
        <is>
          <t xml:space="preserve">2713-199-LE26</t>
        </is>
      </c>
      <c r="B124" s="4" t="inlineStr">
        <is>
          <t xml:space="preserve">Equipamiento informático para oficinas municipales</t>
        </is>
      </c>
      <c r="C124" s="0">
        <v>11</v>
      </c>
      <c r="D124" s="4" t="inlineStr">
        <is>
          <t xml:space="preserve">Monitores o pantallas de visualización en cristal líquido (LCD)</t>
        </is>
      </c>
      <c r="E124" s="4" t="inlineStr">
        <is>
          <t xml:space="preserve">Tecnologías de la información, telecomunicaciones y radiodifusión / Equipos informáticos y accesorios / Pantallas o monitores de computador</t>
        </is>
      </c>
      <c r="F124" s="0">
        <v>5.0</v>
      </c>
      <c r="G124" s="0" t="inlineStr">
        <is>
          <t xml:space="preserve">Unidad</t>
        </is>
      </c>
      <c r="H124" s="4" t="inlineStr">
        <is>
          <t xml:space="preserve">Monitor 24”</t>
        </is>
      </c>
    </row>
    <row r="125">
      <c r="A125" s="0" t="inlineStr">
        <is>
          <t xml:space="preserve">2713-199-LE26</t>
        </is>
      </c>
      <c r="B125" s="4" t="inlineStr">
        <is>
          <t xml:space="preserve">Equipamiento informático para oficinas municipales</t>
        </is>
      </c>
      <c r="C125" s="0">
        <v>12</v>
      </c>
      <c r="D125" s="4" t="inlineStr">
        <is>
          <t xml:space="preserve">Monitores o pantallas de visualización en cristal líquido (LCD)</t>
        </is>
      </c>
      <c r="E125" s="4" t="inlineStr">
        <is>
          <t xml:space="preserve">Tecnologías de la información, telecomunicaciones y radiodifusión / Equipos informáticos y accesorios / Pantallas o monitores de computador</t>
        </is>
      </c>
      <c r="F125" s="0">
        <v>1.0</v>
      </c>
      <c r="G125" s="0" t="inlineStr">
        <is>
          <t xml:space="preserve">Unidad</t>
        </is>
      </c>
      <c r="H125" s="4" t="inlineStr">
        <is>
          <t xml:space="preserve">Monitor 24” USB-C</t>
        </is>
      </c>
    </row>
    <row r="126">
      <c r="A126" s="0" t="inlineStr">
        <is>
          <t xml:space="preserve">2713-199-LE26</t>
        </is>
      </c>
      <c r="B126" s="4" t="inlineStr">
        <is>
          <t xml:space="preserve">Equipamiento informático para oficinas municipales</t>
        </is>
      </c>
      <c r="C126" s="0">
        <v>13</v>
      </c>
      <c r="D126" s="4" t="inlineStr">
        <is>
          <t xml:space="preserve">Equipos multimedia</t>
        </is>
      </c>
      <c r="E126" s="4" t="inlineStr">
        <is>
          <t xml:space="preserve">Tecnologías de la información, telecomunicaciones y radiodifusión / Equipos informáticos y accesorios / Accesorios de computador</t>
        </is>
      </c>
      <c r="F126" s="0">
        <v>6.0</v>
      </c>
      <c r="G126" s="0" t="inlineStr">
        <is>
          <t xml:space="preserve">Unidad</t>
        </is>
      </c>
      <c r="H126" s="4" t="inlineStr">
        <is>
          <t xml:space="preserve">Proyector</t>
        </is>
      </c>
    </row>
    <row r="127">
      <c r="A127" s="0" t="inlineStr">
        <is>
          <t xml:space="preserve">662237-35-LE26</t>
        </is>
      </c>
      <c r="B127" s="4" t="inlineStr">
        <is>
          <t xml:space="preserve">Adquisición de créditos Google Cloud Platform GCP</t>
        </is>
      </c>
      <c r="C127" s="0">
        <v>1</v>
      </c>
      <c r="D127" s="4" t="inlineStr">
        <is>
          <t xml:space="preserve">Software de gestión de adquisiciones</t>
        </is>
      </c>
      <c r="E127" s="4" t="inlineStr">
        <is>
          <t xml:space="preserve">Tecnologías de la información, telecomunicaciones y radiodifusión / Software / Software de gestión</t>
        </is>
      </c>
      <c r="F127" s="0">
        <v>1.0</v>
      </c>
      <c r="G127" s="0" t="inlineStr">
        <is>
          <t xml:space="preserve">Unidad</t>
        </is>
      </c>
      <c r="H127" s="4" t="inlineStr">
        <is>
          <t xml:space="preserve">Adquisición de créditos Google Cloud Platform (GCP) para dar continuidad operativa a los servicios que actualmente utiliza SENDA</t>
        </is>
      </c>
    </row>
    <row r="128">
      <c r="A128" s="0" t="inlineStr">
        <is>
          <t xml:space="preserve">1447930-15-LP26</t>
        </is>
      </c>
      <c r="B128" s="4" t="inlineStr">
        <is>
          <t xml:space="preserve">SSP - Plataforma de virtualización On Premise</t>
        </is>
      </c>
      <c r="C128" s="0">
        <v>1</v>
      </c>
      <c r="D128" s="4" t="inlineStr">
        <is>
          <t xml:space="preserve">Software de interconectividad de plataformas</t>
        </is>
      </c>
      <c r="E128" s="4" t="inlineStr">
        <is>
          <t xml:space="preserve">Tecnologías de la información, telecomunicaciones y radiodifusión / Software / Software para trabajo en redes</t>
        </is>
      </c>
      <c r="F128" s="0">
        <v>1.0</v>
      </c>
      <c r="G128" s="0" t="inlineStr">
        <is>
          <t xml:space="preserve">Unidad</t>
        </is>
      </c>
      <c r="H128" s="4" t="inlineStr">
        <is>
          <t xml:space="preserve">ADQUISICIÓN E IMPLEMENTACIÓN DE EQUIPAMIENTO, SOFTWARE, PUESTA EN MARCHA Y PASO APRODUCCIÓN DE UNA PLATAFORMA DE VIRTUALIZACIÓN ON PREMISE PARA LA SUBSECRETARÍA DESEGURIDAD PÚBLICA</t>
        </is>
      </c>
    </row>
    <row r="129">
      <c r="A129" s="0" t="inlineStr">
        <is>
          <t xml:space="preserve">1232565-42-LP26</t>
        </is>
      </c>
      <c r="B129" s="4" t="inlineStr">
        <is>
          <t xml:space="preserve">Mesa Digital de Disección Anatómica Convertible</t>
        </is>
      </c>
      <c r="C129" s="0">
        <v>1</v>
      </c>
      <c r="D129" s="4" t="inlineStr">
        <is>
          <t xml:space="preserve">Equipos para formación y estudios de medicina</t>
        </is>
      </c>
      <c r="E129" s="4" t="inlineStr">
        <is>
          <t xml:space="preserve">Equipamiento y suministros médicos / Suministros para formación y estudios de medicina / Ayudas para la formación médica</t>
        </is>
      </c>
      <c r="F129" s="0">
        <v>1.0</v>
      </c>
      <c r="G129" s="0" t="inlineStr">
        <is>
          <t xml:space="preserve">Unidad</t>
        </is>
      </c>
      <c r="H129" s="4" t="inlineStr">
        <is>
          <t xml:space="preserve">Mesa de Anatomía de Disección Virtual ANATOMAGE o su equivalente técnico.</t>
        </is>
      </c>
    </row>
    <row r="130">
      <c r="A130" s="0" t="inlineStr">
        <is>
          <t xml:space="preserve">976-15-O126</t>
        </is>
      </c>
      <c r="B130" s="4" t="inlineStr">
        <is>
          <t xml:space="preserve">Ampliación Plataformas Comercial y General Ad. El Loa</t>
        </is>
      </c>
      <c r="C130" s="0">
        <v>1</v>
      </c>
      <c r="D130" s="4" t="inlineStr">
        <is>
          <t xml:space="preserve">Licitación Pública de Obra</t>
        </is>
      </c>
      <c r="E130" s="4" t="inlineStr">
        <is>
          <t xml:space="preserve">Consultoria / Consultoria / Planificación y Factibilidad</t>
        </is>
      </c>
      <c r="F130" s="0">
        <v>1.0</v>
      </c>
      <c r="G130" s="0" t="inlineStr">
        <is>
          <t xml:space="preserve">Unidad</t>
        </is>
      </c>
      <c r="H130" s="4" t="inlineStr">
        <is>
          <t xml:space="preserve">Licitación Pública de Obra</t>
        </is>
      </c>
    </row>
    <row r="131">
      <c r="A131" s="0" t="inlineStr">
        <is>
          <t xml:space="preserve">765-24-LE26</t>
        </is>
      </c>
      <c r="B131" s="4" t="inlineStr">
        <is>
          <t xml:space="preserve">Digitalizar e integrar trámites plataforma SUPER</t>
        </is>
      </c>
      <c r="C131" s="0">
        <v>1</v>
      </c>
      <c r="D131" s="4" t="inlineStr">
        <is>
          <t xml:space="preserve">Software de gestión de relaciones con el cliente (CRM)</t>
        </is>
      </c>
      <c r="E131" s="4" t="inlineStr">
        <is>
          <t xml:space="preserve">Tecnologías de la información, telecomunicaciones y radiodifusión / Software / Software de consultas y gestión de datos</t>
        </is>
      </c>
      <c r="F131" s="0">
        <v>1.0</v>
      </c>
      <c r="G131" s="0" t="inlineStr">
        <is>
          <t xml:space="preserve">Unidad</t>
        </is>
      </c>
      <c r="H131" s="4" t="inlineStr">
        <is>
          <t xml:space="preserve">Desarrollo de cuatro módulos (SIMPLE) para la gestión administrativa de autorizaciones CONADI e integrarlos con el Sistema Unificado de Permisos (SUPER)</t>
        </is>
      </c>
    </row>
    <row r="132">
      <c r="A132" s="0" t="inlineStr">
        <is>
          <t xml:space="preserve">1020-54-LP26</t>
        </is>
      </c>
      <c r="B132" s="4" t="inlineStr">
        <is>
          <t xml:space="preserve">Administración y Mantención de Bases de Datos MOP</t>
        </is>
      </c>
      <c r="C132" s="0">
        <v>1</v>
      </c>
      <c r="D132" s="4" t="inlineStr">
        <is>
          <t xml:space="preserve">Administradores de bases de datos</t>
        </is>
      </c>
      <c r="E132" s="4" t="inlineStr">
        <is>
          <t xml:space="preserve">Servicios profesionales, administrativos y consultorías de gestión empresarial / Servicios de recursos humanos / Contratación de personal</t>
        </is>
      </c>
      <c r="F132" s="0">
        <v>24.0</v>
      </c>
      <c r="G132" s="0" t="inlineStr">
        <is>
          <t xml:space="preserve">Mes</t>
        </is>
      </c>
      <c r="H132" s="4" t="inlineStr">
        <is>
          <t xml:space="preserve">SERVICIO DE ADMINISTRACIÓN  Y  MANTENCION DE BASES DE DATOS  ORACLE, MS SQL SERVER, POSTGRESQL y MySQL (24 meses)</t>
        </is>
      </c>
    </row>
    <row r="133">
      <c r="A133" s="0" t="inlineStr">
        <is>
          <t xml:space="preserve">605-17-LP26</t>
        </is>
      </c>
      <c r="B133" s="4" t="inlineStr">
        <is>
          <t xml:space="preserve">TELEFONÍA FIJA Y RED PRIVADA DE DATOS</t>
        </is>
      </c>
      <c r="C133" s="0">
        <v>1</v>
      </c>
      <c r="D133" s="4" t="inlineStr">
        <is>
          <t xml:space="preserve">Servicio telefónico local</t>
        </is>
      </c>
      <c r="E133" s="4" t="inlineStr">
        <is>
          <t xml:space="preserve">Servicios básicos y de información pública / Telecomunicaciones / Telefonía local y de larga distancia</t>
        </is>
      </c>
      <c r="F133" s="0">
        <v>1.0</v>
      </c>
      <c r="G133" s="0" t="inlineStr">
        <is>
          <t xml:space="preserve">Unidad</t>
        </is>
      </c>
      <c r="H13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34">
      <c r="A134" s="0" t="inlineStr">
        <is>
          <t xml:space="preserve">605-17-LP26</t>
        </is>
      </c>
      <c r="B134" s="4" t="inlineStr">
        <is>
          <t xml:space="preserve">TELEFONÍA FIJA Y RED PRIVADA DE DATOS</t>
        </is>
      </c>
      <c r="C134" s="0">
        <v>2</v>
      </c>
      <c r="D134" s="4" t="inlineStr">
        <is>
          <t xml:space="preserve">Servicio de comunicación IP</t>
        </is>
      </c>
      <c r="E134" s="4" t="inlineStr">
        <is>
          <t xml:space="preserve">Servicios básicos y de información pública / Telecomunicaciones / Telefonía local y de larga distancia</t>
        </is>
      </c>
      <c r="F134" s="0">
        <v>1.0</v>
      </c>
      <c r="G134" s="0" t="inlineStr">
        <is>
          <t xml:space="preserve">Unidad</t>
        </is>
      </c>
      <c r="H13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35">
      <c r="A135" s="0" t="inlineStr">
        <is>
          <t xml:space="preserve">1113265-17-LE26</t>
        </is>
      </c>
      <c r="B135" s="4" t="inlineStr">
        <is>
          <t xml:space="preserve">PLATAFORMA DE GESTIÓN ESTRATÉGICA</t>
        </is>
      </c>
      <c r="C135" s="0">
        <v>1</v>
      </c>
      <c r="D135" s="4" t="inlineStr">
        <is>
          <t xml:space="preserve">Software del sistema de administración de bases de datos</t>
        </is>
      </c>
      <c r="E135" s="4" t="inlineStr">
        <is>
          <t xml:space="preserve">Tecnologías de la información, telecomunicaciones y radiodifusión / Software / Software de consultas y gestión de datos</t>
        </is>
      </c>
      <c r="F135" s="0">
        <v>1.0</v>
      </c>
      <c r="G135" s="0" t="inlineStr">
        <is>
          <t xml:space="preserve">Unidad</t>
        </is>
      </c>
      <c r="H135" s="4" t="inlineStr">
        <is>
          <t xml:space="preserve">PLATAFORMA DE GESTIÓN ESTRATÉGICA DE LA PERMANENCIA ESTUDIANTIL PARA EL CENTRO DE FORMACIÓN TÉCNICA ESTATAL DE LA REGIÓN DE ANTOFAGASTA</t>
        </is>
      </c>
    </row>
    <row r="136">
      <c r="A136" s="0" t="inlineStr">
        <is>
          <t xml:space="preserve">5126-4-LE26</t>
        </is>
      </c>
      <c r="B136" s="4" t="inlineStr">
        <is>
          <t xml:space="preserve">Cambio de tablero y protecciones eléctricas del CCN</t>
        </is>
      </c>
      <c r="C136" s="0">
        <v>1</v>
      </c>
      <c r="D136" s="4" t="inlineStr">
        <is>
          <t xml:space="preserve">Paneles de control eléctrico para generadores</t>
        </is>
      </c>
      <c r="E136" s="4" t="inlineStr">
        <is>
          <t xml:space="preserve">Maquinaria para generación y distribución de energía / Generación de energía / Equipo para control de producción de energía</t>
        </is>
      </c>
      <c r="F136" s="0">
        <v>1.0</v>
      </c>
      <c r="G136" s="0" t="inlineStr">
        <is>
          <t xml:space="preserve">Unidad</t>
        </is>
      </c>
      <c r="H136" s="4" t="inlineStr">
        <is>
          <t xml:space="preserve">Cambio de tablero y protecciones eléctricas pertenecientes al segundo piso del Comando Conjunto Norte, en consideración al Anexo N° 1 "Bases Técnicas".</t>
        </is>
      </c>
    </row>
    <row r="137">
      <c r="A137" s="0" t="inlineStr">
        <is>
          <t xml:space="preserve">1177296-25-LP26</t>
        </is>
      </c>
      <c r="B137"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37" s="0">
        <v>1</v>
      </c>
      <c r="D137" s="4" t="inlineStr">
        <is>
          <t xml:space="preserve">Reloj de control</t>
        </is>
      </c>
      <c r="E137" s="4" t="inlineStr">
        <is>
          <t xml:space="preserve">Equipos, accesorios y suministros de oficina / Maquinarias, suministros y accesorios de oficina / Máquinas y accesorios para registro de hora y asistencia en la oficina</t>
        </is>
      </c>
      <c r="F137" s="0">
        <v>1.0</v>
      </c>
      <c r="G137" s="0" t="inlineStr">
        <is>
          <t xml:space="preserve">Global</t>
        </is>
      </c>
      <c r="H137"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38">
      <c r="A138" s="0" t="inlineStr">
        <is>
          <t xml:space="preserve">2421-52-LR26</t>
        </is>
      </c>
      <c r="B138" s="4" t="inlineStr">
        <is>
          <t xml:space="preserve">SUMINISTRO SERVICIO DE TELECOMUNICACIONES DATOS Y VOZ</t>
        </is>
      </c>
      <c r="C138" s="0">
        <v>1</v>
      </c>
      <c r="D138" s="4" t="inlineStr">
        <is>
          <t xml:space="preserve">Servicio telefónico local</t>
        </is>
      </c>
      <c r="E138" s="4" t="inlineStr">
        <is>
          <t xml:space="preserve">Servicios básicos y de información pública / Telecomunicaciones / Telefonía local y de larga distancia</t>
        </is>
      </c>
      <c r="F138" s="0">
        <v>1.0</v>
      </c>
      <c r="G138" s="0" t="inlineStr">
        <is>
          <t xml:space="preserve">Unidad</t>
        </is>
      </c>
      <c r="H138" s="4" t="inlineStr">
        <is>
          <t xml:space="preserve">Valor total neto mensual (sin impuesto) por los servicios de red de datos, Internet en red de datos, sistema de comunicación de voz y otros, según especificaciones técnicas adjuntas (Anexo Nº8). VER FORMATO ANEXO Nº4.</t>
        </is>
      </c>
    </row>
    <row r="139">
      <c r="A139" s="0" t="inlineStr">
        <is>
          <t xml:space="preserve">2421-52-LR26</t>
        </is>
      </c>
      <c r="B139" s="4" t="inlineStr">
        <is>
          <t xml:space="preserve">SUMINISTRO SERVICIO DE TELECOMUNICACIONES DATOS Y VOZ</t>
        </is>
      </c>
      <c r="C139" s="0">
        <v>2</v>
      </c>
      <c r="D139" s="4" t="inlineStr">
        <is>
          <t xml:space="preserve">Servicio telefónico local</t>
        </is>
      </c>
      <c r="E139" s="4" t="inlineStr">
        <is>
          <t xml:space="preserve">Servicios básicos y de información pública / Telecomunicaciones / Telefonía local y de larga distancia</t>
        </is>
      </c>
      <c r="F139" s="0">
        <v>1.0</v>
      </c>
      <c r="G139" s="0" t="inlineStr">
        <is>
          <t xml:space="preserve">Unidad</t>
        </is>
      </c>
      <c r="H139" s="4" t="inlineStr">
        <is>
          <t xml:space="preserve">Valor Total Neto Cobro Inicial correspondiente a la habilitación y puesta en marcha de los Servicios, cobro aplicado por única vez.</t>
        </is>
      </c>
    </row>
    <row r="140">
      <c r="A140" s="0" t="inlineStr">
        <is>
          <t xml:space="preserve">619-13-LP26</t>
        </is>
      </c>
      <c r="B140" s="4" t="inlineStr">
        <is>
          <t xml:space="preserve">Suscripción de licencias IA generativa Claude.</t>
        </is>
      </c>
      <c r="C140" s="0">
        <v>1</v>
      </c>
      <c r="D140" s="4" t="inlineStr">
        <is>
          <t xml:space="preserve">Software de gestión de licencias</t>
        </is>
      </c>
      <c r="E140" s="4" t="inlineStr">
        <is>
          <t xml:space="preserve">Tecnologías de la información, telecomunicaciones y radiodifusión / Software / Software de gestión</t>
        </is>
      </c>
      <c r="F140" s="0">
        <v>1.0</v>
      </c>
      <c r="G140" s="0" t="inlineStr">
        <is>
          <t xml:space="preserve">Unidad no definida</t>
        </is>
      </c>
      <c r="H140" s="4" t="inlineStr">
        <is>
          <t xml:space="preserve">124 licencias de IA generativa Claude o equivalente: 47 Premium y 77 Standard, con vigencia de 12 meses.</t>
        </is>
      </c>
    </row>
    <row r="141">
      <c r="A141" s="0" t="inlineStr">
        <is>
          <t xml:space="preserve">1020-38-LP26</t>
        </is>
      </c>
      <c r="B141" s="4" t="inlineStr">
        <is>
          <t xml:space="preserve">Adquisición de Plataforma Next Generation Firewall</t>
        </is>
      </c>
      <c r="C141" s="0">
        <v>1</v>
      </c>
      <c r="D141" s="4" t="inlineStr">
        <is>
          <t xml:space="preserve">Equipo de seguridad de red de firewall</t>
        </is>
      </c>
      <c r="E141" s="4" t="inlineStr">
        <is>
          <t xml:space="preserve">Tecnologías de la información, telecomunicaciones y radiodifusión / Equipos, plataformas y accesorios de redes multimedia, voz y datos / Equipos de seguridad de red</t>
        </is>
      </c>
      <c r="F141" s="0">
        <v>2.0</v>
      </c>
      <c r="G141" s="0" t="inlineStr">
        <is>
          <t xml:space="preserve">Unidad</t>
        </is>
      </c>
      <c r="H141" s="4" t="inlineStr">
        <is>
          <t xml:space="preserve">Equipos.</t>
        </is>
      </c>
    </row>
    <row r="142">
      <c r="A142" s="0" t="inlineStr">
        <is>
          <t xml:space="preserve">1020-38-LP26</t>
        </is>
      </c>
      <c r="B142" s="4" t="inlineStr">
        <is>
          <t xml:space="preserve">Adquisición de Plataforma Next Generation Firewall</t>
        </is>
      </c>
      <c r="C142" s="0">
        <v>2</v>
      </c>
      <c r="D142" s="4" t="inlineStr">
        <is>
          <t xml:space="preserve">Software de vigilancia de redes</t>
        </is>
      </c>
      <c r="E142" s="4" t="inlineStr">
        <is>
          <t xml:space="preserve">Tecnologías de la información, telecomunicaciones y radiodifusión / Software / Software de administración de redes</t>
        </is>
      </c>
      <c r="F142" s="0">
        <v>1.0</v>
      </c>
      <c r="G142" s="0" t="inlineStr">
        <is>
          <t xml:space="preserve">Unidad</t>
        </is>
      </c>
      <c r="H142" s="4" t="inlineStr">
        <is>
          <t xml:space="preserve">Licenciamiento de software para la Plataforma Next Generation Firewall (NGFW)</t>
        </is>
      </c>
    </row>
    <row r="143">
      <c r="A143" s="0" t="inlineStr">
        <is>
          <t xml:space="preserve">594965-31-LE26</t>
        </is>
      </c>
      <c r="B143" s="4" t="inlineStr">
        <is>
          <t xml:space="preserve">INSUMOS INFORMATICOS PARA REGION DE OHIGGINS</t>
        </is>
      </c>
      <c r="C143" s="0">
        <v>1</v>
      </c>
      <c r="D143" s="4" t="inlineStr">
        <is>
          <t xml:space="preserve">Tóner</t>
        </is>
      </c>
      <c r="E143" s="4" t="inlineStr">
        <is>
          <t xml:space="preserve">Equipos, accesorios y suministros de oficina / Maquinarias, suministros y accesorios de oficina / Suministros para impresora, fax y fotocopiadora</t>
        </is>
      </c>
      <c r="F143" s="0">
        <v>124.0</v>
      </c>
      <c r="G143" s="0" t="inlineStr">
        <is>
          <t xml:space="preserve">Unidad</t>
        </is>
      </c>
      <c r="H143" s="4" t="inlineStr">
        <is>
          <t xml:space="preserve">Tóner HP 83A o equivalente
SEGUN RESOLUCION TECNICA NUMERAL 3</t>
        </is>
      </c>
    </row>
    <row r="144">
      <c r="A144" s="0" t="inlineStr">
        <is>
          <t xml:space="preserve">594965-31-LE26</t>
        </is>
      </c>
      <c r="B144" s="4" t="inlineStr">
        <is>
          <t xml:space="preserve">INSUMOS INFORMATICOS PARA REGION DE OHIGGINS</t>
        </is>
      </c>
      <c r="C144" s="0">
        <v>2</v>
      </c>
      <c r="D144" s="4" t="inlineStr">
        <is>
          <t xml:space="preserve">Tóner</t>
        </is>
      </c>
      <c r="E144" s="4" t="inlineStr">
        <is>
          <t xml:space="preserve">Equipos, accesorios y suministros de oficina / Maquinarias, suministros y accesorios de oficina / Suministros para impresora, fax y fotocopiadora</t>
        </is>
      </c>
      <c r="F144" s="0">
        <v>139.0</v>
      </c>
      <c r="G144" s="0" t="inlineStr">
        <is>
          <t xml:space="preserve">Unidad</t>
        </is>
      </c>
      <c r="H144" s="4" t="inlineStr">
        <is>
          <t xml:space="preserve">Tóner HP 85A o equivalente
SEGUN RESOLUCION TECNICA NUMERAL 3</t>
        </is>
      </c>
    </row>
    <row r="145">
      <c r="A145" s="0" t="inlineStr">
        <is>
          <t xml:space="preserve">594965-31-LE26</t>
        </is>
      </c>
      <c r="B145" s="4" t="inlineStr">
        <is>
          <t xml:space="preserve">INSUMOS INFORMATICOS PARA REGION DE OHIGGINS</t>
        </is>
      </c>
      <c r="C145" s="0">
        <v>3</v>
      </c>
      <c r="D145" s="4" t="inlineStr">
        <is>
          <t xml:space="preserve">Tóner</t>
        </is>
      </c>
      <c r="E145" s="4" t="inlineStr">
        <is>
          <t xml:space="preserve">Equipos, accesorios y suministros de oficina / Maquinarias, suministros y accesorios de oficina / Suministros para impresora, fax y fotocopiadora</t>
        </is>
      </c>
      <c r="F145" s="0">
        <v>57.0</v>
      </c>
      <c r="G145" s="0" t="inlineStr">
        <is>
          <t xml:space="preserve">Unidad</t>
        </is>
      </c>
      <c r="H145" s="4" t="inlineStr">
        <is>
          <t xml:space="preserve">Tóner HP 105A o equivalente
SEGUN RESOLUCION TECNICA NUMERAL 3</t>
        </is>
      </c>
    </row>
    <row r="146">
      <c r="A146" s="0" t="inlineStr">
        <is>
          <t xml:space="preserve">594965-31-LE26</t>
        </is>
      </c>
      <c r="B146" s="4" t="inlineStr">
        <is>
          <t xml:space="preserve">INSUMOS INFORMATICOS PARA REGION DE OHIGGINS</t>
        </is>
      </c>
      <c r="C146" s="0">
        <v>4</v>
      </c>
      <c r="D146" s="4" t="inlineStr">
        <is>
          <t xml:space="preserve">Tóner</t>
        </is>
      </c>
      <c r="E146" s="4" t="inlineStr">
        <is>
          <t xml:space="preserve">Equipos, accesorios y suministros de oficina / Maquinarias, suministros y accesorios de oficina / Suministros para impresora, fax y fotocopiadora</t>
        </is>
      </c>
      <c r="F146" s="0">
        <v>17.0</v>
      </c>
      <c r="G146" s="0" t="inlineStr">
        <is>
          <t xml:space="preserve">Unidad</t>
        </is>
      </c>
      <c r="H146" s="4" t="inlineStr">
        <is>
          <t xml:space="preserve">Tóner HP 151A o equivalente
SEGUN RESOLUCION TECNICA NUMERAL 3</t>
        </is>
      </c>
    </row>
    <row r="147">
      <c r="A147" s="0" t="inlineStr">
        <is>
          <t xml:space="preserve">594965-31-LE26</t>
        </is>
      </c>
      <c r="B147" s="4" t="inlineStr">
        <is>
          <t xml:space="preserve">INSUMOS INFORMATICOS PARA REGION DE OHIGGINS</t>
        </is>
      </c>
      <c r="C147" s="0">
        <v>5</v>
      </c>
      <c r="D147" s="4" t="inlineStr">
        <is>
          <t xml:space="preserve">Tóner</t>
        </is>
      </c>
      <c r="E147" s="4" t="inlineStr">
        <is>
          <t xml:space="preserve">Equipos, accesorios y suministros de oficina / Maquinarias, suministros y accesorios de oficina / Suministros para impresora, fax y fotocopiadora</t>
        </is>
      </c>
      <c r="F147" s="0">
        <v>2.0</v>
      </c>
      <c r="G147" s="0" t="inlineStr">
        <is>
          <t xml:space="preserve">Unidad</t>
        </is>
      </c>
      <c r="H147" s="4" t="inlineStr">
        <is>
          <t xml:space="preserve">Tóner TN-1060 Negro o equivalente
SEGUN RESOLUCION TECNICA NUMERAL 3</t>
        </is>
      </c>
    </row>
    <row r="148">
      <c r="A148" s="0" t="inlineStr">
        <is>
          <t xml:space="preserve">594965-31-LE26</t>
        </is>
      </c>
      <c r="B148" s="4" t="inlineStr">
        <is>
          <t xml:space="preserve">INSUMOS INFORMATICOS PARA REGION DE OHIGGINS</t>
        </is>
      </c>
      <c r="C148" s="0">
        <v>6</v>
      </c>
      <c r="D148" s="4" t="inlineStr">
        <is>
          <t xml:space="preserve">Tóner</t>
        </is>
      </c>
      <c r="E148" s="4" t="inlineStr">
        <is>
          <t xml:space="preserve">Equipos, accesorios y suministros de oficina / Maquinarias, suministros y accesorios de oficina / Suministros para impresora, fax y fotocopiadora</t>
        </is>
      </c>
      <c r="F148" s="0">
        <v>1.0</v>
      </c>
      <c r="G148" s="0" t="inlineStr">
        <is>
          <t xml:space="preserve">Unidad</t>
        </is>
      </c>
      <c r="H148" s="4" t="inlineStr">
        <is>
          <t xml:space="preserve">Tóner HP 126A Cyan o equivalente
SEGUN RESOLUCION TECNICA NUMERAL 3</t>
        </is>
      </c>
    </row>
    <row r="149">
      <c r="A149" s="0" t="inlineStr">
        <is>
          <t xml:space="preserve">594965-31-LE26</t>
        </is>
      </c>
      <c r="B149" s="4" t="inlineStr">
        <is>
          <t xml:space="preserve">INSUMOS INFORMATICOS PARA REGION DE OHIGGINS</t>
        </is>
      </c>
      <c r="C149" s="0">
        <v>7</v>
      </c>
      <c r="D149" s="4" t="inlineStr">
        <is>
          <t xml:space="preserve">Tóner</t>
        </is>
      </c>
      <c r="E149" s="4" t="inlineStr">
        <is>
          <t xml:space="preserve">Equipos, accesorios y suministros de oficina / Maquinarias, suministros y accesorios de oficina / Suministros para impresora, fax y fotocopiadora</t>
        </is>
      </c>
      <c r="F149" s="0">
        <v>1.0</v>
      </c>
      <c r="G149" s="0" t="inlineStr">
        <is>
          <t xml:space="preserve">Unidad</t>
        </is>
      </c>
      <c r="H149" s="4" t="inlineStr">
        <is>
          <t xml:space="preserve">Tóner HP 126A Magenta o equivalente
SEGUN RESOLUCION TECNICA NUMERAL 3</t>
        </is>
      </c>
    </row>
    <row r="150">
      <c r="A150" s="0" t="inlineStr">
        <is>
          <t xml:space="preserve">594965-31-LE26</t>
        </is>
      </c>
      <c r="B150" s="4" t="inlineStr">
        <is>
          <t xml:space="preserve">INSUMOS INFORMATICOS PARA REGION DE OHIGGINS</t>
        </is>
      </c>
      <c r="C150" s="0">
        <v>8</v>
      </c>
      <c r="D150" s="4" t="inlineStr">
        <is>
          <t xml:space="preserve">Tóner</t>
        </is>
      </c>
      <c r="E150" s="4" t="inlineStr">
        <is>
          <t xml:space="preserve">Equipos, accesorios y suministros de oficina / Maquinarias, suministros y accesorios de oficina / Suministros para impresora, fax y fotocopiadora</t>
        </is>
      </c>
      <c r="F150" s="0">
        <v>2.0</v>
      </c>
      <c r="G150" s="0" t="inlineStr">
        <is>
          <t xml:space="preserve">Unidad</t>
        </is>
      </c>
      <c r="H150" s="4" t="inlineStr">
        <is>
          <t xml:space="preserve">Tóner HP 126A Yellow o equivalente
SEGUN RESOLUCION TECNICA NUMERAL 3</t>
        </is>
      </c>
    </row>
    <row r="151">
      <c r="A151" s="0" t="inlineStr">
        <is>
          <t xml:space="preserve">594965-31-LE26</t>
        </is>
      </c>
      <c r="B151" s="4" t="inlineStr">
        <is>
          <t xml:space="preserve">INSUMOS INFORMATICOS PARA REGION DE OHIGGINS</t>
        </is>
      </c>
      <c r="C151" s="0">
        <v>9</v>
      </c>
      <c r="D151" s="4" t="inlineStr">
        <is>
          <t xml:space="preserve">Tóner</t>
        </is>
      </c>
      <c r="E151" s="4" t="inlineStr">
        <is>
          <t xml:space="preserve">Equipos, accesorios y suministros de oficina / Maquinarias, suministros y accesorios de oficina / Suministros para impresora, fax y fotocopiadora</t>
        </is>
      </c>
      <c r="F151" s="0">
        <v>1.0</v>
      </c>
      <c r="G151" s="0" t="inlineStr">
        <is>
          <t xml:space="preserve">Unidad</t>
        </is>
      </c>
      <c r="H151" s="4" t="inlineStr">
        <is>
          <t xml:space="preserve">Tóner HP 126A Black o equivalente
SEGUN RESOLUCION TECNICA NUMERAL 3</t>
        </is>
      </c>
    </row>
    <row r="152">
      <c r="A152" s="0" t="inlineStr">
        <is>
          <t xml:space="preserve">594965-31-LE26</t>
        </is>
      </c>
      <c r="B152" s="4" t="inlineStr">
        <is>
          <t xml:space="preserve">INSUMOS INFORMATICOS PARA REGION DE OHIGGINS</t>
        </is>
      </c>
      <c r="C152" s="0">
        <v>10</v>
      </c>
      <c r="D152" s="4" t="inlineStr">
        <is>
          <t xml:space="preserve">Cartuchos de tinta</t>
        </is>
      </c>
      <c r="E152" s="4" t="inlineStr">
        <is>
          <t xml:space="preserve">Equipos, accesorios y suministros de oficina / Maquinarias, suministros y accesorios de oficina / Suministros para impresora, fax y fotocopiadora</t>
        </is>
      </c>
      <c r="F152" s="0">
        <v>5.0</v>
      </c>
      <c r="G152" s="0" t="inlineStr">
        <is>
          <t xml:space="preserve">Unidad</t>
        </is>
      </c>
      <c r="H152" s="4" t="inlineStr">
        <is>
          <t xml:space="preserve">Tinta Brother BT5001C Cyan o equivalente
SEGUN RESOLUCION TECNICA NUMERAL 3</t>
        </is>
      </c>
    </row>
    <row r="153">
      <c r="A153" s="0" t="inlineStr">
        <is>
          <t xml:space="preserve">594965-31-LE26</t>
        </is>
      </c>
      <c r="B153" s="4" t="inlineStr">
        <is>
          <t xml:space="preserve">INSUMOS INFORMATICOS PARA REGION DE OHIGGINS</t>
        </is>
      </c>
      <c r="C153" s="0">
        <v>11</v>
      </c>
      <c r="D153" s="4" t="inlineStr">
        <is>
          <t xml:space="preserve">Cartuchos de tinta</t>
        </is>
      </c>
      <c r="E153" s="4" t="inlineStr">
        <is>
          <t xml:space="preserve">Equipos, accesorios y suministros de oficina / Maquinarias, suministros y accesorios de oficina / Suministros para impresora, fax y fotocopiadora</t>
        </is>
      </c>
      <c r="F153" s="0">
        <v>5.0</v>
      </c>
      <c r="G153" s="0" t="inlineStr">
        <is>
          <t xml:space="preserve">Unidad</t>
        </is>
      </c>
      <c r="H153" s="4" t="inlineStr">
        <is>
          <t xml:space="preserve">Tinta Brother BT5001M Magenta o equivalente
SEGUN RESOLUCION TECNICA NUMERAL 3</t>
        </is>
      </c>
    </row>
    <row r="154">
      <c r="A154" s="0" t="inlineStr">
        <is>
          <t xml:space="preserve">594965-31-LE26</t>
        </is>
      </c>
      <c r="B154" s="4" t="inlineStr">
        <is>
          <t xml:space="preserve">INSUMOS INFORMATICOS PARA REGION DE OHIGGINS</t>
        </is>
      </c>
      <c r="C154" s="0">
        <v>12</v>
      </c>
      <c r="D154" s="4" t="inlineStr">
        <is>
          <t xml:space="preserve">Cartuchos de tinta</t>
        </is>
      </c>
      <c r="E154" s="4" t="inlineStr">
        <is>
          <t xml:space="preserve">Equipos, accesorios y suministros de oficina / Maquinarias, suministros y accesorios de oficina / Suministros para impresora, fax y fotocopiadora</t>
        </is>
      </c>
      <c r="F154" s="0">
        <v>5.0</v>
      </c>
      <c r="G154" s="0" t="inlineStr">
        <is>
          <t xml:space="preserve">Unidad</t>
        </is>
      </c>
      <c r="H154" s="4" t="inlineStr">
        <is>
          <t xml:space="preserve">Tinta Brother BT5001Y Yellow  o equivalente
SEGUN RESOLUCION TECNICA NUMERAL 3</t>
        </is>
      </c>
    </row>
    <row r="155">
      <c r="A155" s="0" t="inlineStr">
        <is>
          <t xml:space="preserve">594965-31-LE26</t>
        </is>
      </c>
      <c r="B155" s="4" t="inlineStr">
        <is>
          <t xml:space="preserve">INSUMOS INFORMATICOS PARA REGION DE OHIGGINS</t>
        </is>
      </c>
      <c r="C155" s="0">
        <v>13</v>
      </c>
      <c r="D155" s="4" t="inlineStr">
        <is>
          <t xml:space="preserve">Cartuchos de tinta</t>
        </is>
      </c>
      <c r="E155" s="4" t="inlineStr">
        <is>
          <t xml:space="preserve">Equipos, accesorios y suministros de oficina / Maquinarias, suministros y accesorios de oficina / Suministros para impresora, fax y fotocopiadora</t>
        </is>
      </c>
      <c r="F155" s="0">
        <v>5.0</v>
      </c>
      <c r="G155" s="0" t="inlineStr">
        <is>
          <t xml:space="preserve">Unidad</t>
        </is>
      </c>
      <c r="H155" s="4" t="inlineStr">
        <is>
          <t xml:space="preserve">Tinta Brother BTD60BK Black o equivalente
SEGUN RESOLUCION TECNICA NUMERAL 3</t>
        </is>
      </c>
    </row>
    <row r="156">
      <c r="A156" s="0" t="inlineStr">
        <is>
          <t xml:space="preserve">594965-31-LE26</t>
        </is>
      </c>
      <c r="B156" s="4" t="inlineStr">
        <is>
          <t xml:space="preserve">INSUMOS INFORMATICOS PARA REGION DE OHIGGINS</t>
        </is>
      </c>
      <c r="C156" s="0">
        <v>14</v>
      </c>
      <c r="D156" s="4" t="inlineStr">
        <is>
          <t xml:space="preserve">Cartuchos de tinta</t>
        </is>
      </c>
      <c r="E156" s="4" t="inlineStr">
        <is>
          <t xml:space="preserve">Equipos, accesorios y suministros de oficina / Maquinarias, suministros y accesorios de oficina / Suministros para impresora, fax y fotocopiadora</t>
        </is>
      </c>
      <c r="F156" s="0">
        <v>5.0</v>
      </c>
      <c r="G156" s="0" t="inlineStr">
        <is>
          <t xml:space="preserve">Unidad</t>
        </is>
      </c>
      <c r="H156" s="4" t="inlineStr">
        <is>
          <t xml:space="preserve">Botella Brother BTD100C Cyan o equivalente
SEGUN RESOLUCION TECNICA NUMERAL 3</t>
        </is>
      </c>
    </row>
    <row r="157">
      <c r="A157" s="0" t="inlineStr">
        <is>
          <t xml:space="preserve">594965-31-LE26</t>
        </is>
      </c>
      <c r="B157" s="4" t="inlineStr">
        <is>
          <t xml:space="preserve">INSUMOS INFORMATICOS PARA REGION DE OHIGGINS</t>
        </is>
      </c>
      <c r="C157" s="0">
        <v>15</v>
      </c>
      <c r="D157" s="4" t="inlineStr">
        <is>
          <t xml:space="preserve">Cartuchos de tinta</t>
        </is>
      </c>
      <c r="E157" s="4" t="inlineStr">
        <is>
          <t xml:space="preserve">Equipos, accesorios y suministros de oficina / Maquinarias, suministros y accesorios de oficina / Suministros para impresora, fax y fotocopiadora</t>
        </is>
      </c>
      <c r="F157" s="0">
        <v>5.0</v>
      </c>
      <c r="G157" s="0" t="inlineStr">
        <is>
          <t xml:space="preserve">Unidad</t>
        </is>
      </c>
      <c r="H157" s="4" t="inlineStr">
        <is>
          <t xml:space="preserve">Botella Brother BTD100M Magenta o equivalente
SEGUN RESOLUCION TECNICA NUMERAL 3</t>
        </is>
      </c>
    </row>
    <row r="158">
      <c r="A158" s="0" t="inlineStr">
        <is>
          <t xml:space="preserve">1057390-21-LR26</t>
        </is>
      </c>
      <c r="B158" s="4" t="inlineStr">
        <is>
          <t xml:space="preserve">PLATAFORMA CLOUD COMPUTING Y SERVICIOS ASOCIADOS ESISSAN</t>
        </is>
      </c>
      <c r="C158" s="0">
        <v>1</v>
      </c>
      <c r="D158" s="4" t="inlineStr">
        <is>
          <t xml:space="preserve">Software de interconectividad de plataformas</t>
        </is>
      </c>
      <c r="E158" s="4" t="inlineStr">
        <is>
          <t xml:space="preserve">Tecnologías de la información, telecomunicaciones y radiodifusión / Software / Software para trabajo en redes</t>
        </is>
      </c>
      <c r="F158" s="0">
        <v>1.0</v>
      </c>
      <c r="G158" s="0" t="inlineStr">
        <is>
          <t xml:space="preserve">Unidad</t>
        </is>
      </c>
      <c r="H158" s="4" t="inlineStr">
        <is>
          <t xml:space="preserve">PLATAFORMA CLOUD COMPUTING Y SERVICIOS ASOCIADOS ESISSAN  Total proyecto neto según Anexo 4 Oferta Económica.   (OC se emitiran de acuerdo a la programación)</t>
        </is>
      </c>
    </row>
    <row r="159">
      <c r="A159" s="0" t="inlineStr">
        <is>
          <t xml:space="preserve">1260-17-LP26</t>
        </is>
      </c>
      <c r="B159" s="4" t="inlineStr">
        <is>
          <t xml:space="preserve">NARRATIVAS DIGITALES Y PRODUCCION CONTENIDOS</t>
        </is>
      </c>
      <c r="C159" s="0">
        <v>1</v>
      </c>
      <c r="D159" s="4" t="inlineStr">
        <is>
          <t xml:space="preserve">Agencias de marketing de ventas, incluidas las impresiones</t>
        </is>
      </c>
      <c r="E159" s="4" t="inlineStr">
        <is>
          <t xml:space="preserve">Servicios profesionales, administrativos y consultorías de gestión empresarial / Servicios para la comercialización y distribución / Ventas y marketing</t>
        </is>
      </c>
      <c r="F159" s="0">
        <v>1.0</v>
      </c>
      <c r="G159" s="0" t="inlineStr">
        <is>
          <t xml:space="preserve">Unidad</t>
        </is>
      </c>
      <c r="H159" s="4" t="inlineStr">
        <is>
          <t xml:space="preserve">SERVICIO DE ANÁLISIS DE NARRATIVAS DIGITALES Y PRODUCCIÓN DE CONTENIDOS CREATIVOS. Ver archivos adjuntos RES_EXENTA_N°1419(11-08-2026)_Aprueba Bases.pdf y RESOLUCION_EXENTA_N°1745(06-10-2026)_Modifica REX 1419.pdf</t>
        </is>
      </c>
    </row>
    <row r="160">
      <c r="A160" s="0" t="inlineStr">
        <is>
          <t xml:space="preserve">425-73-LP26</t>
        </is>
      </c>
      <c r="B160" s="4" t="inlineStr">
        <is>
          <t xml:space="preserve">Renovación de licencias de software CISCO</t>
        </is>
      </c>
      <c r="C160" s="0">
        <v>1</v>
      </c>
      <c r="D160" s="4" t="inlineStr">
        <is>
          <t xml:space="preserve">Software de gestión de licencias</t>
        </is>
      </c>
      <c r="E160" s="4" t="inlineStr">
        <is>
          <t xml:space="preserve">Tecnologías de la información, telecomunicaciones y radiodifusión / Software / Software de gestión</t>
        </is>
      </c>
      <c r="F160" s="0">
        <v>5000.0</v>
      </c>
      <c r="G160" s="0" t="inlineStr">
        <is>
          <t xml:space="preserve">Unidad</t>
        </is>
      </c>
      <c r="H160" s="4" t="inlineStr">
        <is>
          <t xml:space="preserve">CISCO ISE Essentials, Valor neto según Formulario Económico N°1 (en caso de discrepancia entre el valor y el Formulario Económico N° 1 primará este último)</t>
        </is>
      </c>
    </row>
    <row r="161">
      <c r="A161" s="0" t="inlineStr">
        <is>
          <t xml:space="preserve">425-73-LP26</t>
        </is>
      </c>
      <c r="B161" s="4" t="inlineStr">
        <is>
          <t xml:space="preserve">Renovación de licencias de software CISCO</t>
        </is>
      </c>
      <c r="C161" s="0">
        <v>2</v>
      </c>
      <c r="D161" s="4" t="inlineStr">
        <is>
          <t xml:space="preserve">Software de gestión de licencias</t>
        </is>
      </c>
      <c r="E161" s="4" t="inlineStr">
        <is>
          <t xml:space="preserve">Tecnologías de la información, telecomunicaciones y radiodifusión / Software / Software de gestión</t>
        </is>
      </c>
      <c r="F161" s="0">
        <v>20000.0</v>
      </c>
      <c r="G161" s="0" t="inlineStr">
        <is>
          <t xml:space="preserve">Unidad</t>
        </is>
      </c>
      <c r="H161" s="4" t="inlineStr">
        <is>
          <t xml:space="preserve">Cisco Secure Network Analytics, Valor neto según Formulario Económico N°1 (en caso de discrepancia entre el valor y el Formulario Económico N° 1 primará este último)</t>
        </is>
      </c>
    </row>
    <row r="162">
      <c r="A162" s="0" t="inlineStr">
        <is>
          <t xml:space="preserve">425-73-LP26</t>
        </is>
      </c>
      <c r="B162" s="4" t="inlineStr">
        <is>
          <t xml:space="preserve">Renovación de licencias de software CISCO</t>
        </is>
      </c>
      <c r="C162" s="0">
        <v>3</v>
      </c>
      <c r="D162" s="4" t="inlineStr">
        <is>
          <t xml:space="preserve">Software de gestión de licencias</t>
        </is>
      </c>
      <c r="E162" s="4" t="inlineStr">
        <is>
          <t xml:space="preserve">Tecnologías de la información, telecomunicaciones y radiodifusión / Software / Software de gestión</t>
        </is>
      </c>
      <c r="F162" s="0">
        <v>11000.0</v>
      </c>
      <c r="G162" s="0" t="inlineStr">
        <is>
          <t xml:space="preserve">Unidad</t>
        </is>
      </c>
      <c r="H162" s="4" t="inlineStr">
        <is>
          <t xml:space="preserve">CISCO ISE Advantage, Valor neto según Formulario Económico N°1 (en caso de discrepancia entre el valor y el Formulario Económico N° 1 primará este último)</t>
        </is>
      </c>
    </row>
    <row r="163">
      <c r="A163" s="0" t="inlineStr">
        <is>
          <t xml:space="preserve">425-73-LP26</t>
        </is>
      </c>
      <c r="B163" s="4" t="inlineStr">
        <is>
          <t xml:space="preserve">Renovación de licencias de software CISCO</t>
        </is>
      </c>
      <c r="C163" s="0">
        <v>4</v>
      </c>
      <c r="D163" s="4" t="inlineStr">
        <is>
          <t xml:space="preserve">Software de gestión de licencias</t>
        </is>
      </c>
      <c r="E163" s="4" t="inlineStr">
        <is>
          <t xml:space="preserve">Tecnologías de la información, telecomunicaciones y radiodifusión / Software / Software de gestión</t>
        </is>
      </c>
      <c r="F163" s="0">
        <v>1.0</v>
      </c>
      <c r="G163" s="0" t="inlineStr">
        <is>
          <t xml:space="preserve">Unidad</t>
        </is>
      </c>
      <c r="H163" s="4" t="inlineStr">
        <is>
          <t xml:space="preserve">Threat Intelligence, Valor neto según Formulario Económico N°1 (en caso de discrepancia entre el valor y el Formulario Económico N° 1 primará este último)</t>
        </is>
      </c>
    </row>
    <row r="164">
      <c r="A164" s="0" t="inlineStr">
        <is>
          <t xml:space="preserve">425-73-LP26</t>
        </is>
      </c>
      <c r="B164" s="4" t="inlineStr">
        <is>
          <t xml:space="preserve">Renovación de licencias de software CISCO</t>
        </is>
      </c>
      <c r="C164" s="0">
        <v>5</v>
      </c>
      <c r="D164" s="4" t="inlineStr">
        <is>
          <t xml:space="preserve">Software de gestión de licencias</t>
        </is>
      </c>
      <c r="E164" s="4" t="inlineStr">
        <is>
          <t xml:space="preserve">Tecnologías de la información, telecomunicaciones y radiodifusión / Software / Software de gestión</t>
        </is>
      </c>
      <c r="F164" s="0">
        <v>3000.0</v>
      </c>
      <c r="G164" s="0" t="inlineStr">
        <is>
          <t xml:space="preserve">Unidad</t>
        </is>
      </c>
      <c r="H164" s="4" t="inlineStr">
        <is>
          <t xml:space="preserve">CISCO ISE Premier, Valor neto según Formulario Económico N°1 (en caso de discrepancia entre el valor y el Formulario Económico N° 1 primará este último)</t>
        </is>
      </c>
    </row>
    <row r="165">
      <c r="A165" s="0" t="inlineStr">
        <is>
          <t xml:space="preserve">425-73-LP26</t>
        </is>
      </c>
      <c r="B165" s="4" t="inlineStr">
        <is>
          <t xml:space="preserve">Renovación de licencias de software CISCO</t>
        </is>
      </c>
      <c r="C165" s="0">
        <v>6</v>
      </c>
      <c r="D165" s="4" t="inlineStr">
        <is>
          <t xml:space="preserve">Software de gestión de licencias</t>
        </is>
      </c>
      <c r="E165" s="4" t="inlineStr">
        <is>
          <t xml:space="preserve">Tecnologías de la información, telecomunicaciones y radiodifusión / Software / Software de gestión</t>
        </is>
      </c>
      <c r="F165" s="0">
        <v>2.0</v>
      </c>
      <c r="G165" s="0" t="inlineStr">
        <is>
          <t xml:space="preserve">Unidad</t>
        </is>
      </c>
      <c r="H165" s="4" t="inlineStr">
        <is>
          <t xml:space="preserve">CISCO ISE VM, Valor neto según Formulario Económico N°1 (en caso de discrepancia entre el valor y el Formulario Económico N° 1 primará este último)</t>
        </is>
      </c>
    </row>
    <row r="166">
      <c r="A166" s="0" t="inlineStr">
        <is>
          <t xml:space="preserve">425-73-LP26</t>
        </is>
      </c>
      <c r="B166" s="4" t="inlineStr">
        <is>
          <t xml:space="preserve">Renovación de licencias de software CISCO</t>
        </is>
      </c>
      <c r="C166" s="0">
        <v>7</v>
      </c>
      <c r="D166" s="4" t="inlineStr">
        <is>
          <t xml:space="preserve">Software de gestión de licencias</t>
        </is>
      </c>
      <c r="E166" s="4" t="inlineStr">
        <is>
          <t xml:space="preserve">Tecnologías de la información, telecomunicaciones y radiodifusión / Software / Software de gestión</t>
        </is>
      </c>
      <c r="F166" s="0">
        <v>2700.0</v>
      </c>
      <c r="G166" s="0" t="inlineStr">
        <is>
          <t xml:space="preserve">Unidad</t>
        </is>
      </c>
      <c r="H166" s="4" t="inlineStr">
        <is>
          <t xml:space="preserve">Umbrella SIG Essentials, Valor neto según Formulario Económico N°1 (en caso de discrepancia entre el valor y el Formulario Económico N° 1 primará este último)</t>
        </is>
      </c>
    </row>
    <row r="167">
      <c r="A167" s="0" t="inlineStr">
        <is>
          <t xml:space="preserve">425-73-LP26</t>
        </is>
      </c>
      <c r="B167" s="4" t="inlineStr">
        <is>
          <t xml:space="preserve">Renovación de licencias de software CISCO</t>
        </is>
      </c>
      <c r="C167" s="0">
        <v>8</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FMC v300, Valor neto según Formulario Económico N°1 (en caso de discrepancia entre el valor y el Formulario Económico N° 1 primará este último)</t>
        </is>
      </c>
    </row>
    <row r="168">
      <c r="A168" s="0" t="inlineStr">
        <is>
          <t xml:space="preserve">425-73-LP26</t>
        </is>
      </c>
      <c r="B168" s="4" t="inlineStr">
        <is>
          <t xml:space="preserve">Renovación de licencias de software CISCO</t>
        </is>
      </c>
      <c r="C168" s="0">
        <v>9</v>
      </c>
      <c r="D168" s="4" t="inlineStr">
        <is>
          <t xml:space="preserve">Software de gestión de licencias</t>
        </is>
      </c>
      <c r="E168" s="4" t="inlineStr">
        <is>
          <t xml:space="preserve">Tecnologías de la información, telecomunicaciones y radiodifusión / Software / Software de gestión</t>
        </is>
      </c>
      <c r="F168" s="0">
        <v>2.0</v>
      </c>
      <c r="G168" s="0" t="inlineStr">
        <is>
          <t xml:space="preserve">Unidad</t>
        </is>
      </c>
      <c r="H168" s="4" t="inlineStr">
        <is>
          <t xml:space="preserve">Firepower 4115, Valor neto según Formulario Económico N°1 (en caso de discrepancia entre el valor y el Formulario Económico N° 1 primará este último)</t>
        </is>
      </c>
    </row>
    <row r="169">
      <c r="A169" s="0" t="inlineStr">
        <is>
          <t xml:space="preserve">425-73-LP26</t>
        </is>
      </c>
      <c r="B169" s="4" t="inlineStr">
        <is>
          <t xml:space="preserve">Renovación de licencias de software CISCO</t>
        </is>
      </c>
      <c r="C169" s="0">
        <v>10</v>
      </c>
      <c r="D169" s="4" t="inlineStr">
        <is>
          <t xml:space="preserve">Software de gestión de licencias</t>
        </is>
      </c>
      <c r="E169" s="4" t="inlineStr">
        <is>
          <t xml:space="preserve">Tecnologías de la información, telecomunicaciones y radiodifusión / Software / Software de gestión</t>
        </is>
      </c>
      <c r="F169" s="0">
        <v>3000.0</v>
      </c>
      <c r="G169" s="0" t="inlineStr">
        <is>
          <t xml:space="preserve">Unidad</t>
        </is>
      </c>
      <c r="H169" s="4" t="inlineStr">
        <is>
          <t xml:space="preserve">Cisco Secure Client Premier, Valor neto según Formulario Económico N°1 (en caso de discrepancia entre el valor y el Formulario Económico N° 1 primará este último)</t>
        </is>
      </c>
    </row>
    <row r="170">
      <c r="A170" s="0" t="inlineStr">
        <is>
          <t xml:space="preserve">564953-78-B226</t>
        </is>
      </c>
      <c r="B170" s="4" t="inlineStr">
        <is>
          <t xml:space="preserve">ACTUALIZACIÓN PLATAFORMA ERP</t>
        </is>
      </c>
      <c r="C170" s="0">
        <v>1</v>
      </c>
      <c r="D170" s="4" t="inlineStr">
        <is>
          <t xml:space="preserve">Software de planificación de recursos empresariales (ERP)</t>
        </is>
      </c>
      <c r="E170" s="4" t="inlineStr">
        <is>
          <t xml:space="preserve">Tecnologías de la información, telecomunicaciones y radiodifusión / Software / Software de planificación de recursos empresariales (ERP) y contabilidad financiera</t>
        </is>
      </c>
      <c r="F170" s="0">
        <v>1.0</v>
      </c>
      <c r="G170" s="0" t="inlineStr">
        <is>
          <t xml:space="preserve">Unidad</t>
        </is>
      </c>
      <c r="H170" s="4" t="inlineStr">
        <is>
          <t xml:space="preserve">ACTUALIZACIÓN PLATAFORMA ERP</t>
        </is>
      </c>
    </row>
    <row r="171">
      <c r="A171" s="0" t="inlineStr">
        <is>
          <t xml:space="preserve">4160-22-LP26</t>
        </is>
      </c>
      <c r="B171" s="4" t="inlineStr">
        <is>
          <t xml:space="preserve">SERVICIO DE INTERNET VOZ Y DATOS</t>
        </is>
      </c>
      <c r="C171" s="0">
        <v>1</v>
      </c>
      <c r="D171" s="4" t="inlineStr">
        <is>
          <t xml:space="preserve">Proveedores de servicio de Internet (ISP)</t>
        </is>
      </c>
      <c r="E171" s="4" t="inlineStr">
        <is>
          <t xml:space="preserve">Servicios basados en ingeniería, ciencias sociales y tecnología de la información / Servicios informáticos / Servicios para internet</t>
        </is>
      </c>
      <c r="F171" s="0">
        <v>36.0</v>
      </c>
      <c r="G171" s="0" t="inlineStr">
        <is>
          <t xml:space="preserve">Mes</t>
        </is>
      </c>
      <c r="H171" s="4" t="inlineStr">
        <is>
          <t xml:space="preserve">La Municipalidad de Hualpén, RUT 69.264.400-K, representada por su Alcalde Miguel Rivera Morales, mediante las siguientes Bases Administrativas y Especificaciones Técnicas fija los procedimientos y términos que regulan la presente Licitación Pública, cuyo</t>
        </is>
      </c>
    </row>
    <row r="172">
      <c r="A172" s="0" t="inlineStr">
        <is>
          <t xml:space="preserve">1233623-47-LP26</t>
        </is>
      </c>
      <c r="B172" s="4" t="inlineStr">
        <is>
          <t xml:space="preserve">SOFTWARE PARA GESTION DE PERSONAS LICANCABUR</t>
        </is>
      </c>
      <c r="C172" s="0">
        <v>1</v>
      </c>
      <c r="D172" s="4" t="inlineStr">
        <is>
          <t xml:space="preserve">Software de gestión de recursos humanos</t>
        </is>
      </c>
      <c r="E172" s="4" t="inlineStr">
        <is>
          <t xml:space="preserve">Tecnologías de la información, telecomunicaciones y radiodifusión / Software / Software de gestión</t>
        </is>
      </c>
      <c r="F172" s="0">
        <v>1.0</v>
      </c>
      <c r="G172" s="0" t="inlineStr">
        <is>
          <t xml:space="preserve">Unidad</t>
        </is>
      </c>
      <c r="H172" s="4" t="inlineStr">
        <is>
          <t xml:space="preserve">01 SOFTWARE SISTEMA DE GESTION DE PERSONAS (P01 Y P02) SEGUN LO INDICADO EN LAS BASES ADMINISTRATIVAS Y TECNICAS POR UN PERIODO DE 36 MESES</t>
        </is>
      </c>
    </row>
    <row r="173">
      <c r="A173" s="0" t="inlineStr">
        <is>
          <t xml:space="preserve">5482-101-LR26</t>
        </is>
      </c>
      <c r="B173" s="4" t="inlineStr">
        <is>
          <t xml:space="preserve">Plataforma IA para video y seguridad urbana</t>
        </is>
      </c>
      <c r="C173" s="0">
        <v>1</v>
      </c>
      <c r="D173" s="4" t="inlineStr">
        <is>
          <t xml:space="preserve">Software de desarrollo de plataforma Web</t>
        </is>
      </c>
      <c r="E173" s="4" t="inlineStr">
        <is>
          <t xml:space="preserve">Tecnologías de la información, telecomunicaciones y radiodifusión / Software / Programas de desarrollo</t>
        </is>
      </c>
      <c r="F173" s="0">
        <v>1.0</v>
      </c>
      <c r="G173" s="0" t="inlineStr">
        <is>
          <t xml:space="preserve">Global</t>
        </is>
      </c>
      <c r="H173" s="4" t="inlineStr">
        <is>
          <t xml:space="preserve">Setup o configuración inicial del servicio e instalación</t>
        </is>
      </c>
    </row>
    <row r="174">
      <c r="A174" s="0" t="inlineStr">
        <is>
          <t xml:space="preserve">5482-101-LR26</t>
        </is>
      </c>
      <c r="B174" s="4" t="inlineStr">
        <is>
          <t xml:space="preserve">Plataforma IA para video y seguridad urbana</t>
        </is>
      </c>
      <c r="C174" s="0">
        <v>2</v>
      </c>
      <c r="D174" s="4" t="inlineStr">
        <is>
          <t xml:space="preserve">Software de desarrollo de plataforma Web</t>
        </is>
      </c>
      <c r="E174" s="4" t="inlineStr">
        <is>
          <t xml:space="preserve">Tecnologías de la información, telecomunicaciones y radiodifusión / Software / Programas de desarrollo</t>
        </is>
      </c>
      <c r="F174" s="0">
        <v>26.0</v>
      </c>
      <c r="G174" s="0" t="inlineStr">
        <is>
          <t xml:space="preserve">Mes</t>
        </is>
      </c>
      <c r="H174" s="4" t="inlineStr">
        <is>
          <t xml:space="preserve">Servicio mensual (Operación)</t>
        </is>
      </c>
    </row>
    <row r="175">
      <c r="A175" s="0" t="inlineStr">
        <is>
          <t xml:space="preserve">1057049-394-LP26</t>
        </is>
      </c>
      <c r="B175" s="4" t="inlineStr">
        <is>
          <t xml:space="preserve">JLL CONTRATACION DE SERVICIOS DE TURNOS DE PERSONAL TECNICO INFORMATICO DE APOYO PARA EL DEPARTAMENTO DE TECNOLOGIAS DE LA INFORMACION Y COMUNICACIONES</t>
        </is>
      </c>
      <c r="C175" s="0">
        <v>1</v>
      </c>
      <c r="D175" s="4" t="inlineStr">
        <is>
          <t xml:space="preserve">Personal técnico temporal</t>
        </is>
      </c>
      <c r="E175" s="4" t="inlineStr">
        <is>
          <t xml:space="preserve">Servicios profesionales, administrativos y consultorías de gestión empresarial / Servicios de recursos humanos / Servicios de personal temporal</t>
        </is>
      </c>
      <c r="F175" s="0">
        <v>1.0</v>
      </c>
      <c r="G175" s="0" t="inlineStr">
        <is>
          <t xml:space="preserve">Global</t>
        </is>
      </c>
      <c r="H175" s="4" t="inlineStr">
        <is>
          <t xml:space="preserve">COD: 704-0011 SERVICIO DE TURNOS PERSONAL TECNICO INFORMATICO PARA DEPARTAMENTO DE TECNOLOGIA DE LA INFORMACION Y COMUNICACION DEL HOSPITAL CLINICO SAN BORJA ARRIARAN</t>
        </is>
      </c>
    </row>
    <row r="176">
      <c r="A176" s="0" t="inlineStr">
        <is>
          <t xml:space="preserve">948354-157-LP26</t>
        </is>
      </c>
      <c r="B176" s="4" t="inlineStr">
        <is>
          <t xml:space="preserve">CONTRATACIÓN DEL SERVICIO DE ARRIENDO DE UNA CABINA SANITARIA CON EQUIPO MAMÓGRAFO PARA USO DE MAMOGRAFÍA DIGITALIZADA PORTÁTIL PARA EL HOSPITAL DIPRECA</t>
        </is>
      </c>
      <c r="C176" s="0">
        <v>1</v>
      </c>
      <c r="D176" s="4" t="inlineStr">
        <is>
          <t xml:space="preserve">Equipo para radiografías mamográficas</t>
        </is>
      </c>
      <c r="E176" s="4" t="inlineStr">
        <is>
          <t xml:space="preserve">Equipamiento y suministros médicos / Productos para imágenes y de medicina nuclear / Artículos radiográficos de diagnóstico médico</t>
        </is>
      </c>
      <c r="F176" s="0">
        <v>12.0</v>
      </c>
      <c r="G176" s="0" t="inlineStr">
        <is>
          <t xml:space="preserve">Mes</t>
        </is>
      </c>
      <c r="H176" s="4" t="inlineStr">
        <is>
          <t xml:space="preserve">Servicio de Arriendo de una Cabina Sanitaria con Equipo Mamógrafo para Uso de Mamografía Digitalizada Portátil</t>
        </is>
      </c>
    </row>
    <row r="177">
      <c r="A177" s="0" t="inlineStr">
        <is>
          <t xml:space="preserve">621923-6-LP26</t>
        </is>
      </c>
      <c r="B177" s="4" t="inlineStr">
        <is>
          <t xml:space="preserve">Adquisición de licencias de software</t>
        </is>
      </c>
      <c r="C177" s="0">
        <v>1</v>
      </c>
      <c r="D177" s="4" t="inlineStr">
        <is>
          <t xml:space="preserve">Paquetes de software para oficinas</t>
        </is>
      </c>
      <c r="E177" s="4" t="inlineStr">
        <is>
          <t xml:space="preserve">Tecnologías de la información, telecomunicaciones y radiodifusión / Software / Software de gestión</t>
        </is>
      </c>
      <c r="F177" s="0">
        <v>6.0</v>
      </c>
      <c r="G177" s="0" t="inlineStr">
        <is>
          <t xml:space="preserve">Unidad</t>
        </is>
      </c>
      <c r="H177" s="4" t="inlineStr">
        <is>
          <t xml:space="preserve">Licencia Windows server 2025 Standard Edition perpetua.</t>
        </is>
      </c>
    </row>
    <row r="178">
      <c r="A178" s="0" t="inlineStr">
        <is>
          <t xml:space="preserve">621923-6-LP26</t>
        </is>
      </c>
      <c r="B178" s="4" t="inlineStr">
        <is>
          <t xml:space="preserve">Adquisición de licencias de software</t>
        </is>
      </c>
      <c r="C178" s="0">
        <v>2</v>
      </c>
      <c r="D178" s="4" t="inlineStr">
        <is>
          <t xml:space="preserve">Software de gestión de licencias</t>
        </is>
      </c>
      <c r="E178" s="4" t="inlineStr">
        <is>
          <t xml:space="preserve">Tecnologías de la información, telecomunicaciones y radiodifusión / Software / Software de gestión</t>
        </is>
      </c>
      <c r="F178" s="0">
        <v>1.0</v>
      </c>
      <c r="G178" s="0" t="inlineStr">
        <is>
          <t xml:space="preserve">Unidad</t>
        </is>
      </c>
      <c r="H178" s="4" t="inlineStr">
        <is>
          <t xml:space="preserve">Licencia OPEN TEXT EnCase® Forensic (última versión disponible) Physical License with Additional Processor License Electronic software delivery with physical key.</t>
        </is>
      </c>
    </row>
    <row r="179">
      <c r="A179" s="0" t="inlineStr">
        <is>
          <t xml:space="preserve">621923-6-LP26</t>
        </is>
      </c>
      <c r="B179" s="4" t="inlineStr">
        <is>
          <t xml:space="preserve">Adquisición de licencias de software</t>
        </is>
      </c>
      <c r="C179" s="0">
        <v>3</v>
      </c>
      <c r="D179" s="4" t="inlineStr">
        <is>
          <t xml:space="preserve">Software de gestión de licencias</t>
        </is>
      </c>
      <c r="E179" s="4" t="inlineStr">
        <is>
          <t xml:space="preserve">Tecnologías de la información, telecomunicaciones y radiodifusión / Software / Software de gestión</t>
        </is>
      </c>
      <c r="F179" s="0">
        <v>1.0</v>
      </c>
      <c r="G179" s="0" t="inlineStr">
        <is>
          <t xml:space="preserve">Unidad</t>
        </is>
      </c>
      <c r="H179" s="4" t="inlineStr">
        <is>
          <t xml:space="preserve">Licencia Fortinet Enterprise Protection</t>
        </is>
      </c>
    </row>
    <row r="180">
      <c r="A180" s="0" t="inlineStr">
        <is>
          <t xml:space="preserve">621923-6-LP26</t>
        </is>
      </c>
      <c r="B180" s="4" t="inlineStr">
        <is>
          <t xml:space="preserve">Adquisición de licencias de software</t>
        </is>
      </c>
      <c r="C180" s="0">
        <v>4</v>
      </c>
      <c r="D180" s="4" t="inlineStr">
        <is>
          <t xml:space="preserve">Software de gestión de licencias</t>
        </is>
      </c>
      <c r="E180" s="4" t="inlineStr">
        <is>
          <t xml:space="preserve">Tecnologías de la información, telecomunicaciones y radiodifusión / Software / Software de gestión</t>
        </is>
      </c>
      <c r="F180" s="0">
        <v>1.0</v>
      </c>
      <c r="G180" s="0" t="inlineStr">
        <is>
          <t xml:space="preserve">Unidad</t>
        </is>
      </c>
      <c r="H180" s="4" t="inlineStr">
        <is>
          <t xml:space="preserve">Contratación de la suscripción de software FortiEDR Discover, Protect &amp; Respond (Part Number: FC2-10-FEDR1-348-01-12 o equivalente técnico) y el servicio especializado FortiCare Best Practice Service (BPS) for FortiEDR</t>
        </is>
      </c>
    </row>
    <row r="181">
      <c r="A181" s="0" t="inlineStr">
        <is>
          <t xml:space="preserve">621923-6-LP26</t>
        </is>
      </c>
      <c r="B181" s="4" t="inlineStr">
        <is>
          <t xml:space="preserve">Adquisición de licencias de software</t>
        </is>
      </c>
      <c r="C181" s="0">
        <v>5</v>
      </c>
      <c r="D181" s="4" t="inlineStr">
        <is>
          <t xml:space="preserve">Paquetes de software para oficinas</t>
        </is>
      </c>
      <c r="E181" s="4" t="inlineStr">
        <is>
          <t xml:space="preserve">Tecnologías de la información, telecomunicaciones y radiodifusión / Software / Software de gestión</t>
        </is>
      </c>
      <c r="F181" s="0">
        <v>100.0</v>
      </c>
      <c r="G181" s="0" t="inlineStr">
        <is>
          <t xml:space="preserve">Unidad</t>
        </is>
      </c>
      <c r="H181" s="4" t="inlineStr">
        <is>
          <t xml:space="preserve">Adobe Acrobat Pro-2020 o superior – Licencia para Windows.</t>
        </is>
      </c>
    </row>
    <row r="182">
      <c r="A182" s="0" t="inlineStr">
        <is>
          <t xml:space="preserve">621923-6-LP26</t>
        </is>
      </c>
      <c r="B182" s="4" t="inlineStr">
        <is>
          <t xml:space="preserve">Adquisición de licencias de software</t>
        </is>
      </c>
      <c r="C182" s="0">
        <v>6</v>
      </c>
      <c r="D182" s="4" t="inlineStr">
        <is>
          <t xml:space="preserve">Software de gestión de licencias</t>
        </is>
      </c>
      <c r="E182" s="4" t="inlineStr">
        <is>
          <t xml:space="preserve">Tecnologías de la información, telecomunicaciones y radiodifusión / Software / Software de gestión</t>
        </is>
      </c>
      <c r="F182" s="0">
        <v>1.0</v>
      </c>
      <c r="G182" s="0" t="inlineStr">
        <is>
          <t xml:space="preserve">Unidad</t>
        </is>
      </c>
      <c r="H182" s="4" t="inlineStr">
        <is>
          <t xml:space="preserve">Licencia SQL Server 2025 Standard Edition por Core (4 × SQL Server 2025 Standard Core 2-Core Pack Perpetual).</t>
        </is>
      </c>
    </row>
    <row r="183">
      <c r="A183" s="0" t="inlineStr">
        <is>
          <t xml:space="preserve">885-98-LP26</t>
        </is>
      </c>
      <c r="B183" s="4" t="inlineStr">
        <is>
          <t xml:space="preserve">Adquisición de servidores destinados a la actualización de plataforma de búsqueda e indexación para la Contraloría General de la República</t>
        </is>
      </c>
      <c r="C183" s="0">
        <v>1</v>
      </c>
      <c r="D183" s="4" t="inlineStr">
        <is>
          <t xml:space="preserve">Servidores</t>
        </is>
      </c>
      <c r="E183" s="4" t="inlineStr">
        <is>
          <t xml:space="preserve">Tecnologías de la información, telecomunicaciones y radiodifusión / Equipos informáticos y accesorios / Computadores</t>
        </is>
      </c>
      <c r="F183" s="0">
        <v>1.0</v>
      </c>
      <c r="G183" s="0" t="inlineStr">
        <is>
          <t xml:space="preserve">Global</t>
        </is>
      </c>
      <c r="H183" s="4" t="inlineStr">
        <is>
          <t xml:space="preserve">Adquisición de cuatro (4) servidores para la renovación de la infraestructura física que soporta su plataforma de búsqueda e indexación.</t>
        </is>
      </c>
    </row>
    <row r="184">
      <c r="A184" s="0" t="inlineStr">
        <is>
          <t xml:space="preserve">1422051-31-LE26</t>
        </is>
      </c>
      <c r="B184" s="4" t="inlineStr">
        <is>
          <t xml:space="preserve">Contratación Servicio Plataforma de Gestión RRHH</t>
        </is>
      </c>
      <c r="C184" s="0">
        <v>1</v>
      </c>
      <c r="D184" s="4" t="inlineStr">
        <is>
          <t xml:space="preserve">Software de gestión de recursos humanos</t>
        </is>
      </c>
      <c r="E184" s="4" t="inlineStr">
        <is>
          <t xml:space="preserve">Tecnologías de la información, telecomunicaciones y radiodifusión / Software / Software de gestión</t>
        </is>
      </c>
      <c r="F184" s="0">
        <v>1.0</v>
      </c>
      <c r="G184" s="0" t="inlineStr">
        <is>
          <t xml:space="preserve">Unidad</t>
        </is>
      </c>
      <c r="H184" s="4" t="inlineStr">
        <is>
          <t xml:space="preserve">Software de Gestión para Recursos Humanos.</t>
        </is>
      </c>
    </row>
    <row r="185">
      <c r="A185" s="0" t="inlineStr">
        <is>
          <t xml:space="preserve">5240-109-LR26</t>
        </is>
      </c>
      <c r="B185" s="4" t="inlineStr">
        <is>
          <t xml:space="preserve">SOFTWARE USO FORENSE DE EXTRACC. Y ANALIS DE DATOS</t>
        </is>
      </c>
      <c r="C185" s="0">
        <v>1</v>
      </c>
      <c r="D185" s="4" t="inlineStr">
        <is>
          <t xml:space="preserve">Software de extracción de datos</t>
        </is>
      </c>
      <c r="E185" s="4" t="inlineStr">
        <is>
          <t xml:space="preserve">Tecnologías de la información, telecomunicaciones y radiodifusión / Software / Software de consultas y gestión de datos</t>
        </is>
      </c>
      <c r="F185" s="0">
        <v>2.0</v>
      </c>
      <c r="G185" s="0" t="inlineStr">
        <is>
          <t xml:space="preserve">Unidad</t>
        </is>
      </c>
      <c r="H185" s="4" t="inlineStr">
        <is>
          <t xml:space="preserve">LINEA 1: SOFTWARE FORENSE DE EXTRACCIÓN AVANZADO Y ANALISIS DE INFORMACIÓN DIGITAL</t>
        </is>
      </c>
    </row>
    <row r="186">
      <c r="A186" s="0" t="inlineStr">
        <is>
          <t xml:space="preserve">5240-109-LR26</t>
        </is>
      </c>
      <c r="B186" s="4" t="inlineStr">
        <is>
          <t xml:space="preserve">SOFTWARE USO FORENSE DE EXTRACC. Y ANALIS DE DATOS</t>
        </is>
      </c>
      <c r="C186" s="0">
        <v>2</v>
      </c>
      <c r="D186" s="4" t="inlineStr">
        <is>
          <t xml:space="preserve">Software de extracción de datos</t>
        </is>
      </c>
      <c r="E186" s="4" t="inlineStr">
        <is>
          <t xml:space="preserve">Tecnologías de la información, telecomunicaciones y radiodifusión / Software / Software de consultas y gestión de datos</t>
        </is>
      </c>
      <c r="F186" s="0">
        <v>1.0</v>
      </c>
      <c r="G186" s="0" t="inlineStr">
        <is>
          <t xml:space="preserve">Unidad</t>
        </is>
      </c>
      <c r="H186" s="4" t="inlineStr">
        <is>
          <t xml:space="preserve">LINEA 2: SOFTWARE FORENSE PARA RECUPERAR Y REPRODUCIR DISTINTOS FORMATOS DE VIDEO CAPTADOS POR DVR</t>
        </is>
      </c>
    </row>
    <row r="187">
      <c r="A187" s="0" t="inlineStr">
        <is>
          <t xml:space="preserve">5240-109-LR26</t>
        </is>
      </c>
      <c r="B187" s="4" t="inlineStr">
        <is>
          <t xml:space="preserve">SOFTWARE USO FORENSE DE EXTRACC. Y ANALIS DE DATOS</t>
        </is>
      </c>
      <c r="C187" s="0">
        <v>3</v>
      </c>
      <c r="D187" s="4" t="inlineStr">
        <is>
          <t xml:space="preserve">Software de extracción de datos</t>
        </is>
      </c>
      <c r="E187" s="4" t="inlineStr">
        <is>
          <t xml:space="preserve">Tecnologías de la información, telecomunicaciones y radiodifusión / Software / Software de consultas y gestión de datos</t>
        </is>
      </c>
      <c r="F187" s="0">
        <v>3.0</v>
      </c>
      <c r="G187" s="0" t="inlineStr">
        <is>
          <t xml:space="preserve">Unidad</t>
        </is>
      </c>
      <c r="H187" s="4" t="inlineStr">
        <is>
          <t xml:space="preserve">LINEA 3: LICENCIAS FORENSIC TOOL KIT SMS</t>
        </is>
      </c>
    </row>
    <row r="188">
      <c r="A188" s="0" t="inlineStr">
        <is>
          <t xml:space="preserve">5240-109-LR26</t>
        </is>
      </c>
      <c r="B188" s="4" t="inlineStr">
        <is>
          <t xml:space="preserve">SOFTWARE USO FORENSE DE EXTRACC. Y ANALIS DE DATOS</t>
        </is>
      </c>
      <c r="C188" s="0">
        <v>4</v>
      </c>
      <c r="D188" s="4" t="inlineStr">
        <is>
          <t xml:space="preserve">Software de extracción de datos</t>
        </is>
      </c>
      <c r="E188" s="4" t="inlineStr">
        <is>
          <t xml:space="preserve">Tecnologías de la información, telecomunicaciones y radiodifusión / Software / Software de consultas y gestión de datos</t>
        </is>
      </c>
      <c r="F188" s="0">
        <v>1.0</v>
      </c>
      <c r="G188" s="0" t="inlineStr">
        <is>
          <t xml:space="preserve">Unidad</t>
        </is>
      </c>
      <c r="H188" s="4" t="inlineStr">
        <is>
          <t xml:space="preserve">LINEA 4: LICENCIA ENCASE FORENSIC MAINTENANCE</t>
        </is>
      </c>
    </row>
    <row r="189">
      <c r="A189" s="0" t="inlineStr">
        <is>
          <t xml:space="preserve">5240-109-LR26</t>
        </is>
      </c>
      <c r="B189" s="4" t="inlineStr">
        <is>
          <t xml:space="preserve">SOFTWARE USO FORENSE DE EXTRACC. Y ANALIS DE DATOS</t>
        </is>
      </c>
      <c r="C189" s="0">
        <v>5</v>
      </c>
      <c r="D189" s="4" t="inlineStr">
        <is>
          <t xml:space="preserve">Software de extracción de datos</t>
        </is>
      </c>
      <c r="E189" s="4" t="inlineStr">
        <is>
          <t xml:space="preserve">Tecnologías de la información, telecomunicaciones y radiodifusión / Software / Software de consultas y gestión de datos</t>
        </is>
      </c>
      <c r="F189" s="0">
        <v>1.0</v>
      </c>
      <c r="G189" s="0" t="inlineStr">
        <is>
          <t xml:space="preserve">Unidad</t>
        </is>
      </c>
      <c r="H189" s="4" t="inlineStr">
        <is>
          <t xml:space="preserve">LINEA 5: LICENCIAS FORENSIC TOOL KIT SMS (RANCAGUA)</t>
        </is>
      </c>
    </row>
    <row r="190">
      <c r="A190" s="0" t="inlineStr">
        <is>
          <t xml:space="preserve">5240-109-LR26</t>
        </is>
      </c>
      <c r="B190" s="4" t="inlineStr">
        <is>
          <t xml:space="preserve">SOFTWARE USO FORENSE DE EXTRACC. Y ANALIS DE DATOS</t>
        </is>
      </c>
      <c r="C190" s="0">
        <v>6</v>
      </c>
      <c r="D190" s="4" t="inlineStr">
        <is>
          <t xml:space="preserve">Software de extracción de datos</t>
        </is>
      </c>
      <c r="E190" s="4" t="inlineStr">
        <is>
          <t xml:space="preserve">Tecnologías de la información, telecomunicaciones y radiodifusión / Software / Software de consultas y gestión de datos</t>
        </is>
      </c>
      <c r="F190" s="0">
        <v>1.0</v>
      </c>
      <c r="G190" s="0" t="inlineStr">
        <is>
          <t xml:space="preserve">Unidad</t>
        </is>
      </c>
      <c r="H190" s="4" t="inlineStr">
        <is>
          <t xml:space="preserve">LINEA 6: SOFTWARE FORENSE DE EXTRACCIÓN AVANZADO Y ANALISIS DE INFORMACIÓN DIGITAL (RANCAGUA)</t>
        </is>
      </c>
    </row>
    <row r="191">
      <c r="A191" s="0" t="inlineStr">
        <is>
          <t xml:space="preserve">5240-109-LR26</t>
        </is>
      </c>
      <c r="B191" s="4" t="inlineStr">
        <is>
          <t xml:space="preserve">SOFTWARE USO FORENSE DE EXTRACC. Y ANALIS DE DATOS</t>
        </is>
      </c>
      <c r="C191" s="0">
        <v>7</v>
      </c>
      <c r="D191" s="4" t="inlineStr">
        <is>
          <t xml:space="preserve">Software de extracción de datos</t>
        </is>
      </c>
      <c r="E191" s="4" t="inlineStr">
        <is>
          <t xml:space="preserve">Tecnologías de la información, telecomunicaciones y radiodifusión / Software / Software de consultas y gestión de datos</t>
        </is>
      </c>
      <c r="F191" s="0">
        <v>1.0</v>
      </c>
      <c r="G191" s="0" t="inlineStr">
        <is>
          <t xml:space="preserve">Unidad</t>
        </is>
      </c>
      <c r="H191" s="4" t="inlineStr">
        <is>
          <t xml:space="preserve">LINEA 7: SOFTWARE FORENSE DE EXTRACCIÓN AVANZADO Y ANALISIS DE INFORMACIÓN DIGITAL (TALCA)</t>
        </is>
      </c>
    </row>
    <row r="192">
      <c r="A192" s="0" t="inlineStr">
        <is>
          <t xml:space="preserve">5240-109-LR26</t>
        </is>
      </c>
      <c r="B192" s="4" t="inlineStr">
        <is>
          <t xml:space="preserve">SOFTWARE USO FORENSE DE EXTRACC. Y ANALIS DE DATOS</t>
        </is>
      </c>
      <c r="C192" s="0">
        <v>8</v>
      </c>
      <c r="D192" s="4" t="inlineStr">
        <is>
          <t xml:space="preserve">Software de extracción de datos</t>
        </is>
      </c>
      <c r="E192" s="4" t="inlineStr">
        <is>
          <t xml:space="preserve">Tecnologías de la información, telecomunicaciones y radiodifusión / Software / Software de consultas y gestión de datos</t>
        </is>
      </c>
      <c r="F192" s="0">
        <v>1.0</v>
      </c>
      <c r="G192" s="0" t="inlineStr">
        <is>
          <t xml:space="preserve">Unidad</t>
        </is>
      </c>
      <c r="H192" s="4" t="inlineStr">
        <is>
          <t xml:space="preserve">LINEA 8: SOFTWARE FORENSE DE EXTRACCIÓN AVANZADO Y ANALISIS DE INFORMACIÓN DIGITAL (VALDIVIA)</t>
        </is>
      </c>
    </row>
    <row r="193">
      <c r="A193" s="0" t="inlineStr">
        <is>
          <t xml:space="preserve">5240-109-LR26</t>
        </is>
      </c>
      <c r="B193" s="4" t="inlineStr">
        <is>
          <t xml:space="preserve">SOFTWARE USO FORENSE DE EXTRACC. Y ANALIS DE DATOS</t>
        </is>
      </c>
      <c r="C193" s="0">
        <v>9</v>
      </c>
      <c r="D193" s="4" t="inlineStr">
        <is>
          <t xml:space="preserve">Software de extracción de datos</t>
        </is>
      </c>
      <c r="E193" s="4" t="inlineStr">
        <is>
          <t xml:space="preserve">Tecnologías de la información, telecomunicaciones y radiodifusión / Software / Software de consultas y gestión de datos</t>
        </is>
      </c>
      <c r="F193" s="0">
        <v>1.0</v>
      </c>
      <c r="G193" s="0" t="inlineStr">
        <is>
          <t xml:space="preserve">Unidad</t>
        </is>
      </c>
      <c r="H193" s="4" t="inlineStr">
        <is>
          <t xml:space="preserve">LINEA 9: SOFTWARE FORENSE DE EXTRACCIÓN AVANZADO Y ANALISIS DE INFORMACIÓN DIGITAL (PUERTO MONTT)</t>
        </is>
      </c>
    </row>
    <row r="194">
      <c r="A194" s="0" t="inlineStr">
        <is>
          <t xml:space="preserve">2342-36-LR26</t>
        </is>
      </c>
      <c r="B194" s="4" t="inlineStr">
        <is>
          <t xml:space="preserve">CONCESIÓN DE ESTACIONAMIENTOS EN CALLES DE LA ZONA CENTRO DE LA COMUNA DE SAN BERNARDO APLICANDO SISTEMA DE CONTROL DE TIEMPO DE USO CAPTADORES DE DATOS</t>
        </is>
      </c>
      <c r="C194" s="0">
        <v>1</v>
      </c>
      <c r="D194" s="4" t="inlineStr">
        <is>
          <t xml:space="preserve">Estacionamientos</t>
        </is>
      </c>
      <c r="E194" s="4" t="inlineStr">
        <is>
          <t xml:space="preserve">Servicios de transporte, almacenaje y correo / Servicios de mantención o reparaciones de transportes / Combustible para vehículos de transporte, estacionamiento y otros servicios de apoyo</t>
        </is>
      </c>
      <c r="F194" s="0">
        <v>1.0</v>
      </c>
      <c r="G194" s="0" t="inlineStr">
        <is>
          <t xml:space="preserve">Unidad</t>
        </is>
      </c>
      <c r="H194" s="4" t="inlineStr">
        <is>
          <t xml:space="preserve">De acuerdo a lo indicado en Especificaciones Técnicas</t>
        </is>
      </c>
    </row>
    <row r="195">
      <c r="A195" s="0" t="inlineStr">
        <is>
          <t xml:space="preserve">2345-137-LR26</t>
        </is>
      </c>
      <c r="B195" s="4" t="inlineStr">
        <is>
          <t xml:space="preserve">SERVICIO DE APLICACIÓN MÓVIL DE SEGURIDAD 1402 PARA LA COMUNA DE LAS CONDES</t>
        </is>
      </c>
      <c r="C195" s="0">
        <v>1</v>
      </c>
      <c r="D195" s="4" t="inlineStr">
        <is>
          <t xml:space="preserve">Web Hosting</t>
        </is>
      </c>
      <c r="E195" s="4" t="inlineStr">
        <is>
          <t xml:space="preserve">Servicios basados en ingeniería, ciencias sociales y tecnología de la información / Servicios informáticos / Servicios para internet</t>
        </is>
      </c>
      <c r="F195" s="0">
        <v>1.0</v>
      </c>
      <c r="G195" s="0" t="inlineStr">
        <is>
          <t xml:space="preserve">Global</t>
        </is>
      </c>
      <c r="H195" s="4" t="inlineStr">
        <is>
          <t xml:space="preserve">De acuerdo a lo indicado en las Bases Técnicas y Anexo N° 3-A y N°3-B</t>
        </is>
      </c>
    </row>
    <row r="196">
      <c r="A196" s="0" t="inlineStr">
        <is>
          <t xml:space="preserve">1882-3-LP26</t>
        </is>
      </c>
      <c r="B196" s="4" t="inlineStr">
        <is>
          <t xml:space="preserve">DPP LA ARAUCANIA SERVICIO DEFENSA RPA LLAMADO 2026</t>
        </is>
      </c>
      <c r="C196" s="0">
        <v>1</v>
      </c>
      <c r="D196" s="4" t="inlineStr">
        <is>
          <t xml:space="preserve">Servicio de defensa penal pública</t>
        </is>
      </c>
      <c r="E196" s="4" t="inlineStr">
        <is>
          <t xml:space="preserve">Servicios profesionales, administrativos y consultorías de gestión empresarial / Servicios legales / Derecho penal</t>
        </is>
      </c>
      <c r="F196" s="0">
        <v>1.0</v>
      </c>
      <c r="G196" s="0" t="inlineStr">
        <is>
          <t xml:space="preserve">Unidad</t>
        </is>
      </c>
      <c r="H196" s="4" t="inlineStr">
        <is>
          <t xml:space="preserve">Contratación con abogad@s, personas jurídicas o abogad@s particulares para la prestación de todo o parte del servicio de Defensa Penal EN LA ZONA 1 RPA ANGOL, SEGUN ANEXO N°1 ADJUNTO.</t>
        </is>
      </c>
    </row>
    <row r="197">
      <c r="A197" s="0" t="inlineStr">
        <is>
          <t xml:space="preserve">1887-4-LP26</t>
        </is>
      </c>
      <c r="B197" s="4" t="inlineStr">
        <is>
          <t xml:space="preserve">SERVICIO DE DEFENSA PENAL EN ZONA 1 RPA</t>
        </is>
      </c>
      <c r="C197" s="0">
        <v>1</v>
      </c>
      <c r="D197" s="4" t="inlineStr">
        <is>
          <t xml:space="preserve">Servicio de defensa penal pública</t>
        </is>
      </c>
      <c r="E197" s="4" t="inlineStr">
        <is>
          <t xml:space="preserve">Servicios profesionales, administrativos y consultorías de gestión empresarial / Servicios legales / Derecho penal</t>
        </is>
      </c>
      <c r="F197" s="0">
        <v>36.0</v>
      </c>
      <c r="G197" s="0" t="inlineStr">
        <is>
          <t xml:space="preserve">Mes</t>
        </is>
      </c>
      <c r="H197" s="4" t="inlineStr">
        <is>
          <t xml:space="preserve">SERVICIO DEFENSA PENAL ZONA 1 RPA(PREFERENTE)</t>
        </is>
      </c>
    </row>
    <row r="198">
      <c r="A198" s="0" t="inlineStr">
        <is>
          <t xml:space="preserve">1605-52-LR26</t>
        </is>
      </c>
      <c r="B198" s="4" t="inlineStr">
        <is>
          <t xml:space="preserve">LR-5231 LICENCIAS DE SOFTWARE CONTROL M</t>
        </is>
      </c>
      <c r="C198" s="0">
        <v>1</v>
      </c>
      <c r="D198" s="4" t="inlineStr">
        <is>
          <t xml:space="preserve">Software de sistema experto</t>
        </is>
      </c>
      <c r="E198" s="4" t="inlineStr">
        <is>
          <t xml:space="preserve">Tecnologías de la información, telecomunicaciones y radiodifusión / Software / Software de gestión</t>
        </is>
      </c>
      <c r="F198" s="0">
        <v>1.0</v>
      </c>
      <c r="G198" s="0" t="inlineStr">
        <is>
          <t xml:space="preserve">Unidad</t>
        </is>
      </c>
      <c r="H198" s="4" t="inlineStr">
        <is>
          <t xml:space="preserve">Adquisición de licencias de Software Control-M modalidad Platform, las cuales serán utilizadas para automatizar, programar y monitorear procesos de negocio por un periodo de 36 meses.</t>
        </is>
      </c>
    </row>
    <row r="199">
      <c r="A199" s="0" t="inlineStr">
        <is>
          <t xml:space="preserve">1456837-4-LR26</t>
        </is>
      </c>
      <c r="B199" s="4" t="inlineStr">
        <is>
          <t xml:space="preserve">SUMINISTRO DE MATERIALES DE OFICINA A TRAVÉS DE PLATAFORMA CLOUDE-COMMERCE</t>
        </is>
      </c>
      <c r="C199" s="0">
        <v>1</v>
      </c>
      <c r="D199" s="4" t="inlineStr">
        <is>
          <t xml:space="preserve">Juegos de bolígrafos y lápices</t>
        </is>
      </c>
      <c r="E199" s="4" t="inlineStr">
        <is>
          <t xml:space="preserve">Equipos, accesorios y suministros de oficina / Suministros de oficina / Instrumentos de escritura</t>
        </is>
      </c>
      <c r="F199" s="0">
        <v>1.0</v>
      </c>
      <c r="G199" s="0" t="inlineStr">
        <is>
          <t xml:space="preserve">Unidad</t>
        </is>
      </c>
      <c r="H199" s="4" t="inlineStr">
        <is>
          <t xml:space="preserve">SUMINISTRO DE MATERIALES DE OFICINA A TRAVÉS DE PLATAFORMA CLOUD/E-COMMERCE SLEP DE LA QUEBRADA</t>
        </is>
      </c>
    </row>
    <row r="200">
      <c r="A200" s="0" t="inlineStr">
        <is>
          <t xml:space="preserve">3759-60-LR26</t>
        </is>
      </c>
      <c r="B200" s="4" t="inlineStr">
        <is>
          <t xml:space="preserve">SERVICIO DE ARRENDAMIENTO DE PLATAFORMA</t>
        </is>
      </c>
      <c r="C200" s="0">
        <v>1</v>
      </c>
      <c r="D200" s="4" t="inlineStr">
        <is>
          <t xml:space="preserve">Software del sistema de administración de bases de datos</t>
        </is>
      </c>
      <c r="E200" s="4" t="inlineStr">
        <is>
          <t xml:space="preserve">Tecnologías de la información, telecomunicaciones y radiodifusión / Software / Software de consultas y gestión de datos</t>
        </is>
      </c>
      <c r="F200" s="0">
        <v>1.0</v>
      </c>
      <c r="G200" s="0" t="inlineStr">
        <is>
          <t xml:space="preserve">Global</t>
        </is>
      </c>
      <c r="H200" s="4" t="inlineStr">
        <is>
          <t xml:space="preserve">SERVICIO DE ARRENDAMIENTO DE PLATAFORMA DE GESTIÓN Y VENTA DE PERMISOS DE CIRCULACIÓN VEHICULAR, COMUNA DE YERBAS BUENAS.</t>
        </is>
      </c>
    </row>
    <row r="201">
      <c r="A201" s="0" t="inlineStr">
        <is>
          <t xml:space="preserve">1057898-85-LR26</t>
        </is>
      </c>
      <c r="B201" s="4" t="inlineStr">
        <is>
          <t xml:space="preserve">ADQUISICIÓN DE SOFTWARES HIS-ESB-BI Y ERP PARA EL NUEVO HOSPITAL REGIONAL DE ÑUBLE</t>
        </is>
      </c>
      <c r="C201" s="0">
        <v>1</v>
      </c>
      <c r="D201" s="4" t="inlineStr">
        <is>
          <t xml:space="preserve">Software de administración</t>
        </is>
      </c>
      <c r="E201" s="4" t="inlineStr">
        <is>
          <t xml:space="preserve">Tecnologías de la información, telecomunicaciones y radiodifusión / Software / Software de administración de redes</t>
        </is>
      </c>
      <c r="F201" s="0">
        <v>1.0</v>
      </c>
      <c r="G201" s="0" t="inlineStr">
        <is>
          <t xml:space="preserve">Global</t>
        </is>
      </c>
      <c r="H201" s="4" t="inlineStr">
        <is>
          <t xml:space="preserve">FAMILIA N°1: SISTEMAS 1 PAQUETIZADO SOFTWARE PRINCIPAL(SOFTWARE COMO SERVICIO)</t>
        </is>
      </c>
    </row>
    <row r="202">
      <c r="A202" s="0" t="inlineStr">
        <is>
          <t xml:space="preserve">1057898-85-LR26</t>
        </is>
      </c>
      <c r="B202" s="4" t="inlineStr">
        <is>
          <t xml:space="preserve">ADQUISICIÓN DE SOFTWARES HIS-ESB-BI Y ERP PARA EL NUEVO HOSPITAL REGIONAL DE ÑUBLE</t>
        </is>
      </c>
      <c r="C202" s="0">
        <v>2</v>
      </c>
      <c r="D202" s="4" t="inlineStr">
        <is>
          <t xml:space="preserve">Software de administración</t>
        </is>
      </c>
      <c r="E202" s="4" t="inlineStr">
        <is>
          <t xml:space="preserve">Tecnologías de la información, telecomunicaciones y radiodifusión / Software / Software de administración de redes</t>
        </is>
      </c>
      <c r="F202" s="0">
        <v>1.0</v>
      </c>
      <c r="G202" s="0" t="inlineStr">
        <is>
          <t xml:space="preserve">Global</t>
        </is>
      </c>
      <c r="H202" s="4" t="inlineStr">
        <is>
          <t xml:space="preserve">FAMILIA N°2: SISTEMAS 2 SISTEMA ERP (SOFTWARE COMO SERVICIO)</t>
        </is>
      </c>
    </row>
    <row r="203">
      <c r="A203" s="0" t="inlineStr">
        <is>
          <t xml:space="preserve">3841-34-LE26</t>
        </is>
      </c>
      <c r="B203" s="4" t="inlineStr">
        <is>
          <t xml:space="preserve">EQUIPOS INFORMATICOS Y AUDIO</t>
        </is>
      </c>
      <c r="C203" s="0">
        <v>1</v>
      </c>
      <c r="D203" s="4" t="inlineStr">
        <is>
          <t xml:space="preserve">Computadores de escritorio</t>
        </is>
      </c>
      <c r="E203" s="4" t="inlineStr">
        <is>
          <t xml:space="preserve">Tecnologías de la información, telecomunicaciones y radiodifusión / Equipos informáticos y accesorios / Computadores</t>
        </is>
      </c>
      <c r="F203" s="0">
        <v>1.0</v>
      </c>
      <c r="G203" s="0" t="inlineStr">
        <is>
          <t xml:space="preserve">Global</t>
        </is>
      </c>
      <c r="H203" s="4" t="inlineStr">
        <is>
          <t xml:space="preserve">EQUIPOS INFORMATICOS DIVERSAS UNIDADES MUNICIPALES SEGUN ANEXO</t>
        </is>
      </c>
    </row>
    <row r="204">
      <c r="A204" s="0" t="inlineStr">
        <is>
          <t xml:space="preserve">3841-34-LE26</t>
        </is>
      </c>
      <c r="B204" s="4" t="inlineStr">
        <is>
          <t xml:space="preserve">EQUIPOS INFORMATICOS Y AUDIO</t>
        </is>
      </c>
      <c r="C204" s="0">
        <v>2</v>
      </c>
      <c r="D204" s="4" t="inlineStr">
        <is>
          <t xml:space="preserve">Parlantes</t>
        </is>
      </c>
      <c r="E204" s="4" t="inlineStr">
        <is>
          <t xml:space="preserve">Muebles, accesorios, electrodomésticos y productos electrónicos / Equipos y accesorios audiovisuales / Equipos audiovisuales y de electrónica menor</t>
        </is>
      </c>
      <c r="F204" s="0">
        <v>1.0</v>
      </c>
      <c r="G204" s="0" t="inlineStr">
        <is>
          <t xml:space="preserve">Global</t>
        </is>
      </c>
      <c r="H204" s="4" t="inlineStr">
        <is>
          <t xml:space="preserve">EQUIPOS DE AUDIO/ AMPLIFIACCIÓN Y OTROS SEGUN ANEXO</t>
        </is>
      </c>
    </row>
    <row r="205">
      <c r="A205" s="0" t="inlineStr">
        <is>
          <t xml:space="preserve">1969-34-LS19</t>
        </is>
      </c>
      <c r="B205" s="4" t="inlineStr">
        <is>
          <t xml:space="preserve">AUTOMATIZACIÓN PORTÓN ACCESO A LINEA DE FUEGO</t>
        </is>
      </c>
      <c r="C205" s="0">
        <v>1</v>
      </c>
      <c r="D205" s="4" t="inlineStr">
        <is>
          <t xml:space="preserve">Puertas de metal</t>
        </is>
      </c>
      <c r="E205" s="4" t="inlineStr">
        <is>
          <t xml:space="preserve">Artículos para estructuras, obras y construcciones / Puertas, ventanas y vidrios / Puertas</t>
        </is>
      </c>
      <c r="F205" s="0">
        <v>1.0</v>
      </c>
      <c r="G205" s="0" t="inlineStr">
        <is>
          <t xml:space="preserve">Unidad</t>
        </is>
      </c>
      <c r="H205" s="4" t="inlineStr">
        <is>
          <t xml:space="preserve">AUTOMATIZACIÓN DE PORTÓN ACCESO A LINEA DE FUEGO C.P. CONCEPCIÓN</t>
        </is>
      </c>
    </row>
  </sheetData>
  <autoFilter ref="A1:H205"/>
</worksheet>
</file>