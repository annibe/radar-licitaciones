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875-7-LE26</t>
        </is>
      </c>
      <c r="B2" s="4" t="inlineStr">
        <is>
          <t xml:space="preserve">SERV. INFORMES Y PLATAFORMA DE PROYECTOS INVERSIÓN</t>
        </is>
      </c>
      <c r="C2" s="0" t="inlineStr">
        <is>
          <t xml:space="preserve">Publicada</t>
        </is>
      </c>
      <c r="D2" s="0" t="inlineStr">
        <is>
          <t xml:space="preserve">AGENCIA DE PROMOCION DE LA INVERSION EXTRANJERA</t>
        </is>
      </c>
      <c r="E2" s="0" t="inlineStr">
        <is>
          <t xml:space="preserve">Agencia de Promoción de la Inversión Extranjera</t>
        </is>
      </c>
      <c r="F2" s="0" t="inlineStr">
        <is>
          <t xml:space="preserve">Región Metropolitana de Santiago</t>
        </is>
      </c>
      <c r="G2" s="0" t="inlineStr">
        <is>
          <t xml:space="preserve">Santiago</t>
        </is>
      </c>
      <c r="H2" s="2">
        <v>46273.666088</v>
      </c>
      <c r="I2" s="2">
        <v>46288.625694</v>
      </c>
      <c r="J2" s="0">
        <v>0</v>
      </c>
      <c r="K2" s="3">
        <v>440.0</v>
      </c>
      <c r="L2" s="0" t="inlineStr">
        <is>
          <t xml:space="preserve">CLF</t>
        </is>
      </c>
      <c r="M2" s="0" t="inlineStr">
        <is>
          <t xml:space="preserve">LE</t>
        </is>
      </c>
      <c r="N2" s="4" t="inlineStr">
        <is>
          <t xml:space="preserve">Productos impresos y publicaciones / Medios impresos / Publicaciones impresas</t>
        </is>
      </c>
      <c r="O2" s="4" t="inlineStr">
        <is>
          <t xml:space="preserve">1 Unidad · Publicaciones periódicas</t>
        </is>
      </c>
      <c r="P2" s="2"/>
      <c r="Q2" s="2"/>
      <c r="R2" s="0" t="inlineStr">
        <is>
          <t xml:space="preserve">12 meses</t>
        </is>
      </c>
      <c r="S2" s="0" t="inlineStr">
        <is>
          <t xml:space="preserve">No</t>
        </is>
      </c>
      <c r="T2" s="4"/>
      <c r="U2" s="0" t="inlineStr">
        <is>
          <t xml:space="preserve">Ana Karina Duarte</t>
        </is>
      </c>
      <c r="V2" s="4" t="inlineStr">
        <is>
          <t xml:space="preserve">SERVICIO DE ELABORACIÓN Y ENTREGA DE INFORMES DE PROYECTOS DE INVERSIÓN EN CHILE Y ACCESO A UNA PLATAFORMA ONLINE DE SEGUIMIENTO DE PROYECTOS DE INVERSIÓN PARA LA AGENCIA DE PROMOCIÓN DE LA INVERSIÓN EXTRANJERA</t>
        </is>
      </c>
      <c r="W2" s="5" t="str">
        <f>HYPERLINK("https://www.mercadopublico.cl/Procurement/Modules/Attachment/ViewAttachment.aspx?enc=kz181BFnJ4h%2bs5UilBc7cdDEWm7ve9%2brdLsprBN8grhHmPzPU2THiXK2wVq%2bZPArPl1gg2Kpw7WK4jOYMhMqkKNiM5ehb7DLdIR681qKJwPnef5N79Cx0L3M4ipG41MGtlPEyIXJ%2fKk5amvMKtwuaNZVxfWRz%2frN7mq4IQSpswKG%2bRDmQL8aCRfg0ayRwZSmRQmAx1SAnEW8jssw%2fMb8utuZuTdiK%2fSPugMUfsdmV7jRMzxezgm4wKUefs7V2aSVcqXbm10d0diWZztZ6UjhZ8PO9tyP1gfg5e%2fbOVXsZs59k5ReYfJ4voBFi5Vo15wL","descargar bases")</f>
      </c>
    </row>
    <row r="3">
      <c r="A3" s="0" t="inlineStr">
        <is>
          <t xml:space="preserve">3810-23-LE26</t>
        </is>
      </c>
      <c r="B3" s="4" t="inlineStr">
        <is>
          <t xml:space="preserve">ADQUISICION DE SOFTWARE DE DISEÑO CAD Y REVISION DE MODELOS BIM PARA LA DIRECCION DE OBRAS MUNICIPALES DE LA I. MUNICIPALIDAD DE PICHILEMU</t>
        </is>
      </c>
      <c r="C3" s="0" t="inlineStr">
        <is>
          <t xml:space="preserve">Publicada</t>
        </is>
      </c>
      <c r="D3" s="0" t="inlineStr">
        <is>
          <t xml:space="preserve">ILUSTRE MUNICIPALIDAD DE PICHILEMU</t>
        </is>
      </c>
      <c r="E3" s="0" t="inlineStr">
        <is>
          <t xml:space="preserve">Ilustre Municipalidad de Pichilemu</t>
        </is>
      </c>
      <c r="F3" s="0" t="inlineStr">
        <is>
          <t xml:space="preserve">Región del Libertador General Bernardo O´Higgins</t>
        </is>
      </c>
      <c r="G3" s="0" t="inlineStr">
        <is>
          <t xml:space="preserve">Pichilemu</t>
        </is>
      </c>
      <c r="H3" s="2">
        <v>46274.389583</v>
      </c>
      <c r="I3" s="2">
        <v>46289.625694</v>
      </c>
      <c r="J3" s="0">
        <v>1</v>
      </c>
      <c r="K3" s="3">
        <v>18000000.0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 Unidad · Software de gestión de licencias</t>
        </is>
      </c>
      <c r="P3" s="2"/>
      <c r="Q3" s="2"/>
      <c r="R3" s="0"/>
      <c r="S3" s="0" t="inlineStr">
        <is>
          <t xml:space="preserve">No</t>
        </is>
      </c>
      <c r="T3" s="4"/>
      <c r="U3" s="0" t="inlineStr">
        <is>
          <t xml:space="preserve">Luis Caceres Cordova</t>
        </is>
      </c>
      <c r="V3" s="4" t="inlineStr">
        <is>
          <t xml:space="preserve">ADQUISICION DE SOFTWARE DE DISEÑO CAD Y REVISION DE MODELOS BIM PARA LA DIRECCION DE OBRAS MUNICIPALES DE LA I. MUNICIPALIDAD DE PICHILEMU</t>
        </is>
      </c>
      <c r="W3" s="5" t="str">
        <f>HYPERLINK("https://www.mercadopublico.cl/Procurement/Modules/Attachment/ViewAttachment.aspx?enc=c5jDjdo4%2fJoz%2fuVPF5P2vUD8SmhI%2bLWtTWNorx8qIGNDSyqLZRsXfpDecyDjnkMRqZvSm97NQDbH6QXeseeP9jbI4l4QIy5hBtkAGAU6VEfGMl1To%2fv6Cb5VXw6FlA72MdQIrLRVTCENEGUzYy%2bdTCCZRugv%2bmXiH2q43uBuB1GAY6OsnLiOiFSHHvzxBXq0yZt3fhak5cyvwZl%2fPn5SYBtqqVgsse3fGOrEepVFQbi0fIYR08%2bKF3gL%2f9akiB4iHlWTZMqHb%2bqV60oTCiHKE3b7b4dmvI1CkTbycejY95%2buiutxP%2bBQW22GEY%2fuTnP7","descargar bases")</f>
      </c>
    </row>
    <row r="4">
      <c r="A4" s="0" t="inlineStr">
        <is>
          <t xml:space="preserve">2974-75-L126</t>
        </is>
      </c>
      <c r="B4" s="4" t="inlineStr">
        <is>
          <t xml:space="preserve">SERVICIO DE MANTENIMIENTO PREVENTIVO Y CORRECTIVO PARA LA PLATAFORMA DEL CAMIÓN PAF-29</t>
        </is>
      </c>
      <c r="C4" s="0" t="inlineStr">
        <is>
          <t xml:space="preserve">Publicada</t>
        </is>
      </c>
      <c r="D4" s="0" t="inlineStr">
        <is>
          <t xml:space="preserve">FUERZA AEREA DE CHILE COMANDO LOGISTICO</t>
        </is>
      </c>
      <c r="E4" s="0" t="inlineStr">
        <is>
          <t xml:space="preserve">División de Bienestar Social</t>
        </is>
      </c>
      <c r="F4" s="0" t="inlineStr">
        <is>
          <t xml:space="preserve">Región de Valparaíso </t>
        </is>
      </c>
      <c r="G4" s="0" t="inlineStr">
        <is>
          <t xml:space="preserve">El Quisco</t>
        </is>
      </c>
      <c r="H4" s="2">
        <v>46287.837373</v>
      </c>
      <c r="I4" s="2">
        <v>46293.625</v>
      </c>
      <c r="J4" s="0">
        <v>5</v>
      </c>
      <c r="K4" s="3">
        <v>1725500.0</v>
      </c>
      <c r="L4" s="0" t="inlineStr">
        <is>
          <t xml:space="preserve">CLP</t>
        </is>
      </c>
      <c r="M4" s="0" t="inlineStr">
        <is>
          <t xml:space="preserve">L1</t>
        </is>
      </c>
      <c r="N4" s="4" t="inlineStr">
        <is>
          <t xml:space="preserve">Vehículos y equipamiento en general / Vehículos motorizados / Vehículos para transporte de carga</t>
        </is>
      </c>
      <c r="O4" s="4" t="inlineStr">
        <is>
          <t xml:space="preserve">1 Global · Camiones de reparto</t>
        </is>
      </c>
      <c r="P4" s="2"/>
      <c r="Q4" s="2"/>
      <c r="R4" s="0"/>
      <c r="S4" s="0" t="inlineStr">
        <is>
          <t xml:space="preserve">No</t>
        </is>
      </c>
      <c r="T4" s="4"/>
      <c r="U4" s="0"/>
      <c r="V4" s="4" t="inlineStr">
        <is>
          <t xml:space="preserve">SERVICIO DE MANTENIMIENTO PREVENTIVO Y CORRECTIVO PARA LA PLATAFORMA DEL CAMIÓN PAF-29, SEGÚN ESPECIFICACIONES TÉCNICAS ADJUNTAS</t>
        </is>
      </c>
      <c r="W4" s="5" t="str">
        <f>HYPERLINK("https://www.mercadopublico.cl/Procurement/Modules/Attachment/ViewAttachment.aspx?enc=300MSikyua9FxqFITkNm9kNKDUdUPesgUzKy6jCugnImkx%2fyqC%2bPO6y5ADpvu2MQnlYuhPp9GAPMSGCDYRs45DBAx4c3h8zP0nxY0Y4mcLN8tpmqM0tmxnQf%2fZgb0my9bKToLuAaO9H5Nsfanm%2fN1kxdMPF8Nr%2b8RuKXcj2lnlAakLtbQwDPiDqC9HYEdlUP3wxNHdJRzPNFGr%2bPhsY%2foK86MjHj9zp5S4BKSm%2fSKAwkUQX3YGDywYjB9edPTdKXw%2fY5Jd0pot5UGlZe1n8LwVVSKlR5wFDBFYiSNQa0FcDRj0mRkbZorNl6QKp8OrND","descargar bases")</f>
      </c>
    </row>
    <row r="5">
      <c r="A5" s="0" t="inlineStr">
        <is>
          <t xml:space="preserve">4469-178-L126</t>
        </is>
      </c>
      <c r="B5" s="4" t="inlineStr">
        <is>
          <t xml:space="preserve">SC 40532(CS)RENOVACION LICENCIAS DE GESTION POWER BI</t>
        </is>
      </c>
      <c r="C5" s="0" t="inlineStr">
        <is>
          <t xml:space="preserve">Publicada</t>
        </is>
      </c>
      <c r="D5" s="0" t="inlineStr">
        <is>
          <t xml:space="preserve">UNIVERSIDAD DE PLAYA ANCHA DE CIENCIAS DE LA EDUCACION</t>
        </is>
      </c>
      <c r="E5" s="0" t="inlineStr">
        <is>
          <t xml:space="preserve">ADQUISICIONES</t>
        </is>
      </c>
      <c r="F5" s="0" t="inlineStr">
        <is>
          <t xml:space="preserve">Región Metropolitana de Santiago</t>
        </is>
      </c>
      <c r="G5" s="0" t="inlineStr">
        <is>
          <t xml:space="preserve">Curacaví</t>
        </is>
      </c>
      <c r="H5" s="2">
        <v>46287.559236</v>
      </c>
      <c r="I5" s="2">
        <v>46294.666667</v>
      </c>
      <c r="J5" s="0">
        <v>6</v>
      </c>
      <c r="K5" s="3">
        <v>2568058.0</v>
      </c>
      <c r="L5" s="0" t="inlineStr">
        <is>
          <t xml:space="preserve">CLP</t>
        </is>
      </c>
      <c r="M5" s="0" t="inlineStr">
        <is>
          <t xml:space="preserve">L1</t>
        </is>
      </c>
      <c r="N5" s="4" t="inlineStr">
        <is>
          <t xml:space="preserve">Tecnologías de la información, telecomunicaciones y radiodifusión / Software / Software de gestión</t>
        </is>
      </c>
      <c r="O5" s="4" t="inlineStr">
        <is>
          <t xml:space="preserve">16 Unidad · Software de gestión de licencias</t>
        </is>
      </c>
      <c r="P5" s="2"/>
      <c r="Q5" s="2"/>
      <c r="R5" s="0"/>
      <c r="S5" s="0" t="inlineStr">
        <is>
          <t xml:space="preserve">No</t>
        </is>
      </c>
      <c r="T5" s="4"/>
      <c r="U5" s="0"/>
      <c r="V5" s="4" t="inlineStr">
        <is>
          <t xml:space="preserve">SC 40532(CS)RENOVACION LICENCIAS DE GESTION POWER BI</t>
        </is>
      </c>
      <c r="W5" s="5" t="str">
        <f>HYPERLINK("https://www.mercadopublico.cl/Procurement/Modules/Attachment/ViewAttachment.aspx?enc=DhV0lIgL1Bd%2fvSpmNv9pJlwd5Fi%2fPdyHUlOE4bP2Fdxu2w4%2fb%2fbOXrTu2q0ds77wYb2nvr6k6oZcCLnkkyM5ZIp%2f8jbZTFYmPMAgVcxGCSyh2ETq2iqA7lwCDsVjFfFlj93bo6IvmLKPh8gsV2SwZR7u4YZi7wLmAmHE5wWqCVTwj5yXeGPz3LIXxq6dyEbgvAJj9z8HfWFIMg24XNIVNoId%2ba%2b9Hlx41sSwGC%2fshLdPB3jL%2bOAtKJfQiSd1YGVzL1EgYow%2biL%2b9dEJmY6dhmuL9EcKZ0SVXmnvWOEF%2bpybTdKjcJq1kpEwa0alpHhQ1","descargar bases")</f>
      </c>
    </row>
    <row r="6">
      <c r="A6" s="0" t="inlineStr">
        <is>
          <t xml:space="preserve">1499-182-LE26</t>
        </is>
      </c>
      <c r="B6" s="4" t="inlineStr">
        <is>
          <t xml:space="preserve">INSUMOS NECESARIOS PARA SISTEMA DE SUPERVISIÓN Y DRENAJE TORÁCICO DIGITAL CON EQUIPO EN COMODATO</t>
        </is>
      </c>
      <c r="C6" s="0" t="inlineStr">
        <is>
          <t xml:space="preserve">Publicada</t>
        </is>
      </c>
      <c r="D6" s="0" t="inlineStr">
        <is>
          <t xml:space="preserve">INSTITUTO NACIONAL DEL TORAX</t>
        </is>
      </c>
      <c r="E6" s="0" t="inlineStr">
        <is>
          <t xml:space="preserve">INSTITUTO NACIONAL DEL TORAX</t>
        </is>
      </c>
      <c r="F6" s="0" t="inlineStr">
        <is>
          <t xml:space="preserve">Región Metropolitana de Santiago</t>
        </is>
      </c>
      <c r="G6" s="0" t="inlineStr">
        <is>
          <t xml:space="preserve">Providencia</t>
        </is>
      </c>
      <c r="H6" s="2">
        <v>46287.756019</v>
      </c>
      <c r="I6" s="2">
        <v>46297.75</v>
      </c>
      <c r="J6" s="0">
        <v>9</v>
      </c>
      <c r="K6" s="3"/>
      <c r="L6" s="0" t="inlineStr">
        <is>
          <t xml:space="preserve">CLP</t>
        </is>
      </c>
      <c r="M6" s="0" t="inlineStr">
        <is>
          <t xml:space="preserve">LE</t>
        </is>
      </c>
      <c r="N6" s="4" t="inlineStr">
        <is>
          <t xml:space="preserve">Equipamiento y suministros médicos / Productos quirúrgicos / Suministros quirúrgicos auxiliares</t>
        </is>
      </c>
      <c r="O6" s="4" t="inlineStr">
        <is>
          <t xml:space="preserve">1 Global · Catéteres, kits de cateterización o bolsas de drenaje para cirugía o endoscopia</t>
        </is>
      </c>
      <c r="P6" s="2"/>
      <c r="Q6" s="2"/>
      <c r="R6" s="0" t="inlineStr">
        <is>
          <t xml:space="preserve">12 meses</t>
        </is>
      </c>
      <c r="S6" s="0" t="inlineStr">
        <is>
          <t xml:space="preserve">No</t>
        </is>
      </c>
      <c r="T6" s="4" t="inlineStr">
        <is>
          <t xml:space="preserve">El adjudicatario no podrá ceder ni transferir en forma alguna, total ni parcialmente, los derechos y obligaciones que nacen del desarrollo de esta licitación, y, en especial, los establecidos en el respectivo contrato que se celebre.</t>
        </is>
      </c>
      <c r="U6" s="0" t="inlineStr">
        <is>
          <t xml:space="preserve">Mario Navarro C.</t>
        </is>
      </c>
      <c r="V6"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6"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7">
      <c r="A7" s="0" t="inlineStr">
        <is>
          <t xml:space="preserve">2704-76-LE26</t>
        </is>
      </c>
      <c r="B7" s="4" t="inlineStr">
        <is>
          <t xml:space="preserve">SC1101 y 1105 Adquisición de licencias software</t>
        </is>
      </c>
      <c r="C7" s="0" t="inlineStr">
        <is>
          <t xml:space="preserve">Publicada</t>
        </is>
      </c>
      <c r="D7" s="0" t="inlineStr">
        <is>
          <t xml:space="preserve">UNIVERSIDAD DEL BIO BIO</t>
        </is>
      </c>
      <c r="E7" s="0" t="inlineStr">
        <is>
          <t xml:space="preserve">Universidad del Bío-Bío - Campus Concepción</t>
        </is>
      </c>
      <c r="F7" s="0" t="inlineStr">
        <is>
          <t xml:space="preserve">Región del Biobío </t>
        </is>
      </c>
      <c r="G7" s="0" t="inlineStr">
        <is>
          <t xml:space="preserve">Concepción</t>
        </is>
      </c>
      <c r="H7" s="2">
        <v>46287.731759</v>
      </c>
      <c r="I7" s="2">
        <v>46297.833333</v>
      </c>
      <c r="J7" s="0">
        <v>9</v>
      </c>
      <c r="K7" s="3">
        <v>24500000.0</v>
      </c>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 Unidad · Software de gestión de adquisiciones · 1 Unidad · Software de gestión de adquisiciones</t>
        </is>
      </c>
      <c r="P7" s="2"/>
      <c r="Q7" s="2"/>
      <c r="R7" s="0"/>
      <c r="S7" s="0" t="inlineStr">
        <is>
          <t xml:space="preserve">No</t>
        </is>
      </c>
      <c r="T7" s="4"/>
      <c r="U7" s="0" t="inlineStr">
        <is>
          <t xml:space="preserve">MÓNICA BAEZA</t>
        </is>
      </c>
      <c r="V7" s="4" t="inlineStr">
        <is>
          <t xml:space="preserve">adquisición de licencias del software Etabs Nonlinear V23 y DesignBuilder versión Engineering Plus, según solicitudes de compra N°1101 y 1105 . Segun descripcion del servicio.</t>
        </is>
      </c>
      <c r="W7"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8">
      <c r="A8" s="0" t="inlineStr">
        <is>
          <t xml:space="preserve">5251-83-LE26</t>
        </is>
      </c>
      <c r="B8" s="4" t="inlineStr">
        <is>
          <t xml:space="preserve">SUITE DE PRODUCTIVIDAD O SOFTWARE DE OFICINA</t>
        </is>
      </c>
      <c r="C8" s="0" t="inlineStr">
        <is>
          <t xml:space="preserve">Publicada</t>
        </is>
      </c>
      <c r="D8" s="0" t="inlineStr">
        <is>
          <t xml:space="preserve">UNIVERSIDAD TECNOLOGICA METROPOLITANA</t>
        </is>
      </c>
      <c r="E8" s="0" t="inlineStr">
        <is>
          <t xml:space="preserve">DEPARTAMENTO DE ABASTECIMIENTO</t>
        </is>
      </c>
      <c r="F8" s="0" t="inlineStr">
        <is>
          <t xml:space="preserve">Región Metropolitana de Santiago</t>
        </is>
      </c>
      <c r="G8" s="0" t="inlineStr">
        <is>
          <t xml:space="preserve">Santiago</t>
        </is>
      </c>
      <c r="H8" s="2">
        <v>46288.488924</v>
      </c>
      <c r="I8" s="2">
        <v>46297.833333</v>
      </c>
      <c r="J8" s="0">
        <v>9</v>
      </c>
      <c r="K8" s="3">
        <v>64600.0</v>
      </c>
      <c r="L8" s="0" t="inlineStr">
        <is>
          <t xml:space="preserve">USD</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t>
        </is>
      </c>
      <c r="P8" s="2"/>
      <c r="Q8" s="2"/>
      <c r="R8" s="0" t="inlineStr">
        <is>
          <t xml:space="preserve">12 meses</t>
        </is>
      </c>
      <c r="S8" s="0" t="inlineStr">
        <is>
          <t xml:space="preserve">No</t>
        </is>
      </c>
      <c r="T8" s="4"/>
      <c r="U8" s="0" t="inlineStr">
        <is>
          <t xml:space="preserve">José Leyton</t>
        </is>
      </c>
      <c r="V8"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8"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9">
      <c r="A9" s="0" t="inlineStr">
        <is>
          <t xml:space="preserve">1663-148-LE26</t>
        </is>
      </c>
      <c r="B9" s="4" t="inlineStr">
        <is>
          <t xml:space="preserve">CARROS INFORMATICOS CLINICOS</t>
        </is>
      </c>
      <c r="C9" s="0" t="inlineStr">
        <is>
          <t xml:space="preserve">Publicada</t>
        </is>
      </c>
      <c r="D9" s="0" t="inlineStr">
        <is>
          <t xml:space="preserve">SERVICIO DE SALUD CHILOE</t>
        </is>
      </c>
      <c r="E9" s="0" t="inlineStr">
        <is>
          <t xml:space="preserve">Hospital de Quellón</t>
        </is>
      </c>
      <c r="F9" s="0" t="inlineStr">
        <is>
          <t xml:space="preserve">Región de los Lagos </t>
        </is>
      </c>
      <c r="G9" s="0"/>
      <c r="H9" s="2">
        <v>46288.409525</v>
      </c>
      <c r="I9" s="2">
        <v>46300.708333</v>
      </c>
      <c r="J9" s="0">
        <v>12</v>
      </c>
      <c r="K9" s="3"/>
      <c r="L9" s="0" t="inlineStr">
        <is>
          <t xml:space="preserve">CLP</t>
        </is>
      </c>
      <c r="M9" s="0" t="inlineStr">
        <is>
          <t xml:space="preserve">LE</t>
        </is>
      </c>
      <c r="N9" s="4" t="inlineStr">
        <is>
          <t xml:space="preserve">Artículos de fabricación y producción / Artículos de ferretería / Accesorios de Ferretería</t>
        </is>
      </c>
      <c r="O9" s="4" t="inlineStr">
        <is>
          <t xml:space="preserve">7 Unidad · Estantes de montaje</t>
        </is>
      </c>
      <c r="P9" s="2"/>
      <c r="Q9" s="2"/>
      <c r="R9" s="0"/>
      <c r="S9" s="0" t="inlineStr">
        <is>
          <t xml:space="preserve">No</t>
        </is>
      </c>
      <c r="T9" s="4"/>
      <c r="U9" s="0" t="inlineStr">
        <is>
          <t xml:space="preserve">CARLOS CORTEZ ALVAREZ</t>
        </is>
      </c>
      <c r="V9" s="4" t="inlineStr">
        <is>
          <t xml:space="preserve">EL HOSPITAL DE QUELLON REQUIERE LA COMPRA DE CARROS INFORMATICOS PARA USO EN AREAS CLINICAS EN LA ATENCION DE PACIENTES</t>
        </is>
      </c>
      <c r="W9"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10">
      <c r="A10" s="0" t="inlineStr">
        <is>
          <t xml:space="preserve">2080-309-LE26</t>
        </is>
      </c>
      <c r="B10" s="4" t="inlineStr">
        <is>
          <t xml:space="preserve">COMPRA ROLLOS PAPEL IMPRESORA TOTEM</t>
        </is>
      </c>
      <c r="C10" s="0" t="inlineStr">
        <is>
          <t xml:space="preserve">Publicada</t>
        </is>
      </c>
      <c r="D10" s="0" t="inlineStr">
        <is>
          <t xml:space="preserve">SERVICIO DE SALUD DEL LIBERTADOR B O'HIGGINS HOSPITAL REG RANCAGUA</t>
        </is>
      </c>
      <c r="E10" s="0" t="inlineStr">
        <is>
          <t xml:space="preserve">Hospital Regional Rancagua - HRR</t>
        </is>
      </c>
      <c r="F10" s="0" t="inlineStr">
        <is>
          <t xml:space="preserve">Región del Libertador General Bernardo O´Higgins</t>
        </is>
      </c>
      <c r="G10" s="0" t="inlineStr">
        <is>
          <t xml:space="preserve">Rancagua</t>
        </is>
      </c>
      <c r="H10" s="2">
        <v>46287.658183</v>
      </c>
      <c r="I10" s="2">
        <v>46301.625</v>
      </c>
      <c r="J10" s="0">
        <v>13</v>
      </c>
      <c r="K10" s="3"/>
      <c r="L10" s="0" t="inlineStr">
        <is>
          <t xml:space="preserve">CLP</t>
        </is>
      </c>
      <c r="M10" s="0" t="inlineStr">
        <is>
          <t xml:space="preserve">LE</t>
        </is>
      </c>
      <c r="N10" s="4" t="inlineStr">
        <is>
          <t xml:space="preserve">Productos de papel / Productos de papel / Papel de imprenta y escritura</t>
        </is>
      </c>
      <c r="O10" s="4" t="inlineStr">
        <is>
          <t xml:space="preserve">21432 Unidad · Rollos para télex</t>
        </is>
      </c>
      <c r="P10" s="2"/>
      <c r="Q10" s="2"/>
      <c r="R10" s="0" t="inlineStr">
        <is>
          <t xml:space="preserve">24 meses</t>
        </is>
      </c>
      <c r="S10" s="0" t="inlineStr">
        <is>
          <t xml:space="preserve">No</t>
        </is>
      </c>
      <c r="T10" s="4"/>
      <c r="U10" s="0" t="inlineStr">
        <is>
          <t xml:space="preserve">CAROLINA PEÑA PADILLA</t>
        </is>
      </c>
      <c r="V10" s="4" t="inlineStr">
        <is>
          <t xml:space="preserve">El objeto de esta Licitación es contar con una adecuada provisión de “COMPRA ROLLOS PAPEL IMPRESORA TOTEM” para el Hospital Dr. Franco Ravera Zunino, durante la vigencia del proceso.</t>
        </is>
      </c>
      <c r="W10"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11">
      <c r="A11" s="0" t="inlineStr">
        <is>
          <t xml:space="preserve">875-10-LE26</t>
        </is>
      </c>
      <c r="B11" s="4" t="inlineStr">
        <is>
          <t xml:space="preserve">SERV. DE INFORMACIÓN DE REMUNERACIONES PLATAFORMA</t>
        </is>
      </c>
      <c r="C11" s="0" t="inlineStr">
        <is>
          <t xml:space="preserve">Publicada</t>
        </is>
      </c>
      <c r="D11" s="0" t="inlineStr">
        <is>
          <t xml:space="preserve">AGENCIA DE PROMOCION DE LA INVERSION EXTRANJERA</t>
        </is>
      </c>
      <c r="E11" s="0" t="inlineStr">
        <is>
          <t xml:space="preserve">Agencia de Promoción de la Inversión Extranjera</t>
        </is>
      </c>
      <c r="F11" s="0" t="inlineStr">
        <is>
          <t xml:space="preserve">Región Metropolitana de Santiago</t>
        </is>
      </c>
      <c r="G11" s="0" t="inlineStr">
        <is>
          <t xml:space="preserve">Santiago</t>
        </is>
      </c>
      <c r="H11" s="2">
        <v>46287.665706</v>
      </c>
      <c r="I11" s="2">
        <v>46301.625</v>
      </c>
      <c r="J11" s="0">
        <v>13</v>
      </c>
      <c r="K11" s="3">
        <v>300.0</v>
      </c>
      <c r="L11" s="0" t="inlineStr">
        <is>
          <t xml:space="preserve">CLF</t>
        </is>
      </c>
      <c r="M11" s="0" t="inlineStr">
        <is>
          <t xml:space="preserve">LE</t>
        </is>
      </c>
      <c r="N11" s="4" t="inlineStr">
        <is>
          <t xml:space="preserve">Productos impresos y publicaciones / Medios impresos / Publicaciones impresas</t>
        </is>
      </c>
      <c r="O11" s="4" t="inlineStr">
        <is>
          <t xml:space="preserve">1 Unidad · Publicaciones periódicas</t>
        </is>
      </c>
      <c r="P11" s="2"/>
      <c r="Q11" s="2"/>
      <c r="R11" s="0" t="inlineStr">
        <is>
          <t xml:space="preserve">12 meses</t>
        </is>
      </c>
      <c r="S11" s="0" t="inlineStr">
        <is>
          <t xml:space="preserve">No</t>
        </is>
      </c>
      <c r="T11" s="4"/>
      <c r="U11" s="0" t="inlineStr">
        <is>
          <t xml:space="preserve">Ana Karina Duarte</t>
        </is>
      </c>
      <c r="V11" s="4" t="inlineStr">
        <is>
          <t xml:space="preserve">Servicio de información de remuneraciones y prácticas de compensación mediante plataforma tecnológica para InvestChile, por un período de 12 meses.</t>
        </is>
      </c>
      <c r="W11"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12">
      <c r="A12" s="0" t="inlineStr">
        <is>
          <t xml:space="preserve">1002-84-LP26</t>
        </is>
      </c>
      <c r="B12" s="4" t="inlineStr">
        <is>
          <t xml:space="preserve">ADQUISICION DE TABLERO DE MADERA PRESERVADA CON HERRAJE</t>
        </is>
      </c>
      <c r="C12" s="0" t="inlineStr">
        <is>
          <t xml:space="preserve">Publicada</t>
        </is>
      </c>
      <c r="D12" s="0" t="inlineStr">
        <is>
          <t xml:space="preserve">MINISTERIO DE OBRAS PUBLICAS DIREC CION GRAL DE OO PP DCYF</t>
        </is>
      </c>
      <c r="E12" s="0" t="inlineStr">
        <is>
          <t xml:space="preserve">Dirección de Vialidad - X Región - Dirección Regional</t>
        </is>
      </c>
      <c r="F12" s="0" t="inlineStr">
        <is>
          <t xml:space="preserve">Región de los Lagos </t>
        </is>
      </c>
      <c r="G12" s="0" t="inlineStr">
        <is>
          <t xml:space="preserve">Puerto Montt</t>
        </is>
      </c>
      <c r="H12" s="2">
        <v>46287.611759</v>
      </c>
      <c r="I12" s="2">
        <v>46303.583333</v>
      </c>
      <c r="J12" s="0">
        <v>15</v>
      </c>
      <c r="K12" s="3"/>
      <c r="L12" s="0" t="inlineStr">
        <is>
          <t xml:space="preserve">CLP</t>
        </is>
      </c>
      <c r="M12" s="0" t="inlineStr">
        <is>
          <t xml:space="preserve">LP</t>
        </is>
      </c>
      <c r="N12" s="4" t="inlineStr">
        <is>
          <t xml:space="preserve">Artículos para estructuras, obras y construcciones / Materiales estructurales básicos / Productos estructurales</t>
        </is>
      </c>
      <c r="O12" s="4" t="inlineStr">
        <is>
          <t xml:space="preserve">1 Unidad · Vigas de madera</t>
        </is>
      </c>
      <c r="P12" s="2"/>
      <c r="Q12" s="2"/>
      <c r="R12" s="0"/>
      <c r="S12" s="0" t="inlineStr">
        <is>
          <t xml:space="preserve">No</t>
        </is>
      </c>
      <c r="T12" s="4" t="inlineStr">
        <is>
          <t xml:space="preserve">La Empresa adjudicada no puede traspasar a Terceros la responsabilidad del suministro de los productos ofertados.</t>
        </is>
      </c>
      <c r="U12" s="0" t="inlineStr">
        <is>
          <t xml:space="preserve">FERNANDA NUÑEZ JORQUERA</t>
        </is>
      </c>
      <c r="V12" s="4" t="inlineStr">
        <is>
          <t xml:space="preserve">Destinado a la reposición del tablero del puente Maicolpue, ubicado en el Sector Maicolpue, comuna de San Juan de la Costa, provincia de Osorno</t>
        </is>
      </c>
      <c r="W12"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13">
      <c r="A13" s="0" t="inlineStr">
        <is>
          <t xml:space="preserve">1051173-14-LE26</t>
        </is>
      </c>
      <c r="B13" s="4" t="inlineStr">
        <is>
          <t xml:space="preserve">SERVICIO DE ENLACE DE DATOS DE RESPALDO</t>
        </is>
      </c>
      <c r="C13" s="0" t="inlineStr">
        <is>
          <t xml:space="preserve">Publicada</t>
        </is>
      </c>
      <c r="D13" s="0" t="inlineStr">
        <is>
          <t xml:space="preserve">MINISTERIO SECRETARIA GENERAL DE LA PRESIDENCIA DE LA REPUBLICA</t>
        </is>
      </c>
      <c r="E13" s="0" t="inlineStr">
        <is>
          <t xml:space="preserve">Ministerio Secretaria General de la Presidencia</t>
        </is>
      </c>
      <c r="F13" s="0" t="inlineStr">
        <is>
          <t xml:space="preserve">Región Metropolitana de Santiago</t>
        </is>
      </c>
      <c r="G13" s="0" t="inlineStr">
        <is>
          <t xml:space="preserve">Santiago</t>
        </is>
      </c>
      <c r="H13" s="2">
        <v>46287.63625</v>
      </c>
      <c r="I13" s="2">
        <v>46303.729167</v>
      </c>
      <c r="J13" s="0">
        <v>15</v>
      </c>
      <c r="K13" s="3"/>
      <c r="L13" s="0" t="inlineStr">
        <is>
          <t xml:space="preserve">CLF</t>
        </is>
      </c>
      <c r="M13" s="0" t="inlineStr">
        <is>
          <t xml:space="preserve">LE</t>
        </is>
      </c>
      <c r="N13" s="4" t="inlineStr">
        <is>
          <t xml:space="preserve">Tecnologías de la información, telecomunicaciones y radiodifusión / Equipos, plataformas y accesorios de redes multimedia, voz y datos / Equipos de servicio de red</t>
        </is>
      </c>
      <c r="O13" s="4" t="inlineStr">
        <is>
          <t xml:space="preserve">1 Unidad no definida · Unidades de servicio de datos o canales de red</t>
        </is>
      </c>
      <c r="P13" s="2"/>
      <c r="Q13" s="2"/>
      <c r="R13" s="0" t="inlineStr">
        <is>
          <t xml:space="preserve">27 meses</t>
        </is>
      </c>
      <c r="S13" s="0" t="inlineStr">
        <is>
          <t xml:space="preserve">No</t>
        </is>
      </c>
      <c r="T13" s="4" t="inlineStr">
        <is>
          <t xml:space="preserve">El proveedor adjudicado no podrá subcontratar totalmente los servicios licitados.
No obstante, previa autorización del Ministerio, el proveedor adjudicado podrá concertar con terceros la subcontratación parcial del contrato.</t>
        </is>
      </c>
      <c r="U13" s="0" t="inlineStr">
        <is>
          <t xml:space="preserve">Jorge Romero Vargas</t>
        </is>
      </c>
      <c r="V13"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13"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14">
      <c r="A14" s="0" t="inlineStr">
        <is>
          <t xml:space="preserve">610-19-LE26</t>
        </is>
      </c>
      <c r="B14" s="4" t="inlineStr">
        <is>
          <t xml:space="preserve">Base de datos Plexos del Sistema Eléctrico Nacional</t>
        </is>
      </c>
      <c r="C14" s="0" t="inlineStr">
        <is>
          <t xml:space="preserve">Publicada</t>
        </is>
      </c>
      <c r="D14" s="0" t="inlineStr">
        <is>
          <t xml:space="preserve">Comisión Nacional de Energía</t>
        </is>
      </c>
      <c r="E14" s="0" t="inlineStr">
        <is>
          <t xml:space="preserve">Comisión Nacional de Energía</t>
        </is>
      </c>
      <c r="F14" s="0" t="inlineStr">
        <is>
          <t xml:space="preserve">Región Metropolitana de Santiago</t>
        </is>
      </c>
      <c r="G14" s="0" t="inlineStr">
        <is>
          <t xml:space="preserve">Santiago Centro</t>
        </is>
      </c>
      <c r="H14" s="2">
        <v>46287.700972</v>
      </c>
      <c r="I14" s="2">
        <v>46304.666667</v>
      </c>
      <c r="J14" s="0">
        <v>16</v>
      </c>
      <c r="K14" s="3">
        <v>50000000.0</v>
      </c>
      <c r="L14" s="0" t="inlineStr">
        <is>
          <t xml:space="preserve">CLP</t>
        </is>
      </c>
      <c r="M14" s="0" t="inlineStr">
        <is>
          <t xml:space="preserve">LE</t>
        </is>
      </c>
      <c r="N14" s="4" t="inlineStr">
        <is>
          <t xml:space="preserve">Servicios basados en ingeniería, ciencias sociales y tecnología de la información / Servicios profesionales de ingeniería / Ingeniería eléctrica y electrónica</t>
        </is>
      </c>
      <c r="O14" s="4" t="inlineStr">
        <is>
          <t xml:space="preserve">1 Unidad · Ingeniería eléctrica</t>
        </is>
      </c>
      <c r="P14" s="2"/>
      <c r="Q14" s="2"/>
      <c r="R14" s="0" t="inlineStr">
        <is>
          <t xml:space="preserve">360 días</t>
        </is>
      </c>
      <c r="S14" s="0" t="inlineStr">
        <is>
          <t xml:space="preserve">No</t>
        </is>
      </c>
      <c r="T14" s="4" t="inlineStr">
        <is>
          <t xml:space="preserve">De acuerdo a lo establecido en Bases de Licitación adjuntas.</t>
        </is>
      </c>
      <c r="U14" s="0" t="inlineStr">
        <is>
          <t xml:space="preserve">Esteban Robles Quiroga</t>
        </is>
      </c>
      <c r="V14"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14"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15">
      <c r="A15" s="0" t="inlineStr">
        <is>
          <t xml:space="preserve">4449-30-LP26</t>
        </is>
      </c>
      <c r="B15" s="4" t="inlineStr">
        <is>
          <t xml:space="preserve">Adquisición de libros a perpetuida para BP Digital</t>
        </is>
      </c>
      <c r="C15" s="0" t="inlineStr">
        <is>
          <t xml:space="preserve">Publicada</t>
        </is>
      </c>
      <c r="D15" s="0" t="inlineStr">
        <is>
          <t xml:space="preserve">SERVICIO NACIONAL DEL PATRIMONIO CULTURAL</t>
        </is>
      </c>
      <c r="E15" s="0" t="inlineStr">
        <is>
          <t xml:space="preserve">SUBDIRECCIÓN DE BIBLIOTECAS PÚBLICAS</t>
        </is>
      </c>
      <c r="F15" s="0" t="inlineStr">
        <is>
          <t xml:space="preserve">Región Metropolitana de Santiago</t>
        </is>
      </c>
      <c r="G15" s="0" t="inlineStr">
        <is>
          <t xml:space="preserve">Santiago Centro</t>
        </is>
      </c>
      <c r="H15" s="2">
        <v>46287.715394</v>
      </c>
      <c r="I15" s="2">
        <v>46308.628472</v>
      </c>
      <c r="J15" s="0">
        <v>20</v>
      </c>
      <c r="K15" s="3">
        <v>73000000.0</v>
      </c>
      <c r="L15" s="0" t="inlineStr">
        <is>
          <t xml:space="preserve">CLP</t>
        </is>
      </c>
      <c r="M15" s="0" t="inlineStr">
        <is>
          <t xml:space="preserve">LP</t>
        </is>
      </c>
      <c r="N15" s="4" t="inlineStr">
        <is>
          <t xml:space="preserve">Productos impresos y publicaciones / Material electrónico de referencia / Publicaciones electrónicas y música</t>
        </is>
      </c>
      <c r="O15" s="4" t="inlineStr">
        <is>
          <t xml:space="preserve">3 Unidad · Libros en casetes o CD · 3 Unidad · Libros en casetes o CD · 3 Unidad · Libros en casetes o CD · y 577 más</t>
        </is>
      </c>
      <c r="P15" s="2"/>
      <c r="Q15" s="2"/>
      <c r="R15" s="0"/>
      <c r="S15" s="0" t="inlineStr">
        <is>
          <t xml:space="preserve">No</t>
        </is>
      </c>
      <c r="T15" s="4"/>
      <c r="U15" s="0" t="inlineStr">
        <is>
          <t xml:space="preserve">Salvador Young</t>
        </is>
      </c>
      <c r="V15" s="4" t="inlineStr">
        <is>
          <t xml:space="preserve">ADQUISICIÓN DE MATERIAL BIBLIOGRÁFICO BAJO LICENCIA A PERPETUIDAD PARA BIBLIOTECA PÚBLICA DIGITAL”</t>
        </is>
      </c>
      <c r="W15"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16">
      <c r="A16" s="0" t="inlineStr">
        <is>
          <t xml:space="preserve">2107-153-LP26</t>
        </is>
      </c>
      <c r="B16" s="4" t="inlineStr">
        <is>
          <t xml:space="preserve">ARRIENDO DE INFRAESTRUCTURA FÍSICA ENTERPRISE PARA PLATAFORMA TECNOLÓGICA INSTITUCIONAL</t>
        </is>
      </c>
      <c r="C16" s="0" t="inlineStr">
        <is>
          <t xml:space="preserve">Publicada</t>
        </is>
      </c>
      <c r="D16" s="0" t="inlineStr">
        <is>
          <t xml:space="preserve">SERVICIO DE SALUD HOSPITAL DE SANTA CRUZ</t>
        </is>
      </c>
      <c r="E16" s="0" t="inlineStr">
        <is>
          <t xml:space="preserve">Hospital de Santa Cruz</t>
        </is>
      </c>
      <c r="F16" s="0" t="inlineStr">
        <is>
          <t xml:space="preserve">Región del Libertador General Bernardo O´Higgins</t>
        </is>
      </c>
      <c r="G16" s="0"/>
      <c r="H16" s="2">
        <v>46287.719167</v>
      </c>
      <c r="I16" s="2">
        <v>46309.645139</v>
      </c>
      <c r="J16" s="0">
        <v>21</v>
      </c>
      <c r="K16" s="3"/>
      <c r="L16" s="0" t="inlineStr">
        <is>
          <t xml:space="preserve">CLP</t>
        </is>
      </c>
      <c r="M16" s="0" t="inlineStr">
        <is>
          <t xml:space="preserve">LP</t>
        </is>
      </c>
      <c r="N16" s="4" t="inlineStr">
        <is>
          <t xml:space="preserve">Tecnologías de la información, telecomunicaciones y radiodifusión / Componentes para tecnología de la información, difusión o telecomunicaciones / Subconjuntos para dispositivos electrónicos</t>
        </is>
      </c>
      <c r="O16" s="4" t="inlineStr">
        <is>
          <t xml:space="preserve">1 Unidad · Componentes de dispositivo de entrada o unidad de almacenamiento</t>
        </is>
      </c>
      <c r="P16" s="2"/>
      <c r="Q16" s="2"/>
      <c r="R16" s="0" t="inlineStr">
        <is>
          <t xml:space="preserve">36 meses</t>
        </is>
      </c>
      <c r="S16" s="0" t="inlineStr">
        <is>
          <t xml:space="preserve">No</t>
        </is>
      </c>
      <c r="T16" s="4"/>
      <c r="U16" s="0" t="inlineStr">
        <is>
          <t xml:space="preserve">Nicolas Salgado</t>
        </is>
      </c>
      <c r="V16" s="4" t="inlineStr">
        <is>
          <t xml:space="preserve">la contratación permitirá mantener la continuidad operacional de los servicios institucionales, disminuyendo riesgos tecnológicos y asegurando la disponibilidad permanente de la información clínica y administrativa</t>
        </is>
      </c>
      <c r="W16"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sheetData>
  <autoFilter ref="A1:W16"/>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1398-96-L126</t>
        </is>
      </c>
      <c r="B2" s="4" t="inlineStr">
        <is>
          <t xml:space="preserve">SERVICIO DE CAPACITACIÓN EN INTELIGENCIA EMOCIONAL PARA ADULTOS MAYORES Y HERRAMIENTAS DIGITALES B-LEARNING</t>
        </is>
      </c>
      <c r="C2" s="0" t="inlineStr">
        <is>
          <t xml:space="preserve">Publicada</t>
        </is>
      </c>
      <c r="D2" s="0" t="inlineStr">
        <is>
          <t xml:space="preserve">SERVICIO DE SALUD LIBERTADOR BDO OHIGGINS</t>
        </is>
      </c>
      <c r="E2" s="0" t="inlineStr">
        <is>
          <t xml:space="preserve">Servicio de Salud Ohiggins</t>
        </is>
      </c>
      <c r="F2" s="0" t="inlineStr">
        <is>
          <t xml:space="preserve">Región del Libertador General Bernardo O´Higgins</t>
        </is>
      </c>
      <c r="G2" s="0" t="inlineStr">
        <is>
          <t xml:space="preserve">Rancagua</t>
        </is>
      </c>
      <c r="H2" s="2">
        <v>46279.445116</v>
      </c>
      <c r="I2" s="2">
        <v>46288.625694</v>
      </c>
      <c r="J2" s="0">
        <v>0</v>
      </c>
      <c r="K2" s="3">
        <v>2458862.0</v>
      </c>
      <c r="L2" s="0" t="inlineStr">
        <is>
          <t xml:space="preserve">CLP</t>
        </is>
      </c>
      <c r="M2" s="0" t="inlineStr">
        <is>
          <t xml:space="preserve">L1</t>
        </is>
      </c>
      <c r="N2" s="4" t="inlineStr">
        <is>
          <t xml:space="preserve">Educación, formación, entrenamiento y capacitación / Sistemas educativos complementarios / Aprendizaje a distancia, Educación, formación, entrenamiento y capacitación / Sistemas educativos complementarios / Educación de adultos</t>
        </is>
      </c>
      <c r="O2" s="4" t="inlineStr">
        <is>
          <t xml:space="preserve">1 Unidad · Capacitación a empleados · 1 Unidad · Programas o cursos no diplomados a distancia</t>
        </is>
      </c>
      <c r="P2" s="2"/>
      <c r="Q2" s="2"/>
      <c r="R2" s="0"/>
      <c r="S2" s="0" t="inlineStr">
        <is>
          <t xml:space="preserve">No</t>
        </is>
      </c>
      <c r="T2" s="4"/>
      <c r="U2" s="0"/>
      <c r="V2"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2" s="5" t="str">
        <f>HYPERLINK("https://www.mercadopublico.cl/Procurement/Modules/Attachment/ViewAttachment.aspx?enc=bt6ujwJXaiEmz9SR4%2fHx%2fNkED9IBf9abdpfhCx42C37Sn7HRmP%2bMz%2bhHIhNnI7t3jbcrrI%2bqb1I%2fFidA6%2fpqm3648UHaiZnbmPUkzeW9uB8zF6k52o5v%2fOD37Rc8lCHk8xn4UkVB61FWjjiHhcJIOd5NdQPXg0gn%2blKCt3JkRk9nJHpZt0Ontmj8eoS%2fh%2ft9lARfvQyMymhNJYCECCuWngevux5WbUH%2f1uPXjCmzQ07Ue201QLmkEAfHAUykscfMG%2fQ3o%2b18XiHj9UbsgvStEPGKpaiTbOeOfG8T4owppzEsJvNfgoAv6aJLm99Jss5n","descargar bases")</f>
      </c>
    </row>
    <row r="3">
      <c r="A3" s="0" t="inlineStr">
        <is>
          <t xml:space="preserve">85-41-LE26</t>
        </is>
      </c>
      <c r="B3" s="4" t="inlineStr">
        <is>
          <t xml:space="preserve">PLATAFORMA INTEGRAL SOPORTE TI CON CONTROL REMOTO</t>
        </is>
      </c>
      <c r="C3" s="0" t="inlineStr">
        <is>
          <t xml:space="preserve">Publicada</t>
        </is>
      </c>
      <c r="D3" s="0" t="inlineStr">
        <is>
          <t xml:space="preserve">JUNTA NACIONAL DE AUXILIO ESCOLAR Y BECA</t>
        </is>
      </c>
      <c r="E3" s="0" t="inlineStr">
        <is>
          <t xml:space="preserve">JUNTA NACIONAL DE AUXILIO ESCOLAR Y BECA</t>
        </is>
      </c>
      <c r="F3" s="0" t="inlineStr">
        <is>
          <t xml:space="preserve">Región Metropolitana de Santiago</t>
        </is>
      </c>
      <c r="G3" s="0" t="inlineStr">
        <is>
          <t xml:space="preserve">Santiago Centro</t>
        </is>
      </c>
      <c r="H3" s="2">
        <v>46268.654861</v>
      </c>
      <c r="I3" s="2">
        <v>46288.625694</v>
      </c>
      <c r="J3" s="0">
        <v>0</v>
      </c>
      <c r="K3" s="3"/>
      <c r="L3" s="0" t="inlineStr">
        <is>
          <t xml:space="preserve">CLP</t>
        </is>
      </c>
      <c r="M3" s="0" t="inlineStr">
        <is>
          <t xml:space="preserve">LE</t>
        </is>
      </c>
      <c r="N3" s="4" t="inlineStr">
        <is>
          <t xml:space="preserve">Tecnologías de la información, telecomunicaciones y radiodifusión / Software / Programas de desarrollo</t>
        </is>
      </c>
      <c r="O3" s="4" t="inlineStr">
        <is>
          <t xml:space="preserve">1 Unidad · Software de desarrollo de plataforma Web</t>
        </is>
      </c>
      <c r="P3" s="2"/>
      <c r="Q3" s="2"/>
      <c r="R3" s="0" t="inlineStr">
        <is>
          <t xml:space="preserve">36 meses</t>
        </is>
      </c>
      <c r="S3" s="0" t="inlineStr">
        <is>
          <t xml:space="preserve">No</t>
        </is>
      </c>
      <c r="T3" s="4" t="inlineStr">
        <is>
          <t xml:space="preserve">SEGÚN LO INDICADO EN EL TÍTULO 19 DE LAS BASES ADMINISTRATIVAS.</t>
        </is>
      </c>
      <c r="U3" s="0" t="inlineStr">
        <is>
          <t xml:space="preserve">Fernando Peña Rivera</t>
        </is>
      </c>
      <c r="V3"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3" s="5" t="str">
        <f>HYPERLINK("https://www.mercadopublico.cl/Procurement/Modules/Attachment/ViewAttachment.aspx?enc=IrLpCkV2sHkPsv7DaVPVXtUscBt6i3SkIhmKERPCnhJ%2ffd6wuqIIA0ZGKZfcr5TjH8GFD%2b5ybU4X9Eiy3oNPCzapIReL5oLUVmJJb6LH4BRBa2YB4ZM50Vs7QE37KvGbut1UDlGfDzwi8Fp62R61wt7sHqJNS9txiMEdRrZNJeiKfGRk8M9tUqcQoDpJDa0ZNa1QBKWplprA3MOKOrRVi%2b8WCGaa3DXlQDryaF%2b62YxEspLvHfIqf%2buzYhvYvMBXNE5tSO%2bDpwp5FzJMNvhbzwQilgebJDLnnoI8t535as13wOKPJPeTe5U3%2fVdcJsjO","descargar bases")</f>
      </c>
    </row>
    <row r="4">
      <c r="A4" s="0" t="inlineStr">
        <is>
          <t xml:space="preserve">875-7-LE26</t>
        </is>
      </c>
      <c r="B4" s="4" t="inlineStr">
        <is>
          <t xml:space="preserve">SERV. INFORMES Y PLATAFORMA DE PROYECTOS INVERSIÓN</t>
        </is>
      </c>
      <c r="C4" s="0" t="inlineStr">
        <is>
          <t xml:space="preserve">Publicada</t>
        </is>
      </c>
      <c r="D4" s="0" t="inlineStr">
        <is>
          <t xml:space="preserve">AGENCIA DE PROMOCION DE LA INVERSION EXTRANJERA</t>
        </is>
      </c>
      <c r="E4" s="0" t="inlineStr">
        <is>
          <t xml:space="preserve">Agencia de Promoción de la Inversión Extranjera</t>
        </is>
      </c>
      <c r="F4" s="0" t="inlineStr">
        <is>
          <t xml:space="preserve">Región Metropolitana de Santiago</t>
        </is>
      </c>
      <c r="G4" s="0" t="inlineStr">
        <is>
          <t xml:space="preserve">Santiago</t>
        </is>
      </c>
      <c r="H4" s="2">
        <v>46273.666088</v>
      </c>
      <c r="I4" s="2">
        <v>46288.625694</v>
      </c>
      <c r="J4" s="0">
        <v>0</v>
      </c>
      <c r="K4" s="3">
        <v>440.0</v>
      </c>
      <c r="L4" s="0" t="inlineStr">
        <is>
          <t xml:space="preserve">CLF</t>
        </is>
      </c>
      <c r="M4" s="0" t="inlineStr">
        <is>
          <t xml:space="preserve">LE</t>
        </is>
      </c>
      <c r="N4" s="4" t="inlineStr">
        <is>
          <t xml:space="preserve">Productos impresos y publicaciones / Medios impresos / Publicaciones impresas</t>
        </is>
      </c>
      <c r="O4" s="4" t="inlineStr">
        <is>
          <t xml:space="preserve">1 Unidad · Publicaciones periódicas</t>
        </is>
      </c>
      <c r="P4" s="2"/>
      <c r="Q4" s="2"/>
      <c r="R4" s="0" t="inlineStr">
        <is>
          <t xml:space="preserve">12 meses</t>
        </is>
      </c>
      <c r="S4" s="0" t="inlineStr">
        <is>
          <t xml:space="preserve">No</t>
        </is>
      </c>
      <c r="T4" s="4"/>
      <c r="U4" s="0" t="inlineStr">
        <is>
          <t xml:space="preserve">Ana Karina Duarte</t>
        </is>
      </c>
      <c r="V4" s="4" t="inlineStr">
        <is>
          <t xml:space="preserve">SERVICIO DE ELABORACIÓN Y ENTREGA DE INFORMES DE PROYECTOS DE INVERSIÓN EN CHILE Y ACCESO A UNA PLATAFORMA ONLINE DE SEGUIMIENTO DE PROYECTOS DE INVERSIÓN PARA LA AGENCIA DE PROMOCIÓN DE LA INVERSIÓN EXTRANJERA</t>
        </is>
      </c>
      <c r="W4" s="5" t="str">
        <f>HYPERLINK("https://www.mercadopublico.cl/Procurement/Modules/Attachment/ViewAttachment.aspx?enc=kz181BFnJ4h%2bs5UilBc7cdDEWm7ve9%2brdLsprBN8grhHmPzPU2THiXK2wVq%2bZPArPl1gg2Kpw7WK4jOYMhMqkKNiM5ehb7DLdIR681qKJwPnef5N79Cx0L3M4ipG41MGtlPEyIXJ%2fKk5amvMKtwuaNZVxfWRz%2frN7mq4IQSpswKG%2bRDmQL8aCRfg0ayRwZSmRQmAx1SAnEW8jssw%2fMb8utuZuTdiK%2fSPugMUfsdmV7jRMzxezgm4wKUefs7V2aSVcqXbm10d0diWZztZ6UjhZ8PO9tyP1gfg5e%2fbOVXsZs59k5ReYfJ4voBFi5Vo15wL","descargar bases")</f>
      </c>
    </row>
    <row r="5">
      <c r="A5" s="0" t="inlineStr">
        <is>
          <t xml:space="preserve">2460-105-LE26</t>
        </is>
      </c>
      <c r="B5" s="4" t="inlineStr">
        <is>
          <t xml:space="preserve">Curso Inteligencia Artificial en el Sector Público</t>
        </is>
      </c>
      <c r="C5" s="0" t="inlineStr">
        <is>
          <t xml:space="preserve">Publicada</t>
        </is>
      </c>
      <c r="D5" s="0" t="inlineStr">
        <is>
          <t xml:space="preserve">I MUNICIPALIDAD DE PROVIDENCIA</t>
        </is>
      </c>
      <c r="E5" s="0" t="inlineStr">
        <is>
          <t xml:space="preserve">Dirección de Administración y Finanzas</t>
        </is>
      </c>
      <c r="F5" s="0" t="inlineStr">
        <is>
          <t xml:space="preserve">Región Metropolitana de Santiago</t>
        </is>
      </c>
      <c r="G5" s="0" t="inlineStr">
        <is>
          <t xml:space="preserve">Providencia</t>
        </is>
      </c>
      <c r="H5" s="2">
        <v>46273.787743</v>
      </c>
      <c r="I5" s="2">
        <v>46288.6875</v>
      </c>
      <c r="J5" s="0">
        <v>0</v>
      </c>
      <c r="K5" s="3">
        <v>2750000.0</v>
      </c>
      <c r="L5" s="0" t="inlineStr">
        <is>
          <t xml:space="preserve">CLP</t>
        </is>
      </c>
      <c r="M5" s="0" t="inlineStr">
        <is>
          <t xml:space="preserve">LE</t>
        </is>
      </c>
      <c r="N5" s="4" t="inlineStr">
        <is>
          <t xml:space="preserve">Educación, formación, entrenamiento y capacitación / Sistemas educativos complementarios / Educación de adultos</t>
        </is>
      </c>
      <c r="O5" s="4" t="inlineStr">
        <is>
          <t xml:space="preserve">1 Global · Capacitación a empleados</t>
        </is>
      </c>
      <c r="P5" s="2"/>
      <c r="Q5" s="2"/>
      <c r="R5" s="0"/>
      <c r="S5" s="0" t="inlineStr">
        <is>
          <t xml:space="preserve">No</t>
        </is>
      </c>
      <c r="T5" s="4"/>
      <c r="U5" s="0" t="inlineStr">
        <is>
          <t xml:space="preserve">Ingrid Bravo Poblete</t>
        </is>
      </c>
      <c r="V5"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5" s="5" t="str">
        <f>HYPERLINK("https://www.mercadopublico.cl/Procurement/Modules/Attachment/ViewAttachment.aspx?enc=4xoRlDyUO%2fSbLj%2fabAJCYJtJ0qll4kPu14heLSF2SW12V8LCHwzPlF7EYePPWCeZvBlrC%2fa8kWwu%2fwrfRWM2xXsP5VunWaWc3tdQrGBjP%2bhmPuAWAlRvUNCnvwSn3YYghavNCGtoUB5yqRj2sBJzmCg5MmkcNBS%2bnTT1kE0qMMre8RSqSJA%2fUJ3im%2bb485hPuCjSQXYjmcp9PUjtZfNKAzfyFjPzb7i7c%2bTCjz6Wk7mjr%2bd6t1Td%2fR41k26VyKkDoFIXrPplvcEPAjD6sAI48JUiY7PafH6s9Dg1Qy5w8GoVQP24MAr79Cz3o4%2f2mZR2","descargar bases")</f>
      </c>
    </row>
    <row r="6">
      <c r="A6" s="0" t="inlineStr">
        <is>
          <t xml:space="preserve">3530-20-L126</t>
        </is>
      </c>
      <c r="B6" s="4" t="inlineStr">
        <is>
          <t xml:space="preserve">Servicio de mantenimiento y reparación para el reemplazo del tablero eléctrico.</t>
        </is>
      </c>
      <c r="C6" s="0" t="inlineStr">
        <is>
          <t xml:space="preserve">Publicada</t>
        </is>
      </c>
      <c r="D6" s="0" t="inlineStr">
        <is>
          <t xml:space="preserve">DIVISION LOGISTICA DEL EJERCITO</t>
        </is>
      </c>
      <c r="E6" s="0" t="inlineStr">
        <is>
          <t xml:space="preserve">Regimiento N 2 "Maipo"</t>
        </is>
      </c>
      <c r="F6" s="0" t="inlineStr">
        <is>
          <t xml:space="preserve">Región de Valparaíso </t>
        </is>
      </c>
      <c r="G6" s="0" t="inlineStr">
        <is>
          <t xml:space="preserve">Valparaíso</t>
        </is>
      </c>
      <c r="H6" s="2">
        <v>46279.464444</v>
      </c>
      <c r="I6" s="2">
        <v>46288.708333</v>
      </c>
      <c r="J6" s="0">
        <v>0</v>
      </c>
      <c r="K6" s="3">
        <v>4000000.0</v>
      </c>
      <c r="L6" s="0" t="inlineStr">
        <is>
          <t xml:space="preserve">CLP</t>
        </is>
      </c>
      <c r="M6" s="0" t="inlineStr">
        <is>
          <t xml:space="preserve">L1</t>
        </is>
      </c>
      <c r="N6" s="4" t="inlineStr">
        <is>
          <t xml:space="preserve">Maquinaria para generación y distribución de energía / Generación de energía / Equipo para control de producción de energía</t>
        </is>
      </c>
      <c r="O6" s="4" t="inlineStr">
        <is>
          <t xml:space="preserve">1 Unidad · Paneles de control eléctrico para generadores</t>
        </is>
      </c>
      <c r="P6" s="2"/>
      <c r="Q6" s="2"/>
      <c r="R6" s="0"/>
      <c r="S6" s="0" t="inlineStr">
        <is>
          <t xml:space="preserve">No</t>
        </is>
      </c>
      <c r="T6" s="4"/>
      <c r="U6" s="0"/>
      <c r="V6" s="4" t="inlineStr">
        <is>
          <t xml:space="preserve">Servicio de mantenimiento y reparación para el reemplazo del tablero eléctrico, perteneciente al Regimiento N.º 2 "Maipo"</t>
        </is>
      </c>
      <c r="W6" s="5" t="str">
        <f>HYPERLINK("https://www.mercadopublico.cl/Procurement/Modules/Attachment/ViewAttachment.aspx?enc=VeEHV64RUx4T%2bVhLX51reii6gHzVg12NQlgeIJmetBz4sO9h1xLOd%2b2xf84UNWgJkB6Ru3BGNoFN8B7f%2bGx4FOqLYf3of5FCph%2fgyAfqWKRsj6%2fsX%2flY1WrFZAx%2bNrZqDHRcAD%2bgAL%2fwMba9Arb09NZlkm5nKp1cgx25RfV8wG9UxLTmfFpdBg94pQ3j7GDJZKsq7BetZigyXGZociKSjBaeYCyxCG4wUq64SJ5M5KdX4UvGFqacVTiG9u%2b318JgmJknrjScvq5qX%2fCZHW%2ftRUf8eRLYde46M9uW0e8JqcX6%2fFKTT0FWZKYJ%2fLL8Uijj","descargar bases")</f>
      </c>
    </row>
    <row r="7">
      <c r="A7" s="0" t="inlineStr">
        <is>
          <t xml:space="preserve">2852-56-LE26</t>
        </is>
      </c>
      <c r="B7" s="4" t="inlineStr">
        <is>
          <t xml:space="preserve">DIGITALIZACIÓN Y CARGA DE DOCUMENTOS EN PLATAFORMA</t>
        </is>
      </c>
      <c r="C7" s="0" t="inlineStr">
        <is>
          <t xml:space="preserve">Publicada</t>
        </is>
      </c>
      <c r="D7" s="0" t="inlineStr">
        <is>
          <t xml:space="preserve">I MUNICIPALIDAD DE PUERTO VARAS</t>
        </is>
      </c>
      <c r="E7" s="0" t="inlineStr">
        <is>
          <t xml:space="preserve">Adquisiciones Municipalidad</t>
        </is>
      </c>
      <c r="F7" s="0" t="inlineStr">
        <is>
          <t xml:space="preserve">Región de los Lagos </t>
        </is>
      </c>
      <c r="G7" s="0" t="inlineStr">
        <is>
          <t xml:space="preserve">Puerto Varas</t>
        </is>
      </c>
      <c r="H7" s="2">
        <v>46279.637708</v>
      </c>
      <c r="I7" s="2">
        <v>46289.555556</v>
      </c>
      <c r="J7" s="0">
        <v>1</v>
      </c>
      <c r="K7" s="3"/>
      <c r="L7" s="0" t="inlineStr">
        <is>
          <t xml:space="preserve">CLP</t>
        </is>
      </c>
      <c r="M7" s="0" t="inlineStr">
        <is>
          <t xml:space="preserve">LE</t>
        </is>
      </c>
      <c r="N7" s="4" t="inlineStr">
        <is>
          <t xml:space="preserve">Servicios basados en ingeniería, ciencias sociales y tecnología de la información / Servicios informáticos / Servicios de datos</t>
        </is>
      </c>
      <c r="O7" s="4" t="inlineStr">
        <is>
          <t xml:space="preserve">1 Unidad · Servicios de digitalización de documentos</t>
        </is>
      </c>
      <c r="P7" s="2"/>
      <c r="Q7" s="2"/>
      <c r="R7" s="0"/>
      <c r="S7" s="0" t="inlineStr">
        <is>
          <t xml:space="preserve">No</t>
        </is>
      </c>
      <c r="T7" s="4"/>
      <c r="U7" s="0" t="inlineStr">
        <is>
          <t xml:space="preserve">Julian Mingo</t>
        </is>
      </c>
      <c r="V7"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7" s="5" t="str">
        <f>HYPERLINK("https://www.mercadopublico.cl/Procurement/Modules/Attachment/ViewAttachment.aspx?enc=gSFyeXkSuByWgV85JSh1d9ULNkjrdHG4Qfh9t7AM88swWp1y3SSX26mxCPfSg%2f%2bdcFc%2bXtiUAri7F9pWb1uR8ol%2b36agMBC9I1QkoPiWpUECFAEq%2bYfHKVQgzumOVmBRS0eqlk4eMctKKQS%2fiA9HvCYS1H1PZQruo76ZXU13iXLKZB5uxRzAyA40%2bzwhPW7qjkHwYvaiHjlENu6jyeLnk%2bY0KC161nHpko%2bSHbgBNEfte8afchi45j0eBmnt6V%2b0P0Z7DqSAHmdx2%2bK1BKNZ5LxvHEE1%2buwYyST16tBnlwY1QA2tGW%2b2KPRMGefni8fs","descargar bases")</f>
      </c>
    </row>
    <row r="8">
      <c r="A8" s="0" t="inlineStr">
        <is>
          <t xml:space="preserve">1020-40-LP26</t>
        </is>
      </c>
      <c r="B8" s="4" t="inlineStr">
        <is>
          <t xml:space="preserve">Serv.Cloud Amazon Web Services AWS o Equivalente</t>
        </is>
      </c>
      <c r="C8" s="0" t="inlineStr">
        <is>
          <t xml:space="preserve">Publicada</t>
        </is>
      </c>
      <c r="D8" s="0" t="inlineStr">
        <is>
          <t xml:space="preserve">MINISTERIO DE OBRAS PUBLICAS DIREC CION GRAL DE OO PP DCYF</t>
        </is>
      </c>
      <c r="E8" s="0" t="inlineStr">
        <is>
          <t xml:space="preserve">MOP Subsecretaría </t>
        </is>
      </c>
      <c r="F8" s="0" t="inlineStr">
        <is>
          <t xml:space="preserve">Región Metropolitana de Santiago</t>
        </is>
      </c>
      <c r="G8" s="0"/>
      <c r="H8" s="2">
        <v>46254.652083</v>
      </c>
      <c r="I8" s="2">
        <v>46289.625</v>
      </c>
      <c r="J8" s="0">
        <v>1</v>
      </c>
      <c r="K8" s="3">
        <v>295121.0</v>
      </c>
      <c r="L8" s="0" t="inlineStr">
        <is>
          <t xml:space="preserve">USD</t>
        </is>
      </c>
      <c r="M8" s="0" t="inlineStr">
        <is>
          <t xml:space="preserve">LP</t>
        </is>
      </c>
      <c r="N8" s="4" t="inlineStr">
        <is>
          <t xml:space="preserve">Tecnologías de la información, telecomunicaciones y radiodifusión / Software / Software de consultas y gestión de datos</t>
        </is>
      </c>
      <c r="O8" s="4" t="inlineStr">
        <is>
          <t xml:space="preserve">1 Unidad · Software del sistema de administración de bases de datos</t>
        </is>
      </c>
      <c r="P8" s="2"/>
      <c r="Q8" s="2"/>
      <c r="R8" s="0" t="inlineStr">
        <is>
          <t xml:space="preserve">36 meses</t>
        </is>
      </c>
      <c r="S8" s="0" t="inlineStr">
        <is>
          <t xml:space="preserve">No</t>
        </is>
      </c>
      <c r="T8" s="4" t="inlineStr">
        <is>
          <t xml:space="preserve">Ver numeral 10.5 de las Bases Administrativas, en archivo adjunto.</t>
        </is>
      </c>
      <c r="U8" s="0" t="inlineStr">
        <is>
          <t xml:space="preserve">Carmen Gloria Ponce Pérez</t>
        </is>
      </c>
      <c r="V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 s="5" t="str">
        <f>HYPERLINK("https://www.mercadopublico.cl/Procurement/Modules/Attachment/ViewAttachment.aspx?enc=Ze2Xuwu34zAEhulzi%2fB0GumYrTfp%2fIz75Qfpz2zTL1rSQMALlC9qkpktnxnDUEooovLORZ3OetmWLGkTqJggCmmLdthcyS7cDGoyTCgYa7FSTX%2fDoL6IeDoLlYQvGPfMos75iYPMa72anH0i5KItcggkCi0SNctt1jQ%2b9702RIHeiQgDu17979%2fVOZgVI6WMb1sjxKei%2bK5M38BK0CcqtQbBh%2bUst15VWd%2blr8%2buiTFuNR%2fSi2jw4GJ1hXabhyc1S%2bv7UIP7Lf%2fMNGbDpWLgoledB1IAMHzwyJslonlH%2btH2e0MqCjhTIRRLaVxELgTU","descargar bases")</f>
      </c>
    </row>
    <row r="9">
      <c r="A9" s="0" t="inlineStr">
        <is>
          <t xml:space="preserve">1233619-44-LE26</t>
        </is>
      </c>
      <c r="B9" s="4" t="inlineStr">
        <is>
          <t xml:space="preserve">ADQUISICIÓN DE LICENCIAS DE SOFTWARE PARA EL SERVICIO LOCAL MAULE COSTA</t>
        </is>
      </c>
      <c r="C9" s="0" t="inlineStr">
        <is>
          <t xml:space="preserve">Publicada</t>
        </is>
      </c>
      <c r="D9" s="0" t="inlineStr">
        <is>
          <t xml:space="preserve">SERVICIO LOCAL DE EDUCACIÓN PÚBLICA MAULE COSTA</t>
        </is>
      </c>
      <c r="E9" s="0" t="inlineStr">
        <is>
          <t xml:space="preserve">SERVICIO LOCAL DE EDUCACIÓN PÚBLICA MAULE COSTA</t>
        </is>
      </c>
      <c r="F9" s="0" t="inlineStr">
        <is>
          <t xml:space="preserve">Región del Maule </t>
        </is>
      </c>
      <c r="G9" s="0" t="inlineStr">
        <is>
          <t xml:space="preserve">Cauquenes</t>
        </is>
      </c>
      <c r="H9" s="2">
        <v>46279.402639</v>
      </c>
      <c r="I9" s="2">
        <v>46289.625</v>
      </c>
      <c r="J9" s="0">
        <v>1</v>
      </c>
      <c r="K9" s="3">
        <v>30000000.0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11 Unidad · Software de gestión de licencias · 1 Unidad · Software de gestión de licencias · 109 Unidad · Software de gestión de licencias · y 8 más</t>
        </is>
      </c>
      <c r="P9" s="2"/>
      <c r="Q9" s="2"/>
      <c r="R9" s="0" t="inlineStr">
        <is>
          <t xml:space="preserve">12 meses</t>
        </is>
      </c>
      <c r="S9" s="0" t="inlineStr">
        <is>
          <t xml:space="preserve">No</t>
        </is>
      </c>
      <c r="T9" s="4" t="inlineStr">
        <is>
          <t xml:space="preserve">De acuerdo a lo establecido en el numeral 19 de las bases de licitación</t>
        </is>
      </c>
      <c r="U9" s="0" t="inlineStr">
        <is>
          <t xml:space="preserve">María Amigo Bravo</t>
        </is>
      </c>
      <c r="V9" s="4" t="inlineStr">
        <is>
          <t xml:space="preserve">ADQUISICIÓN DE LICENCIAS DE SOFTWARE PARA EL SERVICIO LOCAL MAULE COSTA</t>
        </is>
      </c>
      <c r="W9" s="5" t="str">
        <f>HYPERLINK("https://www.mercadopublico.cl/Procurement/Modules/Attachment/ViewAttachment.aspx?enc=mgTB31PJ8pULq7kfMbp8gVbAStcPVaW%2bWFKQr3ZkrWTaYCZ32c74yjWJgEMidefJs9LsqC9IxGgHTFBues0oWMQxU4SfYt%2f%2fs051u%2fqhSUbT3IvxH1YqMoDfX%2bgh55HyZJs2%2b5z4J%2bTwilT01Z1FlJra%2fYHcZ8p2U%2buVGFDHXX9IsEwM5Sth4GNIl%2fLZXjxDqOmp4eA4mmLCn3rR0vJW7Ea6RfpyfvbxhFEp%2bHhvtPE%2fqZHDTtbxlcL1PcAn3TNr1sD30g45CPnkd2xarmE4aHYNrskCrt1NKYH5y2IDK2BW4f1MPzbIGbjRDnIaAI0r","descargar bases")</f>
      </c>
    </row>
    <row r="10">
      <c r="A10" s="0" t="inlineStr">
        <is>
          <t xml:space="preserve">2200-23-LR26</t>
        </is>
      </c>
      <c r="B10" s="4" t="inlineStr">
        <is>
          <t xml:space="preserve">SERVICIO DE ARRIENDO DE SOFTWARE DE REGISTRO CLÍNICO ELECTRÓNICO RCE ATENCIÓN PRIMARIA - TIC</t>
        </is>
      </c>
      <c r="C10" s="0" t="inlineStr">
        <is>
          <t xml:space="preserve">Publicada</t>
        </is>
      </c>
      <c r="D10" s="0" t="inlineStr">
        <is>
          <t xml:space="preserve">SERVICIO DE SALUD ACONCAGUA</t>
        </is>
      </c>
      <c r="E10" s="0" t="inlineStr">
        <is>
          <t xml:space="preserve">Servicio de Salud Aconcagua</t>
        </is>
      </c>
      <c r="F10" s="0" t="inlineStr">
        <is>
          <t xml:space="preserve">Región de Valparaíso </t>
        </is>
      </c>
      <c r="G10" s="0" t="inlineStr">
        <is>
          <t xml:space="preserve">San Felipe</t>
        </is>
      </c>
      <c r="H10" s="2">
        <v>46259.424259</v>
      </c>
      <c r="I10" s="2">
        <v>46289.625</v>
      </c>
      <c r="J10" s="0">
        <v>1</v>
      </c>
      <c r="K10" s="3"/>
      <c r="L10" s="0" t="inlineStr">
        <is>
          <t xml:space="preserve">CLP</t>
        </is>
      </c>
      <c r="M10" s="0" t="inlineStr">
        <is>
          <t xml:space="preserve">LR</t>
        </is>
      </c>
      <c r="N10" s="4" t="inlineStr">
        <is>
          <t xml:space="preserve">Servicios profesionales, administrativos y consultorías de gestión empresarial / Servicios de recursos humanos / Contratación de personal</t>
        </is>
      </c>
      <c r="O10" s="4" t="inlineStr">
        <is>
          <t xml:space="preserve">1700 Unidad · Desarrolladores de software</t>
        </is>
      </c>
      <c r="P10" s="2"/>
      <c r="Q10" s="2"/>
      <c r="R10" s="0" t="inlineStr">
        <is>
          <t xml:space="preserve">18 meses</t>
        </is>
      </c>
      <c r="S10" s="0" t="inlineStr">
        <is>
          <t xml:space="preserve">No</t>
        </is>
      </c>
      <c r="T10" s="4"/>
      <c r="U10" s="0" t="inlineStr">
        <is>
          <t xml:space="preserve">MASIEL BALBOA GONZALEZ</t>
        </is>
      </c>
      <c r="V10"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0" s="5" t="str">
        <f>HYPERLINK("https://www.mercadopublico.cl/Procurement/Modules/Attachment/ViewAttachment.aspx?enc=5E03ymX4V0uwFrkJiP5aKbGF2c%2bllGxZ9iSb8vYQ%2bxDTKL7c9Q%2bb2rzaKRJbbOL803hG0pXtAhGGOj0N0P8eu5Ro%2f3ZkKMgSJRwXe6uM1SYAmpZA52zrFf7hbsZfRkfteBGj2%2bCj05JYCyn5%2bC%2b1ALXP42JQJ56LRqGnZLHb7eQsxHz5XS%2bNDsFUbwbdxdhL2n22lxm5fX34HjdVixC4Vm8O8ZyBAbKHx%2fQFXAp6ANTxIZirlLU1VWzp15HUNZRJbDr%2bSfahWO6gwLRS%2bw2O8aPW%2bdOQjMuF9eRZtTHTGgnzCmqxfrELXyDn4a7JGhN9","descargar bases")</f>
      </c>
    </row>
    <row r="11">
      <c r="A11" s="0" t="inlineStr">
        <is>
          <t xml:space="preserve">3249-12-LE26</t>
        </is>
      </c>
      <c r="B11" s="4" t="inlineStr">
        <is>
          <t xml:space="preserve">SERVICIO DE MANTENCIÓN Y MODERNIZACIÓN DE SISTEMA DE SEGURIDAD CONTRA INCENDIOS Y VIGILANCIA DE HANGARES</t>
        </is>
      </c>
      <c r="C11" s="0" t="inlineStr">
        <is>
          <t xml:space="preserve">Publicada</t>
        </is>
      </c>
      <c r="D11" s="0" t="inlineStr">
        <is>
          <t xml:space="preserve">DIRECCION DE ABASTECIMIENTO DE LA ARMADA</t>
        </is>
      </c>
      <c r="E11" s="0" t="inlineStr">
        <is>
          <t xml:space="preserve">BASE AERONAVAL CONCON</t>
        </is>
      </c>
      <c r="F11" s="0" t="inlineStr">
        <is>
          <t xml:space="preserve">Región de Valparaíso </t>
        </is>
      </c>
      <c r="G11" s="0" t="inlineStr">
        <is>
          <t xml:space="preserve">Concón</t>
        </is>
      </c>
      <c r="H11" s="2">
        <v>46275.708819</v>
      </c>
      <c r="I11" s="2">
        <v>46289.625</v>
      </c>
      <c r="J11" s="0">
        <v>1</v>
      </c>
      <c r="K11" s="3">
        <v>40000000.0</v>
      </c>
      <c r="L11" s="0" t="inlineStr">
        <is>
          <t xml:space="preserve">CLP</t>
        </is>
      </c>
      <c r="M11" s="0" t="inlineStr">
        <is>
          <t xml:space="preserve">LE</t>
        </is>
      </c>
      <c r="N11" s="4" t="inlineStr">
        <is>
          <t xml:space="preserve">Equipos y suministros de defensa, orden público, protección y seguridad / Seguridad, vigilancia y detección / Equipo de vigilancia y detección</t>
        </is>
      </c>
      <c r="O11" s="4" t="inlineStr">
        <is>
          <t xml:space="preserve">1 Global · Cámaras de seguridad</t>
        </is>
      </c>
      <c r="P11" s="2"/>
      <c r="Q11" s="2"/>
      <c r="R11" s="0"/>
      <c r="S11" s="0" t="inlineStr">
        <is>
          <t xml:space="preserve">No</t>
        </is>
      </c>
      <c r="T11" s="4" t="inlineStr">
        <is>
          <t xml:space="preserve">De acuerdo a XVII de las bases administrativas.</t>
        </is>
      </c>
      <c r="U11" s="0" t="inlineStr">
        <is>
          <t xml:space="preserve">MOISES VERGARA</t>
        </is>
      </c>
      <c r="V11" s="4" t="inlineStr">
        <is>
          <t xml:space="preserve">SERVICIO DE MANTENCIÓN Y MODERNIZACIÓN DE SISTEMA DE SEGURIDAD CONTRA INCENDIOS Y VIGILANCIA DE HANGARES DE LA BASE AERONAVAL CONCÓN</t>
        </is>
      </c>
      <c r="W11" s="5" t="str">
        <f>HYPERLINK("https://www.mercadopublico.cl/Procurement/Modules/Attachment/ViewAttachment.aspx?enc=7o4G1TbmnERl71ivEaMlALXJjICCkGUn3xDJ0ps%2fw51Oa7%2fM%2fJxcnqdRjycoir8LUbS2EPwQN71TEnkBJlap0%2bhHkpEHP27JXvj7WPuYScQ5jFaAvSBgy1hvbgV67KzoC7FnRLyh5kbXzLx5Pwhz5RJQviOLTGPFmGFRZKWn5HYAwXVPiT1h2Sh4THmLoix%2b84RS7pvnaZu%2bkpM930E2LXXl7uHp%2bfcJdHzR%2bU%2fclWKzN6W5Z48x0lOgTV%2bj0hnDIFQ6dWtUArXLdOZGRI%2bsFX45DQb5aOdAPn0vdBV1FX2JBUMesP4MIovcgklXB%2bKO","descargar bases")</f>
      </c>
    </row>
    <row r="12">
      <c r="A12" s="0" t="inlineStr">
        <is>
          <t xml:space="preserve">85-34-LP26</t>
        </is>
      </c>
      <c r="B12" s="4" t="inlineStr">
        <is>
          <t xml:space="preserve">PLATAFORMA GESTIÓN Y CONTROL SEGURIDAD INFORMACIÓN</t>
        </is>
      </c>
      <c r="C12" s="0" t="inlineStr">
        <is>
          <t xml:space="preserve">Publicada</t>
        </is>
      </c>
      <c r="D12" s="0" t="inlineStr">
        <is>
          <t xml:space="preserve">JUNTA NACIONAL DE AUXILIO ESCOLAR Y BECA</t>
        </is>
      </c>
      <c r="E12" s="0" t="inlineStr">
        <is>
          <t xml:space="preserve">JUNTA NACIONAL DE AUXILIO ESCOLAR Y BECA</t>
        </is>
      </c>
      <c r="F12" s="0" t="inlineStr">
        <is>
          <t xml:space="preserve">Región Metropolitana de Santiago</t>
        </is>
      </c>
      <c r="G12" s="0" t="inlineStr">
        <is>
          <t xml:space="preserve">Santiago Centro</t>
        </is>
      </c>
      <c r="H12" s="2">
        <v>46266.726447</v>
      </c>
      <c r="I12" s="2">
        <v>46289.625</v>
      </c>
      <c r="J12" s="0">
        <v>1</v>
      </c>
      <c r="K12" s="3"/>
      <c r="L12" s="0" t="inlineStr">
        <is>
          <t xml:space="preserve">CLP</t>
        </is>
      </c>
      <c r="M12" s="0" t="inlineStr">
        <is>
          <t xml:space="preserve">LP</t>
        </is>
      </c>
      <c r="N12" s="4" t="inlineStr">
        <is>
          <t xml:space="preserve">Tecnologías de la información, telecomunicaciones y radiodifusión / Equipos, plataformas y accesorios de redes multimedia, voz y datos / Equipos de seguridad de red</t>
        </is>
      </c>
      <c r="O12" s="4" t="inlineStr">
        <is>
          <t xml:space="preserve">1 Unidad · Equipo de seguridad de evaluación de vulnerabilidad</t>
        </is>
      </c>
      <c r="P12" s="2"/>
      <c r="Q12" s="2"/>
      <c r="R12" s="0" t="inlineStr">
        <is>
          <t xml:space="preserve">13 meses</t>
        </is>
      </c>
      <c r="S12" s="0" t="inlineStr">
        <is>
          <t xml:space="preserve">No</t>
        </is>
      </c>
      <c r="T12" s="4"/>
      <c r="U12" s="0" t="inlineStr">
        <is>
          <t xml:space="preserve">Fernando Peña Rivera</t>
        </is>
      </c>
      <c r="V12"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2" s="5" t="str">
        <f>HYPERLINK("https://www.mercadopublico.cl/Procurement/Modules/Attachment/ViewAttachment.aspx?enc=6TNMppc17V7Cwd1Pd6FMQ4NP1ibclAASVBWWwcziaIYWemNZojS1B2hGD7xK1TTFdNmmVmN8lRkqWAIJIpQKMB0mjtcmhlJz1QEeJ0vSKEX4v5aJMsVeG3tVm42SwjSWJaPzIkTvB%2bgRUeY44fqwK9ZIC5y0cdYJRE6IT13DGep1wenzQLnYaypGG9jhvWp9K4BJ2b4VvVJ8q0ElRzh1Z885SMkC6Tl%2fn6mkHcPBgozKCKfaUJXbK7DuXp1G%2bL1lLVSwJoYtlGCt9cINnIxNRG%2fojgIoPV0hcVWhu8hTnJp%2f%2fYSYgOfr77iuqztMoTeT","descargar bases")</f>
      </c>
    </row>
    <row r="13">
      <c r="A13" s="0" t="inlineStr">
        <is>
          <t xml:space="preserve">3810-23-LE26</t>
        </is>
      </c>
      <c r="B13" s="4" t="inlineStr">
        <is>
          <t xml:space="preserve">ADQUISICION DE SOFTWARE DE DISEÑO CAD Y REVISION DE MODELOS BIM PARA LA DIRECCION DE OBRAS MUNICIPALES DE LA I. MUNICIPALIDAD DE PICHILEMU</t>
        </is>
      </c>
      <c r="C13" s="0" t="inlineStr">
        <is>
          <t xml:space="preserve">Publicada</t>
        </is>
      </c>
      <c r="D13" s="0" t="inlineStr">
        <is>
          <t xml:space="preserve">ILUSTRE MUNICIPALIDAD DE PICHILEMU</t>
        </is>
      </c>
      <c r="E13" s="0" t="inlineStr">
        <is>
          <t xml:space="preserve">Ilustre Municipalidad de Pichilemu</t>
        </is>
      </c>
      <c r="F13" s="0" t="inlineStr">
        <is>
          <t xml:space="preserve">Región del Libertador General Bernardo O´Higgins</t>
        </is>
      </c>
      <c r="G13" s="0" t="inlineStr">
        <is>
          <t xml:space="preserve">Pichilemu</t>
        </is>
      </c>
      <c r="H13" s="2">
        <v>46274.389583</v>
      </c>
      <c r="I13" s="2">
        <v>46289.625694</v>
      </c>
      <c r="J13" s="0">
        <v>1</v>
      </c>
      <c r="K13" s="3">
        <v>18000000.0</v>
      </c>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Unidad · Software de gestión de licencias</t>
        </is>
      </c>
      <c r="P13" s="2"/>
      <c r="Q13" s="2"/>
      <c r="R13" s="0"/>
      <c r="S13" s="0" t="inlineStr">
        <is>
          <t xml:space="preserve">No</t>
        </is>
      </c>
      <c r="T13" s="4"/>
      <c r="U13" s="0" t="inlineStr">
        <is>
          <t xml:space="preserve">Luis Caceres Cordova</t>
        </is>
      </c>
      <c r="V13" s="4" t="inlineStr">
        <is>
          <t xml:space="preserve">ADQUISICION DE SOFTWARE DE DISEÑO CAD Y REVISION DE MODELOS BIM PARA LA DIRECCION DE OBRAS MUNICIPALES DE LA I. MUNICIPALIDAD DE PICHILEMU</t>
        </is>
      </c>
      <c r="W13" s="5" t="str">
        <f>HYPERLINK("https://www.mercadopublico.cl/Procurement/Modules/Attachment/ViewAttachment.aspx?enc=c5jDjdo4%2fJoz%2fuVPF5P2vUD8SmhI%2bLWtTWNorx8qIGNDSyqLZRsXfpDecyDjnkMRqZvSm97NQDbH6QXeseeP9jbI4l4QIy5hBtkAGAU6VEfGMl1To%2fv6Cb5VXw6FlA72MdQIrLRVTCENEGUzYy%2bdTCCZRugv%2bmXiH2q43uBuB1GAY6OsnLiOiFSHHvzxBXq0yZt3fhak5cyvwZl%2fPn5SYBtqqVgsse3fGOrEepVFQbi0fIYR08%2bKF3gL%2f9akiB4iHlWTZMqHb%2bqV60oTCiHKE3b7b4dmvI1CkTbycejY95%2buiutxP%2bBQW22GEY%2fuTnP7","descargar bases")</f>
      </c>
    </row>
    <row r="14">
      <c r="A14" s="0" t="inlineStr">
        <is>
          <t xml:space="preserve">1077241-8-LE26</t>
        </is>
      </c>
      <c r="B14" s="4" t="inlineStr">
        <is>
          <t xml:space="preserve">SERVICIO DE EXÁMENES CON INFORME RADIOLÓGICO DE MAMOGRAFÍA BILATERAL Y UNILATERAL DIGITAL PARA LOS HOSPITALES DEPENDIENTES DEL SERVICIO DE SALUD OSORNO Y CESFAM DE LA RED ASISTENCIAL</t>
        </is>
      </c>
      <c r="C14" s="0" t="inlineStr">
        <is>
          <t xml:space="preserve">Publicada</t>
        </is>
      </c>
      <c r="D14" s="0" t="inlineStr">
        <is>
          <t xml:space="preserve">SERVICIO DE SALUD OSORNO</t>
        </is>
      </c>
      <c r="E14" s="0" t="inlineStr">
        <is>
          <t xml:space="preserve">Administración de Fondos</t>
        </is>
      </c>
      <c r="F14" s="0" t="inlineStr">
        <is>
          <t xml:space="preserve">Región de los Lagos </t>
        </is>
      </c>
      <c r="G14" s="0" t="inlineStr">
        <is>
          <t xml:space="preserve">Puerto Octay</t>
        </is>
      </c>
      <c r="H14" s="2">
        <v>46281.677083</v>
      </c>
      <c r="I14" s="2">
        <v>46289.635417</v>
      </c>
      <c r="J14" s="0">
        <v>1</v>
      </c>
      <c r="K14" s="3">
        <v>18688829.0</v>
      </c>
      <c r="L14" s="0" t="inlineStr">
        <is>
          <t xml:space="preserve">CLP</t>
        </is>
      </c>
      <c r="M14" s="0" t="inlineStr">
        <is>
          <t xml:space="preserve">LE</t>
        </is>
      </c>
      <c r="N14" s="4" t="inlineStr">
        <is>
          <t xml:space="preserve">Salud, servicios sanitarios y alimentación / Medicina y servicios de salud / Laboratorios clínicos</t>
        </is>
      </c>
      <c r="O14" s="4" t="inlineStr">
        <is>
          <t xml:space="preserve">1 Unidad · Laboratorios de rayos X</t>
        </is>
      </c>
      <c r="P14" s="2"/>
      <c r="Q14" s="2"/>
      <c r="R14" s="0" t="inlineStr">
        <is>
          <t xml:space="preserve">3 meses</t>
        </is>
      </c>
      <c r="S14" s="0" t="inlineStr">
        <is>
          <t xml:space="preserve">No</t>
        </is>
      </c>
      <c r="T14" s="4" t="inlineStr">
        <is>
          <t xml:space="preserve">De acuerdo a numeral 7.7 de las bases adjuntas.</t>
        </is>
      </c>
      <c r="U14" s="0" t="inlineStr">
        <is>
          <t xml:space="preserve">Carla Nannig Blanco</t>
        </is>
      </c>
      <c r="V14"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14" s="5" t="str">
        <f>HYPERLINK("https://www.mercadopublico.cl/Procurement/Modules/Attachment/ViewAttachment.aspx?enc=z0MublS93d62Ca65uHcgg5hWx50MKQxo2sK1zIFZob0VXp8hIFyWg%2bEgWQ0DOzzmxofvQZuKIbP6psIEV0CI37UwkNE79Hl1wPkwsRz8orK92Vu6luZltLMt4hoSQWWvvPCjmcYtD4jHhhfbx4qWxAb1bSS8uQIs427EURv9Xl3ibDeG6zW2Q7Zpa4HqPNCNADJKmu%2f%2bHj9UXBIzS6HZtyQwLoSTZMqVb6VSR09RQdFyyXtxtTSJyXf%2bI%2fAU1urDzy7pzACmPBjwww4Wu8X5LbJWof45vBtRHvUeGlpW%2b4rm%2f3h2KsUo8iXNWTCxX%2fvB","descargar bases")</f>
      </c>
    </row>
    <row r="15">
      <c r="A15" s="0" t="inlineStr">
        <is>
          <t xml:space="preserve">1002584-12-LE26</t>
        </is>
      </c>
      <c r="B15" s="4" t="inlineStr">
        <is>
          <t xml:space="preserve">Programa institucional de adopción de IA</t>
        </is>
      </c>
      <c r="C15" s="0" t="inlineStr">
        <is>
          <t xml:space="preserve">Publicada</t>
        </is>
      </c>
      <c r="D15" s="0" t="inlineStr">
        <is>
          <t xml:space="preserve">DIRECCION DE EDUCACION PUBLICA</t>
        </is>
      </c>
      <c r="E15" s="0" t="inlineStr">
        <is>
          <t xml:space="preserve">Dirección de Educación Pública</t>
        </is>
      </c>
      <c r="F15" s="0" t="inlineStr">
        <is>
          <t xml:space="preserve">Región Metropolitana de Santiago</t>
        </is>
      </c>
      <c r="G15" s="0" t="inlineStr">
        <is>
          <t xml:space="preserve">Santiago</t>
        </is>
      </c>
      <c r="H15" s="2">
        <v>46279.42</v>
      </c>
      <c r="I15" s="2">
        <v>46289.666667</v>
      </c>
      <c r="J15" s="0">
        <v>1</v>
      </c>
      <c r="K15" s="3">
        <v>28000000.0</v>
      </c>
      <c r="L15" s="0" t="inlineStr">
        <is>
          <t xml:space="preserve">CLP</t>
        </is>
      </c>
      <c r="M15" s="0" t="inlineStr">
        <is>
          <t xml:space="preserve">LE</t>
        </is>
      </c>
      <c r="N15" s="4" t="inlineStr">
        <is>
          <t xml:space="preserve">Servicios basados en ingeniería, ciencias sociales y tecnología de la información / Servicios informáticos / Administración de sistemas</t>
        </is>
      </c>
      <c r="O15" s="4" t="inlineStr">
        <is>
          <t xml:space="preserve">1 Unidad · Instalación de sistemas</t>
        </is>
      </c>
      <c r="P15" s="2"/>
      <c r="Q15" s="2"/>
      <c r="R15" s="0" t="inlineStr">
        <is>
          <t xml:space="preserve">12 meses</t>
        </is>
      </c>
      <c r="S15" s="0" t="inlineStr">
        <is>
          <t xml:space="preserve">No</t>
        </is>
      </c>
      <c r="T15" s="4"/>
      <c r="U15" s="0" t="inlineStr">
        <is>
          <t xml:space="preserve">Sofía Andrade Huepe</t>
        </is>
      </c>
      <c r="V15"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15" s="5" t="str">
        <f>HYPERLINK("https://www.mercadopublico.cl/Procurement/Modules/Attachment/ViewAttachment.aspx?enc=b%2fayZ8qXPaWyRiuZKK9gjR%2fXIWPPn2pCAfA4rPv5oL7Tu7hP3TnnzXgsMFeQ6TbaBhneLEsTfSb7d2B0xKS1BB2ZT7ZC%2bVDOqRV1QjDS%2f1zJH%2f2lpshO9fpW7qYjn2rTlqmbs2yWdtNiE68o5MS2TmLnBv4y9fIXGXFjSh%2bPvCGPPsRWSYBr%2fuUJ1%2bN6OBWx8BF2WmzMU6joPXrPtqaBY10QufcR6RjyLKPa73nRY3HPsg2ZTymz7NuWEBWC3CMqGFnFRCrJCW5BCyuwPWhwbppYKaahL8%2fVAvu%2fxJlrw5u5seMpnd5OPz49HuxPb1%2fC","descargar bases")</f>
      </c>
    </row>
    <row r="16">
      <c r="A16" s="0" t="inlineStr">
        <is>
          <t xml:space="preserve">732434-20-LP26</t>
        </is>
      </c>
      <c r="B16" s="4" t="inlineStr">
        <is>
          <t xml:space="preserve">SERVICIO INFORMÁTICO PARA EL CENTRO DE SANGRE CONC</t>
        </is>
      </c>
      <c r="C16" s="0" t="inlineStr">
        <is>
          <t xml:space="preserve">Publicada</t>
        </is>
      </c>
      <c r="D16" s="0" t="inlineStr">
        <is>
          <t xml:space="preserve">SERVICIO DE SALUD CONCEPCION</t>
        </is>
      </c>
      <c r="E16" s="0" t="inlineStr">
        <is>
          <t xml:space="preserve">Centro de Sangre</t>
        </is>
      </c>
      <c r="F16" s="0" t="inlineStr">
        <is>
          <t xml:space="preserve">Región del Biobío </t>
        </is>
      </c>
      <c r="G16" s="0"/>
      <c r="H16" s="2">
        <v>46268.542164</v>
      </c>
      <c r="I16" s="2">
        <v>46289.708333</v>
      </c>
      <c r="J16" s="0">
        <v>1</v>
      </c>
      <c r="K16" s="3"/>
      <c r="L16" s="0" t="inlineStr">
        <is>
          <t xml:space="preserve">CLP</t>
        </is>
      </c>
      <c r="M16" s="0" t="inlineStr">
        <is>
          <t xml:space="preserve">LP</t>
        </is>
      </c>
      <c r="N16" s="4" t="inlineStr">
        <is>
          <t xml:space="preserve">Servicios basados en ingeniería, ciencias sociales y tecnología de la información / Servicios informáticos / Ingeniería en computación e informática</t>
        </is>
      </c>
      <c r="O16" s="4" t="inlineStr">
        <is>
          <t xml:space="preserve">1 Unidad · Diseño de aplicaciones para mainframe</t>
        </is>
      </c>
      <c r="P16" s="2"/>
      <c r="Q16" s="2"/>
      <c r="R16" s="0" t="inlineStr">
        <is>
          <t xml:space="preserve">36 meses</t>
        </is>
      </c>
      <c r="S16" s="0" t="inlineStr">
        <is>
          <t xml:space="preserve">No</t>
        </is>
      </c>
      <c r="T16" s="4"/>
      <c r="U16" s="0" t="inlineStr">
        <is>
          <t xml:space="preserve">Ricardo Ferreira Hormazabal</t>
        </is>
      </c>
      <c r="V16"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6" s="5" t="str">
        <f>HYPERLINK("https://www.mercadopublico.cl/Procurement/Modules/Attachment/ViewAttachment.aspx?enc=qJbbevFqfUfVcHsknqW2gphLgTziUs8bfrZDsS87B4OkqTHCxrpbQRgfglWesS4e%2by4hvexiX4nJF2BLN1BRksYlgTdQNurQzZJ1UT1V3Hp2L6u4CDfiOs23KVN6f7mOXIVAKueOwTifC5zz4IsiNPi9h1qoOWW5kXew%2bue1FdLG5sYVfmeolZLal33C0%2b%2fgYcKOSD%2fBe9lVcos6%2b4lPOqxTRYSke0NyQmrMHcrQ9ipYlRHspEIxQqvzUAtNhdDDCjlkedvs5rQzXWg8kw99wN7iYtyav6sWaq6VZ%2bqwoJvOLkKWso4wlrwMtPvsBkun","descargar bases")</f>
      </c>
    </row>
    <row r="17">
      <c r="A17" s="0" t="inlineStr">
        <is>
          <t xml:space="preserve">1973-93-LR26</t>
        </is>
      </c>
      <c r="B17" s="4" t="inlineStr">
        <is>
          <t xml:space="preserve">SISTEMA DE INFORMACIÓN DE GESTIÓN ADMINISTRATIVA Y FARMACIA</t>
        </is>
      </c>
      <c r="C17" s="0" t="inlineStr">
        <is>
          <t xml:space="preserve">Publicada</t>
        </is>
      </c>
      <c r="D17" s="0" t="inlineStr">
        <is>
          <t xml:space="preserve">CENTRO DE REFERENCIA DE SALUD DE PENALOLEN CORDILLERA ORIENTE</t>
        </is>
      </c>
      <c r="E17" s="0" t="inlineStr">
        <is>
          <t xml:space="preserve">CRS de Peñalolen Cordillera Oriente</t>
        </is>
      </c>
      <c r="F17" s="0" t="inlineStr">
        <is>
          <t xml:space="preserve">Región Metropolitana de Santiago</t>
        </is>
      </c>
      <c r="G17" s="0" t="inlineStr">
        <is>
          <t xml:space="preserve">Peñalolén</t>
        </is>
      </c>
      <c r="H17" s="2">
        <v>46259.456759</v>
      </c>
      <c r="I17" s="2">
        <v>46289.729167</v>
      </c>
      <c r="J17" s="0">
        <v>1</v>
      </c>
      <c r="K17" s="3">
        <v>414000000.0</v>
      </c>
      <c r="L17" s="0" t="inlineStr">
        <is>
          <t xml:space="preserve">CLP</t>
        </is>
      </c>
      <c r="M17" s="0" t="inlineStr">
        <is>
          <t xml:space="preserve">LR</t>
        </is>
      </c>
      <c r="N17" s="4" t="inlineStr">
        <is>
          <t xml:space="preserve">Tecnologías de la información, telecomunicaciones y radiodifusión / Software / Software de planificación de recursos empresariales (ERP) y contabilidad financiera</t>
        </is>
      </c>
      <c r="O17" s="4" t="inlineStr">
        <is>
          <t xml:space="preserve">1 Global · Software de planificación de recursos empresariales (ERP)</t>
        </is>
      </c>
      <c r="P17" s="2"/>
      <c r="Q17" s="2"/>
      <c r="R17" s="0" t="inlineStr">
        <is>
          <t xml:space="preserve">60 meses</t>
        </is>
      </c>
      <c r="S17" s="0" t="inlineStr">
        <is>
          <t xml:space="preserve">No</t>
        </is>
      </c>
      <c r="T17" s="4"/>
      <c r="U17" s="0" t="inlineStr">
        <is>
          <t xml:space="preserve">JEFE TICS</t>
        </is>
      </c>
      <c r="V17"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7" s="5" t="str">
        <f>HYPERLINK("https://www.mercadopublico.cl/Procurement/Modules/Attachment/ViewAttachment.aspx?enc=wiLpEU7HEi4ldDrMImBrKMkdQZqp%2bTxX5dQbSbYSuXgAcRZsdm6idVMJbmS4B7YH5RCKdGKxBKrqsb%2fgoIgmpirNcixHXJvyh8tmgsr6TSgWointja1n8s7uKJuYbWBXQ5ptWY1zxJCKROdjV9ItonmA67h4Pi06SRGp0FBXcFx307K5xZ7PKB34fhL9tdgRo9Bw0xQIJJmEqiWfqIodlFp%2fMK2HvEU21de4hNYqDSuuZDO7sS2rK9rM1RR9BGNO80DtOh1rHKnQoaW%2bbUBQcsayFp2JcbQJaPAhts4C%2f8BQrviDIdJnUEEJKlBUkUUk","descargar bases")</f>
      </c>
    </row>
    <row r="18">
      <c r="A18" s="0" t="inlineStr">
        <is>
          <t xml:space="preserve">377-55-LE26</t>
        </is>
      </c>
      <c r="B18" s="4" t="inlineStr">
        <is>
          <t xml:space="preserve">LICENCIA DE SOFTWARE ANTIVIRUS</t>
        </is>
      </c>
      <c r="C18" s="0" t="inlineStr">
        <is>
          <t xml:space="preserve">Publicada</t>
        </is>
      </c>
      <c r="D18" s="0" t="inlineStr">
        <is>
          <t xml:space="preserve">I MUNICIPALIDAD DE ALGARROBO</t>
        </is>
      </c>
      <c r="E18" s="0" t="inlineStr">
        <is>
          <t xml:space="preserve">MUNICIPALIDAD DE ALGARROBO-ADQUISICIONES</t>
        </is>
      </c>
      <c r="F18" s="0" t="inlineStr">
        <is>
          <t xml:space="preserve">Región de Valparaíso </t>
        </is>
      </c>
      <c r="G18" s="0" t="inlineStr">
        <is>
          <t xml:space="preserve">Algarrobo</t>
        </is>
      </c>
      <c r="H18" s="2">
        <v>46281.561389</v>
      </c>
      <c r="I18" s="2">
        <v>46290.45625</v>
      </c>
      <c r="J18" s="0">
        <v>2</v>
      </c>
      <c r="K18" s="3"/>
      <c r="L18" s="0" t="inlineStr">
        <is>
          <t xml:space="preserve">CLP</t>
        </is>
      </c>
      <c r="M18" s="0" t="inlineStr">
        <is>
          <t xml:space="preserve">LE</t>
        </is>
      </c>
      <c r="N18" s="4" t="inlineStr">
        <is>
          <t xml:space="preserve">Tecnologías de la información, telecomunicaciones y radiodifusión / Software / Software de gestión</t>
        </is>
      </c>
      <c r="O18" s="4" t="inlineStr">
        <is>
          <t xml:space="preserve">1 Unidad · Software de gestión de licencias</t>
        </is>
      </c>
      <c r="P18" s="2"/>
      <c r="Q18" s="2"/>
      <c r="R18" s="0" t="inlineStr">
        <is>
          <t xml:space="preserve">24 meses</t>
        </is>
      </c>
      <c r="S18" s="0" t="inlineStr">
        <is>
          <t xml:space="preserve">No</t>
        </is>
      </c>
      <c r="T18" s="4"/>
      <c r="U18" s="0" t="inlineStr">
        <is>
          <t xml:space="preserve">PABLO OLGUIN HENANDEZ</t>
        </is>
      </c>
      <c r="V18" s="4" t="inlineStr">
        <is>
          <t xml:space="preserve">USO: LICENCIA DE SOFTWARE ANTIVIRUS CON PLATAFORMA CENTRALIZADA WEB- REQUERIMIENTO DE INFORMATICA</t>
        </is>
      </c>
      <c r="W18" s="5" t="str">
        <f>HYPERLINK("https://www.mercadopublico.cl/Procurement/Modules/Attachment/ViewAttachment.aspx?enc=9THL2qx1GcmFjeQOg28MzW7Uwk8GWImkMEFDS3af%2fuR6foEKuHQMRl9gWN%2bEJsxk6Odqp22kg5uycC8GeT%2fdXEJRX5WKGDd38wzpLZOPvCkHKDzj%2fa9KE4b8KrP7niR1jsvmaV71RKNgpisboH4SNP1rYtJ34yPjKv56jB3yesuUJGE12HTs8p6fYOLcPhf3cdFJcRm4hrzpyI1zretHtpJWQHsi8DXKYJsXToXKbNIVpsHW8h9lhXhlA8ymnd873B0DaWvimoaHo28ZdjTk5qy0%2bP19ivA%2feq3Rc%2b06xcTiC5yxsyfArMdh0qelIapX","descargar bases")</f>
      </c>
    </row>
    <row r="19">
      <c r="A19" s="0" t="inlineStr">
        <is>
          <t xml:space="preserve">2048-57-LP26</t>
        </is>
      </c>
      <c r="B19" s="4" t="inlineStr">
        <is>
          <t xml:space="preserve">Convenio de Software de Gestión de Mantenimiento</t>
        </is>
      </c>
      <c r="C19" s="0" t="inlineStr">
        <is>
          <t xml:space="preserve">Publicada</t>
        </is>
      </c>
      <c r="D19" s="0" t="inlineStr">
        <is>
          <t xml:space="preserve">SERVICIO DE SALUD CHILOE</t>
        </is>
      </c>
      <c r="E19" s="0" t="inlineStr">
        <is>
          <t xml:space="preserve">Hospital de Ancud</t>
        </is>
      </c>
      <c r="F19" s="0" t="inlineStr">
        <is>
          <t xml:space="preserve">Región de los Lagos </t>
        </is>
      </c>
      <c r="G19" s="0"/>
      <c r="H19" s="2">
        <v>46269.407778</v>
      </c>
      <c r="I19" s="2">
        <v>46290.625</v>
      </c>
      <c r="J19" s="0">
        <v>2</v>
      </c>
      <c r="K19" s="3"/>
      <c r="L19" s="0" t="inlineStr">
        <is>
          <t xml:space="preserve">CLP</t>
        </is>
      </c>
      <c r="M19" s="0" t="inlineStr">
        <is>
          <t xml:space="preserve">LP</t>
        </is>
      </c>
      <c r="N19" s="4" t="inlineStr">
        <is>
          <t xml:space="preserve">Tecnologías de la información, telecomunicaciones y radiodifusión / Software / Software de administración de redes</t>
        </is>
      </c>
      <c r="O19" s="4" t="inlineStr">
        <is>
          <t xml:space="preserve">1 Unidad no definida · Software de administración</t>
        </is>
      </c>
      <c r="P19" s="2"/>
      <c r="Q19" s="2"/>
      <c r="R19" s="0" t="inlineStr">
        <is>
          <t xml:space="preserve">60 meses</t>
        </is>
      </c>
      <c r="S19" s="0" t="inlineStr">
        <is>
          <t xml:space="preserve">No</t>
        </is>
      </c>
      <c r="T19" s="4" t="inlineStr">
        <is>
          <t xml:space="preserve">El adjudicatario no podrá ceder ni transferir en forma alguna, total ni parcialmente los derechos y obligaciones que nacen del desarrollo de la licitación. No se permite subcontratación</t>
        </is>
      </c>
      <c r="U19" s="0" t="inlineStr">
        <is>
          <t xml:space="preserve">Gissela Arriagada Vilches</t>
        </is>
      </c>
      <c r="V19"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9" s="5" t="str">
        <f>HYPERLINK("https://www.mercadopublico.cl/Procurement/Modules/Attachment/ViewAttachment.aspx?enc=mWRpye04BNEzAuQq%2f355L70QpZVY9ve08qnde9H1LW%2f%2bKKdjDfSeTJ4XAn%2fkrGInnerd9y6d6Pk4uCxIPLpndy%2b1CQwd1E4U%2bBdubFkvp1y2plswtsUwXZk5XWRaaHP%2bmfH4bjRIITOg8U%2fmJAQlhXvnZdnFBg3RB%2fs5nfG5FtwylsbMA6dHdZVuMdXaMLLrjfNvyXIztk9VUmJzRb3%2bxkQltaJ2CJbqZg%2fzeplBYfbWBn6vNcTwNPkSpppeJ5EyVVCSv2LScCqxuETeKQ7RFWBJBz%2f%2bnQFiIEDrEpIkE41aw%2bnKnk1y%2f9fH5PgeHnUd","descargar bases")</f>
      </c>
    </row>
    <row r="20">
      <c r="A20" s="0" t="inlineStr">
        <is>
          <t xml:space="preserve">2239-2-LR26</t>
        </is>
      </c>
      <c r="B20" s="4" t="inlineStr">
        <is>
          <t xml:space="preserve">Convenio Marco Desarrollo de software</t>
        </is>
      </c>
      <c r="C20" s="0" t="inlineStr">
        <is>
          <t xml:space="preserve">Publicada</t>
        </is>
      </c>
      <c r="D20" s="0" t="inlineStr">
        <is>
          <t xml:space="preserve">DIRECCION DE COMPRAS Y CONTRATACION PUBLICA</t>
        </is>
      </c>
      <c r="E20" s="0" t="inlineStr">
        <is>
          <t xml:space="preserve">División de Convenio Marco</t>
        </is>
      </c>
      <c r="F20" s="0" t="inlineStr">
        <is>
          <t xml:space="preserve">Región Metropolitana de Santiago</t>
        </is>
      </c>
      <c r="G20" s="0" t="inlineStr">
        <is>
          <t xml:space="preserve">Santiago</t>
        </is>
      </c>
      <c r="H20" s="2">
        <v>46217.7375</v>
      </c>
      <c r="I20" s="2">
        <v>46290.625</v>
      </c>
      <c r="J20" s="0">
        <v>2</v>
      </c>
      <c r="K20" s="3"/>
      <c r="L20" s="0" t="inlineStr">
        <is>
          <t xml:space="preserve">UTM</t>
        </is>
      </c>
      <c r="M20" s="0" t="inlineStr">
        <is>
          <t xml:space="preserve">LR</t>
        </is>
      </c>
      <c r="N20" s="4" t="inlineStr">
        <is>
          <t xml:space="preserve">Servicios profesionales, administrativos y consultorías de gestión empresarial / Servicios de recursos humanos / Contratación de personal</t>
        </is>
      </c>
      <c r="O20" s="4" t="inlineStr">
        <is>
          <t xml:space="preserve">1 Unidad · Desarrolladores de software</t>
        </is>
      </c>
      <c r="P20" s="2"/>
      <c r="Q20" s="2"/>
      <c r="R20" s="0"/>
      <c r="S20" s="0" t="inlineStr">
        <is>
          <t xml:space="preserve">No</t>
        </is>
      </c>
      <c r="T20"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20" s="0" t="inlineStr">
        <is>
          <t xml:space="preserve">Convenio Marco</t>
        </is>
      </c>
      <c r="V20" s="4" t="inlineStr">
        <is>
          <t xml:space="preserve">Convenio Marco para la adquisición de los Servicios de Desarrollo y Mantención de Software, Servicios Profesionales TI y Cloud Computing</t>
        </is>
      </c>
      <c r="W20" s="5" t="str">
        <f>HYPERLINK("https://www.mercadopublico.cl/Procurement/Modules/Attachment/ViewAttachment.aspx?enc=h5z6yyGSF2ST7phh3BQERgOS28o%2fdC9YQ427Gf4B%2bAGhwpiLwh7hJ1zjPTHp9jEwPBd7Votl1TM3PXyexrsPOAkNP%2frFXNoVY6Dp3ZwGai1nAtqch%2bOSwat1lwg4qodu9WD9%2bL7grbSr1zQStDvWoRS2RUm%2bS2AMDL9nOnpgGgLNeh82%2bIyv4%2f8RIVNc0NUmUN%2bCWN%2bJzGW82RjKlCJTnvgIF1erDRVSOZZcW0QZWS0MwDrmxBXYF5E4yGSviyBJMZdDQzFzgJbcYHwAkQSSCdi7rYJ4eXwFN%2fY8njgkDDQW7UXEEmOiXmNDqGljLj0i","descargar bases")</f>
      </c>
    </row>
    <row r="21">
      <c r="A21" s="0" t="inlineStr">
        <is>
          <t xml:space="preserve">2785-80-LE26</t>
        </is>
      </c>
      <c r="B21" s="4" t="inlineStr">
        <is>
          <t xml:space="preserve">“Servicios móviles de comunicaciones de voz y datos internet para la Municipalidad San Pedro de la Paz”</t>
        </is>
      </c>
      <c r="C21" s="0" t="inlineStr">
        <is>
          <t xml:space="preserve">Publicada</t>
        </is>
      </c>
      <c r="D21" s="0" t="inlineStr">
        <is>
          <t xml:space="preserve">I MUNICIPALIDAD DE SAN PEDRO DE LA PAZ</t>
        </is>
      </c>
      <c r="E21" s="0" t="inlineStr">
        <is>
          <t xml:space="preserve">I MUNICIPALIDAD DE SAN PEDRO DE LA PAZ</t>
        </is>
      </c>
      <c r="F21" s="0" t="inlineStr">
        <is>
          <t xml:space="preserve">Región del Biobío </t>
        </is>
      </c>
      <c r="G21" s="0" t="inlineStr">
        <is>
          <t xml:space="preserve">San Pedro de La Paz</t>
        </is>
      </c>
      <c r="H21" s="2">
        <v>46276.658449</v>
      </c>
      <c r="I21" s="2">
        <v>46290.625</v>
      </c>
      <c r="J21" s="0">
        <v>2</v>
      </c>
      <c r="K21" s="3"/>
      <c r="L21" s="0" t="inlineStr">
        <is>
          <t xml:space="preserve">CLP</t>
        </is>
      </c>
      <c r="M21" s="0" t="inlineStr">
        <is>
          <t xml:space="preserve">LE</t>
        </is>
      </c>
      <c r="N21" s="4" t="inlineStr">
        <is>
          <t xml:space="preserve">Servicios básicos y de información pública / Telecomunicaciones / Telefonía local y de larga distancia</t>
        </is>
      </c>
      <c r="O21" s="4" t="inlineStr">
        <is>
          <t xml:space="preserve">1 Unidad · Servicio telefónico local</t>
        </is>
      </c>
      <c r="P21" s="2"/>
      <c r="Q21" s="2"/>
      <c r="R21" s="0" t="inlineStr">
        <is>
          <t xml:space="preserve">24 meses</t>
        </is>
      </c>
      <c r="S21" s="0" t="inlineStr">
        <is>
          <t xml:space="preserve">No</t>
        </is>
      </c>
      <c r="T21" s="4"/>
      <c r="U21" s="0" t="inlineStr">
        <is>
          <t xml:space="preserve">Claudia Seguel Cerna</t>
        </is>
      </c>
      <c r="V21"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21" s="5" t="str">
        <f>HYPERLINK("https://www.mercadopublico.cl/Procurement/Modules/Attachment/ViewAttachment.aspx?enc=oaE3vvwiTIlFDSSw0YqricjyH2Wq%2bUK0bEL4YPWdgOctW1ki8NIQRUUYq6JsY7P9jIbHatuiIHKeXygbN9v2tC4lk8trnGkaO5x4sHEueFHju3j7NplCEXCuT0taRZZWt1YsIVBEVfX8l0zKuGdx12Bu0X7gD7guv5ZOAoaq8PmjeqC6O50gkgre0yFRztFiS0U%2fuapxKxuJrhjUVI%2frSC4n4j1KIwjxAdlg7U664%2b3HYiCpSm7IFtDKutGbqgBegytKZ3uiRfWvfwJkrmPFMqE3iqoyd40LUK%2fPe9juqBg3QbBqpoCAyK2sQ5iXnTf5","descargar bases")</f>
      </c>
    </row>
    <row r="22">
      <c r="A22" s="0" t="inlineStr">
        <is>
          <t xml:space="preserve">868-17-LE26</t>
        </is>
      </c>
      <c r="B22" s="4" t="inlineStr">
        <is>
          <t xml:space="preserve">RENOVACION 6 LICENCIAS CLOUD Y 17 LICENCIAS ADOBE</t>
        </is>
      </c>
      <c r="C22" s="0" t="inlineStr">
        <is>
          <t xml:space="preserve">Publicada</t>
        </is>
      </c>
      <c r="D22" s="0" t="inlineStr">
        <is>
          <t xml:space="preserve">GOBIERNO REGIONAL DE AYSEN</t>
        </is>
      </c>
      <c r="E22" s="0" t="inlineStr">
        <is>
          <t xml:space="preserve">Gobierno Regional de Aysen - XI Región</t>
        </is>
      </c>
      <c r="F22" s="0" t="inlineStr">
        <is>
          <t xml:space="preserve">Región Aysén del General Carlos Ibáñez del Campo</t>
        </is>
      </c>
      <c r="G22" s="0" t="inlineStr">
        <is>
          <t xml:space="preserve">Coyhaique</t>
        </is>
      </c>
      <c r="H22" s="2">
        <v>46279.453171</v>
      </c>
      <c r="I22" s="2">
        <v>46290.625</v>
      </c>
      <c r="J22" s="0">
        <v>2</v>
      </c>
      <c r="K22" s="3">
        <v>12000000.0</v>
      </c>
      <c r="L22" s="0" t="inlineStr">
        <is>
          <t xml:space="preserve">CLP</t>
        </is>
      </c>
      <c r="M22" s="0" t="inlineStr">
        <is>
          <t xml:space="preserve">LE</t>
        </is>
      </c>
      <c r="N22" s="4" t="inlineStr">
        <is>
          <t xml:space="preserve">Tecnologías de la información, telecomunicaciones y radiodifusión / Software / Software de gestión</t>
        </is>
      </c>
      <c r="O22" s="4" t="inlineStr">
        <is>
          <t xml:space="preserve">1 Unidad · Software de gestión de licencias</t>
        </is>
      </c>
      <c r="P22" s="2"/>
      <c r="Q22" s="2"/>
      <c r="R22" s="0"/>
      <c r="S22" s="0" t="inlineStr">
        <is>
          <t xml:space="preserve">No</t>
        </is>
      </c>
      <c r="T22" s="4"/>
      <c r="U22" s="0" t="inlineStr">
        <is>
          <t xml:space="preserve">JOSE ANDRADE VASQUEZ</t>
        </is>
      </c>
      <c r="V22" s="4" t="inlineStr">
        <is>
          <t xml:space="preserve">LICITACIÓN PÚBLICA LE PARA LA “RENOVACION 6 LICENCIAS ADOBE CREATIVE CLOUD Y 17 LICENCIAS ADOBE ACROBAT PRO DC,CONTRATO VIP A1A8CCABAE80882AA9EA.-</t>
        </is>
      </c>
      <c r="W22" s="5" t="str">
        <f>HYPERLINK("https://www.mercadopublico.cl/Procurement/Modules/Attachment/ViewAttachment.aspx?enc=E4RqQoiv6EYEUDB6LVsXa4lgTFFeVtP9z4tw62g3sl%2b7zDMl7Kf6EsEnmlV%2f8oB%2fVie7Jeu%2frcuCkoWlK%2fWv26X0t7c81GXNw98PScZwthYhIWpoPa%2bSeVkVNQbgjKugnC%2fVh%2fSaR%2bzvOzhbZ1%2bBrJYCd%2f2oU%2fi%2bi1tTLC%2bHn3uhrtImSZBPRqMkH6InVixOyI9iF8ctrNKZ5Jbhn0oTB1U3qNO7Q1J2UEaZZ35imAEqAMzReiD1OfhWBzBU7sGTRY%2bjx2vn8YgZpME0DFf3pmuM5J06aW6uPbO7a2m9LVgHbl1%2fnQ2DtbL5ZYn7KsJU","descargar bases")</f>
      </c>
    </row>
    <row r="23">
      <c r="A23" s="0" t="inlineStr">
        <is>
          <t xml:space="preserve">4475-22-LE26</t>
        </is>
      </c>
      <c r="B23" s="4" t="inlineStr">
        <is>
          <t xml:space="preserve">Recursos informáticos para Liceo AAP</t>
        </is>
      </c>
      <c r="C23" s="0" t="inlineStr">
        <is>
          <t xml:space="preserve">Publicada</t>
        </is>
      </c>
      <c r="D23" s="0" t="inlineStr">
        <is>
          <t xml:space="preserve">I.MUNICIPALIDAD DE ROMERAL</t>
        </is>
      </c>
      <c r="E23" s="0" t="inlineStr">
        <is>
          <t xml:space="preserve">Educación</t>
        </is>
      </c>
      <c r="F23" s="0" t="inlineStr">
        <is>
          <t xml:space="preserve">Región del Maule </t>
        </is>
      </c>
      <c r="G23" s="0" t="inlineStr">
        <is>
          <t xml:space="preserve">Romeral</t>
        </is>
      </c>
      <c r="H23" s="2">
        <v>46280.628715</v>
      </c>
      <c r="I23" s="2">
        <v>46290.625</v>
      </c>
      <c r="J23" s="0">
        <v>2</v>
      </c>
      <c r="K23" s="3">
        <v>10800000.0</v>
      </c>
      <c r="L23" s="0" t="inlineStr">
        <is>
          <t xml:space="preserve">CLP</t>
        </is>
      </c>
      <c r="M23" s="0" t="inlineStr">
        <is>
          <t xml:space="preserve">LE</t>
        </is>
      </c>
      <c r="N23" s="4" t="inlineStr">
        <is>
          <t xml:space="preserve">Tecnologías de la información, telecomunicaciones y radiodifusión / Equipos informáticos y accesorios / Computadores</t>
        </is>
      </c>
      <c r="O23" s="4" t="inlineStr">
        <is>
          <t xml:space="preserve">1 Global · Computadores de escritorio</t>
        </is>
      </c>
      <c r="P23" s="2"/>
      <c r="Q23" s="2"/>
      <c r="R23" s="0"/>
      <c r="S23" s="0" t="inlineStr">
        <is>
          <t xml:space="preserve">No</t>
        </is>
      </c>
      <c r="T23" s="4"/>
      <c r="U23" s="0" t="inlineStr">
        <is>
          <t xml:space="preserve">JOSE ANTONIO ARELLANO LYNCH</t>
        </is>
      </c>
      <c r="V23" s="4" t="inlineStr">
        <is>
          <t xml:space="preserve">Recursos informáticos para Liceo Arturo Alessandri Palma</t>
        </is>
      </c>
      <c r="W23" s="5" t="str">
        <f>HYPERLINK("https://www.mercadopublico.cl/Procurement/Modules/Attachment/ViewAttachment.aspx?enc=4oBl88g4pfOzakYPGrQGSVQDID%2b9R9Wf%2bf1yo89sDW2V1AuSJAt41DE8MEwPh3khsD92uKI%2bhntha2HZ5NC8%2feC1GtWLwpysZO4%2fJUAdWwWwH%2bxKjba2pmrcKFHTvPYiUcmEsLCJI%2fclbMqldwbhDeapzYydoIzSqga4qd9siz9wXX0IUHEYZnRHMU6pN%2bz5MiU13OOVCK98iwnxxoUUlLxh%2fpf1zNjfRYQbjt6hUucoWeGrc7ydzaH1k1bK3SM%2bbpd4e5C3QixuCHksBkrbtJhf4IBn3S5FDNCuBOzwu9Nh0BY%2feHk7uEswTcG%2f4F2g","descargar bases")</f>
      </c>
    </row>
    <row r="24">
      <c r="A24" s="0" t="inlineStr">
        <is>
          <t xml:space="preserve">1499887-19-CO26</t>
        </is>
      </c>
      <c r="B24" s="4" t="inlineStr">
        <is>
          <t xml:space="preserve">SERVICIOS TÉCNICOS DE HABILITACIÓN DIGITAL</t>
        </is>
      </c>
      <c r="C24" s="0" t="inlineStr">
        <is>
          <t xml:space="preserve">Publicada</t>
        </is>
      </c>
      <c r="D24" s="0" t="inlineStr">
        <is>
          <t xml:space="preserve">SERVICIO NACIONAL DE REINSERCION SOCIAL JUVENIL</t>
        </is>
      </c>
      <c r="E24" s="0" t="inlineStr">
        <is>
          <t xml:space="preserve">DIRECCIÓN REGIONAL METROPOLITANA</t>
        </is>
      </c>
      <c r="F24" s="0" t="inlineStr">
        <is>
          <t xml:space="preserve">Región Metropolitana de Santiago</t>
        </is>
      </c>
      <c r="G24" s="0" t="inlineStr">
        <is>
          <t xml:space="preserve">Ñuñoa</t>
        </is>
      </c>
      <c r="H24" s="2">
        <v>46279.423611</v>
      </c>
      <c r="I24" s="2">
        <v>46290.625694</v>
      </c>
      <c r="J24" s="0">
        <v>2</v>
      </c>
      <c r="K24" s="3"/>
      <c r="L24" s="0" t="inlineStr">
        <is>
          <t xml:space="preserve">CLP</t>
        </is>
      </c>
      <c r="M24" s="0" t="inlineStr">
        <is>
          <t xml:space="preserve">CO</t>
        </is>
      </c>
      <c r="N24" s="4" t="inlineStr">
        <is>
          <t xml:space="preserve">Servicios basados en ingeniería, ciencias sociales y tecnología de la información / Metodologías y tecnologías para mejorar la producción y la fabricación / Administración de edificios e instalaciones</t>
        </is>
      </c>
      <c r="O24" s="4" t="inlineStr">
        <is>
          <t xml:space="preserve">1 Unidad · Inspección de instalaciones eléctricas</t>
        </is>
      </c>
      <c r="P24" s="2"/>
      <c r="Q24" s="2"/>
      <c r="R24" s="0"/>
      <c r="S24" s="0" t="inlineStr">
        <is>
          <t xml:space="preserve">No</t>
        </is>
      </c>
      <c r="T24" s="4" t="inlineStr">
        <is>
          <t xml:space="preserve">El contratista, a fin de apoyar la ejecución de algunas de las obligaciones contraídas en virtud de la contratación respectiva NO podrá subcontratar con terceros la prestación del servicio.</t>
        </is>
      </c>
      <c r="U24" s="0" t="inlineStr">
        <is>
          <t xml:space="preserve">Jefe Administrativo Regional o quien le subrogue</t>
        </is>
      </c>
      <c r="V24"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24" s="5" t="str">
        <f>HYPERLINK("https://www.mercadopublico.cl/Procurement/Modules/Attachment/ViewAttachment.aspx?enc=ESzh791xSltI8nhtPd9wh%2fKu%2bfJhS2%2bxtgPRBCQ7lqezRp3PpvVyX62Ehgi%2fja5SfMNNyiCDOpaXs71%2fO7vitxdxjr5RFiBkwp1M%2beOc7N%2fplRGhrxhZL4Fx%2fwNp6ntiVXzjTo2miYH3t99%2bO1e%2fpX6eH7RAx5Kp6fT5%2bDrIlXpII8QkAU1Z66yc1c361YhKRNuqtHzzmK67GQireTWi0i4WyQp9EYeoxCOAW6fTNKvxwMrb%2fPysVNk2vKbpz06xrhb7Z9c7agdo98tDVhwd8Mx6ZSdH6u%2fwjdOHOBqDo7COf%2f%2feFOBIzx6aiAOSUzeV","descargar bases")</f>
      </c>
    </row>
    <row r="25">
      <c r="A25" s="0" t="inlineStr">
        <is>
          <t xml:space="preserve">4511-53-LE26</t>
        </is>
      </c>
      <c r="B25" s="4" t="inlineStr">
        <is>
          <t xml:space="preserve">CONTRATACIÓN SISTEMA DE GESTIÓN DOCUMENTAL</t>
        </is>
      </c>
      <c r="C25" s="0" t="inlineStr">
        <is>
          <t xml:space="preserve">Publicada</t>
        </is>
      </c>
      <c r="D25" s="0" t="inlineStr">
        <is>
          <t xml:space="preserve">ILUSTRE MUNICIPALIDAD DE RETIRO</t>
        </is>
      </c>
      <c r="E25" s="0" t="inlineStr">
        <is>
          <t xml:space="preserve">Secpla</t>
        </is>
      </c>
      <c r="F25" s="0" t="inlineStr">
        <is>
          <t xml:space="preserve">Región del Maule </t>
        </is>
      </c>
      <c r="G25" s="0" t="inlineStr">
        <is>
          <t xml:space="preserve">Retiro</t>
        </is>
      </c>
      <c r="H25" s="2">
        <v>46279.616782</v>
      </c>
      <c r="I25" s="2">
        <v>46290.625694</v>
      </c>
      <c r="J25" s="0">
        <v>2</v>
      </c>
      <c r="K25" s="3"/>
      <c r="L25" s="0" t="inlineStr">
        <is>
          <t xml:space="preserve">CLP</t>
        </is>
      </c>
      <c r="M25" s="0" t="inlineStr">
        <is>
          <t xml:space="preserve">LE</t>
        </is>
      </c>
      <c r="N25" s="4" t="inlineStr">
        <is>
          <t xml:space="preserve">Tecnologías de la información, telecomunicaciones y radiodifusión / Software / Software de consultas y gestión de datos</t>
        </is>
      </c>
      <c r="O25" s="4" t="inlineStr">
        <is>
          <t xml:space="preserve">1 Global · Software de creación de informes de bases de datos</t>
        </is>
      </c>
      <c r="P25" s="2"/>
      <c r="Q25" s="2"/>
      <c r="R25" s="0" t="inlineStr">
        <is>
          <t xml:space="preserve">24 meses</t>
        </is>
      </c>
      <c r="S25" s="0" t="inlineStr">
        <is>
          <t xml:space="preserve">No</t>
        </is>
      </c>
      <c r="T25" s="4" t="inlineStr">
        <is>
          <t xml:space="preserve">CONFORME NUMERAl 21.8</t>
        </is>
      </c>
      <c r="U25" s="0" t="inlineStr">
        <is>
          <t xml:space="preserve">ADELQUI MILLAR</t>
        </is>
      </c>
      <c r="V25"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25" s="5" t="str">
        <f>HYPERLINK("https://www.mercadopublico.cl/Procurement/Modules/Attachment/ViewAttachment.aspx?enc=tlueUa241xbjHuSNRY3%2fMDqWT%2bnVKFs0VjZcA1r7UGrpwWEUGFddwrr8HAq5zR5Lh%2b9KY1uK2x%2fdArJzl%2bzZ8KMScuRNfO9iuk0WF52PUcjBdl8N2g6uCQyBc10Cd3I2GHx%2bk%2bY6lL1K7e45Yb5QYH%2bJSOm7O75jC1sOLRL8jZYZA6pAzFqsqay%2birtPRzp79oQ83BvlLeMrIWCTt6qhQb%2bAYNq2irwFqXiRuzgBLZ3wfkN00tO0qn1Kf3oA5369sioU5MC4sQtpmCQT2D6peIHys%2fXZ4yXTAarYfEXRqdVHthcbwdsVku1XZI3qnDci","descargar bases")</f>
      </c>
    </row>
    <row r="26">
      <c r="A26" s="0" t="inlineStr">
        <is>
          <t xml:space="preserve">1057448-50-L126</t>
        </is>
      </c>
      <c r="B26" s="4" t="inlineStr">
        <is>
          <t xml:space="preserve">CÁPSULAS DIGITALES PARA IMPLEMENTAR EN MOODLE DEL SERVICIO DE SALUD TARAPACÁ</t>
        </is>
      </c>
      <c r="C26" s="0" t="inlineStr">
        <is>
          <t xml:space="preserve">Publicada</t>
        </is>
      </c>
      <c r="D26" s="0" t="inlineStr">
        <is>
          <t xml:space="preserve">SERVICIO DE SALUD IQUIQUE</t>
        </is>
      </c>
      <c r="E26" s="0" t="inlineStr">
        <is>
          <t xml:space="preserve">Bienes y Servicios</t>
        </is>
      </c>
      <c r="F26" s="0" t="inlineStr">
        <is>
          <t xml:space="preserve">Región de Tarapacá  </t>
        </is>
      </c>
      <c r="G26" s="0" t="inlineStr">
        <is>
          <t xml:space="preserve">Iquique</t>
        </is>
      </c>
      <c r="H26" s="2">
        <v>46281.636111</v>
      </c>
      <c r="I26" s="2">
        <v>46290.636111</v>
      </c>
      <c r="J26" s="0">
        <v>2</v>
      </c>
      <c r="K26" s="3">
        <v>3201100.0</v>
      </c>
      <c r="L26" s="0" t="inlineStr">
        <is>
          <t xml:space="preserve">CLP</t>
        </is>
      </c>
      <c r="M26" s="0" t="inlineStr">
        <is>
          <t xml:space="preserve">L1</t>
        </is>
      </c>
      <c r="N26" s="4" t="inlineStr">
        <is>
          <t xml:space="preserve">Servicios profesionales, administrativos y consultorías de gestión empresarial / Servicios de recursos humanos / Consultorías para el desarrollo de recursos humanos</t>
        </is>
      </c>
      <c r="O26" s="4" t="inlineStr">
        <is>
          <t xml:space="preserve">1 Unidad · Formación, capacitación y entrenamiento de personal</t>
        </is>
      </c>
      <c r="P26" s="2"/>
      <c r="Q26" s="2"/>
      <c r="R26" s="0"/>
      <c r="S26" s="0" t="inlineStr">
        <is>
          <t xml:space="preserve">No</t>
        </is>
      </c>
      <c r="T26" s="4"/>
      <c r="U26" s="0"/>
      <c r="V26" s="4" t="inlineStr">
        <is>
          <t xml:space="preserve">Capacitación en Elaboración de Plan de cuidados integrales, GES de Salud Mental y Gestión de casos complejos de Salud Mental en APS (categorización N3 de riesgo biopsicosocial)</t>
        </is>
      </c>
      <c r="W26" s="5" t="str">
        <f>HYPERLINK("https://www.mercadopublico.cl/Procurement/Modules/Attachment/ViewAttachment.aspx?enc=xKSHYm4GmYYmDNgtRZv1wsLpArieXZBP6Lny2FTkcMypstk832vvVoK0yJ6W6eeHg0h1BxRVzZApzK%2fFik%2bUC7IenfyzOab%2bLOMr1531SjH6crPHU3IbEdocFfz7hEJWvra5Bf6jzMUpbeOEf0Ftmv4GtIwEZ2B557wIlBQcFhzHtaXIYLrpw8JxL9L0ABfRMPs5RkIFS5LeqDdU%2fIqV%2fC7nv8PyR9RirZPjCKtLQIyV%2f5KHHG1pFgRrLXn6K5eCCgr6qZLypFpwRvD%2f1iSEea6eVm1WBJZkg09dpARky0GENr6%2ffVbZzePRyvdk%2fu0U","descargar bases")</f>
      </c>
    </row>
    <row r="27">
      <c r="A27" s="0" t="inlineStr">
        <is>
          <t xml:space="preserve">609-27-LE26</t>
        </is>
      </c>
      <c r="B27" s="4" t="inlineStr">
        <is>
          <t xml:space="preserve">ADQUISICIÓN DE 10 LICENCIAS ADOBE CREATIVE CLOUD</t>
        </is>
      </c>
      <c r="C27" s="0" t="inlineStr">
        <is>
          <t xml:space="preserve">Publicada</t>
        </is>
      </c>
      <c r="D27" s="0" t="inlineStr">
        <is>
          <t xml:space="preserve">INSTITUTO DE DESARROLLO AGROPECUARIO</t>
        </is>
      </c>
      <c r="E27" s="0" t="inlineStr">
        <is>
          <t xml:space="preserve">Instituto de Desarrollo Agropecuario - INDAP</t>
        </is>
      </c>
      <c r="F27" s="0" t="inlineStr">
        <is>
          <t xml:space="preserve">Región Metropolitana de Santiago</t>
        </is>
      </c>
      <c r="G27" s="0" t="inlineStr">
        <is>
          <t xml:space="preserve">Santiago</t>
        </is>
      </c>
      <c r="H27" s="2">
        <v>46279.45897</v>
      </c>
      <c r="I27" s="2">
        <v>46290.645833</v>
      </c>
      <c r="J27" s="0">
        <v>2</v>
      </c>
      <c r="K27" s="3">
        <v>12000000.0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Unidad · Software de gestión de licencias</t>
        </is>
      </c>
      <c r="P27" s="2"/>
      <c r="Q27" s="2"/>
      <c r="R27" s="0"/>
      <c r="S27" s="0" t="inlineStr">
        <is>
          <t xml:space="preserve">No</t>
        </is>
      </c>
      <c r="T27" s="4" t="inlineStr">
        <is>
          <t xml:space="preserve">El oferente adjudicado no podrá ceder ni transferir en forma alguna, total ni parcialmente, los derechos y obligaciones que nacen del desarrollo de la presente licitación y de su adjudicación.</t>
        </is>
      </c>
      <c r="U27" s="0" t="inlineStr">
        <is>
          <t xml:space="preserve">Benjamín Caroca</t>
        </is>
      </c>
      <c r="V27"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27" s="5" t="str">
        <f>HYPERLINK("https://www.mercadopublico.cl/Procurement/Modules/Attachment/ViewAttachment.aspx?enc=jrBz3Ay9aQ50BhCQ2Mcp%2fj6Kl%2faoW%2fZZ310VCOhxR96fXAjp5EcevnoDq%2brV%2b8%2fAfK7neYUylSKLz77msDBCHWsnfql7KfMfCrTeZvBRD6viiT0wBNaXqGpJaJM9TLnf9Nl2fuCbUMW5Bo2ZI4abLOW4wcNpkgtvQ21dLfGwCAlq2yiLny42AowseYp3waSJuiIA1i3C5%2b8OnVioJaisNAcQSiFNyQpYd%2bOgl6Z1isTLwwulrTzn77FXYkK%2fT0M0w6h6dK3a%2f8yf0ny4P4t2YyLGdKFl25w6u6Dt3OiVpNQQOH6dtBzhHLC9%2fDJ82qA8","descargar bases")</f>
      </c>
    </row>
    <row r="28">
      <c r="A28" s="0" t="inlineStr">
        <is>
          <t xml:space="preserve">3019-20-LE26</t>
        </is>
      </c>
      <c r="B28" s="4" t="inlineStr">
        <is>
          <t xml:space="preserve">SOFTWARE CARRERA FUNCIONARIA APS LOTA</t>
        </is>
      </c>
      <c r="C28" s="0" t="inlineStr">
        <is>
          <t xml:space="preserve">Publicada</t>
        </is>
      </c>
      <c r="D28" s="0" t="inlineStr">
        <is>
          <t xml:space="preserve">I MUNICIPALIDAD DE LOTA</t>
        </is>
      </c>
      <c r="E28" s="0" t="inlineStr">
        <is>
          <t xml:space="preserve">Departamento de Salud</t>
        </is>
      </c>
      <c r="F28" s="0" t="inlineStr">
        <is>
          <t xml:space="preserve">Región del Biobío </t>
        </is>
      </c>
      <c r="G28" s="0" t="inlineStr">
        <is>
          <t xml:space="preserve">Lota</t>
        </is>
      </c>
      <c r="H28" s="2">
        <v>46275.680035</v>
      </c>
      <c r="I28" s="2">
        <v>46290.666667</v>
      </c>
      <c r="J28" s="0">
        <v>2</v>
      </c>
      <c r="K28" s="3"/>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1 Unidad · Software de gestión de recursos humanos</t>
        </is>
      </c>
      <c r="P28" s="2"/>
      <c r="Q28" s="2"/>
      <c r="R28" s="0"/>
      <c r="S28" s="0" t="inlineStr">
        <is>
          <t xml:space="preserve">No</t>
        </is>
      </c>
      <c r="T28" s="4"/>
      <c r="U28" s="0" t="inlineStr">
        <is>
          <t xml:space="preserve">DAVID FERNANDEZ TORRES</t>
        </is>
      </c>
      <c r="V28"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28" s="5" t="str">
        <f>HYPERLINK("https://www.mercadopublico.cl/Procurement/Modules/Attachment/ViewAttachment.aspx?enc=jvkrKPY8AtlJuXPdfzmsrZLtI0PoKzdNSj5%2fMwDyVCEEkrUWQA2BwoESOw7wlRV12%2bFnacIpw86Hvxyo8OHuxqkQwK7RcvHXnklJwhtUKqtX3cD8zKoWqgVZwMFobK5oNlNSLHSlDCvhPZgzZLVZMf54xNGLv7qaqYve6r1KD7016N6HXejinqLTnZtcpwXDapcMAnFuwlkXZ7iaBrFFY%2f5XV0ZXhHskpX6ZBoxlAdmyhbT5i0Gzu%2brgGJZf5d3smHweQLCzwOLyfoQ02kugckvub7L%2fCNG28X2wMVmJ8uASpqv%2b8py1P%2fvmRFsJHJnn","descargar bases")</f>
      </c>
    </row>
    <row r="29">
      <c r="A29" s="0" t="inlineStr">
        <is>
          <t xml:space="preserve">948354-138-LE26</t>
        </is>
      </c>
      <c r="B29" s="4" t="inlineStr">
        <is>
          <t xml:space="preserve">CONTRATACIÓN DEL SERVICIO DE LICENCIAMIENTO IMPLEMENTACIÓN MANTENCIÓN ACTUALIZACIÓN Y SOPORTE DE SOLUCIÓN INFORMÁTICA PARA LA GESTIÓN DE CALIDAD EN SALUD DEL HOSPITAL DIPRECA</t>
        </is>
      </c>
      <c r="C29" s="0" t="inlineStr">
        <is>
          <t xml:space="preserve">Publicada</t>
        </is>
      </c>
      <c r="D29" s="0" t="inlineStr">
        <is>
          <t xml:space="preserve">FONDO HOSPITAL DE LA DIRECCION DE PREVISION DE CARABINEROS DE CHILE</t>
        </is>
      </c>
      <c r="E29" s="0" t="inlineStr">
        <is>
          <t xml:space="preserve">Unidad de Compra de Bienes y Servicios</t>
        </is>
      </c>
      <c r="F29" s="0" t="inlineStr">
        <is>
          <t xml:space="preserve">Región Metropolitana de Santiago</t>
        </is>
      </c>
      <c r="G29" s="0" t="inlineStr">
        <is>
          <t xml:space="preserve">Las Condes</t>
        </is>
      </c>
      <c r="H29" s="2">
        <v>46280.634433</v>
      </c>
      <c r="I29" s="2">
        <v>46290.666667</v>
      </c>
      <c r="J29" s="0">
        <v>2</v>
      </c>
      <c r="K29" s="3">
        <v>35000000.0</v>
      </c>
      <c r="L29" s="0" t="inlineStr">
        <is>
          <t xml:space="preserve">CLP</t>
        </is>
      </c>
      <c r="M29" s="0" t="inlineStr">
        <is>
          <t xml:space="preserve">LE</t>
        </is>
      </c>
      <c r="N29" s="4" t="inlineStr">
        <is>
          <t xml:space="preserve">Tecnologías de la información, telecomunicaciones y radiodifusión / Software / Software de consultas y gestión de datos</t>
        </is>
      </c>
      <c r="O29" s="4" t="inlineStr">
        <is>
          <t xml:space="preserve">36 Mes · Software de administración de metadatos</t>
        </is>
      </c>
      <c r="P29" s="2"/>
      <c r="Q29" s="2"/>
      <c r="R29" s="0" t="inlineStr">
        <is>
          <t xml:space="preserve">36 meses</t>
        </is>
      </c>
      <c r="S29" s="0" t="inlineStr">
        <is>
          <t xml:space="preserve">No</t>
        </is>
      </c>
      <c r="T29" s="4"/>
      <c r="U29" s="0" t="inlineStr">
        <is>
          <t xml:space="preserve">Patricio Salinas Morán</t>
        </is>
      </c>
      <c r="V29"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29" s="5" t="str">
        <f>HYPERLINK("https://www.mercadopublico.cl/Procurement/Modules/Attachment/ViewAttachment.aspx?enc=Fj980xlHZoNrlzQNwRJgCMaCpcBIjGF9nsa4tjiR1hqhCWgS6GWTw%2bBPoZ82C4KpJVUMjEh0Ur%2f8%2b1NOg9wB%2fW1aEDVJStZ83Ha6j0LFB5HI23l3y0FYZtdD3adEuTOrxY%2bWTxq8xAZAI8Oukk%2fG11uLNNDN9KzYVw8qFkh%2byx1n1JQJyna4bKVvMnKZt6rXDs2ci6vKABTj69QoKIIsihxJfQQyirRdHYgLRzSOwfqPX3yBaIUtGqUXSC6MCNTo72RwVoprhs%2bbEB1xmekBadYIK81BG9cm5Tn7Tc9rVghPAWqXK35awnWCJMPoy8PR","descargar bases")</f>
      </c>
    </row>
    <row r="30">
      <c r="A30" s="0" t="inlineStr">
        <is>
          <t xml:space="preserve">2176-44-LE26</t>
        </is>
      </c>
      <c r="B30" s="4" t="inlineStr">
        <is>
          <t xml:space="preserve">OBRA REP. DE TABLEROS ELECTRICOS CAPJ ZONAL VALPO</t>
        </is>
      </c>
      <c r="C30" s="0" t="inlineStr">
        <is>
          <t xml:space="preserve">Publicada</t>
        </is>
      </c>
      <c r="D30" s="0" t="inlineStr">
        <is>
          <t xml:space="preserve">CORP ADMINISTRATIVA DEL PODER JUDICIAL</t>
        </is>
      </c>
      <c r="E30" s="0" t="inlineStr">
        <is>
          <t xml:space="preserve">Corp. Adm. del Poder Judicial -  Valparaiso</t>
        </is>
      </c>
      <c r="F30" s="0" t="inlineStr">
        <is>
          <t xml:space="preserve">Región de Valparaíso </t>
        </is>
      </c>
      <c r="G30" s="0" t="inlineStr">
        <is>
          <t xml:space="preserve">Valparaíso</t>
        </is>
      </c>
      <c r="H30" s="2">
        <v>46274.714155</v>
      </c>
      <c r="I30" s="2">
        <v>46293.625</v>
      </c>
      <c r="J30" s="0">
        <v>5</v>
      </c>
      <c r="K30" s="3"/>
      <c r="L30" s="0" t="inlineStr">
        <is>
          <t xml:space="preserve">CLP</t>
        </is>
      </c>
      <c r="M30" s="0" t="inlineStr">
        <is>
          <t xml:space="preserve">LE</t>
        </is>
      </c>
      <c r="N30" s="4" t="inlineStr">
        <is>
          <t xml:space="preserve">Servicios de construcción y mantenimiento / Servicios de atención, mantenimiento y reparaciones de edificios / Servicios eléctricos</t>
        </is>
      </c>
      <c r="O30" s="4" t="inlineStr">
        <is>
          <t xml:space="preserve">1 Global · Instalación o servicio de sistemas de energía eléctrica</t>
        </is>
      </c>
      <c r="P30" s="2"/>
      <c r="Q30" s="2"/>
      <c r="R30" s="0"/>
      <c r="S30" s="0" t="inlineStr">
        <is>
          <t xml:space="preserve">No</t>
        </is>
      </c>
      <c r="T30" s="4"/>
      <c r="U30" s="0" t="inlineStr">
        <is>
          <t xml:space="preserve">VICTOR VILLARROEL CORRALES</t>
        </is>
      </c>
      <c r="V30" s="4" t="inlineStr">
        <is>
          <t xml:space="preserve">OBRA DE REPARACION DE TABLEROS ELECTRICOS EN 10 EDIFICIOS CAPJ ZONAL VALPARAISO.</t>
        </is>
      </c>
      <c r="W30" s="5" t="str">
        <f>HYPERLINK("https://www.mercadopublico.cl/Procurement/Modules/Attachment/ViewAttachment.aspx?enc=obY06vQWXSPZJ4BEgvbcH7RYlsdhRheOaD2M0MWZnx73tjeZeqsQr53Y0I%2b%2bojS7YbafoUyxtgd%2f8tJT9guPO6O3aDNePQqyhYkqrWmyKdahm%2fghQpSFvDuamvFBeYWR6lrYvJvouiyF3FUJ3o1p9p6ferPo%2fjE%2bYbh6mV8anhod4EjWbDy57pG80Fdm8GUf12KOTM7xY2DL2sl2GWZQTGSj0C9Mdh6uIgcnghHTZVVlCP214eygXt95gi%2fyk5JIO1CLfa1K4isPHwZOa0ifCKEJD%2fC7xonaOPMU2VkA7XMtr91TlrqVE3%2fE6G%2bevgVB","descargar bases")</f>
      </c>
    </row>
    <row r="31">
      <c r="A31" s="0" t="inlineStr">
        <is>
          <t xml:space="preserve">564162-129-L126</t>
        </is>
      </c>
      <c r="B31" s="4" t="inlineStr">
        <is>
          <t xml:space="preserve">Solicitud N°92870 - Bolsas, etiquetas y cajas con impresión digital - CC112 / PS1772</t>
        </is>
      </c>
      <c r="C31" s="0" t="inlineStr">
        <is>
          <t xml:space="preserve">Publicada</t>
        </is>
      </c>
      <c r="D31" s="0" t="inlineStr">
        <is>
          <t xml:space="preserve">UNIVERSIDAD DE SANTIAGO DE CHILE</t>
        </is>
      </c>
      <c r="E31" s="0" t="inlineStr">
        <is>
          <t xml:space="preserve">VICERRECTORIA DE INVESTIGACION Y DESARROLLO</t>
        </is>
      </c>
      <c r="F31" s="0" t="inlineStr">
        <is>
          <t xml:space="preserve">Región Metropolitana de Santiago</t>
        </is>
      </c>
      <c r="G31" s="0" t="inlineStr">
        <is>
          <t xml:space="preserve">Estación Central</t>
        </is>
      </c>
      <c r="H31" s="2">
        <v>46286.629282</v>
      </c>
      <c r="I31" s="2">
        <v>46293.625</v>
      </c>
      <c r="J31" s="0">
        <v>5</v>
      </c>
      <c r="K31" s="3">
        <v>5210000.0</v>
      </c>
      <c r="L31" s="0" t="inlineStr">
        <is>
          <t xml:space="preserve">CLP</t>
        </is>
      </c>
      <c r="M31" s="0" t="inlineStr">
        <is>
          <t xml:space="preserve">L1</t>
        </is>
      </c>
      <c r="N31"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31" s="4" t="inlineStr">
        <is>
          <t xml:space="preserve">1 Unidad · Cajas para empaquetado · 1 Unidad · Cajas para empaquetado · 1 Unidad · Papel, bolsas o cajas de regalo · y 2 más</t>
        </is>
      </c>
      <c r="P31" s="2"/>
      <c r="Q31" s="2"/>
      <c r="R31" s="0"/>
      <c r="S31" s="0" t="inlineStr">
        <is>
          <t xml:space="preserve">No</t>
        </is>
      </c>
      <c r="T31" s="4"/>
      <c r="U31" s="0"/>
      <c r="V31" s="4" t="inlineStr">
        <is>
          <t xml:space="preserve">La Universidad de Santiago de Chile requiere la compra de bolsas, etiquetas y cajas con impresión digital según especificaciones técnicas.</t>
        </is>
      </c>
      <c r="W31" s="5" t="str">
        <f>HYPERLINK("https://www.mercadopublico.cl/Procurement/Modules/Attachment/ViewAttachment.aspx?enc=9HhGhFNBTnSOjyEMd2YsE7tT409tCmGD7gr80LOjzitoEz%2fAcziOJZ0ewORRLHOcX2BPbG2Les%2bHNoJZaH%2fdlUzrHFGR0y4WsY0FEcROOVlVeoXJakaHuEFC0u6yxOI4UFAbCuCk5ycfwg2k%2bHfoT8wdmfMWOn6B%2byDcyZCsK9PsPRDo7gmoH1jh0TLN7YPslnF4QUTFXM6eB3m4DD%2bvrLCk99P2cBvdIVxC9g93wF0wQRyE9pEWSnMwkpTSxxxS%2f9MFDBW5r1A0NhCZ1SHezmNBDIUz%2bogCvPYzxywBuAPDEfYIahI6KF5ICZ2Tmwz%2f","descargar bases")</f>
      </c>
    </row>
    <row r="32">
      <c r="A32" s="0" t="inlineStr">
        <is>
          <t xml:space="preserve">870-10-L126</t>
        </is>
      </c>
      <c r="B32" s="4" t="inlineStr">
        <is>
          <t xml:space="preserve">E102RT8 RENOVACIÓN DE LICENCIAS DE SOFTWARE PARA LA COMISIÓN NACIONAL DE RIEGO</t>
        </is>
      </c>
      <c r="C32" s="0" t="inlineStr">
        <is>
          <t xml:space="preserve">Publicada</t>
        </is>
      </c>
      <c r="D32" s="0" t="inlineStr">
        <is>
          <t xml:space="preserve">COMISION NACIONAL DE RIEGO</t>
        </is>
      </c>
      <c r="E32" s="0" t="inlineStr">
        <is>
          <t xml:space="preserve">Comisión Nacional de Riego</t>
        </is>
      </c>
      <c r="F32" s="0" t="inlineStr">
        <is>
          <t xml:space="preserve">Región Metropolitana de Santiago</t>
        </is>
      </c>
      <c r="G32" s="0" t="inlineStr">
        <is>
          <t xml:space="preserve">Santiago</t>
        </is>
      </c>
      <c r="H32" s="2">
        <v>46287.486319</v>
      </c>
      <c r="I32" s="2">
        <v>46293.625</v>
      </c>
      <c r="J32" s="0">
        <v>5</v>
      </c>
      <c r="K32" s="3">
        <v>2650000.0</v>
      </c>
      <c r="L32" s="0" t="inlineStr">
        <is>
          <t xml:space="preserve">CLP</t>
        </is>
      </c>
      <c r="M32" s="0" t="inlineStr">
        <is>
          <t xml:space="preserve">L1</t>
        </is>
      </c>
      <c r="N32" s="4" t="inlineStr">
        <is>
          <t xml:space="preserve">Tecnologías de la información, telecomunicaciones y radiodifusión / Software / Programas de desarrollo</t>
        </is>
      </c>
      <c r="O32" s="4" t="inlineStr">
        <is>
          <t xml:space="preserve">1 Unidad no definida · Software de desarrollo de plataforma Web · 2 Unidad no definida · Software de desarrollo de plataforma Web · 3 Unidad no definida · Software de desarrollo de plataforma Web · y 1 más</t>
        </is>
      </c>
      <c r="P32" s="2"/>
      <c r="Q32" s="2"/>
      <c r="R32" s="0"/>
      <c r="S32" s="0" t="inlineStr">
        <is>
          <t xml:space="preserve">No</t>
        </is>
      </c>
      <c r="T32" s="4"/>
      <c r="U32" s="0"/>
      <c r="V32" s="4" t="inlineStr">
        <is>
          <t xml:space="preserve">La presente licitación tiene por objeto la renovación de licencias por un período de 12 meses, con el fin de asegurar la continuidad operacional de la Comisión Nacional de Riego.</t>
        </is>
      </c>
      <c r="W32" s="5" t="str">
        <f>HYPERLINK("https://www.mercadopublico.cl/Procurement/Modules/Attachment/ViewAttachment.aspx?enc=fhjUdQut%2bhXa1KQkBm0n%2fHKIQIaS%2bM26sc%2bCL0o7aufqGCDzlTCTYK3ak9Q4NGbu%2fLHqtQAQ7TIqh%2bIjJWGDf%2fxKBJKKuoZilI8TLjL2RkdLdDAVY4YYz7prfMOuSHD4POl6%2bQj%2fnv8wEHJa7sX0HfJ77ldXTv%2bS8EwMOM0RoeL158jcM%2femEXrY%2bhWjdlm4bad62TkFnlbDZqR9sEdpppwQYjW3JpzwtLL3eWiwiINA0bD26UeTOBb1adIkC7hXwUZBDdctEE9vDpiU6C6INOYYpf%2bdkXS0KNrWfnVg9i2CyhQ%2bOUYwnEmpHnN9jTRK","descargar bases")</f>
      </c>
    </row>
    <row r="33">
      <c r="A33" s="0" t="inlineStr">
        <is>
          <t xml:space="preserve">2974-75-L126</t>
        </is>
      </c>
      <c r="B33" s="4" t="inlineStr">
        <is>
          <t xml:space="preserve">SERVICIO DE MANTENIMIENTO PREVENTIVO Y CORRECTIVO PARA LA PLATAFORMA DEL CAMIÓN PAF-29</t>
        </is>
      </c>
      <c r="C33" s="0" t="inlineStr">
        <is>
          <t xml:space="preserve">Publicada</t>
        </is>
      </c>
      <c r="D33" s="0" t="inlineStr">
        <is>
          <t xml:space="preserve">FUERZA AEREA DE CHILE COMANDO LOGISTICO</t>
        </is>
      </c>
      <c r="E33" s="0" t="inlineStr">
        <is>
          <t xml:space="preserve">División de Bienestar Social</t>
        </is>
      </c>
      <c r="F33" s="0" t="inlineStr">
        <is>
          <t xml:space="preserve">Región de Valparaíso </t>
        </is>
      </c>
      <c r="G33" s="0" t="inlineStr">
        <is>
          <t xml:space="preserve">El Quisco</t>
        </is>
      </c>
      <c r="H33" s="2">
        <v>46287.837373</v>
      </c>
      <c r="I33" s="2">
        <v>46293.625</v>
      </c>
      <c r="J33" s="0">
        <v>5</v>
      </c>
      <c r="K33" s="3">
        <v>1725500.0</v>
      </c>
      <c r="L33" s="0" t="inlineStr">
        <is>
          <t xml:space="preserve">CLP</t>
        </is>
      </c>
      <c r="M33" s="0" t="inlineStr">
        <is>
          <t xml:space="preserve">L1</t>
        </is>
      </c>
      <c r="N33" s="4" t="inlineStr">
        <is>
          <t xml:space="preserve">Vehículos y equipamiento en general / Vehículos motorizados / Vehículos para transporte de carga</t>
        </is>
      </c>
      <c r="O33" s="4" t="inlineStr">
        <is>
          <t xml:space="preserve">1 Global · Camiones de reparto</t>
        </is>
      </c>
      <c r="P33" s="2"/>
      <c r="Q33" s="2"/>
      <c r="R33" s="0"/>
      <c r="S33" s="0" t="inlineStr">
        <is>
          <t xml:space="preserve">No</t>
        </is>
      </c>
      <c r="T33" s="4"/>
      <c r="U33" s="0"/>
      <c r="V33" s="4" t="inlineStr">
        <is>
          <t xml:space="preserve">SERVICIO DE MANTENIMIENTO PREVENTIVO Y CORRECTIVO PARA LA PLATAFORMA DEL CAMIÓN PAF-29, SEGÚN ESPECIFICACIONES TÉCNICAS ADJUNTAS</t>
        </is>
      </c>
      <c r="W33" s="5" t="str">
        <f>HYPERLINK("https://www.mercadopublico.cl/Procurement/Modules/Attachment/ViewAttachment.aspx?enc=300MSikyua9FxqFITkNm9kNKDUdUPesgUzKy6jCugnImkx%2fyqC%2bPO6y5ADpvu2MQnlYuhPp9GAPMSGCDYRs45DBAx4c3h8zP0nxY0Y4mcLN8tpmqM0tmxnQf%2fZgb0my9bKToLuAaO9H5Nsfanm%2fN1kxdMPF8Nr%2b8RuKXcj2lnlAakLtbQwDPiDqC9HYEdlUP3wxNHdJRzPNFGr%2bPhsY%2foK86MjHj9zp5S4BKSm%2fSKAwkUQX3YGDywYjB9edPTdKXw%2fY5Jd0pot5UGlZe1n8LwVVSKlR5wFDBFYiSNQa0FcDRj0mRkbZorNl6QKp8OrND","descargar bases")</f>
      </c>
    </row>
    <row r="34">
      <c r="A34" s="0" t="inlineStr">
        <is>
          <t xml:space="preserve">594965-27-LE26</t>
        </is>
      </c>
      <c r="B34" s="4" t="inlineStr">
        <is>
          <t xml:space="preserve">INSUMOS INFORMÁTICOS PARA REGION DE OHIGGINS</t>
        </is>
      </c>
      <c r="C34" s="0" t="inlineStr">
        <is>
          <t xml:space="preserve">Publicada</t>
        </is>
      </c>
      <c r="D34" s="0" t="inlineStr">
        <is>
          <t xml:space="preserve">FUNDACION EDUCACIONAL PARA EL DESAROLLO INTEGRAL DE LA NIÑEZ</t>
        </is>
      </c>
      <c r="E34" s="0" t="inlineStr">
        <is>
          <t xml:space="preserve">Regional Lib Bdo Ohiggins</t>
        </is>
      </c>
      <c r="F34" s="0" t="inlineStr">
        <is>
          <t xml:space="preserve">Región del Libertador General Bernardo O´Higgins</t>
        </is>
      </c>
      <c r="G34" s="0" t="inlineStr">
        <is>
          <t xml:space="preserve">Rancagua</t>
        </is>
      </c>
      <c r="H34" s="2">
        <v>46273.709907</v>
      </c>
      <c r="I34" s="2">
        <v>46293.625</v>
      </c>
      <c r="J34" s="0">
        <v>5</v>
      </c>
      <c r="K34" s="3">
        <v>37984000.0</v>
      </c>
      <c r="L34" s="0" t="inlineStr">
        <is>
          <t xml:space="preserve">CLP</t>
        </is>
      </c>
      <c r="M34" s="0" t="inlineStr">
        <is>
          <t xml:space="preserve">LE</t>
        </is>
      </c>
      <c r="N34" s="4" t="inlineStr">
        <is>
          <t xml:space="preserve">Equipos, accesorios y suministros de oficina / Maquinarias, suministros y accesorios de oficina / Suministros para impresora, fax y fotocopiadora</t>
        </is>
      </c>
      <c r="O34" s="4" t="inlineStr">
        <is>
          <t xml:space="preserve">124 Unidad · Tóner · 139 Unidad · Tóner · 57 Unidad · Tóner · y 36 más</t>
        </is>
      </c>
      <c r="P34" s="2"/>
      <c r="Q34" s="2"/>
      <c r="R34" s="0"/>
      <c r="S34" s="0" t="inlineStr">
        <is>
          <t xml:space="preserve">No</t>
        </is>
      </c>
      <c r="T34" s="4" t="inlineStr">
        <is>
          <t xml:space="preserve">SEGUN RESOLUCION ADMINISTRATIVA NUMERAL 9.2</t>
        </is>
      </c>
      <c r="U34" s="0" t="inlineStr">
        <is>
          <t xml:space="preserve">MARIO ORTIZ ESPINOZA</t>
        </is>
      </c>
      <c r="V34"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34" s="5" t="str">
        <f>HYPERLINK("https://www.mercadopublico.cl/Procurement/Modules/Attachment/ViewAttachment.aspx?enc=my4xi7Jn%2fqh4tLlRN3%2bMG9fmtSo1zWs1yCcdSpLm66fvUMBG7TQjbjTOUVq4yf%2bYEsNFqpSSJ006FuCqTwnJZ6sSgFmFzKIi1%2b%2bfDppv5W3pdDxB7XIEVoyI%2f1%2fKwcNAebu91FVFyImdij2i%2fl%2fBIZ8gzrx10FMFAlMGxPo8em5t%2ft7sypMMJJVm8n%2f0IkI%2ffZE8iSbKF%2bvccnyt8pPJOpCs3APmeq19R6y6DSYltouX6nlBVlUSQDQC%2f3175nlvt0BSYfTKVgPrqa1etAUikdUizQff%2b83g0oz5IGjTS1r%2buMDc%2fQhahX8YcunsxTpF","descargar bases")</f>
      </c>
    </row>
    <row r="35">
      <c r="A35" s="0" t="inlineStr">
        <is>
          <t xml:space="preserve">1375761-52-LE26</t>
        </is>
      </c>
      <c r="B35" s="4" t="inlineStr">
        <is>
          <t xml:space="preserve">LICENCIAS DE SOFTWARE PARA EL SLEP VALLE DIGUILLIN</t>
        </is>
      </c>
      <c r="C35" s="0" t="inlineStr">
        <is>
          <t xml:space="preserve">Publicada</t>
        </is>
      </c>
      <c r="D35" s="0" t="inlineStr">
        <is>
          <t xml:space="preserve">SERVICIO LOCAL DE EDUCACIÓN PÚBLICA VALLE DIGUILLÍN</t>
        </is>
      </c>
      <c r="E35" s="0" t="inlineStr">
        <is>
          <t xml:space="preserve">COMPRAS Y LICITACIONES</t>
        </is>
      </c>
      <c r="F35" s="0" t="inlineStr">
        <is>
          <t xml:space="preserve">Región del Ñuble</t>
        </is>
      </c>
      <c r="G35" s="0"/>
      <c r="H35" s="2">
        <v>46281.653553</v>
      </c>
      <c r="I35" s="2">
        <v>46293.625694</v>
      </c>
      <c r="J35" s="0">
        <v>5</v>
      </c>
      <c r="K35" s="3"/>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1 Unidad · Paquetes de software para oficinas · 1 Unidad · Paquetes de software para oficinas · 1 Unidad · Paquetes de software para oficinas · y 1 más</t>
        </is>
      </c>
      <c r="P35" s="2"/>
      <c r="Q35" s="2"/>
      <c r="R35" s="0"/>
      <c r="S35" s="0" t="inlineStr">
        <is>
          <t xml:space="preserve">No</t>
        </is>
      </c>
      <c r="T35" s="4"/>
      <c r="U35" s="0" t="inlineStr">
        <is>
          <t xml:space="preserve">SUBDIRECCIÓN DE PLANIFICACIÓN Y CONTROL DE GESTIÓN</t>
        </is>
      </c>
      <c r="V35"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35" s="5" t="str">
        <f>HYPERLINK("https://www.mercadopublico.cl/Procurement/Modules/Attachment/ViewAttachment.aspx?enc=lUzomoCU4e8T169d6FlV8lZ9SN8w7aWxL4PBoJYF7LWX%2bV0hK08IHoPUWCDjB1Kkv5s170fshJ5WomeGRkHrhqE%2bSEg4oe7goDNsnSHIG1HSJc7B0InyID1OLXdxbmzUbhTBlEDHt3sqLygv0Q8mCDlKwQMLUPBl%2bqSqnMFK%2bQwpGy%2bqJrN4pbB3iKjlKzzHw4TcqpSrsG0cc5SdfmL9zNvH%2baiWKRVYAHBoxmbf6LLpISy2RzQinFkEZduRC6jJFG1oHyd9UAZSsUYSGPQ2BnBcYyHXKmpIECkZ7ZvFXOoUr%2fWGjB%2fOr6o6GXgNfFK9","descargar bases")</f>
      </c>
    </row>
    <row r="36">
      <c r="A36" s="0" t="inlineStr">
        <is>
          <t xml:space="preserve">1978-81-LE26</t>
        </is>
      </c>
      <c r="B36" s="4" t="inlineStr">
        <is>
          <t xml:space="preserve">PLATAFORMA DE CAPACITACIÓN E-LEARNING CAPMAULE</t>
        </is>
      </c>
      <c r="C36" s="0" t="inlineStr">
        <is>
          <t xml:space="preserve">Publicada</t>
        </is>
      </c>
      <c r="D36" s="0" t="inlineStr">
        <is>
          <t xml:space="preserve">SERVICIO DE SALUD DEL MAULE</t>
        </is>
      </c>
      <c r="E36" s="0" t="inlineStr">
        <is>
          <t xml:space="preserve">Servicio de Salud del Maule</t>
        </is>
      </c>
      <c r="F36" s="0" t="inlineStr">
        <is>
          <t xml:space="preserve">Región del Maule </t>
        </is>
      </c>
      <c r="G36" s="0" t="inlineStr">
        <is>
          <t xml:space="preserve">Maule</t>
        </is>
      </c>
      <c r="H36" s="2">
        <v>46279.404873</v>
      </c>
      <c r="I36" s="2">
        <v>46293.625694</v>
      </c>
      <c r="J36" s="0">
        <v>5</v>
      </c>
      <c r="K36" s="3"/>
      <c r="L36" s="0" t="inlineStr">
        <is>
          <t xml:space="preserve">CLP</t>
        </is>
      </c>
      <c r="M36" s="0" t="inlineStr">
        <is>
          <t xml:space="preserve">LE</t>
        </is>
      </c>
      <c r="N36" s="4" t="inlineStr">
        <is>
          <t xml:space="preserve">Tecnologías de la información, telecomunicaciones y radiodifusión / Software / Software de aplicaciones de red</t>
        </is>
      </c>
      <c r="O36" s="4" t="inlineStr">
        <is>
          <t xml:space="preserve">1 Unidad · Software de servidor de aplicaciones</t>
        </is>
      </c>
      <c r="P36" s="2"/>
      <c r="Q36" s="2"/>
      <c r="R36" s="0" t="inlineStr">
        <is>
          <t xml:space="preserve">12 meses</t>
        </is>
      </c>
      <c r="S36" s="0" t="inlineStr">
        <is>
          <t xml:space="preserve">No</t>
        </is>
      </c>
      <c r="T36" s="4" t="inlineStr">
        <is>
          <t xml:space="preserve">De acuerdo a Artículo Nº29 de las Bases de Licitación.</t>
        </is>
      </c>
      <c r="U36" s="0" t="inlineStr">
        <is>
          <t xml:space="preserve">Marioly Gianini</t>
        </is>
      </c>
      <c r="V36"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36" s="5" t="str">
        <f>HYPERLINK("https://www.mercadopublico.cl/Procurement/Modules/Attachment/ViewAttachment.aspx?enc=Pzb%2bXx8pBpMfKS3Ws9oXBJjdBL1YeMcCk4eHBHQKKAfdAhfYLMNb%2ftRCg%2bkuqcI%2fUgq5YRrXAD8XHTVyEb3x0Hepztpc0mWJ9jvTAwn%2fWUvfJQd8RwPo0F%2fEDI2yvJg%2b2JReMORJafJKQACDNpmi7ReOboJrOni24MeEtlPdyJ4tFVXGKfSks6nQ%2fwMpuab25wnIOIQ%2fdSEBghch14mIURkfxjBdOAxJcMDTT8UhZv7%2bBNk3t1CoBZlCXmMXujiJAz%2faFfCmRIldv2s0avX7SyO5sxtLqTI5nlz4Oa6PYNGKaxAonqb8pwbPd26dGXQ%2f","descargar bases")</f>
      </c>
    </row>
    <row r="37">
      <c r="A37" s="0" t="inlineStr">
        <is>
          <t xml:space="preserve">1606-32-LE26</t>
        </is>
      </c>
      <c r="B37" s="4" t="inlineStr">
        <is>
          <t xml:space="preserve">CONTRATACIÓN SERVICIO DE DIAGRAMACIÓN DE PIEZAS GRÁFICAS Y WEB DEL PROYECTO “FORTALECIMIENTO DE LAS CAPACIDADES DE LATINOAMÉRICA Y EL CARIBE EN MATERIA DE CIBERSEGURIDAD” FINANCIADO POR LA UNIÓN EUROPEA.</t>
        </is>
      </c>
      <c r="C37" s="0" t="inlineStr">
        <is>
          <t xml:space="preserve">Publicada</t>
        </is>
      </c>
      <c r="D37" s="0" t="inlineStr">
        <is>
          <t xml:space="preserve">AGENCIA CHILENA DE COOPERACION INTERNACIONAL PARA EL DESARROLLO</t>
        </is>
      </c>
      <c r="E37" s="0" t="inlineStr">
        <is>
          <t xml:space="preserve">AGCID</t>
        </is>
      </c>
      <c r="F37" s="0" t="inlineStr">
        <is>
          <t xml:space="preserve">Región Metropolitana de Santiago</t>
        </is>
      </c>
      <c r="G37" s="0" t="inlineStr">
        <is>
          <t xml:space="preserve">Santiago</t>
        </is>
      </c>
      <c r="H37" s="2">
        <v>46282.406609</v>
      </c>
      <c r="I37" s="2">
        <v>46293.631944</v>
      </c>
      <c r="J37" s="0">
        <v>5</v>
      </c>
      <c r="K37" s="3"/>
      <c r="L37" s="0" t="inlineStr">
        <is>
          <t xml:space="preserve">EUR</t>
        </is>
      </c>
      <c r="M37" s="0" t="inlineStr">
        <is>
          <t xml:space="preserve">LE</t>
        </is>
      </c>
      <c r="N37" s="4" t="inlineStr">
        <is>
          <t xml:space="preserve">Servicios editoriales, de diseño, publicidad, gráficos y artistas / Servicios de impresión y reproducción / Impresión</t>
        </is>
      </c>
      <c r="O37" s="4" t="inlineStr">
        <is>
          <t xml:space="preserve">1 Unidad · Diagramación</t>
        </is>
      </c>
      <c r="P37" s="2"/>
      <c r="Q37" s="2"/>
      <c r="R37" s="0" t="inlineStr">
        <is>
          <t xml:space="preserve">7 meses</t>
        </is>
      </c>
      <c r="S37" s="0" t="inlineStr">
        <is>
          <t xml:space="preserve">No</t>
        </is>
      </c>
      <c r="T37" s="4" t="inlineStr">
        <is>
          <t xml:space="preserve">Según bases de licitación</t>
        </is>
      </c>
      <c r="U37" s="0" t="inlineStr">
        <is>
          <t xml:space="preserve">Paula Krautz</t>
        </is>
      </c>
      <c r="V37"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37" s="5" t="str">
        <f>HYPERLINK("https://www.mercadopublico.cl/Procurement/Modules/Attachment/ViewAttachment.aspx?enc=t%2bNxD0aBhgWI0I3UwHbJ0kXHTQ2kmB4ob7rPgxlQisSV7ZzB9nU439D4epWxBnRDmSed8BkgarfEwzzC4x%2fuB4kPOiT%2f221vFBu7yz%2fU5uTr%2fY5iZzmIUsqvjlH%2fvvFhT3syERkHju4i9Usb9UjPE%2b1gFgx%2b9IS73zCMM8XUwXsC4kFT7FN%2fzAhxQVMT%2bkhE2tUEWSAD6RDFJziQW2Y9Pw%2bCyM1q7jqFRwafR50yzwGweM5ohN40d9Oy7z7g9PihohH9h9koUNBRm2%2fBu5NpafQVrjVpGuJ12lUfhA%2boN8TqzBrmVMMjMr1xLdyNtTaf","descargar bases")</f>
      </c>
    </row>
    <row r="38">
      <c r="A38" s="0" t="inlineStr">
        <is>
          <t xml:space="preserve">1607-13-LR26</t>
        </is>
      </c>
      <c r="B38" s="4" t="inlineStr">
        <is>
          <t xml:space="preserve">servicio SD-WAN LAN telefonía en la nube y enlaces</t>
        </is>
      </c>
      <c r="C38" s="0" t="inlineStr">
        <is>
          <t xml:space="preserve">Publicada</t>
        </is>
      </c>
      <c r="D38" s="0" t="inlineStr">
        <is>
          <t xml:space="preserve">SUPERINTENDENCIA DE SEGURIDAD SOCIAL</t>
        </is>
      </c>
      <c r="E38" s="0" t="inlineStr">
        <is>
          <t xml:space="preserve">Superintendencia de Seguridad Social</t>
        </is>
      </c>
      <c r="F38" s="0" t="inlineStr">
        <is>
          <t xml:space="preserve">Región Metropolitana de Santiago</t>
        </is>
      </c>
      <c r="G38" s="0" t="inlineStr">
        <is>
          <t xml:space="preserve">Santiago Centro</t>
        </is>
      </c>
      <c r="H38" s="2">
        <v>46262.635741</v>
      </c>
      <c r="I38" s="2">
        <v>46293.645833</v>
      </c>
      <c r="J38" s="0">
        <v>5</v>
      </c>
      <c r="K38" s="3">
        <v>450000000.0</v>
      </c>
      <c r="L38" s="0" t="inlineStr">
        <is>
          <t xml:space="preserve">CLP</t>
        </is>
      </c>
      <c r="M38" s="0" t="inlineStr">
        <is>
          <t xml:space="preserve">LR</t>
        </is>
      </c>
      <c r="N38" s="4" t="inlineStr">
        <is>
          <t xml:space="preserve">Servicios basados en ingeniería, ciencias sociales y tecnología de la información / Servicios informáticos / Sistemas de información</t>
        </is>
      </c>
      <c r="O38" s="4" t="inlineStr">
        <is>
          <t xml:space="preserve">1 Unidad · Diseño de redes de comunicación de cobertura amplia (WAN)</t>
        </is>
      </c>
      <c r="P38" s="2"/>
      <c r="Q38" s="2"/>
      <c r="R38" s="0"/>
      <c r="S38" s="0" t="inlineStr">
        <is>
          <t xml:space="preserve">No</t>
        </is>
      </c>
      <c r="T3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38" s="0" t="inlineStr">
        <is>
          <t xml:space="preserve">Henry Gonzalez</t>
        </is>
      </c>
      <c r="V38"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38" s="5" t="str">
        <f>HYPERLINK("https://www.mercadopublico.cl/Procurement/Modules/Attachment/ViewAttachment.aspx?enc=NLwK5UrEm%2fe2lk4xxxQz5DfZR1tYkkwhQmgb6gHomsz%2fS13wkQBG%2frrbHo1zgsn7co1o3bxhbVsfc%2fUj%2b0E1%2bAhfl22rAYnWGkTkHD0EJsU5UzwcR7yrCxPiE1tqg1RkNoFHdGcWw9PCET9eL8CeqMMDHzvrHXF5bBR2gEtyeRWkiNXysZo5gNWZNxnq5oqUS%2fN9imGAl3JEaQVfvpVMNJMrmMvWQg17hz2AIRpUC4cKv3fIimw3YzwwO2OompquVcNEOq0I8Z3dosnphImDHkpQPY0COmlAczvlGY%2fPFbv%2fgTaTYRxezr89BiHb7pDi","descargar bases")</f>
      </c>
    </row>
    <row r="39">
      <c r="A39" s="0" t="inlineStr">
        <is>
          <t xml:space="preserve">548874-79-LE26</t>
        </is>
      </c>
      <c r="B39" s="4" t="inlineStr">
        <is>
          <t xml:space="preserve">SERVICIO SOPORTE SOFTWARE INFORMIX PARA IPS</t>
        </is>
      </c>
      <c r="C39" s="0" t="inlineStr">
        <is>
          <t xml:space="preserve">Publicada</t>
        </is>
      </c>
      <c r="D39" s="0" t="inlineStr">
        <is>
          <t xml:space="preserve">INSTITUTO DE PREVISION SOCIAL</t>
        </is>
      </c>
      <c r="E39" s="0" t="inlineStr">
        <is>
          <t xml:space="preserve">IPS Oficina Central de Compras</t>
        </is>
      </c>
      <c r="F39" s="0" t="inlineStr">
        <is>
          <t xml:space="preserve">Región Metropolitana de Santiago</t>
        </is>
      </c>
      <c r="G39" s="0" t="inlineStr">
        <is>
          <t xml:space="preserve">Santiago</t>
        </is>
      </c>
      <c r="H39" s="2">
        <v>46274.702419</v>
      </c>
      <c r="I39" s="2">
        <v>46293.645833</v>
      </c>
      <c r="J39" s="0">
        <v>5</v>
      </c>
      <c r="K39" s="3">
        <v>60000000.0</v>
      </c>
      <c r="L39" s="0" t="inlineStr">
        <is>
          <t xml:space="preserve">CLP</t>
        </is>
      </c>
      <c r="M39" s="0" t="inlineStr">
        <is>
          <t xml:space="preserve">LE</t>
        </is>
      </c>
      <c r="N39" s="4" t="inlineStr">
        <is>
          <t xml:space="preserve">Tecnologías de la información, telecomunicaciones y radiodifusión / Software / Software de consultas y gestión de datos</t>
        </is>
      </c>
      <c r="O39" s="4" t="inlineStr">
        <is>
          <t xml:space="preserve">1 Global · Software del sistema de administración de bases de datos</t>
        </is>
      </c>
      <c r="P39" s="2"/>
      <c r="Q39" s="2"/>
      <c r="R39" s="0" t="inlineStr">
        <is>
          <t xml:space="preserve">12 meses</t>
        </is>
      </c>
      <c r="S39" s="0" t="inlineStr">
        <is>
          <t xml:space="preserve">No</t>
        </is>
      </c>
      <c r="T39" s="4" t="inlineStr">
        <is>
          <t xml:space="preserve">Ver bases administrativas punto 13.</t>
        </is>
      </c>
      <c r="U39" s="0" t="inlineStr">
        <is>
          <t xml:space="preserve">Por Definir</t>
        </is>
      </c>
      <c r="V39" s="4" t="inlineStr">
        <is>
          <t xml:space="preserve">SERVICIO DE SOPORTE DEL SOFTWARE INFORMIX PARA EL IPS  E1O2RT8.</t>
        </is>
      </c>
      <c r="W39" s="5" t="str">
        <f>HYPERLINK("https://www.mercadopublico.cl/Procurement/Modules/Attachment/ViewAttachment.aspx?enc=F9AQJEWfO4FO0nacMVELc1R%2bYiOG8iLsPL5YfLw776%2f%2fzlrXTOA3edLwN7DVXpCUPDThlnYPcfZheU7aEnHeePB67e7upQIsyjSuuaPe57KEbbyxxbSgdlvOvxgp4UUk4gCSMQMexHw6qEhcFj5q%2fmEh5St1uDFT19HqwS4UbTbebucE50vG7dr0khAj7hf8mlE2BAxQ9qOmmXbotJE6tADa7GclprFAdynldyHbNJwcYOEOlnb%2f8%2fVqPbkdfyPkyScs7qC%2fJpgR4GJQ2B1xKs0Q79C%2bsZRyaU6oqDfYa337VNIsKZVxh42qYyHpAy3f","descargar bases")</f>
      </c>
    </row>
    <row r="40">
      <c r="A40" s="0" t="inlineStr">
        <is>
          <t xml:space="preserve">726931-1-LE26</t>
        </is>
      </c>
      <c r="B40" s="4" t="inlineStr">
        <is>
          <t xml:space="preserve">PLATAFORMA INTEGRAL ALUMNI Y EMPLEABILIDAD UTA</t>
        </is>
      </c>
      <c r="C40" s="0" t="inlineStr">
        <is>
          <t xml:space="preserve">Publicada</t>
        </is>
      </c>
      <c r="D40" s="0" t="inlineStr">
        <is>
          <t xml:space="preserve">UNIVERSIDAD DE TARAPACA</t>
        </is>
      </c>
      <c r="E40" s="0" t="inlineStr">
        <is>
          <t xml:space="preserve">Direccion General de  Vinculacion con el Medio</t>
        </is>
      </c>
      <c r="F40" s="0" t="inlineStr">
        <is>
          <t xml:space="preserve">Región de Arica y Parinacota</t>
        </is>
      </c>
      <c r="G40" s="0" t="inlineStr">
        <is>
          <t xml:space="preserve">Arica</t>
        </is>
      </c>
      <c r="H40" s="2">
        <v>46269.717674</v>
      </c>
      <c r="I40" s="2">
        <v>46293.666667</v>
      </c>
      <c r="J40" s="0">
        <v>5</v>
      </c>
      <c r="K40" s="3">
        <v>15000000.0</v>
      </c>
      <c r="L40" s="0" t="inlineStr">
        <is>
          <t xml:space="preserve">CLP</t>
        </is>
      </c>
      <c r="M40" s="0" t="inlineStr">
        <is>
          <t xml:space="preserve">LE</t>
        </is>
      </c>
      <c r="N40" s="4" t="inlineStr">
        <is>
          <t xml:space="preserve">Tecnologías de la información, telecomunicaciones y radiodifusión / Software / Programas de desarrollo</t>
        </is>
      </c>
      <c r="O40" s="4" t="inlineStr">
        <is>
          <t xml:space="preserve">1 Global · Software de desarrollo de plataforma Web</t>
        </is>
      </c>
      <c r="P40" s="2"/>
      <c r="Q40" s="2"/>
      <c r="R40" s="0"/>
      <c r="S40" s="0" t="inlineStr">
        <is>
          <t xml:space="preserve">No</t>
        </is>
      </c>
      <c r="T40" s="4" t="inlineStr">
        <is>
          <t xml:space="preserve">De acuerdo al Capítulo VIII Contrato de suministro y servicio, párrafo 4 Cesión y subcontratación, Artículo 128. Subcontratación del reglamento de Ley Nº 19.886 sobre compras públicas.</t>
        </is>
      </c>
      <c r="U40" s="0" t="inlineStr">
        <is>
          <t xml:space="preserve">Daniela González Erber</t>
        </is>
      </c>
      <c r="V40"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40"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41">
      <c r="A41" s="0" t="inlineStr">
        <is>
          <t xml:space="preserve">948354-135-LP26</t>
        </is>
      </c>
      <c r="B41" s="4" t="inlineStr">
        <is>
          <t xml:space="preserve">CONTRATACIÓN DEL SERVICIO DE ARRIENDO DE UNA CABINA SANITARIA CON EQUIPO MAMÓGRAFO PARA USO DE MAMOGRAFÍA DIGITALIZADA PORTÁTIL PARA EL HOSPITAL DIPRECA</t>
        </is>
      </c>
      <c r="C41" s="0" t="inlineStr">
        <is>
          <t xml:space="preserve">Publicada</t>
        </is>
      </c>
      <c r="D41" s="0" t="inlineStr">
        <is>
          <t xml:space="preserve">FONDO HOSPITAL DE LA DIRECCION DE PREVISION DE CARABINEROS DE CHILE</t>
        </is>
      </c>
      <c r="E41" s="0" t="inlineStr">
        <is>
          <t xml:space="preserve">Unidad de Compra de Bienes y Servicios</t>
        </is>
      </c>
      <c r="F41" s="0" t="inlineStr">
        <is>
          <t xml:space="preserve">Región Metropolitana de Santiago</t>
        </is>
      </c>
      <c r="G41" s="0" t="inlineStr">
        <is>
          <t xml:space="preserve">Las Condes</t>
        </is>
      </c>
      <c r="H41" s="2">
        <v>46272.689421</v>
      </c>
      <c r="I41" s="2">
        <v>46293.666667</v>
      </c>
      <c r="J41" s="0">
        <v>5</v>
      </c>
      <c r="K41" s="3"/>
      <c r="L41" s="0" t="inlineStr">
        <is>
          <t xml:space="preserve">CLP</t>
        </is>
      </c>
      <c r="M41" s="0" t="inlineStr">
        <is>
          <t xml:space="preserve">LP</t>
        </is>
      </c>
      <c r="N41" s="4" t="inlineStr">
        <is>
          <t xml:space="preserve">Equipamiento y suministros médicos / Productos para imágenes y de medicina nuclear / Artículos radiográficos de diagnóstico médico</t>
        </is>
      </c>
      <c r="O41" s="4" t="inlineStr">
        <is>
          <t xml:space="preserve">12 Mes · Equipo para radiografías mamográficas</t>
        </is>
      </c>
      <c r="P41" s="2"/>
      <c r="Q41" s="2"/>
      <c r="R41" s="0" t="inlineStr">
        <is>
          <t xml:space="preserve">12 meses</t>
        </is>
      </c>
      <c r="S41" s="0" t="inlineStr">
        <is>
          <t xml:space="preserve">No</t>
        </is>
      </c>
      <c r="T41" s="4"/>
      <c r="U41" s="0" t="inlineStr">
        <is>
          <t xml:space="preserve">Dra. Constanza Damm Araneda</t>
        </is>
      </c>
      <c r="V41"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41" s="5" t="str">
        <f>HYPERLINK("https://www.mercadopublico.cl/Procurement/Modules/Attachment/ViewAttachment.aspx?enc=jHjkA6L%2biDZ6Kzz8EGnIldCpjbtjvc0UTrMyfSgC9j4aE23Fwndm1Xh8dJDBw45BdolH%2fSqvyLS27ov2HLdg2WwgyQujuaoHJhEwlirNRnFSTTl%2f7cgRvafMlX%2b0HzO3hAm67Xdrhg7WA%2bHNJ3Q%2fgtVBSpJJF1B6Ol2EaotyGAXqhnKh7s8hhspNlzepwb7g%2fgHcH8ikAYwRV7CqN8tlT3IAMP3po%2bJ%2bb1Pjm1lGPxKo41eZJq3Z6YYzFarWIqemLFUWT5Toabde0wNH2xUOXsDaNnpujLqvKUxnMtunp15bAAaRz%2bqTiWsHomtgDWbj","descargar bases")</f>
      </c>
    </row>
    <row r="42">
      <c r="A42" s="0" t="inlineStr">
        <is>
          <t xml:space="preserve">1375757-29-LE26</t>
        </is>
      </c>
      <c r="B42" s="4" t="inlineStr">
        <is>
          <t xml:space="preserve">SERVICIO DE RELOJ CONTROL Y SOFTWARE DE GESTIÓN</t>
        </is>
      </c>
      <c r="C42" s="0" t="inlineStr">
        <is>
          <t xml:space="preserve">Publicada</t>
        </is>
      </c>
      <c r="D42" s="0" t="inlineStr">
        <is>
          <t xml:space="preserve">SERVICIO LOCAL DE EDUCACIÓN PÚBLICA PUELCHE</t>
        </is>
      </c>
      <c r="E42" s="0" t="inlineStr">
        <is>
          <t xml:space="preserve">COMPRAS Y LICITACIONES</t>
        </is>
      </c>
      <c r="F42" s="0" t="inlineStr">
        <is>
          <t xml:space="preserve">Región del Biobío </t>
        </is>
      </c>
      <c r="G42" s="0" t="inlineStr">
        <is>
          <t xml:space="preserve">Santiago</t>
        </is>
      </c>
      <c r="H42" s="2">
        <v>46279.41978</v>
      </c>
      <c r="I42" s="2">
        <v>46293.708333</v>
      </c>
      <c r="J42" s="0">
        <v>5</v>
      </c>
      <c r="K42" s="3">
        <v>60000000.0</v>
      </c>
      <c r="L42" s="0" t="inlineStr">
        <is>
          <t xml:space="preserve">CLP</t>
        </is>
      </c>
      <c r="M42" s="0" t="inlineStr">
        <is>
          <t xml:space="preserve">LE</t>
        </is>
      </c>
      <c r="N42" s="4" t="inlineStr">
        <is>
          <t xml:space="preserve">Equipos, accesorios y suministros de oficina / Maquinarias, suministros y accesorios de oficina / Máquinas y accesorios para registro de hora y asistencia en la oficina</t>
        </is>
      </c>
      <c r="O42" s="4" t="inlineStr">
        <is>
          <t xml:space="preserve">1 Global · Reloj de control</t>
        </is>
      </c>
      <c r="P42" s="2"/>
      <c r="Q42" s="2"/>
      <c r="R42" s="0" t="inlineStr">
        <is>
          <t xml:space="preserve">36 meses</t>
        </is>
      </c>
      <c r="S42" s="0" t="inlineStr">
        <is>
          <t xml:space="preserve">No</t>
        </is>
      </c>
      <c r="T42" s="4"/>
      <c r="U42" s="0" t="inlineStr">
        <is>
          <t xml:space="preserve">DIEGO ALONSO CORTÉS RODRÍGUEZ</t>
        </is>
      </c>
      <c r="V42" s="4" t="inlineStr">
        <is>
          <t xml:space="preserve">SERVICIO DE RELOJ CONTROL Y SOFTWARE DE GESTIÓN DE ASISTENCIA PARA EL SLEP PUELCHE P01-P02</t>
        </is>
      </c>
      <c r="W42" s="5" t="str">
        <f>HYPERLINK("https://www.mercadopublico.cl/Procurement/Modules/Attachment/ViewAttachment.aspx?enc=4F6rg3Frj3f%2fA%2fSTO2YbRiOhnS4OKmaz3kxbHo3K6gCeKht6Q4QQGIgKukrYTvVPxVFAxFFlDvuzglW1aGAnwcYS6Suklr4L2xBBGpP2vHynpFHQwIs5dRlRdLZ43g8mzRQO%2fJ1eBFe8TQ34r2xTUxnrprs0yRpXLW4DHD%2bSVvdUpP5wHfwPO3qDxkg%2fAgg7jDKiW1LZaYDuiMdoQYTA4JbVlw%2bG7oOkxB%2bwPB9OvXPfsPNxsmcDZL10Q0CUUZUMwvEaAM7VqwD02oDrIuP1gMFCNk%2bOHqn3XdpPbjQqoOJ4PQnsrkEXjAzPaDSW0aL4","descargar bases")</f>
      </c>
    </row>
    <row r="43">
      <c r="A43" s="0" t="inlineStr">
        <is>
          <t xml:space="preserve">3863-55-LE26</t>
        </is>
      </c>
      <c r="B43" s="4" t="inlineStr">
        <is>
          <t xml:space="preserve">ADQUISICIÓN DE LICENCIAS DE SOFTWARE POLITECNICO</t>
        </is>
      </c>
      <c r="C43" s="0" t="inlineStr">
        <is>
          <t xml:space="preserve">Publicada</t>
        </is>
      </c>
      <c r="D43" s="0" t="inlineStr">
        <is>
          <t xml:space="preserve">I MUNICIPALIDAD DE SANTA CRUZ</t>
        </is>
      </c>
      <c r="E43" s="0" t="inlineStr">
        <is>
          <t xml:space="preserve">Educacion Municipal</t>
        </is>
      </c>
      <c r="F43" s="0" t="inlineStr">
        <is>
          <t xml:space="preserve">Región del Libertador General Bernardo O´Higgins</t>
        </is>
      </c>
      <c r="G43" s="0" t="inlineStr">
        <is>
          <t xml:space="preserve">Santa Cruz</t>
        </is>
      </c>
      <c r="H43" s="2">
        <v>46276.579317</v>
      </c>
      <c r="I43" s="2">
        <v>46293.708333</v>
      </c>
      <c r="J43" s="0">
        <v>5</v>
      </c>
      <c r="K43" s="3">
        <v>20000000.0</v>
      </c>
      <c r="L43" s="0" t="inlineStr">
        <is>
          <t xml:space="preserve">CLP</t>
        </is>
      </c>
      <c r="M43" s="0" t="inlineStr">
        <is>
          <t xml:space="preserve">LE</t>
        </is>
      </c>
      <c r="N43" s="4" t="inlineStr">
        <is>
          <t xml:space="preserve">Tecnologías de la información, telecomunicaciones y radiodifusión / Software / Software de gestión</t>
        </is>
      </c>
      <c r="O43" s="4" t="inlineStr">
        <is>
          <t xml:space="preserve">1 Unidad no definida · Software de gestión de licencias · 1 Unidad no definida · Software de gestión de licencias · 1 Unidad no definida · Software de gestión de licencias</t>
        </is>
      </c>
      <c r="P43" s="2"/>
      <c r="Q43" s="2"/>
      <c r="R43" s="0"/>
      <c r="S43" s="0" t="inlineStr">
        <is>
          <t xml:space="preserve">No</t>
        </is>
      </c>
      <c r="T43" s="4"/>
      <c r="U43" s="0" t="inlineStr">
        <is>
          <t xml:space="preserve">Yamil Andrés Ethit Romero</t>
        </is>
      </c>
      <c r="V43" s="4" t="inlineStr">
        <is>
          <t xml:space="preserve">SEGÚN BASES ADMINISTRATIVAS</t>
        </is>
      </c>
      <c r="W43"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44">
      <c r="A44" s="0" t="inlineStr">
        <is>
          <t xml:space="preserve">1274285-45-LP26</t>
        </is>
      </c>
      <c r="B44" s="4" t="inlineStr">
        <is>
          <t xml:space="preserve">Software de gestión Droguería Comunal</t>
        </is>
      </c>
      <c r="C44" s="0" t="inlineStr">
        <is>
          <t xml:space="preserve">Publicada</t>
        </is>
      </c>
      <c r="D44" s="0" t="inlineStr">
        <is>
          <t xml:space="preserve">CORPORACION MUNICIPAL DE EDUCACION Y SALUD DE SAN BERNARDO</t>
        </is>
      </c>
      <c r="E44" s="0" t="inlineStr">
        <is>
          <t xml:space="preserve">SALUD</t>
        </is>
      </c>
      <c r="F44" s="0" t="inlineStr">
        <is>
          <t xml:space="preserve">Región Metropolitana de Santiago</t>
        </is>
      </c>
      <c r="G44" s="0"/>
      <c r="H44" s="2">
        <v>46265.493137</v>
      </c>
      <c r="I44" s="2">
        <v>46293.75</v>
      </c>
      <c r="J44" s="0">
        <v>5</v>
      </c>
      <c r="K44" s="3"/>
      <c r="L44" s="0" t="inlineStr">
        <is>
          <t xml:space="preserve">CLP</t>
        </is>
      </c>
      <c r="M44" s="0" t="inlineStr">
        <is>
          <t xml:space="preserve">LP</t>
        </is>
      </c>
      <c r="N44" s="4" t="inlineStr">
        <is>
          <t xml:space="preserve">Tecnologías de la información, telecomunicaciones y radiodifusión / Software / Software de gestión</t>
        </is>
      </c>
      <c r="O44" s="4" t="inlineStr">
        <is>
          <t xml:space="preserve">1 Unidad · Software de cadena de suministro y logística de planificación de requisitos de materiales</t>
        </is>
      </c>
      <c r="P44" s="2"/>
      <c r="Q44" s="2"/>
      <c r="R44" s="0" t="inlineStr">
        <is>
          <t xml:space="preserve">36 meses</t>
        </is>
      </c>
      <c r="S44" s="0" t="inlineStr">
        <is>
          <t xml:space="preserve">No</t>
        </is>
      </c>
      <c r="T44" s="4"/>
      <c r="U44" s="0" t="inlineStr">
        <is>
          <t xml:space="preserve">Erwin Rodriguez Basulto</t>
        </is>
      </c>
      <c r="V44"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44" s="5" t="str">
        <f>HYPERLINK("https://www.mercadopublico.cl/Procurement/Modules/Attachment/ViewAttachment.aspx?enc=eENaaV%2fOt3TF5w2kd6%2bKyZtyay5Sq5EAVmJM90vxWxxKRGidoUaxGX0J8BYcGs53WqEDgkHHU5u%2b%2b5XYGYXfZ0fA154IelTbLu9gEB1JuI9%2bl2dl2fDHWdamkAyXPLsJI%2bE2h8rUWi0UZp%2fEu%2bFieo6vofgzhcILAu58IlDU0xj0WlBfhYDCmJRRbGEFoAzTbRSI%2br80d0sIGnAH33RSN4RA1P7KJZYLAvciKznTfD9CdjipWPtJ3B331%2fxUaDsFfGK0VSvx3vHliqYuCgsxWciZF3JxQ67iYIudxC%2fH2WoEAJM0SD%2f5%2fAAFlKn7h38D","descargar bases")</f>
      </c>
    </row>
    <row r="45">
      <c r="A45" s="0" t="inlineStr">
        <is>
          <t xml:space="preserve">3666-12-LE26</t>
        </is>
      </c>
      <c r="B45" s="4" t="inlineStr">
        <is>
          <t xml:space="preserve">GESTION DOCUMENTAL Y DIGITAL MUNICIPALIDAD TILTIL</t>
        </is>
      </c>
      <c r="C45" s="0" t="inlineStr">
        <is>
          <t xml:space="preserve">Publicada</t>
        </is>
      </c>
      <c r="D45" s="0" t="inlineStr">
        <is>
          <t xml:space="preserve">I MUNICIPALIDAD DE TIL TIL</t>
        </is>
      </c>
      <c r="E45" s="0" t="inlineStr">
        <is>
          <t xml:space="preserve">Secretaria Comunal Planificacion</t>
        </is>
      </c>
      <c r="F45" s="0" t="inlineStr">
        <is>
          <t xml:space="preserve">Región Metropolitana de Santiago</t>
        </is>
      </c>
      <c r="G45" s="0" t="inlineStr">
        <is>
          <t xml:space="preserve">Til Til</t>
        </is>
      </c>
      <c r="H45" s="2">
        <v>46275.561458</v>
      </c>
      <c r="I45" s="2">
        <v>46294.5</v>
      </c>
      <c r="J45" s="0">
        <v>6</v>
      </c>
      <c r="K45" s="3">
        <v>58000000.0</v>
      </c>
      <c r="L45" s="0" t="inlineStr">
        <is>
          <t xml:space="preserve">CLP</t>
        </is>
      </c>
      <c r="M45" s="0" t="inlineStr">
        <is>
          <t xml:space="preserve">LE</t>
        </is>
      </c>
      <c r="N45" s="4" t="inlineStr">
        <is>
          <t xml:space="preserve">Tecnologías de la información, telecomunicaciones y radiodifusión / Software / Software de gestión de contenidos</t>
        </is>
      </c>
      <c r="O45" s="4" t="inlineStr">
        <is>
          <t xml:space="preserve">1 Unidad · Programas de gestión de documentos</t>
        </is>
      </c>
      <c r="P45" s="2"/>
      <c r="Q45" s="2"/>
      <c r="R45" s="0" t="inlineStr">
        <is>
          <t xml:space="preserve">24 meses</t>
        </is>
      </c>
      <c r="S45" s="0" t="inlineStr">
        <is>
          <t xml:space="preserve">No</t>
        </is>
      </c>
      <c r="T45" s="4"/>
      <c r="U45" s="0" t="inlineStr">
        <is>
          <t xml:space="preserve">Diego Caballero Tapia</t>
        </is>
      </c>
      <c r="V45"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45" s="5" t="str">
        <f>HYPERLINK("https://www.mercadopublico.cl/Procurement/Modules/Attachment/ViewAttachment.aspx?enc=otXGz6nGsIu%2f9OMKyRZ9%2f%2bpXQBOTdpcvC2CDpS4SGvUZBRih3mbAeMx3oLw5AeT3fcbrPueu6mMP4IU%2fymEyx6NEMEKfRMSNWY76xkzmJjQIxne2aICH3kp2dF0TKdtFzRMH31JITrzNUPmFABxLyufWyGZtUE%2bfrwN0Z8Z0gayYU3%2bCxJdiahsQHXYfeOz6Rdr6lW68uI4oEmylTQ9ZZL92HbvhEel45M5mg9%2bQ%2fxCA%2f5J3S34PqUyVKoxaCfWso5ZvzvbICh5%2fritvHuHLPaZMMcFqT2b0YOh38iR21BQTZu2B%2bWz3Od5jkF1uQoIi","descargar bases")</f>
      </c>
    </row>
    <row r="46">
      <c r="A46" s="0" t="inlineStr">
        <is>
          <t xml:space="preserve">1575-15-LE26</t>
        </is>
      </c>
      <c r="B46" s="4" t="inlineStr">
        <is>
          <t xml:space="preserve">MANTENCION DE EQUIPOS INFORMATICOS</t>
        </is>
      </c>
      <c r="C46" s="0" t="inlineStr">
        <is>
          <t xml:space="preserve">Publicada</t>
        </is>
      </c>
      <c r="D46" s="0" t="inlineStr">
        <is>
          <t xml:space="preserve">JUNTA NACIONAL DE JARDINES         INFANTILES</t>
        </is>
      </c>
      <c r="E46" s="0" t="inlineStr">
        <is>
          <t xml:space="preserve">Junji - VI Región</t>
        </is>
      </c>
      <c r="F46" s="0" t="inlineStr">
        <is>
          <t xml:space="preserve">Región del Libertador General Bernardo O´Higgins</t>
        </is>
      </c>
      <c r="G46" s="0" t="inlineStr">
        <is>
          <t xml:space="preserve">Rancagua</t>
        </is>
      </c>
      <c r="H46" s="2">
        <v>46282.520417</v>
      </c>
      <c r="I46" s="2">
        <v>46294.625</v>
      </c>
      <c r="J46" s="0">
        <v>6</v>
      </c>
      <c r="K46" s="3">
        <v>22000000.0</v>
      </c>
      <c r="L46" s="0" t="inlineStr">
        <is>
          <t xml:space="preserve">CLP</t>
        </is>
      </c>
      <c r="M46" s="0" t="inlineStr">
        <is>
          <t xml:space="preserve">LE</t>
        </is>
      </c>
      <c r="N46" s="4" t="inlineStr">
        <is>
          <t xml:space="preserve">Equipos, accesorios y suministros de oficina / Maquinarias, suministros y accesorios de oficina / Multicopistas, fotocopiadoras, fax y multifuncionales</t>
        </is>
      </c>
      <c r="O46" s="4" t="inlineStr">
        <is>
          <t xml:space="preserve">1 Unidad · Fotocopiadoras</t>
        </is>
      </c>
      <c r="P46" s="2"/>
      <c r="Q46" s="2"/>
      <c r="R46" s="0" t="inlineStr">
        <is>
          <t xml:space="preserve">24 meses</t>
        </is>
      </c>
      <c r="S46" s="0" t="inlineStr">
        <is>
          <t xml:space="preserve">No</t>
        </is>
      </c>
      <c r="T46" s="4"/>
      <c r="U46" s="0" t="inlineStr">
        <is>
          <t xml:space="preserve">MYRIAM POBLETE</t>
        </is>
      </c>
      <c r="V46"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46" s="5" t="str">
        <f>HYPERLINK("https://www.mercadopublico.cl/Procurement/Modules/Attachment/ViewAttachment.aspx?enc=wU4MDrgKqWaKDooFSdi3SvTmXasqYfZAqvBwNJ5sWSdexlALTsg6MrDjp7f36OnPeeLtEgfep6bZEIKK%2bqL%2bQkv2OT4B%2bmQ42nAR17TdAZVmqjNXzspzTsLbwBmOEIX%2fKKQwNtjaFTI5gNTvRvpBblLTC6Oh0yXEL%2fs65gV7Xz01tzlIv4z7WlTxe030P8z%2b9QuRRelzjsQXhQIgOTzqgU2f1aPsVH3rIyC9SHhfKc%2f9VWCPgQpC4f6A1DJ7F%2b5YhVmeSGZNGanyCuEZ46ZJs23jw95yOXP001sVIdZEkysj0jphdH%2beJEEWvQX2AKEz","descargar bases")</f>
      </c>
    </row>
    <row r="47">
      <c r="A47" s="0" t="inlineStr">
        <is>
          <t xml:space="preserve">2446-276-L126</t>
        </is>
      </c>
      <c r="B47" s="4" t="inlineStr">
        <is>
          <t xml:space="preserve">“CURSO DE CAPACITACION PARA 20 PERSONAS SOBRE USO DEL PROGRAMA POWER BI”</t>
        </is>
      </c>
      <c r="C47" s="0" t="inlineStr">
        <is>
          <t xml:space="preserve">Publicada</t>
        </is>
      </c>
      <c r="D47" s="0" t="inlineStr">
        <is>
          <t xml:space="preserve">I MUNICIPALIDAD DE COQUIMBO</t>
        </is>
      </c>
      <c r="E47" s="0" t="inlineStr">
        <is>
          <t xml:space="preserve">IMUNI_COQUIMBO</t>
        </is>
      </c>
      <c r="F47" s="0" t="inlineStr">
        <is>
          <t xml:space="preserve">Región de Coquimbo </t>
        </is>
      </c>
      <c r="G47" s="0" t="inlineStr">
        <is>
          <t xml:space="preserve">Coquimbo</t>
        </is>
      </c>
      <c r="H47" s="2">
        <v>46286.647488</v>
      </c>
      <c r="I47" s="2">
        <v>46294.625</v>
      </c>
      <c r="J47" s="0">
        <v>6</v>
      </c>
      <c r="K47" s="3">
        <v>5000000.0</v>
      </c>
      <c r="L47" s="0" t="inlineStr">
        <is>
          <t xml:space="preserve">CLP</t>
        </is>
      </c>
      <c r="M47" s="0" t="inlineStr">
        <is>
          <t xml:space="preserve">L1</t>
        </is>
      </c>
      <c r="N47" s="4" t="inlineStr">
        <is>
          <t xml:space="preserve">Educación, formación, entrenamiento y capacitación / Sistemas educativos complementarios / Educación de adultos</t>
        </is>
      </c>
      <c r="O47" s="4" t="inlineStr">
        <is>
          <t xml:space="preserve">1 Unidad · Capacitación a empleados</t>
        </is>
      </c>
      <c r="P47" s="2"/>
      <c r="Q47" s="2"/>
      <c r="R47" s="0"/>
      <c r="S47" s="0" t="inlineStr">
        <is>
          <t xml:space="preserve">No</t>
        </is>
      </c>
      <c r="T47" s="4"/>
      <c r="U47" s="0"/>
      <c r="V47" s="4" t="inlineStr">
        <is>
          <t xml:space="preserve">“CURSO DE CAPACITACION PARA 20 PERSONAS SOBRE USO DEL PROGRAMA POWER BI”
PRESUPUESTO MAXIMO $ 5.000.000.-. (IVA INCLUIDO)</t>
        </is>
      </c>
      <c r="W47" s="5" t="str">
        <f>HYPERLINK("https://www.mercadopublico.cl/Procurement/Modules/Attachment/ViewAttachment.aspx?enc=s3%2bDQ%2fODfOvNXJtxu%2fS0MJSXEBLlx3bH9oewxA8B0MY43l%2fHhuL1%2fmIlCuDMujX76NZKaERf1phSyI%2bpgJvFGnWJH7Fhh8d9UlkYlfg1tkREF7yYw%2fgL4q1J30lhYJ5P0I%2fbswHPtITBEGTfbWyFiyVBJV6lJDm3RHvWX5Dv50oW6X2oriTW1mLqSHlW4Wv%2b%2bQWelCLk07sC%2fwFbPex7IOIRk3U%2fgzY%2fLVH3uqBIjsvCcYijjGFUrnxKv8hpz23D%2bjojTiv2QBYp0VUhL7RJFJzhWmUEcGFSENCRozT8f5eEUDg0s8xGGIUsHVbvT5X%2b","descargar bases")</f>
      </c>
    </row>
    <row r="48">
      <c r="A48" s="0" t="inlineStr">
        <is>
          <t xml:space="preserve">3970-8-LE26</t>
        </is>
      </c>
      <c r="B48" s="4" t="inlineStr">
        <is>
          <t xml:space="preserve">01 SISTEMA DE EVIDENCIA DIGITAL Y ACCESORIOS OS9</t>
        </is>
      </c>
      <c r="C48" s="0" t="inlineStr">
        <is>
          <t xml:space="preserve">Publicada</t>
        </is>
      </c>
      <c r="D48" s="0" t="inlineStr">
        <is>
          <t xml:space="preserve">DIRECCION DE LOGISTICA DE CARABINEROS</t>
        </is>
      </c>
      <c r="E48" s="0" t="inlineStr">
        <is>
          <t xml:space="preserve">Depto.I.O.Crim.O.S.9</t>
        </is>
      </c>
      <c r="F48" s="0" t="inlineStr">
        <is>
          <t xml:space="preserve">Región Metropolitana de Santiago</t>
        </is>
      </c>
      <c r="G48" s="0" t="inlineStr">
        <is>
          <t xml:space="preserve">Ñuñoa</t>
        </is>
      </c>
      <c r="H48" s="2">
        <v>46272.691389</v>
      </c>
      <c r="I48" s="2">
        <v>46294.625</v>
      </c>
      <c r="J48" s="0">
        <v>6</v>
      </c>
      <c r="K48" s="3">
        <v>15111040.0</v>
      </c>
      <c r="L48" s="0" t="inlineStr">
        <is>
          <t xml:space="preserve">CLP</t>
        </is>
      </c>
      <c r="M48" s="0" t="inlineStr">
        <is>
          <t xml:space="preserve">LE</t>
        </is>
      </c>
      <c r="N48" s="4" t="inlineStr">
        <is>
          <t xml:space="preserve">Tecnologías de la información, telecomunicaciones y radiodifusión / Componentes para tecnología de la información, difusión o telecomunicaciones / Módulos, interfaces, procesadores y placas de sistema</t>
        </is>
      </c>
      <c r="O48" s="4" t="inlineStr">
        <is>
          <t xml:space="preserve">1 Unidad · Adaptadores de telefonía o hardware</t>
        </is>
      </c>
      <c r="P48" s="2"/>
      <c r="Q48" s="2"/>
      <c r="R48" s="0"/>
      <c r="S48" s="0" t="inlineStr">
        <is>
          <t xml:space="preserve">No</t>
        </is>
      </c>
      <c r="T48" s="4"/>
      <c r="U48" s="0" t="inlineStr">
        <is>
          <t xml:space="preserve">FERNANDO BOZO MARTINEZ</t>
        </is>
      </c>
      <c r="V48" s="4" t="inlineStr">
        <is>
          <t xml:space="preserve">SOFTWARE DE EXTRACCION DE INFORMACION DIVERSOS SISTEMAS DIGITALES CON SUS ACCESORIOS DE ADAPTADORES COMPLETOS</t>
        </is>
      </c>
      <c r="W48" s="5" t="str">
        <f>HYPERLINK("https://www.mercadopublico.cl/Procurement/Modules/Attachment/ViewAttachment.aspx?enc=0XrbZsKdlVgECJa3DaOq9QL9GTq1YO%2fbjOll1lH92GmA0owaHIQ%2f4Ku9m8YuWOTYHwOepS9wuBApn0E3n8%2fbAGqxl6IoZsFaFiLSA2hEJHxt3hkJ8zTnOt9XMJVj%2b4D1u5udro3%2bvdeUv4Q9Cvh3e78N56OZMFbYp10ojjKx5VJVUdkrB2CrDoUZI3073L48h9N96oU3E3RT514KY29MtIKO16va9rdKcMrNrhdwws5x6dQchIcdvdR7mYCQCSpDVCHPAueMCdwtZE%2fRz1sVVDLTY%2bf8Ud%2fU5frYuo8ebXsjpqYbhesqK4yuwmOFG8I%2f","descargar bases")</f>
      </c>
    </row>
    <row r="49">
      <c r="A49" s="0" t="inlineStr">
        <is>
          <t xml:space="preserve">5394-22-LE26</t>
        </is>
      </c>
      <c r="B49" s="4" t="inlineStr">
        <is>
          <t xml:space="preserve">SERVICIO DE CONSULTORÍA DE CIBERSEGURIDAD UMAG</t>
        </is>
      </c>
      <c r="C49" s="0" t="inlineStr">
        <is>
          <t xml:space="preserve">Publicada</t>
        </is>
      </c>
      <c r="D49" s="0" t="inlineStr">
        <is>
          <t xml:space="preserve">UNIVERSIDAD DE MAGALLANES</t>
        </is>
      </c>
      <c r="E49" s="0" t="inlineStr">
        <is>
          <t xml:space="preserve">PROYECTOS CON TERCEROS (D/583)</t>
        </is>
      </c>
      <c r="F49" s="0" t="inlineStr">
        <is>
          <t xml:space="preserve">Región de Magallanes y de la Antártica</t>
        </is>
      </c>
      <c r="G49" s="0" t="inlineStr">
        <is>
          <t xml:space="preserve">Punta Arenas</t>
        </is>
      </c>
      <c r="H49" s="2">
        <v>46274.672569</v>
      </c>
      <c r="I49" s="2">
        <v>46294.625</v>
      </c>
      <c r="J49" s="0">
        <v>6</v>
      </c>
      <c r="K49" s="3">
        <v>20000000.0</v>
      </c>
      <c r="L49" s="0" t="inlineStr">
        <is>
          <t xml:space="preserve">CLP</t>
        </is>
      </c>
      <c r="M49" s="0" t="inlineStr">
        <is>
          <t xml:space="preserve">LE</t>
        </is>
      </c>
      <c r="N49" s="4" t="inlineStr">
        <is>
          <t xml:space="preserve">Servicios profesionales, administrativos y consultorías de gestión empresarial / Consultorías o asesorías en gestión empresarial / Servicios de consultoría en gestión de empresas</t>
        </is>
      </c>
      <c r="O49" s="4" t="inlineStr">
        <is>
          <t xml:space="preserve">1 Global · Asesorías Informáticas</t>
        </is>
      </c>
      <c r="P49" s="2"/>
      <c r="Q49" s="2"/>
      <c r="R49" s="0" t="inlineStr">
        <is>
          <t xml:space="preserve">12 semanas</t>
        </is>
      </c>
      <c r="S49" s="0" t="inlineStr">
        <is>
          <t xml:space="preserve">No</t>
        </is>
      </c>
      <c r="T49" s="4" t="inlineStr">
        <is>
          <t xml:space="preserve">9. SUBCONTRATACION
Por la naturaleza de los servicios, no se permite la subcontratación en la presente licitación.</t>
        </is>
      </c>
      <c r="U49" s="0" t="inlineStr">
        <is>
          <t xml:space="preserve">UNIDAD ABASTECIMIENTO</t>
        </is>
      </c>
      <c r="V49"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49" s="5" t="str">
        <f>HYPERLINK("https://www.mercadopublico.cl/Procurement/Modules/Attachment/ViewAttachment.aspx?enc=z%2fpEvmEuspgV6wD0VH7PNbswhYuSbUcAFmu%2fKmZPgUO3%2fENbxzbNi0G0PvKWmt%2f4gV4vsR%2fSBvWxmtXQlvBrRFkK6m1%2fTCsGuvAFnTIX%2fZ7xYrPLGd1w4iWdA6cRQTMeAs%2fUeNYnHDm%2bCtJn9kwLS7q2OpBKbj8kxi5YMpb9d8FalfySVCimTKY07qoANRrag4BTiPS6ybLXHSFVmaVO7VFQcHcvN6oBeckl16Y29L1UeKgmzilwTdz%2fIDi%2fLQeuikHScwZx1XA01DdOHYmHO7Vmuc%2frY%2fkRsmIpSUiE5ECMYQ1FR076r4yM4cunO5vP","descargar bases")</f>
      </c>
    </row>
    <row r="50">
      <c r="A50" s="0" t="inlineStr">
        <is>
          <t xml:space="preserve">4469-178-L126</t>
        </is>
      </c>
      <c r="B50" s="4" t="inlineStr">
        <is>
          <t xml:space="preserve">SC 40532(CS)RENOVACION LICENCIAS DE GESTION POWER BI</t>
        </is>
      </c>
      <c r="C50" s="0" t="inlineStr">
        <is>
          <t xml:space="preserve">Publicada</t>
        </is>
      </c>
      <c r="D50" s="0" t="inlineStr">
        <is>
          <t xml:space="preserve">UNIVERSIDAD DE PLAYA ANCHA DE CIENCIAS DE LA EDUCACION</t>
        </is>
      </c>
      <c r="E50" s="0" t="inlineStr">
        <is>
          <t xml:space="preserve">ADQUISICIONES</t>
        </is>
      </c>
      <c r="F50" s="0" t="inlineStr">
        <is>
          <t xml:space="preserve">Región Metropolitana de Santiago</t>
        </is>
      </c>
      <c r="G50" s="0" t="inlineStr">
        <is>
          <t xml:space="preserve">Curacaví</t>
        </is>
      </c>
      <c r="H50" s="2">
        <v>46287.559236</v>
      </c>
      <c r="I50" s="2">
        <v>46294.666667</v>
      </c>
      <c r="J50" s="0">
        <v>6</v>
      </c>
      <c r="K50" s="3">
        <v>2568058.0</v>
      </c>
      <c r="L50" s="0" t="inlineStr">
        <is>
          <t xml:space="preserve">CLP</t>
        </is>
      </c>
      <c r="M50" s="0" t="inlineStr">
        <is>
          <t xml:space="preserve">L1</t>
        </is>
      </c>
      <c r="N50" s="4" t="inlineStr">
        <is>
          <t xml:space="preserve">Tecnologías de la información, telecomunicaciones y radiodifusión / Software / Software de gestión</t>
        </is>
      </c>
      <c r="O50" s="4" t="inlineStr">
        <is>
          <t xml:space="preserve">16 Unidad · Software de gestión de licencias</t>
        </is>
      </c>
      <c r="P50" s="2"/>
      <c r="Q50" s="2"/>
      <c r="R50" s="0"/>
      <c r="S50" s="0" t="inlineStr">
        <is>
          <t xml:space="preserve">No</t>
        </is>
      </c>
      <c r="T50" s="4"/>
      <c r="U50" s="0"/>
      <c r="V50" s="4" t="inlineStr">
        <is>
          <t xml:space="preserve">SC 40532(CS)RENOVACION LICENCIAS DE GESTION POWER BI</t>
        </is>
      </c>
      <c r="W50" s="5" t="str">
        <f>HYPERLINK("https://www.mercadopublico.cl/Procurement/Modules/Attachment/ViewAttachment.aspx?enc=DhV0lIgL1Bd%2fvSpmNv9pJlwd5Fi%2fPdyHUlOE4bP2Fdxu2w4%2fb%2fbOXrTu2q0ds77wYb2nvr6k6oZcCLnkkyM5ZIp%2f8jbZTFYmPMAgVcxGCSyh2ETq2iqA7lwCDsVjFfFlj93bo6IvmLKPh8gsV2SwZR7u4YZi7wLmAmHE5wWqCVTwj5yXeGPz3LIXxq6dyEbgvAJj9z8HfWFIMg24XNIVNoId%2ba%2b9Hlx41sSwGC%2fshLdPB3jL%2bOAtKJfQiSd1YGVzL1EgYow%2biL%2b9dEJmY6dhmuL9EcKZ0SVXmnvWOEF%2bpybTdKjcJq1kpEwa0alpHhQ1","descargar bases")</f>
      </c>
    </row>
    <row r="51">
      <c r="A51" s="0" t="inlineStr">
        <is>
          <t xml:space="preserve">1447930-11-LP26</t>
        </is>
      </c>
      <c r="B51" s="4" t="inlineStr">
        <is>
          <t xml:space="preserve">SSP - Plataforma de virtualización On Premise</t>
        </is>
      </c>
      <c r="C51" s="0" t="inlineStr">
        <is>
          <t xml:space="preserve">Publicada</t>
        </is>
      </c>
      <c r="D51" s="0" t="inlineStr">
        <is>
          <t xml:space="preserve">SUBSECRETARIA DE SEGURIDAD PUBLICA</t>
        </is>
      </c>
      <c r="E51" s="0" t="inlineStr">
        <is>
          <t xml:space="preserve">SUBSECRETARIA DE SEGURIDAD PUBLICA</t>
        </is>
      </c>
      <c r="F51" s="0" t="inlineStr">
        <is>
          <t xml:space="preserve">Región Metropolitana de Santiago</t>
        </is>
      </c>
      <c r="G51" s="0" t="inlineStr">
        <is>
          <t xml:space="preserve">Santiago</t>
        </is>
      </c>
      <c r="H51" s="2">
        <v>46274.546748</v>
      </c>
      <c r="I51" s="2">
        <v>46294.708333</v>
      </c>
      <c r="J51" s="0">
        <v>6</v>
      </c>
      <c r="K51" s="3">
        <v>113050000.0</v>
      </c>
      <c r="L51" s="0" t="inlineStr">
        <is>
          <t xml:space="preserve">CLP</t>
        </is>
      </c>
      <c r="M51" s="0" t="inlineStr">
        <is>
          <t xml:space="preserve">LP</t>
        </is>
      </c>
      <c r="N51" s="4" t="inlineStr">
        <is>
          <t xml:space="preserve">Tecnologías de la información, telecomunicaciones y radiodifusión / Software / Software para trabajo en redes</t>
        </is>
      </c>
      <c r="O51" s="4" t="inlineStr">
        <is>
          <t xml:space="preserve">1 Unidad · Software de interconectividad de plataformas</t>
        </is>
      </c>
      <c r="P51" s="2"/>
      <c r="Q51" s="2"/>
      <c r="R51" s="0" t="inlineStr">
        <is>
          <t xml:space="preserve">120 días</t>
        </is>
      </c>
      <c r="S51" s="0" t="inlineStr">
        <is>
          <t xml:space="preserve">No</t>
        </is>
      </c>
      <c r="T51" s="4"/>
      <c r="U51" s="0" t="inlineStr">
        <is>
          <t xml:space="preserve">Mauricio Quitral</t>
        </is>
      </c>
      <c r="V51"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51" s="5" t="str">
        <f>HYPERLINK("https://www.mercadopublico.cl/Procurement/Modules/Attachment/ViewAttachment.aspx?enc=92UCBRYkIukeOBzINc4EiJsa5%2fferBCODj8kFA%2bL0FuM3Q22CamWRS2tElpyoXh5wUsZLB2hIOvR6abqrraq6x92ysslBcVOeOgMLQXBkKv2DQV41safAjuPilHOlOZfy%2bpYDopm%2frBoR7F8WgdrdJ%2b1IzQ1TPPjPW5tFqV8Xqb0h%2b5JveTF1%2bJZLSmLR7z%2fQEiW2UnxAzKTwMgE3%2b%2bp5Vy63CGrSVMT5j71tzj194kG9Pg2e87B61B%2bks2u688S%2fQ1hY8aRHVPoXyOBuy0JuiATwHU5WeLWHMuKyqPlYrVtYc8XRwwrLrc7oeIf6Pte","descargar bases")</f>
      </c>
    </row>
    <row r="52">
      <c r="A52" s="0" t="inlineStr">
        <is>
          <t xml:space="preserve">2405-142-LE26</t>
        </is>
      </c>
      <c r="B52" s="4" t="inlineStr">
        <is>
          <t xml:space="preserve">ADQUISICIÓN DE SOFTWARE PARA RENDERIZADO 3D ANÁLISIS ESTRUCTURAL AVANZADO ANÁLISIS SÍSMICO AVANZADO E INFORMACIÓN GEOGRÁFICA</t>
        </is>
      </c>
      <c r="C52" s="0" t="inlineStr">
        <is>
          <t xml:space="preserve">Publicada</t>
        </is>
      </c>
      <c r="D52" s="0" t="inlineStr">
        <is>
          <t xml:space="preserve">I MUNICIPALIDAD DE IQUIQUE</t>
        </is>
      </c>
      <c r="E52" s="0" t="inlineStr">
        <is>
          <t xml:space="preserve">SECRETARIA COMUNAL DE PLANIFICACION</t>
        </is>
      </c>
      <c r="F52" s="0" t="inlineStr">
        <is>
          <t xml:space="preserve">Región de Tarapacá  </t>
        </is>
      </c>
      <c r="G52" s="0" t="inlineStr">
        <is>
          <t xml:space="preserve">Iquique</t>
        </is>
      </c>
      <c r="H52" s="2">
        <v>46279.391111</v>
      </c>
      <c r="I52" s="2">
        <v>46295.416667</v>
      </c>
      <c r="J52" s="0">
        <v>7</v>
      </c>
      <c r="K52" s="3">
        <v>27000000.0</v>
      </c>
      <c r="L52" s="0" t="inlineStr">
        <is>
          <t xml:space="preserve">CLP</t>
        </is>
      </c>
      <c r="M52" s="0" t="inlineStr">
        <is>
          <t xml:space="preserve">LE</t>
        </is>
      </c>
      <c r="N52" s="4" t="inlineStr">
        <is>
          <t xml:space="preserve">Tecnologías de la información, telecomunicaciones y radiodifusión / Software / Software de aplicaciones de red</t>
        </is>
      </c>
      <c r="O52" s="4" t="inlineStr">
        <is>
          <t xml:space="preserve">1 Global · Software de servidor de aplicaciones · 1 Global · Software de servidor de aplicaciones · 1 Global · Software de servidor de aplicaciones · y 1 más</t>
        </is>
      </c>
      <c r="P52" s="2"/>
      <c r="Q52" s="2"/>
      <c r="R52" s="0"/>
      <c r="S52" s="0" t="inlineStr">
        <is>
          <t xml:space="preserve">No</t>
        </is>
      </c>
      <c r="T52" s="4"/>
      <c r="U52" s="0" t="inlineStr">
        <is>
          <t xml:space="preserve">HERNAN FIGUEROA GARCIA</t>
        </is>
      </c>
      <c r="V52" s="4" t="inlineStr">
        <is>
          <t xml:space="preserve">ADQUISICIÓN DE SOFTWARE PARA RENDERIZADO 3D, ANÁLISIS ESTRUCTURAL AVANZADO, ANÁLISIS SÍSMICO AVANZADO E INFORMACIÓN GEOGRÁFICA</t>
        </is>
      </c>
      <c r="W52" s="5" t="str">
        <f>HYPERLINK("https://www.mercadopublico.cl/Procurement/Modules/Attachment/ViewAttachment.aspx?enc=%2bNkcghEkT2uiKavxWRBAYD23ohf4bi%2f2%2bnbmRgq%2bTjMyQScqreve5939RCGS%2bnMmPDijCrQ2N4a7PRtnrExvPp05JmDdvOIrQ1U29BECEGYQR6%2fyOYpfTbPaGj63NMWsf0DOm%2bE9Ax0yCoVw0k6PqLVzNWBzGoqJIokDbIjm2c3qRmDDv7iubE4a2QfaBpnq8uDFbee4nVgSX3t6%2fnCOZo%2fARYbX2Qf4kx5KJ%2bRbBuRiJJySDKWwB%2fPuYuD%2bZm7tvLvdxqV%2bAM5LZmea24Id%2f6kEe9Bg9sxWUpDMd9HtVz9hL%2bwQopwn0yzjds6CC4pY","descargar bases")</f>
      </c>
    </row>
    <row r="53">
      <c r="A53" s="0" t="inlineStr">
        <is>
          <t xml:space="preserve">3269-10-LP26</t>
        </is>
      </c>
      <c r="B53" s="4" t="inlineStr">
        <is>
          <t xml:space="preserve">S.A. 68 SOPORTE Y MANTTO PLATAFORMA DATOS QUMULO</t>
        </is>
      </c>
      <c r="C53" s="0" t="inlineStr">
        <is>
          <t xml:space="preserve">Publicada</t>
        </is>
      </c>
      <c r="D53" s="0" t="inlineStr">
        <is>
          <t xml:space="preserve">FUERZA AEREA DE CHILE COMANDO LOGISTICO</t>
        </is>
      </c>
      <c r="E53" s="0" t="inlineStr">
        <is>
          <t xml:space="preserve">Servicio Aerofotogramétrico</t>
        </is>
      </c>
      <c r="F53" s="0" t="inlineStr">
        <is>
          <t xml:space="preserve">Región Metropolitana de Santiago</t>
        </is>
      </c>
      <c r="G53" s="0" t="inlineStr">
        <is>
          <t xml:space="preserve">Pudahuel</t>
        </is>
      </c>
      <c r="H53" s="2">
        <v>46275.512801</v>
      </c>
      <c r="I53" s="2">
        <v>46295.5</v>
      </c>
      <c r="J53" s="0">
        <v>7</v>
      </c>
      <c r="K53" s="3">
        <v>94099000.0</v>
      </c>
      <c r="L53" s="0" t="inlineStr">
        <is>
          <t xml:space="preserve">CLP</t>
        </is>
      </c>
      <c r="M53" s="0" t="inlineStr">
        <is>
          <t xml:space="preserve">LP</t>
        </is>
      </c>
      <c r="N53" s="4" t="inlineStr">
        <is>
          <t xml:space="preserve">Servicios basados en ingeniería, ciencias sociales y tecnología de la información / Servicios informáticos / Servicios de datos</t>
        </is>
      </c>
      <c r="O53" s="4" t="inlineStr">
        <is>
          <t xml:space="preserve">1 Unidad · Servicios de almacenamiento de datos</t>
        </is>
      </c>
      <c r="P53" s="2"/>
      <c r="Q53" s="2"/>
      <c r="R53" s="0"/>
      <c r="S53" s="0" t="inlineStr">
        <is>
          <t xml:space="preserve">No</t>
        </is>
      </c>
      <c r="T53"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53" s="0" t="inlineStr">
        <is>
          <t xml:space="preserve">Giovanni Albornoz Pinto</t>
        </is>
      </c>
      <c r="V53" s="4" t="inlineStr">
        <is>
          <t xml:space="preserve">Contratación del servicio de soporte, mantención preventiva, correctiva para la plataforma de procesamiento y almacenamiento de datos Qumulo, hardware y software para el Servicio Aerofotogramétrico.</t>
        </is>
      </c>
      <c r="W53" s="5" t="str">
        <f>HYPERLINK("https://www.mercadopublico.cl/Procurement/Modules/Attachment/ViewAttachment.aspx?enc=TB21GBqewME6K0WvedXKgQ5qnAVDTUY2RVXk7wYrWKFUGlOZQhsdfvWP9Tuhup1jAdGzbef505184eWSKA5QOqP2ZDqNfT%2bEV2cRdnNbYR%2bFHl4q7pXNFHFZ3ia13xcRLHMkDfNo3%2f7mTtYcGDrfmx%2bkjkoaBA3jrYc6ixy0QUVQcQiM3paS749g%2ffE8m6DvZLv4n%2bX%2bLHrpMkpnfkqgBPg%2biXRMFKEdf68ouoAJRpSw%2fXksrwKtE%2fMymx8FoFdxX%2bV8UfFIyYhQMBTQlIeDS%2fT5OQziR%2fKrrTXYBJLXs7VMqB3djjH21Y4v%2bYEhTYNw","descargar bases")</f>
      </c>
    </row>
    <row r="54">
      <c r="A54" s="0" t="inlineStr">
        <is>
          <t xml:space="preserve">1057489-285-LP26</t>
        </is>
      </c>
      <c r="B54" s="4" t="inlineStr">
        <is>
          <t xml:space="preserve">Arriendo de Huelleros digitales y Pistola Escáner</t>
        </is>
      </c>
      <c r="C54" s="0" t="inlineStr">
        <is>
          <t xml:space="preserve">Publicada</t>
        </is>
      </c>
      <c r="D54" s="0" t="inlineStr">
        <is>
          <t xml:space="preserve">SERVICIO DE SALUD ORIENTE HOSPITAL DEL SALVADOR</t>
        </is>
      </c>
      <c r="E54" s="0" t="inlineStr">
        <is>
          <t xml:space="preserve">Bienes y Servicios</t>
        </is>
      </c>
      <c r="F54" s="0" t="inlineStr">
        <is>
          <t xml:space="preserve">Región Metropolitana de Santiago</t>
        </is>
      </c>
      <c r="G54" s="0" t="inlineStr">
        <is>
          <t xml:space="preserve">Providencia</t>
        </is>
      </c>
      <c r="H54" s="2">
        <v>46275.701123</v>
      </c>
      <c r="I54" s="2">
        <v>46295.625</v>
      </c>
      <c r="J54" s="0">
        <v>7</v>
      </c>
      <c r="K54" s="3">
        <v>160000000.0</v>
      </c>
      <c r="L54" s="0" t="inlineStr">
        <is>
          <t xml:space="preserve">CLP</t>
        </is>
      </c>
      <c r="M54" s="0" t="inlineStr">
        <is>
          <t xml:space="preserve">LP</t>
        </is>
      </c>
      <c r="N54" s="4" t="inlineStr">
        <is>
          <t xml:space="preserve">Tecnologías de la información, telecomunicaciones y radiodifusión / Equipos informáticos y accesorios / Dispositivos informáticos de entrada de datos</t>
        </is>
      </c>
      <c r="O54" s="4" t="inlineStr">
        <is>
          <t xml:space="preserve">1 Unidad · Equipo de lector de código de barras</t>
        </is>
      </c>
      <c r="P54" s="2"/>
      <c r="Q54" s="2"/>
      <c r="R54" s="0" t="inlineStr">
        <is>
          <t xml:space="preserve">36 meses</t>
        </is>
      </c>
      <c r="S54" s="0" t="inlineStr">
        <is>
          <t xml:space="preserve">No</t>
        </is>
      </c>
      <c r="T54" s="4"/>
      <c r="U54" s="0" t="inlineStr">
        <is>
          <t xml:space="preserve">CARLOS CONSTELA</t>
        </is>
      </c>
      <c r="V54"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54" s="5" t="str">
        <f>HYPERLINK("https://www.mercadopublico.cl/Procurement/Modules/Attachment/ViewAttachment.aspx?enc=f%2fhmyHkLYw5knY%2fLThAG%2f2pGo1MzbQ6bNQmTtV8TZS4DnPV09mzWDOyQ7dCpLaq91U%2fs2dKKEm6%2b%2faAX9rAaH5CGYZUI4ziNNma6etqWte%2fYwxtGnaCbRG2dw%2fc9W5Qn71WAXZ7Pa6s63axUwNa6WRz9GnlPdRSlCaNxVwwxLWRQ%2fBwNRhERfRgCQjFFVfGr%2bH6VYeslcz5pVVL20F3MjH8Bc6DdLlRv7RhD9pVwNWkl3a7D5ndE7QdeF1x3F6lA3%2fMnF2yf8%2f6r2Swelxqj4DYFVJ9ASmaWgpBrjRiFnStrgwp1OdXUs1oKFnhRUPCw","descargar bases")</f>
      </c>
    </row>
    <row r="55">
      <c r="A55" s="0" t="inlineStr">
        <is>
          <t xml:space="preserve">548874-72-LR26</t>
        </is>
      </c>
      <c r="B55" s="4" t="inlineStr">
        <is>
          <t xml:space="preserve">SERV. DE ADMINISTRACION PLATAFORMAS TECNOLOGICAS</t>
        </is>
      </c>
      <c r="C55" s="0" t="inlineStr">
        <is>
          <t xml:space="preserve">Publicada</t>
        </is>
      </c>
      <c r="D55" s="0" t="inlineStr">
        <is>
          <t xml:space="preserve">INSTITUTO DE PREVISION SOCIAL</t>
        </is>
      </c>
      <c r="E55" s="0" t="inlineStr">
        <is>
          <t xml:space="preserve">IPS Oficina Central de Compras</t>
        </is>
      </c>
      <c r="F55" s="0" t="inlineStr">
        <is>
          <t xml:space="preserve">Región Metropolitana de Santiago</t>
        </is>
      </c>
      <c r="G55" s="0" t="inlineStr">
        <is>
          <t xml:space="preserve">Santiago</t>
        </is>
      </c>
      <c r="H55" s="2">
        <v>46258.545255</v>
      </c>
      <c r="I55" s="2">
        <v>46295.625</v>
      </c>
      <c r="J55" s="0">
        <v>7</v>
      </c>
      <c r="K55" s="3">
        <v>24000.0</v>
      </c>
      <c r="L55" s="0" t="inlineStr">
        <is>
          <t xml:space="preserve">CLF</t>
        </is>
      </c>
      <c r="M55" s="0" t="inlineStr">
        <is>
          <t xml:space="preserve">LR</t>
        </is>
      </c>
      <c r="N55" s="4" t="inlineStr">
        <is>
          <t xml:space="preserve">Tecnologías de la información, telecomunicaciones y radiodifusión / Software / Software de consultas y gestión de datos</t>
        </is>
      </c>
      <c r="O55" s="4" t="inlineStr">
        <is>
          <t xml:space="preserve">1 Global · Software del sistema de administración de bases de datos</t>
        </is>
      </c>
      <c r="P55" s="2"/>
      <c r="Q55" s="2"/>
      <c r="R55" s="0" t="inlineStr">
        <is>
          <t xml:space="preserve">12 meses</t>
        </is>
      </c>
      <c r="S55" s="0" t="inlineStr">
        <is>
          <t xml:space="preserve">No</t>
        </is>
      </c>
      <c r="T55" s="4" t="inlineStr">
        <is>
          <t xml:space="preserve">Ver bases administrativas punto 16.</t>
        </is>
      </c>
      <c r="U55" s="0" t="inlineStr">
        <is>
          <t xml:space="preserve">Por Definir</t>
        </is>
      </c>
      <c r="V55" s="4" t="inlineStr">
        <is>
          <t xml:space="preserve">SERVICIO DE ADMINISTRACION, GESTION, CONFIGURACION, RESPALDOS Y
MANTENCION DE LAS PLATAFORMAS TECNOLOGICAS DE IPS– E1O2RT8</t>
        </is>
      </c>
      <c r="W55"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56">
      <c r="A56" s="0" t="inlineStr">
        <is>
          <t xml:space="preserve">5482-103-LP26</t>
        </is>
      </c>
      <c r="B56" s="4" t="inlineStr">
        <is>
          <t xml:space="preserve">PLATAFORMA DE GESTIÓN TERRITORIAL Y DE RENTAS</t>
        </is>
      </c>
      <c r="C56" s="0" t="inlineStr">
        <is>
          <t xml:space="preserve">Publicada</t>
        </is>
      </c>
      <c r="D56" s="0" t="inlineStr">
        <is>
          <t xml:space="preserve">I MUNICIPALIDAD DE NUNOA</t>
        </is>
      </c>
      <c r="E56" s="0" t="inlineStr">
        <is>
          <t xml:space="preserve">SECPLANUNOA</t>
        </is>
      </c>
      <c r="F56" s="0" t="inlineStr">
        <is>
          <t xml:space="preserve">Región Metropolitana de Santiago</t>
        </is>
      </c>
      <c r="G56" s="0" t="inlineStr">
        <is>
          <t xml:space="preserve">Ñuñoa</t>
        </is>
      </c>
      <c r="H56" s="2">
        <v>46275.765127</v>
      </c>
      <c r="I56" s="2">
        <v>46295.625694</v>
      </c>
      <c r="J56" s="0">
        <v>7</v>
      </c>
      <c r="K56" s="3"/>
      <c r="L56" s="0" t="inlineStr">
        <is>
          <t xml:space="preserve">CLF</t>
        </is>
      </c>
      <c r="M56" s="0" t="inlineStr">
        <is>
          <t xml:space="preserve">LP</t>
        </is>
      </c>
      <c r="N56" s="4" t="inlineStr">
        <is>
          <t xml:space="preserve">Tecnologías de la información, telecomunicaciones y radiodifusión / Software / Programas de desarrollo</t>
        </is>
      </c>
      <c r="O56" s="4" t="inlineStr">
        <is>
          <t xml:space="preserve">30 Mes · Software de desarrollo de plataforma Web</t>
        </is>
      </c>
      <c r="P56" s="2"/>
      <c r="Q56" s="2"/>
      <c r="R56" s="0" t="inlineStr">
        <is>
          <t xml:space="preserve">30 meses</t>
        </is>
      </c>
      <c r="S56" s="0" t="inlineStr">
        <is>
          <t xml:space="preserve">No</t>
        </is>
      </c>
      <c r="T56" s="4"/>
      <c r="U56" s="0" t="inlineStr">
        <is>
          <t xml:space="preserve">Katherinne Ayala</t>
        </is>
      </c>
      <c r="V56"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56" s="5" t="str">
        <f>HYPERLINK("https://www.mercadopublico.cl/Procurement/Modules/Attachment/ViewAttachment.aspx?enc=CBEB1mtRJCDT33jHLTqIgANt8YbgkV%2flzqicwg4hSOmPVoOIGIk6QVyLJZp9iuu3TfN%2f45Kg6JnEkVWoiwvF5PwbTyNR99EXzKRpEZuRFdDIltEzjXaZ%2bauAbTx8brv6zbGmUcCLmx5f8rU1m%2bZv6N5XUvt9lBpr6JD5rHVuRYP9E4GuY5pEqTP3JjHff0Z6qCjixEwTB3CLs67gU%2bKugGr4GvPRxjmqUS%2bChR8D5F%2bjn06I1umJMGK93DGTsfad%2beTFgPVMjNG3SlzirTHlWm%2ff%2b3YUkgDmH8i8X602O2kz70updAMLoHHDDBr%2f56fO","descargar bases")</f>
      </c>
    </row>
    <row r="57">
      <c r="A57" s="0" t="inlineStr">
        <is>
          <t xml:space="preserve">721703-40-LP26</t>
        </is>
      </c>
      <c r="B57" s="4" t="inlineStr">
        <is>
          <t xml:space="preserve">Diagramación ilustración y digitalización SNE y DIA 2027</t>
        </is>
      </c>
      <c r="C57" s="0" t="inlineStr">
        <is>
          <t xml:space="preserve">Publicada</t>
        </is>
      </c>
      <c r="D57" s="0" t="inlineStr">
        <is>
          <t xml:space="preserve">AGENCIA DE CALIDAD DE LA EDUCACION</t>
        </is>
      </c>
      <c r="E57" s="0" t="inlineStr">
        <is>
          <t xml:space="preserve">Nivel Central</t>
        </is>
      </c>
      <c r="F57" s="0" t="inlineStr">
        <is>
          <t xml:space="preserve">Región Metropolitana de Santiago</t>
        </is>
      </c>
      <c r="G57" s="0" t="inlineStr">
        <is>
          <t xml:space="preserve">Santiago</t>
        </is>
      </c>
      <c r="H57" s="2">
        <v>46274.6461</v>
      </c>
      <c r="I57" s="2">
        <v>46295.625694</v>
      </c>
      <c r="J57" s="0">
        <v>7</v>
      </c>
      <c r="K57" s="3">
        <v>130132269.0</v>
      </c>
      <c r="L57" s="0" t="inlineStr">
        <is>
          <t xml:space="preserve">CLP</t>
        </is>
      </c>
      <c r="M57" s="0" t="inlineStr">
        <is>
          <t xml:space="preserve">LP</t>
        </is>
      </c>
      <c r="N57" s="4" t="inlineStr">
        <is>
          <t xml:space="preserve">Servicios editoriales, de diseño, publicidad, gráficos y artistas / Servicios de impresión y reproducción / Impresión</t>
        </is>
      </c>
      <c r="O57" s="4" t="inlineStr">
        <is>
          <t xml:space="preserve">1 Global · Diagramación</t>
        </is>
      </c>
      <c r="P57" s="2"/>
      <c r="Q57" s="2"/>
      <c r="R57" s="0" t="inlineStr">
        <is>
          <t xml:space="preserve">15 meses</t>
        </is>
      </c>
      <c r="S57" s="0" t="inlineStr">
        <is>
          <t xml:space="preserve">No</t>
        </is>
      </c>
      <c r="T57" s="4" t="inlineStr">
        <is>
          <t xml:space="preserve">Conforme a lo establecido en el punto 9.7 de las bases administrativas.</t>
        </is>
      </c>
      <c r="U57" s="0" t="inlineStr">
        <is>
          <t xml:space="preserve">Paulina Videla</t>
        </is>
      </c>
      <c r="V57"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57" s="5" t="str">
        <f>HYPERLINK("https://www.mercadopublico.cl/Procurement/Modules/Attachment/ViewAttachment.aspx?enc=P5KypxFmCaNsJPB2%2bvrjvXkJS9mh6If0L5%2b7Q66ZHxX6BDLoWfhvKoKL1SozTtHrdQcHeczxj0yWiEfvr3DL8Q1dR0KJfDnlEpZFl%2fO6iSlEIrbcp%2fLDr7pUPpp8uElSTUK0DdTVmolAdECvHOlv8tHiwZ%2byF76S3d2YSs08QTirE1NObamoa9k0Mn5oLvM8uYVRXxmufRSvCUqouz4VSse%2fR2nUlBRDrdQnIHBwcAwLwnA17aT9tGBVjXaDYXOdnJGBkubCF4AqiYRaJsnQ0Z9JZARmQSP25mLYrWyQ8WyPxfsO15XTYtrXxA6YHx%2fQ","descargar bases")</f>
      </c>
    </row>
    <row r="58">
      <c r="A58" s="0" t="inlineStr">
        <is>
          <t xml:space="preserve">2020-21-LE26</t>
        </is>
      </c>
      <c r="B58" s="4" t="inlineStr">
        <is>
          <t xml:space="preserve">MEJORA DE LA PLATAFORMA INFORMÁTICA PARA LA BCN.</t>
        </is>
      </c>
      <c r="C58" s="0" t="inlineStr">
        <is>
          <t xml:space="preserve">Publicada</t>
        </is>
      </c>
      <c r="D58" s="0" t="inlineStr">
        <is>
          <t xml:space="preserve">Biblioteca del Congreso Nacional</t>
        </is>
      </c>
      <c r="E58" s="0" t="inlineStr">
        <is>
          <t xml:space="preserve">Biblioteca del Congreso Nacional</t>
        </is>
      </c>
      <c r="F58" s="0" t="inlineStr">
        <is>
          <t xml:space="preserve">Región Metropolitana de Santiago</t>
        </is>
      </c>
      <c r="G58" s="0" t="inlineStr">
        <is>
          <t xml:space="preserve">Santiago Centro</t>
        </is>
      </c>
      <c r="H58" s="2">
        <v>46273.642361</v>
      </c>
      <c r="I58" s="2">
        <v>46295.625694</v>
      </c>
      <c r="J58" s="0">
        <v>7</v>
      </c>
      <c r="K58" s="3">
        <v>30000000.0</v>
      </c>
      <c r="L58" s="0" t="inlineStr">
        <is>
          <t xml:space="preserve">CLP</t>
        </is>
      </c>
      <c r="M58" s="0" t="inlineStr">
        <is>
          <t xml:space="preserve">LE</t>
        </is>
      </c>
      <c r="N58" s="4" t="inlineStr">
        <is>
          <t xml:space="preserve">Servicios basados en ingeniería, ciencias sociales y tecnología de la información / Servicios informáticos / Mantenimiento y soporte de software</t>
        </is>
      </c>
      <c r="O58" s="4" t="inlineStr">
        <is>
          <t xml:space="preserve">1 Unidad · Up grade de software</t>
        </is>
      </c>
      <c r="P58" s="2"/>
      <c r="Q58" s="2"/>
      <c r="R58" s="0" t="inlineStr">
        <is>
          <t xml:space="preserve">120 días</t>
        </is>
      </c>
      <c r="S58" s="0" t="inlineStr">
        <is>
          <t xml:space="preserve">No</t>
        </is>
      </c>
      <c r="T58" s="4" t="inlineStr">
        <is>
          <t xml:space="preserve">Según restricciones establecidas en el numeral 26. Subcontratación de las Bases de Licitación Adjuntas.</t>
        </is>
      </c>
      <c r="U58" s="0" t="inlineStr">
        <is>
          <t xml:space="preserve">SISRED</t>
        </is>
      </c>
      <c r="V58" s="4" t="inlineStr">
        <is>
          <t xml:space="preserve">PROYECTO DE MEJORA DE LA PLATAFORMA INFORMÁTICA DEL SISTEMA HISTORIA DE LA LEY Y LABOR PARLAMENTARIA PARA LA BIBLIOTECA DEL CONGRESO NACIONAL.</t>
        </is>
      </c>
      <c r="W58" s="5" t="str">
        <f>HYPERLINK("https://www.mercadopublico.cl/Procurement/Modules/Attachment/ViewAttachment.aspx?enc=QoCHtdteRSGOaUaqK6YCv2A%2bw81%2f5m592MidS%2fSfLlkK%2bWL9IYrdVqB9l5XhFeRrhGBODgT00XWpp9YyFDItqg0pYjsQUI7fK%2f%2beZwIzt8%2bU0nLNI%2f%2bwSEoEvLbU587f1Q%2fYwJLirqo%2fylN7g%2bixhacnz8ogpbEsZ%2bulb0aaqSvMC8oTkyj3A24kFXPsKwAJo9EtnNUg%2bLQe8EfeeRVJMe%2fh7hEkcwNc4htzL6PFpq2h%2b%2ffWVwoQxyFZrQzz7fsK0hOfQd1oFWis0S8b3Eu7IU1KPrJMCHpz%2fHfy4yoXfhS4r%2fTc2UFmyLUJQSOL2PLV","descargar bases")</f>
      </c>
    </row>
    <row r="59">
      <c r="A59" s="0" t="inlineStr">
        <is>
          <t xml:space="preserve">5413-72-LP26</t>
        </is>
      </c>
      <c r="B59" s="4" t="inlineStr">
        <is>
          <t xml:space="preserve">Cámaras digitales y lentes de cámara. Proyecto RED</t>
        </is>
      </c>
      <c r="C59" s="0" t="inlineStr">
        <is>
          <t xml:space="preserve">Publicada</t>
        </is>
      </c>
      <c r="D59" s="0" t="inlineStr">
        <is>
          <t xml:space="preserve">UNIVERSIDAD DE LOS LAGOS</t>
        </is>
      </c>
      <c r="E59" s="0" t="inlineStr">
        <is>
          <t xml:space="preserve">CAMPUS OSORNO</t>
        </is>
      </c>
      <c r="F59" s="0" t="inlineStr">
        <is>
          <t xml:space="preserve">Región de los Lagos </t>
        </is>
      </c>
      <c r="G59" s="0"/>
      <c r="H59" s="2">
        <v>46272.748611</v>
      </c>
      <c r="I59" s="2">
        <v>46295.645833</v>
      </c>
      <c r="J59" s="0">
        <v>7</v>
      </c>
      <c r="K59" s="3">
        <v>98588644.0</v>
      </c>
      <c r="L59" s="0" t="inlineStr">
        <is>
          <t xml:space="preserve">CLP</t>
        </is>
      </c>
      <c r="M59" s="0" t="inlineStr">
        <is>
          <t xml:space="preserve">LP</t>
        </is>
      </c>
      <c r="N59" s="4" t="inlineStr">
        <is>
          <t xml:space="preserve">Equipos y suministros de imprenta, fotográficos y audiovisuales / Equipos de video, filmación o fotografía / Cámaras</t>
        </is>
      </c>
      <c r="O59" s="4" t="inlineStr">
        <is>
          <t xml:space="preserve">19 Unidad · Videocámaras portátiles · 19 Unidad · Videocámaras portátiles</t>
        </is>
      </c>
      <c r="P59" s="2"/>
      <c r="Q59" s="2"/>
      <c r="R59" s="0"/>
      <c r="S59" s="0" t="inlineStr">
        <is>
          <t xml:space="preserve">No</t>
        </is>
      </c>
      <c r="T59" s="4"/>
      <c r="U59" s="0" t="inlineStr">
        <is>
          <t xml:space="preserve">Claudia Millán Rute</t>
        </is>
      </c>
      <c r="V59"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59"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60">
      <c r="A60" s="0" t="inlineStr">
        <is>
          <t xml:space="preserve">609-28-LE26</t>
        </is>
      </c>
      <c r="B60" s="4" t="inlineStr">
        <is>
          <t xml:space="preserve">Adquisición de licencias prevención de datos</t>
        </is>
      </c>
      <c r="C60" s="0" t="inlineStr">
        <is>
          <t xml:space="preserve">Publicada</t>
        </is>
      </c>
      <c r="D60" s="0" t="inlineStr">
        <is>
          <t xml:space="preserve">INSTITUTO DE DESARROLLO AGROPECUARIO</t>
        </is>
      </c>
      <c r="E60" s="0" t="inlineStr">
        <is>
          <t xml:space="preserve">Instituto de Desarrollo Agropecuario - INDAP</t>
        </is>
      </c>
      <c r="F60" s="0" t="inlineStr">
        <is>
          <t xml:space="preserve">Región Metropolitana de Santiago</t>
        </is>
      </c>
      <c r="G60" s="0" t="inlineStr">
        <is>
          <t xml:space="preserve">Santiago</t>
        </is>
      </c>
      <c r="H60" s="2">
        <v>46280.638287</v>
      </c>
      <c r="I60" s="2">
        <v>46295.645833</v>
      </c>
      <c r="J60" s="0">
        <v>7</v>
      </c>
      <c r="K60" s="3"/>
      <c r="L60" s="0" t="inlineStr">
        <is>
          <t xml:space="preserve">CLP</t>
        </is>
      </c>
      <c r="M60" s="0" t="inlineStr">
        <is>
          <t xml:space="preserve">LE</t>
        </is>
      </c>
      <c r="N60" s="4" t="inlineStr">
        <is>
          <t xml:space="preserve">Tecnologías de la información, telecomunicaciones y radiodifusión / Software / Software de gestión</t>
        </is>
      </c>
      <c r="O60" s="4" t="inlineStr">
        <is>
          <t xml:space="preserve">1 Unidad · Software de gestión de licencias</t>
        </is>
      </c>
      <c r="P60" s="2"/>
      <c r="Q60" s="2"/>
      <c r="R60" s="0" t="inlineStr">
        <is>
          <t xml:space="preserve">12 meses</t>
        </is>
      </c>
      <c r="S60" s="0" t="inlineStr">
        <is>
          <t xml:space="preserve">No</t>
        </is>
      </c>
      <c r="T60" s="4" t="inlineStr">
        <is>
          <t xml:space="preserve">Remítase a Resolución Exenta adjunta.</t>
        </is>
      </c>
      <c r="U60" s="0" t="inlineStr">
        <is>
          <t xml:space="preserve">Mauricio Beltran</t>
        </is>
      </c>
      <c r="V60" s="4" t="inlineStr">
        <is>
          <t xml:space="preserve">Se requiere la contratación de un oferente del ramo, que provea la adquisición de licencias para la autentificación de doble factor y prevención de pérdida de datos.</t>
        </is>
      </c>
      <c r="W60" s="5" t="str">
        <f>HYPERLINK("https://www.mercadopublico.cl/Procurement/Modules/Attachment/ViewAttachment.aspx?enc=3bw%2fm7v2AUPA%2fS0bLhpDfMKr%2f7nPdwbDZJr%2bsfKfqqJZmbCHFY4uIUE5ijdXm7olS7qFVWZ3BrcfP%2bfFQ0kID38n6ohi%2fODQsL9gJJ3Jk3QLokQyLrt3jm1nYOtnZS8pBIlw6K7UMWe6bBOdvACrzxXZORk5LLfNTBmzZJsvaiQgmWwYzPe5kA9LjcUImgppIm73intyyWuZKgK9m4ATZFd6kNGEnEr7SARMhM5y7ZD6RW1NAXDTHvouVVvVWdiw5mGKaKMFAhuj1jtQnAu%2ffrdFU3Dmg7mNsqXii33gMeFzrkVeGKHO1lyCVYofXjnb","descargar bases")</f>
      </c>
    </row>
    <row r="61">
      <c r="A61" s="0" t="inlineStr">
        <is>
          <t xml:space="preserve">1005498-22-LE26</t>
        </is>
      </c>
      <c r="B61" s="4" t="inlineStr">
        <is>
          <t xml:space="preserve">Servicio de implementación de Jira o similar en modalidad Cloud</t>
        </is>
      </c>
      <c r="C61" s="0" t="inlineStr">
        <is>
          <t xml:space="preserve">Publicada</t>
        </is>
      </c>
      <c r="D61" s="0" t="inlineStr">
        <is>
          <t xml:space="preserve">COMISION PARA EL MERCADO FINANCIERO</t>
        </is>
      </c>
      <c r="E61" s="0" t="inlineStr">
        <is>
          <t xml:space="preserve">COMISION PARA EL MERCADO FINANCIERO</t>
        </is>
      </c>
      <c r="F61" s="0" t="inlineStr">
        <is>
          <t xml:space="preserve">Región Metropolitana de Santiago</t>
        </is>
      </c>
      <c r="G61" s="0" t="inlineStr">
        <is>
          <t xml:space="preserve">Santiago Centro</t>
        </is>
      </c>
      <c r="H61" s="2">
        <v>46286.534248</v>
      </c>
      <c r="I61" s="2">
        <v>46295.666667</v>
      </c>
      <c r="J61" s="0">
        <v>7</v>
      </c>
      <c r="K61" s="3">
        <v>20000000.0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 Global · Programas de gestión de proyectos</t>
        </is>
      </c>
      <c r="P61" s="2"/>
      <c r="Q61" s="2"/>
      <c r="R61" s="0" t="inlineStr">
        <is>
          <t xml:space="preserve">2 meses</t>
        </is>
      </c>
      <c r="S61" s="0" t="inlineStr">
        <is>
          <t xml:space="preserve">No</t>
        </is>
      </c>
      <c r="T61" s="4" t="inlineStr">
        <is>
          <t xml:space="preserve">NO SE PERMITE</t>
        </is>
      </c>
      <c r="U61" s="0" t="inlineStr">
        <is>
          <t xml:space="preserve">Osvaldo Rosales</t>
        </is>
      </c>
      <c r="V61" s="4" t="inlineStr">
        <is>
          <t xml:space="preserve">servicio de implementación de Jira (o similar) en modalidad Cloud para la CMF</t>
        </is>
      </c>
      <c r="W61"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62">
      <c r="A62" s="0" t="inlineStr">
        <is>
          <t xml:space="preserve">4051-16-LP26</t>
        </is>
      </c>
      <c r="B62" s="4" t="inlineStr">
        <is>
          <t xml:space="preserve">SERVICIO ADMINISTRADO DE INTERNET RED DE DATOS Y</t>
        </is>
      </c>
      <c r="C62" s="0" t="inlineStr">
        <is>
          <t xml:space="preserve">Publicada</t>
        </is>
      </c>
      <c r="D62" s="0" t="inlineStr">
        <is>
          <t xml:space="preserve">I MUNICIPALIDAD DE OLLAGUE</t>
        </is>
      </c>
      <c r="E62" s="0" t="inlineStr">
        <is>
          <t xml:space="preserve">Municipalidad de Ollagüe</t>
        </is>
      </c>
      <c r="F62" s="0" t="inlineStr">
        <is>
          <t xml:space="preserve">Región de Antofagasta </t>
        </is>
      </c>
      <c r="G62" s="0" t="inlineStr">
        <is>
          <t xml:space="preserve">Ollague</t>
        </is>
      </c>
      <c r="H62" s="2">
        <v>46269.531944</v>
      </c>
      <c r="I62" s="2">
        <v>46295.666667</v>
      </c>
      <c r="J62" s="0">
        <v>7</v>
      </c>
      <c r="K62" s="3"/>
      <c r="L62" s="0" t="inlineStr">
        <is>
          <t xml:space="preserve">CLF</t>
        </is>
      </c>
      <c r="M62" s="0" t="inlineStr">
        <is>
          <t xml:space="preserve">LP</t>
        </is>
      </c>
      <c r="N62" s="4" t="inlineStr">
        <is>
          <t xml:space="preserve">Servicios basados en ingeniería, ciencias sociales y tecnología de la información / Servicios informáticos / Servicios para internet</t>
        </is>
      </c>
      <c r="O62" s="4" t="inlineStr">
        <is>
          <t xml:space="preserve">1 Unidad · Proveedores de servicio de Internet (ISP)</t>
        </is>
      </c>
      <c r="P62" s="2"/>
      <c r="Q62" s="2"/>
      <c r="R62" s="0" t="inlineStr">
        <is>
          <t xml:space="preserve">48 meses</t>
        </is>
      </c>
      <c r="S62" s="0" t="inlineStr">
        <is>
          <t xml:space="preserve">No</t>
        </is>
      </c>
      <c r="T62" s="4"/>
      <c r="U62" s="0" t="inlineStr">
        <is>
          <t xml:space="preserve">Jhean Ramírez Domínguez</t>
        </is>
      </c>
      <c r="V62"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62"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63">
      <c r="A63" s="0" t="inlineStr">
        <is>
          <t xml:space="preserve">591-26-LP26</t>
        </is>
      </c>
      <c r="B63" s="4" t="inlineStr">
        <is>
          <t xml:space="preserve">PLATAFORMA DE OBSERVABILIDAD AVANZADA MULTICLOUD PARA FONASA.</t>
        </is>
      </c>
      <c r="C63" s="0" t="inlineStr">
        <is>
          <t xml:space="preserve">Publicada</t>
        </is>
      </c>
      <c r="D63" s="0" t="inlineStr">
        <is>
          <t xml:space="preserve">FONDO NACIONAL DE SALUD</t>
        </is>
      </c>
      <c r="E63" s="0" t="inlineStr">
        <is>
          <t xml:space="preserve">FONASA, Nivel Central</t>
        </is>
      </c>
      <c r="F63" s="0" t="inlineStr">
        <is>
          <t xml:space="preserve">Región Metropolitana de Santiago</t>
        </is>
      </c>
      <c r="G63" s="0"/>
      <c r="H63" s="2">
        <v>46275.725197</v>
      </c>
      <c r="I63" s="2">
        <v>46295.666667</v>
      </c>
      <c r="J63" s="0">
        <v>7</v>
      </c>
      <c r="K63" s="3"/>
      <c r="L63" s="0" t="inlineStr">
        <is>
          <t xml:space="preserve">CLP</t>
        </is>
      </c>
      <c r="M63" s="0" t="inlineStr">
        <is>
          <t xml:space="preserve">LP</t>
        </is>
      </c>
      <c r="N63" s="4" t="inlineStr">
        <is>
          <t xml:space="preserve">Tecnologías de la información, telecomunicaciones y radiodifusión / Software / Software de gestión</t>
        </is>
      </c>
      <c r="O63" s="4" t="inlineStr">
        <is>
          <t xml:space="preserve">1 Unidad · Software de gestión de licencias</t>
        </is>
      </c>
      <c r="P63" s="2"/>
      <c r="Q63" s="2"/>
      <c r="R63" s="0" t="inlineStr">
        <is>
          <t xml:space="preserve">15 meses</t>
        </is>
      </c>
      <c r="S63" s="0" t="inlineStr">
        <is>
          <t xml:space="preserve">No</t>
        </is>
      </c>
      <c r="T63" s="4"/>
      <c r="U63" s="0" t="inlineStr">
        <is>
          <t xml:space="preserve">Marcelo Gonzalez</t>
        </is>
      </c>
      <c r="V63" s="4" t="inlineStr">
        <is>
          <t xml:space="preserve">El Oferente para la provisión de una plataforma de observabilidad SaaS y la prestación de servicios profesionales especializados para su configuración, despliegue multicloud y transferencia tecnológica</t>
        </is>
      </c>
      <c r="W63" s="5" t="str">
        <f>HYPERLINK("https://www.mercadopublico.cl/Procurement/Modules/Attachment/ViewAttachment.aspx?enc=2YWlXcmnfIyNPygiOlS%2fSWhbmqfI8mNI104%2b8fYRw1zEaNPhuYhWXGu7CkPqkCgK65B8wcmJW%2f9EUSYTT%2b3720CHCNAgUqCwzZLt0wBjC4iy0cyITJBHvo%2fT3Tz2G3b7%2fl96q5dr7xnGBKDa6LuQyVBoUaPQJpF10I8j9i3NKXMmCd6055pUxaXRCfinxw10eh1Gpifh1wEW6NmZtu14MMFA1V%2fFqTmUdXUF0%2foJHlr%2fp7ZExvSmp%2fV4W0%2fMOApllWUzcW2GQWzZykS1Uo8GYvRS2TU5OGz7LgKOrROhwVMo7SDor6PfaGuZkrmbzCF6","descargar bases")</f>
      </c>
    </row>
    <row r="64">
      <c r="A64" s="0" t="inlineStr">
        <is>
          <t xml:space="preserve">885-84-LE26</t>
        </is>
      </c>
      <c r="B64" s="4" t="inlineStr">
        <is>
          <t xml:space="preserve">Soporte mantención y monitoreo plataforma legacy IBM Spectrum para la Contraloría General de la República</t>
        </is>
      </c>
      <c r="C64" s="0" t="inlineStr">
        <is>
          <t xml:space="preserve">Publicada</t>
        </is>
      </c>
      <c r="D64" s="0" t="inlineStr">
        <is>
          <t xml:space="preserve">CONTRALORIA GENERAL DE LA REPUBLICA</t>
        </is>
      </c>
      <c r="E64" s="0" t="inlineStr">
        <is>
          <t xml:space="preserve">Contraloría General de la República</t>
        </is>
      </c>
      <c r="F64" s="0" t="inlineStr">
        <is>
          <t xml:space="preserve">Región Metropolitana de Santiago</t>
        </is>
      </c>
      <c r="G64" s="0"/>
      <c r="H64" s="2">
        <v>46280.726771</v>
      </c>
      <c r="I64" s="2">
        <v>46295.666667</v>
      </c>
      <c r="J64" s="0">
        <v>7</v>
      </c>
      <c r="K64" s="3">
        <v>30000000.0</v>
      </c>
      <c r="L64" s="0" t="inlineStr">
        <is>
          <t xml:space="preserve">CLP</t>
        </is>
      </c>
      <c r="M64" s="0" t="inlineStr">
        <is>
          <t xml:space="preserve">LE</t>
        </is>
      </c>
      <c r="N64" s="4" t="inlineStr">
        <is>
          <t xml:space="preserve">Servicios basados en ingeniería, ciencias sociales y tecnología de la información / Servicios informáticos / Administración de sistemas</t>
        </is>
      </c>
      <c r="O64" s="4" t="inlineStr">
        <is>
          <t xml:space="preserve">1 Global · Mantenimiento y soporte de hardware</t>
        </is>
      </c>
      <c r="P64" s="2"/>
      <c r="Q64" s="2"/>
      <c r="R64" s="0" t="inlineStr">
        <is>
          <t xml:space="preserve">12 meses</t>
        </is>
      </c>
      <c r="S64" s="0" t="inlineStr">
        <is>
          <t xml:space="preserve">No</t>
        </is>
      </c>
      <c r="T64" s="4"/>
      <c r="U64" s="0" t="inlineStr">
        <is>
          <t xml:space="preserve">Antonio Alejandro Alcázar Garrido</t>
        </is>
      </c>
      <c r="V64"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64" s="5" t="str">
        <f>HYPERLINK("https://www.mercadopublico.cl/Procurement/Modules/Attachment/ViewAttachment.aspx?enc=hglaIMJMqL1ET2glAmo3SwOeSt4O4kdLgNkIPsnYGsDL6bxW0En7UtYjwlh%2bbbYZK8K0Doa81lVXhOR1wmde0fCwVTk7ID0ZwhG7lR2hHIkiWnt5kDzLXr8yVVWuQ8lNTcfL6q6q22g1wn1kGJrnOwQMqoVoxjYUv9ZiIbQ2PWtuk7BfYaYdZibc0wwkQR5d3OInltbAen0hknWbdIRb7QdzXsxH7HbQnkosPS9O2fKMmSxzNmQWDYaYXmD4ppuQ%2fieXHM61mWMnPw4tPDHorgach4OnWgwEk7UjrjB7mazd%2bUJAXPN2bbgy2DBGytiC","descargar bases")</f>
      </c>
    </row>
    <row r="65">
      <c r="A65" s="0" t="inlineStr">
        <is>
          <t xml:space="preserve">1551861-2-LE26</t>
        </is>
      </c>
      <c r="B65" s="4" t="inlineStr">
        <is>
          <t xml:space="preserve">Equipamiento TI accesorios y software para ESJ VI</t>
        </is>
      </c>
      <c r="C65" s="0" t="inlineStr">
        <is>
          <t xml:space="preserve">Publicada</t>
        </is>
      </c>
      <c r="D65" s="0" t="inlineStr">
        <is>
          <t xml:space="preserve">Corporación de Asistencia Judicial RM</t>
        </is>
      </c>
      <c r="E65" s="0" t="inlineStr">
        <is>
          <t xml:space="preserve">Compras Convenio Subsecretaría de Justicia</t>
        </is>
      </c>
      <c r="F65" s="0" t="inlineStr">
        <is>
          <t xml:space="preserve">Región Metropolitana de Santiago</t>
        </is>
      </c>
      <c r="G65" s="0" t="inlineStr">
        <is>
          <t xml:space="preserve">Santiago Centro</t>
        </is>
      </c>
      <c r="H65" s="2">
        <v>46280.735845</v>
      </c>
      <c r="I65" s="2">
        <v>46295.6875</v>
      </c>
      <c r="J65" s="0">
        <v>7</v>
      </c>
      <c r="K65" s="3">
        <v>59757469.0</v>
      </c>
      <c r="L65" s="0" t="inlineStr">
        <is>
          <t xml:space="preserve">CLP</t>
        </is>
      </c>
      <c r="M65" s="0" t="inlineStr">
        <is>
          <t xml:space="preserve">LE</t>
        </is>
      </c>
      <c r="N65"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65" s="4" t="inlineStr">
        <is>
          <t xml:space="preserve">1 Unidad · Software de diseño asistido por computador (CAD) · 1 Unidad · Trazadoras de gráficos · 1 Unidad · Kit de herramienta para computadores · y 1 más</t>
        </is>
      </c>
      <c r="P65" s="2"/>
      <c r="Q65" s="2"/>
      <c r="R65" s="0"/>
      <c r="S65" s="0" t="inlineStr">
        <is>
          <t xml:space="preserve">No</t>
        </is>
      </c>
      <c r="T65" s="4"/>
      <c r="U65" s="0" t="inlineStr">
        <is>
          <t xml:space="preserve">Nicolás Araya Martín</t>
        </is>
      </c>
      <c r="V65" s="4" t="inlineStr">
        <is>
          <t xml:space="preserve">Adquisición de equipamiento TI, accesorios y licencias de software para servicios usuarios del Edificio Sector Justicia de la Región del Libertador Bernardo O’Higgins.</t>
        </is>
      </c>
      <c r="W65" s="5" t="str">
        <f>HYPERLINK("https://www.mercadopublico.cl/Procurement/Modules/Attachment/ViewAttachment.aspx?enc=71HAQYGszyib37aiDeZuc2H4V4iyfaSH28qqKqXz5mesijO%2bwwNxhZnCrQhHK%2bcRN4LVLwWff3tIILTaTW%2bOvTZ8N5wmANXlpkw2QCVAkBIv8cIrmb29ZOPaYYrNknVZAxCR1juRj%2fWjoMCx7GRrGNkb1AGmCT3UmqCyYZbyOqQ5Nt4g3HGDEhkXGpVc181ogG9BlR8Hwes64LK8i%2bz6IhRv%2fxhSKfNIEVxdcNDUsFCZ2pmjYNoii4hJu%2bqyZ0i9ySH2s3rfVLn69nGDf0ezJF7snfZKFAVNTG8hSbfaas5vIxlQBBnB7WI8WQepGjJ6","descargar bases")</f>
      </c>
    </row>
    <row r="66">
      <c r="A66" s="0" t="inlineStr">
        <is>
          <t xml:space="preserve">1002592-6-LP26</t>
        </is>
      </c>
      <c r="B66" s="4" t="inlineStr">
        <is>
          <t xml:space="preserve">Servicio integral de Cloud Computing con Hosting</t>
        </is>
      </c>
      <c r="C66" s="0" t="inlineStr">
        <is>
          <t xml:space="preserve">Publicada</t>
        </is>
      </c>
      <c r="D66" s="0" t="inlineStr">
        <is>
          <t xml:space="preserve">SERVICIO LOCAL DE EDUCACION LAS BARRANCAS</t>
        </is>
      </c>
      <c r="E66" s="0" t="inlineStr">
        <is>
          <t xml:space="preserve">SLEPB PROGRAMA 1</t>
        </is>
      </c>
      <c r="F66" s="0" t="inlineStr">
        <is>
          <t xml:space="preserve">Región Metropolitana de Santiago</t>
        </is>
      </c>
      <c r="G66" s="0" t="inlineStr">
        <is>
          <t xml:space="preserve">Pudahuel</t>
        </is>
      </c>
      <c r="H66" s="2">
        <v>46275.645544</v>
      </c>
      <c r="I66" s="2">
        <v>46295.75</v>
      </c>
      <c r="J66" s="0">
        <v>7</v>
      </c>
      <c r="K66" s="3">
        <v>135000000.0</v>
      </c>
      <c r="L66" s="0" t="inlineStr">
        <is>
          <t xml:space="preserve">CLP</t>
        </is>
      </c>
      <c r="M66" s="0" t="inlineStr">
        <is>
          <t xml:space="preserve">LP</t>
        </is>
      </c>
      <c r="N66" s="4" t="inlineStr">
        <is>
          <t xml:space="preserve">Servicios basados en ingeniería, ciencias sociales y tecnología de la información / Servicios informáticos / Servicios para internet</t>
        </is>
      </c>
      <c r="O66" s="4" t="inlineStr">
        <is>
          <t xml:space="preserve">1 Unidad · Web Hosting</t>
        </is>
      </c>
      <c r="P66" s="2"/>
      <c r="Q66" s="2"/>
      <c r="R66" s="0" t="inlineStr">
        <is>
          <t xml:space="preserve">36 meses</t>
        </is>
      </c>
      <c r="S66" s="0" t="inlineStr">
        <is>
          <t xml:space="preserve">No</t>
        </is>
      </c>
      <c r="T66" s="4"/>
      <c r="U66" s="0" t="inlineStr">
        <is>
          <t xml:space="preserve">Unidad de Tecnologías de la Información</t>
        </is>
      </c>
      <c r="V66"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66" s="5" t="str">
        <f>HYPERLINK("https://www.mercadopublico.cl/Procurement/Modules/Attachment/ViewAttachment.aspx?enc=rX735UU8qgI7iSx%2f9PFkdVB6GOqqUcD9Mv86mRJ8P6tg0pKAJWERjulKVA9NkmmraoopAvq0LOJD63Q1TsaejNfcV0uaHVMIFXa4be70f961XVforv0Rzq2mBhhSJhyLIOtjujf7dmmGBDI6Fb%2flRqv20mHEukZh%2bS7Qjvu6BQxMx6fNPb3lZWHsgkN%2bqCVCvLVm6WZwzN0SvRF9tSvKE%2b54Atk3k9NV3k47fwkfSX8ALvCO9Yj2%2bW5tOagghrjNa4l%2bEbmJXeOcnZ59PlR4Rh3MByJoecQzQAWzb18be3cnVhOvSDaBoKNglZ552YZl","descargar bases")</f>
      </c>
    </row>
    <row r="67">
      <c r="A67" s="0" t="inlineStr">
        <is>
          <t xml:space="preserve">4295-67-LP26</t>
        </is>
      </c>
      <c r="B67" s="4" t="inlineStr">
        <is>
          <t xml:space="preserve">Servicio de enlace de datos voz IP y CCTV para oficinas remotas</t>
        </is>
      </c>
      <c r="C67" s="0" t="inlineStr">
        <is>
          <t xml:space="preserve">Publicada</t>
        </is>
      </c>
      <c r="D67" s="0" t="inlineStr">
        <is>
          <t xml:space="preserve">ILUSTRE MUNICIPALIDAD DE LA SERENA</t>
        </is>
      </c>
      <c r="E67" s="0" t="inlineStr">
        <is>
          <t xml:space="preserve">SECRETARIA COMUNAL DE PLANIFICACION</t>
        </is>
      </c>
      <c r="F67" s="0" t="inlineStr">
        <is>
          <t xml:space="preserve">Región de Coquimbo </t>
        </is>
      </c>
      <c r="G67" s="0" t="inlineStr">
        <is>
          <t xml:space="preserve">La Serena</t>
        </is>
      </c>
      <c r="H67" s="2">
        <v>46268.383877</v>
      </c>
      <c r="I67" s="2">
        <v>46296.416667</v>
      </c>
      <c r="J67" s="0">
        <v>8</v>
      </c>
      <c r="K67" s="3">
        <v>108000000.0</v>
      </c>
      <c r="L67" s="0" t="inlineStr">
        <is>
          <t xml:space="preserve">CLP</t>
        </is>
      </c>
      <c r="M67" s="0" t="inlineStr">
        <is>
          <t xml:space="preserve">LP</t>
        </is>
      </c>
      <c r="N67" s="4" t="inlineStr">
        <is>
          <t xml:space="preserve">Servicios básicos y de información pública / Telecomunicaciones / Comunicaciones móviles</t>
        </is>
      </c>
      <c r="O67" s="4" t="inlineStr">
        <is>
          <t xml:space="preserve">1 Unidad · Servicio de redes para mejorar la señal de telecomunicaciones</t>
        </is>
      </c>
      <c r="P67" s="2"/>
      <c r="Q67" s="2"/>
      <c r="R67" s="0" t="inlineStr">
        <is>
          <t xml:space="preserve">36 meses</t>
        </is>
      </c>
      <c r="S67" s="0" t="inlineStr">
        <is>
          <t xml:space="preserve">No</t>
        </is>
      </c>
      <c r="T67" s="4" t="inlineStr">
        <is>
          <t xml:space="preserve">Ver Bases Administrativas</t>
        </is>
      </c>
      <c r="U67" s="0" t="inlineStr">
        <is>
          <t xml:space="preserve">Departamento de Modernización y TIC`s</t>
        </is>
      </c>
      <c r="V67"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67" s="5" t="str">
        <f>HYPERLINK("https://www.mercadopublico.cl/Procurement/Modules/Attachment/ViewAttachment.aspx?enc=5yrEDOXHA6SvUSVH1Ahlwpjm2nvhmdA7qKN%2f%2b3kWZyHA8jRqk%2bOIjlaQKylYGbUM%2fZkjaYeBUHLIbKI77LMx1NoDN6aC7zkjTsVUiGl98yLn0SYl4ON%2bAYbAStokjZzNLh29YaB3PIS1qHpVxO6%2bHhw1iaeoTSBjawICHLnNtNtTMR05xKlw8IKtUDep9VJdbYYC9zoQsoFHW9cE%2bSMYZ6Q1mtmwn2AmMp6SJ6Ks%2bYPoHymzGgnk3FdSZj%2fBkUO8QFMo0eueYDVXqTXv5L6duXSaD8wjh%2fhY6WCD4wtXb0xE%2fCS6Tlm2XjVXBvMe7RcF","descargar bases")</f>
      </c>
    </row>
    <row r="68">
      <c r="A68" s="0" t="inlineStr">
        <is>
          <t xml:space="preserve">673663-31-LE26</t>
        </is>
      </c>
      <c r="B68" s="4" t="inlineStr">
        <is>
          <t xml:space="preserve">ADQUISICIÓN DE PANTALLA LED EXTERIOR Y TRES TOTEM</t>
        </is>
      </c>
      <c r="C68" s="0" t="inlineStr">
        <is>
          <t xml:space="preserve">Publicada</t>
        </is>
      </c>
      <c r="D68" s="0" t="inlineStr">
        <is>
          <t xml:space="preserve">I MUNICIPALIDAD DE ANDACOLLO</t>
        </is>
      </c>
      <c r="E68" s="0" t="inlineStr">
        <is>
          <t xml:space="preserve">Secplan</t>
        </is>
      </c>
      <c r="F68" s="0" t="inlineStr">
        <is>
          <t xml:space="preserve">Región de Coquimbo </t>
        </is>
      </c>
      <c r="G68" s="0" t="inlineStr">
        <is>
          <t xml:space="preserve">Andacollo</t>
        </is>
      </c>
      <c r="H68" s="2">
        <v>46281.669201</v>
      </c>
      <c r="I68" s="2">
        <v>46296.458333</v>
      </c>
      <c r="J68" s="0">
        <v>8</v>
      </c>
      <c r="K68" s="3"/>
      <c r="L68" s="0" t="inlineStr">
        <is>
          <t xml:space="preserve">CLP</t>
        </is>
      </c>
      <c r="M68" s="0" t="inlineStr">
        <is>
          <t xml:space="preserve">LE</t>
        </is>
      </c>
      <c r="N68" s="4" t="inlineStr">
        <is>
          <t xml:space="preserve">Tecnologías de la información, telecomunicaciones y radiodifusión / Equipos informáticos y accesorios / Pantallas o monitores de computador</t>
        </is>
      </c>
      <c r="O68" s="4" t="inlineStr">
        <is>
          <t xml:space="preserve">1 Global · Monitores de pantalla táctil</t>
        </is>
      </c>
      <c r="P68" s="2"/>
      <c r="Q68" s="2"/>
      <c r="R68" s="0"/>
      <c r="S68" s="0" t="inlineStr">
        <is>
          <t xml:space="preserve">No</t>
        </is>
      </c>
      <c r="T68" s="4"/>
      <c r="U68" s="0" t="inlineStr">
        <is>
          <t xml:space="preserve">JUAN CARLOS ALFARO ARAVENA</t>
        </is>
      </c>
      <c r="V68" s="4" t="inlineStr">
        <is>
          <t xml:space="preserve">ADQUISICIÓN DE PANTALLA LED EXTERIOR Y TRES TOTEM PUBLICITARIOS LED</t>
        </is>
      </c>
      <c r="W68" s="5" t="str">
        <f>HYPERLINK("https://www.mercadopublico.cl/Procurement/Modules/Attachment/ViewAttachment.aspx?enc=sCUp%2fYoiOqUQ2%2fo1BrASm7YKrrmkABQUqQCBZQvKfMw8TXQDmmJEYU2khNzWYXkpZBEenHwihfyzccBXJ35QIecm9GXSliK39fRZR7lhcGlZJtvzuoGe2SRqbH7nhzQpIX3UqlWzHusOppoy0u5FaceLxSKieXWBD0wDkMEEFcRPGLbcuyUOrGTgXZ3ZkH%2bHODqd1X13KX8jR2l1ZPfaokYLSmeNBlfLgPMAn83pmCEdikV2GSLCf7Yvs0luFIIpjVBuRBSd4RNIVsTuNYUJ9G7ONNnzdWxPncqQPkPsu%2f%2f4%2fi8GXBGthvQh1SRE%2bM1t","descargar bases")</f>
      </c>
    </row>
    <row r="69">
      <c r="A69" s="0" t="inlineStr">
        <is>
          <t xml:space="preserve">1375760-10-LE26</t>
        </is>
      </c>
      <c r="B69" s="4" t="inlineStr">
        <is>
          <t xml:space="preserve">SERVICIO DIGITALIZACIÓN EXPEDIENTES FUNCIONARIOS</t>
        </is>
      </c>
      <c r="C69" s="0" t="inlineStr">
        <is>
          <t xml:space="preserve">Publicada</t>
        </is>
      </c>
      <c r="D69" s="0" t="inlineStr">
        <is>
          <t xml:space="preserve">SERVICIO LOCAL DE EDUCACIÓN PÚBLICA VALLE CACHAPOAL</t>
        </is>
      </c>
      <c r="E69" s="0" t="inlineStr">
        <is>
          <t xml:space="preserve">COMPRAS Y LICITACIONES</t>
        </is>
      </c>
      <c r="F69" s="0" t="inlineStr">
        <is>
          <t xml:space="preserve">Región del Libertador General Bernardo O´Higgins</t>
        </is>
      </c>
      <c r="G69" s="0" t="inlineStr">
        <is>
          <t xml:space="preserve">Rengo</t>
        </is>
      </c>
      <c r="H69" s="2">
        <v>46286.51515</v>
      </c>
      <c r="I69" s="2">
        <v>46296.5</v>
      </c>
      <c r="J69" s="0">
        <v>8</v>
      </c>
      <c r="K69" s="3">
        <v>35000000.0</v>
      </c>
      <c r="L69" s="0" t="inlineStr">
        <is>
          <t xml:space="preserve">CLP</t>
        </is>
      </c>
      <c r="M69" s="0" t="inlineStr">
        <is>
          <t xml:space="preserve">LE</t>
        </is>
      </c>
      <c r="N69" s="4" t="inlineStr">
        <is>
          <t xml:space="preserve">Servicios basados en ingeniería, ciencias sociales y tecnología de la información / Servicios informáticos / Servicios de datos</t>
        </is>
      </c>
      <c r="O69" s="4" t="inlineStr">
        <is>
          <t xml:space="preserve">1 Unidad · Servicios de digitalización de documentos</t>
        </is>
      </c>
      <c r="P69" s="2"/>
      <c r="Q69" s="2"/>
      <c r="R69" s="0" t="inlineStr">
        <is>
          <t xml:space="preserve">2 meses</t>
        </is>
      </c>
      <c r="S69" s="0" t="inlineStr">
        <is>
          <t xml:space="preserve">No</t>
        </is>
      </c>
      <c r="T69" s="4"/>
      <c r="U69" s="0" t="inlineStr">
        <is>
          <t xml:space="preserve">Ernesto Gálvez Miranda</t>
        </is>
      </c>
      <c r="V69" s="4" t="inlineStr">
        <is>
          <t xml:space="preserve">SERVICIO DE DIGITALIZACIÓN, CONSTRUCCIÓN Y SISTEMATIZACIÓN DE EXPEDIENTES FUNCIONARIOS DEL PERSONAL QUE SE TRASPASARÁ AL SERVICIO LOCAL DE EDUCACIÓN PÚBLICA DE VALLE CACHAPOAL</t>
        </is>
      </c>
      <c r="W69"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70">
      <c r="A70" s="0" t="inlineStr">
        <is>
          <t xml:space="preserve">1057539-138-LP26</t>
        </is>
      </c>
      <c r="B70" s="4" t="inlineStr">
        <is>
          <t xml:space="preserve">SERVICIOS PROFESIONALES PERSONAL APOYO INFORMATICA</t>
        </is>
      </c>
      <c r="C70" s="0" t="inlineStr">
        <is>
          <t xml:space="preserve">Publicada</t>
        </is>
      </c>
      <c r="D70" s="0" t="inlineStr">
        <is>
          <t xml:space="preserve">HOSPITAL PUERTO MONTT SERVICIO DE SALUD DEL RELONCAVI</t>
        </is>
      </c>
      <c r="E70" s="0" t="inlineStr">
        <is>
          <t xml:space="preserve">Bienes y Servicios</t>
        </is>
      </c>
      <c r="F70" s="0" t="inlineStr">
        <is>
          <t xml:space="preserve">Región de los Lagos </t>
        </is>
      </c>
      <c r="G70" s="0"/>
      <c r="H70" s="2">
        <v>46275.575752</v>
      </c>
      <c r="I70" s="2">
        <v>46296.625</v>
      </c>
      <c r="J70" s="0">
        <v>8</v>
      </c>
      <c r="K70" s="3">
        <v>184212000.0</v>
      </c>
      <c r="L70" s="0" t="inlineStr">
        <is>
          <t xml:space="preserve">CLP</t>
        </is>
      </c>
      <c r="M70" s="0" t="inlineStr">
        <is>
          <t xml:space="preserve">LP</t>
        </is>
      </c>
      <c r="N70" s="4" t="inlineStr">
        <is>
          <t xml:space="preserve">Servicios profesionales, administrativos y consultorías de gestión empresarial / Servicios de recursos humanos / Contratación de personal</t>
        </is>
      </c>
      <c r="O70" s="4" t="inlineStr">
        <is>
          <t xml:space="preserve">1 Unidad · Profesionales</t>
        </is>
      </c>
      <c r="P70" s="2"/>
      <c r="Q70" s="2"/>
      <c r="R70" s="0" t="inlineStr">
        <is>
          <t xml:space="preserve">12 meses</t>
        </is>
      </c>
      <c r="S70" s="0" t="inlineStr">
        <is>
          <t xml:space="preserve">No</t>
        </is>
      </c>
      <c r="T70" s="4"/>
      <c r="U70" s="0" t="inlineStr">
        <is>
          <t xml:space="preserve">Vanessa Soto</t>
        </is>
      </c>
      <c r="V70"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70" s="5" t="str">
        <f>HYPERLINK("https://www.mercadopublico.cl/Procurement/Modules/Attachment/ViewAttachment.aspx?enc=P52jzXHy%2b3Gyv3gYpBoJBbGCjY6fy1hOmH1S1aCvFpCGLz6dLv0x%2b9Mb3AY2DZM%2bwVAt88XzRAySvX2s8rKlL2cTN3uEu%2foFLz%2fUi3AltPT65DKDqppvo90nLQdaHtoS8dlDrUB3gTQlLaB31uvyeE4sj4d7d%2fEN4p2UG80bofT8HLJoOgI5JkVyQY7kSlHhWmmoWMYxQKyXV%2fEqb8qJYaPiceq97DRANM%2f6Zc0wV8ezkQ94%2f9EgTq2sUqsykl5KIVXOwswOr6ri5BEGjPBNsfSnz1lAqQfd4stRz%2fhx7xOrurBf8SbEAlA86mwume%2bM","descargar bases")</f>
      </c>
    </row>
    <row r="71">
      <c r="A71" s="0" t="inlineStr">
        <is>
          <t xml:space="preserve">1305527-5-LP26</t>
        </is>
      </c>
      <c r="B71" s="4" t="inlineStr">
        <is>
          <t xml:space="preserve">Contratación de infraestructura Cloud</t>
        </is>
      </c>
      <c r="C71" s="0" t="inlineStr">
        <is>
          <t xml:space="preserve">Publicada</t>
        </is>
      </c>
      <c r="D71" s="0" t="inlineStr">
        <is>
          <t xml:space="preserve">SERVICIO LOCAL DE EDUCACIÓN PÚBLICA DEL PINO</t>
        </is>
      </c>
      <c r="E71" s="0" t="inlineStr">
        <is>
          <t xml:space="preserve">SLEP Del Pino 01</t>
        </is>
      </c>
      <c r="F71" s="0" t="inlineStr">
        <is>
          <t xml:space="preserve">Región Metropolitana de Santiago</t>
        </is>
      </c>
      <c r="G71" s="0" t="inlineStr">
        <is>
          <t xml:space="preserve">San Bernardo</t>
        </is>
      </c>
      <c r="H71" s="2">
        <v>46273.456944</v>
      </c>
      <c r="I71" s="2">
        <v>46296.625</v>
      </c>
      <c r="J71" s="0">
        <v>8</v>
      </c>
      <c r="K71" s="3">
        <v>75000000.0</v>
      </c>
      <c r="L71" s="0" t="inlineStr">
        <is>
          <t xml:space="preserve">CLP</t>
        </is>
      </c>
      <c r="M71" s="0" t="inlineStr">
        <is>
          <t xml:space="preserve">LP</t>
        </is>
      </c>
      <c r="N71" s="4" t="inlineStr">
        <is>
          <t xml:space="preserve">Servicios basados en ingeniería, ciencias sociales y tecnología de la información / Servicios informáticos / Servicios para internet</t>
        </is>
      </c>
      <c r="O71" s="4" t="inlineStr">
        <is>
          <t xml:space="preserve">1 Unidad · Web Hosting</t>
        </is>
      </c>
      <c r="P71" s="2"/>
      <c r="Q71" s="2"/>
      <c r="R71" s="0" t="inlineStr">
        <is>
          <t xml:space="preserve">36 meses</t>
        </is>
      </c>
      <c r="S71" s="0" t="inlineStr">
        <is>
          <t xml:space="preserve">No</t>
        </is>
      </c>
      <c r="T71" s="4" t="inlineStr">
        <is>
          <t xml:space="preserve">Ver Resolución Exenta N°1988 de 2026.</t>
        </is>
      </c>
      <c r="U71" s="0" t="inlineStr">
        <is>
          <t xml:space="preserve">Cristóbal Illanes</t>
        </is>
      </c>
      <c r="V71"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71"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72">
      <c r="A72" s="0" t="inlineStr">
        <is>
          <t xml:space="preserve">858-69-LP26</t>
        </is>
      </c>
      <c r="B72" s="4" t="inlineStr">
        <is>
          <t xml:space="preserve">RENOVACIÓN Y ADQUISICIÓN LICENCIAS DE INFORMÁTICA</t>
        </is>
      </c>
      <c r="C72" s="0" t="inlineStr">
        <is>
          <t xml:space="preserve">Publicada</t>
        </is>
      </c>
      <c r="D72" s="0" t="inlineStr">
        <is>
          <t xml:space="preserve">INSTITUTO NACIONAL DE DEPORTES DE CHILE</t>
        </is>
      </c>
      <c r="E72" s="0" t="inlineStr">
        <is>
          <t xml:space="preserve">Nivel Central</t>
        </is>
      </c>
      <c r="F72" s="0" t="inlineStr">
        <is>
          <t xml:space="preserve">Región Metropolitana de Santiago</t>
        </is>
      </c>
      <c r="G72" s="0" t="inlineStr">
        <is>
          <t xml:space="preserve">Providencia</t>
        </is>
      </c>
      <c r="H72" s="2">
        <v>46275.400093</v>
      </c>
      <c r="I72" s="2">
        <v>46296.625694</v>
      </c>
      <c r="J72" s="0">
        <v>8</v>
      </c>
      <c r="K72" s="3">
        <v>179063.0</v>
      </c>
      <c r="L72" s="0" t="inlineStr">
        <is>
          <t xml:space="preserve">USD</t>
        </is>
      </c>
      <c r="M72" s="0" t="inlineStr">
        <is>
          <t xml:space="preserve">LP</t>
        </is>
      </c>
      <c r="N72" s="4" t="inlineStr">
        <is>
          <t xml:space="preserve">Tecnologías de la información, telecomunicaciones y radiodifusión / Software / Software de edición y creación de contenidos</t>
        </is>
      </c>
      <c r="O72" s="4" t="inlineStr">
        <is>
          <t xml:space="preserve">1 Unidad no definida · Software de diseño de patrones · 1 Unidad no definida · Software de diseño de patrones · 1 Unidad no definida · Software de diseño de patrones · y 21 más</t>
        </is>
      </c>
      <c r="P72" s="2"/>
      <c r="Q72" s="2"/>
      <c r="R72" s="0"/>
      <c r="S72" s="0" t="inlineStr">
        <is>
          <t xml:space="preserve">No</t>
        </is>
      </c>
      <c r="T72" s="4"/>
      <c r="U72" s="0" t="inlineStr">
        <is>
          <t xml:space="preserve">Carola Molina</t>
        </is>
      </c>
      <c r="V72" s="4" t="inlineStr">
        <is>
          <t xml:space="preserve">RENOVACIÓN Y ADQUISICIÓN DE LICENCIAS DE SOFTWARE DE INFORMÁTICA PARA EL IND. VER REX 3096 AP BASES ADJUNTA.</t>
        </is>
      </c>
      <c r="W72" s="5" t="str">
        <f>HYPERLINK("https://www.mercadopublico.cl/Procurement/Modules/Attachment/ViewAttachment.aspx?enc=hjUxDkwGfv%2fXpeMfS%2b0cpBijUos2NNugOnhGbk9S8W5Gf%2fq8F2vjpL8K4co01HtMd3SV6Qdb%2fbp5yvuikY%2f0h96QW6N7Dn2oZVvc2QV2B%2bkuvmepL%2fOvjMv8FMo89CFcH%2bt%2bM3OJlwdsUqQgV%2bS5dSv0zZ45XvqXppLZYJoWbjyQ%2fCSU6M0UX%2b%2bgrRrsfkvEoO3AnCY0doMJqkEi7Jwfea8sEhlJm2myf562n%2f0%2bFqafTaIGLpNR5ZtknM5LuQwDtjHQhK9hATVpRjO7XWhx35zhUun86yQfQPWNR3GHKzkIO8WBrUBDus53ILH3grI6","descargar bases")</f>
      </c>
    </row>
    <row r="73">
      <c r="A73" s="0" t="inlineStr">
        <is>
          <t xml:space="preserve">1259850-6-LP26</t>
        </is>
      </c>
      <c r="B73" s="4" t="inlineStr">
        <is>
          <t xml:space="preserve">GORE. COMPRA DE EQUIPOS INFORMATICOS.</t>
        </is>
      </c>
      <c r="C73" s="0" t="inlineStr">
        <is>
          <t xml:space="preserve">Publicada</t>
        </is>
      </c>
      <c r="D73" s="0" t="inlineStr">
        <is>
          <t xml:space="preserve">DIRECCION GENERAL DE GENDARMERIA DE CHIL</t>
        </is>
      </c>
      <c r="E73" s="0" t="inlineStr">
        <is>
          <t xml:space="preserve">Compras GORE Arica y Parinacota</t>
        </is>
      </c>
      <c r="F73" s="0" t="inlineStr">
        <is>
          <t xml:space="preserve">Región de Arica y Parinacota</t>
        </is>
      </c>
      <c r="G73" s="0" t="inlineStr">
        <is>
          <t xml:space="preserve">Arica</t>
        </is>
      </c>
      <c r="H73" s="2">
        <v>46286.471921</v>
      </c>
      <c r="I73" s="2">
        <v>46296.645833</v>
      </c>
      <c r="J73" s="0">
        <v>8</v>
      </c>
      <c r="K73" s="3"/>
      <c r="L73" s="0" t="inlineStr">
        <is>
          <t xml:space="preserve">CLP</t>
        </is>
      </c>
      <c r="M73" s="0" t="inlineStr">
        <is>
          <t xml:space="preserve">LP</t>
        </is>
      </c>
      <c r="N7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73" s="4" t="inlineStr">
        <is>
          <t xml:space="preserve">66 Unidad · Computadores de escritorio · 15 Unidad · Impresoras multifunción o multifuncionales · 4 Unidad · Escáner</t>
        </is>
      </c>
      <c r="P73" s="2"/>
      <c r="Q73" s="2"/>
      <c r="R73" s="0"/>
      <c r="S73" s="0" t="inlineStr">
        <is>
          <t xml:space="preserve">No</t>
        </is>
      </c>
      <c r="T73" s="4"/>
      <c r="U73" s="0" t="inlineStr">
        <is>
          <t xml:space="preserve">ALEX CARRASCO SOTO</t>
        </is>
      </c>
      <c r="V73" s="4" t="inlineStr">
        <is>
          <t xml:space="preserve">GOBIERNO REGIONAL, ADQUISICION DE COMPUTADORES, IMPRESORAS Y ESCANER PROYECTO REPOSICION REINCORPORACION DE EQUIPOS INFORMATICOS DE ALTA SEGURIDAD PARA RECINTOS PENITENCIARIOS ARICA.</t>
        </is>
      </c>
      <c r="W73"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74">
      <c r="A74" s="0" t="inlineStr">
        <is>
          <t xml:space="preserve">2663-63-LP26</t>
        </is>
      </c>
      <c r="B74" s="4" t="inlineStr">
        <is>
          <t xml:space="preserve">SISTEMAS INFORMÁTICOS DE GESTIÓN MUNICIPAL</t>
        </is>
      </c>
      <c r="C74" s="0" t="inlineStr">
        <is>
          <t xml:space="preserve">Publicada</t>
        </is>
      </c>
      <c r="D74" s="0" t="inlineStr">
        <is>
          <t xml:space="preserve">ILUSTRE MUNICIPALIDAD DE NATALES</t>
        </is>
      </c>
      <c r="E74" s="0" t="inlineStr">
        <is>
          <t xml:space="preserve">DEPARTAMENTO ADMINISTRACION Y FINANZAS</t>
        </is>
      </c>
      <c r="F74" s="0" t="inlineStr">
        <is>
          <t xml:space="preserve">Región de Magallanes y de la Antártica</t>
        </is>
      </c>
      <c r="G74" s="0" t="inlineStr">
        <is>
          <t xml:space="preserve">Puerto Natales</t>
        </is>
      </c>
      <c r="H74" s="2">
        <v>46276.658426</v>
      </c>
      <c r="I74" s="2">
        <v>46296.708333</v>
      </c>
      <c r="J74" s="0">
        <v>8</v>
      </c>
      <c r="K74" s="3">
        <v>98590386.0</v>
      </c>
      <c r="L74" s="0" t="inlineStr">
        <is>
          <t xml:space="preserve">CLF</t>
        </is>
      </c>
      <c r="M74" s="0" t="inlineStr">
        <is>
          <t xml:space="preserve">LP</t>
        </is>
      </c>
      <c r="N74" s="4" t="inlineStr">
        <is>
          <t xml:space="preserve">Organizaciones y consultorías políticas, demográficas, económicas, sociales y de administración pública / Administración y finanzas públicas / Administración pública</t>
        </is>
      </c>
      <c r="O74" s="4" t="inlineStr">
        <is>
          <t xml:space="preserve">1 Unidad · Sistemas de información y control de empresas públicas</t>
        </is>
      </c>
      <c r="P74" s="2"/>
      <c r="Q74" s="2"/>
      <c r="R74" s="0" t="inlineStr">
        <is>
          <t xml:space="preserve">24 meses</t>
        </is>
      </c>
      <c r="S74" s="0" t="inlineStr">
        <is>
          <t xml:space="preserve">No</t>
        </is>
      </c>
      <c r="T74" s="4" t="inlineStr">
        <is>
          <t xml:space="preserve">De acuerdo a lo indicado en el Artículo 35 cesión de contrato y subcontratación</t>
        </is>
      </c>
      <c r="U74" s="0" t="inlineStr">
        <is>
          <t xml:space="preserve">Javier Díaz Gonzalez -Carlos Del Castillo Carrasco</t>
        </is>
      </c>
      <c r="V74" s="4" t="inlineStr">
        <is>
          <t xml:space="preserve">SISTEMAS INFORMÁTICOS DE GESTIÓN MUNICIPAL: ARRIENDO, IMPLEMENTACIÓN Y MANTENIMIENTO PARA LA ILUSTRE MUNICIPALIDAD DE NATALES.</t>
        </is>
      </c>
      <c r="W74"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75">
      <c r="A75" s="0" t="inlineStr">
        <is>
          <t xml:space="preserve">4105-8-LP26</t>
        </is>
      </c>
      <c r="B75" s="4" t="inlineStr">
        <is>
          <t xml:space="preserve">Mantención Control y Actualización de Software</t>
        </is>
      </c>
      <c r="C75" s="0" t="inlineStr">
        <is>
          <t xml:space="preserve">Publicada</t>
        </is>
      </c>
      <c r="D75" s="0" t="inlineStr">
        <is>
          <t xml:space="preserve">I MUNICIPALIDAD DE CALLE LARGA</t>
        </is>
      </c>
      <c r="E75" s="0" t="inlineStr">
        <is>
          <t xml:space="preserve">FINANZAS</t>
        </is>
      </c>
      <c r="F75" s="0" t="inlineStr">
        <is>
          <t xml:space="preserve">Región de Valparaíso </t>
        </is>
      </c>
      <c r="G75" s="0" t="inlineStr">
        <is>
          <t xml:space="preserve">Calle Larga</t>
        </is>
      </c>
      <c r="H75" s="2">
        <v>46280.75434</v>
      </c>
      <c r="I75" s="2">
        <v>46297.395833</v>
      </c>
      <c r="J75" s="0">
        <v>9</v>
      </c>
      <c r="K75" s="3">
        <v>142800000.0</v>
      </c>
      <c r="L75" s="0" t="inlineStr">
        <is>
          <t xml:space="preserve">CLP</t>
        </is>
      </c>
      <c r="M75" s="0" t="inlineStr">
        <is>
          <t xml:space="preserve">LP</t>
        </is>
      </c>
      <c r="N75" s="4" t="inlineStr">
        <is>
          <t xml:space="preserve">Tecnologías de la información, telecomunicaciones y radiodifusión / Software / Software de entorno operativo</t>
        </is>
      </c>
      <c r="O75" s="4" t="inlineStr">
        <is>
          <t xml:space="preserve">1 Unidad · Software de sistema de archivos</t>
        </is>
      </c>
      <c r="P75" s="2"/>
      <c r="Q75" s="2"/>
      <c r="R75" s="0" t="inlineStr">
        <is>
          <t xml:space="preserve">24 meses</t>
        </is>
      </c>
      <c r="S75" s="0" t="inlineStr">
        <is>
          <t xml:space="preserve">No</t>
        </is>
      </c>
      <c r="T75" s="4"/>
      <c r="U75" s="0" t="inlineStr">
        <is>
          <t xml:space="preserve">Dina González Alfaro</t>
        </is>
      </c>
      <c r="V75"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75" s="5" t="str">
        <f>HYPERLINK("https://www.mercadopublico.cl/Procurement/Modules/Attachment/ViewAttachment.aspx?enc=7CJu9z23E5dNMgfEoAH2MUn3RISyhIboY93lmyKDPI%2fO3ui0EZYsD2KGmjgfBfOQV3k4pkKvWrV1K7qvwj0qYQ86Uy1d9Gtb9DMUAsPouvX%2fttpoeVae0GnER%2bzh8VccdapdW3rF%2bcQIasc8Gw8aNyMq0jjKskJRD00k%2btyBJNwiTNY3iIS1a2uRfWxcIO3WLFTsGqPvyiSB9u2jSFs5bE8RZkm27Lq1EQ6XKPcuiqCvF6X59HV39I5NqFTzabbdTFYemCYydsudnXdDXDHC1q%2fSBLrJ9BWD7FpTtkd6E60ow%2fTJo937SB4VzytytwwR","descargar bases")</f>
      </c>
    </row>
    <row r="76">
      <c r="A76" s="0" t="inlineStr">
        <is>
          <t xml:space="preserve">2429-8-LP26</t>
        </is>
      </c>
      <c r="B76" s="4" t="inlineStr">
        <is>
          <t xml:space="preserve">RENOVACIÓN DE INFRAESTRUCTURA DE RED INFORMÁTICA Y NORMALIZACIÓN DE CABLEADO ESTRUCTURADO DE LAS DEPENDENCIAS DE LA IMA</t>
        </is>
      </c>
      <c r="C76" s="0" t="inlineStr">
        <is>
          <t xml:space="preserve">Publicada</t>
        </is>
      </c>
      <c r="D76" s="0" t="inlineStr">
        <is>
          <t xml:space="preserve">I MUNICIPALIDAD DE ANTOFAGASTA</t>
        </is>
      </c>
      <c r="E76" s="0" t="inlineStr">
        <is>
          <t xml:space="preserve">I MUNICIPALIDAD DE ANTOFAGASTA - FINANZAS</t>
        </is>
      </c>
      <c r="F76" s="0" t="inlineStr">
        <is>
          <t xml:space="preserve">Región de Antofagasta </t>
        </is>
      </c>
      <c r="G76" s="0" t="inlineStr">
        <is>
          <t xml:space="preserve">Antofagasta</t>
        </is>
      </c>
      <c r="H76" s="2">
        <v>46275.681574</v>
      </c>
      <c r="I76" s="2">
        <v>46297.416667</v>
      </c>
      <c r="J76" s="0">
        <v>9</v>
      </c>
      <c r="K76" s="3"/>
      <c r="L76" s="0" t="inlineStr">
        <is>
          <t xml:space="preserve">CLP</t>
        </is>
      </c>
      <c r="M76" s="0" t="inlineStr">
        <is>
          <t xml:space="preserve">LP</t>
        </is>
      </c>
      <c r="N76" s="4" t="inlineStr">
        <is>
          <t xml:space="preserve">Servicios basados en ingeniería, ciencias sociales y tecnología de la información / Servicios informáticos / Sistemas de información</t>
        </is>
      </c>
      <c r="O76" s="4" t="inlineStr">
        <is>
          <t xml:space="preserve">1 Unidad · Diseño de redes de comunicación de cobertura local (LAN)</t>
        </is>
      </c>
      <c r="P76" s="2"/>
      <c r="Q76" s="2"/>
      <c r="R76" s="0"/>
      <c r="S76" s="0" t="inlineStr">
        <is>
          <t xml:space="preserve">No</t>
        </is>
      </c>
      <c r="T76" s="4" t="inlineStr">
        <is>
          <t xml:space="preserve">DE ACUERDO A NUMERAL 33 DE LAS BASES ADM.</t>
        </is>
      </c>
      <c r="U76" s="0" t="inlineStr">
        <is>
          <t xml:space="preserve">Ivan rivera Galvez</t>
        </is>
      </c>
      <c r="V76" s="4" t="inlineStr">
        <is>
          <t xml:space="preserve">Adquisición</t>
        </is>
      </c>
      <c r="W76" s="5" t="str">
        <f>HYPERLINK("https://www.mercadopublico.cl/Procurement/Modules/Attachment/ViewAttachment.aspx?enc=9JveoPyftCXlGuweMHUxRJRlxdgo0vCnv%2fImGSVw0DnmxXvMGljOU6Xuqw6KgJQQgXNUfCHm15s8q6Tc7RnlRMeJD4UDwwjfjpITCN13cwVHBeVh6Q7Vw7YYU219EVlucLvKPB65VgDeQjL%2fx%2bFn172%2f%2bflq8SwIEGGVQjOTUajjY8RJvibj6eNetQZeBxi7DGY2%2b5DxQslyIEtdXhIW%2fq1MUmAJDfExgWmeEtGgC%2frEI5NPfY4GnH1qSvRfrLxLR8nHJkJeNGTCwPUwoi50SDQ%2bJWjzEUWD1%2bMmTLl4sBpQysXZmGuL%2fV2EBphlCkUT","descargar bases")</f>
      </c>
    </row>
    <row r="77">
      <c r="A77" s="0" t="inlineStr">
        <is>
          <t xml:space="preserve">3588-51-LE26</t>
        </is>
      </c>
      <c r="B77" s="4" t="inlineStr">
        <is>
          <t xml:space="preserve">ADQUISICIÓN LICENCIAS DE SOFTWARE Y ANTIVIRUS</t>
        </is>
      </c>
      <c r="C77" s="0" t="inlineStr">
        <is>
          <t xml:space="preserve">Publicada</t>
        </is>
      </c>
      <c r="D77" s="0" t="inlineStr">
        <is>
          <t xml:space="preserve">I MUNICIPALIDAD DE YUNGAY</t>
        </is>
      </c>
      <c r="E77" s="0" t="inlineStr">
        <is>
          <t xml:space="preserve">Direccion Administración y Finanzas</t>
        </is>
      </c>
      <c r="F77" s="0" t="inlineStr">
        <is>
          <t xml:space="preserve">Región del Ñuble</t>
        </is>
      </c>
      <c r="G77" s="0" t="inlineStr">
        <is>
          <t xml:space="preserve">Yungay</t>
        </is>
      </c>
      <c r="H77" s="2">
        <v>46287.481019</v>
      </c>
      <c r="I77" s="2">
        <v>46297.419444</v>
      </c>
      <c r="J77" s="0">
        <v>9</v>
      </c>
      <c r="K77" s="3"/>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Unidad · Software de gestión de licencias</t>
        </is>
      </c>
      <c r="P77" s="2"/>
      <c r="Q77" s="2"/>
      <c r="R77" s="0"/>
      <c r="S77" s="0" t="inlineStr">
        <is>
          <t xml:space="preserve">No</t>
        </is>
      </c>
      <c r="T77"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77" s="0" t="inlineStr">
        <is>
          <t xml:space="preserve">Nelson Burgos Gonzalez</t>
        </is>
      </c>
      <c r="V77"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77" s="5" t="str">
        <f>HYPERLINK("https://www.mercadopublico.cl/Procurement/Modules/Attachment/ViewAttachment.aspx?enc=wq2nghwCLrz0GTFQDmsSL%2bXV1d85RbRNVbMgw1I0vU3bZaGNNMDmHdQe%2bvCHoe8aJpcEeOY143xytUe6JxpdvGK9utNs%2b0gjaomiHBF0d0tWs1UU0Jk5%2bXXr2cl3Jqc5pJIiUVm8EneNnI8LH5KdffcZ%2fv2cAL%2fIBNZrkaFwoDeSq1jqjif35MPbqDa5rSn0dqdBaUFQIWErxDK1ZG702RvENY98xXTrmLTLU04zZVaOha6%2bUE1%2bEk8J24GmWY6gZ8hnb4mWBLJBqQnAfu3bmLz1Matsg31KW8qVHvbGquXYHFyfGGsHLvqhY4X84Tts","descargar bases")</f>
      </c>
    </row>
    <row r="78">
      <c r="A78" s="0" t="inlineStr">
        <is>
          <t xml:space="preserve">1533460-6-LP26</t>
        </is>
      </c>
      <c r="B78" s="4" t="inlineStr">
        <is>
          <t xml:space="preserve">SERVICIO DE ARRIENDO DE SISTEMA INFORMÁTICO FINANCIERO CONTABLE Y RECURSOS HUMANOS</t>
        </is>
      </c>
      <c r="C78" s="0" t="inlineStr">
        <is>
          <t xml:space="preserve">Publicada</t>
        </is>
      </c>
      <c r="D78" s="0" t="inlineStr">
        <is>
          <t xml:space="preserve">CORPORACIÓN MUNICIPAL DE CULTURA, DEPORTE Y DE FOMENTO DE DESARROLLO C</t>
        </is>
      </c>
      <c r="E78" s="0" t="inlineStr">
        <is>
          <t xml:space="preserve">CORPORACIÓN MUNICIPAL DE CULTURA, DEPORTE Y DE FOMENTO DE DESARROLLO C</t>
        </is>
      </c>
      <c r="F78" s="0" t="inlineStr">
        <is>
          <t xml:space="preserve">Región Metropolitana de Santiago</t>
        </is>
      </c>
      <c r="G78" s="0"/>
      <c r="H78" s="2">
        <v>46276.484803</v>
      </c>
      <c r="I78" s="2">
        <v>46297.479861</v>
      </c>
      <c r="J78" s="0">
        <v>9</v>
      </c>
      <c r="K78" s="3">
        <v>118000000.0</v>
      </c>
      <c r="L78" s="0" t="inlineStr">
        <is>
          <t xml:space="preserve">CLP</t>
        </is>
      </c>
      <c r="M78" s="0" t="inlineStr">
        <is>
          <t xml:space="preserve">LP</t>
        </is>
      </c>
      <c r="N78" s="4" t="inlineStr">
        <is>
          <t xml:space="preserve">Tecnologías de la información, telecomunicaciones y radiodifusión / Software / Software de planificación de recursos empresariales (ERP) y contabilidad financiera</t>
        </is>
      </c>
      <c r="O78" s="4" t="inlineStr">
        <is>
          <t xml:space="preserve">1 Unidad · Software de planificación de recursos empresariales (ERP)</t>
        </is>
      </c>
      <c r="P78" s="2"/>
      <c r="Q78" s="2"/>
      <c r="R78" s="0" t="inlineStr">
        <is>
          <t xml:space="preserve">24 meses</t>
        </is>
      </c>
      <c r="S78" s="0" t="inlineStr">
        <is>
          <t xml:space="preserve">No</t>
        </is>
      </c>
      <c r="T78" s="4"/>
      <c r="U78" s="0" t="inlineStr">
        <is>
          <t xml:space="preserve">Fernando Suazo Rios</t>
        </is>
      </c>
      <c r="V78"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78"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79">
      <c r="A79" s="0" t="inlineStr">
        <is>
          <t xml:space="preserve">585-9-LE26</t>
        </is>
      </c>
      <c r="B79" s="4" t="inlineStr">
        <is>
          <t xml:space="preserve">Adq. Licencias Para Plataforma Gestión de Tickes</t>
        </is>
      </c>
      <c r="C79" s="0" t="inlineStr">
        <is>
          <t xml:space="preserve">Publicada</t>
        </is>
      </c>
      <c r="D79" s="0" t="inlineStr">
        <is>
          <t xml:space="preserve">SERVICIO DE COOPERACION TECNICA</t>
        </is>
      </c>
      <c r="E79" s="0" t="inlineStr">
        <is>
          <t xml:space="preserve">Sercotec - Nivel Central</t>
        </is>
      </c>
      <c r="F79" s="0" t="inlineStr">
        <is>
          <t xml:space="preserve">Región Metropolitana de Santiago</t>
        </is>
      </c>
      <c r="G79" s="0" t="inlineStr">
        <is>
          <t xml:space="preserve">Santiago Centro</t>
        </is>
      </c>
      <c r="H79" s="2">
        <v>46286.725718</v>
      </c>
      <c r="I79" s="2">
        <v>46297.5</v>
      </c>
      <c r="J79" s="0">
        <v>9</v>
      </c>
      <c r="K79" s="3">
        <v>14500000.0</v>
      </c>
      <c r="L79" s="0" t="inlineStr">
        <is>
          <t xml:space="preserve">CLP</t>
        </is>
      </c>
      <c r="M79" s="0" t="inlineStr">
        <is>
          <t xml:space="preserve">LE</t>
        </is>
      </c>
      <c r="N79" s="4" t="inlineStr">
        <is>
          <t xml:space="preserve">Tecnologías de la información, telecomunicaciones y radiodifusión / Software / Software de gestión</t>
        </is>
      </c>
      <c r="O79" s="4" t="inlineStr">
        <is>
          <t xml:space="preserve">1 Unidad · Software de gestión de licencias</t>
        </is>
      </c>
      <c r="P79" s="2"/>
      <c r="Q79" s="2"/>
      <c r="R79" s="0" t="inlineStr">
        <is>
          <t xml:space="preserve">37 meses</t>
        </is>
      </c>
      <c r="S79" s="0" t="inlineStr">
        <is>
          <t xml:space="preserve">No</t>
        </is>
      </c>
      <c r="T79" s="4"/>
      <c r="U79" s="0" t="inlineStr">
        <is>
          <t xml:space="preserve">Carolina Cabezas</t>
        </is>
      </c>
      <c r="V79" s="4" t="inlineStr">
        <is>
          <t xml:space="preserve">Según punto 1.2.1 de las bases</t>
        </is>
      </c>
      <c r="W79"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80">
      <c r="A80" s="0" t="inlineStr">
        <is>
          <t xml:space="preserve">1020-38-LP26</t>
        </is>
      </c>
      <c r="B80" s="4" t="inlineStr">
        <is>
          <t xml:space="preserve">Adquisición de Plataforma Next Generation Firewall</t>
        </is>
      </c>
      <c r="C80" s="0" t="inlineStr">
        <is>
          <t xml:space="preserve">Publicada</t>
        </is>
      </c>
      <c r="D80" s="0" t="inlineStr">
        <is>
          <t xml:space="preserve">MINISTERIO DE OBRAS PUBLICAS DIREC CION GRAL DE OO PP DCYF</t>
        </is>
      </c>
      <c r="E80" s="0" t="inlineStr">
        <is>
          <t xml:space="preserve">MOP Subsecretaría </t>
        </is>
      </c>
      <c r="F80" s="0" t="inlineStr">
        <is>
          <t xml:space="preserve">Región Metropolitana de Santiago</t>
        </is>
      </c>
      <c r="G80" s="0"/>
      <c r="H80" s="2">
        <v>46252.442361</v>
      </c>
      <c r="I80" s="2">
        <v>46297.625</v>
      </c>
      <c r="J80" s="0">
        <v>9</v>
      </c>
      <c r="K80" s="3">
        <v>240000000.0</v>
      </c>
      <c r="L80" s="0" t="inlineStr">
        <is>
          <t xml:space="preserve">CLP</t>
        </is>
      </c>
      <c r="M80" s="0" t="inlineStr">
        <is>
          <t xml:space="preserve">LP</t>
        </is>
      </c>
      <c r="N8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0" s="4" t="inlineStr">
        <is>
          <t xml:space="preserve">2 Unidad · Equipo de seguridad de red de firewall · 1 Unidad · Software de vigilancia de redes</t>
        </is>
      </c>
      <c r="P80" s="2"/>
      <c r="Q80" s="2"/>
      <c r="R80" s="0" t="inlineStr">
        <is>
          <t xml:space="preserve">16 meses</t>
        </is>
      </c>
      <c r="S80" s="0" t="inlineStr">
        <is>
          <t xml:space="preserve">No</t>
        </is>
      </c>
      <c r="T80" s="4" t="inlineStr">
        <is>
          <t xml:space="preserve">Conforme al punto 10.5 de las Bases Administrativas, el oferente adjudicado no podrá subcontratar los servicios derivados de la ejecución del Contrato</t>
        </is>
      </c>
      <c r="U80" s="0" t="inlineStr">
        <is>
          <t xml:space="preserve">Francisco Borques</t>
        </is>
      </c>
      <c r="V8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0"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81">
      <c r="A81" s="0" t="inlineStr">
        <is>
          <t xml:space="preserve">2563-34-LR26</t>
        </is>
      </c>
      <c r="B81" s="4" t="inlineStr">
        <is>
          <t xml:space="preserve">EQUIPOS PARA REDES INFORMÁTICAS Y LICENCIAS</t>
        </is>
      </c>
      <c r="C81" s="0" t="inlineStr">
        <is>
          <t xml:space="preserve">Publicada</t>
        </is>
      </c>
      <c r="D81" s="0" t="inlineStr">
        <is>
          <t xml:space="preserve">DIRECCION GENERAL DE AERONAUTICA CIVIL</t>
        </is>
      </c>
      <c r="E81" s="0" t="inlineStr">
        <is>
          <t xml:space="preserve">UNIDAD DE COMPRA CONTRATOS NACIONALES</t>
        </is>
      </c>
      <c r="F81" s="0" t="inlineStr">
        <is>
          <t xml:space="preserve">Región Metropolitana de Santiago</t>
        </is>
      </c>
      <c r="G81" s="0" t="inlineStr">
        <is>
          <t xml:space="preserve">Providencia</t>
        </is>
      </c>
      <c r="H81" s="2">
        <v>46254.63125</v>
      </c>
      <c r="I81" s="2">
        <v>46297.625</v>
      </c>
      <c r="J81" s="0">
        <v>9</v>
      </c>
      <c r="K81" s="3">
        <v>453590167.0</v>
      </c>
      <c r="L81" s="0" t="inlineStr">
        <is>
          <t xml:space="preserve">CLP</t>
        </is>
      </c>
      <c r="M81" s="0" t="inlineStr">
        <is>
          <t xml:space="preserve">LR</t>
        </is>
      </c>
      <c r="N81" s="4" t="inlineStr">
        <is>
          <t xml:space="preserve">Tecnologías de la información, telecomunicaciones y radiodifusión / Equipos informáticos y accesorios / Accesorios de computador</t>
        </is>
      </c>
      <c r="O81" s="4" t="inlineStr">
        <is>
          <t xml:space="preserve">10 Unidad · Cajas de conmutación de computadores · 11 Unidad · Cajas de conmutación de computadores · 1 Unidad · Cajas de conmutación de computadores · y 14 más</t>
        </is>
      </c>
      <c r="P81" s="2"/>
      <c r="Q81" s="2"/>
      <c r="R81" s="0"/>
      <c r="S81" s="0" t="inlineStr">
        <is>
          <t xml:space="preserve">No</t>
        </is>
      </c>
      <c r="T81" s="4"/>
      <c r="U81" s="0" t="inlineStr">
        <is>
          <t xml:space="preserve">Javier Pacheco Barahona</t>
        </is>
      </c>
      <c r="V81"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81"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82">
      <c r="A82" s="0" t="inlineStr">
        <is>
          <t xml:space="preserve">548874-74-LR26</t>
        </is>
      </c>
      <c r="B82" s="4" t="inlineStr">
        <is>
          <t xml:space="preserve">SERV DE PLATAFORMA SIEM NUEVA GENERACIÓN SAAS IPS</t>
        </is>
      </c>
      <c r="C82" s="0" t="inlineStr">
        <is>
          <t xml:space="preserve">Publicada</t>
        </is>
      </c>
      <c r="D82" s="0" t="inlineStr">
        <is>
          <t xml:space="preserve">INSTITUTO DE PREVISION SOCIAL</t>
        </is>
      </c>
      <c r="E82" s="0" t="inlineStr">
        <is>
          <t xml:space="preserve">IPS Oficina Central de Compras</t>
        </is>
      </c>
      <c r="F82" s="0" t="inlineStr">
        <is>
          <t xml:space="preserve">Región Metropolitana de Santiago</t>
        </is>
      </c>
      <c r="G82" s="0" t="inlineStr">
        <is>
          <t xml:space="preserve">Santiago</t>
        </is>
      </c>
      <c r="H82" s="2">
        <v>46260.456458</v>
      </c>
      <c r="I82" s="2">
        <v>46297.625</v>
      </c>
      <c r="J82" s="0">
        <v>9</v>
      </c>
      <c r="K82" s="3">
        <v>565250.0</v>
      </c>
      <c r="L82" s="0" t="inlineStr">
        <is>
          <t xml:space="preserve">USD</t>
        </is>
      </c>
      <c r="M82" s="0" t="inlineStr">
        <is>
          <t xml:space="preserve">LR</t>
        </is>
      </c>
      <c r="N82" s="4" t="inlineStr">
        <is>
          <t xml:space="preserve">Tecnologías de la información, telecomunicaciones y radiodifusión / Software / Software de seguridad y protección</t>
        </is>
      </c>
      <c r="O82" s="4" t="inlineStr">
        <is>
          <t xml:space="preserve">1 Global · Software de protección antivirus y de seguridad de transacciones</t>
        </is>
      </c>
      <c r="P82" s="2"/>
      <c r="Q82" s="2"/>
      <c r="R82" s="0" t="inlineStr">
        <is>
          <t xml:space="preserve">12 meses</t>
        </is>
      </c>
      <c r="S82" s="0" t="inlineStr">
        <is>
          <t xml:space="preserve">No</t>
        </is>
      </c>
      <c r="T82" s="4" t="inlineStr">
        <is>
          <t xml:space="preserve">Según punto 16 de las bases</t>
        </is>
      </c>
      <c r="U82" s="0" t="inlineStr">
        <is>
          <t xml:space="preserve">por definir</t>
        </is>
      </c>
      <c r="V82" s="4" t="inlineStr">
        <is>
          <t xml:space="preserve">E102RT8 - SERVICIO DE PLATAFORMA SIEM DE NUEVA GENERACIÓN EN MODALIDAD SAAS PARA EL INSTITUTO DE PREVISIÓN SOCIAL</t>
        </is>
      </c>
      <c r="W82"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83">
      <c r="A83" s="0" t="inlineStr">
        <is>
          <t xml:space="preserve">5690-11-LE26</t>
        </is>
      </c>
      <c r="B83" s="4" t="inlineStr">
        <is>
          <t xml:space="preserve">Mantención Maquinaria y gestión documental</t>
        </is>
      </c>
      <c r="C83" s="0" t="inlineStr">
        <is>
          <t xml:space="preserve">Publicada</t>
        </is>
      </c>
      <c r="D83" s="0" t="inlineStr">
        <is>
          <t xml:space="preserve">SERVICIO AGRICOLA Y GANADERO</t>
        </is>
      </c>
      <c r="E83" s="0" t="inlineStr">
        <is>
          <t xml:space="preserve">SAG - Tarapacá</t>
        </is>
      </c>
      <c r="F83" s="0" t="inlineStr">
        <is>
          <t xml:space="preserve">Región de Tarapacá  </t>
        </is>
      </c>
      <c r="G83" s="0" t="inlineStr">
        <is>
          <t xml:space="preserve">Iquique</t>
        </is>
      </c>
      <c r="H83" s="2">
        <v>46287.362384</v>
      </c>
      <c r="I83" s="2">
        <v>46297.625</v>
      </c>
      <c r="J83" s="0">
        <v>9</v>
      </c>
      <c r="K83" s="3">
        <v>45000000.0</v>
      </c>
      <c r="L83" s="0" t="inlineStr">
        <is>
          <t xml:space="preserve">CLP</t>
        </is>
      </c>
      <c r="M83" s="0" t="inlineStr">
        <is>
          <t xml:space="preserve">LE</t>
        </is>
      </c>
      <c r="N83" s="4" t="inlineStr">
        <is>
          <t xml:space="preserve">Servicios de producción y fabricación industrial / Servicios de apoyo o soporte a la fabricación / Servicios de mantenimiento y reparación de equipo de fabricación</t>
        </is>
      </c>
      <c r="O83" s="4" t="inlineStr">
        <is>
          <t xml:space="preserve">1 Unidad no definida · Servicio de mantenimiento de equipo de fabricación</t>
        </is>
      </c>
      <c r="P83" s="2"/>
      <c r="Q83" s="2"/>
      <c r="R83" s="0" t="inlineStr">
        <is>
          <t xml:space="preserve">36 meses</t>
        </is>
      </c>
      <c r="S83" s="0" t="inlineStr">
        <is>
          <t xml:space="preserve">No</t>
        </is>
      </c>
      <c r="T83" s="4"/>
      <c r="U83" s="0" t="inlineStr">
        <is>
          <t xml:space="preserve">Andres Simon Cerda</t>
        </is>
      </c>
      <c r="V83"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83"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84">
      <c r="A84" s="0" t="inlineStr">
        <is>
          <t xml:space="preserve">188-83-LP26</t>
        </is>
      </c>
      <c r="B84" s="4" t="inlineStr">
        <is>
          <t xml:space="preserve">Plataforma de Control de Proyectos COMUDEF</t>
        </is>
      </c>
      <c r="C84" s="0" t="inlineStr">
        <is>
          <t xml:space="preserve">Publicada</t>
        </is>
      </c>
      <c r="D84" s="0" t="inlineStr">
        <is>
          <t xml:space="preserve">CORP MUNICIPAL DE EDUC SALUD CULTURA Y RECREACION DE LA FLORIDA</t>
        </is>
      </c>
      <c r="E84" s="0" t="inlineStr">
        <is>
          <t xml:space="preserve">Corporación Municipal de la Florida</t>
        </is>
      </c>
      <c r="F84" s="0" t="inlineStr">
        <is>
          <t xml:space="preserve">Región Metropolitana de Santiago</t>
        </is>
      </c>
      <c r="G84" s="0" t="inlineStr">
        <is>
          <t xml:space="preserve">La Florida</t>
        </is>
      </c>
      <c r="H84" s="2">
        <v>46272.712998</v>
      </c>
      <c r="I84" s="2">
        <v>46297.625694</v>
      </c>
      <c r="J84" s="0">
        <v>9</v>
      </c>
      <c r="K84" s="3"/>
      <c r="L84" s="0" t="inlineStr">
        <is>
          <t xml:space="preserve">CLP</t>
        </is>
      </c>
      <c r="M84" s="0" t="inlineStr">
        <is>
          <t xml:space="preserve">LP</t>
        </is>
      </c>
      <c r="N84" s="4" t="inlineStr">
        <is>
          <t xml:space="preserve">Tecnologías de la información, telecomunicaciones y radiodifusión / Software / Software de controladores de dispositivos y utilidades</t>
        </is>
      </c>
      <c r="O84" s="4" t="inlineStr">
        <is>
          <t xml:space="preserve">1 Unidad no definida · Software de copias de seguridad o archivado</t>
        </is>
      </c>
      <c r="P84" s="2"/>
      <c r="Q84" s="2"/>
      <c r="R84" s="0" t="inlineStr">
        <is>
          <t xml:space="preserve">12 meses</t>
        </is>
      </c>
      <c r="S84" s="0" t="inlineStr">
        <is>
          <t xml:space="preserve">No</t>
        </is>
      </c>
      <c r="T84" s="4" t="inlineStr">
        <is>
          <t xml:space="preserve">Según Resolución N° 369-2026, punto 19, de las bases administrativas.</t>
        </is>
      </c>
      <c r="U84" s="0" t="inlineStr">
        <is>
          <t xml:space="preserve">Mario Arancibia</t>
        </is>
      </c>
      <c r="V84"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84"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85">
      <c r="A85" s="0" t="inlineStr">
        <is>
          <t xml:space="preserve">591-31-LE26</t>
        </is>
      </c>
      <c r="B85" s="4" t="inlineStr">
        <is>
          <t xml:space="preserve">Curso Marketing digital estrategia digital y mas.</t>
        </is>
      </c>
      <c r="C85" s="0" t="inlineStr">
        <is>
          <t xml:space="preserve">Publicada</t>
        </is>
      </c>
      <c r="D85" s="0" t="inlineStr">
        <is>
          <t xml:space="preserve">FONDO NACIONAL DE SALUD</t>
        </is>
      </c>
      <c r="E85" s="0" t="inlineStr">
        <is>
          <t xml:space="preserve">FONASA, Nivel Central</t>
        </is>
      </c>
      <c r="F85" s="0" t="inlineStr">
        <is>
          <t xml:space="preserve">Región Metropolitana de Santiago</t>
        </is>
      </c>
      <c r="G85" s="0"/>
      <c r="H85" s="2">
        <v>46287.347361</v>
      </c>
      <c r="I85" s="2">
        <v>46297.632639</v>
      </c>
      <c r="J85" s="0">
        <v>9</v>
      </c>
      <c r="K85" s="3"/>
      <c r="L85" s="0" t="inlineStr">
        <is>
          <t xml:space="preserve">CLP</t>
        </is>
      </c>
      <c r="M85" s="0" t="inlineStr">
        <is>
          <t xml:space="preserve">LE</t>
        </is>
      </c>
      <c r="N85" s="4" t="inlineStr">
        <is>
          <t xml:space="preserve">Educación, formación, entrenamiento y capacitación / Sistemas educativos complementarios / Aprendizaje a distancia</t>
        </is>
      </c>
      <c r="O85" s="4" t="inlineStr">
        <is>
          <t xml:space="preserve">1 Unidad · Programas o cursos no diplomados a distancia</t>
        </is>
      </c>
      <c r="P85" s="2"/>
      <c r="Q85" s="2"/>
      <c r="R85" s="0"/>
      <c r="S85" s="0" t="inlineStr">
        <is>
          <t xml:space="preserve">No</t>
        </is>
      </c>
      <c r="T85" s="4" t="inlineStr">
        <is>
          <t xml:space="preserve">Se deja establecido que FONASA prohíbe la subcontratación con terceros la prestación de los servicios objeto del presente proceso licitatorio.</t>
        </is>
      </c>
      <c r="U85" s="0" t="inlineStr">
        <is>
          <t xml:space="preserve">ISMENIA TUDELA ROJO</t>
        </is>
      </c>
      <c r="V85"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85"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86">
      <c r="A86" s="0" t="inlineStr">
        <is>
          <t xml:space="preserve">1736-108-LE26</t>
        </is>
      </c>
      <c r="B86" s="4" t="inlineStr">
        <is>
          <t xml:space="preserve">INSUMOS INFORMÁTICOS Y COMPUTACIONALES DISAM</t>
        </is>
      </c>
      <c r="C86" s="0" t="inlineStr">
        <is>
          <t xml:space="preserve">Publicada</t>
        </is>
      </c>
      <c r="D86" s="0" t="inlineStr">
        <is>
          <t xml:space="preserve">I MUNICIPALIDAD DE LA COMUNA DE EL BOSQUE</t>
        </is>
      </c>
      <c r="E86" s="0" t="inlineStr">
        <is>
          <t xml:space="preserve">I MUNICIPALIDAD DE LA COMUNA DE EL BOSQUE</t>
        </is>
      </c>
      <c r="F86" s="0" t="inlineStr">
        <is>
          <t xml:space="preserve">Región Metropolitana de Santiago</t>
        </is>
      </c>
      <c r="G86" s="0" t="inlineStr">
        <is>
          <t xml:space="preserve">El Bosque</t>
        </is>
      </c>
      <c r="H86" s="2">
        <v>46287.489005</v>
      </c>
      <c r="I86" s="2">
        <v>46297.645833</v>
      </c>
      <c r="J86" s="0">
        <v>9</v>
      </c>
      <c r="K86" s="3"/>
      <c r="L86" s="0" t="inlineStr">
        <is>
          <t xml:space="preserve">CLP</t>
        </is>
      </c>
      <c r="M86" s="0" t="inlineStr">
        <is>
          <t xml:space="preserve">LE</t>
        </is>
      </c>
      <c r="N86"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86" s="4" t="inlineStr">
        <is>
          <t xml:space="preserve">1 Unidad · Cable de fibra óptica · 1 Unidad · Memoria flash · 1 Unidad · Cartuchos de tinta · y 1 más</t>
        </is>
      </c>
      <c r="P86" s="2"/>
      <c r="Q86" s="2"/>
      <c r="R86" s="0"/>
      <c r="S86" s="0" t="inlineStr">
        <is>
          <t xml:space="preserve">No</t>
        </is>
      </c>
      <c r="T86" s="4"/>
      <c r="U86" s="0" t="inlineStr">
        <is>
          <t xml:space="preserve">Luis Pincheira Morales</t>
        </is>
      </c>
      <c r="V86"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86"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87">
      <c r="A87" s="0" t="inlineStr">
        <is>
          <t xml:space="preserve">691792-1-LE26</t>
        </is>
      </c>
      <c r="B87" s="4" t="inlineStr">
        <is>
          <t xml:space="preserve">SERVICIOS DE MARKETING DIGITAL Y MEDIOS</t>
        </is>
      </c>
      <c r="C87" s="0" t="inlineStr">
        <is>
          <t xml:space="preserve">Publicada</t>
        </is>
      </c>
      <c r="D87" s="0" t="inlineStr">
        <is>
          <t xml:space="preserve">UNIVERSIDAD METROPOLITANA DE CIENCIAS DE LA EDUCACION</t>
        </is>
      </c>
      <c r="E87" s="0" t="inlineStr">
        <is>
          <t xml:space="preserve">DIRECCION DE COMUNICACIONES</t>
        </is>
      </c>
      <c r="F87" s="0" t="inlineStr">
        <is>
          <t xml:space="preserve">Región Metropolitana de Santiago</t>
        </is>
      </c>
      <c r="G87" s="0" t="inlineStr">
        <is>
          <t xml:space="preserve">Ñuñoa</t>
        </is>
      </c>
      <c r="H87" s="2">
        <v>46286.486829</v>
      </c>
      <c r="I87" s="2">
        <v>46297.708333</v>
      </c>
      <c r="J87" s="0">
        <v>9</v>
      </c>
      <c r="K87" s="3"/>
      <c r="L87" s="0" t="inlineStr">
        <is>
          <t xml:space="preserve">CLP</t>
        </is>
      </c>
      <c r="M87" s="0" t="inlineStr">
        <is>
          <t xml:space="preserve">LE</t>
        </is>
      </c>
      <c r="N87" s="4" t="inlineStr">
        <is>
          <t xml:space="preserve">Servicios profesionales, administrativos y consultorías de gestión empresarial / Servicios para la comercialización y distribución / Ventas y marketing</t>
        </is>
      </c>
      <c r="O87" s="4" t="inlineStr">
        <is>
          <t xml:space="preserve">1 Unidad no definida · Telemarketing</t>
        </is>
      </c>
      <c r="P87" s="2"/>
      <c r="Q87" s="2"/>
      <c r="R87" s="0" t="inlineStr">
        <is>
          <t xml:space="preserve">7 meses</t>
        </is>
      </c>
      <c r="S87" s="0" t="inlineStr">
        <is>
          <t xml:space="preserve">No</t>
        </is>
      </c>
      <c r="T87" s="4"/>
      <c r="U87" s="0" t="inlineStr">
        <is>
          <t xml:space="preserve">Rodrigo Olivares Arriagada</t>
        </is>
      </c>
      <c r="V87"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87"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88">
      <c r="A88" s="0" t="inlineStr">
        <is>
          <t xml:space="preserve">1499-182-LE26</t>
        </is>
      </c>
      <c r="B88" s="4" t="inlineStr">
        <is>
          <t xml:space="preserve">INSUMOS NECESARIOS PARA SISTEMA DE SUPERVISIÓN Y DRENAJE TORÁCICO DIGITAL CON EQUIPO EN COMODATO</t>
        </is>
      </c>
      <c r="C88" s="0" t="inlineStr">
        <is>
          <t xml:space="preserve">Publicada</t>
        </is>
      </c>
      <c r="D88" s="0" t="inlineStr">
        <is>
          <t xml:space="preserve">INSTITUTO NACIONAL DEL TORAX</t>
        </is>
      </c>
      <c r="E88" s="0" t="inlineStr">
        <is>
          <t xml:space="preserve">INSTITUTO NACIONAL DEL TORAX</t>
        </is>
      </c>
      <c r="F88" s="0" t="inlineStr">
        <is>
          <t xml:space="preserve">Región Metropolitana de Santiago</t>
        </is>
      </c>
      <c r="G88" s="0" t="inlineStr">
        <is>
          <t xml:space="preserve">Providencia</t>
        </is>
      </c>
      <c r="H88" s="2">
        <v>46287.756019</v>
      </c>
      <c r="I88" s="2">
        <v>46297.75</v>
      </c>
      <c r="J88" s="0">
        <v>9</v>
      </c>
      <c r="K88" s="3"/>
      <c r="L88" s="0" t="inlineStr">
        <is>
          <t xml:space="preserve">CLP</t>
        </is>
      </c>
      <c r="M88" s="0" t="inlineStr">
        <is>
          <t xml:space="preserve">LE</t>
        </is>
      </c>
      <c r="N88" s="4" t="inlineStr">
        <is>
          <t xml:space="preserve">Equipamiento y suministros médicos / Productos quirúrgicos / Suministros quirúrgicos auxiliares</t>
        </is>
      </c>
      <c r="O88" s="4" t="inlineStr">
        <is>
          <t xml:space="preserve">1 Global · Catéteres, kits de cateterización o bolsas de drenaje para cirugía o endoscopia</t>
        </is>
      </c>
      <c r="P88" s="2"/>
      <c r="Q88" s="2"/>
      <c r="R88" s="0" t="inlineStr">
        <is>
          <t xml:space="preserve">12 meses</t>
        </is>
      </c>
      <c r="S88" s="0" t="inlineStr">
        <is>
          <t xml:space="preserve">No</t>
        </is>
      </c>
      <c r="T88" s="4" t="inlineStr">
        <is>
          <t xml:space="preserve">El adjudicatario no podrá ceder ni transferir en forma alguna, total ni parcialmente, los derechos y obligaciones que nacen del desarrollo de esta licitación, y, en especial, los establecidos en el respectivo contrato que se celebre.</t>
        </is>
      </c>
      <c r="U88" s="0" t="inlineStr">
        <is>
          <t xml:space="preserve">Mario Navarro C.</t>
        </is>
      </c>
      <c r="V88"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88"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89">
      <c r="A89" s="0" t="inlineStr">
        <is>
          <t xml:space="preserve">2704-76-LE26</t>
        </is>
      </c>
      <c r="B89" s="4" t="inlineStr">
        <is>
          <t xml:space="preserve">SC1101 y 1105 Adquisición de licencias software</t>
        </is>
      </c>
      <c r="C89" s="0" t="inlineStr">
        <is>
          <t xml:space="preserve">Publicada</t>
        </is>
      </c>
      <c r="D89" s="0" t="inlineStr">
        <is>
          <t xml:space="preserve">UNIVERSIDAD DEL BIO BIO</t>
        </is>
      </c>
      <c r="E89" s="0" t="inlineStr">
        <is>
          <t xml:space="preserve">Universidad del Bío-Bío - Campus Concepción</t>
        </is>
      </c>
      <c r="F89" s="0" t="inlineStr">
        <is>
          <t xml:space="preserve">Región del Biobío </t>
        </is>
      </c>
      <c r="G89" s="0" t="inlineStr">
        <is>
          <t xml:space="preserve">Concepción</t>
        </is>
      </c>
      <c r="H89" s="2">
        <v>46287.731759</v>
      </c>
      <c r="I89" s="2">
        <v>46297.833333</v>
      </c>
      <c r="J89" s="0">
        <v>9</v>
      </c>
      <c r="K89" s="3">
        <v>24500000.0</v>
      </c>
      <c r="L89" s="0" t="inlineStr">
        <is>
          <t xml:space="preserve">CLP</t>
        </is>
      </c>
      <c r="M89" s="0" t="inlineStr">
        <is>
          <t xml:space="preserve">LE</t>
        </is>
      </c>
      <c r="N89" s="4" t="inlineStr">
        <is>
          <t xml:space="preserve">Tecnologías de la información, telecomunicaciones y radiodifusión / Software / Software de gestión</t>
        </is>
      </c>
      <c r="O89" s="4" t="inlineStr">
        <is>
          <t xml:space="preserve">1 Unidad · Software de gestión de adquisiciones · 1 Unidad · Software de gestión de adquisiciones</t>
        </is>
      </c>
      <c r="P89" s="2"/>
      <c r="Q89" s="2"/>
      <c r="R89" s="0"/>
      <c r="S89" s="0" t="inlineStr">
        <is>
          <t xml:space="preserve">No</t>
        </is>
      </c>
      <c r="T89" s="4"/>
      <c r="U89" s="0" t="inlineStr">
        <is>
          <t xml:space="preserve">MÓNICA BAEZA</t>
        </is>
      </c>
      <c r="V89" s="4" t="inlineStr">
        <is>
          <t xml:space="preserve">adquisición de licencias del software Etabs Nonlinear V23 y DesignBuilder versión Engineering Plus, según solicitudes de compra N°1101 y 1105 . Segun descripcion del servicio.</t>
        </is>
      </c>
      <c r="W89"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90">
      <c r="A90" s="0" t="inlineStr">
        <is>
          <t xml:space="preserve">5251-83-LE26</t>
        </is>
      </c>
      <c r="B90" s="4" t="inlineStr">
        <is>
          <t xml:space="preserve">SUITE DE PRODUCTIVIDAD O SOFTWARE DE OFICINA</t>
        </is>
      </c>
      <c r="C90" s="0" t="inlineStr">
        <is>
          <t xml:space="preserve">Publicada</t>
        </is>
      </c>
      <c r="D90" s="0" t="inlineStr">
        <is>
          <t xml:space="preserve">UNIVERSIDAD TECNOLOGICA METROPOLITANA</t>
        </is>
      </c>
      <c r="E90" s="0" t="inlineStr">
        <is>
          <t xml:space="preserve">DEPARTAMENTO DE ABASTECIMIENTO</t>
        </is>
      </c>
      <c r="F90" s="0" t="inlineStr">
        <is>
          <t xml:space="preserve">Región Metropolitana de Santiago</t>
        </is>
      </c>
      <c r="G90" s="0" t="inlineStr">
        <is>
          <t xml:space="preserve">Santiago</t>
        </is>
      </c>
      <c r="H90" s="2">
        <v>46288.488924</v>
      </c>
      <c r="I90" s="2">
        <v>46297.833333</v>
      </c>
      <c r="J90" s="0">
        <v>9</v>
      </c>
      <c r="K90" s="3">
        <v>64600.0</v>
      </c>
      <c r="L90" s="0" t="inlineStr">
        <is>
          <t xml:space="preserve">USD</t>
        </is>
      </c>
      <c r="M90" s="0" t="inlineStr">
        <is>
          <t xml:space="preserve">LE</t>
        </is>
      </c>
      <c r="N90" s="4" t="inlineStr">
        <is>
          <t xml:space="preserve">Tecnologías de la información, telecomunicaciones y radiodifusión / Software / Software de gestión</t>
        </is>
      </c>
      <c r="O90" s="4" t="inlineStr">
        <is>
          <t xml:space="preserve">1 Unidad · Software de gestión de licencias</t>
        </is>
      </c>
      <c r="P90" s="2"/>
      <c r="Q90" s="2"/>
      <c r="R90" s="0" t="inlineStr">
        <is>
          <t xml:space="preserve">12 meses</t>
        </is>
      </c>
      <c r="S90" s="0" t="inlineStr">
        <is>
          <t xml:space="preserve">No</t>
        </is>
      </c>
      <c r="T90" s="4"/>
      <c r="U90" s="0" t="inlineStr">
        <is>
          <t xml:space="preserve">José Leyton</t>
        </is>
      </c>
      <c r="V90"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90"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91">
      <c r="A91" s="0" t="inlineStr">
        <is>
          <t xml:space="preserve">2385-56-LE26</t>
        </is>
      </c>
      <c r="B91" s="4" t="inlineStr">
        <is>
          <t xml:space="preserve">ADQUISICIÓN CURSO OFIMÁTICA E INTELIGENCIA ARTIFICIAL</t>
        </is>
      </c>
      <c r="C91" s="0" t="inlineStr">
        <is>
          <t xml:space="preserve">Publicada</t>
        </is>
      </c>
      <c r="D91" s="0" t="inlineStr">
        <is>
          <t xml:space="preserve">I MUNICIPALIDAD DE CALAMA</t>
        </is>
      </c>
      <c r="E91" s="0" t="inlineStr">
        <is>
          <t xml:space="preserve">ADQUISICIONES</t>
        </is>
      </c>
      <c r="F91" s="0" t="inlineStr">
        <is>
          <t xml:space="preserve">Región de Antofagasta </t>
        </is>
      </c>
      <c r="G91" s="0"/>
      <c r="H91" s="2">
        <v>46279.511262</v>
      </c>
      <c r="I91" s="2">
        <v>46300.625</v>
      </c>
      <c r="J91" s="0">
        <v>12</v>
      </c>
      <c r="K91" s="3">
        <v>7500000.0</v>
      </c>
      <c r="L91" s="0" t="inlineStr">
        <is>
          <t xml:space="preserve">CLP</t>
        </is>
      </c>
      <c r="M91" s="0" t="inlineStr">
        <is>
          <t xml:space="preserve">LE</t>
        </is>
      </c>
      <c r="N91" s="4" t="inlineStr">
        <is>
          <t xml:space="preserve">Educación, formación, entrenamiento y capacitación / Sistemas educativos complementarios / Educación de adultos</t>
        </is>
      </c>
      <c r="O91" s="4" t="inlineStr">
        <is>
          <t xml:space="preserve">1 Unidad · Capacitación a empleados · 1 Unidad · Capacitación a empleados · 1 Unidad · Capacitación a empleados · y 1 más</t>
        </is>
      </c>
      <c r="P91" s="2"/>
      <c r="Q91" s="2"/>
      <c r="R91" s="0"/>
      <c r="S91" s="0" t="inlineStr">
        <is>
          <t xml:space="preserve">No</t>
        </is>
      </c>
      <c r="T91" s="4" t="inlineStr">
        <is>
          <t xml:space="preserve">El adjudicatario no podrá ceder ni transferir en forma  alguna, total ni parcialmente, los derechos
y obligaciones que nacen del desarrollo de esta licitación.</t>
        </is>
      </c>
      <c r="U91" s="0" t="inlineStr">
        <is>
          <t xml:space="preserve">Marisol Zurita</t>
        </is>
      </c>
      <c r="V91"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91"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92">
      <c r="A92" s="0" t="inlineStr">
        <is>
          <t xml:space="preserve">4121-25-LE26</t>
        </is>
      </c>
      <c r="B92" s="4" t="inlineStr">
        <is>
          <t xml:space="preserve">SISTEMA DE GESTION DOCUMENTAL</t>
        </is>
      </c>
      <c r="C92" s="0" t="inlineStr">
        <is>
          <t xml:space="preserve">Publicada</t>
        </is>
      </c>
      <c r="D92" s="0" t="inlineStr">
        <is>
          <t xml:space="preserve">I MUNICIPALIDAD DE NINHUE</t>
        </is>
      </c>
      <c r="E92" s="0" t="inlineStr">
        <is>
          <t xml:space="preserve">Municipalidad De Ninhue-Secretaria Planificacion</t>
        </is>
      </c>
      <c r="F92" s="0" t="inlineStr">
        <is>
          <t xml:space="preserve">Región del Ñuble</t>
        </is>
      </c>
      <c r="G92" s="0" t="inlineStr">
        <is>
          <t xml:space="preserve">Ninhue</t>
        </is>
      </c>
      <c r="H92" s="2">
        <v>46286.504896</v>
      </c>
      <c r="I92" s="2">
        <v>46300.625</v>
      </c>
      <c r="J92" s="0">
        <v>12</v>
      </c>
      <c r="K92" s="3">
        <v>30000000.0</v>
      </c>
      <c r="L92" s="0" t="inlineStr">
        <is>
          <t xml:space="preserve">CLP</t>
        </is>
      </c>
      <c r="M92" s="0" t="inlineStr">
        <is>
          <t xml:space="preserve">LE</t>
        </is>
      </c>
      <c r="N92" s="4" t="inlineStr">
        <is>
          <t xml:space="preserve">Tecnologías de la información, telecomunicaciones y radiodifusión / Software / Programas de desarrollo</t>
        </is>
      </c>
      <c r="O92" s="4" t="inlineStr">
        <is>
          <t xml:space="preserve">1 Unidad · Software de arquitectura del sistema y análisis de requisitos</t>
        </is>
      </c>
      <c r="P92" s="2"/>
      <c r="Q92" s="2"/>
      <c r="R92" s="0" t="inlineStr">
        <is>
          <t xml:space="preserve">26 meses</t>
        </is>
      </c>
      <c r="S92" s="0" t="inlineStr">
        <is>
          <t xml:space="preserve">No</t>
        </is>
      </c>
      <c r="T92"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92" s="0" t="inlineStr">
        <is>
          <t xml:space="preserve">MARIA SOLEDAD RUIZ PINTO</t>
        </is>
      </c>
      <c r="V92"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92"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93">
      <c r="A93" s="0" t="inlineStr">
        <is>
          <t xml:space="preserve">761-22-LE26</t>
        </is>
      </c>
      <c r="B93" s="4" t="inlineStr">
        <is>
          <t xml:space="preserve">LICENCIAMIENTO ADOBE CREATIVE CLOUD E6945-2026</t>
        </is>
      </c>
      <c r="C93" s="0" t="inlineStr">
        <is>
          <t xml:space="preserve">Publicada</t>
        </is>
      </c>
      <c r="D93" s="0" t="inlineStr">
        <is>
          <t xml:space="preserve">SUBSECRETARIA DE DESARROLLO REGIONAL Y ADMINISTRATIVO</t>
        </is>
      </c>
      <c r="E93" s="0" t="inlineStr">
        <is>
          <t xml:space="preserve">Ministerio del Interior - Subsecretaría de Desarrollo Regional</t>
        </is>
      </c>
      <c r="F93" s="0" t="inlineStr">
        <is>
          <t xml:space="preserve">Región Metropolitana de Santiago</t>
        </is>
      </c>
      <c r="G93" s="0" t="inlineStr">
        <is>
          <t xml:space="preserve">Santiago</t>
        </is>
      </c>
      <c r="H93" s="2">
        <v>46286.756968</v>
      </c>
      <c r="I93" s="2">
        <v>46300.625</v>
      </c>
      <c r="J93" s="0">
        <v>12</v>
      </c>
      <c r="K93" s="3">
        <v>10000000.0</v>
      </c>
      <c r="L93" s="0" t="inlineStr">
        <is>
          <t xml:space="preserve">CLP</t>
        </is>
      </c>
      <c r="M93" s="0" t="inlineStr">
        <is>
          <t xml:space="preserve">LE</t>
        </is>
      </c>
      <c r="N93" s="4" t="inlineStr">
        <is>
          <t xml:space="preserve">Tecnologías de la información, telecomunicaciones y radiodifusión / Software / Software de gestión</t>
        </is>
      </c>
      <c r="O93" s="4" t="inlineStr">
        <is>
          <t xml:space="preserve">1 Unidad · Software de gestión de licencias</t>
        </is>
      </c>
      <c r="P93" s="2"/>
      <c r="Q93" s="2"/>
      <c r="R93" s="0" t="inlineStr">
        <is>
          <t xml:space="preserve">12 meses</t>
        </is>
      </c>
      <c r="S93" s="0" t="inlineStr">
        <is>
          <t xml:space="preserve">No</t>
        </is>
      </c>
      <c r="T93" s="4"/>
      <c r="U93" s="0" t="inlineStr">
        <is>
          <t xml:space="preserve">JOSE HORMAZABAL</t>
        </is>
      </c>
      <c r="V93" s="4" t="inlineStr">
        <is>
          <t xml:space="preserve">RENOVACIÓN LICENCIAMIENTO ADOBE CREATIVE CLOUD PARA SUBDERE” E6945-2026</t>
        </is>
      </c>
      <c r="W93"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94">
      <c r="A94" s="0" t="inlineStr">
        <is>
          <t xml:space="preserve">799512-50-LE26</t>
        </is>
      </c>
      <c r="B94" s="4" t="inlineStr">
        <is>
          <t xml:space="preserve">COMPRA TENSIOMETROS DIGITALES</t>
        </is>
      </c>
      <c r="C94" s="0" t="inlineStr">
        <is>
          <t xml:space="preserve">Publicada</t>
        </is>
      </c>
      <c r="D94" s="0" t="inlineStr">
        <is>
          <t xml:space="preserve">CORP MUNICIPAL DE VALPARAISO PARA EL DESARROLLO SOCIAL</t>
        </is>
      </c>
      <c r="E94" s="0" t="inlineStr">
        <is>
          <t xml:space="preserve">Corporación</t>
        </is>
      </c>
      <c r="F94" s="0" t="inlineStr">
        <is>
          <t xml:space="preserve">Región de Valparaíso </t>
        </is>
      </c>
      <c r="G94" s="0" t="inlineStr">
        <is>
          <t xml:space="preserve">Valparaíso</t>
        </is>
      </c>
      <c r="H94" s="2">
        <v>46286.661273</v>
      </c>
      <c r="I94" s="2">
        <v>46300.625</v>
      </c>
      <c r="J94" s="0">
        <v>12</v>
      </c>
      <c r="K94" s="3"/>
      <c r="L94" s="0" t="inlineStr">
        <is>
          <t xml:space="preserve">CLP</t>
        </is>
      </c>
      <c r="M94" s="0" t="inlineStr">
        <is>
          <t xml:space="preserve">LE</t>
        </is>
      </c>
      <c r="N94" s="4" t="inlineStr">
        <is>
          <t xml:space="preserve">Equipamiento para laboratorios / Instrumentos de medida y experimentación / Instrumentos mecánicos</t>
        </is>
      </c>
      <c r="O94" s="4" t="inlineStr">
        <is>
          <t xml:space="preserve">37 Unidad · Tensiómetros</t>
        </is>
      </c>
      <c r="P94" s="2"/>
      <c r="Q94" s="2"/>
      <c r="R94" s="0"/>
      <c r="S94" s="0" t="inlineStr">
        <is>
          <t xml:space="preserve">No</t>
        </is>
      </c>
      <c r="T94" s="4"/>
      <c r="U94" s="0" t="inlineStr">
        <is>
          <t xml:space="preserve">MARIO DEL CARPIO VARAS</t>
        </is>
      </c>
      <c r="V94" s="4" t="inlineStr">
        <is>
          <t xml:space="preserve">COMPRA TENSIOMETROS DIGITALES</t>
        </is>
      </c>
      <c r="W94" s="5" t="str">
        <f>HYPERLINK("https://www.mercadopublico.cl/Procurement/Modules/Attachment/ViewAttachment.aspx?enc=FiqFWcHr4tB8l5aqjp%2fE8T62Jbt6WXz6ZtlYj59uNA94zYYum%2fz5PZoPICx8sPS3NrRDID1aERNxWIZUWj0srKVi%2ftUpHyNqAZBg38AqijpKZfJZ3gqlKhRb6shuXD%2fCXTW3yynMnHXa3pUwEdFum8RkLTFrnZaWPnzcDvFo%2bfVSmU%2fpiup0fxIvm7DIkVkR1K%2fUrU8jjcficSv2tzNNRH4N09%2bPXlTCeijRAGUlkhKRXvaRJovYLA5TUBUZ8odDZsu85ea4NwaChGiWTtK%2bptZV6Dqpq39XPV0%2fYjtC2NrsX0SyhxTnLOBuatJYPNJS","descargar bases")</f>
      </c>
    </row>
    <row r="95">
      <c r="A95" s="0" t="inlineStr">
        <is>
          <t xml:space="preserve">5890-11-LP26</t>
        </is>
      </c>
      <c r="B95" s="4" t="inlineStr">
        <is>
          <t xml:space="preserve">PLATAFORMA DE ANALISIS AVANZADO MALWARE PNCO2025</t>
        </is>
      </c>
      <c r="C95" s="0" t="inlineStr">
        <is>
          <t xml:space="preserve">Publicada</t>
        </is>
      </c>
      <c r="D95" s="0" t="inlineStr">
        <is>
          <t xml:space="preserve">POLICIA DE INVESTIGACIONES DE CHILE</t>
        </is>
      </c>
      <c r="E95" s="0" t="inlineStr">
        <is>
          <t xml:space="preserve">JENACO</t>
        </is>
      </c>
      <c r="F95" s="0" t="inlineStr">
        <is>
          <t xml:space="preserve">Región Metropolitana de Santiago</t>
        </is>
      </c>
      <c r="G95" s="0" t="inlineStr">
        <is>
          <t xml:space="preserve">Independencia</t>
        </is>
      </c>
      <c r="H95" s="2">
        <v>46280.537014</v>
      </c>
      <c r="I95" s="2">
        <v>46300.625</v>
      </c>
      <c r="J95" s="0">
        <v>12</v>
      </c>
      <c r="K95" s="3">
        <v>235620000.0</v>
      </c>
      <c r="L95" s="0" t="inlineStr">
        <is>
          <t xml:space="preserve">CLP</t>
        </is>
      </c>
      <c r="M95" s="0" t="inlineStr">
        <is>
          <t xml:space="preserve">LP</t>
        </is>
      </c>
      <c r="N95" s="4" t="inlineStr">
        <is>
          <t xml:space="preserve">Tecnologías de la información, telecomunicaciones y radiodifusión / Componentes para tecnología de la información, difusión o telecomunicaciones / Accesorios de soportes de almacenamiento extraíbles</t>
        </is>
      </c>
      <c r="O95" s="4" t="inlineStr">
        <is>
          <t xml:space="preserve">1 Unidad · Cajas de almacenamientos de diferentes soportes</t>
        </is>
      </c>
      <c r="P95" s="2"/>
      <c r="Q95" s="2"/>
      <c r="R95" s="0"/>
      <c r="S95" s="0" t="inlineStr">
        <is>
          <t xml:space="preserve">No</t>
        </is>
      </c>
      <c r="T95" s="4" t="inlineStr">
        <is>
          <t xml:space="preserve">NO PERMITE SUBCONTRATACIÓN, ARTICULO 53 DE LA RESOLUCIÓN</t>
        </is>
      </c>
      <c r="U95" s="0" t="inlineStr">
        <is>
          <t xml:space="preserve">DIEGO MONTES ISLAS</t>
        </is>
      </c>
      <c r="V95" s="4" t="inlineStr">
        <is>
          <t xml:space="preserve">SEGUN BASES ADMINISTRATIVAS Y ANEXOS ADJUNTOS</t>
        </is>
      </c>
      <c r="W95"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96">
      <c r="A96" s="0" t="inlineStr">
        <is>
          <t xml:space="preserve">869591-12-LP26</t>
        </is>
      </c>
      <c r="B96" s="4" t="inlineStr">
        <is>
          <t xml:space="preserve">CONTRATACIÓN DE PLATAFORMA DE GESTIÓN DOCUMENTAL EXPEDIENTE ELECTRÓNICO Y GESTIÓN DE PROCESOS</t>
        </is>
      </c>
      <c r="C96" s="0" t="inlineStr">
        <is>
          <t xml:space="preserve">Publicada</t>
        </is>
      </c>
      <c r="D96" s="0" t="inlineStr">
        <is>
          <t xml:space="preserve">DIRECCION DE COMPRAS Y CONTRATACION PUBLICA</t>
        </is>
      </c>
      <c r="E96" s="0" t="inlineStr">
        <is>
          <t xml:space="preserve">Calidad del Gasto en las Compras Públicas</t>
        </is>
      </c>
      <c r="F96" s="0" t="inlineStr">
        <is>
          <t xml:space="preserve">Región Metropolitana de Santiago</t>
        </is>
      </c>
      <c r="G96" s="0" t="inlineStr">
        <is>
          <t xml:space="preserve">Santiago Centro</t>
        </is>
      </c>
      <c r="H96" s="2">
        <v>46280.60772</v>
      </c>
      <c r="I96" s="2">
        <v>46300.625</v>
      </c>
      <c r="J96" s="0">
        <v>12</v>
      </c>
      <c r="K96" s="3"/>
      <c r="L96" s="0" t="inlineStr">
        <is>
          <t xml:space="preserve">CLP</t>
        </is>
      </c>
      <c r="M96" s="0" t="inlineStr">
        <is>
          <t xml:space="preserve">LP</t>
        </is>
      </c>
      <c r="N96" s="4" t="inlineStr">
        <is>
          <t xml:space="preserve">Tecnologías de la información, telecomunicaciones y radiodifusión / Software / Software de gestión de contenidos</t>
        </is>
      </c>
      <c r="O96" s="4" t="inlineStr">
        <is>
          <t xml:space="preserve">1 Unidad · Programas de gestión de documentos</t>
        </is>
      </c>
      <c r="P96" s="2"/>
      <c r="Q96" s="2"/>
      <c r="R96" s="0" t="inlineStr">
        <is>
          <t xml:space="preserve">44 meses</t>
        </is>
      </c>
      <c r="S96" s="0" t="inlineStr">
        <is>
          <t xml:space="preserve">No</t>
        </is>
      </c>
      <c r="T96" s="4" t="inlineStr">
        <is>
          <t xml:space="preserve">ver clausula 10 de las bases especiales</t>
        </is>
      </c>
      <c r="U96" s="0" t="inlineStr">
        <is>
          <t xml:space="preserve">Marcela Cabrera</t>
        </is>
      </c>
      <c r="V96" s="4" t="inlineStr">
        <is>
          <t xml:space="preserve">CONTRATACIÓN DE PLATAFORMA DE GESTIÓN DOCUMENTAL, EXPEDIENTE ELECTRÓNICO Y GESTIÓN DE PROCESOS PARA LA DIRECCIÓN DE COMPRAS Y CONTRATACIÓN PÚBLICA</t>
        </is>
      </c>
      <c r="W96"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97">
      <c r="A97" s="0" t="inlineStr">
        <is>
          <t xml:space="preserve">1562-61-LP26</t>
        </is>
      </c>
      <c r="B97" s="4" t="inlineStr">
        <is>
          <t xml:space="preserve">PLATAFORMA DE SEGURIDAD PERIMETRAL</t>
        </is>
      </c>
      <c r="C97" s="0" t="inlineStr">
        <is>
          <t xml:space="preserve">Publicada</t>
        </is>
      </c>
      <c r="D97" s="0" t="inlineStr">
        <is>
          <t xml:space="preserve">SERVICIO NACIONAL DE GEOLOGIA Y MINERIA</t>
        </is>
      </c>
      <c r="E97" s="0" t="inlineStr">
        <is>
          <t xml:space="preserve">Servicio Nacional de Geología y Minería</t>
        </is>
      </c>
      <c r="F97" s="0" t="inlineStr">
        <is>
          <t xml:space="preserve">Región Metropolitana de Santiago</t>
        </is>
      </c>
      <c r="G97" s="0" t="inlineStr">
        <is>
          <t xml:space="preserve">Providencia</t>
        </is>
      </c>
      <c r="H97" s="2">
        <v>46280.450081</v>
      </c>
      <c r="I97" s="2">
        <v>46300.625694</v>
      </c>
      <c r="J97" s="0">
        <v>12</v>
      </c>
      <c r="K97" s="3">
        <v>78172750.0</v>
      </c>
      <c r="L97" s="0" t="inlineStr">
        <is>
          <t xml:space="preserve">CLP</t>
        </is>
      </c>
      <c r="M97" s="0" t="inlineStr">
        <is>
          <t xml:space="preserve">LP</t>
        </is>
      </c>
      <c r="N97"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97" s="4" t="inlineStr">
        <is>
          <t xml:space="preserve">2 Unidad · Mantenimiento y soporte de hardware · 1 Unidad · Software de gestión de licencias · 1 Unidad · Programas de gestión de configuración</t>
        </is>
      </c>
      <c r="P97" s="2"/>
      <c r="Q97" s="2"/>
      <c r="R97" s="0"/>
      <c r="S97" s="0" t="inlineStr">
        <is>
          <t xml:space="preserve">No</t>
        </is>
      </c>
      <c r="T97" s="4"/>
      <c r="U97" s="0" t="inlineStr">
        <is>
          <t xml:space="preserve">GONZALO PALET MUÑOZ</t>
        </is>
      </c>
      <c r="V97"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97"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98">
      <c r="A98" s="0" t="inlineStr">
        <is>
          <t xml:space="preserve">761391-138-LE26</t>
        </is>
      </c>
      <c r="B98" s="4" t="inlineStr">
        <is>
          <t xml:space="preserve">EE-133-GUB-DAS-SVC. ARRI. EQUIPOS INFORMATICOS</t>
        </is>
      </c>
      <c r="C98" s="0" t="inlineStr">
        <is>
          <t xml:space="preserve">Publicada</t>
        </is>
      </c>
      <c r="D98" s="0" t="inlineStr">
        <is>
          <t xml:space="preserve">FUERZA AEREA DE CHILE COMANDO LOGISTICO</t>
        </is>
      </c>
      <c r="E98" s="0" t="inlineStr">
        <is>
          <t xml:space="preserve">Base Aérea El Bosque</t>
        </is>
      </c>
      <c r="F98" s="0" t="inlineStr">
        <is>
          <t xml:space="preserve">Región Metropolitana de Santiago</t>
        </is>
      </c>
      <c r="G98" s="0" t="inlineStr">
        <is>
          <t xml:space="preserve">El Bosque</t>
        </is>
      </c>
      <c r="H98" s="2">
        <v>46280.692361</v>
      </c>
      <c r="I98" s="2">
        <v>46300.625694</v>
      </c>
      <c r="J98" s="0">
        <v>12</v>
      </c>
      <c r="K98" s="3">
        <v>16333332.0</v>
      </c>
      <c r="L98" s="0" t="inlineStr">
        <is>
          <t xml:space="preserve">CLP</t>
        </is>
      </c>
      <c r="M98" s="0" t="inlineStr">
        <is>
          <t xml:space="preserve">LE</t>
        </is>
      </c>
      <c r="N98" s="4" t="inlineStr">
        <is>
          <t xml:space="preserve">Servicios basados en ingeniería, ciencias sociales y tecnología de la información / Servicios informáticos / Ingeniería en computación e informática</t>
        </is>
      </c>
      <c r="O98" s="4" t="inlineStr">
        <is>
          <t xml:space="preserve">1 Global · Servicios de programación de sistemas operativos</t>
        </is>
      </c>
      <c r="P98" s="2"/>
      <c r="Q98" s="2"/>
      <c r="R98" s="0" t="inlineStr">
        <is>
          <t xml:space="preserve">3 meses</t>
        </is>
      </c>
      <c r="S98" s="0" t="inlineStr">
        <is>
          <t xml:space="preserve">No</t>
        </is>
      </c>
      <c r="T98" s="4" t="inlineStr">
        <is>
          <t xml:space="preserve">EN CONFORMIDAD A LO ESTABLECIDO EN EL PARRAFO I.-NORMAS GENERALES DEL LLAMADO A PROPUESTA, LETRA P DE LAS BASES ADMINISTRATIVAS ADJUNTAS.</t>
        </is>
      </c>
      <c r="U98" s="0" t="inlineStr">
        <is>
          <t xml:space="preserve">RODRIGO INOSTROZA</t>
        </is>
      </c>
      <c r="V98"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98"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99">
      <c r="A99" s="0" t="inlineStr">
        <is>
          <t xml:space="preserve">587-49-LE26</t>
        </is>
      </c>
      <c r="B99" s="4" t="inlineStr">
        <is>
          <t xml:space="preserve">SELICO 198- 2026 SERVICIO DE DIGITALIZACIÓN</t>
        </is>
      </c>
      <c r="C99" s="0" t="inlineStr">
        <is>
          <t xml:space="preserve">Publicada</t>
        </is>
      </c>
      <c r="D99" s="0" t="inlineStr">
        <is>
          <t xml:space="preserve">SUBSECRETARIA DEL MINISTERIO DE LA VIVIENDA Y URBANISMO</t>
        </is>
      </c>
      <c r="E99" s="0" t="inlineStr">
        <is>
          <t xml:space="preserve">Ministerio de Vivienda y Urbanismo(766)</t>
        </is>
      </c>
      <c r="F99" s="0" t="inlineStr">
        <is>
          <t xml:space="preserve">Región Metropolitana de Santiago</t>
        </is>
      </c>
      <c r="G99" s="0"/>
      <c r="H99" s="2">
        <v>46280.397014</v>
      </c>
      <c r="I99" s="2">
        <v>46300.631944</v>
      </c>
      <c r="J99" s="0">
        <v>12</v>
      </c>
      <c r="K99" s="3">
        <v>25000000.0</v>
      </c>
      <c r="L99" s="0" t="inlineStr">
        <is>
          <t xml:space="preserve">CLP</t>
        </is>
      </c>
      <c r="M99" s="0" t="inlineStr">
        <is>
          <t xml:space="preserve">LE</t>
        </is>
      </c>
      <c r="N99" s="4" t="inlineStr">
        <is>
          <t xml:space="preserve">Servicios basados en ingeniería, ciencias sociales y tecnología de la información / Servicios informáticos / Servicios de datos</t>
        </is>
      </c>
      <c r="O99" s="4" t="inlineStr">
        <is>
          <t xml:space="preserve">1 Global · Servicios de digitalización de documentos</t>
        </is>
      </c>
      <c r="P99" s="2"/>
      <c r="Q99" s="2"/>
      <c r="R99" s="0" t="inlineStr">
        <is>
          <t xml:space="preserve">150 días</t>
        </is>
      </c>
      <c r="S99" s="0" t="inlineStr">
        <is>
          <t xml:space="preserve">No</t>
        </is>
      </c>
      <c r="T99" s="4" t="inlineStr">
        <is>
          <t xml:space="preserve">NO PERMITE SUBCONTRATACIÓN VER PUNTO 1.13.5.7. “SUBCONTRATACIÓN” DE LAS BASES ADMINISTRATIVAS.</t>
        </is>
      </c>
      <c r="U99" s="0" t="inlineStr">
        <is>
          <t xml:space="preserve">Jefa de la División Técnica de Estudio</t>
        </is>
      </c>
      <c r="V99" s="4" t="inlineStr">
        <is>
          <t xml:space="preserve">Servicio de digitalización e indexación de documentación del MINVU y de la SEREMI Región Metropolitana.</t>
        </is>
      </c>
      <c r="W99"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100">
      <c r="A100" s="0" t="inlineStr">
        <is>
          <t xml:space="preserve">1057049-332-LR26</t>
        </is>
      </c>
      <c r="B100" s="4" t="inlineStr">
        <is>
          <t xml:space="preserve">JLL BASES SERVICIO DE TURNOS PROFESIONALES PARA DESARROLLO DE SOFTWARE INTERNO DEL HOSPITAL CLÍNICO SAN BORJA ARRIARÁN</t>
        </is>
      </c>
      <c r="C100" s="0" t="inlineStr">
        <is>
          <t xml:space="preserve">Publicada</t>
        </is>
      </c>
      <c r="D100" s="0" t="inlineStr">
        <is>
          <t xml:space="preserve">SERV SALUD METROPOLITANO CENTRAL HOSPITAL CLINICO SAN BORJA ARRIARAN</t>
        </is>
      </c>
      <c r="E100" s="0" t="inlineStr">
        <is>
          <t xml:space="preserve">Bienes y Servicios</t>
        </is>
      </c>
      <c r="F100" s="0" t="inlineStr">
        <is>
          <t xml:space="preserve">Región Metropolitana de Santiago</t>
        </is>
      </c>
      <c r="G100" s="0" t="inlineStr">
        <is>
          <t xml:space="preserve">Santiago</t>
        </is>
      </c>
      <c r="H100" s="2">
        <v>46267.711424</v>
      </c>
      <c r="I100" s="2">
        <v>46300.645833</v>
      </c>
      <c r="J100" s="0">
        <v>12</v>
      </c>
      <c r="K100" s="3">
        <v>819072000.0</v>
      </c>
      <c r="L100" s="0" t="inlineStr">
        <is>
          <t xml:space="preserve">CLP</t>
        </is>
      </c>
      <c r="M100" s="0" t="inlineStr">
        <is>
          <t xml:space="preserve">LR</t>
        </is>
      </c>
      <c r="N100" s="4" t="inlineStr">
        <is>
          <t xml:space="preserve">Servicios profesionales, administrativos y consultorías de gestión empresarial / Servicios de recursos humanos / Servicios de personal temporal</t>
        </is>
      </c>
      <c r="O100" s="4" t="inlineStr">
        <is>
          <t xml:space="preserve">1 Global · Personal técnico temporal</t>
        </is>
      </c>
      <c r="P100" s="2"/>
      <c r="Q100" s="2"/>
      <c r="R100" s="0" t="inlineStr">
        <is>
          <t xml:space="preserve">24 meses</t>
        </is>
      </c>
      <c r="S100" s="0" t="inlineStr">
        <is>
          <t xml:space="preserve">No</t>
        </is>
      </c>
      <c r="T100" s="4"/>
      <c r="U100" s="0" t="inlineStr">
        <is>
          <t xml:space="preserve">JUAN CARLOS LAFONT</t>
        </is>
      </c>
      <c r="V100" s="4" t="inlineStr">
        <is>
          <t xml:space="preserve">CONTRATACION DE TURNOS PROFESIONALES PARA DESARROLLO DE SOFTWARE INTERNO DEL HOSPITAL CLÍNICO SAN BORJA ARRIARÁN</t>
        </is>
      </c>
      <c r="W100" s="5" t="str">
        <f>HYPERLINK("https://www.mercadopublico.cl/Procurement/Modules/Attachment/ViewAttachment.aspx?enc=u1HKwvOBchuv5K4ESIMgrZyC%2beHV3BYba4AxQ0T%2fgYYaKZE26GjTTucs19rI4fGQ60Iq61xfMRuoyitXGGJ3GO4Oc%2fcdkBwrLipDA8IGEMoD%2ffm9Oq2TBSi49hMdRM8unXxUo8kzwshLH6ezeppvnvWtC8z%2fKfDIo%2f8EDRc651UChc%2fq%2fHu7H2MG1oTIz35ff%2bi3JeD5p%2bRVpHARhEmMST9DPYtvd5TfnY45PzGjLDMLrTXbZGyRtOiB7MdPbwnY1x8NIJBOH3e3OXllmscLxc9YEOw7ah2uGJeWUrZRwLwD8k2Z8twmbPdLE7D%2fM9mf","descargar bases")</f>
      </c>
    </row>
    <row r="101">
      <c r="A101" s="0" t="inlineStr">
        <is>
          <t xml:space="preserve">948354-137-LP26</t>
        </is>
      </c>
      <c r="B101" s="4" t="inlineStr">
        <is>
          <t xml:space="preserve">LA ADQUISICIÓN DE EQUIPO DE RAYOS X ARCO C CON FLUOROSCOPIA DIGITAL PARA EL HOSPITAL DIPRECA</t>
        </is>
      </c>
      <c r="C101" s="0" t="inlineStr">
        <is>
          <t xml:space="preserve">Publicada</t>
        </is>
      </c>
      <c r="D101" s="0" t="inlineStr">
        <is>
          <t xml:space="preserve">FONDO HOSPITAL DE LA DIRECCION DE PREVISION DE CARABINEROS DE CHILE</t>
        </is>
      </c>
      <c r="E101" s="0" t="inlineStr">
        <is>
          <t xml:space="preserve">Unidad de Compra de Bienes y Servicios</t>
        </is>
      </c>
      <c r="F101" s="0" t="inlineStr">
        <is>
          <t xml:space="preserve">Región Metropolitana de Santiago</t>
        </is>
      </c>
      <c r="G101" s="0" t="inlineStr">
        <is>
          <t xml:space="preserve">Las Condes</t>
        </is>
      </c>
      <c r="H101" s="2">
        <v>46280.439745</v>
      </c>
      <c r="I101" s="2">
        <v>46300.666667</v>
      </c>
      <c r="J101" s="0">
        <v>12</v>
      </c>
      <c r="K101" s="3">
        <v>235000000.0</v>
      </c>
      <c r="L101" s="0" t="inlineStr">
        <is>
          <t xml:space="preserve">CLP</t>
        </is>
      </c>
      <c r="M101" s="0" t="inlineStr">
        <is>
          <t xml:space="preserve">LP</t>
        </is>
      </c>
      <c r="N101" s="4" t="inlineStr">
        <is>
          <t xml:space="preserve">Equipamiento para laboratorios / Instrumentos de medida y experimentación / Equipo de examen no invasivo</t>
        </is>
      </c>
      <c r="O101" s="4" t="inlineStr">
        <is>
          <t xml:space="preserve">1 Unidad · Equipo de examen por rayos X</t>
        </is>
      </c>
      <c r="P101" s="2"/>
      <c r="Q101" s="2"/>
      <c r="R101" s="0"/>
      <c r="S101" s="0" t="inlineStr">
        <is>
          <t xml:space="preserve">No</t>
        </is>
      </c>
      <c r="T101" s="4"/>
      <c r="U101" s="0" t="inlineStr">
        <is>
          <t xml:space="preserve">Rodrigo Arriagada</t>
        </is>
      </c>
      <c r="V101"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01"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102">
      <c r="A102" s="0" t="inlineStr">
        <is>
          <t xml:space="preserve">885-85-LE26</t>
        </is>
      </c>
      <c r="B102" s="4" t="inlineStr">
        <is>
          <t xml:space="preserve">Adquisición de licencias de software Acrobat Pro DC for teams ALL MP MLA Team para la Contraloría General de la República.</t>
        </is>
      </c>
      <c r="C102" s="0" t="inlineStr">
        <is>
          <t xml:space="preserve">Publicada</t>
        </is>
      </c>
      <c r="D102" s="0" t="inlineStr">
        <is>
          <t xml:space="preserve">CONTRALORIA GENERAL DE LA REPUBLICA</t>
        </is>
      </c>
      <c r="E102" s="0" t="inlineStr">
        <is>
          <t xml:space="preserve">Contraloría General de la República</t>
        </is>
      </c>
      <c r="F102" s="0" t="inlineStr">
        <is>
          <t xml:space="preserve">Región Metropolitana de Santiago</t>
        </is>
      </c>
      <c r="G102" s="0"/>
      <c r="H102" s="2">
        <v>46280.66125</v>
      </c>
      <c r="I102" s="2">
        <v>46300.666667</v>
      </c>
      <c r="J102" s="0">
        <v>12</v>
      </c>
      <c r="K102" s="3">
        <v>11000000.0</v>
      </c>
      <c r="L102" s="0" t="inlineStr">
        <is>
          <t xml:space="preserve">CLP</t>
        </is>
      </c>
      <c r="M102" s="0" t="inlineStr">
        <is>
          <t xml:space="preserve">LE</t>
        </is>
      </c>
      <c r="N102" s="4" t="inlineStr">
        <is>
          <t xml:space="preserve">Tecnologías de la información, telecomunicaciones y radiodifusión / Software / Software de gestión</t>
        </is>
      </c>
      <c r="O102" s="4" t="inlineStr">
        <is>
          <t xml:space="preserve">50 Unidad · Software de gestión de licencias</t>
        </is>
      </c>
      <c r="P102" s="2"/>
      <c r="Q102" s="2"/>
      <c r="R102" s="0" t="inlineStr">
        <is>
          <t xml:space="preserve">12 meses</t>
        </is>
      </c>
      <c r="S102" s="0" t="inlineStr">
        <is>
          <t xml:space="preserve">No</t>
        </is>
      </c>
      <c r="T102" s="4"/>
      <c r="U102" s="0" t="inlineStr">
        <is>
          <t xml:space="preserve">Irma del Carmen Garcés Ramírez</t>
        </is>
      </c>
      <c r="V102" s="4" t="inlineStr">
        <is>
          <t xml:space="preserve">La Contraloría General de la República llama a presentar ofertas para la adquisición de 50 (cincuenta) licencias de software Acrobat Pro-DC for teams ALL MP MLA Team Licensing por un período de 12 meses.</t>
        </is>
      </c>
      <c r="W102"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103">
      <c r="A103" s="0" t="inlineStr">
        <is>
          <t xml:space="preserve">1456836-4-LP26</t>
        </is>
      </c>
      <c r="B103" s="4" t="inlineStr">
        <is>
          <t xml:space="preserve">Software de Gestión de Personas y Remuneraciones</t>
        </is>
      </c>
      <c r="C103" s="0" t="inlineStr">
        <is>
          <t xml:space="preserve">Publicada</t>
        </is>
      </c>
      <c r="D103" s="0" t="inlineStr">
        <is>
          <t xml:space="preserve">SERVICIO LOCAL DE EDUCACIÓN PÚBLICA HANGA ROA</t>
        </is>
      </c>
      <c r="E103" s="0" t="inlineStr">
        <is>
          <t xml:space="preserve">SERVICIO LOCAL DE EDUCACIÓN PÚBLICA HANGA ROA</t>
        </is>
      </c>
      <c r="F103" s="0" t="inlineStr">
        <is>
          <t xml:space="preserve">Región de Valparaíso </t>
        </is>
      </c>
      <c r="G103" s="0" t="inlineStr">
        <is>
          <t xml:space="preserve">Isla De Pascua</t>
        </is>
      </c>
      <c r="H103" s="2">
        <v>46279.858738</v>
      </c>
      <c r="I103" s="2">
        <v>46300.708333</v>
      </c>
      <c r="J103" s="0">
        <v>12</v>
      </c>
      <c r="K103" s="3"/>
      <c r="L103" s="0" t="inlineStr">
        <is>
          <t xml:space="preserve">CLP</t>
        </is>
      </c>
      <c r="M103" s="0" t="inlineStr">
        <is>
          <t xml:space="preserve">LP</t>
        </is>
      </c>
      <c r="N103" s="4" t="inlineStr">
        <is>
          <t xml:space="preserve">Tecnologías de la información, telecomunicaciones y radiodifusión / Software / Software de gestión</t>
        </is>
      </c>
      <c r="O103" s="4" t="inlineStr">
        <is>
          <t xml:space="preserve">1 Global · Software de gestión de recursos humanos · 1 Global · Software de gestión de recursos humanos</t>
        </is>
      </c>
      <c r="P103" s="2"/>
      <c r="Q103" s="2"/>
      <c r="R103" s="0" t="inlineStr">
        <is>
          <t xml:space="preserve">24 meses</t>
        </is>
      </c>
      <c r="S103" s="0" t="inlineStr">
        <is>
          <t xml:space="preserve">No</t>
        </is>
      </c>
      <c r="T103" s="4" t="inlineStr">
        <is>
          <t xml:space="preserve">De acuerdo con el numeral 13.1 de las bases, el adjudicatario no podrá subcontratar los servicios de que trata esta licitación.</t>
        </is>
      </c>
      <c r="U103" s="0" t="inlineStr">
        <is>
          <t xml:space="preserve">Merahi Hito Solar</t>
        </is>
      </c>
      <c r="V103" s="4" t="inlineStr">
        <is>
          <t xml:space="preserve">Servicio de arriendo de Software de Gestión de Personas y Remuneraciones para el Servicio Local de Educación Pública Hanga Roa.</t>
        </is>
      </c>
      <c r="W103"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104">
      <c r="A104" s="0" t="inlineStr">
        <is>
          <t xml:space="preserve">1663-148-LE26</t>
        </is>
      </c>
      <c r="B104" s="4" t="inlineStr">
        <is>
          <t xml:space="preserve">CARROS INFORMATICOS CLINICOS</t>
        </is>
      </c>
      <c r="C104" s="0" t="inlineStr">
        <is>
          <t xml:space="preserve">Publicada</t>
        </is>
      </c>
      <c r="D104" s="0" t="inlineStr">
        <is>
          <t xml:space="preserve">SERVICIO DE SALUD CHILOE</t>
        </is>
      </c>
      <c r="E104" s="0" t="inlineStr">
        <is>
          <t xml:space="preserve">Hospital de Quellón</t>
        </is>
      </c>
      <c r="F104" s="0" t="inlineStr">
        <is>
          <t xml:space="preserve">Región de los Lagos </t>
        </is>
      </c>
      <c r="G104" s="0"/>
      <c r="H104" s="2">
        <v>46288.409525</v>
      </c>
      <c r="I104" s="2">
        <v>46300.708333</v>
      </c>
      <c r="J104" s="0">
        <v>12</v>
      </c>
      <c r="K104" s="3"/>
      <c r="L104" s="0" t="inlineStr">
        <is>
          <t xml:space="preserve">CLP</t>
        </is>
      </c>
      <c r="M104" s="0" t="inlineStr">
        <is>
          <t xml:space="preserve">LE</t>
        </is>
      </c>
      <c r="N104" s="4" t="inlineStr">
        <is>
          <t xml:space="preserve">Artículos de fabricación y producción / Artículos de ferretería / Accesorios de Ferretería</t>
        </is>
      </c>
      <c r="O104" s="4" t="inlineStr">
        <is>
          <t xml:space="preserve">7 Unidad · Estantes de montaje</t>
        </is>
      </c>
      <c r="P104" s="2"/>
      <c r="Q104" s="2"/>
      <c r="R104" s="0"/>
      <c r="S104" s="0" t="inlineStr">
        <is>
          <t xml:space="preserve">No</t>
        </is>
      </c>
      <c r="T104" s="4"/>
      <c r="U104" s="0" t="inlineStr">
        <is>
          <t xml:space="preserve">CARLOS CORTEZ ALVAREZ</t>
        </is>
      </c>
      <c r="V104" s="4" t="inlineStr">
        <is>
          <t xml:space="preserve">EL HOSPITAL DE QUELLON REQUIERE LA COMPRA DE CARROS INFORMATICOS PARA USO EN AREAS CLINICAS EN LA ATENCION DE PACIENTES</t>
        </is>
      </c>
      <c r="W104"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105">
      <c r="A105" s="0" t="inlineStr">
        <is>
          <t xml:space="preserve">548874-77-LR26</t>
        </is>
      </c>
      <c r="B105" s="4" t="inlineStr">
        <is>
          <t xml:space="preserve">MANTENCIÓN Y MEJORA SISTEMA CIBERSEGURIDAD NCH ISO</t>
        </is>
      </c>
      <c r="C105" s="0" t="inlineStr">
        <is>
          <t xml:space="preserve">Publicada</t>
        </is>
      </c>
      <c r="D105" s="0" t="inlineStr">
        <is>
          <t xml:space="preserve">INSTITUTO DE PREVISION SOCIAL</t>
        </is>
      </c>
      <c r="E105" s="0" t="inlineStr">
        <is>
          <t xml:space="preserve">IPS Oficina Central de Compras</t>
        </is>
      </c>
      <c r="F105" s="0" t="inlineStr">
        <is>
          <t xml:space="preserve">Región Metropolitana de Santiago</t>
        </is>
      </c>
      <c r="G105" s="0" t="inlineStr">
        <is>
          <t xml:space="preserve">Santiago</t>
        </is>
      </c>
      <c r="H105" s="2">
        <v>46265.660069</v>
      </c>
      <c r="I105" s="2">
        <v>46301.625</v>
      </c>
      <c r="J105" s="0">
        <v>13</v>
      </c>
      <c r="K105" s="3">
        <v>11000.0</v>
      </c>
      <c r="L105" s="0" t="inlineStr">
        <is>
          <t xml:space="preserve">CLF</t>
        </is>
      </c>
      <c r="M105" s="0" t="inlineStr">
        <is>
          <t xml:space="preserve">LR</t>
        </is>
      </c>
      <c r="N105" s="4" t="inlineStr">
        <is>
          <t xml:space="preserve">Tecnologías de la información, telecomunicaciones y radiodifusión / Software / Software de seguridad y protección</t>
        </is>
      </c>
      <c r="O105" s="4" t="inlineStr">
        <is>
          <t xml:space="preserve">1 Global · Software de administración de red privada virtual (VPN) o de seguridad de red</t>
        </is>
      </c>
      <c r="P105" s="2"/>
      <c r="Q105" s="2"/>
      <c r="R105" s="0" t="inlineStr">
        <is>
          <t xml:space="preserve">24 meses</t>
        </is>
      </c>
      <c r="S105" s="0" t="inlineStr">
        <is>
          <t xml:space="preserve">No</t>
        </is>
      </c>
      <c r="T105" s="4" t="inlineStr">
        <is>
          <t xml:space="preserve">Ver bases punto 16</t>
        </is>
      </c>
      <c r="U105" s="0" t="inlineStr">
        <is>
          <t xml:space="preserve">por definir</t>
        </is>
      </c>
      <c r="V105" s="4" t="inlineStr">
        <is>
          <t xml:space="preserve">E1O2RT8 - SERVICIO DE MANTENCIÓN Y MEJORA DEL SISTEMA DE GESTIÓN DE SEGURIDAD DE LA INFORMACIÓN Y CIBERSEGURIDAD INSTITUCIONAL NCH ISOIEC 27001</t>
        </is>
      </c>
      <c r="W105"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106">
      <c r="A106" s="0" t="inlineStr">
        <is>
          <t xml:space="preserve">2080-309-LE26</t>
        </is>
      </c>
      <c r="B106" s="4" t="inlineStr">
        <is>
          <t xml:space="preserve">COMPRA ROLLOS PAPEL IMPRESORA TOTEM</t>
        </is>
      </c>
      <c r="C106" s="0" t="inlineStr">
        <is>
          <t xml:space="preserve">Publicada</t>
        </is>
      </c>
      <c r="D106" s="0" t="inlineStr">
        <is>
          <t xml:space="preserve">SERVICIO DE SALUD DEL LIBERTADOR B O'HIGGINS HOSPITAL REG RANCAGUA</t>
        </is>
      </c>
      <c r="E106" s="0" t="inlineStr">
        <is>
          <t xml:space="preserve">Hospital Regional Rancagua - HRR</t>
        </is>
      </c>
      <c r="F106" s="0" t="inlineStr">
        <is>
          <t xml:space="preserve">Región del Libertador General Bernardo O´Higgins</t>
        </is>
      </c>
      <c r="G106" s="0" t="inlineStr">
        <is>
          <t xml:space="preserve">Rancagua</t>
        </is>
      </c>
      <c r="H106" s="2">
        <v>46287.658183</v>
      </c>
      <c r="I106" s="2">
        <v>46301.625</v>
      </c>
      <c r="J106" s="0">
        <v>13</v>
      </c>
      <c r="K106" s="3"/>
      <c r="L106" s="0" t="inlineStr">
        <is>
          <t xml:space="preserve">CLP</t>
        </is>
      </c>
      <c r="M106" s="0" t="inlineStr">
        <is>
          <t xml:space="preserve">LE</t>
        </is>
      </c>
      <c r="N106" s="4" t="inlineStr">
        <is>
          <t xml:space="preserve">Productos de papel / Productos de papel / Papel de imprenta y escritura</t>
        </is>
      </c>
      <c r="O106" s="4" t="inlineStr">
        <is>
          <t xml:space="preserve">21432 Unidad · Rollos para télex</t>
        </is>
      </c>
      <c r="P106" s="2"/>
      <c r="Q106" s="2"/>
      <c r="R106" s="0" t="inlineStr">
        <is>
          <t xml:space="preserve">24 meses</t>
        </is>
      </c>
      <c r="S106" s="0" t="inlineStr">
        <is>
          <t xml:space="preserve">No</t>
        </is>
      </c>
      <c r="T106" s="4"/>
      <c r="U106" s="0" t="inlineStr">
        <is>
          <t xml:space="preserve">CAROLINA PEÑA PADILLA</t>
        </is>
      </c>
      <c r="V106" s="4" t="inlineStr">
        <is>
          <t xml:space="preserve">El objeto de esta Licitación es contar con una adecuada provisión de “COMPRA ROLLOS PAPEL IMPRESORA TOTEM” para el Hospital Dr. Franco Ravera Zunino, durante la vigencia del proceso.</t>
        </is>
      </c>
      <c r="W106"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107">
      <c r="A107" s="0" t="inlineStr">
        <is>
          <t xml:space="preserve">875-10-LE26</t>
        </is>
      </c>
      <c r="B107" s="4" t="inlineStr">
        <is>
          <t xml:space="preserve">SERV. DE INFORMACIÓN DE REMUNERACIONES PLATAFORMA</t>
        </is>
      </c>
      <c r="C107" s="0" t="inlineStr">
        <is>
          <t xml:space="preserve">Publicada</t>
        </is>
      </c>
      <c r="D107" s="0" t="inlineStr">
        <is>
          <t xml:space="preserve">AGENCIA DE PROMOCION DE LA INVERSION EXTRANJERA</t>
        </is>
      </c>
      <c r="E107" s="0" t="inlineStr">
        <is>
          <t xml:space="preserve">Agencia de Promoción de la Inversión Extranjera</t>
        </is>
      </c>
      <c r="F107" s="0" t="inlineStr">
        <is>
          <t xml:space="preserve">Región Metropolitana de Santiago</t>
        </is>
      </c>
      <c r="G107" s="0" t="inlineStr">
        <is>
          <t xml:space="preserve">Santiago</t>
        </is>
      </c>
      <c r="H107" s="2">
        <v>46287.665706</v>
      </c>
      <c r="I107" s="2">
        <v>46301.625</v>
      </c>
      <c r="J107" s="0">
        <v>13</v>
      </c>
      <c r="K107" s="3">
        <v>300.0</v>
      </c>
      <c r="L107" s="0" t="inlineStr">
        <is>
          <t xml:space="preserve">CLF</t>
        </is>
      </c>
      <c r="M107" s="0" t="inlineStr">
        <is>
          <t xml:space="preserve">LE</t>
        </is>
      </c>
      <c r="N107" s="4" t="inlineStr">
        <is>
          <t xml:space="preserve">Productos impresos y publicaciones / Medios impresos / Publicaciones impresas</t>
        </is>
      </c>
      <c r="O107" s="4" t="inlineStr">
        <is>
          <t xml:space="preserve">1 Unidad · Publicaciones periódicas</t>
        </is>
      </c>
      <c r="P107" s="2"/>
      <c r="Q107" s="2"/>
      <c r="R107" s="0" t="inlineStr">
        <is>
          <t xml:space="preserve">12 meses</t>
        </is>
      </c>
      <c r="S107" s="0" t="inlineStr">
        <is>
          <t xml:space="preserve">No</t>
        </is>
      </c>
      <c r="T107" s="4"/>
      <c r="U107" s="0" t="inlineStr">
        <is>
          <t xml:space="preserve">Ana Karina Duarte</t>
        </is>
      </c>
      <c r="V107" s="4" t="inlineStr">
        <is>
          <t xml:space="preserve">Servicio de información de remuneraciones y prácticas de compensación mediante plataforma tecnológica para InvestChile, por un período de 12 meses.</t>
        </is>
      </c>
      <c r="W107"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108">
      <c r="A108" s="0" t="inlineStr">
        <is>
          <t xml:space="preserve">1051173-13-LP26</t>
        </is>
      </c>
      <c r="B108" s="4" t="inlineStr">
        <is>
          <t xml:space="preserve">SERVICIO DE INFRAESTRUCTURA EN LA NUBE</t>
        </is>
      </c>
      <c r="C108" s="0" t="inlineStr">
        <is>
          <t xml:space="preserve">Publicada</t>
        </is>
      </c>
      <c r="D108" s="0" t="inlineStr">
        <is>
          <t xml:space="preserve">MINISTERIO SECRETARIA GENERAL DE LA PRESIDENCIA DE LA REPUBLICA</t>
        </is>
      </c>
      <c r="E108" s="0" t="inlineStr">
        <is>
          <t xml:space="preserve">Ministerio Secretaria General de la Presidencia</t>
        </is>
      </c>
      <c r="F108" s="0" t="inlineStr">
        <is>
          <t xml:space="preserve">Región Metropolitana de Santiago</t>
        </is>
      </c>
      <c r="G108" s="0" t="inlineStr">
        <is>
          <t xml:space="preserve">Santiago</t>
        </is>
      </c>
      <c r="H108" s="2">
        <v>46280.539583</v>
      </c>
      <c r="I108" s="2">
        <v>46301.729167</v>
      </c>
      <c r="J108" s="0">
        <v>13</v>
      </c>
      <c r="K108" s="3"/>
      <c r="L108" s="0" t="inlineStr">
        <is>
          <t xml:space="preserve">CLP</t>
        </is>
      </c>
      <c r="M108" s="0" t="inlineStr">
        <is>
          <t xml:space="preserve">LP</t>
        </is>
      </c>
      <c r="N108" s="4" t="inlineStr">
        <is>
          <t xml:space="preserve">Servicios basados en ingeniería, ciencias sociales y tecnología de la información / Servicios informáticos / Servicios de datos</t>
        </is>
      </c>
      <c r="O108" s="4" t="inlineStr">
        <is>
          <t xml:space="preserve">1 Unidad no definida · Centro de servicios de datos</t>
        </is>
      </c>
      <c r="P108" s="2"/>
      <c r="Q108" s="2"/>
      <c r="R108" s="0" t="inlineStr">
        <is>
          <t xml:space="preserve">14 meses</t>
        </is>
      </c>
      <c r="S108" s="0" t="inlineStr">
        <is>
          <t xml:space="preserve">No</t>
        </is>
      </c>
      <c r="T108" s="4" t="inlineStr">
        <is>
          <t xml:space="preserve">Atendida la naturaleza de la contratación, no se admitirá la subcontratación.</t>
        </is>
      </c>
      <c r="U108" s="0" t="inlineStr">
        <is>
          <t xml:space="preserve">Jorge Romero Vargas</t>
        </is>
      </c>
      <c r="V108"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08"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109">
      <c r="A109" s="0" t="inlineStr">
        <is>
          <t xml:space="preserve">4024-29-LE26</t>
        </is>
      </c>
      <c r="B109" s="4" t="inlineStr">
        <is>
          <t xml:space="preserve">Modernización del Gimnasio Municipal Héctor Aqueveque Aránguiz”</t>
        </is>
      </c>
      <c r="C109" s="0" t="inlineStr">
        <is>
          <t xml:space="preserve">Publicada</t>
        </is>
      </c>
      <c r="D109" s="0" t="inlineStr">
        <is>
          <t xml:space="preserve">ILUSTRE MUNICIPALIDAD DE SAN CARLOS</t>
        </is>
      </c>
      <c r="E109" s="0" t="inlineStr">
        <is>
          <t xml:space="preserve">CONTRATACION DE OBRAS, PROYECTOS Y CONCESIONES </t>
        </is>
      </c>
      <c r="F109" s="0" t="inlineStr">
        <is>
          <t xml:space="preserve">Región del Ñuble</t>
        </is>
      </c>
      <c r="G109" s="0" t="inlineStr">
        <is>
          <t xml:space="preserve">San Carlos</t>
        </is>
      </c>
      <c r="H109" s="2">
        <v>46279.717176</v>
      </c>
      <c r="I109" s="2">
        <v>46301.83125</v>
      </c>
      <c r="J109" s="0">
        <v>13</v>
      </c>
      <c r="K109" s="3">
        <v>35706840.0</v>
      </c>
      <c r="L109" s="0" t="inlineStr">
        <is>
          <t xml:space="preserve">CLP</t>
        </is>
      </c>
      <c r="M109" s="0" t="inlineStr">
        <is>
          <t xml:space="preserve">LE</t>
        </is>
      </c>
      <c r="N109" s="4" t="inlineStr">
        <is>
          <t xml:space="preserve">Artículos para estructuras, obras y construcciones / Pavimento para carreteras y caminos / Asfaltos</t>
        </is>
      </c>
      <c r="O109" s="4" t="inlineStr">
        <is>
          <t xml:space="preserve">1 Unidad · Asfalto</t>
        </is>
      </c>
      <c r="P109" s="2"/>
      <c r="Q109" s="2"/>
      <c r="R109" s="0" t="inlineStr">
        <is>
          <t xml:space="preserve">70 días</t>
        </is>
      </c>
      <c r="S109" s="0" t="inlineStr">
        <is>
          <t xml:space="preserve">No</t>
        </is>
      </c>
      <c r="T109" s="4"/>
      <c r="U109" s="0" t="inlineStr">
        <is>
          <t xml:space="preserve">FRANCISCO CONTRERAS SALINAS</t>
        </is>
      </c>
      <c r="V109"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09"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110">
      <c r="A110" s="0" t="inlineStr">
        <is>
          <t xml:space="preserve">1562-63-LP26</t>
        </is>
      </c>
      <c r="B110" s="4" t="inlineStr">
        <is>
          <t xml:space="preserve">ELABORACIÓN DE LA PLATAFORMA PÚBLICA MINERA</t>
        </is>
      </c>
      <c r="C110" s="0" t="inlineStr">
        <is>
          <t xml:space="preserve">Publicada</t>
        </is>
      </c>
      <c r="D110" s="0" t="inlineStr">
        <is>
          <t xml:space="preserve">SERVICIO NACIONAL DE GEOLOGIA Y MINERIA</t>
        </is>
      </c>
      <c r="E110" s="0" t="inlineStr">
        <is>
          <t xml:space="preserve">Servicio Nacional de Geología y Minería</t>
        </is>
      </c>
      <c r="F110" s="0" t="inlineStr">
        <is>
          <t xml:space="preserve">Región Metropolitana de Santiago</t>
        </is>
      </c>
      <c r="G110" s="0" t="inlineStr">
        <is>
          <t xml:space="preserve">Providencia</t>
        </is>
      </c>
      <c r="H110" s="2">
        <v>46281.707639</v>
      </c>
      <c r="I110" s="2">
        <v>46302.5</v>
      </c>
      <c r="J110" s="0">
        <v>14</v>
      </c>
      <c r="K110" s="3">
        <v>165000000.0</v>
      </c>
      <c r="L110" s="0" t="inlineStr">
        <is>
          <t xml:space="preserve">CLP</t>
        </is>
      </c>
      <c r="M110" s="0" t="inlineStr">
        <is>
          <t xml:space="preserve">LP</t>
        </is>
      </c>
      <c r="N110" s="4" t="inlineStr">
        <is>
          <t xml:space="preserve">Tecnologías de la información, telecomunicaciones y radiodifusión / Software / Programas de desarrollo</t>
        </is>
      </c>
      <c r="O110" s="4" t="inlineStr">
        <is>
          <t xml:space="preserve">1 Global · Software de desarrollo de plataforma Web</t>
        </is>
      </c>
      <c r="P110" s="2"/>
      <c r="Q110" s="2"/>
      <c r="R110" s="0" t="inlineStr">
        <is>
          <t xml:space="preserve">2 meses</t>
        </is>
      </c>
      <c r="S110" s="0" t="inlineStr">
        <is>
          <t xml:space="preserve">No</t>
        </is>
      </c>
      <c r="T110" s="4"/>
      <c r="U110" s="0" t="inlineStr">
        <is>
          <t xml:space="preserve">PHILIPE CARLIER PIZZULIC</t>
        </is>
      </c>
      <c r="V110"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10" s="5" t="str">
        <f>HYPERLINK("https://www.mercadopublico.cl/Procurement/Modules/Attachment/ViewAttachment.aspx?enc=MCoZCqz9vUppMdUbL7wYXm2%2fL9QcO9Nuc3PBpB2Iyxwn1LE%2b5itsNeZhB2AED%2fqzmUDVXebb3ukmJiUEzNRLI8if7KD3jyOq8dAKhqo5aXWPlvOtAPcZn7EVLUURwy%2bdNjrS95mscaJiD%2baMLgDlM2nnvqOAKxEB0qY19SK1xenXcEtT14Y6LycHPR6OEtBOqFDIf%2fJouUA5HuxwZh1nk8kAbGZovMuYZHjb%2f1eUQSYEnI0uFNzkTDUYfVGdaVlt43EpOAMu0I%2bPuATaqMl9K0nVHllDLsg5AxGqgodDHqDAcFMhPNh426UAzofXDhE0","descargar bases")</f>
      </c>
    </row>
    <row r="111">
      <c r="A111" s="0" t="inlineStr">
        <is>
          <t xml:space="preserve">4112-27-LE26</t>
        </is>
      </c>
      <c r="B111" s="4" t="inlineStr">
        <is>
          <t xml:space="preserve">“ADQUISICIÓN DE LICENCIAS DE SOFTWARE”</t>
        </is>
      </c>
      <c r="C111" s="0" t="inlineStr">
        <is>
          <t xml:space="preserve">Publicada</t>
        </is>
      </c>
      <c r="D111" s="0" t="inlineStr">
        <is>
          <t xml:space="preserve">I MUNICIPALIDAD DE CURACAUTIN</t>
        </is>
      </c>
      <c r="E111" s="0" t="inlineStr">
        <is>
          <t xml:space="preserve">DIRECCION DE FINANZAS</t>
        </is>
      </c>
      <c r="F111" s="0" t="inlineStr">
        <is>
          <t xml:space="preserve">Región de la Araucanía </t>
        </is>
      </c>
      <c r="G111" s="0"/>
      <c r="H111" s="2">
        <v>46282.473183</v>
      </c>
      <c r="I111" s="2">
        <v>46302.645833</v>
      </c>
      <c r="J111" s="0">
        <v>14</v>
      </c>
      <c r="K111" s="3"/>
      <c r="L111" s="0" t="inlineStr">
        <is>
          <t xml:space="preserve">CLP</t>
        </is>
      </c>
      <c r="M111" s="0" t="inlineStr">
        <is>
          <t xml:space="preserve">LE</t>
        </is>
      </c>
      <c r="N111"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11" s="4" t="inlineStr">
        <is>
          <t xml:space="preserve">1 Unidad · Diseño por computador · 1 Unidad · Software de gestión de licencias · 1 Unidad · Software de video conferencia</t>
        </is>
      </c>
      <c r="P111" s="2"/>
      <c r="Q111" s="2"/>
      <c r="R111" s="0"/>
      <c r="S111" s="0" t="inlineStr">
        <is>
          <t xml:space="preserve">No</t>
        </is>
      </c>
      <c r="T111" s="4"/>
      <c r="U111" s="0" t="inlineStr">
        <is>
          <t xml:space="preserve">FELIPE OBREQUE</t>
        </is>
      </c>
      <c r="V111"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11" s="5" t="str">
        <f>HYPERLINK("https://www.mercadopublico.cl/Procurement/Modules/Attachment/ViewAttachment.aspx?enc=QsMUZY4a7pZfhcZ1wPzHy03KxBNjOZJl%2f%2beU0TUZDQl08did53ekrzms6JD9Ov%2bCYT67uZ7MYkgUID6wEPtGCF79oKwFDULX4yKC86S0ywg%2bLcIxN0HbNM0KQF3nyRRqTSh1B2IBOBkww5ucYSqA2rJWcY1dhn0kZTG9IN2rjwRZcLWVvlk2U%2bnlyu3F%2fPD4%2b4Nz3s8e%2bVZOPtBUhiHeopOp3LndZPA0h1u19t4Mt5%2bzoZ%2b%2bIiECO585mE6Ly3WheCPR%2foHsAwJUENMf4epdG2RmiUGnDhEiIsfPklXTf3zipP8v5HkDWBvqpvlT995H","descargar bases")</f>
      </c>
    </row>
    <row r="112">
      <c r="A112" s="0" t="inlineStr">
        <is>
          <t xml:space="preserve">1002-84-LP26</t>
        </is>
      </c>
      <c r="B112" s="4" t="inlineStr">
        <is>
          <t xml:space="preserve">ADQUISICION DE TABLERO DE MADERA PRESERVADA CON HERRAJE</t>
        </is>
      </c>
      <c r="C112" s="0" t="inlineStr">
        <is>
          <t xml:space="preserve">Publicada</t>
        </is>
      </c>
      <c r="D112" s="0" t="inlineStr">
        <is>
          <t xml:space="preserve">MINISTERIO DE OBRAS PUBLICAS DIREC CION GRAL DE OO PP DCYF</t>
        </is>
      </c>
      <c r="E112" s="0" t="inlineStr">
        <is>
          <t xml:space="preserve">Dirección de Vialidad - X Región - Dirección Regional</t>
        </is>
      </c>
      <c r="F112" s="0" t="inlineStr">
        <is>
          <t xml:space="preserve">Región de los Lagos </t>
        </is>
      </c>
      <c r="G112" s="0" t="inlineStr">
        <is>
          <t xml:space="preserve">Puerto Montt</t>
        </is>
      </c>
      <c r="H112" s="2">
        <v>46287.611759</v>
      </c>
      <c r="I112" s="2">
        <v>46303.583333</v>
      </c>
      <c r="J112" s="0">
        <v>15</v>
      </c>
      <c r="K112" s="3"/>
      <c r="L112" s="0" t="inlineStr">
        <is>
          <t xml:space="preserve">CLP</t>
        </is>
      </c>
      <c r="M112" s="0" t="inlineStr">
        <is>
          <t xml:space="preserve">LP</t>
        </is>
      </c>
      <c r="N112" s="4" t="inlineStr">
        <is>
          <t xml:space="preserve">Artículos para estructuras, obras y construcciones / Materiales estructurales básicos / Productos estructurales</t>
        </is>
      </c>
      <c r="O112" s="4" t="inlineStr">
        <is>
          <t xml:space="preserve">1 Unidad · Vigas de madera</t>
        </is>
      </c>
      <c r="P112" s="2"/>
      <c r="Q112" s="2"/>
      <c r="R112" s="0"/>
      <c r="S112" s="0" t="inlineStr">
        <is>
          <t xml:space="preserve">No</t>
        </is>
      </c>
      <c r="T112" s="4" t="inlineStr">
        <is>
          <t xml:space="preserve">La Empresa adjudicada no puede traspasar a Terceros la responsabilidad del suministro de los productos ofertados.</t>
        </is>
      </c>
      <c r="U112" s="0" t="inlineStr">
        <is>
          <t xml:space="preserve">FERNANDA NUÑEZ JORQUERA</t>
        </is>
      </c>
      <c r="V112" s="4" t="inlineStr">
        <is>
          <t xml:space="preserve">Destinado a la reposición del tablero del puente Maicolpue, ubicado en el Sector Maicolpue, comuna de San Juan de la Costa, provincia de Osorno</t>
        </is>
      </c>
      <c r="W112"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113">
      <c r="A113" s="0" t="inlineStr">
        <is>
          <t xml:space="preserve">1605-36-LR26</t>
        </is>
      </c>
      <c r="B113" s="4" t="inlineStr">
        <is>
          <t xml:space="preserve">LR-4252 Servicio de Red Datos WAN</t>
        </is>
      </c>
      <c r="C113" s="0" t="inlineStr">
        <is>
          <t xml:space="preserve">Publicada</t>
        </is>
      </c>
      <c r="D113" s="0" t="inlineStr">
        <is>
          <t xml:space="preserve">SERVICIO DE IMPUESTOS INTERNOS DIRECCION</t>
        </is>
      </c>
      <c r="E113" s="0" t="inlineStr">
        <is>
          <t xml:space="preserve">SII Dirección Nacional</t>
        </is>
      </c>
      <c r="F113" s="0" t="inlineStr">
        <is>
          <t xml:space="preserve">Región Metropolitana de Santiago</t>
        </is>
      </c>
      <c r="G113" s="0" t="inlineStr">
        <is>
          <t xml:space="preserve">Santiago</t>
        </is>
      </c>
      <c r="H113" s="2">
        <v>46195.661111</v>
      </c>
      <c r="I113" s="2">
        <v>46303.666667</v>
      </c>
      <c r="J113" s="0">
        <v>15</v>
      </c>
      <c r="K113" s="3">
        <v>232851.0</v>
      </c>
      <c r="L113" s="0" t="inlineStr">
        <is>
          <t xml:space="preserve">CLF</t>
        </is>
      </c>
      <c r="M113" s="0" t="inlineStr">
        <is>
          <t xml:space="preserve">LR</t>
        </is>
      </c>
      <c r="N113" s="4" t="inlineStr">
        <is>
          <t xml:space="preserve">Servicios basados en ingeniería, ciencias sociales y tecnología de la información / Servicios informáticos / Servicios para internet</t>
        </is>
      </c>
      <c r="O113" s="4" t="inlineStr">
        <is>
          <t xml:space="preserve">72 Mes · Proveedores de servicio de Internet (ISP) · 72 Mes · Proveedores de servicio de Internet (ISP)</t>
        </is>
      </c>
      <c r="P113" s="2"/>
      <c r="Q113" s="2"/>
      <c r="R113" s="0" t="inlineStr">
        <is>
          <t xml:space="preserve">72 meses</t>
        </is>
      </c>
      <c r="S113" s="0" t="inlineStr">
        <is>
          <t xml:space="preserve">No</t>
        </is>
      </c>
      <c r="T113" s="4"/>
      <c r="U113" s="0" t="inlineStr">
        <is>
          <t xml:space="preserve">Luis Venegas</t>
        </is>
      </c>
      <c r="V113"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13"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14">
      <c r="A114" s="0" t="inlineStr">
        <is>
          <t xml:space="preserve">1051173-14-LE26</t>
        </is>
      </c>
      <c r="B114" s="4" t="inlineStr">
        <is>
          <t xml:space="preserve">SERVICIO DE ENLACE DE DATOS DE RESPALDO</t>
        </is>
      </c>
      <c r="C114" s="0" t="inlineStr">
        <is>
          <t xml:space="preserve">Publicada</t>
        </is>
      </c>
      <c r="D114" s="0" t="inlineStr">
        <is>
          <t xml:space="preserve">MINISTERIO SECRETARIA GENERAL DE LA PRESIDENCIA DE LA REPUBLICA</t>
        </is>
      </c>
      <c r="E114" s="0" t="inlineStr">
        <is>
          <t xml:space="preserve">Ministerio Secretaria General de la Presidencia</t>
        </is>
      </c>
      <c r="F114" s="0" t="inlineStr">
        <is>
          <t xml:space="preserve">Región Metropolitana de Santiago</t>
        </is>
      </c>
      <c r="G114" s="0" t="inlineStr">
        <is>
          <t xml:space="preserve">Santiago</t>
        </is>
      </c>
      <c r="H114" s="2">
        <v>46287.63625</v>
      </c>
      <c r="I114" s="2">
        <v>46303.729167</v>
      </c>
      <c r="J114" s="0">
        <v>15</v>
      </c>
      <c r="K114" s="3"/>
      <c r="L114" s="0" t="inlineStr">
        <is>
          <t xml:space="preserve">CLF</t>
        </is>
      </c>
      <c r="M114" s="0" t="inlineStr">
        <is>
          <t xml:space="preserve">LE</t>
        </is>
      </c>
      <c r="N114" s="4" t="inlineStr">
        <is>
          <t xml:space="preserve">Tecnologías de la información, telecomunicaciones y radiodifusión / Equipos, plataformas y accesorios de redes multimedia, voz y datos / Equipos de servicio de red</t>
        </is>
      </c>
      <c r="O114" s="4" t="inlineStr">
        <is>
          <t xml:space="preserve">1 Unidad no definida · Unidades de servicio de datos o canales de red</t>
        </is>
      </c>
      <c r="P114" s="2"/>
      <c r="Q114" s="2"/>
      <c r="R114" s="0" t="inlineStr">
        <is>
          <t xml:space="preserve">27 meses</t>
        </is>
      </c>
      <c r="S114" s="0" t="inlineStr">
        <is>
          <t xml:space="preserve">No</t>
        </is>
      </c>
      <c r="T114" s="4" t="inlineStr">
        <is>
          <t xml:space="preserve">El proveedor adjudicado no podrá subcontratar totalmente los servicios licitados.
No obstante, previa autorización del Ministerio, el proveedor adjudicado podrá concertar con terceros la subcontratación parcial del contrato.</t>
        </is>
      </c>
      <c r="U114" s="0" t="inlineStr">
        <is>
          <t xml:space="preserve">Jorge Romero Vargas</t>
        </is>
      </c>
      <c r="V114"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114"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115">
      <c r="A115" s="0" t="inlineStr">
        <is>
          <t xml:space="preserve">976-15-O126</t>
        </is>
      </c>
      <c r="B115" s="4" t="inlineStr">
        <is>
          <t xml:space="preserve">Ampliación Plataformas Comercial y General Ad. El Loa</t>
        </is>
      </c>
      <c r="C115" s="0" t="inlineStr">
        <is>
          <t xml:space="preserve">Publicada</t>
        </is>
      </c>
      <c r="D115" s="0" t="inlineStr">
        <is>
          <t xml:space="preserve">MINISTERIO DE OBRAS PUBLICAS DIREC CION GRAL DE OO PP DCYF</t>
        </is>
      </c>
      <c r="E115" s="0" t="inlineStr">
        <is>
          <t xml:space="preserve">Dirección de Aeropuertos - MOPTT</t>
        </is>
      </c>
      <c r="F115" s="0" t="inlineStr">
        <is>
          <t xml:space="preserve">Región de Antofagasta </t>
        </is>
      </c>
      <c r="G115" s="0" t="inlineStr">
        <is>
          <t xml:space="preserve">Santiago</t>
        </is>
      </c>
      <c r="H115" s="2">
        <v>46265.342303</v>
      </c>
      <c r="I115" s="2">
        <v>46304.458333</v>
      </c>
      <c r="J115" s="0">
        <v>16</v>
      </c>
      <c r="K115" s="3"/>
      <c r="L115" s="0" t="inlineStr">
        <is>
          <t xml:space="preserve">CLP</t>
        </is>
      </c>
      <c r="M115" s="0" t="inlineStr">
        <is>
          <t xml:space="preserve">O1</t>
        </is>
      </c>
      <c r="N115" s="4" t="inlineStr">
        <is>
          <t xml:space="preserve">Consultoria / Consultoria / Planificación y Factibilidad</t>
        </is>
      </c>
      <c r="O115" s="4" t="inlineStr">
        <is>
          <t xml:space="preserve">1 Unidad · Licitación Pública de Obra</t>
        </is>
      </c>
      <c r="P115" s="2"/>
      <c r="Q115" s="2"/>
      <c r="R115" s="0"/>
      <c r="S115" s="0" t="inlineStr">
        <is>
          <t xml:space="preserve">No</t>
        </is>
      </c>
      <c r="T115" s="4"/>
      <c r="U115" s="0"/>
      <c r="V115" s="4" t="inlineStr">
        <is>
          <t xml:space="preserve">Esta Dirección necesita llamar a licitación para contratar la obra Ampliación Plataformas Comercial y General Aeródromo El Loa.</t>
        </is>
      </c>
      <c r="W115"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116">
      <c r="A116" s="0" t="inlineStr">
        <is>
          <t xml:space="preserve">610-19-LE26</t>
        </is>
      </c>
      <c r="B116" s="4" t="inlineStr">
        <is>
          <t xml:space="preserve">Base de datos Plexos del Sistema Eléctrico Nacional</t>
        </is>
      </c>
      <c r="C116" s="0" t="inlineStr">
        <is>
          <t xml:space="preserve">Publicada</t>
        </is>
      </c>
      <c r="D116" s="0" t="inlineStr">
        <is>
          <t xml:space="preserve">Comisión Nacional de Energía</t>
        </is>
      </c>
      <c r="E116" s="0" t="inlineStr">
        <is>
          <t xml:space="preserve">Comisión Nacional de Energía</t>
        </is>
      </c>
      <c r="F116" s="0" t="inlineStr">
        <is>
          <t xml:space="preserve">Región Metropolitana de Santiago</t>
        </is>
      </c>
      <c r="G116" s="0" t="inlineStr">
        <is>
          <t xml:space="preserve">Santiago Centro</t>
        </is>
      </c>
      <c r="H116" s="2">
        <v>46287.700972</v>
      </c>
      <c r="I116" s="2">
        <v>46304.666667</v>
      </c>
      <c r="J116" s="0">
        <v>16</v>
      </c>
      <c r="K116" s="3">
        <v>50000000.0</v>
      </c>
      <c r="L116" s="0" t="inlineStr">
        <is>
          <t xml:space="preserve">CLP</t>
        </is>
      </c>
      <c r="M116" s="0" t="inlineStr">
        <is>
          <t xml:space="preserve">LE</t>
        </is>
      </c>
      <c r="N116" s="4" t="inlineStr">
        <is>
          <t xml:space="preserve">Servicios basados en ingeniería, ciencias sociales y tecnología de la información / Servicios profesionales de ingeniería / Ingeniería eléctrica y electrónica</t>
        </is>
      </c>
      <c r="O116" s="4" t="inlineStr">
        <is>
          <t xml:space="preserve">1 Unidad · Ingeniería eléctrica</t>
        </is>
      </c>
      <c r="P116" s="2"/>
      <c r="Q116" s="2"/>
      <c r="R116" s="0" t="inlineStr">
        <is>
          <t xml:space="preserve">360 días</t>
        </is>
      </c>
      <c r="S116" s="0" t="inlineStr">
        <is>
          <t xml:space="preserve">No</t>
        </is>
      </c>
      <c r="T116" s="4" t="inlineStr">
        <is>
          <t xml:space="preserve">De acuerdo a lo establecido en Bases de Licitación adjuntas.</t>
        </is>
      </c>
      <c r="U116" s="0" t="inlineStr">
        <is>
          <t xml:space="preserve">Esteban Robles Quiroga</t>
        </is>
      </c>
      <c r="V116"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116"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117">
      <c r="A117" s="0" t="inlineStr">
        <is>
          <t xml:space="preserve">2445-124-LP26</t>
        </is>
      </c>
      <c r="B117" s="4" t="inlineStr">
        <is>
          <t xml:space="preserve">SERVICIO DE TELEFONIA FIJA IP Y PLATAFORMA IVR</t>
        </is>
      </c>
      <c r="C117" s="0" t="inlineStr">
        <is>
          <t xml:space="preserve">Publicada</t>
        </is>
      </c>
      <c r="D117" s="0" t="inlineStr">
        <is>
          <t xml:space="preserve">I MUNICIPALIDAD DE CURICO</t>
        </is>
      </c>
      <c r="E117" s="0" t="inlineStr">
        <is>
          <t xml:space="preserve">Salud - Adquisiciones</t>
        </is>
      </c>
      <c r="F117" s="0" t="inlineStr">
        <is>
          <t xml:space="preserve">Región del Maule </t>
        </is>
      </c>
      <c r="G117" s="0" t="inlineStr">
        <is>
          <t xml:space="preserve">Curicó</t>
        </is>
      </c>
      <c r="H117" s="2">
        <v>46286.707014</v>
      </c>
      <c r="I117" s="2">
        <v>46308.625694</v>
      </c>
      <c r="J117" s="0">
        <v>20</v>
      </c>
      <c r="K117" s="3"/>
      <c r="L117" s="0" t="inlineStr">
        <is>
          <t xml:space="preserve">CLP</t>
        </is>
      </c>
      <c r="M117" s="0" t="inlineStr">
        <is>
          <t xml:space="preserve">LP</t>
        </is>
      </c>
      <c r="N117" s="4" t="inlineStr">
        <is>
          <t xml:space="preserve">Servicios profesionales, administrativos y consultorías de gestión empresarial / Servicios de recursos humanos / Servicios de personal temporal</t>
        </is>
      </c>
      <c r="O117" s="4" t="inlineStr">
        <is>
          <t xml:space="preserve">1 Unidad · Mano de obra temporal</t>
        </is>
      </c>
      <c r="P117" s="2"/>
      <c r="Q117" s="2"/>
      <c r="R117" s="0" t="inlineStr">
        <is>
          <t xml:space="preserve">48 meses</t>
        </is>
      </c>
      <c r="S117" s="0" t="inlineStr">
        <is>
          <t xml:space="preserve">No</t>
        </is>
      </c>
      <c r="T117" s="4" t="inlineStr">
        <is>
          <t xml:space="preserve">.</t>
        </is>
      </c>
      <c r="U117" s="0" t="inlineStr">
        <is>
          <t xml:space="preserve">ENRIQUE IBARRA</t>
        </is>
      </c>
      <c r="V117" s="4" t="inlineStr">
        <is>
          <t xml:space="preserve">LA NECESIDAD DE CONTRATAR EL SERVICIO DE TELEFONIA FIJA IP Y PLATAFORMA IVR PARA EL DEPARTAMENTO DE SALUD DE CURICO POR 48 MESES. SE REALIZARA VISITA A TERRENO OBLIGATORIA EL DÍA VIERNES 25 A LAS 11:30 EN CARMEN 925</t>
        </is>
      </c>
      <c r="W117"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18">
      <c r="A118" s="0" t="inlineStr">
        <is>
          <t xml:space="preserve">29-81-LP26</t>
        </is>
      </c>
      <c r="B118" s="4" t="inlineStr">
        <is>
          <t xml:space="preserve">AGF - PLATAFORMA INGLES</t>
        </is>
      </c>
      <c r="C118" s="0" t="inlineStr">
        <is>
          <t xml:space="preserve">Publicada</t>
        </is>
      </c>
      <c r="D118" s="0" t="inlineStr">
        <is>
          <t xml:space="preserve">FUERZA AEREA DE CHILE COMANDO LOGISTICO</t>
        </is>
      </c>
      <c r="E118" s="0" t="inlineStr">
        <is>
          <t xml:space="preserve">Comando Logístico</t>
        </is>
      </c>
      <c r="F118" s="0" t="inlineStr">
        <is>
          <t xml:space="preserve">Región Metropolitana de Santiago</t>
        </is>
      </c>
      <c r="G118" s="0" t="inlineStr">
        <is>
          <t xml:space="preserve">El Bosque</t>
        </is>
      </c>
      <c r="H118" s="2">
        <v>46276.548981</v>
      </c>
      <c r="I118" s="2">
        <v>46308.625694</v>
      </c>
      <c r="J118" s="0">
        <v>20</v>
      </c>
      <c r="K118" s="3"/>
      <c r="L118" s="0" t="inlineStr">
        <is>
          <t xml:space="preserve">USD</t>
        </is>
      </c>
      <c r="M118" s="0" t="inlineStr">
        <is>
          <t xml:space="preserve">LP</t>
        </is>
      </c>
      <c r="N118" s="4" t="inlineStr">
        <is>
          <t xml:space="preserve">Educación, formación, entrenamiento y capacitación / Sistemas educativos complementarios / Escuelas de idiomas</t>
        </is>
      </c>
      <c r="O118" s="4" t="inlineStr">
        <is>
          <t xml:space="preserve">1 Global · Enseñanza conversacional de idiomas extranjeros</t>
        </is>
      </c>
      <c r="P118" s="2"/>
      <c r="Q118" s="2"/>
      <c r="R118" s="0"/>
      <c r="S118" s="0" t="inlineStr">
        <is>
          <t xml:space="preserve">No</t>
        </is>
      </c>
      <c r="T118" s="4"/>
      <c r="U118" s="0" t="inlineStr">
        <is>
          <t xml:space="preserve">PAULO ARELLANO WOLFF</t>
        </is>
      </c>
      <c r="V118" s="4" t="inlineStr">
        <is>
          <t xml:space="preserve">CONTRATACIÓN DE SERVICIO DE PLATAFORMA INTEGRAL DE CAPACITACIÓN EN IDIOMA INGLÉS MODALIDAD E-LEARNING CON TUTORIA</t>
        </is>
      </c>
      <c r="W118"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19">
      <c r="A119" s="0" t="inlineStr">
        <is>
          <t xml:space="preserve">3447-145-LR26</t>
        </is>
      </c>
      <c r="B119" s="4" t="inlineStr">
        <is>
          <t xml:space="preserve">Adquisición e Implementación Plataforma Integral</t>
        </is>
      </c>
      <c r="C119" s="0" t="inlineStr">
        <is>
          <t xml:space="preserve">Publicada</t>
        </is>
      </c>
      <c r="D119" s="0" t="inlineStr">
        <is>
          <t xml:space="preserve">MUNICIPALIDAD DE ALTO HOSPICIO</t>
        </is>
      </c>
      <c r="E119" s="0" t="inlineStr">
        <is>
          <t xml:space="preserve">Direccion de Administracion y Finanzas</t>
        </is>
      </c>
      <c r="F119" s="0" t="inlineStr">
        <is>
          <t xml:space="preserve">Región de Tarapacá  </t>
        </is>
      </c>
      <c r="G119" s="0" t="inlineStr">
        <is>
          <t xml:space="preserve">Alto Hospicio</t>
        </is>
      </c>
      <c r="H119" s="2">
        <v>46276.643669</v>
      </c>
      <c r="I119" s="2">
        <v>46308.625694</v>
      </c>
      <c r="J119" s="0">
        <v>20</v>
      </c>
      <c r="K119" s="3"/>
      <c r="L119" s="0" t="inlineStr">
        <is>
          <t xml:space="preserve">CLP</t>
        </is>
      </c>
      <c r="M119" s="0" t="inlineStr">
        <is>
          <t xml:space="preserve">LR</t>
        </is>
      </c>
      <c r="N119" s="4" t="inlineStr">
        <is>
          <t xml:space="preserve">Servicios basados en ingeniería, ciencias sociales y tecnología de la información / Servicios informáticos / Ingeniería en computación e informática</t>
        </is>
      </c>
      <c r="O119" s="4" t="inlineStr">
        <is>
          <t xml:space="preserve">1 Global · Servicios de programación de sistemas operativos</t>
        </is>
      </c>
      <c r="P119" s="2"/>
      <c r="Q119" s="2"/>
      <c r="R119" s="0" t="inlineStr">
        <is>
          <t xml:space="preserve">24 meses</t>
        </is>
      </c>
      <c r="S119" s="0" t="inlineStr">
        <is>
          <t xml:space="preserve">No</t>
        </is>
      </c>
      <c r="T119" s="4"/>
      <c r="U119" s="0" t="inlineStr">
        <is>
          <t xml:space="preserve">JAIME AROS BINIMELIS</t>
        </is>
      </c>
      <c r="V119"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19"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20">
      <c r="A120" s="0" t="inlineStr">
        <is>
          <t xml:space="preserve">5482-101-LR26</t>
        </is>
      </c>
      <c r="B120" s="4" t="inlineStr">
        <is>
          <t xml:space="preserve">Plataforma IA para video y seguridad urbana</t>
        </is>
      </c>
      <c r="C120" s="0" t="inlineStr">
        <is>
          <t xml:space="preserve">Publicada</t>
        </is>
      </c>
      <c r="D120" s="0" t="inlineStr">
        <is>
          <t xml:space="preserve">I MUNICIPALIDAD DE NUNOA</t>
        </is>
      </c>
      <c r="E120" s="0" t="inlineStr">
        <is>
          <t xml:space="preserve">SECPLANUNOA</t>
        </is>
      </c>
      <c r="F120" s="0" t="inlineStr">
        <is>
          <t xml:space="preserve">Región Metropolitana de Santiago</t>
        </is>
      </c>
      <c r="G120" s="0" t="inlineStr">
        <is>
          <t xml:space="preserve">Ñuñoa</t>
        </is>
      </c>
      <c r="H120" s="2">
        <v>46275.73022</v>
      </c>
      <c r="I120" s="2">
        <v>46308.625694</v>
      </c>
      <c r="J120" s="0">
        <v>20</v>
      </c>
      <c r="K120" s="3"/>
      <c r="L120" s="0" t="inlineStr">
        <is>
          <t xml:space="preserve">CLF</t>
        </is>
      </c>
      <c r="M120" s="0" t="inlineStr">
        <is>
          <t xml:space="preserve">LR</t>
        </is>
      </c>
      <c r="N120" s="4" t="inlineStr">
        <is>
          <t xml:space="preserve">Tecnologías de la información, telecomunicaciones y radiodifusión / Software / Programas de desarrollo</t>
        </is>
      </c>
      <c r="O120" s="4" t="inlineStr">
        <is>
          <t xml:space="preserve">1 Global · Software de desarrollo de plataforma Web · 26 Mes · Software de desarrollo de plataforma Web</t>
        </is>
      </c>
      <c r="P120" s="2"/>
      <c r="Q120" s="2"/>
      <c r="R120" s="0" t="inlineStr">
        <is>
          <t xml:space="preserve">26 meses</t>
        </is>
      </c>
      <c r="S120" s="0" t="inlineStr">
        <is>
          <t xml:space="preserve">No</t>
        </is>
      </c>
      <c r="T120" s="4"/>
      <c r="U120" s="0" t="inlineStr">
        <is>
          <t xml:space="preserve">Katherinne Ayala</t>
        </is>
      </c>
      <c r="V120"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20" s="5" t="str">
        <f>HYPERLINK("https://www.mercadopublico.cl/Procurement/Modules/Attachment/ViewAttachment.aspx?enc=8yaW0NKjZzXQfukc3owYlyhGfZYiX5O4EXLCI3%2bsKY0Im6f8GkBzLDD%2bz613GpfcIVc3%2bNTA58MLxzx%2fLeAHvpboBb7oLCqphm5a%2fBK7PYWMqvoFwMKjjrodOT6OemXeTuVfTFZffegParSjyvBYNTP%2fsAZeM3j%2fN6xqcZLzsNGG%2bT9KnQxnla30JBkOHDdXwLdZm9TBM8OdH2PQ4kMKV0WWtLFKJdHWvXbB42SaSOkgesVk6mBatgBHmCtYOQZakuE%2fSav%2btz%2b%2fkd8J5JdqBqJ1BE4R%2bxGj1%2bqPmkREfqsZb%2f0jNWM8c44Ouic1Di6e","descargar bases")</f>
      </c>
    </row>
    <row r="121">
      <c r="A121" s="0" t="inlineStr">
        <is>
          <t xml:space="preserve">4449-30-LP26</t>
        </is>
      </c>
      <c r="B121" s="4" t="inlineStr">
        <is>
          <t xml:space="preserve">Adquisición de libros a perpetuida para BP Digital</t>
        </is>
      </c>
      <c r="C121" s="0" t="inlineStr">
        <is>
          <t xml:space="preserve">Publicada</t>
        </is>
      </c>
      <c r="D121" s="0" t="inlineStr">
        <is>
          <t xml:space="preserve">SERVICIO NACIONAL DEL PATRIMONIO CULTURAL</t>
        </is>
      </c>
      <c r="E121" s="0" t="inlineStr">
        <is>
          <t xml:space="preserve">SUBDIRECCIÓN DE BIBLIOTECAS PÚBLICAS</t>
        </is>
      </c>
      <c r="F121" s="0" t="inlineStr">
        <is>
          <t xml:space="preserve">Región Metropolitana de Santiago</t>
        </is>
      </c>
      <c r="G121" s="0" t="inlineStr">
        <is>
          <t xml:space="preserve">Santiago Centro</t>
        </is>
      </c>
      <c r="H121" s="2">
        <v>46287.715394</v>
      </c>
      <c r="I121" s="2">
        <v>46308.628472</v>
      </c>
      <c r="J121" s="0">
        <v>20</v>
      </c>
      <c r="K121" s="3">
        <v>73000000.0</v>
      </c>
      <c r="L121" s="0" t="inlineStr">
        <is>
          <t xml:space="preserve">CLP</t>
        </is>
      </c>
      <c r="M121" s="0" t="inlineStr">
        <is>
          <t xml:space="preserve">LP</t>
        </is>
      </c>
      <c r="N121" s="4" t="inlineStr">
        <is>
          <t xml:space="preserve">Productos impresos y publicaciones / Material electrónico de referencia / Publicaciones electrónicas y música</t>
        </is>
      </c>
      <c r="O121" s="4" t="inlineStr">
        <is>
          <t xml:space="preserve">3 Unidad · Libros en casetes o CD · 3 Unidad · Libros en casetes o CD · 3 Unidad · Libros en casetes o CD · y 577 más</t>
        </is>
      </c>
      <c r="P121" s="2"/>
      <c r="Q121" s="2"/>
      <c r="R121" s="0"/>
      <c r="S121" s="0" t="inlineStr">
        <is>
          <t xml:space="preserve">No</t>
        </is>
      </c>
      <c r="T121" s="4"/>
      <c r="U121" s="0" t="inlineStr">
        <is>
          <t xml:space="preserve">Salvador Young</t>
        </is>
      </c>
      <c r="V121" s="4" t="inlineStr">
        <is>
          <t xml:space="preserve">ADQUISICIÓN DE MATERIAL BIBLIOGRÁFICO BAJO LICENCIA A PERPETUIDAD PARA BIBLIOTECA PÚBLICA DIGITAL”</t>
        </is>
      </c>
      <c r="W121"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122">
      <c r="A122" s="0" t="inlineStr">
        <is>
          <t xml:space="preserve">5420-22-LP26</t>
        </is>
      </c>
      <c r="B122" s="4" t="inlineStr">
        <is>
          <t xml:space="preserve">Arriendo de enlace de voz y datos</t>
        </is>
      </c>
      <c r="C122" s="0" t="inlineStr">
        <is>
          <t xml:space="preserve">Publicada</t>
        </is>
      </c>
      <c r="D122" s="0" t="inlineStr">
        <is>
          <t xml:space="preserve">GOBIERNO REGIONAL DE ARICA-PARINACOTA</t>
        </is>
      </c>
      <c r="E122" s="0" t="inlineStr">
        <is>
          <t xml:space="preserve">Gobierno Regional de Arica y Parinacota</t>
        </is>
      </c>
      <c r="F122" s="0" t="inlineStr">
        <is>
          <t xml:space="preserve">Región de Arica y Parinacota</t>
        </is>
      </c>
      <c r="G122" s="0" t="inlineStr">
        <is>
          <t xml:space="preserve">Arica</t>
        </is>
      </c>
      <c r="H122" s="2">
        <v>46286.430567</v>
      </c>
      <c r="I122" s="2">
        <v>46308.645833</v>
      </c>
      <c r="J122" s="0">
        <v>20</v>
      </c>
      <c r="K122" s="3"/>
      <c r="L122" s="0" t="inlineStr">
        <is>
          <t xml:space="preserve">CLP</t>
        </is>
      </c>
      <c r="M122" s="0" t="inlineStr">
        <is>
          <t xml:space="preserve">LP</t>
        </is>
      </c>
      <c r="N122" s="4" t="inlineStr">
        <is>
          <t xml:space="preserve">Servicios basados en ingeniería, ciencias sociales y tecnología de la información / Servicios informáticos / Servicios para internet</t>
        </is>
      </c>
      <c r="O122" s="4" t="inlineStr">
        <is>
          <t xml:space="preserve">1 Unidad · Proveedores de servicio de Internet (ISP)</t>
        </is>
      </c>
      <c r="P122" s="2"/>
      <c r="Q122" s="2"/>
      <c r="R122" s="0"/>
      <c r="S122" s="0" t="inlineStr">
        <is>
          <t xml:space="preserve">No</t>
        </is>
      </c>
      <c r="T122" s="4"/>
      <c r="U122" s="0" t="inlineStr">
        <is>
          <t xml:space="preserve">Omar Sepulveda Vasquez</t>
        </is>
      </c>
      <c r="V122" s="4" t="inlineStr">
        <is>
          <t xml:space="preserve">Poseer un enlace de voz y datos para las dependencias del Gobierno Regional de Arica y Parinacota y Consejo Regional de Arica y Parinacota</t>
        </is>
      </c>
      <c r="W122"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23">
      <c r="A123" s="0" t="inlineStr">
        <is>
          <t xml:space="preserve">2107-153-LP26</t>
        </is>
      </c>
      <c r="B123" s="4" t="inlineStr">
        <is>
          <t xml:space="preserve">ARRIENDO DE INFRAESTRUCTURA FÍSICA ENTERPRISE PARA PLATAFORMA TECNOLÓGICA INSTITUCIONAL</t>
        </is>
      </c>
      <c r="C123" s="0" t="inlineStr">
        <is>
          <t xml:space="preserve">Publicada</t>
        </is>
      </c>
      <c r="D123" s="0" t="inlineStr">
        <is>
          <t xml:space="preserve">SERVICIO DE SALUD HOSPITAL DE SANTA CRUZ</t>
        </is>
      </c>
      <c r="E123" s="0" t="inlineStr">
        <is>
          <t xml:space="preserve">Hospital de Santa Cruz</t>
        </is>
      </c>
      <c r="F123" s="0" t="inlineStr">
        <is>
          <t xml:space="preserve">Región del Libertador General Bernardo O´Higgins</t>
        </is>
      </c>
      <c r="G123" s="0"/>
      <c r="H123" s="2">
        <v>46287.719167</v>
      </c>
      <c r="I123" s="2">
        <v>46309.645139</v>
      </c>
      <c r="J123" s="0">
        <v>21</v>
      </c>
      <c r="K123" s="3"/>
      <c r="L123" s="0" t="inlineStr">
        <is>
          <t xml:space="preserve">CLP</t>
        </is>
      </c>
      <c r="M123" s="0" t="inlineStr">
        <is>
          <t xml:space="preserve">LP</t>
        </is>
      </c>
      <c r="N123" s="4" t="inlineStr">
        <is>
          <t xml:space="preserve">Tecnologías de la información, telecomunicaciones y radiodifusión / Componentes para tecnología de la información, difusión o telecomunicaciones / Subconjuntos para dispositivos electrónicos</t>
        </is>
      </c>
      <c r="O123" s="4" t="inlineStr">
        <is>
          <t xml:space="preserve">1 Unidad · Componentes de dispositivo de entrada o unidad de almacenamiento</t>
        </is>
      </c>
      <c r="P123" s="2"/>
      <c r="Q123" s="2"/>
      <c r="R123" s="0" t="inlineStr">
        <is>
          <t xml:space="preserve">36 meses</t>
        </is>
      </c>
      <c r="S123" s="0" t="inlineStr">
        <is>
          <t xml:space="preserve">No</t>
        </is>
      </c>
      <c r="T123" s="4"/>
      <c r="U123" s="0" t="inlineStr">
        <is>
          <t xml:space="preserve">Nicolas Salgado</t>
        </is>
      </c>
      <c r="V123" s="4" t="inlineStr">
        <is>
          <t xml:space="preserve">la contratación permitirá mantener la continuidad operacional de los servicios institucionales, disminuyendo riesgos tecnológicos y asegurando la disponibilidad permanente de la información clínica y administrativa</t>
        </is>
      </c>
      <c r="W123"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124">
      <c r="A124" s="0" t="inlineStr">
        <is>
          <t xml:space="preserve">2760-118-LR26</t>
        </is>
      </c>
      <c r="B124" s="4" t="inlineStr">
        <is>
          <t xml:space="preserve">SERVICIOS DE TELECOMUNICACIONES Y OTROS SERVICIOS INFORMÁTICOS PARA LA MUNICIPALIDAD DE CORONEL</t>
        </is>
      </c>
      <c r="C124" s="0" t="inlineStr">
        <is>
          <t xml:space="preserve">Publicada</t>
        </is>
      </c>
      <c r="D124" s="0" t="inlineStr">
        <is>
          <t xml:space="preserve">I MUNICIPALIDAD DE CORONEL</t>
        </is>
      </c>
      <c r="E124" s="0" t="inlineStr">
        <is>
          <t xml:space="preserve">SECRETARIA COMUNAL DE PLANIFICACION</t>
        </is>
      </c>
      <c r="F124" s="0" t="inlineStr">
        <is>
          <t xml:space="preserve">Región del Biobío </t>
        </is>
      </c>
      <c r="G124" s="0" t="inlineStr">
        <is>
          <t xml:space="preserve">Coronel</t>
        </is>
      </c>
      <c r="H124" s="2">
        <v>46279.810671</v>
      </c>
      <c r="I124" s="2">
        <v>46310.625</v>
      </c>
      <c r="J124" s="0">
        <v>22</v>
      </c>
      <c r="K124" s="3">
        <v>540000000.0</v>
      </c>
      <c r="L124" s="0" t="inlineStr">
        <is>
          <t xml:space="preserve">CLP</t>
        </is>
      </c>
      <c r="M124" s="0" t="inlineStr">
        <is>
          <t xml:space="preserve">LR</t>
        </is>
      </c>
      <c r="N124" s="4" t="inlineStr">
        <is>
          <t xml:space="preserve">Servicios basados en ingeniería, ciencias sociales y tecnología de la información / Servicios informáticos / Administración de sistemas</t>
        </is>
      </c>
      <c r="O124" s="4" t="inlineStr">
        <is>
          <t xml:space="preserve">1 Global · Soporte y mantenimiento de red de área local (LAN)</t>
        </is>
      </c>
      <c r="P124" s="2"/>
      <c r="Q124" s="2"/>
      <c r="R124" s="0" t="inlineStr">
        <is>
          <t xml:space="preserve">60 meses</t>
        </is>
      </c>
      <c r="S124" s="0" t="inlineStr">
        <is>
          <t xml:space="preserve">No</t>
        </is>
      </c>
      <c r="T124" s="4"/>
      <c r="U124" s="0" t="inlineStr">
        <is>
          <t xml:space="preserve">RODRIGO HENRIQUEZ ARANEDA</t>
        </is>
      </c>
      <c r="V124" s="4" t="inlineStr">
        <is>
          <t xml:space="preserve">SERVICIOS DE TELECOMUNICACIONES Y OTROS SERVICIOS INFORMÁTICOS PARA LA MUNICIPALIDAD DE CORONEL</t>
        </is>
      </c>
      <c r="W124"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125">
      <c r="A125" s="0" t="inlineStr">
        <is>
          <t xml:space="preserve">548874-78-LR26</t>
        </is>
      </c>
      <c r="B125" s="4" t="inlineStr">
        <is>
          <t xml:space="preserve">SERVICIO DE LICENCIAS CLOUD SUCCESSFACTORS</t>
        </is>
      </c>
      <c r="C125" s="0" t="inlineStr">
        <is>
          <t xml:space="preserve">Publicada</t>
        </is>
      </c>
      <c r="D125" s="0" t="inlineStr">
        <is>
          <t xml:space="preserve">INSTITUTO DE PREVISION SOCIAL</t>
        </is>
      </c>
      <c r="E125" s="0" t="inlineStr">
        <is>
          <t xml:space="preserve">IPS Oficina Central de Compras</t>
        </is>
      </c>
      <c r="F125" s="0" t="inlineStr">
        <is>
          <t xml:space="preserve">Región Metropolitana de Santiago</t>
        </is>
      </c>
      <c r="G125" s="0" t="inlineStr">
        <is>
          <t xml:space="preserve">Santiago</t>
        </is>
      </c>
      <c r="H125" s="2">
        <v>46272.683935</v>
      </c>
      <c r="I125" s="2">
        <v>46310.625</v>
      </c>
      <c r="J125" s="0">
        <v>22</v>
      </c>
      <c r="K125" s="3">
        <v>606192000.0</v>
      </c>
      <c r="L125" s="0" t="inlineStr">
        <is>
          <t xml:space="preserve">CLP</t>
        </is>
      </c>
      <c r="M125" s="0" t="inlineStr">
        <is>
          <t xml:space="preserve">LR</t>
        </is>
      </c>
      <c r="N125" s="4" t="inlineStr">
        <is>
          <t xml:space="preserve">Tecnologías de la información, telecomunicaciones y radiodifusión / Software / Software de gestión</t>
        </is>
      </c>
      <c r="O125" s="4" t="inlineStr">
        <is>
          <t xml:space="preserve">1 Global · Software de gestión de licencias</t>
        </is>
      </c>
      <c r="P125" s="2"/>
      <c r="Q125" s="2"/>
      <c r="R125" s="0" t="inlineStr">
        <is>
          <t xml:space="preserve">12 meses</t>
        </is>
      </c>
      <c r="S125" s="0" t="inlineStr">
        <is>
          <t xml:space="preserve">No</t>
        </is>
      </c>
      <c r="T125" s="4" t="inlineStr">
        <is>
          <t xml:space="preserve">Ver bases administrativas punto 16.</t>
        </is>
      </c>
      <c r="U125" s="0" t="inlineStr">
        <is>
          <t xml:space="preserve">Por Definir</t>
        </is>
      </c>
      <c r="V125" s="4" t="inlineStr">
        <is>
          <t xml:space="preserve">SERVICIO DE LICENCIAS CLOUD SUCCESSFACTORS EN MODALIDAD SAAS  E1O2RT8.</t>
        </is>
      </c>
      <c r="W125"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26">
      <c r="A126" s="0" t="inlineStr">
        <is>
          <t xml:space="preserve">608-197-LR26</t>
        </is>
      </c>
      <c r="B126" s="4" t="inlineStr">
        <is>
          <t xml:space="preserve">SERVICIO DE OPERACIÓN MANTENIMIENTO Y ACTUALIZACIÓN DE PLATAFORMAS TECNOLÓGICAS DE LA SALA DE CONTROL CENTRALIZADO DEL HOSPITAL DR. GUSTAVO FRICKE</t>
        </is>
      </c>
      <c r="C126" s="0" t="inlineStr">
        <is>
          <t xml:space="preserve">Publicada</t>
        </is>
      </c>
      <c r="D126" s="0" t="inlineStr">
        <is>
          <t xml:space="preserve">HOSPITAL DR GUSTAVO FRICKE DE VINA DEL MAR</t>
        </is>
      </c>
      <c r="E126" s="0" t="inlineStr">
        <is>
          <t xml:space="preserve">Hospital Dr. Gustavo Fricke</t>
        </is>
      </c>
      <c r="F126" s="0" t="inlineStr">
        <is>
          <t xml:space="preserve">Región de Valparaíso </t>
        </is>
      </c>
      <c r="G126" s="0"/>
      <c r="H126" s="2">
        <v>46279.505</v>
      </c>
      <c r="I126" s="2">
        <v>46310.686806</v>
      </c>
      <c r="J126" s="0">
        <v>22</v>
      </c>
      <c r="K126" s="3">
        <v>675433201.0</v>
      </c>
      <c r="L126" s="0" t="inlineStr">
        <is>
          <t xml:space="preserve">CLP</t>
        </is>
      </c>
      <c r="M126" s="0" t="inlineStr">
        <is>
          <t xml:space="preserve">LR</t>
        </is>
      </c>
      <c r="N126" s="4" t="inlineStr">
        <is>
          <t xml:space="preserve">Servicios basados en ingeniería, ciencias sociales y tecnología de la información / Servicios informáticos / Ingeniería en computación e informática</t>
        </is>
      </c>
      <c r="O126" s="4" t="inlineStr">
        <is>
          <t xml:space="preserve">1 Unidad · Integración de sistemas</t>
        </is>
      </c>
      <c r="P126" s="2"/>
      <c r="Q126" s="2"/>
      <c r="R126" s="0" t="inlineStr">
        <is>
          <t xml:space="preserve">17 meses</t>
        </is>
      </c>
      <c r="S126" s="0" t="inlineStr">
        <is>
          <t xml:space="preserve">No</t>
        </is>
      </c>
      <c r="T126" s="4"/>
      <c r="U126" s="0" t="inlineStr">
        <is>
          <t xml:space="preserve">SE DEFINIRÁ AL MOMENTO DE ADJUDICAR PROCESO</t>
        </is>
      </c>
      <c r="V126" s="4" t="inlineStr">
        <is>
          <t xml:space="preserve">Que la unidad de control centralizado integra plataformas tecnológicas y de comunicación complejas que
permiten el monitoreo constante y reacción inmediata ante incidentes y respuesta en tiempo real frente a
emergencias.</t>
        </is>
      </c>
      <c r="W126"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27">
      <c r="A127" s="0" t="inlineStr">
        <is>
          <t xml:space="preserve">948354-139-LR26</t>
        </is>
      </c>
      <c r="B127" s="4" t="inlineStr">
        <is>
          <t xml:space="preserve">CONTRATACIÓN DE SERVICIO DE SOFTWARE DE RECURSOS HUMANOS PARA EL HOSPITAL DIPRECA</t>
        </is>
      </c>
      <c r="C127" s="0" t="inlineStr">
        <is>
          <t xml:space="preserve">Publicada</t>
        </is>
      </c>
      <c r="D127" s="0" t="inlineStr">
        <is>
          <t xml:space="preserve">FONDO HOSPITAL DE LA DIRECCION DE PREVISION DE CARABINEROS DE CHILE</t>
        </is>
      </c>
      <c r="E127" s="0" t="inlineStr">
        <is>
          <t xml:space="preserve">Unidad de Compra de Bienes y Servicios</t>
        </is>
      </c>
      <c r="F127" s="0" t="inlineStr">
        <is>
          <t xml:space="preserve">Región Metropolitana de Santiago</t>
        </is>
      </c>
      <c r="G127" s="0" t="inlineStr">
        <is>
          <t xml:space="preserve">Las Condes</t>
        </is>
      </c>
      <c r="H127" s="2">
        <v>46281.643044</v>
      </c>
      <c r="I127" s="2">
        <v>46311.666667</v>
      </c>
      <c r="J127" s="0">
        <v>23</v>
      </c>
      <c r="K127" s="3">
        <v>450000000.0</v>
      </c>
      <c r="L127" s="0" t="inlineStr">
        <is>
          <t xml:space="preserve">CLP</t>
        </is>
      </c>
      <c r="M127" s="0" t="inlineStr">
        <is>
          <t xml:space="preserve">LR</t>
        </is>
      </c>
      <c r="N127" s="4" t="inlineStr">
        <is>
          <t xml:space="preserve">Tecnologías de la información, telecomunicaciones y radiodifusión / Software / Software de gestión</t>
        </is>
      </c>
      <c r="O127" s="4" t="inlineStr">
        <is>
          <t xml:space="preserve">1 Unidad · Software de gestión de recursos humanos</t>
        </is>
      </c>
      <c r="P127" s="2"/>
      <c r="Q127" s="2"/>
      <c r="R127" s="0" t="inlineStr">
        <is>
          <t xml:space="preserve">36 meses</t>
        </is>
      </c>
      <c r="S127" s="0" t="inlineStr">
        <is>
          <t xml:space="preserve">No</t>
        </is>
      </c>
      <c r="T127" s="4"/>
      <c r="U127" s="0" t="inlineStr">
        <is>
          <t xml:space="preserve">Patricio Salinas</t>
        </is>
      </c>
      <c r="V127"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27" s="5" t="str">
        <f>HYPERLINK("https://www.mercadopublico.cl/Procurement/Modules/Attachment/ViewAttachment.aspx?enc=MWRhcheGvxToytUgFp3HMbZg3cWK9LrFg1RtUOLVNMW66hOAGDnK9c7RN0tOsE%2fOyhvRO0C%2f6T7Iq3FHp87TmVmWHi0QoTffehjpDkInXzNx%2fC85fRgSAc0QEQu5nJQx6JfSY5i3Gde6GjGFbj%2b0L4%2faXf9Bc8%2bdfQZBWH%2fslUUV0phTtFlN2OBeUJKHxLj%2fTT4bwByQfNUDPQfQQyMHOBoKuFNQLeK7ewJuA2YB3Bh4FsapMEUUHW3z%2fI22SJOrb3m3SrD2jwrKtY06k9bM7ZVXmWRWbhV0Ze0AJwol9ODrhtnkcP5ZbA993hIfp%2fYe","descargar bases")</f>
      </c>
    </row>
    <row r="128">
      <c r="A128" s="0" t="inlineStr">
        <is>
          <t xml:space="preserve">514862-125-LR26</t>
        </is>
      </c>
      <c r="B128" s="4" t="inlineStr">
        <is>
          <t xml:space="preserve">10032938 PLATAFORMA DE AGENDAMIENTO TELECONSULTAS</t>
        </is>
      </c>
      <c r="C128" s="0" t="inlineStr">
        <is>
          <t xml:space="preserve">Publicada</t>
        </is>
      </c>
      <c r="D128" s="0" t="inlineStr">
        <is>
          <t xml:space="preserve">CORPORACION MUNICIPAL DE PENALOLEN PARA EL DESARROLO SOCIAL CORMUP</t>
        </is>
      </c>
      <c r="E128" s="0" t="inlineStr">
        <is>
          <t xml:space="preserve">CORPORACION MUNICIPAL DE PENALOLEN PARA EL DESARRO</t>
        </is>
      </c>
      <c r="F128" s="0" t="inlineStr">
        <is>
          <t xml:space="preserve">Región Metropolitana de Santiago</t>
        </is>
      </c>
      <c r="G128" s="0" t="inlineStr">
        <is>
          <t xml:space="preserve">Peñalolén</t>
        </is>
      </c>
      <c r="H128" s="2">
        <v>46281.559005</v>
      </c>
      <c r="I128" s="2">
        <v>46314.625</v>
      </c>
      <c r="J128" s="0">
        <v>26</v>
      </c>
      <c r="K128" s="3">
        <v>408000000.0</v>
      </c>
      <c r="L128" s="0" t="inlineStr">
        <is>
          <t xml:space="preserve">CLP</t>
        </is>
      </c>
      <c r="M128" s="0" t="inlineStr">
        <is>
          <t xml:space="preserve">LR</t>
        </is>
      </c>
      <c r="N128" s="4" t="inlineStr">
        <is>
          <t xml:space="preserve">Servicios basados en ingeniería, ciencias sociales y tecnología de la información / Servicios informáticos / Servicios de datos</t>
        </is>
      </c>
      <c r="O128" s="4" t="inlineStr">
        <is>
          <t xml:space="preserve">1 Unidad · Servicios de transformación de datos</t>
        </is>
      </c>
      <c r="P128" s="2"/>
      <c r="Q128" s="2"/>
      <c r="R128" s="0"/>
      <c r="S128" s="0" t="inlineStr">
        <is>
          <t xml:space="preserve">No</t>
        </is>
      </c>
      <c r="T128" s="4" t="inlineStr">
        <is>
          <t xml:space="preserve">SEGUN BASES ADJUNTAS</t>
        </is>
      </c>
      <c r="U128" s="0" t="inlineStr">
        <is>
          <t xml:space="preserve">DANILA SEGUEL</t>
        </is>
      </c>
      <c r="V128" s="4" t="inlineStr">
        <is>
          <t xml:space="preserve">SEGUN BASES ADJUNTAS</t>
        </is>
      </c>
      <c r="W128" s="5" t="str">
        <f>HYPERLINK("https://www.mercadopublico.cl/Procurement/Modules/Attachment/ViewAttachment.aspx?enc=PKO8HEE3zD1NwadUVCtIrKFe2bYVP2%2bZ9AgT8OyR1UkQRpHABmAfyaemuGpyHaVVDfhejBTudlQOuAOL%2bCEJLrIQrwApXTcfGVBXvXHFwzMER%2fr7ksXk4jtsBv8isuFCUEuFVVDDtX34Iz2qkW7K4gcorXJgthF7IjBY7AF43lHYCpnGhpssKGudbdKddK3uUPk%2bGsKGXjjD6yu%2bH27OUq3hXDRAYPkDCMFVVPyYB4EL6x7GIQlm0Mub46faFF%2bz5QaOfqi162md830DYOHrttT%2fSRmsXRvB4yvGN4eYuRQv2Ig5VVps9LffCloQRuoY","descargar bases")</f>
      </c>
    </row>
    <row r="129">
      <c r="A129" s="0" t="inlineStr">
        <is>
          <t xml:space="preserve">425-65-LR26</t>
        </is>
      </c>
      <c r="B129" s="4" t="inlineStr">
        <is>
          <t xml:space="preserve">Renovación de licencias y servicio de administración de software Falcon Crowdstrike EDR para el Poder Judicial</t>
        </is>
      </c>
      <c r="C129" s="0" t="inlineStr">
        <is>
          <t xml:space="preserve">Publicada</t>
        </is>
      </c>
      <c r="D129" s="0" t="inlineStr">
        <is>
          <t xml:space="preserve">CORP ADMINISTRATIVA DEL PODER JUDICIAL</t>
        </is>
      </c>
      <c r="E129" s="0" t="inlineStr">
        <is>
          <t xml:space="preserve">Servicios</t>
        </is>
      </c>
      <c r="F129" s="0" t="inlineStr">
        <is>
          <t xml:space="preserve">Región Metropolitana de Santiago</t>
        </is>
      </c>
      <c r="G129" s="0" t="inlineStr">
        <is>
          <t xml:space="preserve">Santiago Centro</t>
        </is>
      </c>
      <c r="H129" s="2">
        <v>46282.49713</v>
      </c>
      <c r="I129" s="2">
        <v>46314.666667</v>
      </c>
      <c r="J129" s="0">
        <v>26</v>
      </c>
      <c r="K129" s="3"/>
      <c r="L129" s="0" t="inlineStr">
        <is>
          <t xml:space="preserve">USD</t>
        </is>
      </c>
      <c r="M129" s="0" t="inlineStr">
        <is>
          <t xml:space="preserve">LR</t>
        </is>
      </c>
      <c r="N129" s="4" t="inlineStr">
        <is>
          <t xml:space="preserve">Tecnologías de la información, telecomunicaciones y radiodifusión / Software / Software de gestión</t>
        </is>
      </c>
      <c r="O129" s="4" t="inlineStr">
        <is>
          <t xml:space="preserve">1 Global · Software de gestión de licencias · 1 Global · Software de gestión de licencias · 1 Global · Software de gestión de licencias · y 2 más</t>
        </is>
      </c>
      <c r="P129" s="2"/>
      <c r="Q129" s="2"/>
      <c r="R129" s="0" t="inlineStr">
        <is>
          <t xml:space="preserve">12 meses</t>
        </is>
      </c>
      <c r="S129" s="0" t="inlineStr">
        <is>
          <t xml:space="preserve">No</t>
        </is>
      </c>
      <c r="T129" s="4" t="inlineStr">
        <is>
          <t xml:space="preserve">De acuerdo al numeral 15 de las bases administrativas especiales</t>
        </is>
      </c>
      <c r="U129" s="0" t="inlineStr">
        <is>
          <t xml:space="preserve">Jorge Quezada</t>
        </is>
      </c>
      <c r="V129" s="4" t="inlineStr">
        <is>
          <t xml:space="preserve">Renovación de licencias y servicio de administración de software Falcon Crowdstrike EDR para el Poder Judicial</t>
        </is>
      </c>
      <c r="W129" s="5" t="str">
        <f>HYPERLINK("https://www.mercadopublico.cl/Procurement/Modules/Attachment/ViewAttachment.aspx?enc=zN9CRAZRDY1EGrXilR70pNg489V7FCyDLWmCaFbEHZoYNHLEj4QpGR0qk7dcQ2OHnIDxL9%2bqPQTz%2f3IXPZPlDCiiUzBUwLlu%2baytKZlN64LxCAJYw4xdX6iKyaz8H0i26lZZdwg8%2fEsmfvOBTmLAJ4WyGPuIY9DnG%2f7SrRC9Q47nuuOzf7nsQSW6M7o68utt%2f2SEeZdHZO5xfMHIoMNtORb%2byR9hxjtIdHdnPL9cPXVpwgP9%2fdhvjj0RV87AWBttWYSqj4HyqoSruz%2fCKQlxrMZotGjkZm62MG3bMsj8Zztnnosx%2bOuNWxjYrnYNw0WE","descargar bases")</f>
      </c>
    </row>
    <row r="130">
      <c r="A130" s="0" t="inlineStr">
        <is>
          <t xml:space="preserve">605-17-LP26</t>
        </is>
      </c>
      <c r="B130" s="4" t="inlineStr">
        <is>
          <t xml:space="preserve">TELEFONÍA FIJA Y RED PRIVADA DE DATOS</t>
        </is>
      </c>
      <c r="C130" s="0" t="inlineStr">
        <is>
          <t xml:space="preserve">Publicada</t>
        </is>
      </c>
      <c r="D130" s="0" t="inlineStr">
        <is>
          <t xml:space="preserve">Consejo de Defensa del Estado</t>
        </is>
      </c>
      <c r="E130" s="0" t="inlineStr">
        <is>
          <t xml:space="preserve">Consejo de Defensa del Estado</t>
        </is>
      </c>
      <c r="F130" s="0" t="inlineStr">
        <is>
          <t xml:space="preserve">Región Metropolitana de Santiago</t>
        </is>
      </c>
      <c r="G130" s="0" t="inlineStr">
        <is>
          <t xml:space="preserve">Santiago</t>
        </is>
      </c>
      <c r="H130" s="2">
        <v>46267.455012</v>
      </c>
      <c r="I130" s="2">
        <v>46317.625</v>
      </c>
      <c r="J130" s="0">
        <v>29</v>
      </c>
      <c r="K130" s="3">
        <v>8500.0</v>
      </c>
      <c r="L130" s="0" t="inlineStr">
        <is>
          <t xml:space="preserve">CLF</t>
        </is>
      </c>
      <c r="M130" s="0" t="inlineStr">
        <is>
          <t xml:space="preserve">LP</t>
        </is>
      </c>
      <c r="N130" s="4" t="inlineStr">
        <is>
          <t xml:space="preserve">Servicios básicos y de información pública / Telecomunicaciones / Telefonía local y de larga distancia</t>
        </is>
      </c>
      <c r="O130" s="4" t="inlineStr">
        <is>
          <t xml:space="preserve">1 Unidad · Servicio telefónico local · 1 Unidad · Servicio de comunicación IP</t>
        </is>
      </c>
      <c r="P130" s="2"/>
      <c r="Q130" s="2"/>
      <c r="R130" s="0" t="inlineStr">
        <is>
          <t xml:space="preserve">24 meses</t>
        </is>
      </c>
      <c r="S130" s="0" t="inlineStr">
        <is>
          <t xml:space="preserve">No</t>
        </is>
      </c>
      <c r="T13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0" s="0" t="inlineStr">
        <is>
          <t xml:space="preserve">IVANHOE AGUIRRE RIVERA</t>
        </is>
      </c>
      <c r="V13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0" s="5" t="str">
        <f>HYPERLINK("https://www.mercadopublico.cl/Procurement/Modules/Attachment/ViewAttachment.aspx?enc=7DYxXqpGH5Al3lQXB7CZDnYPFjSEn8lOmVNG%2fi%2bwTrGSLv1%2fDxOfzlcZq9y8D9BShcyZKvNv11yK%2blr9MGFnvx%2fI3HHtHcdezyDj3mus7C0CIqRzkw88x1k5rK1owmN%2fiuF76e8gXn042c70xkv4IrTXu2ZCWSpeWED4hMznXLWOAuz77Cu8XpKLAbOgJvdiycuDHl3%2b9Qh9Ioat51KwmR%2fvdvm6yjJp4RqbNczYuHITVStEqf618C0IYK%2fphlZqyfCxPsW1%2fhOdmEYNaAnby%2fETbGOi58oo7LziJ0iHWdIq8TSzULFLiZfcPOTiEmCd","descargar bases")</f>
      </c>
    </row>
    <row r="131">
      <c r="A131" s="0" t="inlineStr">
        <is>
          <t xml:space="preserve">948354-140-LR26</t>
        </is>
      </c>
      <c r="B131" s="4" t="inlineStr">
        <is>
          <t xml:space="preserve">CONTRATACIÓN DE UNA SOLUCIÓN INTEGRAL RIS-PACS INCLUYENDO LA PROVISIÓN DE SERVICIOS SOFTWARE HARDWARE E INFRAESTRUCTURA TECNOLÓGICA PARA EL SERVICIO DE IMAGENOLOGÍA DEL HOSPITAL DIPRECA</t>
        </is>
      </c>
      <c r="C131" s="0" t="inlineStr">
        <is>
          <t xml:space="preserve">Publicada</t>
        </is>
      </c>
      <c r="D131" s="0" t="inlineStr">
        <is>
          <t xml:space="preserve">FONDO HOSPITAL DE LA DIRECCION DE PREVISION DE CARABINEROS DE CHILE</t>
        </is>
      </c>
      <c r="E131" s="0" t="inlineStr">
        <is>
          <t xml:space="preserve">Unidad de Compra de Bienes y Servicios</t>
        </is>
      </c>
      <c r="F131" s="0" t="inlineStr">
        <is>
          <t xml:space="preserve">Región Metropolitana de Santiago</t>
        </is>
      </c>
      <c r="G131" s="0" t="inlineStr">
        <is>
          <t xml:space="preserve">Las Condes</t>
        </is>
      </c>
      <c r="H131" s="2">
        <v>46287.400255</v>
      </c>
      <c r="I131" s="2">
        <v>46317.666667</v>
      </c>
      <c r="J131" s="0">
        <v>29</v>
      </c>
      <c r="K131" s="3">
        <v>3310000000.0</v>
      </c>
      <c r="L131" s="0" t="inlineStr">
        <is>
          <t xml:space="preserve">CLP</t>
        </is>
      </c>
      <c r="M131" s="0" t="inlineStr">
        <is>
          <t xml:space="preserve">LR</t>
        </is>
      </c>
      <c r="N131" s="4" t="inlineStr">
        <is>
          <t xml:space="preserve">Equipamiento y suministros médicos / Productos para imágenes y de medicina nuclear / Artículos para archivar información e imágenes radiológicas</t>
        </is>
      </c>
      <c r="O131" s="4" t="inlineStr">
        <is>
          <t xml:space="preserve">60 Mes · Sistemas informatizados de archivado de imágenes (PACS) médicos</t>
        </is>
      </c>
      <c r="P131" s="2"/>
      <c r="Q131" s="2"/>
      <c r="R131" s="0" t="inlineStr">
        <is>
          <t xml:space="preserve">60 meses</t>
        </is>
      </c>
      <c r="S131" s="0" t="inlineStr">
        <is>
          <t xml:space="preserve">No</t>
        </is>
      </c>
      <c r="T131" s="4"/>
      <c r="U131" s="0" t="inlineStr">
        <is>
          <t xml:space="preserve">Dra. Constanza Damm Araneda</t>
        </is>
      </c>
      <c r="V131"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31"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32">
      <c r="A132" s="0" t="inlineStr">
        <is>
          <t xml:space="preserve">2667-71-LR26</t>
        </is>
      </c>
      <c r="B132" s="4" t="inlineStr">
        <is>
          <t xml:space="preserve">ARRIENDO SOPORTE Y MANTENCIÓN DE CENTRAL TELEFONICA IP TELEFONOS IP Y PLATAFORMA DE CONTACT CENTER</t>
        </is>
      </c>
      <c r="C132" s="0" t="inlineStr">
        <is>
          <t xml:space="preserve">Publicada</t>
        </is>
      </c>
      <c r="D132" s="0" t="inlineStr">
        <is>
          <t xml:space="preserve">I MUNICIPALIDAD DE VITACURA</t>
        </is>
      </c>
      <c r="E132" s="0" t="inlineStr">
        <is>
          <t xml:space="preserve">SECPLA</t>
        </is>
      </c>
      <c r="F132" s="0" t="inlineStr">
        <is>
          <t xml:space="preserve">Región Metropolitana de Santiago</t>
        </is>
      </c>
      <c r="G132" s="0" t="inlineStr">
        <is>
          <t xml:space="preserve">Vitacura</t>
        </is>
      </c>
      <c r="H132" s="2">
        <v>46282.54353</v>
      </c>
      <c r="I132" s="2">
        <v>46318.625</v>
      </c>
      <c r="J132" s="0">
        <v>30</v>
      </c>
      <c r="K132" s="3"/>
      <c r="L132" s="0" t="inlineStr">
        <is>
          <t xml:space="preserve">CLF</t>
        </is>
      </c>
      <c r="M132" s="0" t="inlineStr">
        <is>
          <t xml:space="preserve">LR</t>
        </is>
      </c>
      <c r="N132" s="4" t="inlineStr">
        <is>
          <t xml:space="preserve">Equipos y suministros de defensa, orden público, protección y seguridad / Seguridad, vigilancia y detección / Equipo de vigilancia y detección</t>
        </is>
      </c>
      <c r="O132" s="4" t="inlineStr">
        <is>
          <t xml:space="preserve">1 Global · Sistemas de alarma</t>
        </is>
      </c>
      <c r="P132" s="2"/>
      <c r="Q132" s="2"/>
      <c r="R132" s="0" t="inlineStr">
        <is>
          <t xml:space="preserve">48 meses</t>
        </is>
      </c>
      <c r="S132" s="0" t="inlineStr">
        <is>
          <t xml:space="preserve">No</t>
        </is>
      </c>
      <c r="T132" s="4"/>
      <c r="U132" s="0" t="inlineStr">
        <is>
          <t xml:space="preserve">Gonzalo Fuentes Osses</t>
        </is>
      </c>
      <c r="V132"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32" s="5" t="str">
        <f>HYPERLINK("https://www.mercadopublico.cl/Procurement/Modules/Attachment/ViewAttachment.aspx?enc=ihuqP%2bM0KqCBcoHtJlWiShvDHHKbTRTjyTT45lrPkmzz%2fbZy2w1DyM23VYv30j8xL4KW4qPhrlUaXivls%2fmkF5SxOLp0xizyX%2foYJuPB4fgISe3%2b28Zx6l4EqTnyxyyGAef75QnQqOFr0vEg2GyDPT8Iov3U6AZMr01O%2bX55FpiCN6iC06JHJ1ZqEoPF9i7YilkG2TVCtMUE9gvRHvBRmAwOsvxXJJ0cwuUcN4XnMw91ZklxVzZnxjEZDTNOLtTIswBzxwFWUalIs0t0A%2fz7YsVwMGjw41c2SmdNQfI2UvQ9tDQuxIQ57KiWgNed0B0Y","descargar bases")</f>
      </c>
    </row>
    <row r="133">
      <c r="A133" s="0" t="inlineStr">
        <is>
          <t xml:space="preserve">1969-34-LS19</t>
        </is>
      </c>
      <c r="B133" s="4" t="inlineStr">
        <is>
          <t xml:space="preserve">AUTOMATIZACIÓN PORTÓN ACCESO A LINEA DE FUEGO</t>
        </is>
      </c>
      <c r="C133" s="0" t="inlineStr">
        <is>
          <t xml:space="preserve">Publicada</t>
        </is>
      </c>
      <c r="D133" s="0" t="inlineStr">
        <is>
          <t xml:space="preserve">DIRECCION GENERAL DE GENDARMERIA DE CHIL</t>
        </is>
      </c>
      <c r="E133" s="0" t="inlineStr">
        <is>
          <t xml:space="preserve">Región del Bio Bío</t>
        </is>
      </c>
      <c r="F133" s="0" t="inlineStr">
        <is>
          <t xml:space="preserve">Región del Biobío </t>
        </is>
      </c>
      <c r="G133" s="0" t="inlineStr">
        <is>
          <t xml:space="preserve">Concepción</t>
        </is>
      </c>
      <c r="H133" s="2">
        <v>43588.74809</v>
      </c>
      <c r="I133" s="2"/>
      <c r="J133" s="0"/>
      <c r="K133" s="3"/>
      <c r="L133" s="0" t="inlineStr">
        <is>
          <t xml:space="preserve">CLP</t>
        </is>
      </c>
      <c r="M133" s="0" t="inlineStr">
        <is>
          <t xml:space="preserve">LS</t>
        </is>
      </c>
      <c r="N133" s="4" t="inlineStr">
        <is>
          <t xml:space="preserve">Artículos para estructuras, obras y construcciones / Puertas, ventanas y vidrios / Puertas</t>
        </is>
      </c>
      <c r="O133" s="4" t="inlineStr">
        <is>
          <t xml:space="preserve">1 Unidad · Puertas de metal</t>
        </is>
      </c>
      <c r="P133" s="2"/>
      <c r="Q133" s="2"/>
      <c r="R133" s="0"/>
      <c r="S133" s="0" t="inlineStr">
        <is>
          <t xml:space="preserve">No</t>
        </is>
      </c>
      <c r="T133" s="4"/>
      <c r="U133" s="0" t="inlineStr">
        <is>
          <t xml:space="preserve">Héctor Polma Lillo</t>
        </is>
      </c>
      <c r="V133" s="4" t="inlineStr">
        <is>
          <t xml:space="preserve">AUTOMATIZACIÓN DE PORTÓN ACCESO A LINEA DE FUEGO C.P. CONCEPCIÓN</t>
        </is>
      </c>
      <c r="W133"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3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1398-96-L126</t>
        </is>
      </c>
      <c r="B2" s="4" t="inlineStr">
        <is>
          <t xml:space="preserve">SERVICIO DE CAPACITACIÓN EN INTELIGENCIA EMOCIONAL PARA ADULTOS MAYORES Y HERRAMIENTAS DIGITALES B-LEARNING</t>
        </is>
      </c>
      <c r="C2" s="0">
        <v>1</v>
      </c>
      <c r="D2" s="4" t="inlineStr">
        <is>
          <t xml:space="preserve">Capacitación a empleados</t>
        </is>
      </c>
      <c r="E2" s="4" t="inlineStr">
        <is>
          <t xml:space="preserve">Educación, formación, entrenamiento y capacitación / Sistemas educativos complementarios / Educación de adultos</t>
        </is>
      </c>
      <c r="F2" s="0">
        <v>1.0</v>
      </c>
      <c r="G2" s="0" t="inlineStr">
        <is>
          <t xml:space="preserve">Unidad</t>
        </is>
      </c>
      <c r="H2" s="4" t="inlineStr">
        <is>
          <t xml:space="preserve">Línea N°1: Emociones en Plenitud: Inteligencia Emocional en los Años Dorados. Mayor especificaciones técnicas en Bases de licitación adjuntas.</t>
        </is>
      </c>
    </row>
    <row r="3">
      <c r="A3" s="0" t="inlineStr">
        <is>
          <t xml:space="preserve">1398-96-L126</t>
        </is>
      </c>
      <c r="B3" s="4" t="inlineStr">
        <is>
          <t xml:space="preserve">SERVICIO DE CAPACITACIÓN EN INTELIGENCIA EMOCIONAL PARA ADULTOS MAYORES Y HERRAMIENTAS DIGITALES B-LEARNING</t>
        </is>
      </c>
      <c r="C3" s="0">
        <v>2</v>
      </c>
      <c r="D3" s="4" t="inlineStr">
        <is>
          <t xml:space="preserve">Programas o cursos no diplomados a distancia</t>
        </is>
      </c>
      <c r="E3" s="4" t="inlineStr">
        <is>
          <t xml:space="preserve">Educación, formación, entrenamiento y capacitación / Sistemas educativos complementarios / Aprendizaje a distancia</t>
        </is>
      </c>
      <c r="F3" s="0">
        <v>1.0</v>
      </c>
      <c r="G3" s="0" t="inlineStr">
        <is>
          <t xml:space="preserve">Unidad</t>
        </is>
      </c>
      <c r="H3" s="4" t="inlineStr">
        <is>
          <t xml:space="preserve">Línea N°2: Curso De Curso B-Learning: Herramientas Digitales. Mayores especificaciones técnicas en Bases de licitación adjuntas.</t>
        </is>
      </c>
    </row>
    <row r="4">
      <c r="A4" s="0" t="inlineStr">
        <is>
          <t xml:space="preserve">85-41-LE26</t>
        </is>
      </c>
      <c r="B4" s="4" t="inlineStr">
        <is>
          <t xml:space="preserve">PLATAFORMA INTEGRAL SOPORTE TI CON CONTROL REMOTO</t>
        </is>
      </c>
      <c r="C4" s="0">
        <v>1</v>
      </c>
      <c r="D4" s="4" t="inlineStr">
        <is>
          <t xml:space="preserve">Software de desarrollo de plataforma Web</t>
        </is>
      </c>
      <c r="E4" s="4" t="inlineStr">
        <is>
          <t xml:space="preserve">Tecnologías de la información, telecomunicaciones y radiodifusión / Software / Programas de desarrollo</t>
        </is>
      </c>
      <c r="F4" s="0">
        <v>1.0</v>
      </c>
      <c r="G4" s="0" t="inlineStr">
        <is>
          <t xml:space="preserve">Unidad</t>
        </is>
      </c>
      <c r="H4" s="4" t="inlineStr">
        <is>
          <t xml:space="preserve">PLATAFORMA INTEGRAL PARA SOPORTE TI CON FUNCIONALIDADES DE CONTROL REMOTO DE EQUIPOS POR PARTE DEL SUBDEPARTAMENTO DE INFORMÁTICA PERTENECIENTE A JUNAEB</t>
        </is>
      </c>
    </row>
    <row r="5">
      <c r="A5" s="0" t="inlineStr">
        <is>
          <t xml:space="preserve">875-7-LE26</t>
        </is>
      </c>
      <c r="B5" s="4" t="inlineStr">
        <is>
          <t xml:space="preserve">SERV. INFORMES Y PLATAFORMA DE PROYECTOS INVERSIÓN</t>
        </is>
      </c>
      <c r="C5" s="0">
        <v>1</v>
      </c>
      <c r="D5" s="4" t="inlineStr">
        <is>
          <t xml:space="preserve">Publicaciones periódicas</t>
        </is>
      </c>
      <c r="E5" s="4" t="inlineStr">
        <is>
          <t xml:space="preserve">Productos impresos y publicaciones / Medios impresos / Publicaciones impresas</t>
        </is>
      </c>
      <c r="F5" s="0">
        <v>1.0</v>
      </c>
      <c r="G5" s="0" t="inlineStr">
        <is>
          <t xml:space="preserve">Unidad</t>
        </is>
      </c>
      <c r="H5" s="4" t="inlineStr">
        <is>
          <t xml:space="preserve">SERVICIO DE ELABORACIÓN Y ENTREGA DE INFORMES DE PROYECTOS DE INVERSIÓN EN CHILE Y ACCESO A UNA PLATAFORMA ONLINE DE SEGUIMIENTO DE PROYECTOS DE INVERSIÓN PARA LA AGENCIA DE PROMOCIÓN DE LA INVERSIÓN EXTRANJERA</t>
        </is>
      </c>
    </row>
    <row r="6">
      <c r="A6" s="0" t="inlineStr">
        <is>
          <t xml:space="preserve">2460-105-LE26</t>
        </is>
      </c>
      <c r="B6" s="4" t="inlineStr">
        <is>
          <t xml:space="preserve">Curso Inteligencia Artificial en el Sector Público</t>
        </is>
      </c>
      <c r="C6" s="0">
        <v>1</v>
      </c>
      <c r="D6" s="4" t="inlineStr">
        <is>
          <t xml:space="preserve">Capacitación a empleados</t>
        </is>
      </c>
      <c r="E6" s="4" t="inlineStr">
        <is>
          <t xml:space="preserve">Educación, formación, entrenamiento y capacitación / Sistemas educativos complementarios / Educación de adultos</t>
        </is>
      </c>
      <c r="F6" s="0">
        <v>1.0</v>
      </c>
      <c r="G6" s="0" t="inlineStr">
        <is>
          <t xml:space="preserve">Global</t>
        </is>
      </c>
      <c r="H6" s="4" t="inlineStr">
        <is>
          <t xml:space="preserve">Curso cerrado Inteligencia Artificial en el Sector Público: según detalle de Bases Técnicas de archivo adjunto.</t>
        </is>
      </c>
    </row>
    <row r="7">
      <c r="A7" s="0" t="inlineStr">
        <is>
          <t xml:space="preserve">3530-20-L126</t>
        </is>
      </c>
      <c r="B7" s="4" t="inlineStr">
        <is>
          <t xml:space="preserve">Servicio de mantenimiento y reparación para el reemplazo del tablero eléctrico.</t>
        </is>
      </c>
      <c r="C7" s="0">
        <v>1</v>
      </c>
      <c r="D7" s="4" t="inlineStr">
        <is>
          <t xml:space="preserve">Paneles de control eléctrico para generadores</t>
        </is>
      </c>
      <c r="E7" s="4" t="inlineStr">
        <is>
          <t xml:space="preserve">Maquinaria para generación y distribución de energía / Generación de energía / Equipo para control de producción de energía</t>
        </is>
      </c>
      <c r="F7" s="0">
        <v>1.0</v>
      </c>
      <c r="G7" s="0" t="inlineStr">
        <is>
          <t xml:space="preserve">Unidad</t>
        </is>
      </c>
      <c r="H7" s="4" t="inlineStr">
        <is>
          <t xml:space="preserve">Servicio de mantenimiento y reparación para el reemplazo del tablero eléctrico, perteneciente al Regimiento N.º 2 "Maipo"</t>
        </is>
      </c>
    </row>
    <row r="8">
      <c r="A8" s="0" t="inlineStr">
        <is>
          <t xml:space="preserve">2852-56-LE26</t>
        </is>
      </c>
      <c r="B8" s="4" t="inlineStr">
        <is>
          <t xml:space="preserve">DIGITALIZACIÓN Y CARGA DE DOCUMENTOS EN PLATAFORMA</t>
        </is>
      </c>
      <c r="C8" s="0">
        <v>1</v>
      </c>
      <c r="D8" s="4" t="inlineStr">
        <is>
          <t xml:space="preserve">Servicios de digitalización de documentos</t>
        </is>
      </c>
      <c r="E8" s="4" t="inlineStr">
        <is>
          <t xml:space="preserve">Servicios basados en ingeniería, ciencias sociales y tecnología de la información / Servicios informáticos / Servicios de datos</t>
        </is>
      </c>
      <c r="F8" s="0">
        <v>1.0</v>
      </c>
      <c r="G8" s="0" t="inlineStr">
        <is>
          <t xml:space="preserve">Unidad</t>
        </is>
      </c>
      <c r="H8" s="4" t="inlineStr">
        <is>
          <t xml:space="preserve">SERVICIO DE DIGITALIZACIÓN Y
CARGA DE DOCUMENTOS EN PLATAFORMA DE GESTIÓN DOCUMENTAL- DIRECCIÓN DE TRÁNSITO</t>
        </is>
      </c>
    </row>
    <row r="9">
      <c r="A9" s="0" t="inlineStr">
        <is>
          <t xml:space="preserve">1020-40-LP26</t>
        </is>
      </c>
      <c r="B9" s="4" t="inlineStr">
        <is>
          <t xml:space="preserve">Serv.Cloud Amazon Web Services AWS o Equivalente</t>
        </is>
      </c>
      <c r="C9" s="0">
        <v>1</v>
      </c>
      <c r="D9" s="4" t="inlineStr">
        <is>
          <t xml:space="preserve">Software del sistema de administración de bases de datos</t>
        </is>
      </c>
      <c r="E9" s="4" t="inlineStr">
        <is>
          <t xml:space="preserve">Tecnologías de la información, telecomunicaciones y radiodifusión / Software / Software de consultas y gestión de datos</t>
        </is>
      </c>
      <c r="F9" s="0">
        <v>1.0</v>
      </c>
      <c r="G9" s="0" t="inlineStr">
        <is>
          <t xml:space="preserve">Unidad</t>
        </is>
      </c>
      <c r="H9" s="4" t="inlineStr">
        <is>
          <t xml:space="preserve">PRECIO TOTAL NETO OFERTADO (SIN IVA), según Formulario N°1 "Oferta Económica" (Incluye los señalado en el numeral 5.1.1 de las Bases Administrativas, en archivo adjunto).</t>
        </is>
      </c>
    </row>
    <row r="10">
      <c r="A10" s="0" t="inlineStr">
        <is>
          <t xml:space="preserve">1233619-44-LE26</t>
        </is>
      </c>
      <c r="B10" s="4" t="inlineStr">
        <is>
          <t xml:space="preserve">ADQUISICIÓN DE LICENCIAS DE SOFTWARE PARA EL SERVICIO LOCAL MAULE COSTA</t>
        </is>
      </c>
      <c r="C10" s="0">
        <v>1</v>
      </c>
      <c r="D10" s="4" t="inlineStr">
        <is>
          <t xml:space="preserve">Software de gestión de licencias</t>
        </is>
      </c>
      <c r="E10" s="4" t="inlineStr">
        <is>
          <t xml:space="preserve">Tecnologías de la información, telecomunicaciones y radiodifusión / Software / Software de gestión</t>
        </is>
      </c>
      <c r="F10" s="0">
        <v>11.0</v>
      </c>
      <c r="G10" s="0" t="inlineStr">
        <is>
          <t xml:space="preserve">Unidad</t>
        </is>
      </c>
      <c r="H10" s="4" t="inlineStr">
        <is>
          <t xml:space="preserve">AUTOCAD LT COM SINGLE-U 1-Y SUBSCRIPTION RENEWAL</t>
        </is>
      </c>
    </row>
    <row r="11">
      <c r="A11" s="0" t="inlineStr">
        <is>
          <t xml:space="preserve">1233619-44-LE26</t>
        </is>
      </c>
      <c r="B11" s="4" t="inlineStr">
        <is>
          <t xml:space="preserve">ADQUISICIÓN DE LICENCIAS DE SOFTWARE PARA EL SERVICIO LOCAL MAULE COSTA</t>
        </is>
      </c>
      <c r="C11" s="0">
        <v>2</v>
      </c>
      <c r="D11" s="4" t="inlineStr">
        <is>
          <t xml:space="preserve">Software de gestión de licencias</t>
        </is>
      </c>
      <c r="E11" s="4" t="inlineStr">
        <is>
          <t xml:space="preserve">Tecnologías de la información, telecomunicaciones y radiodifusión / Software / Software de gestión</t>
        </is>
      </c>
      <c r="F11" s="0">
        <v>1.0</v>
      </c>
      <c r="G11" s="0" t="inlineStr">
        <is>
          <t xml:space="preserve">Unidad</t>
        </is>
      </c>
      <c r="H11" s="4" t="inlineStr">
        <is>
          <t xml:space="preserve">Aurodesk Revit</t>
        </is>
      </c>
    </row>
    <row r="12">
      <c r="A12" s="0" t="inlineStr">
        <is>
          <t xml:space="preserve">1233619-44-LE26</t>
        </is>
      </c>
      <c r="B12" s="4" t="inlineStr">
        <is>
          <t xml:space="preserve">ADQUISICIÓN DE LICENCIAS DE SOFTWARE PARA EL SERVICIO LOCAL MAULE COSTA</t>
        </is>
      </c>
      <c r="C12" s="0">
        <v>3</v>
      </c>
      <c r="D12" s="4" t="inlineStr">
        <is>
          <t xml:space="preserve">Software de gestión de licencias</t>
        </is>
      </c>
      <c r="E12" s="4" t="inlineStr">
        <is>
          <t xml:space="preserve">Tecnologías de la información, telecomunicaciones y radiodifusión / Software / Software de gestión</t>
        </is>
      </c>
      <c r="F12" s="0">
        <v>109.0</v>
      </c>
      <c r="G12" s="0" t="inlineStr">
        <is>
          <t xml:space="preserve">Unidad</t>
        </is>
      </c>
      <c r="H12" s="4" t="inlineStr">
        <is>
          <t xml:space="preserve">Microsoft 365 A5 (Education Faculty Pricing)</t>
        </is>
      </c>
    </row>
    <row r="13">
      <c r="A13" s="0" t="inlineStr">
        <is>
          <t xml:space="preserve">1233619-44-LE26</t>
        </is>
      </c>
      <c r="B13" s="4" t="inlineStr">
        <is>
          <t xml:space="preserve">ADQUISICIÓN DE LICENCIAS DE SOFTWARE PARA EL SERVICIO LOCAL MAULE COSTA</t>
        </is>
      </c>
      <c r="C13" s="0">
        <v>4</v>
      </c>
      <c r="D13" s="4" t="inlineStr">
        <is>
          <t xml:space="preserve">Software de gestión de licencias</t>
        </is>
      </c>
      <c r="E13" s="4" t="inlineStr">
        <is>
          <t xml:space="preserve">Tecnologías de la información, telecomunicaciones y radiodifusión / Software / Software de gestión</t>
        </is>
      </c>
      <c r="F13" s="0">
        <v>5.0</v>
      </c>
      <c r="G13" s="0" t="inlineStr">
        <is>
          <t xml:space="preserve">Unidad</t>
        </is>
      </c>
      <c r="H13" s="4" t="inlineStr">
        <is>
          <t xml:space="preserve">Planner and Project Plan 3 for Faculty (Education Faculty Pricing)</t>
        </is>
      </c>
    </row>
    <row r="14">
      <c r="A14" s="0" t="inlineStr">
        <is>
          <t xml:space="preserve">1233619-44-LE26</t>
        </is>
      </c>
      <c r="B14" s="4" t="inlineStr">
        <is>
          <t xml:space="preserve">ADQUISICIÓN DE LICENCIAS DE SOFTWARE PARA EL SERVICIO LOCAL MAULE COSTA</t>
        </is>
      </c>
      <c r="C14" s="0">
        <v>5</v>
      </c>
      <c r="D14" s="4" t="inlineStr">
        <is>
          <t xml:space="preserve">Software de gestión de licencias</t>
        </is>
      </c>
      <c r="E14" s="4" t="inlineStr">
        <is>
          <t xml:space="preserve">Tecnologías de la información, telecomunicaciones y radiodifusión / Software / Software de gestión</t>
        </is>
      </c>
      <c r="F14" s="0">
        <v>6.0</v>
      </c>
      <c r="G14" s="0" t="inlineStr">
        <is>
          <t xml:space="preserve">Unidad</t>
        </is>
      </c>
      <c r="H14" s="4" t="inlineStr">
        <is>
          <t xml:space="preserve">Power BI Premium Per User (Education Faculty Pricing)</t>
        </is>
      </c>
    </row>
    <row r="15">
      <c r="A15" s="0" t="inlineStr">
        <is>
          <t xml:space="preserve">1233619-44-LE26</t>
        </is>
      </c>
      <c r="B15" s="4" t="inlineStr">
        <is>
          <t xml:space="preserve">ADQUISICIÓN DE LICENCIAS DE SOFTWARE PARA EL SERVICIO LOCAL MAULE COSTA</t>
        </is>
      </c>
      <c r="C15" s="0">
        <v>6</v>
      </c>
      <c r="D15" s="4" t="inlineStr">
        <is>
          <t xml:space="preserve">Software de gestión de licencias</t>
        </is>
      </c>
      <c r="E15" s="4" t="inlineStr">
        <is>
          <t xml:space="preserve">Tecnologías de la información, telecomunicaciones y radiodifusión / Software / Software de gestión</t>
        </is>
      </c>
      <c r="F15" s="0">
        <v>18.0</v>
      </c>
      <c r="G15" s="0" t="inlineStr">
        <is>
          <t xml:space="preserve">Unidad</t>
        </is>
      </c>
      <c r="H15" s="4" t="inlineStr">
        <is>
          <t xml:space="preserve">ADOBE ACROBAT PRO RENOVACIÓN</t>
        </is>
      </c>
    </row>
    <row r="16">
      <c r="A16" s="0" t="inlineStr">
        <is>
          <t xml:space="preserve">1233619-44-LE26</t>
        </is>
      </c>
      <c r="B16" s="4" t="inlineStr">
        <is>
          <t xml:space="preserve">ADQUISICIÓN DE LICENCIAS DE SOFTWARE PARA EL SERVICIO LOCAL MAULE COSTA</t>
        </is>
      </c>
      <c r="C16" s="0">
        <v>7</v>
      </c>
      <c r="D16" s="4" t="inlineStr">
        <is>
          <t xml:space="preserve">Software de gestión de licencias</t>
        </is>
      </c>
      <c r="E16" s="4" t="inlineStr">
        <is>
          <t xml:space="preserve">Tecnologías de la información, telecomunicaciones y radiodifusión / Software / Software de gestión</t>
        </is>
      </c>
      <c r="F16" s="0">
        <v>2.0</v>
      </c>
      <c r="G16" s="0" t="inlineStr">
        <is>
          <t xml:space="preserve">Unidad</t>
        </is>
      </c>
      <c r="H16" s="4" t="inlineStr">
        <is>
          <t xml:space="preserve">CREATIVE CLOUD FOR TEAM RENOVACIÓN</t>
        </is>
      </c>
    </row>
    <row r="17">
      <c r="A17" s="0" t="inlineStr">
        <is>
          <t xml:space="preserve">1233619-44-LE26</t>
        </is>
      </c>
      <c r="B17" s="4" t="inlineStr">
        <is>
          <t xml:space="preserve">ADQUISICIÓN DE LICENCIAS DE SOFTWARE PARA EL SERVICIO LOCAL MAULE COSTA</t>
        </is>
      </c>
      <c r="C17" s="0">
        <v>8</v>
      </c>
      <c r="D17" s="4" t="inlineStr">
        <is>
          <t xml:space="preserve">Software de gestión de licencias</t>
        </is>
      </c>
      <c r="E17" s="4" t="inlineStr">
        <is>
          <t xml:space="preserve">Tecnologías de la información, telecomunicaciones y radiodifusión / Software / Software de gestión</t>
        </is>
      </c>
      <c r="F17" s="0">
        <v>3.0</v>
      </c>
      <c r="G17" s="0" t="inlineStr">
        <is>
          <t xml:space="preserve">Unidad</t>
        </is>
      </c>
      <c r="H17" s="4" t="inlineStr">
        <is>
          <t xml:space="preserve">Adobe Photoshop</t>
        </is>
      </c>
    </row>
    <row r="18">
      <c r="A18" s="0" t="inlineStr">
        <is>
          <t xml:space="preserve">1233619-44-LE26</t>
        </is>
      </c>
      <c r="B18" s="4" t="inlineStr">
        <is>
          <t xml:space="preserve">ADQUISICIÓN DE LICENCIAS DE SOFTWARE PARA EL SERVICIO LOCAL MAULE COSTA</t>
        </is>
      </c>
      <c r="C18" s="0">
        <v>9</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Microsoft Power Automate</t>
        </is>
      </c>
    </row>
    <row r="19">
      <c r="A19" s="0" t="inlineStr">
        <is>
          <t xml:space="preserve">1233619-44-LE26</t>
        </is>
      </c>
      <c r="B19" s="4" t="inlineStr">
        <is>
          <t xml:space="preserve">ADQUISICIÓN DE LICENCIAS DE SOFTWARE PARA EL SERVICIO LOCAL MAULE COSTA</t>
        </is>
      </c>
      <c r="C19" s="0">
        <v>10</v>
      </c>
      <c r="D19" s="4" t="inlineStr">
        <is>
          <t xml:space="preserve">Software de gestión de licencias</t>
        </is>
      </c>
      <c r="E19" s="4" t="inlineStr">
        <is>
          <t xml:space="preserve">Tecnologías de la información, telecomunicaciones y radiodifusión / Software / Software de gestión</t>
        </is>
      </c>
      <c r="F19" s="0">
        <v>4.0</v>
      </c>
      <c r="G19" s="0" t="inlineStr">
        <is>
          <t xml:space="preserve">Unidad</t>
        </is>
      </c>
      <c r="H19" s="4" t="inlineStr">
        <is>
          <t xml:space="preserve">ANYDESK 2 CONEXIONES SIMULTANEAS</t>
        </is>
      </c>
    </row>
    <row r="20">
      <c r="A20" s="0" t="inlineStr">
        <is>
          <t xml:space="preserve">1233619-44-LE26</t>
        </is>
      </c>
      <c r="B20" s="4" t="inlineStr">
        <is>
          <t xml:space="preserve">ADQUISICIÓN DE LICENCIAS DE SOFTWARE PARA EL SERVICIO LOCAL MAULE COSTA</t>
        </is>
      </c>
      <c r="C20" s="0">
        <v>11</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Unidad</t>
        </is>
      </c>
      <c r="H20" s="4" t="inlineStr">
        <is>
          <t xml:space="preserve">SketchUp.</t>
        </is>
      </c>
    </row>
    <row r="21">
      <c r="A21" s="0" t="inlineStr">
        <is>
          <t xml:space="preserve">2200-23-LR26</t>
        </is>
      </c>
      <c r="B21" s="4" t="inlineStr">
        <is>
          <t xml:space="preserve">SERVICIO DE ARRIENDO DE SOFTWARE DE REGISTRO CLÍNICO ELECTRÓNICO RCE ATENCIÓN PRIMARIA - TIC</t>
        </is>
      </c>
      <c r="C21" s="0">
        <v>1</v>
      </c>
      <c r="D21" s="4" t="inlineStr">
        <is>
          <t xml:space="preserve">Desarrolladores de software</t>
        </is>
      </c>
      <c r="E21" s="4" t="inlineStr">
        <is>
          <t xml:space="preserve">Servicios profesionales, administrativos y consultorías de gestión empresarial / Servicios de recursos humanos / Contratación de personal</t>
        </is>
      </c>
      <c r="F21" s="0">
        <v>1700.0</v>
      </c>
      <c r="G21" s="0" t="inlineStr">
        <is>
          <t xml:space="preserve">Unidad</t>
        </is>
      </c>
      <c r="H21" s="4" t="inlineStr">
        <is>
          <t xml:space="preserve">SERVICIO DE ARRIENDO DE SOFTWARE DE REGISTRO CLÍNICO ELECTRÓNICO (RCE) ATENCIÓN PRIMARIA - TIC, SE ADJUNTA ESPECIFICACIONES TÉCNICAS, ANEXOS</t>
        </is>
      </c>
    </row>
    <row r="22">
      <c r="A22" s="0" t="inlineStr">
        <is>
          <t xml:space="preserve">3249-12-LE26</t>
        </is>
      </c>
      <c r="B22" s="4" t="inlineStr">
        <is>
          <t xml:space="preserve">SERVICIO DE MANTENCIÓN Y MODERNIZACIÓN DE SISTEMA DE SEGURIDAD CONTRA INCENDIOS Y VIGILANCIA DE HANGARES</t>
        </is>
      </c>
      <c r="C22" s="0">
        <v>1</v>
      </c>
      <c r="D22" s="4" t="inlineStr">
        <is>
          <t xml:space="preserve">Cámaras de seguridad</t>
        </is>
      </c>
      <c r="E22" s="4" t="inlineStr">
        <is>
          <t xml:space="preserve">Equipos y suministros de defensa, orden público, protección y seguridad / Seguridad, vigilancia y detección / Equipo de vigilancia y detección</t>
        </is>
      </c>
      <c r="F22" s="0">
        <v>1.0</v>
      </c>
      <c r="G22" s="0" t="inlineStr">
        <is>
          <t xml:space="preserve">Global</t>
        </is>
      </c>
      <c r="H22" s="4" t="inlineStr">
        <is>
          <t xml:space="preserve">MANTENCIÓN Y MODERNIZACIÓN DE SISTEMA DE SEGURIDAD CONTRA INCENDIOS Y VIGILANCIA DE HANGARES DE LA BASE AERONAVAL CONCÓN</t>
        </is>
      </c>
    </row>
    <row r="23">
      <c r="A23" s="0" t="inlineStr">
        <is>
          <t xml:space="preserve">85-34-LP26</t>
        </is>
      </c>
      <c r="B23" s="4" t="inlineStr">
        <is>
          <t xml:space="preserve">PLATAFORMA GESTIÓN Y CONTROL SEGURIDAD INFORMACIÓN</t>
        </is>
      </c>
      <c r="C23" s="0">
        <v>1</v>
      </c>
      <c r="D23" s="4" t="inlineStr">
        <is>
          <t xml:space="preserve">Equipo de seguridad de evaluación de vulnerabilidad</t>
        </is>
      </c>
      <c r="E23" s="4" t="inlineStr">
        <is>
          <t xml:space="preserve">Tecnologías de la información, telecomunicaciones y radiodifusión / Equipos, plataformas y accesorios de redes multimedia, voz y datos / Equipos de seguridad de red</t>
        </is>
      </c>
      <c r="F23" s="0">
        <v>1.0</v>
      </c>
      <c r="G23" s="0" t="inlineStr">
        <is>
          <t xml:space="preserve">Unidad</t>
        </is>
      </c>
      <c r="H23" s="4" t="inlineStr">
        <is>
          <t xml:space="preserve">Adquisición e implementación de plataforma tecnológica para la gestión y control de la seguridad de la información y continuidad operativa.</t>
        </is>
      </c>
    </row>
    <row r="24">
      <c r="A24" s="0" t="inlineStr">
        <is>
          <t xml:space="preserve">3810-23-LE26</t>
        </is>
      </c>
      <c r="B24" s="4" t="inlineStr">
        <is>
          <t xml:space="preserve">ADQUISICION DE SOFTWARE DE DISEÑO CAD Y REVISION DE MODELOS BIM PARA LA DIRECCION DE OBRAS MUNICIPALES DE LA I. MUNICIPALIDAD DE PICHILEMU</t>
        </is>
      </c>
      <c r="C24" s="0">
        <v>1</v>
      </c>
      <c r="D24" s="4" t="inlineStr">
        <is>
          <t xml:space="preserve">Software de gestión de licencias</t>
        </is>
      </c>
      <c r="E24" s="4" t="inlineStr">
        <is>
          <t xml:space="preserve">Tecnologías de la información, telecomunicaciones y radiodifusión / Software / Software de gestión</t>
        </is>
      </c>
      <c r="F24" s="0">
        <v>1.0</v>
      </c>
      <c r="G24" s="0" t="inlineStr">
        <is>
          <t xml:space="preserve">Unidad</t>
        </is>
      </c>
      <c r="H24" s="4" t="inlineStr">
        <is>
          <t xml:space="preserve">adquisición de software de diseño cad y revisión de modelos bim para la dirección de obras municipales de la I. municipalidad de Pichilemu</t>
        </is>
      </c>
    </row>
    <row r="25">
      <c r="A25" s="0" t="inlineStr">
        <is>
          <t xml:space="preserve">1077241-8-LE26</t>
        </is>
      </c>
      <c r="B25" s="4" t="inlineStr">
        <is>
          <t xml:space="preserve">SERVICIO DE EXÁMENES CON INFORME RADIOLÓGICO DE MAMOGRAFÍA BILATERAL Y UNILATERAL DIGITAL PARA LOS HOSPITALES DEPENDIENTES DEL SERVICIO DE SALUD OSORNO Y CESFAM DE LA RED ASISTENCIAL</t>
        </is>
      </c>
      <c r="C25" s="0">
        <v>1</v>
      </c>
      <c r="D25" s="4" t="inlineStr">
        <is>
          <t xml:space="preserve">Laboratorios de rayos X</t>
        </is>
      </c>
      <c r="E25" s="4" t="inlineStr">
        <is>
          <t xml:space="preserve">Salud, servicios sanitarios y alimentación / Medicina y servicios de salud / Laboratorios clínicos</t>
        </is>
      </c>
      <c r="F25" s="0">
        <v>1.0</v>
      </c>
      <c r="G25" s="0" t="inlineStr">
        <is>
          <t xml:space="preserve">Unidad</t>
        </is>
      </c>
      <c r="H25" s="4" t="inlineStr">
        <is>
          <t xml:space="preserve">SERVICIO DE EXÁMENES CON INFORME RADIOLÓGICO DE MAMOGRAFÍA BILATERAL Y UNILATERAL DIGITAL PARA LOS HOSPITALES DEPENDIENTES DEL SERVICIO DE SALUD OSORNO Y CESFAM DE LA RED ASISTENCIAL</t>
        </is>
      </c>
    </row>
    <row r="26">
      <c r="A26" s="0" t="inlineStr">
        <is>
          <t xml:space="preserve">1002584-12-LE26</t>
        </is>
      </c>
      <c r="B26" s="4" t="inlineStr">
        <is>
          <t xml:space="preserve">Programa institucional de adopción de IA</t>
        </is>
      </c>
      <c r="C26" s="0">
        <v>1</v>
      </c>
      <c r="D26" s="4" t="inlineStr">
        <is>
          <t xml:space="preserve">Instalación de sistemas</t>
        </is>
      </c>
      <c r="E26" s="4" t="inlineStr">
        <is>
          <t xml:space="preserve">Servicios basados en ingeniería, ciencias sociales y tecnología de la información / Servicios informáticos / Administración de sistemas</t>
        </is>
      </c>
      <c r="F26" s="0">
        <v>1.0</v>
      </c>
      <c r="G26" s="0" t="inlineStr">
        <is>
          <t xml:space="preserve">Unidad</t>
        </is>
      </c>
      <c r="H26" s="4" t="inlineStr">
        <is>
          <t xml:space="preserve">SERVICIO DE IMPLEMENTACIÓN DE UN PROGRAMA INSTITUCIONAL DE ADOPCIÓN DE INTELIGENCIA ARTIFICIAL</t>
        </is>
      </c>
    </row>
    <row r="27">
      <c r="A27" s="0" t="inlineStr">
        <is>
          <t xml:space="preserve">732434-20-LP26</t>
        </is>
      </c>
      <c r="B27" s="4" t="inlineStr">
        <is>
          <t xml:space="preserve">SERVICIO INFORMÁTICO PARA EL CENTRO DE SANGRE CONC</t>
        </is>
      </c>
      <c r="C27" s="0">
        <v>1</v>
      </c>
      <c r="D27" s="4" t="inlineStr">
        <is>
          <t xml:space="preserve">Diseño de aplicaciones para mainframe</t>
        </is>
      </c>
      <c r="E27" s="4" t="inlineStr">
        <is>
          <t xml:space="preserve">Servicios basados en ingeniería, ciencias sociales y tecnología de la información / Servicios informáticos / Ingeniería en computación e informática</t>
        </is>
      </c>
      <c r="F27" s="0">
        <v>1.0</v>
      </c>
      <c r="G27" s="0" t="inlineStr">
        <is>
          <t xml:space="preserve">Unidad</t>
        </is>
      </c>
      <c r="H27" s="4" t="inlineStr">
        <is>
          <t xml:space="preserve">Servicio informático para el Centro de Sangre de Concepción por 36 meses, contemplando todo lo solicitado en las EETT.
Ingresar monto total neto. Se evaluará en relación al Formulario N° 4.</t>
        </is>
      </c>
    </row>
    <row r="28">
      <c r="A28" s="0" t="inlineStr">
        <is>
          <t xml:space="preserve">1973-93-LR26</t>
        </is>
      </c>
      <c r="B28" s="4" t="inlineStr">
        <is>
          <t xml:space="preserve">SISTEMA DE INFORMACIÓN DE GESTIÓN ADMINISTRATIVA Y FARMACIA</t>
        </is>
      </c>
      <c r="C28" s="0">
        <v>1</v>
      </c>
      <c r="D28" s="4" t="inlineStr">
        <is>
          <t xml:space="preserve">Software de planificación de recursos empresariales (ERP)</t>
        </is>
      </c>
      <c r="E28" s="4" t="inlineStr">
        <is>
          <t xml:space="preserve">Tecnologías de la información, telecomunicaciones y radiodifusión / Software / Software de planificación de recursos empresariales (ERP) y contabilidad financiera</t>
        </is>
      </c>
      <c r="F28" s="0">
        <v>1.0</v>
      </c>
      <c r="G28" s="0" t="inlineStr">
        <is>
          <t xml:space="preserve">Global</t>
        </is>
      </c>
      <c r="H28" s="4" t="inlineStr">
        <is>
          <t xml:space="preserve">TOTAL PROYECTO (Parametrización, implementación y puesta en marcha  / Arriendo, operación, soporte y mantenimiento por el período de 60 meses)</t>
        </is>
      </c>
    </row>
    <row r="29">
      <c r="A29" s="0" t="inlineStr">
        <is>
          <t xml:space="preserve">377-55-LE26</t>
        </is>
      </c>
      <c r="B29" s="4" t="inlineStr">
        <is>
          <t xml:space="preserve">LICENCIA DE SOFTWARE ANTIVIRUS</t>
        </is>
      </c>
      <c r="C29" s="0">
        <v>1</v>
      </c>
      <c r="D29" s="4" t="inlineStr">
        <is>
          <t xml:space="preserve">Software de gestión de licencias</t>
        </is>
      </c>
      <c r="E29" s="4" t="inlineStr">
        <is>
          <t xml:space="preserve">Tecnologías de la información, telecomunicaciones y radiodifusión / Software / Software de gestión</t>
        </is>
      </c>
      <c r="F29" s="0">
        <v>1.0</v>
      </c>
      <c r="G29" s="0" t="inlineStr">
        <is>
          <t xml:space="preserve">Unidad</t>
        </is>
      </c>
      <c r="H29" s="4" t="inlineStr">
        <is>
          <t xml:space="preserve">LICENCIA DE SOFTWARE ANTIVIRUS CON PLATAFORMA CENTRALIZADA WEB</t>
        </is>
      </c>
    </row>
    <row r="30">
      <c r="A30" s="0" t="inlineStr">
        <is>
          <t xml:space="preserve">2048-57-LP26</t>
        </is>
      </c>
      <c r="B30" s="4" t="inlineStr">
        <is>
          <t xml:space="preserve">Convenio de Software de Gestión de Mantenimiento</t>
        </is>
      </c>
      <c r="C30" s="0">
        <v>1</v>
      </c>
      <c r="D30" s="4" t="inlineStr">
        <is>
          <t xml:space="preserve">Software de administración</t>
        </is>
      </c>
      <c r="E30" s="4" t="inlineStr">
        <is>
          <t xml:space="preserve">Tecnologías de la información, telecomunicaciones y radiodifusión / Software / Software de administración de redes</t>
        </is>
      </c>
      <c r="F30" s="0">
        <v>1.0</v>
      </c>
      <c r="G30" s="0" t="inlineStr">
        <is>
          <t xml:space="preserve">Unidad no definida</t>
        </is>
      </c>
      <c r="H30" s="4" t="inlineStr">
        <is>
          <t xml:space="preserve">SOFTWARE DE GESTION DE MANTENIMIENTO (INGRESAR PRECIO TOTAL DEL CONVENIO, SEGUN ANEXO ECONOMICO N°1)</t>
        </is>
      </c>
    </row>
    <row r="31">
      <c r="A31" s="0" t="inlineStr">
        <is>
          <t xml:space="preserve">2239-2-LR26</t>
        </is>
      </c>
      <c r="B31" s="4" t="inlineStr">
        <is>
          <t xml:space="preserve">Convenio Marco Desarrollo de software</t>
        </is>
      </c>
      <c r="C31" s="0">
        <v>1</v>
      </c>
      <c r="D31" s="4" t="inlineStr">
        <is>
          <t xml:space="preserve">Desarrolladores de software</t>
        </is>
      </c>
      <c r="E31" s="4" t="inlineStr">
        <is>
          <t xml:space="preserve">Servicios profesionales, administrativos y consultorías de gestión empresarial / Servicios de recursos humanos / Contratación de personal</t>
        </is>
      </c>
      <c r="F31" s="0">
        <v>1.0</v>
      </c>
      <c r="G31" s="0" t="inlineStr">
        <is>
          <t xml:space="preserve">Unidad</t>
        </is>
      </c>
      <c r="H31" s="4" t="inlineStr">
        <is>
          <t xml:space="preserve">Convenio Marco para la adquisición de los Servicios de Desarrollo y Mantención de Software, Servicios Profesionales TI y Cloud Computing</t>
        </is>
      </c>
    </row>
    <row r="32">
      <c r="A32" s="0" t="inlineStr">
        <is>
          <t xml:space="preserve">2785-80-LE26</t>
        </is>
      </c>
      <c r="B32" s="4" t="inlineStr">
        <is>
          <t xml:space="preserve">“Servicios móviles de comunicaciones de voz y datos internet para la Municipalidad San Pedro de la Paz”</t>
        </is>
      </c>
      <c r="C32" s="0">
        <v>1</v>
      </c>
      <c r="D32" s="4" t="inlineStr">
        <is>
          <t xml:space="preserve">Servicio telefónico local</t>
        </is>
      </c>
      <c r="E32" s="4" t="inlineStr">
        <is>
          <t xml:space="preserve">Servicios básicos y de información pública / Telecomunicaciones / Telefonía local y de larga distancia</t>
        </is>
      </c>
      <c r="F32" s="0">
        <v>1.0</v>
      </c>
      <c r="G32" s="0" t="inlineStr">
        <is>
          <t xml:space="preserve">Unidad</t>
        </is>
      </c>
      <c r="H32" s="4" t="inlineStr">
        <is>
          <t xml:space="preserve">Servicios de telecomunicaciones de acuerdo a las especificacione stécnicas y bases administrativas</t>
        </is>
      </c>
    </row>
    <row r="33">
      <c r="A33" s="0" t="inlineStr">
        <is>
          <t xml:space="preserve">868-17-LE26</t>
        </is>
      </c>
      <c r="B33" s="4" t="inlineStr">
        <is>
          <t xml:space="preserve">RENOVACION 6 LICENCIAS CLOUD Y 17 LICENCIAS ADOBE</t>
        </is>
      </c>
      <c r="C33" s="0">
        <v>1</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Unidad</t>
        </is>
      </c>
      <c r="H33" s="4"/>
    </row>
    <row r="34">
      <c r="A34" s="0" t="inlineStr">
        <is>
          <t xml:space="preserve">4475-22-LE26</t>
        </is>
      </c>
      <c r="B34" s="4" t="inlineStr">
        <is>
          <t xml:space="preserve">Recursos informáticos para Liceo AAP</t>
        </is>
      </c>
      <c r="C34" s="0">
        <v>1</v>
      </c>
      <c r="D34" s="4" t="inlineStr">
        <is>
          <t xml:space="preserve">Computadores de escritorio</t>
        </is>
      </c>
      <c r="E34" s="4" t="inlineStr">
        <is>
          <t xml:space="preserve">Tecnologías de la información, telecomunicaciones y radiodifusión / Equipos informáticos y accesorios / Computadores</t>
        </is>
      </c>
      <c r="F34" s="0">
        <v>1.0</v>
      </c>
      <c r="G34" s="0" t="inlineStr">
        <is>
          <t xml:space="preserve">Global</t>
        </is>
      </c>
      <c r="H34" s="4" t="inlineStr">
        <is>
          <t xml:space="preserve">Todo lo solicitado en bases administrativas y técnicas de licitación según decreto exento n°2124</t>
        </is>
      </c>
    </row>
    <row r="35">
      <c r="A35" s="0" t="inlineStr">
        <is>
          <t xml:space="preserve">1499887-19-CO26</t>
        </is>
      </c>
      <c r="B35" s="4" t="inlineStr">
        <is>
          <t xml:space="preserve">SERVICIOS TÉCNICOS DE HABILITACIÓN DIGITAL</t>
        </is>
      </c>
      <c r="C35" s="0">
        <v>1</v>
      </c>
      <c r="D35" s="4" t="inlineStr">
        <is>
          <t xml:space="preserve">Inspección de instalaciones eléctricas</t>
        </is>
      </c>
      <c r="E35" s="4" t="inlineStr">
        <is>
          <t xml:space="preserve">Servicios basados en ingeniería, ciencias sociales y tecnología de la información / Metodologías y tecnologías para mejorar la producción y la fabricación / Administración de edificios e instalaciones</t>
        </is>
      </c>
      <c r="F35" s="0">
        <v>1.0</v>
      </c>
      <c r="G35" s="0" t="inlineStr">
        <is>
          <t xml:space="preserve">Unidad</t>
        </is>
      </c>
      <c r="H35"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36">
      <c r="A36" s="0" t="inlineStr">
        <is>
          <t xml:space="preserve">4511-53-LE26</t>
        </is>
      </c>
      <c r="B36" s="4" t="inlineStr">
        <is>
          <t xml:space="preserve">CONTRATACIÓN SISTEMA DE GESTIÓN DOCUMENTAL</t>
        </is>
      </c>
      <c r="C36" s="0">
        <v>1</v>
      </c>
      <c r="D36" s="4" t="inlineStr">
        <is>
          <t xml:space="preserve">Software de creación de informes de bases de datos</t>
        </is>
      </c>
      <c r="E36" s="4" t="inlineStr">
        <is>
          <t xml:space="preserve">Tecnologías de la información, telecomunicaciones y radiodifusión / Software / Software de consultas y gestión de datos</t>
        </is>
      </c>
      <c r="F36" s="0">
        <v>1.0</v>
      </c>
      <c r="G36" s="0" t="inlineStr">
        <is>
          <t xml:space="preserve">Global</t>
        </is>
      </c>
      <c r="H36" s="4" t="inlineStr">
        <is>
          <t xml:space="preserve">contratación servicio de adquisición Sistema de Gestor de Documentos con firma electrónica, para la Ilustre Municipalidad de Retiro</t>
        </is>
      </c>
    </row>
    <row r="37">
      <c r="A37" s="0" t="inlineStr">
        <is>
          <t xml:space="preserve">1057448-50-L126</t>
        </is>
      </c>
      <c r="B37" s="4" t="inlineStr">
        <is>
          <t xml:space="preserve">CÁPSULAS DIGITALES PARA IMPLEMENTAR EN MOODLE DEL SERVICIO DE SALUD TARAPACÁ</t>
        </is>
      </c>
      <c r="C37" s="0">
        <v>1</v>
      </c>
      <c r="D37" s="4" t="inlineStr">
        <is>
          <t xml:space="preserve">Formación, capacitación y entrenamiento de personal</t>
        </is>
      </c>
      <c r="E37" s="4" t="inlineStr">
        <is>
          <t xml:space="preserve">Servicios profesionales, administrativos y consultorías de gestión empresarial / Servicios de recursos humanos / Consultorías para el desarrollo de recursos humanos</t>
        </is>
      </c>
      <c r="F37" s="0">
        <v>1.0</v>
      </c>
      <c r="G37" s="0" t="inlineStr">
        <is>
          <t xml:space="preserve">Unidad</t>
        </is>
      </c>
      <c r="H37" s="4" t="inlineStr">
        <is>
          <t xml:space="preserve">CAPSULA DIGITAL CAPACITACION MOODLE</t>
        </is>
      </c>
    </row>
    <row r="38">
      <c r="A38" s="0" t="inlineStr">
        <is>
          <t xml:space="preserve">609-27-LE26</t>
        </is>
      </c>
      <c r="B38" s="4" t="inlineStr">
        <is>
          <t xml:space="preserve">ADQUISICIÓN DE 10 LICENCIAS ADOBE CREATIVE CLOUD</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t>
        </is>
      </c>
      <c r="H38" s="4" t="inlineStr">
        <is>
          <t xml:space="preserve">ADQUISICIÓN DE 10 LICENCIAS ADOBE CREATIVE CLOUD O EQUIVALENTE</t>
        </is>
      </c>
    </row>
    <row r="39">
      <c r="A39" s="0" t="inlineStr">
        <is>
          <t xml:space="preserve">3019-20-LE26</t>
        </is>
      </c>
      <c r="B39" s="4" t="inlineStr">
        <is>
          <t xml:space="preserve">SOFTWARE CARRERA FUNCIONARIA APS LOTA</t>
        </is>
      </c>
      <c r="C39" s="0">
        <v>1</v>
      </c>
      <c r="D39" s="4" t="inlineStr">
        <is>
          <t xml:space="preserve">Software de gestión de recursos humanos</t>
        </is>
      </c>
      <c r="E39" s="4" t="inlineStr">
        <is>
          <t xml:space="preserve">Tecnologías de la información, telecomunicaciones y radiodifusión / Software / Software de gestión</t>
        </is>
      </c>
      <c r="F39" s="0">
        <v>1.0</v>
      </c>
      <c r="G39" s="0" t="inlineStr">
        <is>
          <t xml:space="preserve">Unidad</t>
        </is>
      </c>
      <c r="H39" s="4" t="inlineStr">
        <is>
          <t xml:space="preserve">SOFTWARE DE GESTIÓN DE CARRERA FUNCIONARIA PARA LOS FUNCIONARIOS DE APS LOTA, CONTRATO POR 24 MESES</t>
        </is>
      </c>
    </row>
    <row r="40">
      <c r="A40" s="0" t="inlineStr">
        <is>
          <t xml:space="preserve">948354-138-LE26</t>
        </is>
      </c>
      <c r="B40" s="4" t="inlineStr">
        <is>
          <t xml:space="preserve">CONTRATACIÓN DEL SERVICIO DE LICENCIAMIENTO IMPLEMENTACIÓN MANTENCIÓN ACTUALIZACIÓN Y SOPORTE DE SOLUCIÓN INFORMÁTICA PARA LA GESTIÓN DE CALIDAD EN SALUD DEL HOSPITAL DIPRECA</t>
        </is>
      </c>
      <c r="C40" s="0">
        <v>1</v>
      </c>
      <c r="D40" s="4" t="inlineStr">
        <is>
          <t xml:space="preserve">Software de administración de metadatos</t>
        </is>
      </c>
      <c r="E40" s="4" t="inlineStr">
        <is>
          <t xml:space="preserve">Tecnologías de la información, telecomunicaciones y radiodifusión / Software / Software de consultas y gestión de datos</t>
        </is>
      </c>
      <c r="F40" s="0">
        <v>36.0</v>
      </c>
      <c r="G40" s="0" t="inlineStr">
        <is>
          <t xml:space="preserve">Mes</t>
        </is>
      </c>
      <c r="H40" s="4" t="inlineStr">
        <is>
          <t xml:space="preserve">Servicio de licenciamiento, implementación, mantención, actualización y soporte de solución informática para la gestión de calidad en salud</t>
        </is>
      </c>
    </row>
    <row r="41">
      <c r="A41" s="0" t="inlineStr">
        <is>
          <t xml:space="preserve">2176-44-LE26</t>
        </is>
      </c>
      <c r="B41" s="4" t="inlineStr">
        <is>
          <t xml:space="preserve">OBRA REP. DE TABLEROS ELECTRICOS CAPJ ZONAL VALPO</t>
        </is>
      </c>
      <c r="C41" s="0">
        <v>1</v>
      </c>
      <c r="D41" s="4" t="inlineStr">
        <is>
          <t xml:space="preserve">Instalación o servicio de sistemas de energía eléctrica</t>
        </is>
      </c>
      <c r="E41" s="4" t="inlineStr">
        <is>
          <t xml:space="preserve">Servicios de construcción y mantenimiento / Servicios de atención, mantenimiento y reparaciones de edificios / Servicios eléctricos</t>
        </is>
      </c>
      <c r="F41" s="0">
        <v>1.0</v>
      </c>
      <c r="G41" s="0" t="inlineStr">
        <is>
          <t xml:space="preserve">Global</t>
        </is>
      </c>
      <c r="H41" s="4" t="inlineStr">
        <is>
          <t xml:space="preserve">OBRA DE REPARACION TABLEROS ELECTRICOS EDIFICIOS CAPJ ZONAL VALPARAISO</t>
        </is>
      </c>
    </row>
    <row r="42">
      <c r="A42" s="0" t="inlineStr">
        <is>
          <t xml:space="preserve">564162-129-L126</t>
        </is>
      </c>
      <c r="B42" s="4" t="inlineStr">
        <is>
          <t xml:space="preserve">Solicitud N°92870 - Bolsas, etiquetas y cajas con impresión digital - CC112 / PS1772</t>
        </is>
      </c>
      <c r="C42" s="0">
        <v>1</v>
      </c>
      <c r="D42" s="4" t="inlineStr">
        <is>
          <t xml:space="preserve">Cajas para empaquetado</t>
        </is>
      </c>
      <c r="E42" s="4" t="inlineStr">
        <is>
          <t xml:space="preserve">Equipamiento para manejo y estiba de materiales / Materiales para envasado / Cajas, bolsas y sacos para envasado</t>
        </is>
      </c>
      <c r="F42" s="0">
        <v>1.0</v>
      </c>
      <c r="G42" s="0" t="inlineStr">
        <is>
          <t xml:space="preserve">Unidad</t>
        </is>
      </c>
      <c r="H42" s="4" t="inlineStr">
        <is>
          <t xml:space="preserve">800 Cajas de cartón y 800 juego tabiques con impresión.</t>
        </is>
      </c>
    </row>
    <row r="43">
      <c r="A43" s="0" t="inlineStr">
        <is>
          <t xml:space="preserve">564162-129-L126</t>
        </is>
      </c>
      <c r="B43" s="4" t="inlineStr">
        <is>
          <t xml:space="preserve">Solicitud N°92870 - Bolsas, etiquetas y cajas con impresión digital - CC112 / PS1772</t>
        </is>
      </c>
      <c r="C43" s="0">
        <v>2</v>
      </c>
      <c r="D43" s="4" t="inlineStr">
        <is>
          <t xml:space="preserve">Cajas para empaquetado</t>
        </is>
      </c>
      <c r="E43" s="4" t="inlineStr">
        <is>
          <t xml:space="preserve">Equipamiento para manejo y estiba de materiales / Materiales para envasado / Cajas, bolsas y sacos para envasado</t>
        </is>
      </c>
      <c r="F43" s="0">
        <v>1.0</v>
      </c>
      <c r="G43" s="0" t="inlineStr">
        <is>
          <t xml:space="preserve">Unidad</t>
        </is>
      </c>
      <c r="H43" s="4" t="inlineStr">
        <is>
          <t xml:space="preserve">850 cajas de cartón y 850 juego tabiques con impresión.</t>
        </is>
      </c>
    </row>
    <row r="44">
      <c r="A44" s="0" t="inlineStr">
        <is>
          <t xml:space="preserve">564162-129-L126</t>
        </is>
      </c>
      <c r="B44" s="4" t="inlineStr">
        <is>
          <t xml:space="preserve">Solicitud N°92870 - Bolsas, etiquetas y cajas con impresión digital - CC112 / PS1772</t>
        </is>
      </c>
      <c r="C44" s="0">
        <v>3</v>
      </c>
      <c r="D44" s="4" t="inlineStr">
        <is>
          <t xml:space="preserve">Papel, bolsas o cajas de regalo</t>
        </is>
      </c>
      <c r="E44" s="4" t="inlineStr">
        <is>
          <t xml:space="preserve">Productos de papel / Productos de papel / Papel fantasía</t>
        </is>
      </c>
      <c r="F44" s="0">
        <v>1.0</v>
      </c>
      <c r="G44" s="0" t="inlineStr">
        <is>
          <t xml:space="preserve">Unidad</t>
        </is>
      </c>
      <c r="H44" s="4" t="inlineStr">
        <is>
          <t xml:space="preserve">Bolsas de papel para botellas. 1.000 unidades</t>
        </is>
      </c>
    </row>
    <row r="45">
      <c r="A45" s="0" t="inlineStr">
        <is>
          <t xml:space="preserve">564162-129-L126</t>
        </is>
      </c>
      <c r="B45" s="4" t="inlineStr">
        <is>
          <t xml:space="preserve">Solicitud N°92870 - Bolsas, etiquetas y cajas con impresión digital - CC112 / PS1772</t>
        </is>
      </c>
      <c r="C45" s="0">
        <v>4</v>
      </c>
      <c r="D45" s="4" t="inlineStr">
        <is>
          <t xml:space="preserve">Etiquetas autoadhesivas</t>
        </is>
      </c>
      <c r="E45" s="4" t="inlineStr">
        <is>
          <t xml:space="preserve">Productos impresos y publicaciones / Etiquetado y accesorios / Etiquetas</t>
        </is>
      </c>
      <c r="F45" s="0">
        <v>1.0</v>
      </c>
      <c r="G45" s="0" t="inlineStr">
        <is>
          <t xml:space="preserve">Unidad</t>
        </is>
      </c>
      <c r="H45" s="4" t="inlineStr">
        <is>
          <t xml:space="preserve">Etiquetas frontales. 5.081 unidades con impresión digital.
Contraetiquetas. 5.081 unidades con impresión digital</t>
        </is>
      </c>
    </row>
    <row r="46">
      <c r="A46" s="0" t="inlineStr">
        <is>
          <t xml:space="preserve">564162-129-L126</t>
        </is>
      </c>
      <c r="B46" s="4" t="inlineStr">
        <is>
          <t xml:space="preserve">Solicitud N°92870 - Bolsas, etiquetas y cajas con impresión digital - CC112 / PS1772</t>
        </is>
      </c>
      <c r="C46" s="0">
        <v>5</v>
      </c>
      <c r="D46" s="4" t="inlineStr">
        <is>
          <t xml:space="preserve">Etiquetas autoadhesivas</t>
        </is>
      </c>
      <c r="E46" s="4" t="inlineStr">
        <is>
          <t xml:space="preserve">Productos impresos y publicaciones / Etiquetado y accesorios / Etiquetas</t>
        </is>
      </c>
      <c r="F46" s="0">
        <v>1.0</v>
      </c>
      <c r="G46" s="0" t="inlineStr">
        <is>
          <t xml:space="preserve">Unidad</t>
        </is>
      </c>
      <c r="H46" s="4" t="inlineStr">
        <is>
          <t xml:space="preserve">Etiquetas colgantes para botellas de vino. 5.081 unidades</t>
        </is>
      </c>
    </row>
    <row r="47">
      <c r="A47" s="0" t="inlineStr">
        <is>
          <t xml:space="preserve">870-10-L126</t>
        </is>
      </c>
      <c r="B47" s="4" t="inlineStr">
        <is>
          <t xml:space="preserve">E102RT8 RENOVACIÓN DE LICENCIAS DE SOFTWARE PARA LA COMISIÓN NACIONAL DE RIEGO</t>
        </is>
      </c>
      <c r="C47" s="0">
        <v>1</v>
      </c>
      <c r="D47" s="4" t="inlineStr">
        <is>
          <t xml:space="preserve">Software de desarrollo de plataforma Web</t>
        </is>
      </c>
      <c r="E47" s="4" t="inlineStr">
        <is>
          <t xml:space="preserve">Tecnologías de la información, telecomunicaciones y radiodifusión / Software / Programas de desarrollo</t>
        </is>
      </c>
      <c r="F47" s="0">
        <v>1.0</v>
      </c>
      <c r="G47" s="0" t="inlineStr">
        <is>
          <t xml:space="preserve">Unidad no definida</t>
        </is>
      </c>
      <c r="H47" s="4" t="inlineStr">
        <is>
          <t xml:space="preserve">EasyDMARC (Segun bases de Licitación)</t>
        </is>
      </c>
    </row>
    <row r="48">
      <c r="A48" s="0" t="inlineStr">
        <is>
          <t xml:space="preserve">870-10-L126</t>
        </is>
      </c>
      <c r="B48" s="4" t="inlineStr">
        <is>
          <t xml:space="preserve">E102RT8 RENOVACIÓN DE LICENCIAS DE SOFTWARE PARA LA COMISIÓN NACIONAL DE RIEGO</t>
        </is>
      </c>
      <c r="C48" s="0">
        <v>2</v>
      </c>
      <c r="D48" s="4" t="inlineStr">
        <is>
          <t xml:space="preserve">Software de desarrollo de plataforma Web</t>
        </is>
      </c>
      <c r="E48" s="4" t="inlineStr">
        <is>
          <t xml:space="preserve">Tecnologías de la información, telecomunicaciones y radiodifusión / Software / Programas de desarrollo</t>
        </is>
      </c>
      <c r="F48" s="0">
        <v>2.0</v>
      </c>
      <c r="G48" s="0" t="inlineStr">
        <is>
          <t xml:space="preserve">Unidad no definida</t>
        </is>
      </c>
      <c r="H48" s="4" t="inlineStr">
        <is>
          <t xml:space="preserve">Make (Segun bases de Licitación)</t>
        </is>
      </c>
    </row>
    <row r="49">
      <c r="A49" s="0" t="inlineStr">
        <is>
          <t xml:space="preserve">870-10-L126</t>
        </is>
      </c>
      <c r="B49" s="4" t="inlineStr">
        <is>
          <t xml:space="preserve">E102RT8 RENOVACIÓN DE LICENCIAS DE SOFTWARE PARA LA COMISIÓN NACIONAL DE RIEGO</t>
        </is>
      </c>
      <c r="C49" s="0">
        <v>3</v>
      </c>
      <c r="D49" s="4" t="inlineStr">
        <is>
          <t xml:space="preserve">Software de desarrollo de plataforma Web</t>
        </is>
      </c>
      <c r="E49" s="4" t="inlineStr">
        <is>
          <t xml:space="preserve">Tecnologías de la información, telecomunicaciones y radiodifusión / Software / Programas de desarrollo</t>
        </is>
      </c>
      <c r="F49" s="0">
        <v>3.0</v>
      </c>
      <c r="G49" s="0" t="inlineStr">
        <is>
          <t xml:space="preserve">Unidad no definida</t>
        </is>
      </c>
      <c r="H49" s="4" t="inlineStr">
        <is>
          <t xml:space="preserve">Tawk (Segun bases de Licitación)</t>
        </is>
      </c>
    </row>
    <row r="50">
      <c r="A50" s="0" t="inlineStr">
        <is>
          <t xml:space="preserve">870-10-L126</t>
        </is>
      </c>
      <c r="B50" s="4" t="inlineStr">
        <is>
          <t xml:space="preserve">E102RT8 RENOVACIÓN DE LICENCIAS DE SOFTWARE PARA LA COMISIÓN NACIONAL DE RIEGO</t>
        </is>
      </c>
      <c r="C50" s="0">
        <v>4</v>
      </c>
      <c r="D50" s="4" t="inlineStr">
        <is>
          <t xml:space="preserve">Software de desarrollo de plataforma Web</t>
        </is>
      </c>
      <c r="E50" s="4" t="inlineStr">
        <is>
          <t xml:space="preserve">Tecnologías de la información, telecomunicaciones y radiodifusión / Software / Programas de desarrollo</t>
        </is>
      </c>
      <c r="F50" s="0">
        <v>1.0</v>
      </c>
      <c r="G50" s="0" t="inlineStr">
        <is>
          <t xml:space="preserve">Unidad no definida</t>
        </is>
      </c>
      <c r="H50" s="4" t="inlineStr">
        <is>
          <t xml:space="preserve">Tailscale  Premium (Segun bases de Licitación)</t>
        </is>
      </c>
    </row>
    <row r="51">
      <c r="A51" s="0" t="inlineStr">
        <is>
          <t xml:space="preserve">2974-75-L126</t>
        </is>
      </c>
      <c r="B51" s="4" t="inlineStr">
        <is>
          <t xml:space="preserve">SERVICIO DE MANTENIMIENTO PREVENTIVO Y CORRECTIVO PARA LA PLATAFORMA DEL CAMIÓN PAF-29</t>
        </is>
      </c>
      <c r="C51" s="0">
        <v>1</v>
      </c>
      <c r="D51" s="4" t="inlineStr">
        <is>
          <t xml:space="preserve">Camiones de reparto</t>
        </is>
      </c>
      <c r="E51" s="4" t="inlineStr">
        <is>
          <t xml:space="preserve">Vehículos y equipamiento en general / Vehículos motorizados / Vehículos para transporte de carga</t>
        </is>
      </c>
      <c r="F51" s="0">
        <v>1.0</v>
      </c>
      <c r="G51" s="0" t="inlineStr">
        <is>
          <t xml:space="preserve">Global</t>
        </is>
      </c>
      <c r="H51" s="4" t="inlineStr">
        <is>
          <t xml:space="preserve">SERVICIO DE MANTENIMIENTO PREVENTIVO Y CORRECTIVO PARA LA PLATAFORMA DE UN CAMIÓN, SEGÚN ESPECIFICACIONES TÉCNICAS ADJUNTAS.</t>
        </is>
      </c>
    </row>
    <row r="52">
      <c r="A52" s="0" t="inlineStr">
        <is>
          <t xml:space="preserve">594965-27-LE26</t>
        </is>
      </c>
      <c r="B52" s="4" t="inlineStr">
        <is>
          <t xml:space="preserve">INSUMOS INFORMÁTICOS PARA REGION DE OHIGGINS</t>
        </is>
      </c>
      <c r="C52" s="0">
        <v>1</v>
      </c>
      <c r="D52" s="4" t="inlineStr">
        <is>
          <t xml:space="preserve">Tóner</t>
        </is>
      </c>
      <c r="E52" s="4" t="inlineStr">
        <is>
          <t xml:space="preserve">Equipos, accesorios y suministros de oficina / Maquinarias, suministros y accesorios de oficina / Suministros para impresora, fax y fotocopiadora</t>
        </is>
      </c>
      <c r="F52" s="0">
        <v>124.0</v>
      </c>
      <c r="G52" s="0" t="inlineStr">
        <is>
          <t xml:space="preserve">Unidad</t>
        </is>
      </c>
      <c r="H52" s="4" t="inlineStr">
        <is>
          <t xml:space="preserve">Tóner HP 83A o equivalente.
SEGUN RESOLUCUION TECNICA NUMERAL 3</t>
        </is>
      </c>
    </row>
    <row r="53">
      <c r="A53" s="0" t="inlineStr">
        <is>
          <t xml:space="preserve">594965-27-LE26</t>
        </is>
      </c>
      <c r="B53" s="4" t="inlineStr">
        <is>
          <t xml:space="preserve">INSUMOS INFORMÁTICOS PARA REGION DE OHIGGINS</t>
        </is>
      </c>
      <c r="C53" s="0">
        <v>2</v>
      </c>
      <c r="D53" s="4" t="inlineStr">
        <is>
          <t xml:space="preserve">Tóner</t>
        </is>
      </c>
      <c r="E53" s="4" t="inlineStr">
        <is>
          <t xml:space="preserve">Equipos, accesorios y suministros de oficina / Maquinarias, suministros y accesorios de oficina / Suministros para impresora, fax y fotocopiadora</t>
        </is>
      </c>
      <c r="F53" s="0">
        <v>139.0</v>
      </c>
      <c r="G53" s="0" t="inlineStr">
        <is>
          <t xml:space="preserve">Unidad</t>
        </is>
      </c>
      <c r="H53" s="4" t="inlineStr">
        <is>
          <t xml:space="preserve">Tóner HP 85A o equivalente
SEGUN RESOLUCUION TECNICA NUMERAL 3</t>
        </is>
      </c>
    </row>
    <row r="54">
      <c r="A54" s="0" t="inlineStr">
        <is>
          <t xml:space="preserve">594965-27-LE26</t>
        </is>
      </c>
      <c r="B54" s="4" t="inlineStr">
        <is>
          <t xml:space="preserve">INSUMOS INFORMÁTICOS PARA REGION DE OHIGGINS</t>
        </is>
      </c>
      <c r="C54" s="0">
        <v>3</v>
      </c>
      <c r="D54" s="4" t="inlineStr">
        <is>
          <t xml:space="preserve">Tóner</t>
        </is>
      </c>
      <c r="E54" s="4" t="inlineStr">
        <is>
          <t xml:space="preserve">Equipos, accesorios y suministros de oficina / Maquinarias, suministros y accesorios de oficina / Suministros para impresora, fax y fotocopiadora</t>
        </is>
      </c>
      <c r="F54" s="0">
        <v>57.0</v>
      </c>
      <c r="G54" s="0" t="inlineStr">
        <is>
          <t xml:space="preserve">Unidad</t>
        </is>
      </c>
      <c r="H54" s="4" t="inlineStr">
        <is>
          <t xml:space="preserve">Tóner HP 105A o equivalente
SEGUN RESOLUCUION TECNICA NUMERAL 3</t>
        </is>
      </c>
    </row>
    <row r="55">
      <c r="A55" s="0" t="inlineStr">
        <is>
          <t xml:space="preserve">594965-27-LE26</t>
        </is>
      </c>
      <c r="B55" s="4" t="inlineStr">
        <is>
          <t xml:space="preserve">INSUMOS INFORMÁTICOS PARA REGION DE OHIGGINS</t>
        </is>
      </c>
      <c r="C55" s="0">
        <v>4</v>
      </c>
      <c r="D55" s="4" t="inlineStr">
        <is>
          <t xml:space="preserve">Tóner</t>
        </is>
      </c>
      <c r="E55" s="4" t="inlineStr">
        <is>
          <t xml:space="preserve">Equipos, accesorios y suministros de oficina / Maquinarias, suministros y accesorios de oficina / Suministros para impresora, fax y fotocopiadora</t>
        </is>
      </c>
      <c r="F55" s="0">
        <v>17.0</v>
      </c>
      <c r="G55" s="0" t="inlineStr">
        <is>
          <t xml:space="preserve">Unidad</t>
        </is>
      </c>
      <c r="H55" s="4" t="inlineStr">
        <is>
          <t xml:space="preserve">Tóner HP 151A o equivalente
SEGUN RESOLUCUION TECNICA NUMERAL 3</t>
        </is>
      </c>
    </row>
    <row r="56">
      <c r="A56" s="0" t="inlineStr">
        <is>
          <t xml:space="preserve">594965-27-LE26</t>
        </is>
      </c>
      <c r="B56" s="4" t="inlineStr">
        <is>
          <t xml:space="preserve">INSUMOS INFORMÁTICOS PARA REGION DE OHIGGINS</t>
        </is>
      </c>
      <c r="C56" s="0">
        <v>5</v>
      </c>
      <c r="D56" s="4" t="inlineStr">
        <is>
          <t xml:space="preserve">Tóner</t>
        </is>
      </c>
      <c r="E56" s="4" t="inlineStr">
        <is>
          <t xml:space="preserve">Equipos, accesorios y suministros de oficina / Maquinarias, suministros y accesorios de oficina / Suministros para impresora, fax y fotocopiadora</t>
        </is>
      </c>
      <c r="F56" s="0">
        <v>2.0</v>
      </c>
      <c r="G56" s="0" t="inlineStr">
        <is>
          <t xml:space="preserve">Unidad</t>
        </is>
      </c>
      <c r="H56" s="4" t="inlineStr">
        <is>
          <t xml:space="preserve">Tóner TN-1060 Negro o equivalente
SEGUN RESOLUCUION TECNICA NUMERAL 3</t>
        </is>
      </c>
    </row>
    <row r="57">
      <c r="A57" s="0" t="inlineStr">
        <is>
          <t xml:space="preserve">594965-27-LE26</t>
        </is>
      </c>
      <c r="B57" s="4" t="inlineStr">
        <is>
          <t xml:space="preserve">INSUMOS INFORMÁTICOS PARA REGION DE OHIGGINS</t>
        </is>
      </c>
      <c r="C57" s="0">
        <v>6</v>
      </c>
      <c r="D57" s="4" t="inlineStr">
        <is>
          <t xml:space="preserve">Tóner</t>
        </is>
      </c>
      <c r="E57" s="4" t="inlineStr">
        <is>
          <t xml:space="preserve">Equipos, accesorios y suministros de oficina / Maquinarias, suministros y accesorios de oficina / Suministros para impresora, fax y fotocopiadora</t>
        </is>
      </c>
      <c r="F57" s="0">
        <v>1.0</v>
      </c>
      <c r="G57" s="0" t="inlineStr">
        <is>
          <t xml:space="preserve">Unidad</t>
        </is>
      </c>
      <c r="H57" s="4" t="inlineStr">
        <is>
          <t xml:space="preserve">Tóner HP 126A Cyan o equivalente
SEGUN RESOLUCUION TECNICA NUMERAL 3</t>
        </is>
      </c>
    </row>
    <row r="58">
      <c r="A58" s="0" t="inlineStr">
        <is>
          <t xml:space="preserve">594965-27-LE26</t>
        </is>
      </c>
      <c r="B58" s="4" t="inlineStr">
        <is>
          <t xml:space="preserve">INSUMOS INFORMÁTICOS PARA REGION DE OHIGGINS</t>
        </is>
      </c>
      <c r="C58" s="0">
        <v>7</v>
      </c>
      <c r="D58" s="4" t="inlineStr">
        <is>
          <t xml:space="preserve">Tóner</t>
        </is>
      </c>
      <c r="E58" s="4" t="inlineStr">
        <is>
          <t xml:space="preserve">Equipos, accesorios y suministros de oficina / Maquinarias, suministros y accesorios de oficina / Suministros para impresora, fax y fotocopiadora</t>
        </is>
      </c>
      <c r="F58" s="0">
        <v>1.0</v>
      </c>
      <c r="G58" s="0" t="inlineStr">
        <is>
          <t xml:space="preserve">Unidad</t>
        </is>
      </c>
      <c r="H58" s="4" t="inlineStr">
        <is>
          <t xml:space="preserve">Tóner HP 126A Magenta o equivalente
SEGUN RESOLUCUION TECNICA NUMERAL 3</t>
        </is>
      </c>
    </row>
    <row r="59">
      <c r="A59" s="0" t="inlineStr">
        <is>
          <t xml:space="preserve">594965-27-LE26</t>
        </is>
      </c>
      <c r="B59" s="4" t="inlineStr">
        <is>
          <t xml:space="preserve">INSUMOS INFORMÁTICOS PARA REGION DE OHIGGINS</t>
        </is>
      </c>
      <c r="C59" s="0">
        <v>8</v>
      </c>
      <c r="D59" s="4" t="inlineStr">
        <is>
          <t xml:space="preserve">Tóner</t>
        </is>
      </c>
      <c r="E59" s="4" t="inlineStr">
        <is>
          <t xml:space="preserve">Equipos, accesorios y suministros de oficina / Maquinarias, suministros y accesorios de oficina / Suministros para impresora, fax y fotocopiadora</t>
        </is>
      </c>
      <c r="F59" s="0">
        <v>2.0</v>
      </c>
      <c r="G59" s="0" t="inlineStr">
        <is>
          <t xml:space="preserve">Unidad</t>
        </is>
      </c>
      <c r="H59" s="4" t="inlineStr">
        <is>
          <t xml:space="preserve">Tóner HP 126A Yellow o equivalente
SEGUN RESOLUCUION TECNICA NUMERAL 3</t>
        </is>
      </c>
    </row>
    <row r="60">
      <c r="A60" s="0" t="inlineStr">
        <is>
          <t xml:space="preserve">594965-27-LE26</t>
        </is>
      </c>
      <c r="B60" s="4" t="inlineStr">
        <is>
          <t xml:space="preserve">INSUMOS INFORMÁTICOS PARA REGION DE OHIGGINS</t>
        </is>
      </c>
      <c r="C60" s="0">
        <v>9</v>
      </c>
      <c r="D60" s="4" t="inlineStr">
        <is>
          <t xml:space="preserve">Tóner</t>
        </is>
      </c>
      <c r="E60" s="4" t="inlineStr">
        <is>
          <t xml:space="preserve">Equipos, accesorios y suministros de oficina / Maquinarias, suministros y accesorios de oficina / Suministros para impresora, fax y fotocopiadora</t>
        </is>
      </c>
      <c r="F60" s="0">
        <v>1.0</v>
      </c>
      <c r="G60" s="0" t="inlineStr">
        <is>
          <t xml:space="preserve">Unidad</t>
        </is>
      </c>
      <c r="H60" s="4" t="inlineStr">
        <is>
          <t xml:space="preserve">Tóner HP 126A Black o equivalente
SEGUN RESOLUCUION TECNICA NUMERAL 3</t>
        </is>
      </c>
    </row>
    <row r="61">
      <c r="A61" s="0" t="inlineStr">
        <is>
          <t xml:space="preserve">594965-27-LE26</t>
        </is>
      </c>
      <c r="B61" s="4" t="inlineStr">
        <is>
          <t xml:space="preserve">INSUMOS INFORMÁTICOS PARA REGION DE OHIGGINS</t>
        </is>
      </c>
      <c r="C61" s="0">
        <v>10</v>
      </c>
      <c r="D61" s="4" t="inlineStr">
        <is>
          <t xml:space="preserve">Cartuchos de tinta</t>
        </is>
      </c>
      <c r="E61" s="4" t="inlineStr">
        <is>
          <t xml:space="preserve">Equipos, accesorios y suministros de oficina / Maquinarias, suministros y accesorios de oficina / Suministros para impresora, fax y fotocopiadora</t>
        </is>
      </c>
      <c r="F61" s="0">
        <v>5.0</v>
      </c>
      <c r="G61" s="0" t="inlineStr">
        <is>
          <t xml:space="preserve">Unidad</t>
        </is>
      </c>
      <c r="H61" s="4" t="inlineStr">
        <is>
          <t xml:space="preserve">Tinta Brother BT5001C Cyan o equivalente
SEGUN RESOLUCUION TECNICA NUMERAL 3</t>
        </is>
      </c>
    </row>
    <row r="62">
      <c r="A62" s="0" t="inlineStr">
        <is>
          <t xml:space="preserve">594965-27-LE26</t>
        </is>
      </c>
      <c r="B62" s="4" t="inlineStr">
        <is>
          <t xml:space="preserve">INSUMOS INFORMÁTICOS PARA REGION DE OHIGGINS</t>
        </is>
      </c>
      <c r="C62" s="0">
        <v>11</v>
      </c>
      <c r="D62" s="4" t="inlineStr">
        <is>
          <t xml:space="preserve">Cartuchos de tinta</t>
        </is>
      </c>
      <c r="E62" s="4" t="inlineStr">
        <is>
          <t xml:space="preserve">Equipos, accesorios y suministros de oficina / Maquinarias, suministros y accesorios de oficina / Suministros para impresora, fax y fotocopiadora</t>
        </is>
      </c>
      <c r="F62" s="0">
        <v>5.0</v>
      </c>
      <c r="G62" s="0" t="inlineStr">
        <is>
          <t xml:space="preserve">Unidad</t>
        </is>
      </c>
      <c r="H62" s="4" t="inlineStr">
        <is>
          <t xml:space="preserve">Tinta Brother BT5001M Magenta o equivalente
SEGUN RESOLUCUION TECNICA NUMERAL 3</t>
        </is>
      </c>
    </row>
    <row r="63">
      <c r="A63" s="0" t="inlineStr">
        <is>
          <t xml:space="preserve">594965-27-LE26</t>
        </is>
      </c>
      <c r="B63" s="4" t="inlineStr">
        <is>
          <t xml:space="preserve">INSUMOS INFORMÁTICOS PARA REGION DE OHIGGINS</t>
        </is>
      </c>
      <c r="C63" s="0">
        <v>12</v>
      </c>
      <c r="D63" s="4" t="inlineStr">
        <is>
          <t xml:space="preserve">Cartuchos de tinta</t>
        </is>
      </c>
      <c r="E63" s="4" t="inlineStr">
        <is>
          <t xml:space="preserve">Equipos, accesorios y suministros de oficina / Maquinarias, suministros y accesorios de oficina / Suministros para impresora, fax y fotocopiadora</t>
        </is>
      </c>
      <c r="F63" s="0">
        <v>5.0</v>
      </c>
      <c r="G63" s="0" t="inlineStr">
        <is>
          <t xml:space="preserve">Unidad</t>
        </is>
      </c>
      <c r="H63" s="4" t="inlineStr">
        <is>
          <t xml:space="preserve">Tinta Brother BT5001Y Yellow  o equivalente
SEGUN RESOLUCUION TECNICA NUMERAL 3</t>
        </is>
      </c>
    </row>
    <row r="64">
      <c r="A64" s="0" t="inlineStr">
        <is>
          <t xml:space="preserve">594965-27-LE26</t>
        </is>
      </c>
      <c r="B64" s="4" t="inlineStr">
        <is>
          <t xml:space="preserve">INSUMOS INFORMÁTICOS PARA REGION DE OHIGGINS</t>
        </is>
      </c>
      <c r="C64" s="0">
        <v>13</v>
      </c>
      <c r="D64" s="4" t="inlineStr">
        <is>
          <t xml:space="preserve">Cartuchos de tinta</t>
        </is>
      </c>
      <c r="E64" s="4" t="inlineStr">
        <is>
          <t xml:space="preserve">Equipos, accesorios y suministros de oficina / Maquinarias, suministros y accesorios de oficina / Suministros para impresora, fax y fotocopiadora</t>
        </is>
      </c>
      <c r="F64" s="0">
        <v>5.0</v>
      </c>
      <c r="G64" s="0" t="inlineStr">
        <is>
          <t xml:space="preserve">Unidad</t>
        </is>
      </c>
      <c r="H64" s="4" t="inlineStr">
        <is>
          <t xml:space="preserve">Tinta Brother BTD60BK Black o equivalente
SEGUN RESOLUCUION TECNICA NUMERAL 3</t>
        </is>
      </c>
    </row>
    <row r="65">
      <c r="A65" s="0" t="inlineStr">
        <is>
          <t xml:space="preserve">594965-27-LE26</t>
        </is>
      </c>
      <c r="B65" s="4" t="inlineStr">
        <is>
          <t xml:space="preserve">INSUMOS INFORMÁTICOS PARA REGION DE OHIGGINS</t>
        </is>
      </c>
      <c r="C65" s="0">
        <v>14</v>
      </c>
      <c r="D65" s="4" t="inlineStr">
        <is>
          <t xml:space="preserve">Cartuchos de tinta</t>
        </is>
      </c>
      <c r="E65" s="4" t="inlineStr">
        <is>
          <t xml:space="preserve">Equipos, accesorios y suministros de oficina / Maquinarias, suministros y accesorios de oficina / Suministros para impresora, fax y fotocopiadora</t>
        </is>
      </c>
      <c r="F65" s="0">
        <v>5.0</v>
      </c>
      <c r="G65" s="0" t="inlineStr">
        <is>
          <t xml:space="preserve">Unidad</t>
        </is>
      </c>
      <c r="H65" s="4" t="inlineStr">
        <is>
          <t xml:space="preserve">Botella Brother BTD100C Cyan o equivalente
SEGUN RESOLUCUION TECNICA NUMERAL 3</t>
        </is>
      </c>
    </row>
    <row r="66">
      <c r="A66" s="0" t="inlineStr">
        <is>
          <t xml:space="preserve">594965-27-LE26</t>
        </is>
      </c>
      <c r="B66" s="4" t="inlineStr">
        <is>
          <t xml:space="preserve">INSUMOS INFORMÁTICOS PARA REGION DE OHIGGINS</t>
        </is>
      </c>
      <c r="C66" s="0">
        <v>15</v>
      </c>
      <c r="D66" s="4" t="inlineStr">
        <is>
          <t xml:space="preserve">Cartuchos de tinta</t>
        </is>
      </c>
      <c r="E66" s="4" t="inlineStr">
        <is>
          <t xml:space="preserve">Equipos, accesorios y suministros de oficina / Maquinarias, suministros y accesorios de oficina / Suministros para impresora, fax y fotocopiadora</t>
        </is>
      </c>
      <c r="F66" s="0">
        <v>5.0</v>
      </c>
      <c r="G66" s="0" t="inlineStr">
        <is>
          <t xml:space="preserve">Unidad</t>
        </is>
      </c>
      <c r="H66" s="4" t="inlineStr">
        <is>
          <t xml:space="preserve">Botella Brother BTD100M Magenta o equivalente
SEGUN RESOLUCUION TECNICA NUMERAL 3</t>
        </is>
      </c>
    </row>
    <row r="67">
      <c r="A67" s="0" t="inlineStr">
        <is>
          <t xml:space="preserve">1375761-52-LE26</t>
        </is>
      </c>
      <c r="B67" s="4" t="inlineStr">
        <is>
          <t xml:space="preserve">LICENCIAS DE SOFTWARE PARA EL SLEP VALLE DIGUILLIN</t>
        </is>
      </c>
      <c r="C67" s="0">
        <v>1</v>
      </c>
      <c r="D67" s="4" t="inlineStr">
        <is>
          <t xml:space="preserve">Paquetes de software para oficinas</t>
        </is>
      </c>
      <c r="E67" s="4" t="inlineStr">
        <is>
          <t xml:space="preserve">Tecnologías de la información, telecomunicaciones y radiodifusión / Software / Software de gestión</t>
        </is>
      </c>
      <c r="F67" s="0">
        <v>1.0</v>
      </c>
      <c r="G67" s="0" t="inlineStr">
        <is>
          <t xml:space="preserve">Unidad</t>
        </is>
      </c>
      <c r="H67" s="4" t="inlineStr">
        <is>
          <t xml:space="preserve">ANEXO N°4.1 OFERTA ECONÓMICA</t>
        </is>
      </c>
    </row>
    <row r="68">
      <c r="A68" s="0" t="inlineStr">
        <is>
          <t xml:space="preserve">1375761-52-LE26</t>
        </is>
      </c>
      <c r="B68" s="4" t="inlineStr">
        <is>
          <t xml:space="preserve">LICENCIAS DE SOFTWARE PARA EL SLEP VALLE DIGUILLIN</t>
        </is>
      </c>
      <c r="C68" s="0">
        <v>2</v>
      </c>
      <c r="D68" s="4" t="inlineStr">
        <is>
          <t xml:space="preserve">Paquetes de software para oficinas</t>
        </is>
      </c>
      <c r="E68" s="4" t="inlineStr">
        <is>
          <t xml:space="preserve">Tecnologías de la información, telecomunicaciones y radiodifusión / Software / Software de gestión</t>
        </is>
      </c>
      <c r="F68" s="0">
        <v>1.0</v>
      </c>
      <c r="G68" s="0" t="inlineStr">
        <is>
          <t xml:space="preserve">Unidad</t>
        </is>
      </c>
      <c r="H68" s="4" t="inlineStr">
        <is>
          <t xml:space="preserve">ANEXO N°4.2 OFERTA ECONÓMICA</t>
        </is>
      </c>
    </row>
    <row r="69">
      <c r="A69" s="0" t="inlineStr">
        <is>
          <t xml:space="preserve">1375761-52-LE26</t>
        </is>
      </c>
      <c r="B69" s="4" t="inlineStr">
        <is>
          <t xml:space="preserve">LICENCIAS DE SOFTWARE PARA EL SLEP VALLE DIGUILLIN</t>
        </is>
      </c>
      <c r="C69" s="0">
        <v>3</v>
      </c>
      <c r="D69" s="4" t="inlineStr">
        <is>
          <t xml:space="preserve">Paquetes de software para oficinas</t>
        </is>
      </c>
      <c r="E69" s="4" t="inlineStr">
        <is>
          <t xml:space="preserve">Tecnologías de la información, telecomunicaciones y radiodifusión / Software / Software de gestión</t>
        </is>
      </c>
      <c r="F69" s="0">
        <v>1.0</v>
      </c>
      <c r="G69" s="0" t="inlineStr">
        <is>
          <t xml:space="preserve">Unidad</t>
        </is>
      </c>
      <c r="H69" s="4" t="inlineStr">
        <is>
          <t xml:space="preserve">ANEXO N°4.3 OFERTA ECONÓMICA</t>
        </is>
      </c>
    </row>
    <row r="70">
      <c r="A70" s="0" t="inlineStr">
        <is>
          <t xml:space="preserve">1375761-52-LE26</t>
        </is>
      </c>
      <c r="B70" s="4" t="inlineStr">
        <is>
          <t xml:space="preserve">LICENCIAS DE SOFTWARE PARA EL SLEP VALLE DIGUILLIN</t>
        </is>
      </c>
      <c r="C70" s="0">
        <v>4</v>
      </c>
      <c r="D70" s="4" t="inlineStr">
        <is>
          <t xml:space="preserve">Paquetes de software para oficinas</t>
        </is>
      </c>
      <c r="E70" s="4" t="inlineStr">
        <is>
          <t xml:space="preserve">Tecnologías de la información, telecomunicaciones y radiodifusión / Software / Software de gestión</t>
        </is>
      </c>
      <c r="F70" s="0">
        <v>1.0</v>
      </c>
      <c r="G70" s="0" t="inlineStr">
        <is>
          <t xml:space="preserve">Unidad</t>
        </is>
      </c>
      <c r="H70" s="4" t="inlineStr">
        <is>
          <t xml:space="preserve">ANEXO N°4.4 OFERTA ECONÓMICA</t>
        </is>
      </c>
    </row>
    <row r="71">
      <c r="A71" s="0" t="inlineStr">
        <is>
          <t xml:space="preserve">1978-81-LE26</t>
        </is>
      </c>
      <c r="B71" s="4" t="inlineStr">
        <is>
          <t xml:space="preserve">PLATAFORMA DE CAPACITACIÓN E-LEARNING CAPMAULE</t>
        </is>
      </c>
      <c r="C71" s="0">
        <v>1</v>
      </c>
      <c r="D71" s="4" t="inlineStr">
        <is>
          <t xml:space="preserve">Software de servidor de aplicaciones</t>
        </is>
      </c>
      <c r="E71" s="4" t="inlineStr">
        <is>
          <t xml:space="preserve">Tecnologías de la información, telecomunicaciones y radiodifusión / Software / Software de aplicaciones de red</t>
        </is>
      </c>
      <c r="F71" s="0">
        <v>1.0</v>
      </c>
      <c r="G71" s="0" t="inlineStr">
        <is>
          <t xml:space="preserve">Unidad</t>
        </is>
      </c>
      <c r="H71" s="4" t="inlineStr">
        <is>
          <t xml:space="preserve">Servicio de plataforma de capacitación e-learning denominada “CAPMAULE”</t>
        </is>
      </c>
    </row>
    <row r="72">
      <c r="A72" s="0" t="inlineStr">
        <is>
          <t xml:space="preserve">1606-32-LE26</t>
        </is>
      </c>
      <c r="B72" s="4" t="inlineStr">
        <is>
          <t xml:space="preserve">CONTRATACIÓN SERVICIO DE DIAGRAMACIÓN DE PIEZAS GRÁFICAS Y WEB DEL PROYECTO “FORTALECIMIENTO DE LAS CAPACIDADES DE LATINOAMÉRICA Y EL CARIBE EN MATERIA DE CIBERSEGURIDAD” FINANCIADO POR LA UNIÓN EUROPEA.</t>
        </is>
      </c>
      <c r="C72" s="0">
        <v>1</v>
      </c>
      <c r="D72" s="4" t="inlineStr">
        <is>
          <t xml:space="preserve">Diagramación</t>
        </is>
      </c>
      <c r="E72" s="4" t="inlineStr">
        <is>
          <t xml:space="preserve">Servicios editoriales, de diseño, publicidad, gráficos y artistas / Servicios de impresión y reproducción / Impresión</t>
        </is>
      </c>
      <c r="F72" s="0">
        <v>1.0</v>
      </c>
      <c r="G72" s="0" t="inlineStr">
        <is>
          <t xml:space="preserve">Unidad</t>
        </is>
      </c>
      <c r="H72"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73">
      <c r="A73" s="0" t="inlineStr">
        <is>
          <t xml:space="preserve">1607-13-LR26</t>
        </is>
      </c>
      <c r="B73" s="4" t="inlineStr">
        <is>
          <t xml:space="preserve">servicio SD-WAN LAN telefonía en la nube y enlaces</t>
        </is>
      </c>
      <c r="C73" s="0">
        <v>1</v>
      </c>
      <c r="D73" s="4" t="inlineStr">
        <is>
          <t xml:space="preserve">Diseño de redes de comunicación de cobertura amplia (WAN)</t>
        </is>
      </c>
      <c r="E73" s="4" t="inlineStr">
        <is>
          <t xml:space="preserve">Servicios basados en ingeniería, ciencias sociales y tecnología de la información / Servicios informáticos / Sistemas de información</t>
        </is>
      </c>
      <c r="F73" s="0">
        <v>1.0</v>
      </c>
      <c r="G73" s="0" t="inlineStr">
        <is>
          <t xml:space="preserve">Unidad</t>
        </is>
      </c>
      <c r="H73" s="4" t="inlineStr">
        <is>
          <t xml:space="preserve">servicios SD-WAN, LAN, telefonía en la nube y enlaces internet para la Superintendencia de Seguridad Social.</t>
        </is>
      </c>
    </row>
    <row r="74">
      <c r="A74" s="0" t="inlineStr">
        <is>
          <t xml:space="preserve">548874-79-LE26</t>
        </is>
      </c>
      <c r="B74" s="4" t="inlineStr">
        <is>
          <t xml:space="preserve">SERVICIO SOPORTE SOFTWARE INFORMIX PARA IPS</t>
        </is>
      </c>
      <c r="C74" s="0">
        <v>1</v>
      </c>
      <c r="D74" s="4" t="inlineStr">
        <is>
          <t xml:space="preserve">Software del sistema de administración de bases de datos</t>
        </is>
      </c>
      <c r="E74" s="4" t="inlineStr">
        <is>
          <t xml:space="preserve">Tecnologías de la información, telecomunicaciones y radiodifusión / Software / Software de consultas y gestión de datos</t>
        </is>
      </c>
      <c r="F74" s="0">
        <v>1.0</v>
      </c>
      <c r="G74" s="0" t="inlineStr">
        <is>
          <t xml:space="preserve">Global</t>
        </is>
      </c>
      <c r="H74" s="4" t="inlineStr">
        <is>
          <t xml:space="preserve">SERVICIO DE SOPORTE DEL SOFTWARE INFORMIX PARA EL IPS.</t>
        </is>
      </c>
    </row>
    <row r="75">
      <c r="A75" s="0" t="inlineStr">
        <is>
          <t xml:space="preserve">726931-1-LE26</t>
        </is>
      </c>
      <c r="B75" s="4" t="inlineStr">
        <is>
          <t xml:space="preserve">PLATAFORMA INTEGRAL ALUMNI Y EMPLEABILIDAD UTA</t>
        </is>
      </c>
      <c r="C75" s="0">
        <v>1</v>
      </c>
      <c r="D75" s="4" t="inlineStr">
        <is>
          <t xml:space="preserve">Software de desarrollo de plataforma Web</t>
        </is>
      </c>
      <c r="E75" s="4" t="inlineStr">
        <is>
          <t xml:space="preserve">Tecnologías de la información, telecomunicaciones y radiodifusión / Software / Programas de desarrollo</t>
        </is>
      </c>
      <c r="F75" s="0">
        <v>1.0</v>
      </c>
      <c r="G75" s="0" t="inlineStr">
        <is>
          <t xml:space="preserve">Global</t>
        </is>
      </c>
      <c r="H75" s="4" t="inlineStr">
        <is>
          <t xml:space="preserve">Adquisición de servicio de plataforma integral ALUMNI y empleabilidad para estudiantes, egresados y titulados de la Universidad de Tarapacá, por un periodo de 24 meses de duración.</t>
        </is>
      </c>
    </row>
    <row r="76">
      <c r="A76" s="0" t="inlineStr">
        <is>
          <t xml:space="preserve">948354-135-LP26</t>
        </is>
      </c>
      <c r="B76" s="4" t="inlineStr">
        <is>
          <t xml:space="preserve">CONTRATACIÓN DEL SERVICIO DE ARRIENDO DE UNA CABINA SANITARIA CON EQUIPO MAMÓGRAFO PARA USO DE MAMOGRAFÍA DIGITALIZADA PORTÁTIL PARA EL HOSPITAL DIPRECA</t>
        </is>
      </c>
      <c r="C76" s="0">
        <v>1</v>
      </c>
      <c r="D76" s="4" t="inlineStr">
        <is>
          <t xml:space="preserve">Equipo para radiografías mamográficas</t>
        </is>
      </c>
      <c r="E76" s="4" t="inlineStr">
        <is>
          <t xml:space="preserve">Equipamiento y suministros médicos / Productos para imágenes y de medicina nuclear / Artículos radiográficos de diagnóstico médico</t>
        </is>
      </c>
      <c r="F76" s="0">
        <v>12.0</v>
      </c>
      <c r="G76" s="0" t="inlineStr">
        <is>
          <t xml:space="preserve">Mes</t>
        </is>
      </c>
      <c r="H76" s="4" t="inlineStr">
        <is>
          <t xml:space="preserve">Servicio de Arriendo de una Cabina Sanitaria con Equipo Mamógrafo para Uso de Mamografía Digitalizada Portátil</t>
        </is>
      </c>
    </row>
    <row r="77">
      <c r="A77" s="0" t="inlineStr">
        <is>
          <t xml:space="preserve">1375757-29-LE26</t>
        </is>
      </c>
      <c r="B77" s="4" t="inlineStr">
        <is>
          <t xml:space="preserve">SERVICIO DE RELOJ CONTROL Y SOFTWARE DE GESTIÓN</t>
        </is>
      </c>
      <c r="C77" s="0">
        <v>1</v>
      </c>
      <c r="D77" s="4" t="inlineStr">
        <is>
          <t xml:space="preserve">Reloj de control</t>
        </is>
      </c>
      <c r="E77" s="4" t="inlineStr">
        <is>
          <t xml:space="preserve">Equipos, accesorios y suministros de oficina / Maquinarias, suministros y accesorios de oficina / Máquinas y accesorios para registro de hora y asistencia en la oficina</t>
        </is>
      </c>
      <c r="F77" s="0">
        <v>1.0</v>
      </c>
      <c r="G77" s="0" t="inlineStr">
        <is>
          <t xml:space="preserve">Global</t>
        </is>
      </c>
      <c r="H77" s="4" t="inlineStr">
        <is>
          <t xml:space="preserve">SERVICIO DE RELOJ CONTROL Y SOFTWARE DE GESTIÓN DE ASISTENCIA PARA EL SLEP PUELCHE P01-P02</t>
        </is>
      </c>
    </row>
    <row r="78">
      <c r="A78" s="0" t="inlineStr">
        <is>
          <t xml:space="preserve">3863-55-LE26</t>
        </is>
      </c>
      <c r="B78" s="4" t="inlineStr">
        <is>
          <t xml:space="preserve">ADQUISICIÓN DE LICENCIAS DE SOFTWARE POLITECNICO</t>
        </is>
      </c>
      <c r="C78" s="0">
        <v>1</v>
      </c>
      <c r="D78" s="4" t="inlineStr">
        <is>
          <t xml:space="preserve">Software de gestión de licencias</t>
        </is>
      </c>
      <c r="E78" s="4" t="inlineStr">
        <is>
          <t xml:space="preserve">Tecnologías de la información, telecomunicaciones y radiodifusión / Software / Software de gestión</t>
        </is>
      </c>
      <c r="F78" s="0">
        <v>1.0</v>
      </c>
      <c r="G78" s="0" t="inlineStr">
        <is>
          <t xml:space="preserve">Unidad no definida</t>
        </is>
      </c>
      <c r="H78" s="4" t="inlineStr">
        <is>
          <t xml:space="preserve">LINEA  N° 1 LICENCIA ADOBE ILUSTRATOR</t>
        </is>
      </c>
    </row>
    <row r="79">
      <c r="A79" s="0" t="inlineStr">
        <is>
          <t xml:space="preserve">3863-55-LE26</t>
        </is>
      </c>
      <c r="B79" s="4" t="inlineStr">
        <is>
          <t xml:space="preserve">ADQUISICIÓN DE LICENCIAS DE SOFTWARE POLITECNICO</t>
        </is>
      </c>
      <c r="C79" s="0">
        <v>2</v>
      </c>
      <c r="D79" s="4" t="inlineStr">
        <is>
          <t xml:space="preserve">Software de gestión de licencias</t>
        </is>
      </c>
      <c r="E79" s="4" t="inlineStr">
        <is>
          <t xml:space="preserve">Tecnologías de la información, telecomunicaciones y radiodifusión / Software / Software de gestión</t>
        </is>
      </c>
      <c r="F79" s="0">
        <v>1.0</v>
      </c>
      <c r="G79" s="0" t="inlineStr">
        <is>
          <t xml:space="preserve">Unidad no definida</t>
        </is>
      </c>
      <c r="H79" s="4" t="inlineStr">
        <is>
          <t xml:space="preserve">LINEA N° 2 LICENCIA MICROSOFT WINDOWS 11 PRO</t>
        </is>
      </c>
    </row>
    <row r="80">
      <c r="A80" s="0" t="inlineStr">
        <is>
          <t xml:space="preserve">3863-55-LE26</t>
        </is>
      </c>
      <c r="B80" s="4" t="inlineStr">
        <is>
          <t xml:space="preserve">ADQUISICIÓN DE LICENCIAS DE SOFTWARE POLITECNICO</t>
        </is>
      </c>
      <c r="C80" s="0">
        <v>3</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Unidad no definida</t>
        </is>
      </c>
      <c r="H80" s="4" t="inlineStr">
        <is>
          <t xml:space="preserve">LINEA N° 3 LICENCIA FARONICS CLOUD DEEP FREEZE 2024</t>
        </is>
      </c>
    </row>
    <row r="81">
      <c r="A81" s="0" t="inlineStr">
        <is>
          <t xml:space="preserve">1274285-45-LP26</t>
        </is>
      </c>
      <c r="B81" s="4" t="inlineStr">
        <is>
          <t xml:space="preserve">Software de gestión Droguería Comunal</t>
        </is>
      </c>
      <c r="C81" s="0">
        <v>1</v>
      </c>
      <c r="D81" s="4" t="inlineStr">
        <is>
          <t xml:space="preserve">Software de cadena de suministro y logística de planificación de requisitos de materiales</t>
        </is>
      </c>
      <c r="E81" s="4" t="inlineStr">
        <is>
          <t xml:space="preserve">Tecnologías de la información, telecomunicaciones y radiodifusión / Software / Software de gestión</t>
        </is>
      </c>
      <c r="F81" s="0">
        <v>1.0</v>
      </c>
      <c r="G81" s="0" t="inlineStr">
        <is>
          <t xml:space="preserve">Unidad</t>
        </is>
      </c>
      <c r="H81" s="4" t="inlineStr">
        <is>
          <t xml:space="preserve">Software de cadena de suministro para droguería comunal y centros de salud de la corporación municipal de salud de San Bernardo, para las siguientes áreas: recepción, Almacenamiento, Despacho, Inventario y Reportes de gestión</t>
        </is>
      </c>
    </row>
    <row r="82">
      <c r="A82" s="0" t="inlineStr">
        <is>
          <t xml:space="preserve">3666-12-LE26</t>
        </is>
      </c>
      <c r="B82" s="4" t="inlineStr">
        <is>
          <t xml:space="preserve">GESTION DOCUMENTAL Y DIGITAL MUNICIPALIDAD TILTIL</t>
        </is>
      </c>
      <c r="C82" s="0">
        <v>1</v>
      </c>
      <c r="D82" s="4" t="inlineStr">
        <is>
          <t xml:space="preserve">Programas de gestión de documentos</t>
        </is>
      </c>
      <c r="E82" s="4" t="inlineStr">
        <is>
          <t xml:space="preserve">Tecnologías de la información, telecomunicaciones y radiodifusión / Software / Software de gestión de contenidos</t>
        </is>
      </c>
      <c r="F82" s="0">
        <v>1.0</v>
      </c>
      <c r="G82" s="0" t="inlineStr">
        <is>
          <t xml:space="preserve">Unidad</t>
        </is>
      </c>
      <c r="H82"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83">
      <c r="A83" s="0" t="inlineStr">
        <is>
          <t xml:space="preserve">1575-15-LE26</t>
        </is>
      </c>
      <c r="B83" s="4" t="inlineStr">
        <is>
          <t xml:space="preserve">MANTENCION DE EQUIPOS INFORMATICOS</t>
        </is>
      </c>
      <c r="C83" s="0">
        <v>1</v>
      </c>
      <c r="D83" s="4" t="inlineStr">
        <is>
          <t xml:space="preserve">Fotocopiadoras</t>
        </is>
      </c>
      <c r="E83" s="4" t="inlineStr">
        <is>
          <t xml:space="preserve">Equipos, accesorios y suministros de oficina / Maquinarias, suministros y accesorios de oficina / Multicopistas, fotocopiadoras, fax y multifuncionales</t>
        </is>
      </c>
      <c r="F83" s="0">
        <v>1.0</v>
      </c>
      <c r="G83" s="0" t="inlineStr">
        <is>
          <t xml:space="preserve">Unidad</t>
        </is>
      </c>
      <c r="H83" s="4" t="inlineStr">
        <is>
          <t xml:space="preserve">“CONTRATO DE SUMINISTRO DE MANTENCION Y REPARACION DE IMPRESORAS, ESCANERS, PLOTTERS, PROYECTORES PARA JARDINES INFANTILES Y OFICINAS DE LA REGIÓN DE O´HIGGINS</t>
        </is>
      </c>
    </row>
    <row r="84">
      <c r="A84" s="0" t="inlineStr">
        <is>
          <t xml:space="preserve">2446-276-L126</t>
        </is>
      </c>
      <c r="B84" s="4" t="inlineStr">
        <is>
          <t xml:space="preserve">“CURSO DE CAPACITACION PARA 20 PERSONAS SOBRE USO DEL PROGRAMA POWER BI”</t>
        </is>
      </c>
      <c r="C84" s="0">
        <v>1</v>
      </c>
      <c r="D84" s="4" t="inlineStr">
        <is>
          <t xml:space="preserve">Capacitación a empleados</t>
        </is>
      </c>
      <c r="E84" s="4" t="inlineStr">
        <is>
          <t xml:space="preserve">Educación, formación, entrenamiento y capacitación / Sistemas educativos complementarios / Educación de adultos</t>
        </is>
      </c>
      <c r="F84" s="0">
        <v>1.0</v>
      </c>
      <c r="G84" s="0" t="inlineStr">
        <is>
          <t xml:space="preserve">Unidad</t>
        </is>
      </c>
      <c r="H84" s="4" t="inlineStr">
        <is>
          <t xml:space="preserve">Capacitación de personal profesional de la municipalidad de Coquimbo en el uso del Software Power Business Intelligence (BI), para 20 personas. (según anexo teórico)</t>
        </is>
      </c>
    </row>
    <row r="85">
      <c r="A85" s="0" t="inlineStr">
        <is>
          <t xml:space="preserve">3970-8-LE26</t>
        </is>
      </c>
      <c r="B85" s="4" t="inlineStr">
        <is>
          <t xml:space="preserve">01 SISTEMA DE EVIDENCIA DIGITAL Y ACCESORIOS OS9</t>
        </is>
      </c>
      <c r="C85" s="0">
        <v>1</v>
      </c>
      <c r="D85" s="4" t="inlineStr">
        <is>
          <t xml:space="preserve">Adaptadores de telefonía o hardware</t>
        </is>
      </c>
      <c r="E85" s="4" t="inlineStr">
        <is>
          <t xml:space="preserve">Tecnologías de la información, telecomunicaciones y radiodifusión / Componentes para tecnología de la información, difusión o telecomunicaciones / Módulos, interfaces, procesadores y placas de sistema</t>
        </is>
      </c>
      <c r="F85" s="0">
        <v>1.0</v>
      </c>
      <c r="G85" s="0" t="inlineStr">
        <is>
          <t xml:space="preserve">Unidad</t>
        </is>
      </c>
      <c r="H85" s="4" t="inlineStr">
        <is>
          <t xml:space="preserve">ADQUISICIÓN 01 SISTEMA DE EVIDENCIA DIGITAL Y ACCESORIOS PARA EL DEPARTAMENTO INVESTIGACIÓN DE ORGANIZACIONES CRIMINALES O.S.9</t>
        </is>
      </c>
    </row>
    <row r="86">
      <c r="A86" s="0" t="inlineStr">
        <is>
          <t xml:space="preserve">5394-22-LE26</t>
        </is>
      </c>
      <c r="B86" s="4" t="inlineStr">
        <is>
          <t xml:space="preserve">SERVICIO DE CONSULTORÍA DE CIBERSEGURIDAD UMAG</t>
        </is>
      </c>
      <c r="C86" s="0">
        <v>1</v>
      </c>
      <c r="D86" s="4" t="inlineStr">
        <is>
          <t xml:space="preserve">Asesorías Informáticas</t>
        </is>
      </c>
      <c r="E86" s="4" t="inlineStr">
        <is>
          <t xml:space="preserve">Servicios profesionales, administrativos y consultorías de gestión empresarial / Consultorías o asesorías en gestión empresarial / Servicios de consultoría en gestión de empresas</t>
        </is>
      </c>
      <c r="F86" s="0">
        <v>1.0</v>
      </c>
      <c r="G86" s="0" t="inlineStr">
        <is>
          <t xml:space="preserve">Global</t>
        </is>
      </c>
      <c r="H86" s="4" t="inlineStr">
        <is>
          <t xml:space="preserve">LINEA GLOBAL: CONTRATACIÓN DE SERVICIOS DE CONSULTORÍA DE CIBERSEGURIDAD PARA EL FORTALECIMIENTO DE LA GESTIÓN ADMINISTRATIVA Y TRANSFORMACION DIGITAL INSTITUCIONAL DE LA UNIVERSIDAD DE MAGALLANES.</t>
        </is>
      </c>
    </row>
    <row r="87">
      <c r="A87" s="0" t="inlineStr">
        <is>
          <t xml:space="preserve">4469-178-L126</t>
        </is>
      </c>
      <c r="B87" s="4" t="inlineStr">
        <is>
          <t xml:space="preserve">SC 40532(CS)RENOVACION LICENCIAS DE GESTION POWER BI</t>
        </is>
      </c>
      <c r="C87" s="0">
        <v>1</v>
      </c>
      <c r="D87" s="4" t="inlineStr">
        <is>
          <t xml:space="preserve">Software de gestión de licencias</t>
        </is>
      </c>
      <c r="E87" s="4" t="inlineStr">
        <is>
          <t xml:space="preserve">Tecnologías de la información, telecomunicaciones y radiodifusión / Software / Software de gestión</t>
        </is>
      </c>
      <c r="F87" s="0">
        <v>16.0</v>
      </c>
      <c r="G87" s="0" t="inlineStr">
        <is>
          <t xml:space="preserve">Unidad</t>
        </is>
      </c>
      <c r="H87" s="4" t="inlineStr">
        <is>
          <t xml:space="preserve">LICENCIA MICROSOFT POWER BI PRO GAMA6E VALOR
ANUAL
"El proveedor debe suministrar certificado que lo acredite como Partner autorizado para
comercializar, configurar y apoyar las soluciones de software licitado".</t>
        </is>
      </c>
    </row>
    <row r="88">
      <c r="A88" s="0" t="inlineStr">
        <is>
          <t xml:space="preserve">1447930-11-LP26</t>
        </is>
      </c>
      <c r="B88" s="4" t="inlineStr">
        <is>
          <t xml:space="preserve">SSP - Plataforma de virtualización On Premise</t>
        </is>
      </c>
      <c r="C88" s="0">
        <v>1</v>
      </c>
      <c r="D88" s="4" t="inlineStr">
        <is>
          <t xml:space="preserve">Software de interconectividad de plataformas</t>
        </is>
      </c>
      <c r="E88" s="4" t="inlineStr">
        <is>
          <t xml:space="preserve">Tecnologías de la información, telecomunicaciones y radiodifusión / Software / Software para trabajo en redes</t>
        </is>
      </c>
      <c r="F88" s="0">
        <v>1.0</v>
      </c>
      <c r="G88" s="0" t="inlineStr">
        <is>
          <t xml:space="preserve">Unidad</t>
        </is>
      </c>
      <c r="H88" s="4" t="inlineStr">
        <is>
          <t xml:space="preserve">ADQUISICIÓN E IMPLEMENTACIÓN DE EQUIPAMIENTO, SOFTWARE, PUESTA EN MARCHA Y PASO A PRODUCCIÓN DE UNA PLATAFORMA DE VIRTUALIZACIÓN ON PREMISE PARA LA SUBSECRETARÍA DE SEGURIDAD PÚBLICA</t>
        </is>
      </c>
    </row>
    <row r="89">
      <c r="A89" s="0" t="inlineStr">
        <is>
          <t xml:space="preserve">2405-142-LE26</t>
        </is>
      </c>
      <c r="B89" s="4" t="inlineStr">
        <is>
          <t xml:space="preserve">ADQUISICIÓN DE SOFTWARE PARA RENDERIZADO 3D ANÁLISIS ESTRUCTURAL AVANZADO ANÁLISIS SÍSMICO AVANZADO E INFORMACIÓN GEOGRÁFICA</t>
        </is>
      </c>
      <c r="C89" s="0">
        <v>1</v>
      </c>
      <c r="D89" s="4" t="inlineStr">
        <is>
          <t xml:space="preserve">Software de servidor de aplicaciones</t>
        </is>
      </c>
      <c r="E89" s="4" t="inlineStr">
        <is>
          <t xml:space="preserve">Tecnologías de la información, telecomunicaciones y radiodifusión / Software / Software de aplicaciones de red</t>
        </is>
      </c>
      <c r="F89" s="0">
        <v>1.0</v>
      </c>
      <c r="G89" s="0" t="inlineStr">
        <is>
          <t xml:space="preserve">Global</t>
        </is>
      </c>
      <c r="H89"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90">
      <c r="A90" s="0" t="inlineStr">
        <is>
          <t xml:space="preserve">2405-142-LE26</t>
        </is>
      </c>
      <c r="B90" s="4" t="inlineStr">
        <is>
          <t xml:space="preserve">ADQUISICIÓN DE SOFTWARE PARA RENDERIZADO 3D ANÁLISIS ESTRUCTURAL AVANZADO ANÁLISIS SÍSMICO AVANZADO E INFORMACIÓN GEOGRÁFICA</t>
        </is>
      </c>
      <c r="C90" s="0">
        <v>2</v>
      </c>
      <c r="D90" s="4" t="inlineStr">
        <is>
          <t xml:space="preserve">Software de servidor de aplicaciones</t>
        </is>
      </c>
      <c r="E90" s="4" t="inlineStr">
        <is>
          <t xml:space="preserve">Tecnologías de la información, telecomunicaciones y radiodifusión / Software / Software de aplicaciones de red</t>
        </is>
      </c>
      <c r="F90" s="0">
        <v>1.0</v>
      </c>
      <c r="G90" s="0" t="inlineStr">
        <is>
          <t xml:space="preserve">Global</t>
        </is>
      </c>
      <c r="H90" s="4" t="inlineStr">
        <is>
          <t xml:space="preserve">Software destinado a la visualización arquitectónica y renderizado en tiempo real, modalidad anual prepago 1 año, tipo Lumion Pro o similar.</t>
        </is>
      </c>
    </row>
    <row r="91">
      <c r="A91" s="0" t="inlineStr">
        <is>
          <t xml:space="preserve">2405-142-LE26</t>
        </is>
      </c>
      <c r="B91" s="4" t="inlineStr">
        <is>
          <t xml:space="preserve">ADQUISICIÓN DE SOFTWARE PARA RENDERIZADO 3D ANÁLISIS ESTRUCTURAL AVANZADO ANÁLISIS SÍSMICO AVANZADO E INFORMACIÓN GEOGRÁFICA</t>
        </is>
      </c>
      <c r="C91" s="0">
        <v>3</v>
      </c>
      <c r="D91" s="4" t="inlineStr">
        <is>
          <t xml:space="preserve">Software de servidor de aplicaciones</t>
        </is>
      </c>
      <c r="E91" s="4" t="inlineStr">
        <is>
          <t xml:space="preserve">Tecnologías de la información, telecomunicaciones y radiodifusión / Software / Software de aplicaciones de red</t>
        </is>
      </c>
      <c r="F91" s="0">
        <v>1.0</v>
      </c>
      <c r="G91" s="0" t="inlineStr">
        <is>
          <t xml:space="preserve">Global</t>
        </is>
      </c>
      <c r="H91" s="4" t="inlineStr">
        <is>
          <t xml:space="preserve">Software de análisis y diseño estructural, modalidad anual prepago 1 año, tipo SAP2000 o similar</t>
        </is>
      </c>
    </row>
    <row r="92">
      <c r="A92" s="0" t="inlineStr">
        <is>
          <t xml:space="preserve">2405-142-LE26</t>
        </is>
      </c>
      <c r="B92" s="4" t="inlineStr">
        <is>
          <t xml:space="preserve">ADQUISICIÓN DE SOFTWARE PARA RENDERIZADO 3D ANÁLISIS ESTRUCTURAL AVANZADO ANÁLISIS SÍSMICO AVANZADO E INFORMACIÓN GEOGRÁFICA</t>
        </is>
      </c>
      <c r="C92" s="0">
        <v>4</v>
      </c>
      <c r="D92" s="4" t="inlineStr">
        <is>
          <t xml:space="preserve">Software de servidor de aplicaciones</t>
        </is>
      </c>
      <c r="E92" s="4" t="inlineStr">
        <is>
          <t xml:space="preserve">Tecnologías de la información, telecomunicaciones y radiodifusión / Software / Software de aplicaciones de red</t>
        </is>
      </c>
      <c r="F92" s="0">
        <v>1.0</v>
      </c>
      <c r="G92" s="0" t="inlineStr">
        <is>
          <t xml:space="preserve">Global</t>
        </is>
      </c>
      <c r="H92" s="4" t="inlineStr">
        <is>
          <t xml:space="preserve">Software de análisis y diseño estructural, modalidad anual prepago 1 año, tipo ETABS 21 o similar</t>
        </is>
      </c>
    </row>
    <row r="93">
      <c r="A93" s="0" t="inlineStr">
        <is>
          <t xml:space="preserve">3269-10-LP26</t>
        </is>
      </c>
      <c r="B93" s="4" t="inlineStr">
        <is>
          <t xml:space="preserve">S.A. 68 SOPORTE Y MANTTO PLATAFORMA DATOS QUMULO</t>
        </is>
      </c>
      <c r="C93" s="0">
        <v>1</v>
      </c>
      <c r="D93" s="4" t="inlineStr">
        <is>
          <t xml:space="preserve">Servicios de almacenamiento de datos</t>
        </is>
      </c>
      <c r="E93" s="4" t="inlineStr">
        <is>
          <t xml:space="preserve">Servicios basados en ingeniería, ciencias sociales y tecnología de la información / Servicios informáticos / Servicios de datos</t>
        </is>
      </c>
      <c r="F93" s="0">
        <v>1.0</v>
      </c>
      <c r="G93" s="0" t="inlineStr">
        <is>
          <t xml:space="preserve">Unidad</t>
        </is>
      </c>
      <c r="H93" s="4" t="inlineStr">
        <is>
          <t xml:space="preserve">SERVICIO DE SOPORTE, MANTENCIÓN PREVENTIVA, CORRECTIVA PARA PLATAFORMA DE PROCESAMIENTO Y ALMACENAMIENTO DE DATOS QUMULO, HARDWARE Y SOFTWARE.</t>
        </is>
      </c>
    </row>
    <row r="94">
      <c r="A94" s="0" t="inlineStr">
        <is>
          <t xml:space="preserve">1057489-285-LP26</t>
        </is>
      </c>
      <c r="B94" s="4" t="inlineStr">
        <is>
          <t xml:space="preserve">Arriendo de Huelleros digitales y Pistola Escáner</t>
        </is>
      </c>
      <c r="C94" s="0">
        <v>1</v>
      </c>
      <c r="D94" s="4" t="inlineStr">
        <is>
          <t xml:space="preserve">Equipo de lector de código de barras</t>
        </is>
      </c>
      <c r="E94" s="4" t="inlineStr">
        <is>
          <t xml:space="preserve">Tecnologías de la información, telecomunicaciones y radiodifusión / Equipos informáticos y accesorios / Dispositivos informáticos de entrada de datos</t>
        </is>
      </c>
      <c r="F94" s="0">
        <v>1.0</v>
      </c>
      <c r="G94" s="0" t="inlineStr">
        <is>
          <t xml:space="preserve">Unidad</t>
        </is>
      </c>
      <c r="H94" s="4" t="inlineStr">
        <is>
          <t xml:space="preserve">Arriendo de Huelleros digitales y Pistola Escáner, Lector Códigos de Barras</t>
        </is>
      </c>
    </row>
    <row r="95">
      <c r="A95" s="0" t="inlineStr">
        <is>
          <t xml:space="preserve">548874-72-LR26</t>
        </is>
      </c>
      <c r="B95" s="4" t="inlineStr">
        <is>
          <t xml:space="preserve">SERV. DE ADMINISTRACION PLATAFORMAS TECNOLOGICAS</t>
        </is>
      </c>
      <c r="C95" s="0">
        <v>1</v>
      </c>
      <c r="D95" s="4" t="inlineStr">
        <is>
          <t xml:space="preserve">Software del sistema de administración de bases de datos</t>
        </is>
      </c>
      <c r="E95" s="4" t="inlineStr">
        <is>
          <t xml:space="preserve">Tecnologías de la información, telecomunicaciones y radiodifusión / Software / Software de consultas y gestión de datos</t>
        </is>
      </c>
      <c r="F95" s="0">
        <v>1.0</v>
      </c>
      <c r="G95" s="0" t="inlineStr">
        <is>
          <t xml:space="preserve">Global</t>
        </is>
      </c>
      <c r="H95" s="4" t="inlineStr">
        <is>
          <t xml:space="preserve">SERVICIO DE
ADMINISTRACION,
GESTION,
CONFIGURACION,
RESPALDOS Y
MANTENCION DE LAS
PLATAFORMAS
TECNOLOGICAS DE
IPS</t>
        </is>
      </c>
    </row>
    <row r="96">
      <c r="A96" s="0" t="inlineStr">
        <is>
          <t xml:space="preserve">5482-103-LP26</t>
        </is>
      </c>
      <c r="B96" s="4" t="inlineStr">
        <is>
          <t xml:space="preserve">PLATAFORMA DE GESTIÓN TERRITORIAL Y DE RENTAS</t>
        </is>
      </c>
      <c r="C96" s="0">
        <v>1</v>
      </c>
      <c r="D96" s="4" t="inlineStr">
        <is>
          <t xml:space="preserve">Software de desarrollo de plataforma Web</t>
        </is>
      </c>
      <c r="E96" s="4" t="inlineStr">
        <is>
          <t xml:space="preserve">Tecnologías de la información, telecomunicaciones y radiodifusión / Software / Programas de desarrollo</t>
        </is>
      </c>
      <c r="F96" s="0">
        <v>30.0</v>
      </c>
      <c r="G96" s="0" t="inlineStr">
        <is>
          <t xml:space="preserve">Mes</t>
        </is>
      </c>
      <c r="H96" s="4" t="inlineStr">
        <is>
          <t xml:space="preserve">Contratación de plataforma de gestión territorial y de rentas.</t>
        </is>
      </c>
    </row>
    <row r="97">
      <c r="A97" s="0" t="inlineStr">
        <is>
          <t xml:space="preserve">721703-40-LP26</t>
        </is>
      </c>
      <c r="B97" s="4" t="inlineStr">
        <is>
          <t xml:space="preserve">Diagramación ilustración y digitalización SNE y DIA 2027</t>
        </is>
      </c>
      <c r="C97" s="0">
        <v>1</v>
      </c>
      <c r="D97" s="4" t="inlineStr">
        <is>
          <t xml:space="preserve">Diagramación</t>
        </is>
      </c>
      <c r="E97" s="4" t="inlineStr">
        <is>
          <t xml:space="preserve">Servicios editoriales, de diseño, publicidad, gráficos y artistas / Servicios de impresión y reproducción / Impresión</t>
        </is>
      </c>
      <c r="F97" s="0">
        <v>1.0</v>
      </c>
      <c r="G97" s="0" t="inlineStr">
        <is>
          <t xml:space="preserve">Global</t>
        </is>
      </c>
      <c r="H97" s="4" t="inlineStr">
        <is>
          <t xml:space="preserve">Diagramación, ilustración y digitalización del Sistema Nacional de Evaluaciones y Diagnóstico Integral de Aprendizajes 2027.</t>
        </is>
      </c>
    </row>
    <row r="98">
      <c r="A98" s="0" t="inlineStr">
        <is>
          <t xml:space="preserve">2020-21-LE26</t>
        </is>
      </c>
      <c r="B98" s="4" t="inlineStr">
        <is>
          <t xml:space="preserve">MEJORA DE LA PLATAFORMA INFORMÁTICA PARA LA BCN.</t>
        </is>
      </c>
      <c r="C98" s="0">
        <v>1</v>
      </c>
      <c r="D98" s="4" t="inlineStr">
        <is>
          <t xml:space="preserve">Up grade de software</t>
        </is>
      </c>
      <c r="E98" s="4" t="inlineStr">
        <is>
          <t xml:space="preserve">Servicios basados en ingeniería, ciencias sociales y tecnología de la información / Servicios informáticos / Mantenimiento y soporte de software</t>
        </is>
      </c>
      <c r="F98" s="0">
        <v>1.0</v>
      </c>
      <c r="G98" s="0" t="inlineStr">
        <is>
          <t xml:space="preserve">Unidad</t>
        </is>
      </c>
      <c r="H98" s="4" t="inlineStr">
        <is>
          <t xml:space="preserve">PROYECTO DE MEJORA DE LA PLATAFORMA INFORMÁTICA DEL
SISTEMA HISTORIA DE LA LEY Y LABOR PARLAMENTARIA PARA LA BIBLIOTECA DEL CONGRESO NACIONAL.</t>
        </is>
      </c>
    </row>
    <row r="99">
      <c r="A99" s="0" t="inlineStr">
        <is>
          <t xml:space="preserve">5413-72-LP26</t>
        </is>
      </c>
      <c r="B99" s="4" t="inlineStr">
        <is>
          <t xml:space="preserve">Cámaras digitales y lentes de cámara. Proyecto RED</t>
        </is>
      </c>
      <c r="C99" s="0">
        <v>1</v>
      </c>
      <c r="D99" s="4" t="inlineStr">
        <is>
          <t xml:space="preserve">Videocámaras portátiles</t>
        </is>
      </c>
      <c r="E99" s="4" t="inlineStr">
        <is>
          <t xml:space="preserve">Equipos y suministros de imprenta, fotográficos y audiovisuales / Equipos de video, filmación o fotografía / Cámaras</t>
        </is>
      </c>
      <c r="F99" s="0">
        <v>19.0</v>
      </c>
      <c r="G99" s="0" t="inlineStr">
        <is>
          <t xml:space="preserve">Unidad</t>
        </is>
      </c>
      <c r="H99" s="4" t="inlineStr">
        <is>
          <t xml:space="preserve">Cámara de Cine Digital Portátil Profesional o equipo técnicamente equivalentes con las siguientes características</t>
        </is>
      </c>
    </row>
    <row r="100">
      <c r="A100" s="0" t="inlineStr">
        <is>
          <t xml:space="preserve">5413-72-LP26</t>
        </is>
      </c>
      <c r="B100" s="4" t="inlineStr">
        <is>
          <t xml:space="preserve">Cámaras digitales y lentes de cámara. Proyecto RED</t>
        </is>
      </c>
      <c r="C100" s="0">
        <v>2</v>
      </c>
      <c r="D100" s="4" t="inlineStr">
        <is>
          <t xml:space="preserve">Videocámaras portátiles</t>
        </is>
      </c>
      <c r="E100" s="4" t="inlineStr">
        <is>
          <t xml:space="preserve">Equipos y suministros de imprenta, fotográficos y audiovisuales / Equipos de video, filmación o fotografía / Cámaras</t>
        </is>
      </c>
      <c r="F100" s="0">
        <v>19.0</v>
      </c>
      <c r="G100" s="0" t="inlineStr">
        <is>
          <t xml:space="preserve">Unidad</t>
        </is>
      </c>
      <c r="H100" s="4" t="inlineStr">
        <is>
          <t xml:space="preserve">Lente Zoom Estándar de Serie Profesional o equipo técnicamente equivalentes con las siguientes características</t>
        </is>
      </c>
    </row>
    <row r="101">
      <c r="A101" s="0" t="inlineStr">
        <is>
          <t xml:space="preserve">609-28-LE26</t>
        </is>
      </c>
      <c r="B101" s="4" t="inlineStr">
        <is>
          <t xml:space="preserve">Adquisición de licencias prevención de datos</t>
        </is>
      </c>
      <c r="C101" s="0">
        <v>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ADQUISICIÓN DE LICENCIAS PARA LA AUTENTIFICACIÓN DE DOBLE FACTOR Y PREVENCIÓN DE PÉRDIDA DE DATOS</t>
        </is>
      </c>
    </row>
    <row r="102">
      <c r="A102" s="0" t="inlineStr">
        <is>
          <t xml:space="preserve">1005498-22-LE26</t>
        </is>
      </c>
      <c r="B102" s="4" t="inlineStr">
        <is>
          <t xml:space="preserve">Servicio de implementación de Jira o similar en modalidad Cloud</t>
        </is>
      </c>
      <c r="C102" s="0">
        <v>1</v>
      </c>
      <c r="D102" s="4" t="inlineStr">
        <is>
          <t xml:space="preserve">Programas de gestión de proyectos</t>
        </is>
      </c>
      <c r="E102" s="4" t="inlineStr">
        <is>
          <t xml:space="preserve">Tecnologías de la información, telecomunicaciones y radiodifusión / Software / Software de gestión</t>
        </is>
      </c>
      <c r="F102" s="0">
        <v>1.0</v>
      </c>
      <c r="G102" s="0" t="inlineStr">
        <is>
          <t xml:space="preserve">Global</t>
        </is>
      </c>
      <c r="H102" s="4" t="inlineStr">
        <is>
          <t xml:space="preserve">Servicios de implementación de Jira (o similar) en modalidad Cloud, de acuerdo con las características que se han definido en las presentes bases administrativas, bases técnicas y sus anexos.</t>
        </is>
      </c>
    </row>
    <row r="103">
      <c r="A103" s="0" t="inlineStr">
        <is>
          <t xml:space="preserve">4051-16-LP26</t>
        </is>
      </c>
      <c r="B103" s="4" t="inlineStr">
        <is>
          <t xml:space="preserve">SERVICIO ADMINISTRADO DE INTERNET RED DE DATOS Y</t>
        </is>
      </c>
      <c r="C103" s="0">
        <v>1</v>
      </c>
      <c r="D103" s="4" t="inlineStr">
        <is>
          <t xml:space="preserve">Proveedores de servicio de Internet (ISP)</t>
        </is>
      </c>
      <c r="E103" s="4" t="inlineStr">
        <is>
          <t xml:space="preserve">Servicios basados en ingeniería, ciencias sociales y tecnología de la información / Servicios informáticos / Servicios para internet</t>
        </is>
      </c>
      <c r="F103" s="0">
        <v>1.0</v>
      </c>
      <c r="G103" s="0" t="inlineStr">
        <is>
          <t xml:space="preserve">Unidad</t>
        </is>
      </c>
      <c r="H10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104">
      <c r="A104" s="0" t="inlineStr">
        <is>
          <t xml:space="preserve">591-26-LP26</t>
        </is>
      </c>
      <c r="B104" s="4" t="inlineStr">
        <is>
          <t xml:space="preserve">PLATAFORMA DE OBSERVABILIDAD AVANZADA MULTICLOUD PARA FONASA.</t>
        </is>
      </c>
      <c r="C104" s="0">
        <v>1</v>
      </c>
      <c r="D104" s="4" t="inlineStr">
        <is>
          <t xml:space="preserve">Software de gestión de licencias</t>
        </is>
      </c>
      <c r="E104" s="4" t="inlineStr">
        <is>
          <t xml:space="preserve">Tecnologías de la información, telecomunicaciones y radiodifusión / Software / Software de gestión</t>
        </is>
      </c>
      <c r="F104" s="0">
        <v>1.0</v>
      </c>
      <c r="G104" s="0" t="inlineStr">
        <is>
          <t xml:space="preserve">Unidad</t>
        </is>
      </c>
      <c r="H104"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05">
      <c r="A105" s="0" t="inlineStr">
        <is>
          <t xml:space="preserve">885-84-LE26</t>
        </is>
      </c>
      <c r="B105" s="4" t="inlineStr">
        <is>
          <t xml:space="preserve">Soporte mantención y monitoreo plataforma legacy IBM Spectrum para la Contraloría General de la República</t>
        </is>
      </c>
      <c r="C105" s="0">
        <v>1</v>
      </c>
      <c r="D105" s="4" t="inlineStr">
        <is>
          <t xml:space="preserve">Mantenimiento y soporte de hardware</t>
        </is>
      </c>
      <c r="E105" s="4" t="inlineStr">
        <is>
          <t xml:space="preserve">Servicios basados en ingeniería, ciencias sociales y tecnología de la información / Servicios informáticos / Administración de sistemas</t>
        </is>
      </c>
      <c r="F105" s="0">
        <v>1.0</v>
      </c>
      <c r="G105" s="0" t="inlineStr">
        <is>
          <t xml:space="preserve">Global</t>
        </is>
      </c>
      <c r="H105" s="4" t="inlineStr">
        <is>
          <t xml:space="preserve">Servicio de soporte, mantención y monitoreo de la plataforma legacy IBM Spectrum, por un periodo de 12 meses.</t>
        </is>
      </c>
    </row>
    <row r="106">
      <c r="A106" s="0" t="inlineStr">
        <is>
          <t xml:space="preserve">1551861-2-LE26</t>
        </is>
      </c>
      <c r="B106" s="4" t="inlineStr">
        <is>
          <t xml:space="preserve">Equipamiento TI accesorios y software para ESJ VI</t>
        </is>
      </c>
      <c r="C106" s="0">
        <v>1</v>
      </c>
      <c r="D106" s="4" t="inlineStr">
        <is>
          <t xml:space="preserve">Software de diseño asistido por computador (CAD)</t>
        </is>
      </c>
      <c r="E106" s="4" t="inlineStr">
        <is>
          <t xml:space="preserve">Tecnologías de la información, telecomunicaciones y radiodifusión / Software / Software específico para la industria</t>
        </is>
      </c>
      <c r="F106" s="0">
        <v>1.0</v>
      </c>
      <c r="G106" s="0" t="inlineStr">
        <is>
          <t xml:space="preserve">Unidad</t>
        </is>
      </c>
      <c r="H106" s="4" t="inlineStr">
        <is>
          <t xml:space="preserve">Software de diseño CAD (3 licencias)</t>
        </is>
      </c>
    </row>
    <row r="107">
      <c r="A107" s="0" t="inlineStr">
        <is>
          <t xml:space="preserve">1551861-2-LE26</t>
        </is>
      </c>
      <c r="B107" s="4" t="inlineStr">
        <is>
          <t xml:space="preserve">Equipamiento TI accesorios y software para ESJ VI</t>
        </is>
      </c>
      <c r="C107" s="0">
        <v>2</v>
      </c>
      <c r="D107" s="4" t="inlineStr">
        <is>
          <t xml:space="preserve">Trazadoras de gráficos</t>
        </is>
      </c>
      <c r="E107" s="4" t="inlineStr">
        <is>
          <t xml:space="preserve">Tecnologías de la información, telecomunicaciones y radiodifusión / Equipos informáticos y accesorios / Impresoras</t>
        </is>
      </c>
      <c r="F107" s="0">
        <v>1.0</v>
      </c>
      <c r="G107" s="0" t="inlineStr">
        <is>
          <t xml:space="preserve">Unidad</t>
        </is>
      </c>
      <c r="H107" s="4" t="inlineStr">
        <is>
          <t xml:space="preserve">Equipos de impresión y digitalización profesional (70 unidades):
PLOTTER (1)
ESCÁNER DE ESCRITORIO (20)
IMPRESORA MULTIFUNCIÓN MONOCROMÁTICA (25)
IMPRESORA MONOCROMÁTICA (20)
IMPRESORA MULTIFUNCIÓN COLOR (4)</t>
        </is>
      </c>
    </row>
    <row r="108">
      <c r="A108" s="0" t="inlineStr">
        <is>
          <t xml:space="preserve">1551861-2-LE26</t>
        </is>
      </c>
      <c r="B108" s="4" t="inlineStr">
        <is>
          <t xml:space="preserve">Equipamiento TI accesorios y software para ESJ VI</t>
        </is>
      </c>
      <c r="C108" s="0">
        <v>3</v>
      </c>
      <c r="D108" s="4" t="inlineStr">
        <is>
          <t xml:space="preserve">Kit de herramienta para computadores</t>
        </is>
      </c>
      <c r="E108" s="4" t="inlineStr">
        <is>
          <t xml:space="preserve">Herramientas y maquinaria en general / Herramientas manuales / Juegos de herramientas</t>
        </is>
      </c>
      <c r="F108" s="0">
        <v>1.0</v>
      </c>
      <c r="G108" s="0" t="inlineStr">
        <is>
          <t xml:space="preserve">Unidad</t>
        </is>
      </c>
      <c r="H108" s="4" t="inlineStr">
        <is>
          <t xml:space="preserve">Equipamiento computacional (870 unidades):
TECLADO / MOUSE (161)
PARLANTE (89)
AUDÍFONO (155)
MOUSE PAD (155)
WEB CAM (155)
APOYA MUÑECAS (155)</t>
        </is>
      </c>
    </row>
    <row r="109">
      <c r="A109" s="0" t="inlineStr">
        <is>
          <t xml:space="preserve">1551861-2-LE26</t>
        </is>
      </c>
      <c r="B109" s="4" t="inlineStr">
        <is>
          <t xml:space="preserve">Equipamiento TI accesorios y software para ESJ VI</t>
        </is>
      </c>
      <c r="C109" s="0">
        <v>4</v>
      </c>
      <c r="D109" s="4" t="inlineStr">
        <is>
          <t xml:space="preserve">Impresoras de chorro de tinta</t>
        </is>
      </c>
      <c r="E109" s="4" t="inlineStr">
        <is>
          <t xml:space="preserve">Tecnologías de la información, telecomunicaciones y radiodifusión / Equipos informáticos y accesorios / Impresoras</t>
        </is>
      </c>
      <c r="F109" s="0">
        <v>1.0</v>
      </c>
      <c r="G109" s="0" t="inlineStr">
        <is>
          <t xml:space="preserve">Unidad</t>
        </is>
      </c>
      <c r="H109" s="4" t="inlineStr">
        <is>
          <t xml:space="preserve">Equipamiento móvil y terreno (2 unidades):
IMPRESORA PORTÁTIL (1)
ESCÁNER PORTÁTIL (1)</t>
        </is>
      </c>
    </row>
    <row r="110">
      <c r="A110" s="0" t="inlineStr">
        <is>
          <t xml:space="preserve">1002592-6-LP26</t>
        </is>
      </c>
      <c r="B110" s="4" t="inlineStr">
        <is>
          <t xml:space="preserve">Servicio integral de Cloud Computing con Hosting</t>
        </is>
      </c>
      <c r="C110" s="0">
        <v>1</v>
      </c>
      <c r="D110" s="4" t="inlineStr">
        <is>
          <t xml:space="preserve">Web Hosting</t>
        </is>
      </c>
      <c r="E110" s="4" t="inlineStr">
        <is>
          <t xml:space="preserve">Servicios basados en ingeniería, ciencias sociales y tecnología de la información / Servicios informáticos / Servicios para internet</t>
        </is>
      </c>
      <c r="F110" s="0">
        <v>1.0</v>
      </c>
      <c r="G110" s="0" t="inlineStr">
        <is>
          <t xml:space="preserve">Unidad</t>
        </is>
      </c>
      <c r="H11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111">
      <c r="A111" s="0" t="inlineStr">
        <is>
          <t xml:space="preserve">4295-67-LP26</t>
        </is>
      </c>
      <c r="B111" s="4" t="inlineStr">
        <is>
          <t xml:space="preserve">Servicio de enlace de datos voz IP y CCTV para oficinas remotas</t>
        </is>
      </c>
      <c r="C111" s="0">
        <v>1</v>
      </c>
      <c r="D111" s="4" t="inlineStr">
        <is>
          <t xml:space="preserve">Servicio de redes para mejorar la señal de telecomunicaciones</t>
        </is>
      </c>
      <c r="E111" s="4" t="inlineStr">
        <is>
          <t xml:space="preserve">Servicios básicos y de información pública / Telecomunicaciones / Comunicaciones móviles</t>
        </is>
      </c>
      <c r="F111" s="0">
        <v>1.0</v>
      </c>
      <c r="G111" s="0" t="inlineStr">
        <is>
          <t xml:space="preserve">Unidad</t>
        </is>
      </c>
      <c r="H111" s="4" t="inlineStr">
        <is>
          <t xml:space="preserve">De acuerdo a especificaciones técnicas</t>
        </is>
      </c>
    </row>
    <row r="112">
      <c r="A112" s="0" t="inlineStr">
        <is>
          <t xml:space="preserve">673663-31-LE26</t>
        </is>
      </c>
      <c r="B112" s="4" t="inlineStr">
        <is>
          <t xml:space="preserve">ADQUISICIÓN DE PANTALLA LED EXTERIOR Y TRES TOTEM</t>
        </is>
      </c>
      <c r="C112" s="0">
        <v>1</v>
      </c>
      <c r="D112" s="4" t="inlineStr">
        <is>
          <t xml:space="preserve">Monitores de pantalla táctil</t>
        </is>
      </c>
      <c r="E112" s="4" t="inlineStr">
        <is>
          <t xml:space="preserve">Tecnologías de la información, telecomunicaciones y radiodifusión / Equipos informáticos y accesorios / Pantallas o monitores de computador</t>
        </is>
      </c>
      <c r="F112" s="0">
        <v>1.0</v>
      </c>
      <c r="G112" s="0" t="inlineStr">
        <is>
          <t xml:space="preserve">Global</t>
        </is>
      </c>
      <c r="H112" s="4" t="inlineStr">
        <is>
          <t xml:space="preserve">ADQUISICIÓN DE PANTALLA LED EXTERIOR Y TRES TOTEM PUBLICITARIOS LED</t>
        </is>
      </c>
    </row>
    <row r="113">
      <c r="A113" s="0" t="inlineStr">
        <is>
          <t xml:space="preserve">1375760-10-LE26</t>
        </is>
      </c>
      <c r="B113" s="4" t="inlineStr">
        <is>
          <t xml:space="preserve">SERVICIO DIGITALIZACIÓN EXPEDIENTES FUNCIONARIOS</t>
        </is>
      </c>
      <c r="C113" s="0">
        <v>1</v>
      </c>
      <c r="D113" s="4" t="inlineStr">
        <is>
          <t xml:space="preserve">Servicios de digitalización de documentos</t>
        </is>
      </c>
      <c r="E113" s="4" t="inlineStr">
        <is>
          <t xml:space="preserve">Servicios basados en ingeniería, ciencias sociales y tecnología de la información / Servicios informáticos / Servicios de datos</t>
        </is>
      </c>
      <c r="F113" s="0">
        <v>1.0</v>
      </c>
      <c r="G113" s="0" t="inlineStr">
        <is>
          <t xml:space="preserve">Unidad</t>
        </is>
      </c>
      <c r="H113" s="4" t="inlineStr">
        <is>
          <t xml:space="preserve">SERVICIO DE DIGITALIZACIÓN, CONSTRUCCIÓN Y SISTEMATIZACIÓN DE EXPEDIENTES FUNCIONARIOS DEL PERSONAL QUE SE TRASPASARÁ AL SERVICIO LOCAL DE EDUCACIÓN PÚBLICA DE VALLE CACHAPOAL</t>
        </is>
      </c>
    </row>
    <row r="114">
      <c r="A114" s="0" t="inlineStr">
        <is>
          <t xml:space="preserve">1057539-138-LP26</t>
        </is>
      </c>
      <c r="B114" s="4" t="inlineStr">
        <is>
          <t xml:space="preserve">SERVICIOS PROFESIONALES PERSONAL APOYO INFORMATICA</t>
        </is>
      </c>
      <c r="C114" s="0">
        <v>1</v>
      </c>
      <c r="D114" s="4" t="inlineStr">
        <is>
          <t xml:space="preserve">Profesionales</t>
        </is>
      </c>
      <c r="E114" s="4" t="inlineStr">
        <is>
          <t xml:space="preserve">Servicios profesionales, administrativos y consultorías de gestión empresarial / Servicios de recursos humanos / Contratación de personal</t>
        </is>
      </c>
      <c r="F114" s="0">
        <v>1.0</v>
      </c>
      <c r="G114" s="0" t="inlineStr">
        <is>
          <t xml:space="preserve">Unidad</t>
        </is>
      </c>
      <c r="H114" s="4" t="inlineStr">
        <is>
          <t xml:space="preserve">SERVICIOS PROFESIONALES PERSONAL APOYO INFORMATICA, HOSPITAL DE PUERTO MONTT x 12 meses</t>
        </is>
      </c>
    </row>
    <row r="115">
      <c r="A115" s="0" t="inlineStr">
        <is>
          <t xml:space="preserve">1305527-5-LP26</t>
        </is>
      </c>
      <c r="B115" s="4" t="inlineStr">
        <is>
          <t xml:space="preserve">Contratación de infraestructura Cloud</t>
        </is>
      </c>
      <c r="C115" s="0">
        <v>1</v>
      </c>
      <c r="D115" s="4" t="inlineStr">
        <is>
          <t xml:space="preserve">Web Hosting</t>
        </is>
      </c>
      <c r="E115" s="4" t="inlineStr">
        <is>
          <t xml:space="preserve">Servicios basados en ingeniería, ciencias sociales y tecnología de la información / Servicios informáticos / Servicios para internet</t>
        </is>
      </c>
      <c r="F115" s="0">
        <v>1.0</v>
      </c>
      <c r="G115" s="0" t="inlineStr">
        <is>
          <t xml:space="preserve">Unidad</t>
        </is>
      </c>
      <c r="H115" s="4" t="inlineStr">
        <is>
          <t xml:space="preserve">Contratación de Serv. De Infraestructura Cloud. Revisar EETT.</t>
        </is>
      </c>
    </row>
    <row r="116">
      <c r="A116" s="0" t="inlineStr">
        <is>
          <t xml:space="preserve">858-69-LP26</t>
        </is>
      </c>
      <c r="B116" s="4" t="inlineStr">
        <is>
          <t xml:space="preserve">RENOVACIÓN Y ADQUISICIÓN LICENCIAS DE INFORMÁTICA</t>
        </is>
      </c>
      <c r="C116" s="0">
        <v>1</v>
      </c>
      <c r="D116" s="4" t="inlineStr">
        <is>
          <t xml:space="preserve">Software de diseño de patrones</t>
        </is>
      </c>
      <c r="E116" s="4" t="inlineStr">
        <is>
          <t xml:space="preserve">Tecnologías de la información, telecomunicaciones y radiodifusión / Software / Software de edición y creación de contenidos</t>
        </is>
      </c>
      <c r="F116" s="0">
        <v>1.0</v>
      </c>
      <c r="G116" s="0" t="inlineStr">
        <is>
          <t xml:space="preserve">Unidad no definida</t>
        </is>
      </c>
      <c r="H116" s="4" t="inlineStr">
        <is>
          <t xml:space="preserve">Renovación Licencia suscripción anual Architecture Engineering &amp; Construction Collection (Contrato 110002429228 que expira el 08-01-2027)</t>
        </is>
      </c>
    </row>
    <row r="117">
      <c r="A117" s="0" t="inlineStr">
        <is>
          <t xml:space="preserve">858-69-LP26</t>
        </is>
      </c>
      <c r="B117" s="4" t="inlineStr">
        <is>
          <t xml:space="preserve">RENOVACIÓN Y ADQUISICIÓN LICENCIAS DE INFORMÁTICA</t>
        </is>
      </c>
      <c r="C117" s="0">
        <v>2</v>
      </c>
      <c r="D117" s="4" t="inlineStr">
        <is>
          <t xml:space="preserve">Software de diseño de patrones</t>
        </is>
      </c>
      <c r="E117" s="4" t="inlineStr">
        <is>
          <t xml:space="preserve">Tecnologías de la información, telecomunicaciones y radiodifusión / Software / Software de edición y creación de contenidos</t>
        </is>
      </c>
      <c r="F117" s="0">
        <v>1.0</v>
      </c>
      <c r="G117" s="0" t="inlineStr">
        <is>
          <t xml:space="preserve">Unidad no definida</t>
        </is>
      </c>
      <c r="H117" s="4" t="inlineStr">
        <is>
          <t xml:space="preserve">Renovación Licencia suscripción anual Architecture Engineering &amp; Construction Collection (Contrato 110002891662 que expira el 10-12-2026)</t>
        </is>
      </c>
    </row>
    <row r="118">
      <c r="A118" s="0" t="inlineStr">
        <is>
          <t xml:space="preserve">858-69-LP26</t>
        </is>
      </c>
      <c r="B118" s="4" t="inlineStr">
        <is>
          <t xml:space="preserve">RENOVACIÓN Y ADQUISICIÓN LICENCIAS DE INFORMÁTICA</t>
        </is>
      </c>
      <c r="C118" s="0">
        <v>3</v>
      </c>
      <c r="D118" s="4" t="inlineStr">
        <is>
          <t xml:space="preserve">Software de diseño de patrones</t>
        </is>
      </c>
      <c r="E118" s="4" t="inlineStr">
        <is>
          <t xml:space="preserve">Tecnologías de la información, telecomunicaciones y radiodifusión / Software / Software de edición y creación de contenidos</t>
        </is>
      </c>
      <c r="F118" s="0">
        <v>1.0</v>
      </c>
      <c r="G118" s="0" t="inlineStr">
        <is>
          <t xml:space="preserve">Unidad no definida</t>
        </is>
      </c>
      <c r="H118" s="4" t="inlineStr">
        <is>
          <t xml:space="preserve">Renovación Licencia suscripción anual Architecture Engineering &amp; Construction Collection (Contrato 110004918552 que expira el 03-12-2026)</t>
        </is>
      </c>
    </row>
    <row r="119">
      <c r="A119" s="0" t="inlineStr">
        <is>
          <t xml:space="preserve">858-69-LP26</t>
        </is>
      </c>
      <c r="B119" s="4" t="inlineStr">
        <is>
          <t xml:space="preserve">RENOVACIÓN Y ADQUISICIÓN LICENCIAS DE INFORMÁTICA</t>
        </is>
      </c>
      <c r="C119" s="0">
        <v>4</v>
      </c>
      <c r="D119" s="4" t="inlineStr">
        <is>
          <t xml:space="preserve">Software de diseño de patrones</t>
        </is>
      </c>
      <c r="E119" s="4" t="inlineStr">
        <is>
          <t xml:space="preserve">Tecnologías de la información, telecomunicaciones y radiodifusión / Software / Software de edición y creación de contenidos</t>
        </is>
      </c>
      <c r="F119" s="0">
        <v>1.0</v>
      </c>
      <c r="G119" s="0" t="inlineStr">
        <is>
          <t xml:space="preserve">Unidad no definida</t>
        </is>
      </c>
      <c r="H119" s="4" t="inlineStr">
        <is>
          <t xml:space="preserve">Renovación Licencia suscripción anual AutoCAD - including specialized toolsets (Contrato 110002429228 que expira el 08-01-2027)</t>
        </is>
      </c>
    </row>
    <row r="120">
      <c r="A120" s="0" t="inlineStr">
        <is>
          <t xml:space="preserve">858-69-LP26</t>
        </is>
      </c>
      <c r="B120" s="4" t="inlineStr">
        <is>
          <t xml:space="preserve">RENOVACIÓN Y ADQUISICIÓN LICENCIAS DE INFORMÁTICA</t>
        </is>
      </c>
      <c r="C120" s="0">
        <v>5</v>
      </c>
      <c r="D120" s="4" t="inlineStr">
        <is>
          <t xml:space="preserve">Software de diseño de patrones</t>
        </is>
      </c>
      <c r="E120" s="4" t="inlineStr">
        <is>
          <t xml:space="preserve">Tecnologías de la información, telecomunicaciones y radiodifusión / Software / Software de edición y creación de contenidos</t>
        </is>
      </c>
      <c r="F120" s="0">
        <v>1.0</v>
      </c>
      <c r="G120" s="0" t="inlineStr">
        <is>
          <t xml:space="preserve">Unidad no definida</t>
        </is>
      </c>
      <c r="H120" s="4" t="inlineStr">
        <is>
          <t xml:space="preserve">Renovación Licencia suscripción anual AutoCAD - including specialized toolsets (Contrato 110002891662 que expira el 10-12-2026)</t>
        </is>
      </c>
    </row>
    <row r="121">
      <c r="A121" s="0" t="inlineStr">
        <is>
          <t xml:space="preserve">858-69-LP26</t>
        </is>
      </c>
      <c r="B121" s="4" t="inlineStr">
        <is>
          <t xml:space="preserve">RENOVACIÓN Y ADQUISICIÓN LICENCIAS DE INFORMÁTICA</t>
        </is>
      </c>
      <c r="C121" s="0">
        <v>6</v>
      </c>
      <c r="D121" s="4" t="inlineStr">
        <is>
          <t xml:space="preserve">Software de diseño de patrones</t>
        </is>
      </c>
      <c r="E121" s="4" t="inlineStr">
        <is>
          <t xml:space="preserve">Tecnologías de la información, telecomunicaciones y radiodifusión / Software / Software de edición y creación de contenidos</t>
        </is>
      </c>
      <c r="F121" s="0">
        <v>1.0</v>
      </c>
      <c r="G121" s="0" t="inlineStr">
        <is>
          <t xml:space="preserve">Unidad no definida</t>
        </is>
      </c>
      <c r="H121" s="4" t="inlineStr">
        <is>
          <t xml:space="preserve">Renovación Licencia suscripción anual AutoCAD - including specialized toolsets (Contrato 110002891645 que expira el 10-12-2026)</t>
        </is>
      </c>
    </row>
    <row r="122">
      <c r="A122" s="0" t="inlineStr">
        <is>
          <t xml:space="preserve">858-69-LP26</t>
        </is>
      </c>
      <c r="B122" s="4" t="inlineStr">
        <is>
          <t xml:space="preserve">RENOVACIÓN Y ADQUISICIÓN LICENCIAS DE INFORMÁTICA</t>
        </is>
      </c>
      <c r="C122" s="0">
        <v>7</v>
      </c>
      <c r="D122" s="4" t="inlineStr">
        <is>
          <t xml:space="preserve">Software de diseño de patrones</t>
        </is>
      </c>
      <c r="E122" s="4" t="inlineStr">
        <is>
          <t xml:space="preserve">Tecnologías de la información, telecomunicaciones y radiodifusión / Software / Software de edición y creación de contenidos</t>
        </is>
      </c>
      <c r="F122" s="0">
        <v>1.0</v>
      </c>
      <c r="G122" s="0" t="inlineStr">
        <is>
          <t xml:space="preserve">Unidad no definida</t>
        </is>
      </c>
      <c r="H122" s="4" t="inlineStr">
        <is>
          <t xml:space="preserve">Renovación Licencia suscripción anual AutoCAD - including specialized toolsets (Contrato 110002891662 que expira el 10-12-2026)</t>
        </is>
      </c>
    </row>
    <row r="123">
      <c r="A123" s="0" t="inlineStr">
        <is>
          <t xml:space="preserve">858-69-LP26</t>
        </is>
      </c>
      <c r="B123" s="4" t="inlineStr">
        <is>
          <t xml:space="preserve">RENOVACIÓN Y ADQUISICIÓN LICENCIAS DE INFORMÁTICA</t>
        </is>
      </c>
      <c r="C123" s="0">
        <v>8</v>
      </c>
      <c r="D123" s="4" t="inlineStr">
        <is>
          <t xml:space="preserve">Software de diseño de patrones</t>
        </is>
      </c>
      <c r="E123" s="4" t="inlineStr">
        <is>
          <t xml:space="preserve">Tecnologías de la información, telecomunicaciones y radiodifusión / Software / Software de edición y creación de contenidos</t>
        </is>
      </c>
      <c r="F123" s="0">
        <v>1.0</v>
      </c>
      <c r="G123" s="0" t="inlineStr">
        <is>
          <t xml:space="preserve">Unidad no definida</t>
        </is>
      </c>
      <c r="H123" s="4" t="inlineStr">
        <is>
          <t xml:space="preserve">Renovación Licencia suscripción anual AutoCAD - including specialized toolsets (Contrato 110004888621 que expira el 20-10-2026</t>
        </is>
      </c>
    </row>
    <row r="124">
      <c r="A124" s="0" t="inlineStr">
        <is>
          <t xml:space="preserve">858-69-LP26</t>
        </is>
      </c>
      <c r="B124" s="4" t="inlineStr">
        <is>
          <t xml:space="preserve">RENOVACIÓN Y ADQUISICIÓN LICENCIAS DE INFORMÁTICA</t>
        </is>
      </c>
      <c r="C124" s="0">
        <v>9</v>
      </c>
      <c r="D124" s="4" t="inlineStr">
        <is>
          <t xml:space="preserve">Software de diseño de patrones</t>
        </is>
      </c>
      <c r="E124" s="4" t="inlineStr">
        <is>
          <t xml:space="preserve">Tecnologías de la información, telecomunicaciones y radiodifusión / Software / Software de edición y creación de contenidos</t>
        </is>
      </c>
      <c r="F124" s="0">
        <v>1.0</v>
      </c>
      <c r="G124" s="0" t="inlineStr">
        <is>
          <t xml:space="preserve">Unidad no definida</t>
        </is>
      </c>
      <c r="H124" s="4" t="inlineStr">
        <is>
          <t xml:space="preserve">Renovación Licencia suscripción anual AutoCAD - including specialized toolsets (Contrato 110002889978 que expira el 09-12-2026</t>
        </is>
      </c>
    </row>
    <row r="125">
      <c r="A125" s="0" t="inlineStr">
        <is>
          <t xml:space="preserve">858-69-LP26</t>
        </is>
      </c>
      <c r="B125" s="4" t="inlineStr">
        <is>
          <t xml:space="preserve">RENOVACIÓN Y ADQUISICIÓN LICENCIAS DE INFORMÁTICA</t>
        </is>
      </c>
      <c r="C125" s="0">
        <v>10</v>
      </c>
      <c r="D125" s="4" t="inlineStr">
        <is>
          <t xml:space="preserve">Software de diseño de patrones</t>
        </is>
      </c>
      <c r="E125" s="4" t="inlineStr">
        <is>
          <t xml:space="preserve">Tecnologías de la información, telecomunicaciones y radiodifusión / Software / Software de edición y creación de contenidos</t>
        </is>
      </c>
      <c r="F125" s="0">
        <v>1.0</v>
      </c>
      <c r="G125" s="0" t="inlineStr">
        <is>
          <t xml:space="preserve">Unidad no definida</t>
        </is>
      </c>
      <c r="H125" s="4" t="inlineStr">
        <is>
          <t xml:space="preserve">Renovación Licencia Suscripción anual AutoCAD LT (Contrato 110002427866 que expira el 23-12-2026)</t>
        </is>
      </c>
    </row>
    <row r="126">
      <c r="A126" s="0" t="inlineStr">
        <is>
          <t xml:space="preserve">858-69-LP26</t>
        </is>
      </c>
      <c r="B126" s="4" t="inlineStr">
        <is>
          <t xml:space="preserve">RENOVACIÓN Y ADQUISICIÓN LICENCIAS DE INFORMÁTICA</t>
        </is>
      </c>
      <c r="C126" s="0">
        <v>11</v>
      </c>
      <c r="D126" s="4" t="inlineStr">
        <is>
          <t xml:space="preserve">Software de diseño de patrones</t>
        </is>
      </c>
      <c r="E126" s="4" t="inlineStr">
        <is>
          <t xml:space="preserve">Tecnologías de la información, telecomunicaciones y radiodifusión / Software / Software de edición y creación de contenidos</t>
        </is>
      </c>
      <c r="F126" s="0">
        <v>1.0</v>
      </c>
      <c r="G126" s="0" t="inlineStr">
        <is>
          <t xml:space="preserve">Unidad no definida</t>
        </is>
      </c>
      <c r="H126" s="4" t="inlineStr">
        <is>
          <t xml:space="preserve">Renovación Licencia Suscripción anual AutoCAD LT (Contrato 110002891662 que expira el 12-10-2026)</t>
        </is>
      </c>
    </row>
    <row r="127">
      <c r="A127" s="0" t="inlineStr">
        <is>
          <t xml:space="preserve">858-69-LP26</t>
        </is>
      </c>
      <c r="B127" s="4" t="inlineStr">
        <is>
          <t xml:space="preserve">RENOVACIÓN Y ADQUISICIÓN LICENCIAS DE INFORMÁTICA</t>
        </is>
      </c>
      <c r="C127" s="0">
        <v>12</v>
      </c>
      <c r="D127" s="4" t="inlineStr">
        <is>
          <t xml:space="preserve">Software de diseño de patrones</t>
        </is>
      </c>
      <c r="E127" s="4" t="inlineStr">
        <is>
          <t xml:space="preserve">Tecnologías de la información, telecomunicaciones y radiodifusión / Software / Software de edición y creación de contenidos</t>
        </is>
      </c>
      <c r="F127" s="0">
        <v>1.0</v>
      </c>
      <c r="G127" s="0" t="inlineStr">
        <is>
          <t xml:space="preserve">Unidad no definida</t>
        </is>
      </c>
      <c r="H127" s="4" t="inlineStr">
        <is>
          <t xml:space="preserve">Licencia Suscripción anual AutoCAD LT (Nueva)</t>
        </is>
      </c>
    </row>
    <row r="128">
      <c r="A128" s="0" t="inlineStr">
        <is>
          <t xml:space="preserve">858-69-LP26</t>
        </is>
      </c>
      <c r="B128" s="4" t="inlineStr">
        <is>
          <t xml:space="preserve">RENOVACIÓN Y ADQUISICIÓN LICENCIAS DE INFORMÁTICA</t>
        </is>
      </c>
      <c r="C128" s="0">
        <v>13</v>
      </c>
      <c r="D128" s="4" t="inlineStr">
        <is>
          <t xml:space="preserve">Software de diseño de patrones</t>
        </is>
      </c>
      <c r="E128" s="4" t="inlineStr">
        <is>
          <t xml:space="preserve">Tecnologías de la información, telecomunicaciones y radiodifusión / Software / Software de edición y creación de contenidos</t>
        </is>
      </c>
      <c r="F128" s="0">
        <v>1.0</v>
      </c>
      <c r="G128" s="0" t="inlineStr">
        <is>
          <t xml:space="preserve">Unidad no definida</t>
        </is>
      </c>
      <c r="H128" s="4" t="inlineStr">
        <is>
          <t xml:space="preserve">Renovación Licencia Suscripción anual Adobe Creative Cloud Pro (contrato E1B3B00B103448196A7A que expira el 30-10-2026)</t>
        </is>
      </c>
    </row>
    <row r="129">
      <c r="A129" s="0" t="inlineStr">
        <is>
          <t xml:space="preserve">858-69-LP26</t>
        </is>
      </c>
      <c r="B129" s="4" t="inlineStr">
        <is>
          <t xml:space="preserve">RENOVACIÓN Y ADQUISICIÓN LICENCIAS DE INFORMÁTICA</t>
        </is>
      </c>
      <c r="C129" s="0">
        <v>14</v>
      </c>
      <c r="D129" s="4" t="inlineStr">
        <is>
          <t xml:space="preserve">Software de diseño de patrones</t>
        </is>
      </c>
      <c r="E129" s="4" t="inlineStr">
        <is>
          <t xml:space="preserve">Tecnologías de la información, telecomunicaciones y radiodifusión / Software / Software de edición y creación de contenidos</t>
        </is>
      </c>
      <c r="F129" s="0">
        <v>1.0</v>
      </c>
      <c r="G129" s="0" t="inlineStr">
        <is>
          <t xml:space="preserve">Unidad no definida</t>
        </is>
      </c>
      <c r="H129" s="4" t="inlineStr">
        <is>
          <t xml:space="preserve">Licencia Suscripción anual Adobe Creative Cloud Pro (Nueva)</t>
        </is>
      </c>
    </row>
    <row r="130">
      <c r="A130" s="0" t="inlineStr">
        <is>
          <t xml:space="preserve">858-69-LP26</t>
        </is>
      </c>
      <c r="B130" s="4" t="inlineStr">
        <is>
          <t xml:space="preserve">RENOVACIÓN Y ADQUISICIÓN LICENCIAS DE INFORMÁTICA</t>
        </is>
      </c>
      <c r="C130" s="0">
        <v>15</v>
      </c>
      <c r="D130" s="4" t="inlineStr">
        <is>
          <t xml:space="preserve">Software de diseño de patrones</t>
        </is>
      </c>
      <c r="E130" s="4" t="inlineStr">
        <is>
          <t xml:space="preserve">Tecnologías de la información, telecomunicaciones y radiodifusión / Software / Software de edición y creación de contenidos</t>
        </is>
      </c>
      <c r="F130" s="0">
        <v>1.0</v>
      </c>
      <c r="G130" s="0" t="inlineStr">
        <is>
          <t xml:space="preserve">Unidad no definida</t>
        </is>
      </c>
      <c r="H130" s="4" t="inlineStr">
        <is>
          <t xml:space="preserve">Renovación Suscripción anual Adobe Illustrator (Contrato E1B3B00B103448196A7A que expira el 30-10-2026)</t>
        </is>
      </c>
    </row>
    <row r="131">
      <c r="A131" s="0" t="inlineStr">
        <is>
          <t xml:space="preserve">1259850-6-LP26</t>
        </is>
      </c>
      <c r="B131" s="4" t="inlineStr">
        <is>
          <t xml:space="preserve">GORE. COMPRA DE EQUIPOS INFORMATICOS.</t>
        </is>
      </c>
      <c r="C131" s="0">
        <v>1</v>
      </c>
      <c r="D131" s="4" t="inlineStr">
        <is>
          <t xml:space="preserve">Computadores de escritorio</t>
        </is>
      </c>
      <c r="E131" s="4" t="inlineStr">
        <is>
          <t xml:space="preserve">Tecnologías de la información, telecomunicaciones y radiodifusión / Equipos informáticos y accesorios / Computadores</t>
        </is>
      </c>
      <c r="F131" s="0">
        <v>66.0</v>
      </c>
      <c r="G131" s="0" t="inlineStr">
        <is>
          <t xml:space="preserve">Unidad</t>
        </is>
      </c>
      <c r="H131" s="4" t="inlineStr">
        <is>
          <t xml:space="preserve">EQUIPOS COMPUTACIONALES. SE ADJUNTAN BASES DE LICITACION.</t>
        </is>
      </c>
    </row>
    <row r="132">
      <c r="A132" s="0" t="inlineStr">
        <is>
          <t xml:space="preserve">1259850-6-LP26</t>
        </is>
      </c>
      <c r="B132" s="4" t="inlineStr">
        <is>
          <t xml:space="preserve">GORE. COMPRA DE EQUIPOS INFORMATICOS.</t>
        </is>
      </c>
      <c r="C132" s="0">
        <v>2</v>
      </c>
      <c r="D132" s="4" t="inlineStr">
        <is>
          <t xml:space="preserve">Impresoras multifunción o multifuncionales</t>
        </is>
      </c>
      <c r="E132" s="4" t="inlineStr">
        <is>
          <t xml:space="preserve">Tecnologías de la información, telecomunicaciones y radiodifusión / Equipos informáticos y accesorios / Impresoras</t>
        </is>
      </c>
      <c r="F132" s="0">
        <v>15.0</v>
      </c>
      <c r="G132" s="0" t="inlineStr">
        <is>
          <t xml:space="preserve">Unidad</t>
        </is>
      </c>
      <c r="H132" s="4" t="inlineStr">
        <is>
          <t xml:space="preserve">IMPRESORA MULTIFUNCIONAL DE ALTO RENDIMIENTO. SE ADJUNTAN BASES DE LICITACION.</t>
        </is>
      </c>
    </row>
    <row r="133">
      <c r="A133" s="0" t="inlineStr">
        <is>
          <t xml:space="preserve">1259850-6-LP26</t>
        </is>
      </c>
      <c r="B133" s="4" t="inlineStr">
        <is>
          <t xml:space="preserve">GORE. COMPRA DE EQUIPOS INFORMATICOS.</t>
        </is>
      </c>
      <c r="C133" s="0">
        <v>3</v>
      </c>
      <c r="D133" s="4" t="inlineStr">
        <is>
          <t xml:space="preserve">Escáner</t>
        </is>
      </c>
      <c r="E133" s="4" t="inlineStr">
        <is>
          <t xml:space="preserve">Tecnologías de la información, telecomunicaciones y radiodifusión / Equipos informáticos y accesorios / Dispositivos informáticos de entrada de datos</t>
        </is>
      </c>
      <c r="F133" s="0">
        <v>4.0</v>
      </c>
      <c r="G133" s="0" t="inlineStr">
        <is>
          <t xml:space="preserve">Unidad</t>
        </is>
      </c>
      <c r="H133" s="4" t="inlineStr">
        <is>
          <t xml:space="preserve">ESCANER DE ALTO RENDIMIENTO. SE ADJUNTAN BASES DE LICITACION.</t>
        </is>
      </c>
    </row>
    <row r="134">
      <c r="A134" s="0" t="inlineStr">
        <is>
          <t xml:space="preserve">2663-63-LP26</t>
        </is>
      </c>
      <c r="B134" s="4" t="inlineStr">
        <is>
          <t xml:space="preserve">SISTEMAS INFORMÁTICOS DE GESTIÓN MUNICIPAL</t>
        </is>
      </c>
      <c r="C134" s="0">
        <v>1</v>
      </c>
      <c r="D134" s="4" t="inlineStr">
        <is>
          <t xml:space="preserve">Sistemas de información y control de empresas públicas</t>
        </is>
      </c>
      <c r="E134" s="4" t="inlineStr">
        <is>
          <t xml:space="preserve">Organizaciones y consultorías políticas, demográficas, económicas, sociales y de administración pública / Administración y finanzas públicas / Administración pública</t>
        </is>
      </c>
      <c r="F134" s="0">
        <v>1.0</v>
      </c>
      <c r="G134" s="0" t="inlineStr">
        <is>
          <t xml:space="preserve">Unidad</t>
        </is>
      </c>
      <c r="H134" s="4" t="inlineStr">
        <is>
          <t xml:space="preserve">ADQUISICIÓN DE “SISTEMAS INFORMÁTICOS DE GESTIÓN MUNICIPAL: ARRIENDO, IMPLEMENTACIÓN Y MANTENIMIENTO PARA LA ILUSTRE MUNICIPALIDAD DE NATALES” SEGÚN LO SEÑALADO EN LAS BASES ADMINISTRATIVAS, TÉCNICAS</t>
        </is>
      </c>
    </row>
    <row r="135">
      <c r="A135" s="0" t="inlineStr">
        <is>
          <t xml:space="preserve">4105-8-LP26</t>
        </is>
      </c>
      <c r="B135" s="4" t="inlineStr">
        <is>
          <t xml:space="preserve">Mantención Control y Actualización de Software</t>
        </is>
      </c>
      <c r="C135" s="0">
        <v>1</v>
      </c>
      <c r="D135" s="4" t="inlineStr">
        <is>
          <t xml:space="preserve">Software de sistema de archivos</t>
        </is>
      </c>
      <c r="E135" s="4" t="inlineStr">
        <is>
          <t xml:space="preserve">Tecnologías de la información, telecomunicaciones y radiodifusión / Software / Software de entorno operativo</t>
        </is>
      </c>
      <c r="F135" s="0">
        <v>1.0</v>
      </c>
      <c r="G135" s="0" t="inlineStr">
        <is>
          <t xml:space="preserve">Unidad</t>
        </is>
      </c>
      <c r="H135" s="4" t="inlineStr">
        <is>
          <t xml:space="preserve">“MANTENCION, CONTROL Y ACTUALIZACION DE SOFTWARE DE CONEXIÓN PERMISO DE CIRCULACIÓN”</t>
        </is>
      </c>
    </row>
    <row r="136">
      <c r="A136" s="0" t="inlineStr">
        <is>
          <t xml:space="preserve">2429-8-LP26</t>
        </is>
      </c>
      <c r="B136" s="4" t="inlineStr">
        <is>
          <t xml:space="preserve">RENOVACIÓN DE INFRAESTRUCTURA DE RED INFORMÁTICA Y NORMALIZACIÓN DE CABLEADO ESTRUCTURADO DE LAS DEPENDENCIAS DE LA IMA</t>
        </is>
      </c>
      <c r="C136" s="0">
        <v>1</v>
      </c>
      <c r="D136" s="4" t="inlineStr">
        <is>
          <t xml:space="preserve">Diseño de redes de comunicación de cobertura local (LAN)</t>
        </is>
      </c>
      <c r="E136" s="4" t="inlineStr">
        <is>
          <t xml:space="preserve">Servicios basados en ingeniería, ciencias sociales y tecnología de la información / Servicios informáticos / Sistemas de información</t>
        </is>
      </c>
      <c r="F136" s="0">
        <v>1.0</v>
      </c>
      <c r="G136" s="0" t="inlineStr">
        <is>
          <t xml:space="preserve">Unidad</t>
        </is>
      </c>
      <c r="H136" s="4" t="inlineStr">
        <is>
          <t xml:space="preserve">RENOVACIÓN DE INFRAESTRUCTURA DE RED INFORMÁTICA Y NORMALIZACIÓN DE CABLEADO ESTRUCTURADO DE LAS DEPENDENCIAS EXTERNAS DE LA I. MUNICIPALIDAD DE ANTOFAGASTA</t>
        </is>
      </c>
    </row>
    <row r="137">
      <c r="A137" s="0" t="inlineStr">
        <is>
          <t xml:space="preserve">3588-51-LE26</t>
        </is>
      </c>
      <c r="B137" s="4" t="inlineStr">
        <is>
          <t xml:space="preserve">ADQUISICIÓN LICENCIAS DE SOFTWARE Y ANTIVIRUS</t>
        </is>
      </c>
      <c r="C137" s="0">
        <v>1</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138">
      <c r="A138" s="0" t="inlineStr">
        <is>
          <t xml:space="preserve">1533460-6-LP26</t>
        </is>
      </c>
      <c r="B138" s="4" t="inlineStr">
        <is>
          <t xml:space="preserve">SERVICIO DE ARRIENDO DE SISTEMA INFORMÁTICO FINANCIERO CONTABLE Y RECURSOS HUMANOS</t>
        </is>
      </c>
      <c r="C138" s="0">
        <v>1</v>
      </c>
      <c r="D138" s="4" t="inlineStr">
        <is>
          <t xml:space="preserve">Software de planificación de recursos empresariales (ERP)</t>
        </is>
      </c>
      <c r="E138" s="4" t="inlineStr">
        <is>
          <t xml:space="preserve">Tecnologías de la información, telecomunicaciones y radiodifusión / Software / Software de planificación de recursos empresariales (ERP) y contabilidad financiera</t>
        </is>
      </c>
      <c r="F138" s="0">
        <v>1.0</v>
      </c>
      <c r="G138" s="0" t="inlineStr">
        <is>
          <t xml:space="preserve">Unidad</t>
        </is>
      </c>
      <c r="H138"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139">
      <c r="A139" s="0" t="inlineStr">
        <is>
          <t xml:space="preserve">585-9-LE26</t>
        </is>
      </c>
      <c r="B139" s="4" t="inlineStr">
        <is>
          <t xml:space="preserve">Adq. Licencias Para Plataforma Gestión de Tickes</t>
        </is>
      </c>
      <c r="C139" s="0">
        <v>1</v>
      </c>
      <c r="D139" s="4" t="inlineStr">
        <is>
          <t xml:space="preserve">Software de gestión de licencias</t>
        </is>
      </c>
      <c r="E139" s="4" t="inlineStr">
        <is>
          <t xml:space="preserve">Tecnologías de la información, telecomunicaciones y radiodifusión / Software / Software de gestión</t>
        </is>
      </c>
      <c r="F139" s="0">
        <v>1.0</v>
      </c>
      <c r="G139" s="0" t="inlineStr">
        <is>
          <t xml:space="preserve">Unidad</t>
        </is>
      </c>
      <c r="H139" s="4" t="inlineStr">
        <is>
          <t xml:space="preserve">Adquisición de Licencias Para Plataforma Gestión de Tickets Mesa de Ayuda</t>
        </is>
      </c>
    </row>
    <row r="140">
      <c r="A140" s="0" t="inlineStr">
        <is>
          <t xml:space="preserve">1020-38-LP26</t>
        </is>
      </c>
      <c r="B140" s="4" t="inlineStr">
        <is>
          <t xml:space="preserve">Adquisición de Plataforma Next Generation Firewall</t>
        </is>
      </c>
      <c r="C140" s="0">
        <v>1</v>
      </c>
      <c r="D140" s="4" t="inlineStr">
        <is>
          <t xml:space="preserve">Equipo de seguridad de red de firewall</t>
        </is>
      </c>
      <c r="E140" s="4" t="inlineStr">
        <is>
          <t xml:space="preserve">Tecnologías de la información, telecomunicaciones y radiodifusión / Equipos, plataformas y accesorios de redes multimedia, voz y datos / Equipos de seguridad de red</t>
        </is>
      </c>
      <c r="F140" s="0">
        <v>2.0</v>
      </c>
      <c r="G140" s="0" t="inlineStr">
        <is>
          <t xml:space="preserve">Unidad</t>
        </is>
      </c>
      <c r="H140" s="4" t="inlineStr">
        <is>
          <t xml:space="preserve">Equipos.</t>
        </is>
      </c>
    </row>
    <row r="141">
      <c r="A141" s="0" t="inlineStr">
        <is>
          <t xml:space="preserve">1020-38-LP26</t>
        </is>
      </c>
      <c r="B141" s="4" t="inlineStr">
        <is>
          <t xml:space="preserve">Adquisición de Plataforma Next Generation Firewall</t>
        </is>
      </c>
      <c r="C141" s="0">
        <v>2</v>
      </c>
      <c r="D141" s="4" t="inlineStr">
        <is>
          <t xml:space="preserve">Software de vigilancia de redes</t>
        </is>
      </c>
      <c r="E141" s="4" t="inlineStr">
        <is>
          <t xml:space="preserve">Tecnologías de la información, telecomunicaciones y radiodifusión / Software / Software de administración de redes</t>
        </is>
      </c>
      <c r="F141" s="0">
        <v>1.0</v>
      </c>
      <c r="G141" s="0" t="inlineStr">
        <is>
          <t xml:space="preserve">Unidad</t>
        </is>
      </c>
      <c r="H141" s="4" t="inlineStr">
        <is>
          <t xml:space="preserve">Licenciamiento de software para la Plataforma Next Generation Firewall (NGFW)</t>
        </is>
      </c>
    </row>
    <row r="142">
      <c r="A142" s="0" t="inlineStr">
        <is>
          <t xml:space="preserve">2563-34-LR26</t>
        </is>
      </c>
      <c r="B142" s="4" t="inlineStr">
        <is>
          <t xml:space="preserve">EQUIPOS PARA REDES INFORMÁTICAS Y LICENCIAS</t>
        </is>
      </c>
      <c r="C142" s="0">
        <v>1</v>
      </c>
      <c r="D142" s="4" t="inlineStr">
        <is>
          <t xml:space="preserve">Cajas de conmutación de computadores</t>
        </is>
      </c>
      <c r="E142" s="4" t="inlineStr">
        <is>
          <t xml:space="preserve">Tecnologías de la información, telecomunicaciones y radiodifusión / Equipos informáticos y accesorios / Accesorios de computador</t>
        </is>
      </c>
      <c r="F142" s="0">
        <v>10.0</v>
      </c>
      <c r="G142" s="0" t="inlineStr">
        <is>
          <t xml:space="preserve">Unidad</t>
        </is>
      </c>
      <c r="H142" s="4" t="inlineStr">
        <is>
          <t xml:space="preserve">Switch 48G PoE 4SFP+ (equivalente al modelo JL727B) / Control de Acceso</t>
        </is>
      </c>
    </row>
    <row r="143">
      <c r="A143" s="0" t="inlineStr">
        <is>
          <t xml:space="preserve">2563-34-LR26</t>
        </is>
      </c>
      <c r="B143" s="4" t="inlineStr">
        <is>
          <t xml:space="preserve">EQUIPOS PARA REDES INFORMÁTICAS Y LICENCIAS</t>
        </is>
      </c>
      <c r="C143" s="0">
        <v>2</v>
      </c>
      <c r="D143" s="4" t="inlineStr">
        <is>
          <t xml:space="preserve">Cajas de conmutación de computadores</t>
        </is>
      </c>
      <c r="E143" s="4" t="inlineStr">
        <is>
          <t xml:space="preserve">Tecnologías de la información, telecomunicaciones y radiodifusión / Equipos informáticos y accesorios / Accesorios de computador</t>
        </is>
      </c>
      <c r="F143" s="0">
        <v>11.0</v>
      </c>
      <c r="G143" s="0" t="inlineStr">
        <is>
          <t xml:space="preserve">Unidad</t>
        </is>
      </c>
      <c r="H143" s="4" t="inlineStr">
        <is>
          <t xml:space="preserve">Switch 48G PoE 4SFP+ (equivalente al modelo JL727B) /Aeroportuarios</t>
        </is>
      </c>
    </row>
    <row r="144">
      <c r="A144" s="0" t="inlineStr">
        <is>
          <t xml:space="preserve">2563-34-LR26</t>
        </is>
      </c>
      <c r="B144" s="4" t="inlineStr">
        <is>
          <t xml:space="preserve">EQUIPOS PARA REDES INFORMÁTICAS Y LICENCIAS</t>
        </is>
      </c>
      <c r="C144" s="0">
        <v>3</v>
      </c>
      <c r="D144" s="4" t="inlineStr">
        <is>
          <t xml:space="preserve">Cajas de conmutación de computadores</t>
        </is>
      </c>
      <c r="E144" s="4" t="inlineStr">
        <is>
          <t xml:space="preserve">Tecnologías de la información, telecomunicaciones y radiodifusión / Equipos informáticos y accesorios / Accesorios de computador</t>
        </is>
      </c>
      <c r="F144" s="0">
        <v>1.0</v>
      </c>
      <c r="G144" s="0" t="inlineStr">
        <is>
          <t xml:space="preserve">Unidad</t>
        </is>
      </c>
      <c r="H144" s="4" t="inlineStr">
        <is>
          <t xml:space="preserve">Switch 24G PoE 4SFP+(equivalente al modelo JL261A) /Aeroportuario</t>
        </is>
      </c>
    </row>
    <row r="145">
      <c r="A145" s="0" t="inlineStr">
        <is>
          <t xml:space="preserve">2563-34-LR26</t>
        </is>
      </c>
      <c r="B145" s="4" t="inlineStr">
        <is>
          <t xml:space="preserve">EQUIPOS PARA REDES INFORMÁTICAS Y LICENCIAS</t>
        </is>
      </c>
      <c r="C145" s="0">
        <v>4</v>
      </c>
      <c r="D145" s="4" t="inlineStr">
        <is>
          <t xml:space="preserve">Cajas de conmutación de computadores</t>
        </is>
      </c>
      <c r="E145" s="4" t="inlineStr">
        <is>
          <t xml:space="preserve">Tecnologías de la información, telecomunicaciones y radiodifusión / Equipos informáticos y accesorios / Accesorios de computador</t>
        </is>
      </c>
      <c r="F145" s="0">
        <v>7.0</v>
      </c>
      <c r="G145" s="0" t="inlineStr">
        <is>
          <t xml:space="preserve">Unidad</t>
        </is>
      </c>
      <c r="H145" s="4" t="inlineStr">
        <is>
          <t xml:space="preserve">Switch 12G PoE 2SFP+ (equivalente al modelo R8Q72A) /Aeroportuario</t>
        </is>
      </c>
    </row>
    <row r="146">
      <c r="A146" s="0" t="inlineStr">
        <is>
          <t xml:space="preserve">2563-34-LR26</t>
        </is>
      </c>
      <c r="B146" s="4" t="inlineStr">
        <is>
          <t xml:space="preserve">EQUIPOS PARA REDES INFORMÁTICAS Y LICENCIAS</t>
        </is>
      </c>
      <c r="C146" s="0">
        <v>5</v>
      </c>
      <c r="D146" s="4" t="inlineStr">
        <is>
          <t xml:space="preserve">Cajas de conmutación de computadores</t>
        </is>
      </c>
      <c r="E146" s="4" t="inlineStr">
        <is>
          <t xml:space="preserve">Tecnologías de la información, telecomunicaciones y radiodifusión / Equipos informáticos y accesorios / Accesorios de computador</t>
        </is>
      </c>
      <c r="F146" s="0">
        <v>4.0</v>
      </c>
      <c r="G146" s="0" t="inlineStr">
        <is>
          <t xml:space="preserve">Unidad</t>
        </is>
      </c>
      <c r="H146" s="4" t="inlineStr">
        <is>
          <t xml:space="preserve">Access Point Desktop (equivalente al modelo R3V46A) /Control de acceso</t>
        </is>
      </c>
    </row>
    <row r="147">
      <c r="A147" s="0" t="inlineStr">
        <is>
          <t xml:space="preserve">2563-34-LR26</t>
        </is>
      </c>
      <c r="B147" s="4" t="inlineStr">
        <is>
          <t xml:space="preserve">EQUIPOS PARA REDES INFORMÁTICAS Y LICENCIAS</t>
        </is>
      </c>
      <c r="C147" s="0">
        <v>6</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20.0</v>
      </c>
      <c r="G147" s="0" t="inlineStr">
        <is>
          <t xml:space="preserve">Unidad</t>
        </is>
      </c>
      <c r="H147" s="4" t="inlineStr">
        <is>
          <t xml:space="preserve">Access Point
(equivalente al modelo JZ336A) /Control de Acceso</t>
        </is>
      </c>
    </row>
    <row r="148">
      <c r="A148" s="0" t="inlineStr">
        <is>
          <t xml:space="preserve">2563-34-LR26</t>
        </is>
      </c>
      <c r="B148" s="4" t="inlineStr">
        <is>
          <t xml:space="preserve">EQUIPOS PARA REDES INFORMÁTICAS Y LICENCIAS</t>
        </is>
      </c>
      <c r="C148" s="0">
        <v>7</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11.0</v>
      </c>
      <c r="G148" s="0" t="inlineStr">
        <is>
          <t xml:space="preserve">Unidad</t>
        </is>
      </c>
      <c r="H148" s="4" t="inlineStr">
        <is>
          <t xml:space="preserve">Access Point
(equivalente al modelo JZ336A) /Aeroportuarios</t>
        </is>
      </c>
    </row>
    <row r="149">
      <c r="A149" s="0" t="inlineStr">
        <is>
          <t xml:space="preserve">2563-34-LR26</t>
        </is>
      </c>
      <c r="B149" s="4" t="inlineStr">
        <is>
          <t xml:space="preserve">EQUIPOS PARA REDES INFORMÁTICAS Y LICENCIAS</t>
        </is>
      </c>
      <c r="C149" s="0">
        <v>8</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6.0</v>
      </c>
      <c r="G149" s="0" t="inlineStr">
        <is>
          <t xml:space="preserve">Unidad</t>
        </is>
      </c>
      <c r="H149" s="4" t="inlineStr">
        <is>
          <t xml:space="preserve">Access Point Exterior
(equivalente al modelo R7T05A) /Control de Acceso</t>
        </is>
      </c>
    </row>
    <row r="150">
      <c r="A150" s="0" t="inlineStr">
        <is>
          <t xml:space="preserve">2563-34-LR26</t>
        </is>
      </c>
      <c r="B150" s="4" t="inlineStr">
        <is>
          <t xml:space="preserve">EQUIPOS PARA REDES INFORMÁTICAS Y LICENCIAS</t>
        </is>
      </c>
      <c r="C150" s="0">
        <v>9</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3.0</v>
      </c>
      <c r="G150" s="0" t="inlineStr">
        <is>
          <t xml:space="preserve">Unidad</t>
        </is>
      </c>
      <c r="H150" s="4" t="inlineStr">
        <is>
          <t xml:space="preserve">Soporte anclaje para riel cielo falso plano 9/16'' Pack 10 unidades. /Aeroportuarios</t>
        </is>
      </c>
    </row>
    <row r="151">
      <c r="A151" s="0" t="inlineStr">
        <is>
          <t xml:space="preserve">2563-34-LR26</t>
        </is>
      </c>
      <c r="B151" s="4" t="inlineStr">
        <is>
          <t xml:space="preserve">EQUIPOS PARA REDES INFORMÁTICAS Y LICENCIAS</t>
        </is>
      </c>
      <c r="C151" s="0">
        <v>10</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3.0</v>
      </c>
      <c r="G151" s="0" t="inlineStr">
        <is>
          <t xml:space="preserve">Unidad</t>
        </is>
      </c>
      <c r="H151" s="4" t="inlineStr">
        <is>
          <t xml:space="preserve">Soporte anclaje para superficie sólida Pack 10 unidades. /Aeroportuarios</t>
        </is>
      </c>
    </row>
    <row r="152">
      <c r="A152" s="0" t="inlineStr">
        <is>
          <t xml:space="preserve">2563-34-LR26</t>
        </is>
      </c>
      <c r="B152" s="4" t="inlineStr">
        <is>
          <t xml:space="preserve">EQUIPOS PARA REDES INFORMÁTICAS Y LICENCIAS</t>
        </is>
      </c>
      <c r="C152" s="0">
        <v>11</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10.0</v>
      </c>
      <c r="G152" s="0" t="inlineStr">
        <is>
          <t xml:space="preserve">Unidad</t>
        </is>
      </c>
      <c r="H152" s="4" t="inlineStr">
        <is>
          <t xml:space="preserve">Módulo 10G SFP+ LC LR 10km
(equivalente al modelo J9151E) /Control de Acceso</t>
        </is>
      </c>
    </row>
    <row r="153">
      <c r="A153" s="0" t="inlineStr">
        <is>
          <t xml:space="preserve">2563-34-LR26</t>
        </is>
      </c>
      <c r="B153" s="4" t="inlineStr">
        <is>
          <t xml:space="preserve">EQUIPOS PARA REDES INFORMÁTICAS Y LICENCIAS</t>
        </is>
      </c>
      <c r="C153" s="0">
        <v>12</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10.0</v>
      </c>
      <c r="G153" s="0" t="inlineStr">
        <is>
          <t xml:space="preserve">Unidad</t>
        </is>
      </c>
      <c r="H153" s="4" t="inlineStr">
        <is>
          <t xml:space="preserve">Módulo FO (SM) 1G SFP LC LX 10km
(equivalente al modelo J4859D) /Control de Acceso</t>
        </is>
      </c>
    </row>
    <row r="154">
      <c r="A154" s="0" t="inlineStr">
        <is>
          <t xml:space="preserve">2563-34-LR26</t>
        </is>
      </c>
      <c r="B154" s="4" t="inlineStr">
        <is>
          <t xml:space="preserve">EQUIPOS PARA REDES INFORMÁTICAS Y LICENCIAS</t>
        </is>
      </c>
      <c r="C154" s="0">
        <v>13</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24.0</v>
      </c>
      <c r="G154" s="0" t="inlineStr">
        <is>
          <t xml:space="preserve">Unidad</t>
        </is>
      </c>
      <c r="H154" s="4" t="inlineStr">
        <is>
          <t xml:space="preserve">Módulo FO (SM) 1G SFP LC LX 10km (equivalente al modelo J4859D) /Aeroportuarios</t>
        </is>
      </c>
    </row>
    <row r="155">
      <c r="A155" s="0" t="inlineStr">
        <is>
          <t xml:space="preserve">2563-34-LR26</t>
        </is>
      </c>
      <c r="B155" s="4" t="inlineStr">
        <is>
          <t xml:space="preserve">EQUIPOS PARA REDES INFORMÁTICAS Y LICENCIAS</t>
        </is>
      </c>
      <c r="C155" s="0">
        <v>14</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1.0</v>
      </c>
      <c r="G155" s="0" t="inlineStr">
        <is>
          <t xml:space="preserve">Unidad</t>
        </is>
      </c>
      <c r="H155" s="4" t="inlineStr">
        <is>
          <t xml:space="preserve">Equipo de protección de enlaces de red frente a ataques DDoS y amenazas avanzadas, actuando directamente en el borde de la red (edge), donde se conectan los enlaces de Internet principal y de respaldo. /Control de Acceso</t>
        </is>
      </c>
    </row>
    <row r="156">
      <c r="A156" s="0" t="inlineStr">
        <is>
          <t xml:space="preserve">2563-34-LR26</t>
        </is>
      </c>
      <c r="B156" s="4" t="inlineStr">
        <is>
          <t xml:space="preserve">EQUIPOS PARA REDES INFORMÁTICAS Y LICENCIAS</t>
        </is>
      </c>
      <c r="C156" s="0">
        <v>15</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1.0</v>
      </c>
      <c r="G156" s="0" t="inlineStr">
        <is>
          <t xml:space="preserve">Unidad</t>
        </is>
      </c>
      <c r="H156" s="4" t="inlineStr">
        <is>
          <t xml:space="preserve">Licencia para el funcionamiento del equipo de protección de enlaces de red frente a ataques DDoS y amenazas avanzadas. /Control de Acceso</t>
        </is>
      </c>
    </row>
    <row r="157">
      <c r="A157" s="0" t="inlineStr">
        <is>
          <t xml:space="preserve">548874-74-LR26</t>
        </is>
      </c>
      <c r="B157" s="4" t="inlineStr">
        <is>
          <t xml:space="preserve">SERV DE PLATAFORMA SIEM NUEVA GENERACIÓN SAAS IPS</t>
        </is>
      </c>
      <c r="C157" s="0">
        <v>1</v>
      </c>
      <c r="D157" s="4" t="inlineStr">
        <is>
          <t xml:space="preserve">Software de protección antivirus y de seguridad de transacciones</t>
        </is>
      </c>
      <c r="E157" s="4" t="inlineStr">
        <is>
          <t xml:space="preserve">Tecnologías de la información, telecomunicaciones y radiodifusión / Software / Software de seguridad y protección</t>
        </is>
      </c>
      <c r="F157" s="0">
        <v>1.0</v>
      </c>
      <c r="G157" s="0" t="inlineStr">
        <is>
          <t xml:space="preserve">Global</t>
        </is>
      </c>
      <c r="H157" s="4" t="inlineStr">
        <is>
          <t xml:space="preserve">SERVICIO DE PLATAFORMA SIEM DE NUEVA GENERACIÓN EN MODALIDAD SAAS PARA EL INSTITUTO DE PREVISIÓN SOCIAL</t>
        </is>
      </c>
    </row>
    <row r="158">
      <c r="A158" s="0" t="inlineStr">
        <is>
          <t xml:space="preserve">5690-11-LE26</t>
        </is>
      </c>
      <c r="B158" s="4" t="inlineStr">
        <is>
          <t xml:space="preserve">Mantención Maquinaria y gestión documental</t>
        </is>
      </c>
      <c r="C158" s="0">
        <v>1</v>
      </c>
      <c r="D158" s="4" t="inlineStr">
        <is>
          <t xml:space="preserve">Servicio de mantenimiento de equipo de fabricación</t>
        </is>
      </c>
      <c r="E158" s="4" t="inlineStr">
        <is>
          <t xml:space="preserve">Servicios de producción y fabricación industrial / Servicios de apoyo o soporte a la fabricación / Servicios de mantenimiento y reparación de equipo de fabricación</t>
        </is>
      </c>
      <c r="F158" s="0">
        <v>1.0</v>
      </c>
      <c r="G158" s="0" t="inlineStr">
        <is>
          <t xml:space="preserve">Unidad no definida</t>
        </is>
      </c>
      <c r="H158" s="4" t="inlineStr">
        <is>
          <t xml:space="preserve">Servicio de Mantención Preventiva y/o Correctiva, Gestión y Regularización Documental Vehicular de Maquinarias para la Oficina Sectorial Tamarugal</t>
        </is>
      </c>
    </row>
    <row r="159">
      <c r="A159" s="0" t="inlineStr">
        <is>
          <t xml:space="preserve">188-83-LP26</t>
        </is>
      </c>
      <c r="B159" s="4" t="inlineStr">
        <is>
          <t xml:space="preserve">Plataforma de Control de Proyectos COMUDEF</t>
        </is>
      </c>
      <c r="C159" s="0">
        <v>1</v>
      </c>
      <c r="D159" s="4" t="inlineStr">
        <is>
          <t xml:space="preserve">Software de copias de seguridad o archivado</t>
        </is>
      </c>
      <c r="E159" s="4" t="inlineStr">
        <is>
          <t xml:space="preserve">Tecnologías de la información, telecomunicaciones y radiodifusión / Software / Software de controladores de dispositivos y utilidades</t>
        </is>
      </c>
      <c r="F159" s="0">
        <v>1.0</v>
      </c>
      <c r="G159" s="0" t="inlineStr">
        <is>
          <t xml:space="preserve">Unidad no definida</t>
        </is>
      </c>
      <c r="H159" s="4" t="inlineStr">
        <is>
          <t xml:space="preserve">Contratación, implementación y soporte de plataforma digital de sistema de seguimiento y control de proyectos, servicios y honorarios corporativos Corporación Municipal de La Florida - COMUDEF</t>
        </is>
      </c>
    </row>
    <row r="160">
      <c r="A160" s="0" t="inlineStr">
        <is>
          <t xml:space="preserve">591-31-LE26</t>
        </is>
      </c>
      <c r="B160" s="4" t="inlineStr">
        <is>
          <t xml:space="preserve">Curso Marketing digital estrategia digital y mas.</t>
        </is>
      </c>
      <c r="C160" s="0">
        <v>1</v>
      </c>
      <c r="D160" s="4" t="inlineStr">
        <is>
          <t xml:space="preserve">Programas o cursos no diplomados a distancia</t>
        </is>
      </c>
      <c r="E160" s="4" t="inlineStr">
        <is>
          <t xml:space="preserve">Educación, formación, entrenamiento y capacitación / Sistemas educativos complementarios / Aprendizaje a distancia</t>
        </is>
      </c>
      <c r="F160" s="0">
        <v>1.0</v>
      </c>
      <c r="G160" s="0" t="inlineStr">
        <is>
          <t xml:space="preserve">Unidad</t>
        </is>
      </c>
      <c r="H160" s="4" t="inlineStr">
        <is>
          <t xml:space="preserve">Curso "Marketing digital, estrategia digital y analítica para equipos de comunicación”</t>
        </is>
      </c>
    </row>
    <row r="161">
      <c r="A161" s="0" t="inlineStr">
        <is>
          <t xml:space="preserve">1736-108-LE26</t>
        </is>
      </c>
      <c r="B161" s="4" t="inlineStr">
        <is>
          <t xml:space="preserve">INSUMOS INFORMÁTICOS Y COMPUTACIONALES DISAM</t>
        </is>
      </c>
      <c r="C161" s="0">
        <v>1</v>
      </c>
      <c r="D161" s="4" t="inlineStr">
        <is>
          <t xml:space="preserve">Cable de fibra óptica</t>
        </is>
      </c>
      <c r="E161" s="4" t="inlineStr">
        <is>
          <t xml:space="preserve">Maquinaria para generación y distribución de energía / Alambres y cables eléctricos y electrónicos / Cables eléctricos y accesorios</t>
        </is>
      </c>
      <c r="F161" s="0">
        <v>1.0</v>
      </c>
      <c r="G161" s="0" t="inlineStr">
        <is>
          <t xml:space="preserve">Unidad</t>
        </is>
      </c>
      <c r="H161" s="4" t="inlineStr">
        <is>
          <t xml:space="preserve">DECRETO ALCALDICIO Nº 03363/2026 28. ESPECIFICACIONES TÉCNICAS LÍNEA 1: CONECTIVIDAD Y CABLEADO ESTRUCTURADO</t>
        </is>
      </c>
    </row>
    <row r="162">
      <c r="A162" s="0" t="inlineStr">
        <is>
          <t xml:space="preserve">1736-108-LE26</t>
        </is>
      </c>
      <c r="B162" s="4" t="inlineStr">
        <is>
          <t xml:space="preserve">INSUMOS INFORMÁTICOS Y COMPUTACIONALES DISAM</t>
        </is>
      </c>
      <c r="C162" s="0">
        <v>2</v>
      </c>
      <c r="D162" s="4" t="inlineStr">
        <is>
          <t xml:space="preserve">Memoria flash</t>
        </is>
      </c>
      <c r="E162" s="4" t="inlineStr">
        <is>
          <t xml:space="preserve">Artículos de electrónica / Circuitos electrónicos / Circuitos integrados, memorias y microprocesadores</t>
        </is>
      </c>
      <c r="F162" s="0">
        <v>1.0</v>
      </c>
      <c r="G162" s="0" t="inlineStr">
        <is>
          <t xml:space="preserve">Unidad</t>
        </is>
      </c>
      <c r="H162" s="4" t="inlineStr">
        <is>
          <t xml:space="preserve">DECRETO ALCALDICIO Nº 03363/2026 28. ESPECIFICACIONES TÉCNICAS LÍNEA 2: ALMACENAMIENTO Y COMPONENTES INTERNOS</t>
        </is>
      </c>
    </row>
    <row r="163">
      <c r="A163" s="0" t="inlineStr">
        <is>
          <t xml:space="preserve">1736-108-LE26</t>
        </is>
      </c>
      <c r="B163" s="4" t="inlineStr">
        <is>
          <t xml:space="preserve">INSUMOS INFORMÁTICOS Y COMPUTACIONALES DISAM</t>
        </is>
      </c>
      <c r="C163" s="0">
        <v>3</v>
      </c>
      <c r="D163" s="4" t="inlineStr">
        <is>
          <t xml:space="preserve">Cartuchos de tinta</t>
        </is>
      </c>
      <c r="E163" s="4" t="inlineStr">
        <is>
          <t xml:space="preserve">Equipos, accesorios y suministros de oficina / Maquinarias, suministros y accesorios de oficina / Suministros para impresora, fax y fotocopiadora</t>
        </is>
      </c>
      <c r="F163" s="0">
        <v>1.0</v>
      </c>
      <c r="G163" s="0" t="inlineStr">
        <is>
          <t xml:space="preserve">Unidad</t>
        </is>
      </c>
      <c r="H163" s="4" t="inlineStr">
        <is>
          <t xml:space="preserve">DECRETO ALCALDICIO Nº 03363/2026 28. ESPECIFICACIONES TÉCNICAS LÍNEA 3: SUMINISTROS DE IMPRESIÓN Y ROTULACIÓN</t>
        </is>
      </c>
    </row>
    <row r="164">
      <c r="A164" s="0" t="inlineStr">
        <is>
          <t xml:space="preserve">1736-108-LE26</t>
        </is>
      </c>
      <c r="B164" s="4" t="inlineStr">
        <is>
          <t xml:space="preserve">INSUMOS INFORMÁTICOS Y COMPUTACIONALES DISAM</t>
        </is>
      </c>
      <c r="C164" s="0">
        <v>4</v>
      </c>
      <c r="D164" s="4" t="inlineStr">
        <is>
          <t xml:space="preserve">Cristales de filtro</t>
        </is>
      </c>
      <c r="E164" s="4" t="inlineStr">
        <is>
          <t xml:space="preserve">Artículos de fabricación y producción / Óptica industrial / Cristales ópticos industriales</t>
        </is>
      </c>
      <c r="F164" s="0">
        <v>1.0</v>
      </c>
      <c r="G164" s="0" t="inlineStr">
        <is>
          <t xml:space="preserve">Unidad</t>
        </is>
      </c>
      <c r="H164" s="4" t="inlineStr">
        <is>
          <t xml:space="preserve">DECRETO ALCALDICIO Nº 03363/2026 28. ESPECIFICACIONES TÉCNICAS LÍNEA 4: MEDIOS ÓPTICOS Y SOLUCIONES CLÍNICAS</t>
        </is>
      </c>
    </row>
    <row r="165">
      <c r="A165" s="0" t="inlineStr">
        <is>
          <t xml:space="preserve">691792-1-LE26</t>
        </is>
      </c>
      <c r="B165" s="4" t="inlineStr">
        <is>
          <t xml:space="preserve">SERVICIOS DE MARKETING DIGITAL Y MEDIOS</t>
        </is>
      </c>
      <c r="C165" s="0">
        <v>1</v>
      </c>
      <c r="D165" s="4" t="inlineStr">
        <is>
          <t xml:space="preserve">Telemarketing</t>
        </is>
      </c>
      <c r="E165" s="4" t="inlineStr">
        <is>
          <t xml:space="preserve">Servicios profesionales, administrativos y consultorías de gestión empresarial / Servicios para la comercialización y distribución / Ventas y marketing</t>
        </is>
      </c>
      <c r="F165" s="0">
        <v>1.0</v>
      </c>
      <c r="G165" s="0" t="inlineStr">
        <is>
          <t xml:space="preserve">Unidad no definida</t>
        </is>
      </c>
      <c r="H165" s="4"/>
    </row>
    <row r="166">
      <c r="A166" s="0" t="inlineStr">
        <is>
          <t xml:space="preserve">1499-182-LE26</t>
        </is>
      </c>
      <c r="B166" s="4" t="inlineStr">
        <is>
          <t xml:space="preserve">INSUMOS NECESARIOS PARA SISTEMA DE SUPERVISIÓN Y DRENAJE TORÁCICO DIGITAL CON EQUIPO EN COMODATO</t>
        </is>
      </c>
      <c r="C166" s="0">
        <v>1</v>
      </c>
      <c r="D166" s="4" t="inlineStr">
        <is>
          <t xml:space="preserve">Catéteres, kits de cateterización o bolsas de drenaje para cirugía o endoscopia</t>
        </is>
      </c>
      <c r="E166" s="4" t="inlineStr">
        <is>
          <t xml:space="preserve">Equipamiento y suministros médicos / Productos quirúrgicos / Suministros quirúrgicos auxiliares</t>
        </is>
      </c>
      <c r="F166" s="0">
        <v>1.0</v>
      </c>
      <c r="G166" s="0" t="inlineStr">
        <is>
          <t xml:space="preserve">Global</t>
        </is>
      </c>
      <c r="H166" s="4" t="inlineStr">
        <is>
          <t xml:space="preserve">INSUMOS NECESARIOS PARA SISTEMA DE SUPERVISIÓN Y DRENAJE TORÁCICO DIGITAL CON EQUIPO EN COMODATO. REVISAR ESPECIFICACIONES TÉCNICAS EN EL ANEXO N°7.</t>
        </is>
      </c>
    </row>
    <row r="167">
      <c r="A167" s="0" t="inlineStr">
        <is>
          <t xml:space="preserve">2704-76-LE26</t>
        </is>
      </c>
      <c r="B167" s="4" t="inlineStr">
        <is>
          <t xml:space="preserve">SC1101 y 1105 Adquisición de licencias software</t>
        </is>
      </c>
      <c r="C167" s="0">
        <v>1</v>
      </c>
      <c r="D167" s="4" t="inlineStr">
        <is>
          <t xml:space="preserve">Software de gestión de adquisiciones</t>
        </is>
      </c>
      <c r="E167" s="4" t="inlineStr">
        <is>
          <t xml:space="preserve">Tecnologías de la información, telecomunicaciones y radiodifusión / Software / Software de gestión</t>
        </is>
      </c>
      <c r="F167" s="0">
        <v>1.0</v>
      </c>
      <c r="G167" s="0" t="inlineStr">
        <is>
          <t xml:space="preserve">Unidad</t>
        </is>
      </c>
      <c r="H167" s="4" t="inlineStr">
        <is>
          <t xml:space="preserve">Licencia de software Etabs Nonlinear V23</t>
        </is>
      </c>
    </row>
    <row r="168">
      <c r="A168" s="0" t="inlineStr">
        <is>
          <t xml:space="preserve">2704-76-LE26</t>
        </is>
      </c>
      <c r="B168" s="4" t="inlineStr">
        <is>
          <t xml:space="preserve">SC1101 y 1105 Adquisición de licencias software</t>
        </is>
      </c>
      <c r="C168" s="0">
        <v>2</v>
      </c>
      <c r="D168" s="4" t="inlineStr">
        <is>
          <t xml:space="preserve">Software de gestión de adquisiciones</t>
        </is>
      </c>
      <c r="E168" s="4" t="inlineStr">
        <is>
          <t xml:space="preserve">Tecnologías de la información, telecomunicaciones y radiodifusión / Software / Software de gestión</t>
        </is>
      </c>
      <c r="F168" s="0">
        <v>1.0</v>
      </c>
      <c r="G168" s="0" t="inlineStr">
        <is>
          <t xml:space="preserve">Unidad</t>
        </is>
      </c>
      <c r="H168" s="4" t="inlineStr">
        <is>
          <t xml:space="preserve">Licencia de Software DesignBuilder versión Engineering Plus</t>
        </is>
      </c>
    </row>
    <row r="169">
      <c r="A169" s="0" t="inlineStr">
        <is>
          <t xml:space="preserve">5251-83-LE26</t>
        </is>
      </c>
      <c r="B169" s="4" t="inlineStr">
        <is>
          <t xml:space="preserve">SUITE DE PRODUCTIVIDAD O SOFTWARE DE OFICINA</t>
        </is>
      </c>
      <c r="C169" s="0">
        <v>1</v>
      </c>
      <c r="D169" s="4" t="inlineStr">
        <is>
          <t xml:space="preserve">Software de gestión de licencias</t>
        </is>
      </c>
      <c r="E169" s="4" t="inlineStr">
        <is>
          <t xml:space="preserve">Tecnologías de la información, telecomunicaciones y radiodifusión / Software / Software de gestión</t>
        </is>
      </c>
      <c r="F169" s="0">
        <v>1.0</v>
      </c>
      <c r="G169" s="0" t="inlineStr">
        <is>
          <t xml:space="preserve">Unidad</t>
        </is>
      </c>
      <c r="H169" s="4" t="inlineStr">
        <is>
          <t xml:space="preserve">SUITE DE PRODUCTIVIDAD O SOFTWARE DE OFICINA</t>
        </is>
      </c>
    </row>
    <row r="170">
      <c r="A170" s="0" t="inlineStr">
        <is>
          <t xml:space="preserve">2385-56-LE26</t>
        </is>
      </c>
      <c r="B170" s="4" t="inlineStr">
        <is>
          <t xml:space="preserve">ADQUISICIÓN CURSO OFIMÁTICA E INTELIGENCIA ARTIFICIAL</t>
        </is>
      </c>
      <c r="C170" s="0">
        <v>1</v>
      </c>
      <c r="D170" s="4" t="inlineStr">
        <is>
          <t xml:space="preserve">Capacitación a empleados</t>
        </is>
      </c>
      <c r="E170" s="4" t="inlineStr">
        <is>
          <t xml:space="preserve">Educación, formación, entrenamiento y capacitación / Sistemas educativos complementarios / Educación de adultos</t>
        </is>
      </c>
      <c r="F170" s="0">
        <v>1.0</v>
      </c>
      <c r="G170" s="0" t="inlineStr">
        <is>
          <t xml:space="preserve">Unidad</t>
        </is>
      </c>
      <c r="H170" s="4" t="inlineStr">
        <is>
          <t xml:space="preserve">Módulo 1: Microsoft Word (Avanzado) 8 HORAS. Ver detalle en Bases Técnicas.</t>
        </is>
      </c>
    </row>
    <row r="171">
      <c r="A171" s="0" t="inlineStr">
        <is>
          <t xml:space="preserve">2385-56-LE26</t>
        </is>
      </c>
      <c r="B171" s="4" t="inlineStr">
        <is>
          <t xml:space="preserve">ADQUISICIÓN CURSO OFIMÁTICA E INTELIGENCIA ARTIFICIAL</t>
        </is>
      </c>
      <c r="C171" s="0">
        <v>2</v>
      </c>
      <c r="D171" s="4" t="inlineStr">
        <is>
          <t xml:space="preserve">Capacitación a empleados</t>
        </is>
      </c>
      <c r="E171" s="4" t="inlineStr">
        <is>
          <t xml:space="preserve">Educación, formación, entrenamiento y capacitación / Sistemas educativos complementarios / Educación de adultos</t>
        </is>
      </c>
      <c r="F171" s="0">
        <v>1.0</v>
      </c>
      <c r="G171" s="0" t="inlineStr">
        <is>
          <t xml:space="preserve">Unidad</t>
        </is>
      </c>
      <c r="H171" s="4" t="inlineStr">
        <is>
          <t xml:space="preserve">Módulo 2: Microsoft Excel (Básico a Intermedio) 8 HORAS. Ver detalle en Bases Técnicas.</t>
        </is>
      </c>
    </row>
    <row r="172">
      <c r="A172" s="0" t="inlineStr">
        <is>
          <t xml:space="preserve">2385-56-LE26</t>
        </is>
      </c>
      <c r="B172" s="4" t="inlineStr">
        <is>
          <t xml:space="preserve">ADQUISICIÓN CURSO OFIMÁTICA E INTELIGENCIA ARTIFICIAL</t>
        </is>
      </c>
      <c r="C172" s="0">
        <v>3</v>
      </c>
      <c r="D172" s="4" t="inlineStr">
        <is>
          <t xml:space="preserve">Capacitación a empleados</t>
        </is>
      </c>
      <c r="E172" s="4" t="inlineStr">
        <is>
          <t xml:space="preserve">Educación, formación, entrenamiento y capacitación / Sistemas educativos complementarios / Educación de adultos</t>
        </is>
      </c>
      <c r="F172" s="0">
        <v>1.0</v>
      </c>
      <c r="G172" s="0" t="inlineStr">
        <is>
          <t xml:space="preserve">Unidad</t>
        </is>
      </c>
      <c r="H172" s="4" t="inlineStr">
        <is>
          <t xml:space="preserve">Módulo 3: Aplicaciones de Google 8 HORAS. Ver detalle en Bases Técnicas.</t>
        </is>
      </c>
    </row>
    <row r="173">
      <c r="A173" s="0" t="inlineStr">
        <is>
          <t xml:space="preserve">2385-56-LE26</t>
        </is>
      </c>
      <c r="B173" s="4" t="inlineStr">
        <is>
          <t xml:space="preserve">ADQUISICIÓN CURSO OFIMÁTICA E INTELIGENCIA ARTIFICIAL</t>
        </is>
      </c>
      <c r="C173" s="0">
        <v>4</v>
      </c>
      <c r="D173" s="4" t="inlineStr">
        <is>
          <t xml:space="preserve">Capacitación a empleados</t>
        </is>
      </c>
      <c r="E173" s="4" t="inlineStr">
        <is>
          <t xml:space="preserve">Educación, formación, entrenamiento y capacitación / Sistemas educativos complementarios / Educación de adultos</t>
        </is>
      </c>
      <c r="F173" s="0">
        <v>1.0</v>
      </c>
      <c r="G173" s="0" t="inlineStr">
        <is>
          <t xml:space="preserve">Unidad</t>
        </is>
      </c>
      <c r="H173" s="4" t="inlineStr">
        <is>
          <t xml:space="preserve">Módulo 4: IA Aplicada a la Gestión 8 HORAS. Ver detalle en Bases Técnicas.</t>
        </is>
      </c>
    </row>
    <row r="174">
      <c r="A174" s="0" t="inlineStr">
        <is>
          <t xml:space="preserve">4121-25-LE26</t>
        </is>
      </c>
      <c r="B174" s="4" t="inlineStr">
        <is>
          <t xml:space="preserve">SISTEMA DE GESTION DOCUMENTAL</t>
        </is>
      </c>
      <c r="C174" s="0">
        <v>1</v>
      </c>
      <c r="D174" s="4" t="inlineStr">
        <is>
          <t xml:space="preserve">Software de arquitectura del sistema y análisis de requisitos</t>
        </is>
      </c>
      <c r="E174" s="4" t="inlineStr">
        <is>
          <t xml:space="preserve">Tecnologías de la información, telecomunicaciones y radiodifusión / Software / Programas de desarrollo</t>
        </is>
      </c>
      <c r="F174" s="0">
        <v>1.0</v>
      </c>
      <c r="G174" s="0" t="inlineStr">
        <is>
          <t xml:space="preserve">Unidad</t>
        </is>
      </c>
      <c r="H174" s="4" t="inlineStr">
        <is>
          <t xml:space="preserve">Se requiere contratar un servicio de sistema de gestión documental para la municipalidad de Ninhue. Ver detalle en las especificaciones técnicas adjuntas a la presente licitación.</t>
        </is>
      </c>
    </row>
    <row r="175">
      <c r="A175" s="0" t="inlineStr">
        <is>
          <t xml:space="preserve">761-22-LE26</t>
        </is>
      </c>
      <c r="B175" s="4" t="inlineStr">
        <is>
          <t xml:space="preserve">LICENCIAMIENTO ADOBE CREATIVE CLOUD E6945-2026</t>
        </is>
      </c>
      <c r="C175" s="0">
        <v>1</v>
      </c>
      <c r="D175" s="4" t="inlineStr">
        <is>
          <t xml:space="preserve">Software de gestión de licencias</t>
        </is>
      </c>
      <c r="E175" s="4" t="inlineStr">
        <is>
          <t xml:space="preserve">Tecnologías de la información, telecomunicaciones y radiodifusión / Software / Software de gestión</t>
        </is>
      </c>
      <c r="F175" s="0">
        <v>1.0</v>
      </c>
      <c r="G175" s="0" t="inlineStr">
        <is>
          <t xml:space="preserve">Unidad</t>
        </is>
      </c>
      <c r="H175" s="4" t="inlineStr">
        <is>
          <t xml:space="preserve">SERVICIO DE “RENOVACIÓN LICENCIAMIENTO ADOBE CREATIVE CLOUD PARA SUBDERE” E6945/2026</t>
        </is>
      </c>
    </row>
    <row r="176">
      <c r="A176" s="0" t="inlineStr">
        <is>
          <t xml:space="preserve">799512-50-LE26</t>
        </is>
      </c>
      <c r="B176" s="4" t="inlineStr">
        <is>
          <t xml:space="preserve">COMPRA TENSIOMETROS DIGITALES</t>
        </is>
      </c>
      <c r="C176" s="0">
        <v>1</v>
      </c>
      <c r="D176" s="4" t="inlineStr">
        <is>
          <t xml:space="preserve">Tensiómetros</t>
        </is>
      </c>
      <c r="E176" s="4" t="inlineStr">
        <is>
          <t xml:space="preserve">Equipamiento para laboratorios / Instrumentos de medida y experimentación / Instrumentos mecánicos</t>
        </is>
      </c>
      <c r="F176" s="0">
        <v>37.0</v>
      </c>
      <c r="G176" s="0" t="inlineStr">
        <is>
          <t xml:space="preserve">Unidad</t>
        </is>
      </c>
      <c r="H176" s="4" t="inlineStr">
        <is>
          <t xml:space="preserve">PROBP 2000 TENSIOMETRO DIGITAL CON FUENTE DE PODER (2000-P)</t>
        </is>
      </c>
    </row>
    <row r="177">
      <c r="A177" s="0" t="inlineStr">
        <is>
          <t xml:space="preserve">5890-11-LP26</t>
        </is>
      </c>
      <c r="B177" s="4" t="inlineStr">
        <is>
          <t xml:space="preserve">PLATAFORMA DE ANALISIS AVANZADO MALWARE PNCO2025</t>
        </is>
      </c>
      <c r="C177" s="0">
        <v>1</v>
      </c>
      <c r="D177" s="4" t="inlineStr">
        <is>
          <t xml:space="preserve">Cajas de almacenamientos de diferentes soportes</t>
        </is>
      </c>
      <c r="E177" s="4" t="inlineStr">
        <is>
          <t xml:space="preserve">Tecnologías de la información, telecomunicaciones y radiodifusión / Componentes para tecnología de la información, difusión o telecomunicaciones / Accesorios de soportes de almacenamiento extraíbles</t>
        </is>
      </c>
      <c r="F177" s="0">
        <v>1.0</v>
      </c>
      <c r="G177" s="0" t="inlineStr">
        <is>
          <t xml:space="preserve">Unidad</t>
        </is>
      </c>
      <c r="H177" s="4" t="inlineStr">
        <is>
          <t xml:space="preserve">SEGUN BASES ADMINISTRAIVAS Y ANEXOS ADJUNTOS</t>
        </is>
      </c>
    </row>
    <row r="178">
      <c r="A178" s="0" t="inlineStr">
        <is>
          <t xml:space="preserve">869591-12-LP26</t>
        </is>
      </c>
      <c r="B178" s="4" t="inlineStr">
        <is>
          <t xml:space="preserve">CONTRATACIÓN DE PLATAFORMA DE GESTIÓN DOCUMENTAL EXPEDIENTE ELECTRÓNICO Y GESTIÓN DE PROCESOS</t>
        </is>
      </c>
      <c r="C178" s="0">
        <v>1</v>
      </c>
      <c r="D178" s="4" t="inlineStr">
        <is>
          <t xml:space="preserve">Programas de gestión de documentos</t>
        </is>
      </c>
      <c r="E178" s="4" t="inlineStr">
        <is>
          <t xml:space="preserve">Tecnologías de la información, telecomunicaciones y radiodifusión / Software / Software de gestión de contenidos</t>
        </is>
      </c>
      <c r="F178" s="0">
        <v>1.0</v>
      </c>
      <c r="G178" s="0" t="inlineStr">
        <is>
          <t xml:space="preserve">Unidad</t>
        </is>
      </c>
      <c r="H178" s="4" t="inlineStr">
        <is>
          <t xml:space="preserve">CONTRATACIÓN DE PLATAFORMA DE GESTIÓN DOCUMENTAL, EXPEDIENTE ELECTRÓNICO Y GESTIÓN DE PROCESOS PARA LA DIRECCIÓN DE COMPRAS Y CONTRATACIÓN PÚBLICA</t>
        </is>
      </c>
    </row>
    <row r="179">
      <c r="A179" s="0" t="inlineStr">
        <is>
          <t xml:space="preserve">1562-61-LP26</t>
        </is>
      </c>
      <c r="B179" s="4" t="inlineStr">
        <is>
          <t xml:space="preserve">PLATAFORMA DE SEGURIDAD PERIMETRAL</t>
        </is>
      </c>
      <c r="C179" s="0">
        <v>1</v>
      </c>
      <c r="D179" s="4" t="inlineStr">
        <is>
          <t xml:space="preserve">Mantenimiento y soporte de hardware</t>
        </is>
      </c>
      <c r="E179" s="4" t="inlineStr">
        <is>
          <t xml:space="preserve">Servicios basados en ingeniería, ciencias sociales y tecnología de la información / Servicios informáticos / Administración de sistemas</t>
        </is>
      </c>
      <c r="F179" s="0">
        <v>2.0</v>
      </c>
      <c r="G179" s="0" t="inlineStr">
        <is>
          <t xml:space="preserve">Unidad</t>
        </is>
      </c>
      <c r="H179"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180">
      <c r="A180" s="0" t="inlineStr">
        <is>
          <t xml:space="preserve">1562-61-LP26</t>
        </is>
      </c>
      <c r="B180" s="4" t="inlineStr">
        <is>
          <t xml:space="preserve">PLATAFORMA DE SEGURIDAD PERIMETRAL</t>
        </is>
      </c>
      <c r="C180" s="0">
        <v>2</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t>
        </is>
      </c>
      <c r="H180"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181">
      <c r="A181" s="0" t="inlineStr">
        <is>
          <t xml:space="preserve">1562-61-LP26</t>
        </is>
      </c>
      <c r="B181" s="4" t="inlineStr">
        <is>
          <t xml:space="preserve">PLATAFORMA DE SEGURIDAD PERIMETRAL</t>
        </is>
      </c>
      <c r="C181" s="0">
        <v>3</v>
      </c>
      <c r="D181" s="4" t="inlineStr">
        <is>
          <t xml:space="preserve">Programas de gestión de configuración</t>
        </is>
      </c>
      <c r="E181" s="4" t="inlineStr">
        <is>
          <t xml:space="preserve">Tecnologías de la información, telecomunicaciones y radiodifusión / Software / Programas de desarrollo</t>
        </is>
      </c>
      <c r="F181" s="0">
        <v>1.0</v>
      </c>
      <c r="G181" s="0" t="inlineStr">
        <is>
          <t xml:space="preserve">Unidad</t>
        </is>
      </c>
      <c r="H181"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182">
      <c r="A182" s="0" t="inlineStr">
        <is>
          <t xml:space="preserve">761391-138-LE26</t>
        </is>
      </c>
      <c r="B182" s="4" t="inlineStr">
        <is>
          <t xml:space="preserve">EE-133-GUB-DAS-SVC. ARRI. EQUIPOS INFORMATICOS</t>
        </is>
      </c>
      <c r="C182" s="0">
        <v>1</v>
      </c>
      <c r="D182" s="4" t="inlineStr">
        <is>
          <t xml:space="preserve">Servicios de programación de sistemas operativos</t>
        </is>
      </c>
      <c r="E182" s="4" t="inlineStr">
        <is>
          <t xml:space="preserve">Servicios basados en ingeniería, ciencias sociales y tecnología de la información / Servicios informáticos / Ingeniería en computación e informática</t>
        </is>
      </c>
      <c r="F182" s="0">
        <v>1.0</v>
      </c>
      <c r="G182" s="0" t="inlineStr">
        <is>
          <t xml:space="preserve">Global</t>
        </is>
      </c>
      <c r="H182"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83">
      <c r="A183" s="0" t="inlineStr">
        <is>
          <t xml:space="preserve">587-49-LE26</t>
        </is>
      </c>
      <c r="B183" s="4" t="inlineStr">
        <is>
          <t xml:space="preserve">SELICO 198- 2026 SERVICIO DE DIGITALIZACIÓN</t>
        </is>
      </c>
      <c r="C183" s="0">
        <v>1</v>
      </c>
      <c r="D183" s="4" t="inlineStr">
        <is>
          <t xml:space="preserve">Servicios de digitalización de documentos</t>
        </is>
      </c>
      <c r="E183" s="4" t="inlineStr">
        <is>
          <t xml:space="preserve">Servicios basados en ingeniería, ciencias sociales y tecnología de la información / Servicios informáticos / Servicios de datos</t>
        </is>
      </c>
      <c r="F183" s="0">
        <v>1.0</v>
      </c>
      <c r="G183" s="0" t="inlineStr">
        <is>
          <t xml:space="preserve">Global</t>
        </is>
      </c>
      <c r="H183" s="4" t="inlineStr">
        <is>
          <t xml:space="preserve">Servicio de digitalización e indexación de documentación del MINVU y de la SEREMI Región Metropolitana.</t>
        </is>
      </c>
    </row>
    <row r="184">
      <c r="A184" s="0" t="inlineStr">
        <is>
          <t xml:space="preserve">1057049-332-LR26</t>
        </is>
      </c>
      <c r="B184" s="4" t="inlineStr">
        <is>
          <t xml:space="preserve">JLL BASES SERVICIO DE TURNOS PROFESIONALES PARA DESARROLLO DE SOFTWARE INTERNO DEL HOSPITAL CLÍNICO SAN BORJA ARRIARÁN</t>
        </is>
      </c>
      <c r="C184" s="0">
        <v>1</v>
      </c>
      <c r="D184" s="4" t="inlineStr">
        <is>
          <t xml:space="preserve">Personal técnico temporal</t>
        </is>
      </c>
      <c r="E184" s="4" t="inlineStr">
        <is>
          <t xml:space="preserve">Servicios profesionales, administrativos y consultorías de gestión empresarial / Servicios de recursos humanos / Servicios de personal temporal</t>
        </is>
      </c>
      <c r="F184" s="0">
        <v>1.0</v>
      </c>
      <c r="G184" s="0" t="inlineStr">
        <is>
          <t xml:space="preserve">Global</t>
        </is>
      </c>
      <c r="H184" s="4" t="inlineStr">
        <is>
          <t xml:space="preserve">COD. 704-0022 CONTRATACION DE SERVICIO DE TURNOS PROFESIONALES PARA DESARROLLO DE SOFTWARE INTERNO DEL HOSPITAL CLINICO SAN BORJA ARRIARAN POR 24 MESES</t>
        </is>
      </c>
    </row>
    <row r="185">
      <c r="A185" s="0" t="inlineStr">
        <is>
          <t xml:space="preserve">948354-137-LP26</t>
        </is>
      </c>
      <c r="B185" s="4" t="inlineStr">
        <is>
          <t xml:space="preserve">LA ADQUISICIÓN DE EQUIPO DE RAYOS X ARCO C CON FLUOROSCOPIA DIGITAL PARA EL HOSPITAL DIPRECA</t>
        </is>
      </c>
      <c r="C185" s="0">
        <v>1</v>
      </c>
      <c r="D185" s="4" t="inlineStr">
        <is>
          <t xml:space="preserve">Equipo de examen por rayos X</t>
        </is>
      </c>
      <c r="E185" s="4" t="inlineStr">
        <is>
          <t xml:space="preserve">Equipamiento para laboratorios / Instrumentos de medida y experimentación / Equipo de examen no invasivo</t>
        </is>
      </c>
      <c r="F185" s="0">
        <v>1.0</v>
      </c>
      <c r="G185" s="0" t="inlineStr">
        <is>
          <t xml:space="preserve">Unidad</t>
        </is>
      </c>
      <c r="H185" s="4" t="inlineStr">
        <is>
          <t xml:space="preserve">EQUIPO DE RAYOS X ARCO C, CON FLUOROSCOPIA DIGITAL.</t>
        </is>
      </c>
    </row>
    <row r="186">
      <c r="A186" s="0" t="inlineStr">
        <is>
          <t xml:space="preserve">885-85-LE26</t>
        </is>
      </c>
      <c r="B186" s="4" t="inlineStr">
        <is>
          <t xml:space="preserve">Adquisición de licencias de software Acrobat Pro DC for teams ALL MP MLA Team para la Contraloría General de la República.</t>
        </is>
      </c>
      <c r="C186" s="0">
        <v>1</v>
      </c>
      <c r="D186" s="4" t="inlineStr">
        <is>
          <t xml:space="preserve">Software de gestión de licencias</t>
        </is>
      </c>
      <c r="E186" s="4" t="inlineStr">
        <is>
          <t xml:space="preserve">Tecnologías de la información, telecomunicaciones y radiodifusión / Software / Software de gestión</t>
        </is>
      </c>
      <c r="F186" s="0">
        <v>50.0</v>
      </c>
      <c r="G186" s="0" t="inlineStr">
        <is>
          <t xml:space="preserve">Unidad</t>
        </is>
      </c>
      <c r="H186" s="4" t="inlineStr">
        <is>
          <t xml:space="preserve">Licencias del software Acrobat Pro DC for teams ALL MP MLA Team</t>
        </is>
      </c>
    </row>
    <row r="187">
      <c r="A187" s="0" t="inlineStr">
        <is>
          <t xml:space="preserve">1456836-4-LP26</t>
        </is>
      </c>
      <c r="B187" s="4" t="inlineStr">
        <is>
          <t xml:space="preserve">Software de Gestión de Personas y Remuneraciones</t>
        </is>
      </c>
      <c r="C187" s="0">
        <v>1</v>
      </c>
      <c r="D187" s="4" t="inlineStr">
        <is>
          <t xml:space="preserve">Software de gestión de recursos humanos</t>
        </is>
      </c>
      <c r="E187" s="4" t="inlineStr">
        <is>
          <t xml:space="preserve">Tecnologías de la información, telecomunicaciones y radiodifusión / Software / Software de gestión</t>
        </is>
      </c>
      <c r="F187" s="0">
        <v>1.0</v>
      </c>
      <c r="G187" s="0" t="inlineStr">
        <is>
          <t xml:space="preserve">Global</t>
        </is>
      </c>
      <c r="H187" s="4" t="inlineStr">
        <is>
          <t xml:space="preserve">Servicio de arriendo de Software de Gestión de Personas y Remuneraciones para el Servicio Local de Educación Pública Hanga Roa.</t>
        </is>
      </c>
    </row>
    <row r="188">
      <c r="A188" s="0" t="inlineStr">
        <is>
          <t xml:space="preserve">1456836-4-LP26</t>
        </is>
      </c>
      <c r="B188" s="4" t="inlineStr">
        <is>
          <t xml:space="preserve">Software de Gestión de Personas y Remuneraciones</t>
        </is>
      </c>
      <c r="C188" s="0">
        <v>2</v>
      </c>
      <c r="D188" s="4" t="inlineStr">
        <is>
          <t xml:space="preserve">Software de gestión de recursos humanos</t>
        </is>
      </c>
      <c r="E188" s="4" t="inlineStr">
        <is>
          <t xml:space="preserve">Tecnologías de la información, telecomunicaciones y radiodifusión / Software / Software de gestión</t>
        </is>
      </c>
      <c r="F188" s="0">
        <v>1.0</v>
      </c>
      <c r="G188" s="0" t="inlineStr">
        <is>
          <t xml:space="preserve">Global</t>
        </is>
      </c>
      <c r="H188" s="4" t="inlineStr">
        <is>
          <t xml:space="preserve">Servicio de arriendo de Software de Gestión de Personas y Remuneraciones para el Servicio Local de Educación Pública Hanga Roa.</t>
        </is>
      </c>
    </row>
    <row r="189">
      <c r="A189" s="0" t="inlineStr">
        <is>
          <t xml:space="preserve">1663-148-LE26</t>
        </is>
      </c>
      <c r="B189" s="4" t="inlineStr">
        <is>
          <t xml:space="preserve">CARROS INFORMATICOS CLINICOS</t>
        </is>
      </c>
      <c r="C189" s="0">
        <v>1</v>
      </c>
      <c r="D189" s="4" t="inlineStr">
        <is>
          <t xml:space="preserve">Estantes de montaje</t>
        </is>
      </c>
      <c r="E189" s="4" t="inlineStr">
        <is>
          <t xml:space="preserve">Artículos de fabricación y producción / Artículos de ferretería / Accesorios de Ferretería</t>
        </is>
      </c>
      <c r="F189" s="0">
        <v>7.0</v>
      </c>
      <c r="G189" s="0" t="inlineStr">
        <is>
          <t xml:space="preserve">Unidad</t>
        </is>
      </c>
      <c r="H189" s="4" t="inlineStr">
        <is>
          <t xml:space="preserve">CARROS INFORMATICOS CLINICOS PORTA NOTEBOOK (VER ESPECIFICACIONES TECNICAS EN BASES TECNICAS)</t>
        </is>
      </c>
    </row>
    <row r="190">
      <c r="A190" s="0" t="inlineStr">
        <is>
          <t xml:space="preserve">548874-77-LR26</t>
        </is>
      </c>
      <c r="B190" s="4" t="inlineStr">
        <is>
          <t xml:space="preserve">MANTENCIÓN Y MEJORA SISTEMA CIBERSEGURIDAD NCH ISO</t>
        </is>
      </c>
      <c r="C190" s="0">
        <v>1</v>
      </c>
      <c r="D190" s="4" t="inlineStr">
        <is>
          <t xml:space="preserve">Software de administración de red privada virtual (VPN) o de seguridad de red</t>
        </is>
      </c>
      <c r="E190" s="4" t="inlineStr">
        <is>
          <t xml:space="preserve">Tecnologías de la información, telecomunicaciones y radiodifusión / Software / Software de seguridad y protección</t>
        </is>
      </c>
      <c r="F190" s="0">
        <v>1.0</v>
      </c>
      <c r="G190" s="0" t="inlineStr">
        <is>
          <t xml:space="preserve">Global</t>
        </is>
      </c>
      <c r="H190" s="4" t="inlineStr">
        <is>
          <t xml:space="preserve">E1O2RT8 - SERVICIO DE MANTENCIÓN Y MEJORA DEL SISTEMA DE GESTIÓN DE SEGURIDAD DE LA INFORMACIÓN Y CIBERSEGURIDAD INSTITUCIONAL NCH ISO/ IEC 27001</t>
        </is>
      </c>
    </row>
    <row r="191">
      <c r="A191" s="0" t="inlineStr">
        <is>
          <t xml:space="preserve">2080-309-LE26</t>
        </is>
      </c>
      <c r="B191" s="4" t="inlineStr">
        <is>
          <t xml:space="preserve">COMPRA ROLLOS PAPEL IMPRESORA TOTEM</t>
        </is>
      </c>
      <c r="C191" s="0">
        <v>1</v>
      </c>
      <c r="D191" s="4" t="inlineStr">
        <is>
          <t xml:space="preserve">Rollos para télex</t>
        </is>
      </c>
      <c r="E191" s="4" t="inlineStr">
        <is>
          <t xml:space="preserve">Productos de papel / Productos de papel / Papel de imprenta y escritura</t>
        </is>
      </c>
      <c r="F191" s="0">
        <v>21432.0</v>
      </c>
      <c r="G191" s="0" t="inlineStr">
        <is>
          <t xml:space="preserve">Unidad</t>
        </is>
      </c>
      <c r="H191" s="4" t="inlineStr">
        <is>
          <t xml:space="preserve">1OFI-0683 PAPEL IMPRESORA TOTEM. ROLLO TÉRMICO 80 X 40 MM, BLANCO, DIÁMETRO TUBO INTERNO 12 A 13 MM- MUESTRAS: 01 UNIDAD POR OFERENTE.ROLLOS21432</t>
        </is>
      </c>
    </row>
    <row r="192">
      <c r="A192" s="0" t="inlineStr">
        <is>
          <t xml:space="preserve">875-10-LE26</t>
        </is>
      </c>
      <c r="B192" s="4" t="inlineStr">
        <is>
          <t xml:space="preserve">SERV. DE INFORMACIÓN DE REMUNERACIONES PLATAFORMA</t>
        </is>
      </c>
      <c r="C192" s="0">
        <v>1</v>
      </c>
      <c r="D192" s="4" t="inlineStr">
        <is>
          <t xml:space="preserve">Publicaciones periódicas</t>
        </is>
      </c>
      <c r="E192" s="4" t="inlineStr">
        <is>
          <t xml:space="preserve">Productos impresos y publicaciones / Medios impresos / Publicaciones impresas</t>
        </is>
      </c>
      <c r="F192" s="0">
        <v>1.0</v>
      </c>
      <c r="G192" s="0" t="inlineStr">
        <is>
          <t xml:space="preserve">Unidad</t>
        </is>
      </c>
      <c r="H192" s="4" t="inlineStr">
        <is>
          <t xml:space="preserve">SERV. DE INFORMACIÓN DE REMUNERACIONES PLATAFORMA</t>
        </is>
      </c>
    </row>
    <row r="193">
      <c r="A193" s="0" t="inlineStr">
        <is>
          <t xml:space="preserve">1051173-13-LP26</t>
        </is>
      </c>
      <c r="B193" s="4" t="inlineStr">
        <is>
          <t xml:space="preserve">SERVICIO DE INFRAESTRUCTURA EN LA NUBE</t>
        </is>
      </c>
      <c r="C193" s="0">
        <v>1</v>
      </c>
      <c r="D193" s="4" t="inlineStr">
        <is>
          <t xml:space="preserve">Centro de servicios de datos</t>
        </is>
      </c>
      <c r="E193" s="4" t="inlineStr">
        <is>
          <t xml:space="preserve">Servicios basados en ingeniería, ciencias sociales y tecnología de la información / Servicios informáticos / Servicios de datos</t>
        </is>
      </c>
      <c r="F193" s="0">
        <v>1.0</v>
      </c>
      <c r="G193" s="0" t="inlineStr">
        <is>
          <t xml:space="preserve">Unidad no definida</t>
        </is>
      </c>
      <c r="H193" s="4" t="inlineStr">
        <is>
          <t xml:space="preserve">Servicio de infraestructura en la nube para el Ministerio Secretaría General de la Presidencia</t>
        </is>
      </c>
    </row>
    <row r="194">
      <c r="A194" s="0" t="inlineStr">
        <is>
          <t xml:space="preserve">4024-29-LE26</t>
        </is>
      </c>
      <c r="B194" s="4" t="inlineStr">
        <is>
          <t xml:space="preserve">Modernización del Gimnasio Municipal Héctor Aqueveque Aránguiz”</t>
        </is>
      </c>
      <c r="C194" s="0">
        <v>1</v>
      </c>
      <c r="D194" s="4" t="inlineStr">
        <is>
          <t xml:space="preserve">Asfalto</t>
        </is>
      </c>
      <c r="E194" s="4" t="inlineStr">
        <is>
          <t xml:space="preserve">Artículos para estructuras, obras y construcciones / Pavimento para carreteras y caminos / Asfaltos</t>
        </is>
      </c>
      <c r="F194" s="0">
        <v>1.0</v>
      </c>
      <c r="G194" s="0" t="inlineStr">
        <is>
          <t xml:space="preserve">Unidad</t>
        </is>
      </c>
      <c r="H194" s="4" t="inlineStr">
        <is>
          <t xml:space="preserve">La Municipalidad de San Carlos llama a presentar ofertas en la licitación pública denominada MODERNIZACIÓN DEL
GIMNASIO MUNICIPAL HÉCTOR AQUEVEQUE ARÁNGUIZ</t>
        </is>
      </c>
    </row>
    <row r="195">
      <c r="A195" s="0" t="inlineStr">
        <is>
          <t xml:space="preserve">1562-63-LP26</t>
        </is>
      </c>
      <c r="B195" s="4" t="inlineStr">
        <is>
          <t xml:space="preserve">ELABORACIÓN DE LA PLATAFORMA PÚBLICA MINERA</t>
        </is>
      </c>
      <c r="C195" s="0">
        <v>1</v>
      </c>
      <c r="D195" s="4" t="inlineStr">
        <is>
          <t xml:space="preserve">Software de desarrollo de plataforma Web</t>
        </is>
      </c>
      <c r="E195" s="4" t="inlineStr">
        <is>
          <t xml:space="preserve">Tecnologías de la información, telecomunicaciones y radiodifusión / Software / Programas de desarrollo</t>
        </is>
      </c>
      <c r="F195" s="0">
        <v>1.0</v>
      </c>
      <c r="G195" s="0" t="inlineStr">
        <is>
          <t xml:space="preserve">Global</t>
        </is>
      </c>
      <c r="H195" s="4" t="inlineStr">
        <is>
          <t xml:space="preserve">Para la contratación del servicio de especializado de elaboración de la Plataforma Pública Minera, de Sernageomin</t>
        </is>
      </c>
    </row>
    <row r="196">
      <c r="A196" s="0" t="inlineStr">
        <is>
          <t xml:space="preserve">4112-27-LE26</t>
        </is>
      </c>
      <c r="B196" s="4" t="inlineStr">
        <is>
          <t xml:space="preserve">“ADQUISICIÓN DE LICENCIAS DE SOFTWARE”</t>
        </is>
      </c>
      <c r="C196" s="0">
        <v>1</v>
      </c>
      <c r="D196" s="4" t="inlineStr">
        <is>
          <t xml:space="preserve">Diseño por computador</t>
        </is>
      </c>
      <c r="E196" s="4" t="inlineStr">
        <is>
          <t xml:space="preserve">Servicios editoriales, de diseño, publicidad, gráficos y artistas / Diseño gráfico / Diseño</t>
        </is>
      </c>
      <c r="F196" s="0">
        <v>1.0</v>
      </c>
      <c r="G196" s="0" t="inlineStr">
        <is>
          <t xml:space="preserve">Unidad</t>
        </is>
      </c>
      <c r="H196" s="4" t="inlineStr">
        <is>
          <t xml:space="preserve">LÍNEA 1: PROGRAMAS DE ARQUITECTURA, DISEÑO Y EDICIÓN</t>
        </is>
      </c>
    </row>
    <row r="197">
      <c r="A197" s="0" t="inlineStr">
        <is>
          <t xml:space="preserve">4112-27-LE26</t>
        </is>
      </c>
      <c r="B197" s="4" t="inlineStr">
        <is>
          <t xml:space="preserve">“ADQUISICIÓN DE LICENCIAS DE SOFTWARE”</t>
        </is>
      </c>
      <c r="C197" s="0">
        <v>2</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Unidad</t>
        </is>
      </c>
      <c r="H197" s="4" t="inlineStr">
        <is>
          <t xml:space="preserve">LÍNEA 2: PROGRAMAS OFIMÁTICOS</t>
        </is>
      </c>
    </row>
    <row r="198">
      <c r="A198" s="0" t="inlineStr">
        <is>
          <t xml:space="preserve">4112-27-LE26</t>
        </is>
      </c>
      <c r="B198" s="4" t="inlineStr">
        <is>
          <t xml:space="preserve">“ADQUISICIÓN DE LICENCIAS DE SOFTWARE”</t>
        </is>
      </c>
      <c r="C198" s="0">
        <v>3</v>
      </c>
      <c r="D198" s="4" t="inlineStr">
        <is>
          <t xml:space="preserve">Software de video conferencia</t>
        </is>
      </c>
      <c r="E198" s="4" t="inlineStr">
        <is>
          <t xml:space="preserve">Tecnologías de la información, telecomunicaciones y radiodifusión / Software / Software de intercambio de información</t>
        </is>
      </c>
      <c r="F198" s="0">
        <v>1.0</v>
      </c>
      <c r="G198" s="0" t="inlineStr">
        <is>
          <t xml:space="preserve">Unidad</t>
        </is>
      </c>
      <c r="H198" s="4" t="inlineStr">
        <is>
          <t xml:space="preserve">LÍNEA 3: PROGRAMAS DE TRANSMISIÓN EN VIVO</t>
        </is>
      </c>
    </row>
    <row r="199">
      <c r="A199" s="0" t="inlineStr">
        <is>
          <t xml:space="preserve">1002-84-LP26</t>
        </is>
      </c>
      <c r="B199" s="4" t="inlineStr">
        <is>
          <t xml:space="preserve">ADQUISICION DE TABLERO DE MADERA PRESERVADA CON HERRAJE</t>
        </is>
      </c>
      <c r="C199" s="0">
        <v>1</v>
      </c>
      <c r="D199" s="4" t="inlineStr">
        <is>
          <t xml:space="preserve">Vigas de madera</t>
        </is>
      </c>
      <c r="E199" s="4" t="inlineStr">
        <is>
          <t xml:space="preserve">Artículos para estructuras, obras y construcciones / Materiales estructurales básicos / Productos estructurales</t>
        </is>
      </c>
      <c r="F199" s="0">
        <v>1.0</v>
      </c>
      <c r="G199" s="0" t="inlineStr">
        <is>
          <t xml:space="preserve">Unidad</t>
        </is>
      </c>
      <c r="H199" s="4" t="inlineStr">
        <is>
          <t xml:space="preserve">adquisición de un tablero de madera preservada, con su herraje segun solicitado en bases tecnicas</t>
        </is>
      </c>
    </row>
    <row r="200">
      <c r="A200" s="0" t="inlineStr">
        <is>
          <t xml:space="preserve">1605-36-LR26</t>
        </is>
      </c>
      <c r="B200" s="4" t="inlineStr">
        <is>
          <t xml:space="preserve">LR-4252 Servicio de Red Datos WAN</t>
        </is>
      </c>
      <c r="C200" s="0">
        <v>1</v>
      </c>
      <c r="D200" s="4" t="inlineStr">
        <is>
          <t xml:space="preserve">Proveedores de servicio de Internet (ISP)</t>
        </is>
      </c>
      <c r="E200" s="4" t="inlineStr">
        <is>
          <t xml:space="preserve">Servicios basados en ingeniería, ciencias sociales y tecnología de la información / Servicios informáticos / Servicios para internet</t>
        </is>
      </c>
      <c r="F200" s="0">
        <v>72.0</v>
      </c>
      <c r="G200" s="0" t="inlineStr">
        <is>
          <t xml:space="preserve">Mes</t>
        </is>
      </c>
      <c r="H200" s="4" t="inlineStr">
        <is>
          <t xml:space="preserve">1. Servicio de conectividad de datos.
2. Infraestructura tipo SD-WAN y LAN
3. Servicio de conectividad inalámbrica Wifi.
4. Servicio de telefonía IP institucional.</t>
        </is>
      </c>
    </row>
    <row r="201">
      <c r="A201" s="0" t="inlineStr">
        <is>
          <t xml:space="preserve">1605-36-LR26</t>
        </is>
      </c>
      <c r="B201" s="4" t="inlineStr">
        <is>
          <t xml:space="preserve">LR-4252 Servicio de Red Datos WAN</t>
        </is>
      </c>
      <c r="C201" s="0">
        <v>2</v>
      </c>
      <c r="D201" s="4" t="inlineStr">
        <is>
          <t xml:space="preserve">Proveedores de servicio de Internet (ISP)</t>
        </is>
      </c>
      <c r="E201" s="4" t="inlineStr">
        <is>
          <t xml:space="preserve">Servicios basados en ingeniería, ciencias sociales y tecnología de la información / Servicios informáticos / Servicios para internet</t>
        </is>
      </c>
      <c r="F201" s="0">
        <v>72.0</v>
      </c>
      <c r="G201" s="0" t="inlineStr">
        <is>
          <t xml:space="preserve">Mes</t>
        </is>
      </c>
      <c r="H201" s="4" t="inlineStr">
        <is>
          <t xml:space="preserve">5. Monitoreo y gestión de las componentes 1 a 4.</t>
        </is>
      </c>
    </row>
    <row r="202">
      <c r="A202" s="0" t="inlineStr">
        <is>
          <t xml:space="preserve">1051173-14-LE26</t>
        </is>
      </c>
      <c r="B202" s="4" t="inlineStr">
        <is>
          <t xml:space="preserve">SERVICIO DE ENLACE DE DATOS DE RESPALDO</t>
        </is>
      </c>
      <c r="C202" s="0">
        <v>1</v>
      </c>
      <c r="D202" s="4" t="inlineStr">
        <is>
          <t xml:space="preserve">Unidades de servicio de datos o canales de red</t>
        </is>
      </c>
      <c r="E202" s="4" t="inlineStr">
        <is>
          <t xml:space="preserve">Tecnologías de la información, telecomunicaciones y radiodifusión / Equipos, plataformas y accesorios de redes multimedia, voz y datos / Equipos de servicio de red</t>
        </is>
      </c>
      <c r="F202" s="0">
        <v>1.0</v>
      </c>
      <c r="G202" s="0" t="inlineStr">
        <is>
          <t xml:space="preserve">Unidad no definida</t>
        </is>
      </c>
      <c r="H202" s="4" t="inlineStr">
        <is>
          <t xml:space="preserve">SERVICIO DE ENLACE DE DATOS DE RESPALDO PARA EL MINISTERIO SECRETARÍA GENERAL DE LA PRESIDENCIA</t>
        </is>
      </c>
    </row>
    <row r="203">
      <c r="A203" s="0" t="inlineStr">
        <is>
          <t xml:space="preserve">976-15-O126</t>
        </is>
      </c>
      <c r="B203" s="4" t="inlineStr">
        <is>
          <t xml:space="preserve">Ampliación Plataformas Comercial y General Ad. El Loa</t>
        </is>
      </c>
      <c r="C203" s="0">
        <v>1</v>
      </c>
      <c r="D203" s="4" t="inlineStr">
        <is>
          <t xml:space="preserve">Licitación Pública de Obra</t>
        </is>
      </c>
      <c r="E203" s="4" t="inlineStr">
        <is>
          <t xml:space="preserve">Consultoria / Consultoria / Planificación y Factibilidad</t>
        </is>
      </c>
      <c r="F203" s="0">
        <v>1.0</v>
      </c>
      <c r="G203" s="0" t="inlineStr">
        <is>
          <t xml:space="preserve">Unidad</t>
        </is>
      </c>
      <c r="H203" s="4" t="inlineStr">
        <is>
          <t xml:space="preserve">Licitación Pública de Obra</t>
        </is>
      </c>
    </row>
    <row r="204">
      <c r="A204" s="0" t="inlineStr">
        <is>
          <t xml:space="preserve">610-19-LE26</t>
        </is>
      </c>
      <c r="B204" s="4" t="inlineStr">
        <is>
          <t xml:space="preserve">Base de datos Plexos del Sistema Eléctrico Nacional</t>
        </is>
      </c>
      <c r="C204" s="0">
        <v>1</v>
      </c>
      <c r="D204" s="4" t="inlineStr">
        <is>
          <t xml:space="preserve">Ingeniería eléctrica</t>
        </is>
      </c>
      <c r="E204" s="4" t="inlineStr">
        <is>
          <t xml:space="preserve">Servicios basados en ingeniería, ciencias sociales y tecnología de la información / Servicios profesionales de ingeniería / Ingeniería eléctrica y electrónica</t>
        </is>
      </c>
      <c r="F204" s="0">
        <v>1.0</v>
      </c>
      <c r="G204" s="0" t="inlineStr">
        <is>
          <t xml:space="preserve">Unidad</t>
        </is>
      </c>
      <c r="H204" s="4" t="inlineStr">
        <is>
          <t xml:space="preserve">Base de datos Plexos del Sistema Eléctrico Nacional.</t>
        </is>
      </c>
    </row>
    <row r="205">
      <c r="A205" s="0" t="inlineStr">
        <is>
          <t xml:space="preserve">2445-124-LP26</t>
        </is>
      </c>
      <c r="B205" s="4" t="inlineStr">
        <is>
          <t xml:space="preserve">SERVICIO DE TELEFONIA FIJA IP Y PLATAFORMA IVR</t>
        </is>
      </c>
      <c r="C205" s="0">
        <v>1</v>
      </c>
      <c r="D205" s="4" t="inlineStr">
        <is>
          <t xml:space="preserve">Mano de obra temporal</t>
        </is>
      </c>
      <c r="E205" s="4" t="inlineStr">
        <is>
          <t xml:space="preserve">Servicios profesionales, administrativos y consultorías de gestión empresarial / Servicios de recursos humanos / Servicios de personal temporal</t>
        </is>
      </c>
      <c r="F205" s="0">
        <v>1.0</v>
      </c>
      <c r="G205" s="0" t="inlineStr">
        <is>
          <t xml:space="preserve">Unidad</t>
        </is>
      </c>
      <c r="H205" s="4" t="inlineStr">
        <is>
          <t xml:space="preserve">SERVICIO DE TELEFONIA FIJA IP Y PLATAFORMA IVR PARA EL DEPTO DE SALUD POR 48 MESES</t>
        </is>
      </c>
    </row>
    <row r="206">
      <c r="A206" s="0" t="inlineStr">
        <is>
          <t xml:space="preserve">29-81-LP26</t>
        </is>
      </c>
      <c r="B206" s="4" t="inlineStr">
        <is>
          <t xml:space="preserve">AGF - PLATAFORMA INGLES</t>
        </is>
      </c>
      <c r="C206" s="0">
        <v>1</v>
      </c>
      <c r="D206" s="4" t="inlineStr">
        <is>
          <t xml:space="preserve">Enseñanza conversacional de idiomas extranjeros</t>
        </is>
      </c>
      <c r="E206" s="4" t="inlineStr">
        <is>
          <t xml:space="preserve">Educación, formación, entrenamiento y capacitación / Sistemas educativos complementarios / Escuelas de idiomas</t>
        </is>
      </c>
      <c r="F206" s="0">
        <v>1.0</v>
      </c>
      <c r="G206" s="0" t="inlineStr">
        <is>
          <t xml:space="preserve">Global</t>
        </is>
      </c>
      <c r="H206" s="4" t="inlineStr">
        <is>
          <t xml:space="preserve">CONTRATACIÓN DE SERVICIO DE PLATAFORMA INTEGRAL DE CAPACITACIÓN EN IDIOMA INGLÉS (MODALIDAD E-LEARNING CON TUTORIA)</t>
        </is>
      </c>
    </row>
    <row r="207">
      <c r="A207" s="0" t="inlineStr">
        <is>
          <t xml:space="preserve">3447-145-LR26</t>
        </is>
      </c>
      <c r="B207" s="4" t="inlineStr">
        <is>
          <t xml:space="preserve">Adquisición e Implementación Plataforma Integral</t>
        </is>
      </c>
      <c r="C207" s="0">
        <v>1</v>
      </c>
      <c r="D207" s="4" t="inlineStr">
        <is>
          <t xml:space="preserve">Servicios de programación de sistemas operativos</t>
        </is>
      </c>
      <c r="E207" s="4" t="inlineStr">
        <is>
          <t xml:space="preserve">Servicios basados en ingeniería, ciencias sociales y tecnología de la información / Servicios informáticos / Ingeniería en computación e informática</t>
        </is>
      </c>
      <c r="F207" s="0">
        <v>1.0</v>
      </c>
      <c r="G207" s="0" t="inlineStr">
        <is>
          <t xml:space="preserve">Global</t>
        </is>
      </c>
      <c r="H207" s="4" t="inlineStr">
        <is>
          <t xml:space="preserve">Adquisición e Implementación de Plataforma Integral de Gestión Municipal y Servicios Traspasados para la Municipalidad de Alto Hospicio. (INGRESAR VALOR TOTAL NETO)</t>
        </is>
      </c>
    </row>
    <row r="208">
      <c r="A208" s="0" t="inlineStr">
        <is>
          <t xml:space="preserve">5482-101-LR26</t>
        </is>
      </c>
      <c r="B208" s="4" t="inlineStr">
        <is>
          <t xml:space="preserve">Plataforma IA para video y seguridad urbana</t>
        </is>
      </c>
      <c r="C208" s="0">
        <v>1</v>
      </c>
      <c r="D208" s="4" t="inlineStr">
        <is>
          <t xml:space="preserve">Software de desarrollo de plataforma Web</t>
        </is>
      </c>
      <c r="E208" s="4" t="inlineStr">
        <is>
          <t xml:space="preserve">Tecnologías de la información, telecomunicaciones y radiodifusión / Software / Programas de desarrollo</t>
        </is>
      </c>
      <c r="F208" s="0">
        <v>1.0</v>
      </c>
      <c r="G208" s="0" t="inlineStr">
        <is>
          <t xml:space="preserve">Global</t>
        </is>
      </c>
      <c r="H208" s="4" t="inlineStr">
        <is>
          <t xml:space="preserve">Setup o configuración inicial del servicio e instalación</t>
        </is>
      </c>
    </row>
    <row r="209">
      <c r="A209" s="0" t="inlineStr">
        <is>
          <t xml:space="preserve">5482-101-LR26</t>
        </is>
      </c>
      <c r="B209" s="4" t="inlineStr">
        <is>
          <t xml:space="preserve">Plataforma IA para video y seguridad urbana</t>
        </is>
      </c>
      <c r="C209" s="0">
        <v>2</v>
      </c>
      <c r="D209" s="4" t="inlineStr">
        <is>
          <t xml:space="preserve">Software de desarrollo de plataforma Web</t>
        </is>
      </c>
      <c r="E209" s="4" t="inlineStr">
        <is>
          <t xml:space="preserve">Tecnologías de la información, telecomunicaciones y radiodifusión / Software / Programas de desarrollo</t>
        </is>
      </c>
      <c r="F209" s="0">
        <v>26.0</v>
      </c>
      <c r="G209" s="0" t="inlineStr">
        <is>
          <t xml:space="preserve">Mes</t>
        </is>
      </c>
      <c r="H209" s="4" t="inlineStr">
        <is>
          <t xml:space="preserve">Servicio mensual (Operación)</t>
        </is>
      </c>
    </row>
    <row r="210">
      <c r="A210" s="0" t="inlineStr">
        <is>
          <t xml:space="preserve">4449-30-LP26</t>
        </is>
      </c>
      <c r="B210" s="4" t="inlineStr">
        <is>
          <t xml:space="preserve">Adquisición de libros a perpetuida para BP Digital</t>
        </is>
      </c>
      <c r="C210" s="0">
        <v>1</v>
      </c>
      <c r="D210" s="4" t="inlineStr">
        <is>
          <t xml:space="preserve">Libros en casetes o CD</t>
        </is>
      </c>
      <c r="E210" s="4" t="inlineStr">
        <is>
          <t xml:space="preserve">Productos impresos y publicaciones / Material electrónico de referencia / Publicaciones electrónicas y música</t>
        </is>
      </c>
      <c r="F210" s="0">
        <v>3.0</v>
      </c>
      <c r="G210" s="0" t="inlineStr">
        <is>
          <t xml:space="preserve">Unidad</t>
        </is>
      </c>
      <c r="H210" s="4" t="inlineStr">
        <is>
          <t xml:space="preserve">Nazi Literature in the AmericasRoberto Bolaño 9781250450661</t>
        </is>
      </c>
    </row>
    <row r="211">
      <c r="A211" s="0" t="inlineStr">
        <is>
          <t xml:space="preserve">4449-30-LP26</t>
        </is>
      </c>
      <c r="B211" s="4" t="inlineStr">
        <is>
          <t xml:space="preserve">Adquisición de libros a perpetuida para BP Digital</t>
        </is>
      </c>
      <c r="C211" s="0">
        <v>2</v>
      </c>
      <c r="D211" s="4" t="inlineStr">
        <is>
          <t xml:space="preserve">Libros en casetes o CD</t>
        </is>
      </c>
      <c r="E211" s="4" t="inlineStr">
        <is>
          <t xml:space="preserve">Productos impresos y publicaciones / Material electrónico de referencia / Publicaciones electrónicas y música</t>
        </is>
      </c>
      <c r="F211" s="0">
        <v>3.0</v>
      </c>
      <c r="G211" s="0" t="inlineStr">
        <is>
          <t xml:space="preserve">Unidad</t>
        </is>
      </c>
      <c r="H211" s="4" t="inlineStr">
        <is>
          <t xml:space="preserve">Distant StarRoberto BolañoMacmillan Audio9781250450630</t>
        </is>
      </c>
    </row>
    <row r="212">
      <c r="A212" s="0" t="inlineStr">
        <is>
          <t xml:space="preserve">4449-30-LP26</t>
        </is>
      </c>
      <c r="B212" s="4" t="inlineStr">
        <is>
          <t xml:space="preserve">Adquisición de libros a perpetuida para BP Digital</t>
        </is>
      </c>
      <c r="C212" s="0">
        <v>3</v>
      </c>
      <c r="D212" s="4" t="inlineStr">
        <is>
          <t xml:space="preserve">Libros en casetes o CD</t>
        </is>
      </c>
      <c r="E212" s="4" t="inlineStr">
        <is>
          <t xml:space="preserve">Productos impresos y publicaciones / Material electrónico de referencia / Publicaciones electrónicas y música</t>
        </is>
      </c>
      <c r="F212" s="0">
        <v>3.0</v>
      </c>
      <c r="G212" s="0" t="inlineStr">
        <is>
          <t xml:space="preserve">Unidad</t>
        </is>
      </c>
      <c r="H212" s="4" t="inlineStr">
        <is>
          <t xml:space="preserve">El amor en los tiempos del cóleraPenguin Random House Grupo Editorial9788439737919</t>
        </is>
      </c>
    </row>
    <row r="213">
      <c r="A213" s="0" t="inlineStr">
        <is>
          <t xml:space="preserve">4449-30-LP26</t>
        </is>
      </c>
      <c r="B213" s="4" t="inlineStr">
        <is>
          <t xml:space="preserve">Adquisición de libros a perpetuida para BP Digital</t>
        </is>
      </c>
      <c r="C213" s="0">
        <v>4</v>
      </c>
      <c r="D213" s="4" t="inlineStr">
        <is>
          <t xml:space="preserve">Libros en casetes o CD</t>
        </is>
      </c>
      <c r="E213" s="4" t="inlineStr">
        <is>
          <t xml:space="preserve">Productos impresos y publicaciones / Material electrónico de referencia / Publicaciones electrónicas y música</t>
        </is>
      </c>
      <c r="F213" s="0">
        <v>5.0</v>
      </c>
      <c r="G213" s="0" t="inlineStr">
        <is>
          <t xml:space="preserve">Unidad</t>
        </is>
      </c>
      <c r="H213" s="4" t="inlineStr">
        <is>
          <t xml:space="preserve">Toda culpa es un misterioLa Pollera Ediciones9789569203985</t>
        </is>
      </c>
    </row>
    <row r="214">
      <c r="A214" s="0" t="inlineStr">
        <is>
          <t xml:space="preserve">4449-30-LP26</t>
        </is>
      </c>
      <c r="B214" s="4" t="inlineStr">
        <is>
          <t xml:space="preserve">Adquisición de libros a perpetuida para BP Digital</t>
        </is>
      </c>
      <c r="C214" s="0">
        <v>5</v>
      </c>
      <c r="D214" s="4" t="inlineStr">
        <is>
          <t xml:space="preserve">Libros en casetes o CD</t>
        </is>
      </c>
      <c r="E214" s="4" t="inlineStr">
        <is>
          <t xml:space="preserve">Productos impresos y publicaciones / Material electrónico de referencia / Publicaciones electrónicas y música</t>
        </is>
      </c>
      <c r="F214" s="0">
        <v>3.0</v>
      </c>
      <c r="G214" s="0" t="inlineStr">
        <is>
          <t xml:space="preserve">Unidad</t>
        </is>
      </c>
      <c r="H214" s="4" t="inlineStr">
        <is>
          <t xml:space="preserve">Pastoral americanaPenguin Random House Grupo Editorial9788439735489</t>
        </is>
      </c>
    </row>
    <row r="215">
      <c r="A215" s="0" t="inlineStr">
        <is>
          <t xml:space="preserve">4449-30-LP26</t>
        </is>
      </c>
      <c r="B215" s="4" t="inlineStr">
        <is>
          <t xml:space="preserve">Adquisición de libros a perpetuida para BP Digital</t>
        </is>
      </c>
      <c r="C215" s="0">
        <v>6</v>
      </c>
      <c r="D215" s="4" t="inlineStr">
        <is>
          <t xml:space="preserve">Libros en casetes o CD</t>
        </is>
      </c>
      <c r="E215" s="4" t="inlineStr">
        <is>
          <t xml:space="preserve">Productos impresos y publicaciones / Material electrónico de referencia / Publicaciones electrónicas y música</t>
        </is>
      </c>
      <c r="F215" s="0">
        <v>5.0</v>
      </c>
      <c r="G215" s="0" t="inlineStr">
        <is>
          <t xml:space="preserve">Unidad</t>
        </is>
      </c>
      <c r="H215" s="4" t="inlineStr">
        <is>
          <t xml:space="preserve">BonsaiPenguin Random House9780593588543</t>
        </is>
      </c>
    </row>
    <row r="216">
      <c r="A216" s="0" t="inlineStr">
        <is>
          <t xml:space="preserve">4449-30-LP26</t>
        </is>
      </c>
      <c r="B216" s="4" t="inlineStr">
        <is>
          <t xml:space="preserve">Adquisición de libros a perpetuida para BP Digital</t>
        </is>
      </c>
      <c r="C216" s="0">
        <v>7</v>
      </c>
      <c r="D216" s="4" t="inlineStr">
        <is>
          <t xml:space="preserve">Libros en casetes o CD</t>
        </is>
      </c>
      <c r="E216" s="4" t="inlineStr">
        <is>
          <t xml:space="preserve">Productos impresos y publicaciones / Material electrónico de referencia / Publicaciones electrónicas y música</t>
        </is>
      </c>
      <c r="F216" s="0">
        <v>3.0</v>
      </c>
      <c r="G216" s="0" t="inlineStr">
        <is>
          <t xml:space="preserve">Unidad</t>
        </is>
      </c>
      <c r="H216" s="4" t="inlineStr">
        <is>
          <t xml:space="preserve">Last Supper of Queer Apostles, APenguin Random House9780593791899</t>
        </is>
      </c>
    </row>
    <row r="217">
      <c r="A217" s="0" t="inlineStr">
        <is>
          <t xml:space="preserve">4449-30-LP26</t>
        </is>
      </c>
      <c r="B217" s="4" t="inlineStr">
        <is>
          <t xml:space="preserve">Adquisición de libros a perpetuida para BP Digital</t>
        </is>
      </c>
      <c r="C217" s="0">
        <v>8</v>
      </c>
      <c r="D217" s="4" t="inlineStr">
        <is>
          <t xml:space="preserve">Libros en casetes o CD</t>
        </is>
      </c>
      <c r="E217" s="4" t="inlineStr">
        <is>
          <t xml:space="preserve">Productos impresos y publicaciones / Material electrónico de referencia / Publicaciones electrónicas y música</t>
        </is>
      </c>
      <c r="F217" s="0">
        <v>4.0</v>
      </c>
      <c r="G217" s="0" t="inlineStr">
        <is>
          <t xml:space="preserve">Unidad</t>
        </is>
      </c>
      <c r="H217" s="4" t="inlineStr">
        <is>
          <t xml:space="preserve">El olor de la guayabaPenguin Random House Grupo Editorial9788439741398</t>
        </is>
      </c>
    </row>
    <row r="218">
      <c r="A218" s="0" t="inlineStr">
        <is>
          <t xml:space="preserve">4449-30-LP26</t>
        </is>
      </c>
      <c r="B218" s="4" t="inlineStr">
        <is>
          <t xml:space="preserve">Adquisición de libros a perpetuida para BP Digital</t>
        </is>
      </c>
      <c r="C218" s="0">
        <v>9</v>
      </c>
      <c r="D218" s="4" t="inlineStr">
        <is>
          <t xml:space="preserve">Libros en casetes o CD</t>
        </is>
      </c>
      <c r="E218" s="4" t="inlineStr">
        <is>
          <t xml:space="preserve">Productos impresos y publicaciones / Material electrónico de referencia / Publicaciones electrónicas y música</t>
        </is>
      </c>
      <c r="F218" s="0">
        <v>3.0</v>
      </c>
      <c r="G218" s="0" t="inlineStr">
        <is>
          <t xml:space="preserve">Unidad</t>
        </is>
      </c>
      <c r="H218" s="4" t="inlineStr">
        <is>
          <t xml:space="preserve">El Tercer ReichPenguin Random House Grupo Editorial9788420438641</t>
        </is>
      </c>
    </row>
    <row r="219">
      <c r="A219" s="0" t="inlineStr">
        <is>
          <t xml:space="preserve">4449-30-LP26</t>
        </is>
      </c>
      <c r="B219" s="4" t="inlineStr">
        <is>
          <t xml:space="preserve">Adquisición de libros a perpetuida para BP Digital</t>
        </is>
      </c>
      <c r="C219" s="0">
        <v>10</v>
      </c>
      <c r="D219" s="4" t="inlineStr">
        <is>
          <t xml:space="preserve">Libros en casetes o CD</t>
        </is>
      </c>
      <c r="E219" s="4" t="inlineStr">
        <is>
          <t xml:space="preserve">Productos impresos y publicaciones / Material electrónico de referencia / Publicaciones electrónicas y música</t>
        </is>
      </c>
      <c r="F219" s="0">
        <v>3.0</v>
      </c>
      <c r="G219" s="0" t="inlineStr">
        <is>
          <t xml:space="preserve">Unidad</t>
        </is>
      </c>
      <c r="H219" s="4" t="inlineStr">
        <is>
          <t xml:space="preserve">No está solo (Colomba y Dante 1)Penguin Random House Grupo Editorial9788420439921</t>
        </is>
      </c>
    </row>
    <row r="220">
      <c r="A220" s="0" t="inlineStr">
        <is>
          <t xml:space="preserve">4449-30-LP26</t>
        </is>
      </c>
      <c r="B220" s="4" t="inlineStr">
        <is>
          <t xml:space="preserve">Adquisición de libros a perpetuida para BP Digital</t>
        </is>
      </c>
      <c r="C220" s="0">
        <v>11</v>
      </c>
      <c r="D220" s="4" t="inlineStr">
        <is>
          <t xml:space="preserve">Libros en casetes o CD</t>
        </is>
      </c>
      <c r="E220" s="4" t="inlineStr">
        <is>
          <t xml:space="preserve">Productos impresos y publicaciones / Material electrónico de referencia / Publicaciones electrónicas y música</t>
        </is>
      </c>
      <c r="F220" s="0">
        <v>3.0</v>
      </c>
      <c r="G220" s="0" t="inlineStr">
        <is>
          <t xml:space="preserve">Unidad</t>
        </is>
      </c>
      <c r="H220" s="4" t="inlineStr">
        <is>
          <t xml:space="preserve">Tu rostro mañana. 1 Fiebre y lanzaPenguin Random House Grupo Editorial9788420454900</t>
        </is>
      </c>
    </row>
    <row r="221">
      <c r="A221" s="0" t="inlineStr">
        <is>
          <t xml:space="preserve">4449-30-LP26</t>
        </is>
      </c>
      <c r="B221" s="4" t="inlineStr">
        <is>
          <t xml:space="preserve">Adquisición de libros a perpetuida para BP Digital</t>
        </is>
      </c>
      <c r="C221" s="0">
        <v>12</v>
      </c>
      <c r="D221" s="4" t="inlineStr">
        <is>
          <t xml:space="preserve">Libros en casetes o CD</t>
        </is>
      </c>
      <c r="E221" s="4" t="inlineStr">
        <is>
          <t xml:space="preserve">Productos impresos y publicaciones / Material electrónico de referencia / Publicaciones electrónicas y música</t>
        </is>
      </c>
      <c r="F221" s="0">
        <v>4.0</v>
      </c>
      <c r="G221" s="0" t="inlineStr">
        <is>
          <t xml:space="preserve">Unidad</t>
        </is>
      </c>
      <c r="H221" s="4" t="inlineStr">
        <is>
          <t xml:space="preserve">Zombi: Guía de supervivenciaPenguin Random House Grupo Editorial9788466375795</t>
        </is>
      </c>
    </row>
    <row r="222">
      <c r="A222" s="0" t="inlineStr">
        <is>
          <t xml:space="preserve">4449-30-LP26</t>
        </is>
      </c>
      <c r="B222" s="4" t="inlineStr">
        <is>
          <t xml:space="preserve">Adquisición de libros a perpetuida para BP Digital</t>
        </is>
      </c>
      <c r="C222" s="0">
        <v>13</v>
      </c>
      <c r="D222" s="4" t="inlineStr">
        <is>
          <t xml:space="preserve">Libros en casetes o CD</t>
        </is>
      </c>
      <c r="E222" s="4" t="inlineStr">
        <is>
          <t xml:space="preserve">Productos impresos y publicaciones / Material electrónico de referencia / Publicaciones electrónicas y música</t>
        </is>
      </c>
      <c r="F222" s="0">
        <v>5.0</v>
      </c>
      <c r="G222" s="0" t="inlineStr">
        <is>
          <t xml:space="preserve">Unidad</t>
        </is>
      </c>
      <c r="H222" s="4" t="inlineStr">
        <is>
          <t xml:space="preserve">La ninfa de porcelanaPenguin Random House Grupo Editorial9788401019753</t>
        </is>
      </c>
    </row>
    <row r="223">
      <c r="A223" s="0" t="inlineStr">
        <is>
          <t xml:space="preserve">4449-30-LP26</t>
        </is>
      </c>
      <c r="B223" s="4" t="inlineStr">
        <is>
          <t xml:space="preserve">Adquisición de libros a perpetuida para BP Digital</t>
        </is>
      </c>
      <c r="C223" s="0">
        <v>14</v>
      </c>
      <c r="D223" s="4" t="inlineStr">
        <is>
          <t xml:space="preserve">Libros en casetes o CD</t>
        </is>
      </c>
      <c r="E223" s="4" t="inlineStr">
        <is>
          <t xml:space="preserve">Productos impresos y publicaciones / Material electrónico de referencia / Publicaciones electrónicas y música</t>
        </is>
      </c>
      <c r="F223" s="0">
        <v>3.0</v>
      </c>
      <c r="G223" s="0" t="inlineStr">
        <is>
          <t xml:space="preserve">Unidad</t>
        </is>
      </c>
      <c r="H223" s="4" t="inlineStr">
        <is>
          <t xml:space="preserve">Apocalípticos e integradosPenguin Random House Grupo Editorial9788426423948</t>
        </is>
      </c>
    </row>
    <row r="224">
      <c r="A224" s="0" t="inlineStr">
        <is>
          <t xml:space="preserve">4449-30-LP26</t>
        </is>
      </c>
      <c r="B224" s="4" t="inlineStr">
        <is>
          <t xml:space="preserve">Adquisición de libros a perpetuida para BP Digital</t>
        </is>
      </c>
      <c r="C224" s="0">
        <v>15</v>
      </c>
      <c r="D224" s="4" t="inlineStr">
        <is>
          <t xml:space="preserve">Libros en casetes o CD</t>
        </is>
      </c>
      <c r="E224" s="4" t="inlineStr">
        <is>
          <t xml:space="preserve">Productos impresos y publicaciones / Material electrónico de referencia / Publicaciones electrónicas y música</t>
        </is>
      </c>
      <c r="F224" s="0">
        <v>4.0</v>
      </c>
      <c r="G224" s="0" t="inlineStr">
        <is>
          <t xml:space="preserve">Unidad</t>
        </is>
      </c>
      <c r="H224" s="4" t="inlineStr">
        <is>
          <t xml:space="preserve">Veterano de tres guerras - Parte 1Penguin Random House Grupo Editorial9789566056492</t>
        </is>
      </c>
    </row>
    <row r="225">
      <c r="A225" s="0" t="inlineStr">
        <is>
          <t xml:space="preserve">5420-22-LP26</t>
        </is>
      </c>
      <c r="B225" s="4" t="inlineStr">
        <is>
          <t xml:space="preserve">Arriendo de enlace de voz y datos</t>
        </is>
      </c>
      <c r="C225" s="0">
        <v>1</v>
      </c>
      <c r="D225" s="4" t="inlineStr">
        <is>
          <t xml:space="preserve">Proveedores de servicio de Internet (ISP)</t>
        </is>
      </c>
      <c r="E225" s="4" t="inlineStr">
        <is>
          <t xml:space="preserve">Servicios basados en ingeniería, ciencias sociales y tecnología de la información / Servicios informáticos / Servicios para internet</t>
        </is>
      </c>
      <c r="F225" s="0">
        <v>1.0</v>
      </c>
      <c r="G225" s="0" t="inlineStr">
        <is>
          <t xml:space="preserve">Unidad</t>
        </is>
      </c>
      <c r="H225" s="4" t="inlineStr">
        <is>
          <t xml:space="preserve">Arriendo de Enlace de Datos y Solución en la Nube de Voz para Dependencias del Gobierno Regional y Consejo Regional de Arica y Parinacota</t>
        </is>
      </c>
    </row>
    <row r="226">
      <c r="A226" s="0" t="inlineStr">
        <is>
          <t xml:space="preserve">2107-153-LP26</t>
        </is>
      </c>
      <c r="B226" s="4" t="inlineStr">
        <is>
          <t xml:space="preserve">ARRIENDO DE INFRAESTRUCTURA FÍSICA ENTERPRISE PARA PLATAFORMA TECNOLÓGICA INSTITUCIONAL</t>
        </is>
      </c>
      <c r="C226" s="0">
        <v>1</v>
      </c>
      <c r="D226" s="4" t="inlineStr">
        <is>
          <t xml:space="preserve">Componentes de dispositivo de entrada o unidad de almacenamiento</t>
        </is>
      </c>
      <c r="E226" s="4" t="inlineStr">
        <is>
          <t xml:space="preserve">Tecnologías de la información, telecomunicaciones y radiodifusión / Componentes para tecnología de la información, difusión o telecomunicaciones / Subconjuntos para dispositivos electrónicos</t>
        </is>
      </c>
      <c r="F226" s="0">
        <v>1.0</v>
      </c>
      <c r="G226" s="0" t="inlineStr">
        <is>
          <t xml:space="preserve">Unidad</t>
        </is>
      </c>
      <c r="H226" s="4" t="inlineStr">
        <is>
          <t xml:space="preserve">ARRIENDO DE INFRAESTRUCTURA FÍSICA ENTERPRISE PARA PLATAFORMA TECNOLÓGICA INSTITUCIONAL (según bases)</t>
        </is>
      </c>
    </row>
    <row r="227">
      <c r="A227" s="0" t="inlineStr">
        <is>
          <t xml:space="preserve">2760-118-LR26</t>
        </is>
      </c>
      <c r="B227" s="4" t="inlineStr">
        <is>
          <t xml:space="preserve">SERVICIOS DE TELECOMUNICACIONES Y OTROS SERVICIOS INFORMÁTICOS PARA LA MUNICIPALIDAD DE CORONEL</t>
        </is>
      </c>
      <c r="C227" s="0">
        <v>1</v>
      </c>
      <c r="D227" s="4" t="inlineStr">
        <is>
          <t xml:space="preserve">Soporte y mantenimiento de red de área local (LAN)</t>
        </is>
      </c>
      <c r="E227" s="4" t="inlineStr">
        <is>
          <t xml:space="preserve">Servicios basados en ingeniería, ciencias sociales y tecnología de la información / Servicios informáticos / Administración de sistemas</t>
        </is>
      </c>
      <c r="F227" s="0">
        <v>1.0</v>
      </c>
      <c r="G227" s="0" t="inlineStr">
        <is>
          <t xml:space="preserve">Global</t>
        </is>
      </c>
      <c r="H227" s="4" t="inlineStr">
        <is>
          <t xml:space="preserve">Servicios de Telecomunicaciones y Otros Servicios Informáticos para la Municipalidad de Coronel</t>
        </is>
      </c>
    </row>
    <row r="228">
      <c r="A228" s="0" t="inlineStr">
        <is>
          <t xml:space="preserve">548874-78-LR26</t>
        </is>
      </c>
      <c r="B228" s="4" t="inlineStr">
        <is>
          <t xml:space="preserve">SERVICIO DE LICENCIAS CLOUD SUCCESSFACTORS</t>
        </is>
      </c>
      <c r="C228" s="0">
        <v>1</v>
      </c>
      <c r="D228" s="4" t="inlineStr">
        <is>
          <t xml:space="preserve">Software de gestión de licencias</t>
        </is>
      </c>
      <c r="E228" s="4" t="inlineStr">
        <is>
          <t xml:space="preserve">Tecnologías de la información, telecomunicaciones y radiodifusión / Software / Software de gestión</t>
        </is>
      </c>
      <c r="F228" s="0">
        <v>1.0</v>
      </c>
      <c r="G228" s="0" t="inlineStr">
        <is>
          <t xml:space="preserve">Global</t>
        </is>
      </c>
      <c r="H228" s="4" t="inlineStr">
        <is>
          <t xml:space="preserve">SERVICIO DE LICENCIAS CLOUD SUCCESSFACTORS
EN MODALIDAD SAAS.</t>
        </is>
      </c>
    </row>
    <row r="229">
      <c r="A229" s="0" t="inlineStr">
        <is>
          <t xml:space="preserve">608-197-LR26</t>
        </is>
      </c>
      <c r="B229" s="4" t="inlineStr">
        <is>
          <t xml:space="preserve">SERVICIO DE OPERACIÓN MANTENIMIENTO Y ACTUALIZACIÓN DE PLATAFORMAS TECNOLÓGICAS DE LA SALA DE CONTROL CENTRALIZADO DEL HOSPITAL DR. GUSTAVO FRICKE</t>
        </is>
      </c>
      <c r="C229" s="0">
        <v>1</v>
      </c>
      <c r="D229" s="4" t="inlineStr">
        <is>
          <t xml:space="preserve">Integración de sistemas</t>
        </is>
      </c>
      <c r="E229" s="4" t="inlineStr">
        <is>
          <t xml:space="preserve">Servicios basados en ingeniería, ciencias sociales y tecnología de la información / Servicios informáticos / Ingeniería en computación e informática</t>
        </is>
      </c>
      <c r="F229" s="0">
        <v>1.0</v>
      </c>
      <c r="G229" s="0" t="inlineStr">
        <is>
          <t xml:space="preserve">Unidad</t>
        </is>
      </c>
      <c r="H229" s="4" t="inlineStr">
        <is>
          <t xml:space="preserve">SERVICIO
DE OPERACIÓN, MANTENIMIENTO Y ACTUALIZACIÓN
DE PLATAFORMAS TECNOLÓGICAS DE LA SALA DE
CONTROL CENTRALIZADO DEL HOSPITAL DR.
GUSTAVO FRICKE (favor desglosar valores en anexo económico N°6)</t>
        </is>
      </c>
    </row>
    <row r="230">
      <c r="A230" s="0" t="inlineStr">
        <is>
          <t xml:space="preserve">948354-139-LR26</t>
        </is>
      </c>
      <c r="B230" s="4" t="inlineStr">
        <is>
          <t xml:space="preserve">CONTRATACIÓN DE SERVICIO DE SOFTWARE DE RECURSOS HUMANOS PARA EL HOSPITAL DIPRECA</t>
        </is>
      </c>
      <c r="C230" s="0">
        <v>1</v>
      </c>
      <c r="D230" s="4" t="inlineStr">
        <is>
          <t xml:space="preserve">Software de gestión de recursos humanos</t>
        </is>
      </c>
      <c r="E230" s="4" t="inlineStr">
        <is>
          <t xml:space="preserve">Tecnologías de la información, telecomunicaciones y radiodifusión / Software / Software de gestión</t>
        </is>
      </c>
      <c r="F230" s="0">
        <v>1.0</v>
      </c>
      <c r="G230" s="0" t="inlineStr">
        <is>
          <t xml:space="preserve">Unidad</t>
        </is>
      </c>
      <c r="H230" s="4" t="inlineStr">
        <is>
          <t xml:space="preserve">CONTRATACIÓN DE SERVICIO DE SOFTWARE DE RECURSOS HUMANOS</t>
        </is>
      </c>
    </row>
    <row r="231">
      <c r="A231" s="0" t="inlineStr">
        <is>
          <t xml:space="preserve">514862-125-LR26</t>
        </is>
      </c>
      <c r="B231" s="4" t="inlineStr">
        <is>
          <t xml:space="preserve">10032938 PLATAFORMA DE AGENDAMIENTO TELECONSULTAS</t>
        </is>
      </c>
      <c r="C231" s="0">
        <v>1</v>
      </c>
      <c r="D231" s="4" t="inlineStr">
        <is>
          <t xml:space="preserve">Servicios de transformación de datos</t>
        </is>
      </c>
      <c r="E231" s="4" t="inlineStr">
        <is>
          <t xml:space="preserve">Servicios basados en ingeniería, ciencias sociales y tecnología de la información / Servicios informáticos / Servicios de datos</t>
        </is>
      </c>
      <c r="F231" s="0">
        <v>1.0</v>
      </c>
      <c r="G231" s="0" t="inlineStr">
        <is>
          <t xml:space="preserve">Unidad</t>
        </is>
      </c>
      <c r="H231" s="4" t="inlineStr">
        <is>
          <t xml:space="preserve">PLATAFORMA INTEGRAL DE AGENDAMIENTO, TELECONSULTAS Y GESTIÓN DE FILAS PARA LA ATENCIÓN</t>
        </is>
      </c>
    </row>
    <row r="232">
      <c r="A232" s="0" t="inlineStr">
        <is>
          <t xml:space="preserve">425-65-LR26</t>
        </is>
      </c>
      <c r="B232" s="4" t="inlineStr">
        <is>
          <t xml:space="preserve">Renovación de licencias y servicio de administración de software Falcon Crowdstrike EDR para el Poder Judicial</t>
        </is>
      </c>
      <c r="C232" s="0">
        <v>1</v>
      </c>
      <c r="D232" s="4" t="inlineStr">
        <is>
          <t xml:space="preserve">Software de gestión de licencias</t>
        </is>
      </c>
      <c r="E232" s="4" t="inlineStr">
        <is>
          <t xml:space="preserve">Tecnologías de la información, telecomunicaciones y radiodifusión / Software / Software de gestión</t>
        </is>
      </c>
      <c r="F232" s="0">
        <v>1.0</v>
      </c>
      <c r="G232" s="0" t="inlineStr">
        <is>
          <t xml:space="preserve">Global</t>
        </is>
      </c>
      <c r="H232" s="4" t="inlineStr">
        <is>
          <t xml:space="preserve">Ítem 4 LICENCIAS FALCON CROWDSTRIKE EDR. Valor total neto del ítem según Formulario Económico N°1 (en caso de discrepancia entre el valor del portal y el formulario primará este último).</t>
        </is>
      </c>
    </row>
    <row r="233">
      <c r="A233" s="0" t="inlineStr">
        <is>
          <t xml:space="preserve">425-65-LR26</t>
        </is>
      </c>
      <c r="B233" s="4" t="inlineStr">
        <is>
          <t xml:space="preserve">Renovación de licencias y servicio de administración de software Falcon Crowdstrike EDR para el Poder Judicial</t>
        </is>
      </c>
      <c r="C233" s="0">
        <v>2</v>
      </c>
      <c r="D233" s="4" t="inlineStr">
        <is>
          <t xml:space="preserve">Software de gestión de licencias</t>
        </is>
      </c>
      <c r="E233" s="4" t="inlineStr">
        <is>
          <t xml:space="preserve">Tecnologías de la información, telecomunicaciones y radiodifusión / Software / Software de gestión</t>
        </is>
      </c>
      <c r="F233" s="0">
        <v>1.0</v>
      </c>
      <c r="G233" s="0" t="inlineStr">
        <is>
          <t xml:space="preserve">Global</t>
        </is>
      </c>
      <c r="H233" s="4" t="inlineStr">
        <is>
          <t xml:space="preserve">Ítem 1 LICENCIAS FALCON CROWDSTRIKE EDR. Valor total neto del ítem según Formulario Económico N°1 (en caso de discrepancia entre el valor del portal y el formulario primará este último).</t>
        </is>
      </c>
    </row>
    <row r="234">
      <c r="A234" s="0" t="inlineStr">
        <is>
          <t xml:space="preserve">425-65-LR26</t>
        </is>
      </c>
      <c r="B234" s="4" t="inlineStr">
        <is>
          <t xml:space="preserve">Renovación de licencias y servicio de administración de software Falcon Crowdstrike EDR para el Poder Judicial</t>
        </is>
      </c>
      <c r="C234" s="0">
        <v>3</v>
      </c>
      <c r="D234" s="4" t="inlineStr">
        <is>
          <t xml:space="preserve">Software de gestión de licencias</t>
        </is>
      </c>
      <c r="E234" s="4" t="inlineStr">
        <is>
          <t xml:space="preserve">Tecnologías de la información, telecomunicaciones y radiodifusión / Software / Software de gestión</t>
        </is>
      </c>
      <c r="F234" s="0">
        <v>1.0</v>
      </c>
      <c r="G234" s="0" t="inlineStr">
        <is>
          <t xml:space="preserve">Global</t>
        </is>
      </c>
      <c r="H234" s="4" t="inlineStr">
        <is>
          <t xml:space="preserve">Ítem 2 LICENCIAS FALCON CROWDSTRIKE EDR. Valor total neto del ítem según Formulario Económico N°1 (en caso de discrepancia entre el valor del portal y el formulario primará este último).</t>
        </is>
      </c>
    </row>
    <row r="235">
      <c r="A235" s="0" t="inlineStr">
        <is>
          <t xml:space="preserve">425-65-LR26</t>
        </is>
      </c>
      <c r="B235" s="4" t="inlineStr">
        <is>
          <t xml:space="preserve">Renovación de licencias y servicio de administración de software Falcon Crowdstrike EDR para el Poder Judicial</t>
        </is>
      </c>
      <c r="C235" s="0">
        <v>4</v>
      </c>
      <c r="D235" s="4" t="inlineStr">
        <is>
          <t xml:space="preserve">Software de gestión de licencias</t>
        </is>
      </c>
      <c r="E235" s="4" t="inlineStr">
        <is>
          <t xml:space="preserve">Tecnologías de la información, telecomunicaciones y radiodifusión / Software / Software de gestión</t>
        </is>
      </c>
      <c r="F235" s="0">
        <v>1.0</v>
      </c>
      <c r="G235" s="0" t="inlineStr">
        <is>
          <t xml:space="preserve">Global</t>
        </is>
      </c>
      <c r="H235" s="4" t="inlineStr">
        <is>
          <t xml:space="preserve">Ítem 3 LICENCIAS FALCON CROWDSTRIKE EDR. Valor total neto del ítem según Formulario Económico N°1 (en caso de discrepancia entre el valor del portal y el formulario primará este último).</t>
        </is>
      </c>
    </row>
    <row r="236">
      <c r="A236" s="0" t="inlineStr">
        <is>
          <t xml:space="preserve">425-65-LR26</t>
        </is>
      </c>
      <c r="B236" s="4" t="inlineStr">
        <is>
          <t xml:space="preserve">Renovación de licencias y servicio de administración de software Falcon Crowdstrike EDR para el Poder Judicial</t>
        </is>
      </c>
      <c r="C236" s="0">
        <v>5</v>
      </c>
      <c r="D236" s="4" t="inlineStr">
        <is>
          <t xml:space="preserve">Software de gestión de licencias</t>
        </is>
      </c>
      <c r="E236" s="4" t="inlineStr">
        <is>
          <t xml:space="preserve">Tecnologías de la información, telecomunicaciones y radiodifusión / Software / Software de gestión</t>
        </is>
      </c>
      <c r="F236" s="0">
        <v>1.0</v>
      </c>
      <c r="G236" s="0" t="inlineStr">
        <is>
          <t xml:space="preserve">Global</t>
        </is>
      </c>
      <c r="H236" s="4" t="inlineStr">
        <is>
          <t xml:space="preserve">Ítem 5 Servicios de Administración
Falcon Crowdstrike. Valor total neto del ítem según Formulario Económico N°1 (en caso de discrepancia entre el valor del portal y el formulario primará este último).</t>
        </is>
      </c>
    </row>
    <row r="237">
      <c r="A237" s="0" t="inlineStr">
        <is>
          <t xml:space="preserve">605-17-LP26</t>
        </is>
      </c>
      <c r="B237" s="4" t="inlineStr">
        <is>
          <t xml:space="preserve">TELEFONÍA FIJA Y RED PRIVADA DE DATOS</t>
        </is>
      </c>
      <c r="C237" s="0">
        <v>1</v>
      </c>
      <c r="D237" s="4" t="inlineStr">
        <is>
          <t xml:space="preserve">Servicio telefónico local</t>
        </is>
      </c>
      <c r="E237" s="4" t="inlineStr">
        <is>
          <t xml:space="preserve">Servicios básicos y de información pública / Telecomunicaciones / Telefonía local y de larga distancia</t>
        </is>
      </c>
      <c r="F237" s="0">
        <v>1.0</v>
      </c>
      <c r="G237" s="0" t="inlineStr">
        <is>
          <t xml:space="preserve">Unidad</t>
        </is>
      </c>
      <c r="H23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8">
      <c r="A238" s="0" t="inlineStr">
        <is>
          <t xml:space="preserve">605-17-LP26</t>
        </is>
      </c>
      <c r="B238" s="4" t="inlineStr">
        <is>
          <t xml:space="preserve">TELEFONÍA FIJA Y RED PRIVADA DE DATOS</t>
        </is>
      </c>
      <c r="C238" s="0">
        <v>2</v>
      </c>
      <c r="D238" s="4" t="inlineStr">
        <is>
          <t xml:space="preserve">Servicio de comunicación IP</t>
        </is>
      </c>
      <c r="E238" s="4" t="inlineStr">
        <is>
          <t xml:space="preserve">Servicios básicos y de información pública / Telecomunicaciones / Telefonía local y de larga distancia</t>
        </is>
      </c>
      <c r="F238" s="0">
        <v>1.0</v>
      </c>
      <c r="G238" s="0" t="inlineStr">
        <is>
          <t xml:space="preserve">Unidad</t>
        </is>
      </c>
      <c r="H23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9">
      <c r="A239" s="0" t="inlineStr">
        <is>
          <t xml:space="preserve">948354-140-LR26</t>
        </is>
      </c>
      <c r="B239" s="4" t="inlineStr">
        <is>
          <t xml:space="preserve">CONTRATACIÓN DE UNA SOLUCIÓN INTEGRAL RIS-PACS INCLUYENDO LA PROVISIÓN DE SERVICIOS SOFTWARE HARDWARE E INFRAESTRUCTURA TECNOLÓGICA PARA EL SERVICIO DE IMAGENOLOGÍA DEL HOSPITAL DIPRECA</t>
        </is>
      </c>
      <c r="C239" s="0">
        <v>1</v>
      </c>
      <c r="D239" s="4" t="inlineStr">
        <is>
          <t xml:space="preserve">Sistemas informatizados de archivado de imágenes (PACS) médicos</t>
        </is>
      </c>
      <c r="E239" s="4" t="inlineStr">
        <is>
          <t xml:space="preserve">Equipamiento y suministros médicos / Productos para imágenes y de medicina nuclear / Artículos para archivar información e imágenes radiológicas</t>
        </is>
      </c>
      <c r="F239" s="0">
        <v>60.0</v>
      </c>
      <c r="G239" s="0" t="inlineStr">
        <is>
          <t xml:space="preserve">Mes</t>
        </is>
      </c>
      <c r="H239" s="4" t="inlineStr">
        <is>
          <t xml:space="preserve">SERVICIO DE RIS-PACS PARA EL SERVICIO DE IMAGENOLOGÍA DEL HOSPITAL DIPRECA (De acuerdo a las Bases Técnicas).</t>
        </is>
      </c>
    </row>
    <row r="240">
      <c r="A240" s="0" t="inlineStr">
        <is>
          <t xml:space="preserve">2667-71-LR26</t>
        </is>
      </c>
      <c r="B240" s="4" t="inlineStr">
        <is>
          <t xml:space="preserve">ARRIENDO SOPORTE Y MANTENCIÓN DE CENTRAL TELEFONICA IP TELEFONOS IP Y PLATAFORMA DE CONTACT CENTER</t>
        </is>
      </c>
      <c r="C240" s="0">
        <v>1</v>
      </c>
      <c r="D240" s="4" t="inlineStr">
        <is>
          <t xml:space="preserve">Sistemas de alarma</t>
        </is>
      </c>
      <c r="E240" s="4" t="inlineStr">
        <is>
          <t xml:space="preserve">Equipos y suministros de defensa, orden público, protección y seguridad / Seguridad, vigilancia y detección / Equipo de vigilancia y detección</t>
        </is>
      </c>
      <c r="F240" s="0">
        <v>1.0</v>
      </c>
      <c r="G240" s="0" t="inlineStr">
        <is>
          <t xml:space="preserve">Global</t>
        </is>
      </c>
      <c r="H240" s="4" t="inlineStr">
        <is>
          <t xml:space="preserve">ARRIENDO, INSTALACIÓN, SOPORTE Y MANTENCIÓN DE CENTRAL TELEFÓNICA, EQUIPOS TELEFÓNICOS Y PLATAFORMA DE ATENCIÓN TELEFÓNICA</t>
        </is>
      </c>
    </row>
    <row r="241">
      <c r="A241" s="0" t="inlineStr">
        <is>
          <t xml:space="preserve">1969-34-LS19</t>
        </is>
      </c>
      <c r="B241" s="4" t="inlineStr">
        <is>
          <t xml:space="preserve">AUTOMATIZACIÓN PORTÓN ACCESO A LINEA DE FUEGO</t>
        </is>
      </c>
      <c r="C241" s="0">
        <v>1</v>
      </c>
      <c r="D241" s="4" t="inlineStr">
        <is>
          <t xml:space="preserve">Puertas de metal</t>
        </is>
      </c>
      <c r="E241" s="4" t="inlineStr">
        <is>
          <t xml:space="preserve">Artículos para estructuras, obras y construcciones / Puertas, ventanas y vidrios / Puertas</t>
        </is>
      </c>
      <c r="F241" s="0">
        <v>1.0</v>
      </c>
      <c r="G241" s="0" t="inlineStr">
        <is>
          <t xml:space="preserve">Unidad</t>
        </is>
      </c>
      <c r="H241" s="4" t="inlineStr">
        <is>
          <t xml:space="preserve">AUTOMATIZACIÓN DE PORTÓN ACCESO A LINEA DE FUEGO C.P. CONCEPCIÓN</t>
        </is>
      </c>
    </row>
  </sheetData>
  <autoFilter ref="A1:H241"/>
</worksheet>
</file>