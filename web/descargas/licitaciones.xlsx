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1216085-67-LE26</t>
        </is>
      </c>
      <c r="B2" s="4" t="inlineStr">
        <is>
          <t xml:space="preserve">Adquis. De licencias de software de reloj control.</t>
        </is>
      </c>
      <c r="C2" s="0" t="inlineStr">
        <is>
          <t xml:space="preserve">Publicada</t>
        </is>
      </c>
      <c r="D2" s="0" t="inlineStr">
        <is>
          <t xml:space="preserve">CORP MUNICIPAL PARA EL DESARROLLO SOCIAL</t>
        </is>
      </c>
      <c r="E2" s="0" t="inlineStr">
        <is>
          <t xml:space="preserve">Adquisiciones</t>
        </is>
      </c>
      <c r="F2" s="0" t="inlineStr">
        <is>
          <t xml:space="preserve">Región de Valparaíso </t>
        </is>
      </c>
      <c r="G2" s="0" t="inlineStr">
        <is>
          <t xml:space="preserve">Villa Alemana</t>
        </is>
      </c>
      <c r="H2" s="2">
        <v>46309.651389</v>
      </c>
      <c r="I2" s="2">
        <v>46317.652778</v>
      </c>
      <c r="J2" s="0">
        <v>3</v>
      </c>
      <c r="K2" s="3">
        <v>33613445.0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recursos humanos</t>
        </is>
      </c>
      <c r="P2" s="2"/>
      <c r="Q2" s="2"/>
      <c r="R2" s="0" t="inlineStr">
        <is>
          <t xml:space="preserve">24 meses</t>
        </is>
      </c>
      <c r="S2" s="0" t="inlineStr">
        <is>
          <t xml:space="preserve">No</t>
        </is>
      </c>
      <c r="T2"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2" s="0" t="inlineStr">
        <is>
          <t xml:space="preserve">Matias Ignacio Ibaceta Estay</t>
        </is>
      </c>
      <c r="V2"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2" s="5" t="str">
        <f>HYPERLINK("https://www.mercadopublico.cl/Procurement/Modules/Attachment/ViewAttachment.aspx?enc=Q%2fnrJxNpc7E5HD4QTfLeOwEvmK3TLleDD1ess977KvNA5Oi4ILdGhRWg%2fWEffPTjXA7AuZSIItrWg%2f4QzLA31q%2fuXH1irMahW1jAp1spN6qNXNle5lFLvraj099a2L9joqrMca5Z7yLj%2bZLdoq2g2RnBaCDks0YLDlAFxatQEs2YjwhgU0%2fmorOpQcEw3tFpY4zH7cKqML%2bHtjNCVaqM5smQGZ1xOs9MCtoInxYFJVfb7R0pHejrrUH2JH161XXTwN2XgUOfkv75lmNKQmLWhqyKoDK8TgHNr%2bEObFwhfDfNN%2fr2IIa4it7gaqIruawH","descargar bases")</f>
      </c>
    </row>
    <row r="3">
      <c r="A3" s="0" t="inlineStr">
        <is>
          <t xml:space="preserve">1098710-30-LE26</t>
        </is>
      </c>
      <c r="B3" s="4" t="inlineStr">
        <is>
          <t xml:space="preserve">LICENCIAS SOFTWARE SLACK BUSINESS+ O EQUIVALENTE</t>
        </is>
      </c>
      <c r="C3" s="0" t="inlineStr">
        <is>
          <t xml:space="preserve">Publicada</t>
        </is>
      </c>
      <c r="D3" s="0" t="inlineStr">
        <is>
          <t xml:space="preserve">SUBSECRETARIA DE CIENCIA, TECNOLOGIA, CONOCIMIENTO E INNOVACION</t>
        </is>
      </c>
      <c r="E3" s="0" t="inlineStr">
        <is>
          <t xml:space="preserve">SUBSECRETARIA DE CIENCIA, TECNOLOGIA, CONOCIMIENTO E INNOVACION</t>
        </is>
      </c>
      <c r="F3" s="0" t="inlineStr">
        <is>
          <t xml:space="preserve">Región Metropolitana de Santiago</t>
        </is>
      </c>
      <c r="G3" s="0" t="inlineStr">
        <is>
          <t xml:space="preserve">Santiago</t>
        </is>
      </c>
      <c r="H3" s="2">
        <v>46314.443935</v>
      </c>
      <c r="I3" s="2">
        <v>46321.625</v>
      </c>
      <c r="J3" s="0">
        <v>7</v>
      </c>
      <c r="K3" s="3">
        <v>38556000.0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t>
        </is>
      </c>
      <c r="P3" s="2"/>
      <c r="Q3" s="2"/>
      <c r="R3" s="0"/>
      <c r="S3" s="0" t="inlineStr">
        <is>
          <t xml:space="preserve">No</t>
        </is>
      </c>
      <c r="T3" s="4" t="inlineStr">
        <is>
          <t xml:space="preserve">Lo indicado en punto 18 de Res. Ex. N°4632026 que llama a licitación y aprueba Bases Administrativas y Técnicas</t>
        </is>
      </c>
      <c r="U3" s="0" t="inlineStr">
        <is>
          <t xml:space="preserve">Patricio Echenique</t>
        </is>
      </c>
      <c r="V3" s="4" t="inlineStr">
        <is>
          <t xml:space="preserve">ADQUISICIÓN DE LICENCIAS DE SOFTWARE SLACK BUSINESS+ O EQUIVALENTE</t>
        </is>
      </c>
      <c r="W3"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4">
      <c r="A4" s="0" t="inlineStr">
        <is>
          <t xml:space="preserve">2429-21-LE26</t>
        </is>
      </c>
      <c r="B4" s="4" t="inlineStr">
        <is>
          <t xml:space="preserve">ADQUISICIÓN DE LICENCIAS DE SOFTWARE DE ANTIVIRUS</t>
        </is>
      </c>
      <c r="C4" s="0" t="inlineStr">
        <is>
          <t xml:space="preserve">Publicada</t>
        </is>
      </c>
      <c r="D4" s="0" t="inlineStr">
        <is>
          <t xml:space="preserve">I MUNICIPALIDAD DE ANTOFAGASTA</t>
        </is>
      </c>
      <c r="E4" s="0" t="inlineStr">
        <is>
          <t xml:space="preserve">I MUNICIPALIDAD DE ANTOFAGASTA - FINANZAS</t>
        </is>
      </c>
      <c r="F4" s="0" t="inlineStr">
        <is>
          <t xml:space="preserve">Región de Antofagasta </t>
        </is>
      </c>
      <c r="G4" s="0" t="inlineStr">
        <is>
          <t xml:space="preserve">Antofagasta</t>
        </is>
      </c>
      <c r="H4" s="2">
        <v>46314.550081</v>
      </c>
      <c r="I4" s="2">
        <v>46321.625</v>
      </c>
      <c r="J4" s="0">
        <v>7</v>
      </c>
      <c r="K4" s="3"/>
      <c r="L4" s="0" t="inlineStr">
        <is>
          <t xml:space="preserve">CLP</t>
        </is>
      </c>
      <c r="M4" s="0" t="inlineStr">
        <is>
          <t xml:space="preserve">LE</t>
        </is>
      </c>
      <c r="N4" s="4" t="inlineStr">
        <is>
          <t xml:space="preserve">Tecnologías de la información, telecomunicaciones y radiodifusión / Software / Software de seguridad y protección</t>
        </is>
      </c>
      <c r="O4" s="4" t="inlineStr">
        <is>
          <t xml:space="preserve">1 Global · Software de protección antivirus y de seguridad de transacciones</t>
        </is>
      </c>
      <c r="P4" s="2"/>
      <c r="Q4" s="2"/>
      <c r="R4" s="0"/>
      <c r="S4" s="0" t="inlineStr">
        <is>
          <t xml:space="preserve">No</t>
        </is>
      </c>
      <c r="T4" s="4" t="inlineStr">
        <is>
          <t xml:space="preserve">SEGUN BASES ADMINISTRATIVAS</t>
        </is>
      </c>
      <c r="U4" s="0" t="inlineStr">
        <is>
          <t xml:space="preserve">SMILKA KOVACEVIC</t>
        </is>
      </c>
      <c r="V4" s="4" t="inlineStr">
        <is>
          <t xml:space="preserve">ADQUISICIÓN DE LICENCIAS DE SOFWARE DE ANTIVIRUS (EDR) CON ADMINISTRACIÓN
CENTRALIZADA</t>
        </is>
      </c>
      <c r="W4"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5">
      <c r="A5" s="0" t="inlineStr">
        <is>
          <t xml:space="preserve">5482-94-LP26</t>
        </is>
      </c>
      <c r="B5" s="4" t="inlineStr">
        <is>
          <t xml:space="preserve">SERVICIO DE ARRIENDO MANTENCIÓN Y SOPORTE DE PLATAFORMA DOM</t>
        </is>
      </c>
      <c r="C5" s="0" t="inlineStr">
        <is>
          <t xml:space="preserve">Publicada</t>
        </is>
      </c>
      <c r="D5" s="0" t="inlineStr">
        <is>
          <t xml:space="preserve">I MUNICIPALIDAD DE NUNOA</t>
        </is>
      </c>
      <c r="E5" s="0" t="inlineStr">
        <is>
          <t xml:space="preserve">SECPLANUNOA</t>
        </is>
      </c>
      <c r="F5" s="0" t="inlineStr">
        <is>
          <t xml:space="preserve">Región Metropolitana de Santiago</t>
        </is>
      </c>
      <c r="G5" s="0" t="inlineStr">
        <is>
          <t xml:space="preserve">Ñuñoa</t>
        </is>
      </c>
      <c r="H5" s="2">
        <v>46300.41875</v>
      </c>
      <c r="I5" s="2">
        <v>46322.416667</v>
      </c>
      <c r="J5" s="0">
        <v>8</v>
      </c>
      <c r="K5" s="3"/>
      <c r="L5" s="0" t="inlineStr">
        <is>
          <t xml:space="preserve">CLP</t>
        </is>
      </c>
      <c r="M5" s="0" t="inlineStr">
        <is>
          <t xml:space="preserve">LP</t>
        </is>
      </c>
      <c r="N5" s="4" t="inlineStr">
        <is>
          <t xml:space="preserve">Tecnologías de la información, telecomunicaciones y radiodifusión / Software / Programas de desarrollo</t>
        </is>
      </c>
      <c r="O5" s="4" t="inlineStr">
        <is>
          <t xml:space="preserve">1 Unidad · Software de desarrollo de plataforma Web</t>
        </is>
      </c>
      <c r="P5" s="2"/>
      <c r="Q5" s="2"/>
      <c r="R5" s="0" t="inlineStr">
        <is>
          <t xml:space="preserve">36 meses</t>
        </is>
      </c>
      <c r="S5" s="0" t="inlineStr">
        <is>
          <t xml:space="preserve">No</t>
        </is>
      </c>
      <c r="T5" s="4"/>
      <c r="U5" s="0" t="inlineStr">
        <is>
          <t xml:space="preserve">Katherine Ayala</t>
        </is>
      </c>
      <c r="V5"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5"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6">
      <c r="A6" s="0" t="inlineStr">
        <is>
          <t xml:space="preserve">619-13-LP26</t>
        </is>
      </c>
      <c r="B6" s="4" t="inlineStr">
        <is>
          <t xml:space="preserve">Suscripción de licencias IA generativa Claude.</t>
        </is>
      </c>
      <c r="C6" s="0" t="inlineStr">
        <is>
          <t xml:space="preserve">Publicada</t>
        </is>
      </c>
      <c r="D6" s="0" t="inlineStr">
        <is>
          <t xml:space="preserve">SUBSECRETARIA DEL MINISTERIO DE HACIENDA</t>
        </is>
      </c>
      <c r="E6" s="0" t="inlineStr">
        <is>
          <t xml:space="preserve">SUBSECRETARIA DEL MINISTERIO DE HACIENDA</t>
        </is>
      </c>
      <c r="F6" s="0" t="inlineStr">
        <is>
          <t xml:space="preserve">Región Metropolitana de Santiago</t>
        </is>
      </c>
      <c r="G6" s="0" t="inlineStr">
        <is>
          <t xml:space="preserve">Santiago</t>
        </is>
      </c>
      <c r="H6" s="2">
        <v>46314.50441</v>
      </c>
      <c r="I6" s="2">
        <v>46335.625</v>
      </c>
      <c r="J6" s="0">
        <v>21</v>
      </c>
      <c r="K6" s="3">
        <v>105000000.0</v>
      </c>
      <c r="L6" s="0" t="inlineStr">
        <is>
          <t xml:space="preserve">CLP</t>
        </is>
      </c>
      <c r="M6" s="0" t="inlineStr">
        <is>
          <t xml:space="preserve">LP</t>
        </is>
      </c>
      <c r="N6" s="4" t="inlineStr">
        <is>
          <t xml:space="preserve">Tecnologías de la información, telecomunicaciones y radiodifusión / Software / Software de gestión</t>
        </is>
      </c>
      <c r="O6" s="4" t="inlineStr">
        <is>
          <t xml:space="preserve">1 Unidad no definida · Software de gestión de licencias</t>
        </is>
      </c>
      <c r="P6" s="2"/>
      <c r="Q6" s="2"/>
      <c r="R6" s="0" t="inlineStr">
        <is>
          <t xml:space="preserve">13 meses</t>
        </is>
      </c>
      <c r="S6" s="0" t="inlineStr">
        <is>
          <t xml:space="preserve">No</t>
        </is>
      </c>
      <c r="T6" s="4"/>
      <c r="U6" s="0" t="inlineStr">
        <is>
          <t xml:space="preserve">Óscar Escobar</t>
        </is>
      </c>
      <c r="V6"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6"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7">
      <c r="A7" s="0" t="inlineStr">
        <is>
          <t xml:space="preserve">4160-22-LP26</t>
        </is>
      </c>
      <c r="B7" s="4" t="inlineStr">
        <is>
          <t xml:space="preserve">SERVICIO DE INTERNET VOZ Y DATOS</t>
        </is>
      </c>
      <c r="C7" s="0" t="inlineStr">
        <is>
          <t xml:space="preserve">Publicada</t>
        </is>
      </c>
      <c r="D7" s="0" t="inlineStr">
        <is>
          <t xml:space="preserve">MUNICIPALIDAD DE HUALPEN</t>
        </is>
      </c>
      <c r="E7" s="0" t="inlineStr">
        <is>
          <t xml:space="preserve">Secplan</t>
        </is>
      </c>
      <c r="F7" s="0" t="inlineStr">
        <is>
          <t xml:space="preserve">Región del Biobío </t>
        </is>
      </c>
      <c r="G7" s="0" t="inlineStr">
        <is>
          <t xml:space="preserve">Hualpén</t>
        </is>
      </c>
      <c r="H7" s="2">
        <v>46314.427569</v>
      </c>
      <c r="I7" s="2">
        <v>46336.583333</v>
      </c>
      <c r="J7" s="0">
        <v>22</v>
      </c>
      <c r="K7" s="3"/>
      <c r="L7" s="0" t="inlineStr">
        <is>
          <t xml:space="preserve">CLF</t>
        </is>
      </c>
      <c r="M7" s="0" t="inlineStr">
        <is>
          <t xml:space="preserve">LP</t>
        </is>
      </c>
      <c r="N7" s="4" t="inlineStr">
        <is>
          <t xml:space="preserve">Servicios basados en ingeniería, ciencias sociales y tecnología de la información / Servicios informáticos / Servicios para internet</t>
        </is>
      </c>
      <c r="O7" s="4" t="inlineStr">
        <is>
          <t xml:space="preserve">36 Mes · Proveedores de servicio de Internet (ISP)</t>
        </is>
      </c>
      <c r="P7" s="2"/>
      <c r="Q7" s="2"/>
      <c r="R7" s="0" t="inlineStr">
        <is>
          <t xml:space="preserve">36 meses</t>
        </is>
      </c>
      <c r="S7" s="0" t="inlineStr">
        <is>
          <t xml:space="preserve">No</t>
        </is>
      </c>
      <c r="T7" s="4"/>
      <c r="U7" s="0" t="inlineStr">
        <is>
          <t xml:space="preserve">RENE IBAÑEZ RETAMAL</t>
        </is>
      </c>
      <c r="V7"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7"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sheetData>
  <autoFilter ref="A1:W7"/>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1606-34-LE26</t>
        </is>
      </c>
      <c r="B2" s="4" t="inlineStr">
        <is>
          <t xml:space="preserve">Consultoría para la digitalización de rutas de taxis colectivos. Proyecto Apoyo a la estrategia Chilena de transporte sostenible - CLETS Financiado por la GEF e implementado por CAF</t>
        </is>
      </c>
      <c r="C2" s="0" t="inlineStr">
        <is>
          <t xml:space="preserve">Publicada</t>
        </is>
      </c>
      <c r="D2" s="0" t="inlineStr">
        <is>
          <t xml:space="preserve">AGENCIA CHILENA DE COOPERACION INTERNACIONAL PARA EL DESARROLLO</t>
        </is>
      </c>
      <c r="E2" s="0" t="inlineStr">
        <is>
          <t xml:space="preserve">AGCID</t>
        </is>
      </c>
      <c r="F2" s="0" t="inlineStr">
        <is>
          <t xml:space="preserve">Región Metropolitana de Santiago</t>
        </is>
      </c>
      <c r="G2" s="0" t="inlineStr">
        <is>
          <t xml:space="preserve">Santiago</t>
        </is>
      </c>
      <c r="H2" s="2">
        <v>46303.531296</v>
      </c>
      <c r="I2" s="2">
        <v>46317.625</v>
      </c>
      <c r="J2" s="0">
        <v>3</v>
      </c>
      <c r="K2" s="3">
        <v>20000.0</v>
      </c>
      <c r="L2" s="0" t="inlineStr">
        <is>
          <t xml:space="preserve">USD</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en planificación estratégica</t>
        </is>
      </c>
      <c r="P2" s="2"/>
      <c r="Q2" s="2"/>
      <c r="R2" s="0" t="inlineStr">
        <is>
          <t xml:space="preserve">7 meses</t>
        </is>
      </c>
      <c r="S2" s="0" t="inlineStr">
        <is>
          <t xml:space="preserve">No</t>
        </is>
      </c>
      <c r="T2" s="4" t="inlineStr">
        <is>
          <t xml:space="preserve">Según numeral 11.8 de Cesión y subcontratación de la Resolución Exenta de AGCID 305, de fecha 07 de octubre del 2026</t>
        </is>
      </c>
      <c r="U2" s="0" t="inlineStr">
        <is>
          <t xml:space="preserve">Paula Krautz Vargas</t>
        </is>
      </c>
      <c r="V2"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2" s="5" t="str">
        <f>HYPERLINK("https://www.mercadopublico.cl/Procurement/Modules/Attachment/ViewAttachment.aspx?enc=6rbTst9NzOXh5PMrtu1TLfqhF8I%2bYXPRUvqXR8LneOMQkJPJ%2flMYZHMD0j75q5k9PvOdAy7AXAEMGeS%2fdBD8G8tiwGchT8PxrbQSdNsl7wOS13e1c0u8prr3uTbwmTIHB%2f6910GqLCh%2bmC3f1KwAgaLDeYljg%2bDIrcxVnMDjNZK7xdX7gI%2fVSTMZklJW3nWVI7p2ytNv2bWxKaxBgEWfGPVUADGrmZp58%2f9%2bvU1YrDRf5J3V%2ftHjh9KW7vYgpMJDLF2%2bbWkW7pE%2fEWBPbW7KLEmmViibZZiNl7fAk7kpaA3pqD6daOgY6jamkJJdgmIU","descargar bases")</f>
      </c>
    </row>
    <row r="3">
      <c r="A3" s="0" t="inlineStr">
        <is>
          <t xml:space="preserve">617807-79-B226</t>
        </is>
      </c>
      <c r="B3" s="4" t="inlineStr">
        <is>
          <t xml:space="preserve">SERVICIO DE MANTENCIÓN PREVENTIVA Y REPARATIVA DE EQUIPOS DE RAYOS X DIGITAL ARCO C PARA EL HOSPITAL SAN JUAN DE DIOS DE LOS ANDES</t>
        </is>
      </c>
      <c r="C3" s="0" t="inlineStr">
        <is>
          <t xml:space="preserve">Publicada</t>
        </is>
      </c>
      <c r="D3" s="0" t="inlineStr">
        <is>
          <t xml:space="preserve">SERV NAC SALUD HOSPITAL DE LOS ANDES</t>
        </is>
      </c>
      <c r="E3" s="0" t="inlineStr">
        <is>
          <t xml:space="preserve">Hospital San Juan de Dios de Los Andes</t>
        </is>
      </c>
      <c r="F3" s="0" t="inlineStr">
        <is>
          <t xml:space="preserve">Región de Valparaíso </t>
        </is>
      </c>
      <c r="G3" s="0" t="inlineStr">
        <is>
          <t xml:space="preserve">Los Andes</t>
        </is>
      </c>
      <c r="H3" s="2">
        <v>46297.633194</v>
      </c>
      <c r="I3" s="2">
        <v>46317.625</v>
      </c>
      <c r="J3" s="0">
        <v>3</v>
      </c>
      <c r="K3" s="3"/>
      <c r="L3" s="0" t="inlineStr">
        <is>
          <t xml:space="preserve">CLP</t>
        </is>
      </c>
      <c r="M3" s="0" t="inlineStr">
        <is>
          <t xml:space="preserve">B2</t>
        </is>
      </c>
      <c r="N3" s="4" t="inlineStr">
        <is>
          <t xml:space="preserve">Servicios de producción y fabricación industrial / Servicios de apoyo o soporte a la fabricación / Servicios de mantenimiento y reparación de equipo de fabricación</t>
        </is>
      </c>
      <c r="O3" s="4" t="inlineStr">
        <is>
          <t xml:space="preserve">1 Unidad · Servicio de mantenimiento de equipo de fabricación</t>
        </is>
      </c>
      <c r="P3" s="2"/>
      <c r="Q3" s="2"/>
      <c r="R3" s="0" t="inlineStr">
        <is>
          <t xml:space="preserve">36 meses</t>
        </is>
      </c>
      <c r="S3" s="0" t="inlineStr">
        <is>
          <t xml:space="preserve">No</t>
        </is>
      </c>
      <c r="T3" s="4"/>
      <c r="U3" s="0" t="inlineStr">
        <is>
          <t xml:space="preserve">MARCIA MANDIOLA GOMEZ</t>
        </is>
      </c>
      <c r="V3"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3" s="5" t="str">
        <f>HYPERLINK("https://www.mercadopublico.cl/Procurement/Modules/Attachment/ViewAttachment.aspx?enc=6Qx%2bMpp2a4mBlZ%2fPUFlNFRBw48fz09dUKrYop3xk4P1nwZ%2bkCIeOlYpiPJQihl1WTL9pxW3lOxa00Iy%2fmAvMng%2bsc3hhBftdbdnqwIq7cfX256s9KnDAP5l%2be3vUrVkhv%2fyWUNnIf5aNI%2ftPZNPmmEzw9saQrKSe3zj1esE4c4Q2CJBG%2f6JzPUKpeq0n2eP2GJMhR%2fiUKkQw9H8dGrDttlQ9ms89RNhvl2P4LbqYkFuoMYwBVj%2bgCUvhnygeaoy8Dpi7Iyh2An4TLLhCitw23sdAKQVglUvYjwNiE7lhJJXK4Vy3JGxYnoBfF%2bH6rcY1","descargar bases")</f>
      </c>
    </row>
    <row r="4">
      <c r="A4" s="0" t="inlineStr">
        <is>
          <t xml:space="preserve">869591-12-LP26</t>
        </is>
      </c>
      <c r="B4" s="4" t="inlineStr">
        <is>
          <t xml:space="preserve">CONTRATACIÓN DE PLATAFORMA DE GESTIÓN DOCUMENTAL EXPEDIENTE ELECTRÓNICO Y GESTIÓN DE PROCESOS</t>
        </is>
      </c>
      <c r="C4" s="0" t="inlineStr">
        <is>
          <t xml:space="preserve">Publicada</t>
        </is>
      </c>
      <c r="D4" s="0" t="inlineStr">
        <is>
          <t xml:space="preserve">DIRECCION DE COMPRAS Y CONTRATACION PUBLICA</t>
        </is>
      </c>
      <c r="E4" s="0" t="inlineStr">
        <is>
          <t xml:space="preserve">Calidad del Gasto en las Compras Públicas</t>
        </is>
      </c>
      <c r="F4" s="0" t="inlineStr">
        <is>
          <t xml:space="preserve">Región Metropolitana de Santiago</t>
        </is>
      </c>
      <c r="G4" s="0" t="inlineStr">
        <is>
          <t xml:space="preserve">Santiago Centro</t>
        </is>
      </c>
      <c r="H4" s="2">
        <v>46280.607639</v>
      </c>
      <c r="I4" s="2">
        <v>46317.625</v>
      </c>
      <c r="J4" s="0">
        <v>3</v>
      </c>
      <c r="K4" s="3"/>
      <c r="L4" s="0" t="inlineStr">
        <is>
          <t xml:space="preserve">CLP</t>
        </is>
      </c>
      <c r="M4" s="0" t="inlineStr">
        <is>
          <t xml:space="preserve">LP</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t="inlineStr">
        <is>
          <t xml:space="preserve">44 meses</t>
        </is>
      </c>
      <c r="S4" s="0" t="inlineStr">
        <is>
          <t xml:space="preserve">No</t>
        </is>
      </c>
      <c r="T4" s="4" t="inlineStr">
        <is>
          <t xml:space="preserve">ver clausula 10 de las bases especiales</t>
        </is>
      </c>
      <c r="U4" s="0" t="inlineStr">
        <is>
          <t xml:space="preserve">Marcela Cabrera</t>
        </is>
      </c>
      <c r="V4" s="4" t="inlineStr">
        <is>
          <t xml:space="preserve">CONTRATACIÓN DE PLATAFORMA DE GESTIÓN DOCUMENTAL, EXPEDIENTE ELECTRÓNICO Y GESTIÓN DE PROCESOS PARA LA DIRECCIÓN DE COMPRAS Y CONTRATACIÓN PÚBLICA</t>
        </is>
      </c>
      <c r="W4" s="5" t="str">
        <f>HYPERLINK("https://www.mercadopublico.cl/Procurement/Modules/Attachment/ViewAttachment.aspx?enc=DjxTNboYWsDGHOqki72H5lLSvRJj1T6X6L7Qo%2bPNvbbnNjAbXWZ588A%2bxDU5I5NYoGlRSl3SUvW5b5mWqq8jmRkoQpmJOttLbj9sENi3iyOeURcZa68GEOpKDZpus2MIyUS6SLyuMirveOh3hkOwYqHxBAJ8oOZPzKEDlixtwWkha%2fctswlBYwAb4yuVBTnhJw%2fRPOMpfeYg0DIt0H%2bNw3yspkHqyCKn%2fZPFJc8C3DAd34uUTpJu4ahgWVJxPlRtNFyWIXKGF8g7CpUJuXnsAtnmpd5WjXJ1iZVTORtIzHzQkG62mMNT3Z098Gj6%2fQHV","descargar bases")</f>
      </c>
    </row>
    <row r="5">
      <c r="A5" s="0" t="inlineStr">
        <is>
          <t xml:space="preserve">1107281-6-LE26</t>
        </is>
      </c>
      <c r="B5" s="4" t="inlineStr">
        <is>
          <t xml:space="preserve">COMPRA SOFTWARE COMPATIBLE CON EQUIPO HPLC AGILENT</t>
        </is>
      </c>
      <c r="C5" s="0" t="inlineStr">
        <is>
          <t xml:space="preserve">Publicada</t>
        </is>
      </c>
      <c r="D5" s="0" t="inlineStr">
        <is>
          <t xml:space="preserve">INIA</t>
        </is>
      </c>
      <c r="E5" s="0" t="inlineStr">
        <is>
          <t xml:space="preserve">CARILLANCA</t>
        </is>
      </c>
      <c r="F5" s="0" t="inlineStr">
        <is>
          <t xml:space="preserve">Región de la Araucanía </t>
        </is>
      </c>
      <c r="G5" s="0" t="inlineStr">
        <is>
          <t xml:space="preserve">Vilcún</t>
        </is>
      </c>
      <c r="H5" s="2">
        <v>46304.465972</v>
      </c>
      <c r="I5" s="2">
        <v>46317.629861</v>
      </c>
      <c r="J5" s="0">
        <v>3</v>
      </c>
      <c r="K5" s="3">
        <v>10400000.0</v>
      </c>
      <c r="L5" s="0" t="inlineStr">
        <is>
          <t xml:space="preserve">CLP</t>
        </is>
      </c>
      <c r="M5" s="0" t="inlineStr">
        <is>
          <t xml:space="preserve">LE</t>
        </is>
      </c>
      <c r="N5" s="4" t="inlineStr">
        <is>
          <t xml:space="preserve">Tecnologías de la información, telecomunicaciones y radiodifusión / Software / Programas de desarrollo</t>
        </is>
      </c>
      <c r="O5" s="4" t="inlineStr">
        <is>
          <t xml:space="preserve">1 Unidad · Software de desarrollo de interfaz gráfica de usuario</t>
        </is>
      </c>
      <c r="P5" s="2"/>
      <c r="Q5" s="2"/>
      <c r="R5" s="0"/>
      <c r="S5" s="0" t="inlineStr">
        <is>
          <t xml:space="preserve">No</t>
        </is>
      </c>
      <c r="T5" s="4"/>
      <c r="U5" s="0" t="inlineStr">
        <is>
          <t xml:space="preserve">ALDO MARCELO ARRIAGADA RÍOS</t>
        </is>
      </c>
      <c r="V5"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5" s="5" t="str">
        <f>HYPERLINK("https://www.mercadopublico.cl/Procurement/Modules/Attachment/ViewAttachment.aspx?enc=1tgTC2UNtgnFosjVmkEIKvjIDMxJlOWEzdxBeNefz%2bTm7j5h7wW8znB7qy%2bpjbhJWsREeWtceXvOXhvF6gRFgXNL6gvP%2f4rH%2bmOB1wK2XafzXTLZ3EyS4VsbSrAxplv21TLUTYA%2fcU05eD%2bxMHMuZpfOpL%2fzGC36wb657oQ9CWIoXijl3iTPeRSZUbJo06UbtWMkqgHRBHnx45gP5dy5hWpxhCSxirj02i0ZQsyOGa4%2fh1%2fvecCAamVHYkRyBPz4oBQEuOe%2f%2bnXrYZ%2bJw5xs3OSgoo2wMksx%2fryltsJ%2f%2brwi1gG0eONB1jVv78q%2byE3D","descargar bases")</f>
      </c>
    </row>
    <row r="6">
      <c r="A6" s="0" t="inlineStr">
        <is>
          <t xml:space="preserve">1461054-45-LP26</t>
        </is>
      </c>
      <c r="B6" s="4" t="inlineStr">
        <is>
          <t xml:space="preserve">PLATAFORMA DE GESTIÓN EDUCACIONAL PARA 77 E.E</t>
        </is>
      </c>
      <c r="C6" s="0" t="inlineStr">
        <is>
          <t xml:space="preserve">Publicada</t>
        </is>
      </c>
      <c r="D6" s="0" t="inlineStr">
        <is>
          <t xml:space="preserve">SERVICIO LOCAL DE EDUCACIÓN PÚBLICA DEL ELQUI</t>
        </is>
      </c>
      <c r="E6" s="0" t="inlineStr">
        <is>
          <t xml:space="preserve">P02 Establecimientos Educacionales</t>
        </is>
      </c>
      <c r="F6" s="0" t="inlineStr">
        <is>
          <t xml:space="preserve">Región de Coquimbo </t>
        </is>
      </c>
      <c r="G6" s="0" t="inlineStr">
        <is>
          <t xml:space="preserve">La Serena</t>
        </is>
      </c>
      <c r="H6" s="2">
        <v>46288.638889</v>
      </c>
      <c r="I6" s="2">
        <v>46317.645833</v>
      </c>
      <c r="J6" s="0">
        <v>3</v>
      </c>
      <c r="K6" s="3">
        <v>290234736.0</v>
      </c>
      <c r="L6" s="0" t="inlineStr">
        <is>
          <t xml:space="preserve">CLP</t>
        </is>
      </c>
      <c r="M6" s="0" t="inlineStr">
        <is>
          <t xml:space="preserve">LP</t>
        </is>
      </c>
      <c r="N6" s="4" t="inlineStr">
        <is>
          <t xml:space="preserve">Tecnologías de la información, telecomunicaciones y radiodifusión / Software / Software de consultas y gestión de datos</t>
        </is>
      </c>
      <c r="O6" s="4" t="inlineStr">
        <is>
          <t xml:space="preserve">1 Unidad · Software del sistema de administración de bases de datos</t>
        </is>
      </c>
      <c r="P6" s="2"/>
      <c r="Q6" s="2"/>
      <c r="R6" s="0" t="inlineStr">
        <is>
          <t xml:space="preserve">36 meses</t>
        </is>
      </c>
      <c r="S6" s="0" t="inlineStr">
        <is>
          <t xml:space="preserve">No</t>
        </is>
      </c>
      <c r="T6"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6" s="0" t="inlineStr">
        <is>
          <t xml:space="preserve">Francisca Pérez García</t>
        </is>
      </c>
      <c r="V6"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6" s="5" t="str">
        <f>HYPERLINK("https://www.mercadopublico.cl/Procurement/Modules/Attachment/ViewAttachment.aspx?enc=Y%2bemeJYsmMqaiPKxM9tMQMfp%2ffUEyOvKSYP6n%2bDqppt3xwK5nTmighZtbN%2fRr0KdV01ptyX5jHQDl8bcqyoP%2bScHeFGn3OFnFd%2bdvLPJpKvRPiwg239OYU9biS2GG03FIY8ZAeqT6UAJoCoqEIO7z1WoFmdcS7uau9dglzct13uQDpwlNAu8xcqNZpYHudxbj7gL%2fN6Z%2bzhZYd16OllVh0zBUvDEsfla01dkf9OLJZ3TM%2b9caSva0vLmFRBQ4gV8tYe5RCKoadxs0QuAatdCiubBoTL1gri8JDU2xuJe3Gpzqxjj%2bl5Fi%2f4qEqh4tKKw","descargar bases")</f>
      </c>
    </row>
    <row r="7">
      <c r="A7" s="0" t="inlineStr">
        <is>
          <t xml:space="preserve">1469-286-L126</t>
        </is>
      </c>
      <c r="B7" s="4" t="inlineStr">
        <is>
          <t xml:space="preserve">Servicio de plataforma e-learning para cursos de capacitación – Educación Continua, Facultad de Odontología, Universidad de Talca</t>
        </is>
      </c>
      <c r="C7" s="0" t="inlineStr">
        <is>
          <t xml:space="preserve">Publicada</t>
        </is>
      </c>
      <c r="D7" s="0" t="inlineStr">
        <is>
          <t xml:space="preserve">UNIVERSIDAD DE TALCA</t>
        </is>
      </c>
      <c r="E7" s="0" t="inlineStr">
        <is>
          <t xml:space="preserve">Universidad de Talca</t>
        </is>
      </c>
      <c r="F7" s="0" t="inlineStr">
        <is>
          <t xml:space="preserve">Región del Maule </t>
        </is>
      </c>
      <c r="G7" s="0" t="inlineStr">
        <is>
          <t xml:space="preserve">Talca</t>
        </is>
      </c>
      <c r="H7" s="2">
        <v>46310.784213</v>
      </c>
      <c r="I7" s="2">
        <v>46317.645833</v>
      </c>
      <c r="J7" s="0">
        <v>3</v>
      </c>
      <c r="K7" s="3"/>
      <c r="L7" s="0" t="inlineStr">
        <is>
          <t xml:space="preserve">CLP</t>
        </is>
      </c>
      <c r="M7" s="0" t="inlineStr">
        <is>
          <t xml:space="preserve">L1</t>
        </is>
      </c>
      <c r="N7" s="4" t="inlineStr">
        <is>
          <t xml:space="preserve">Educación, formación, entrenamiento y capacitación / Sistemas educativos complementarios / Educación de adultos</t>
        </is>
      </c>
      <c r="O7" s="4" t="inlineStr">
        <is>
          <t xml:space="preserve">1 Unidad · Capacitación a empleados</t>
        </is>
      </c>
      <c r="P7" s="2"/>
      <c r="Q7" s="2"/>
      <c r="R7" s="0"/>
      <c r="S7" s="0" t="inlineStr">
        <is>
          <t xml:space="preserve">No</t>
        </is>
      </c>
      <c r="T7" s="4"/>
      <c r="U7" s="0"/>
      <c r="V7" s="4" t="inlineStr">
        <is>
          <t xml:space="preserve">La Facultad de Odontología de la Universidad de Talca requiere una plataforma e-learning para desarrollar y apoyar cursos virtuales de Educación Continua. Incluye el curso “Actualización en Cariología”, de 40 horas cronológicas, con al menos 3 módulos, material asincrónico en formato Rise o Storyline, para 60 participantes y 8 docentes o tutores, con conexión simultánea de los 60 participantes.</t>
        </is>
      </c>
      <c r="W7" s="5" t="str">
        <f>HYPERLINK("https://www.mercadopublico.cl/Procurement/Modules/Attachment/ViewAttachment.aspx?enc=K0zVWbbpx9eoZoKv80zLMSTfZO2%2fbb%2b%2bI8U0eoBKntQ4mjifAClwCNPUygqIUkX%2fUrFDbWRGDIkwYy%2fJniytKN86r3KDGQghoy2GykAQx6BL4bEiEskhYA38Fh6WcVGXWKJoG08fj59ODN0NdgDV9FMWUxy2thIMy0ggnBk4RGVjkkr%2b8UUAcy35LHVwR%2fnScvzBrQEq1fAQv6FnoAMBxRHLFkKxTMgl0UD9VgozbhAD1NaZ%2fo1bLi2kQ%2bqQ1SKJUbEeD5asAsHGRRHwYWYA9m47HDIcKSgCl1z3APIYEeX3EigDcAFQ7vY4Qu0EKj6%2f","descargar bases")</f>
      </c>
    </row>
    <row r="8">
      <c r="A8" s="0" t="inlineStr">
        <is>
          <t xml:space="preserve">1216085-67-LE26</t>
        </is>
      </c>
      <c r="B8" s="4" t="inlineStr">
        <is>
          <t xml:space="preserve">Adquis. De licencias de software de reloj control.</t>
        </is>
      </c>
      <c r="C8" s="0" t="inlineStr">
        <is>
          <t xml:space="preserve">Publicada</t>
        </is>
      </c>
      <c r="D8" s="0" t="inlineStr">
        <is>
          <t xml:space="preserve">CORP MUNICIPAL PARA EL DESARROLLO SOCIAL</t>
        </is>
      </c>
      <c r="E8" s="0" t="inlineStr">
        <is>
          <t xml:space="preserve">Adquisiciones</t>
        </is>
      </c>
      <c r="F8" s="0" t="inlineStr">
        <is>
          <t xml:space="preserve">Región de Valparaíso </t>
        </is>
      </c>
      <c r="G8" s="0" t="inlineStr">
        <is>
          <t xml:space="preserve">Villa Alemana</t>
        </is>
      </c>
      <c r="H8" s="2">
        <v>46309.651389</v>
      </c>
      <c r="I8" s="2">
        <v>46317.652778</v>
      </c>
      <c r="J8" s="0">
        <v>3</v>
      </c>
      <c r="K8" s="3">
        <v>33613445.0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recursos humanos</t>
        </is>
      </c>
      <c r="P8" s="2"/>
      <c r="Q8" s="2"/>
      <c r="R8" s="0" t="inlineStr">
        <is>
          <t xml:space="preserve">24 meses</t>
        </is>
      </c>
      <c r="S8" s="0" t="inlineStr">
        <is>
          <t xml:space="preserve">No</t>
        </is>
      </c>
      <c r="T8"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8" s="0" t="inlineStr">
        <is>
          <t xml:space="preserve">Matias Ignacio Ibaceta Estay</t>
        </is>
      </c>
      <c r="V8"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8" s="5" t="str">
        <f>HYPERLINK("https://www.mercadopublico.cl/Procurement/Modules/Attachment/ViewAttachment.aspx?enc=Q%2fnrJxNpc7E5HD4QTfLeOwEvmK3TLleDD1ess977KvNA5Oi4ILdGhRWg%2fWEffPTjXA7AuZSIItrWg%2f4QzLA31q%2fuXH1irMahW1jAp1spN6qNXNle5lFLvraj099a2L9joqrMca5Z7yLj%2bZLdoq2g2RnBaCDks0YLDlAFxatQEs2YjwhgU0%2fmorOpQcEw3tFpY4zH7cKqML%2bHtjNCVaqM5smQGZ1xOs9MCtoInxYFJVfb7R0pHejrrUH2JH161XXTwN2XgUOfkv75lmNKQmLWhqyKoDK8TgHNr%2bEObFwhfDfNN%2fr2IIa4it7gaqIruawH","descargar bases")</f>
      </c>
    </row>
    <row r="9">
      <c r="A9" s="0" t="inlineStr">
        <is>
          <t xml:space="preserve">3348-9-LE26</t>
        </is>
      </c>
      <c r="B9" s="4" t="inlineStr">
        <is>
          <t xml:space="preserve">Servicio de Arriendo de Tótem Gestor de Filas</t>
        </is>
      </c>
      <c r="C9" s="0" t="inlineStr">
        <is>
          <t xml:space="preserve">Publicada</t>
        </is>
      </c>
      <c r="D9" s="0" t="inlineStr">
        <is>
          <t xml:space="preserve">DIVISION LOGISTICA DEL EJERCITO</t>
        </is>
      </c>
      <c r="E9" s="0" t="inlineStr">
        <is>
          <t xml:space="preserve">Centro Clínico Militar "Arica"</t>
        </is>
      </c>
      <c r="F9" s="0" t="inlineStr">
        <is>
          <t xml:space="preserve">Región de Arica y Parinacota</t>
        </is>
      </c>
      <c r="G9" s="0" t="inlineStr">
        <is>
          <t xml:space="preserve">Arica</t>
        </is>
      </c>
      <c r="H9" s="2">
        <v>46302.699063</v>
      </c>
      <c r="I9" s="2">
        <v>46317.666667</v>
      </c>
      <c r="J9" s="0">
        <v>3</v>
      </c>
      <c r="K9" s="3">
        <v>7200000.0</v>
      </c>
      <c r="L9" s="0" t="inlineStr">
        <is>
          <t xml:space="preserve">CLP</t>
        </is>
      </c>
      <c r="M9" s="0" t="inlineStr">
        <is>
          <t xml:space="preserve">LE</t>
        </is>
      </c>
      <c r="N9" s="4" t="inlineStr">
        <is>
          <t xml:space="preserve">Tecnologías de la información, telecomunicaciones y radiodifusión / Equipos informáticos y accesorios / Pantallas o monitores de computador</t>
        </is>
      </c>
      <c r="O9" s="4" t="inlineStr">
        <is>
          <t xml:space="preserve">1 Unidad · Monitores de pantalla táctil</t>
        </is>
      </c>
      <c r="P9" s="2"/>
      <c r="Q9" s="2"/>
      <c r="R9" s="0" t="inlineStr">
        <is>
          <t xml:space="preserve">24 meses</t>
        </is>
      </c>
      <c r="S9" s="0" t="inlineStr">
        <is>
          <t xml:space="preserve">No</t>
        </is>
      </c>
      <c r="T9"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9" s="0" t="inlineStr">
        <is>
          <t xml:space="preserve">Victor Gomez Vuch</t>
        </is>
      </c>
      <c r="V9" s="4" t="inlineStr">
        <is>
          <t xml:space="preserve">Contratar el “Servicio de arriendo de tótem gestor de filas” a 24 meses de duración, para la gestión de filas de atención del hall del servicio de medicina de esta Instalación de Salud.</t>
        </is>
      </c>
      <c r="W9" s="5" t="str">
        <f>HYPERLINK("https://www.mercadopublico.cl/Procurement/Modules/Attachment/ViewAttachment.aspx?enc=PvM1irnT3%2bDf4MuV9Jc0mjUY3n5bSpaC%2bN7UzdGcg7fpMTiDu0zxYjZhOyVoo8DqklAWS%2fSPBmq2TiJVwuJuOd%2fdZwMHzz%2bEeTjwfo09bQ8ZLZXf0HNyFifQyh5qFVi1db%2fbiU21GxbnFZEi6475PZ9WN5t7L4hFTjiPPBzlYFkGo%2fTdmi3VcBU7AIpV4gK6onhqThBHv433K9F4Z72rbhKww8K4%2fzy0A5GQTWASi9BtlSDg0BosMUwcIiNgWk5sIwABuubI4dOBk7Et4eRWqm5hsw%2fm4jce%2byrYEFDp8hK98EAEiJpuREVveGikH6Ux","descargar bases")</f>
      </c>
    </row>
    <row r="10">
      <c r="A10" s="0" t="inlineStr">
        <is>
          <t xml:space="preserve">425-67-LE26</t>
        </is>
      </c>
      <c r="B10" s="4" t="inlineStr">
        <is>
          <t xml:space="preserve">Software de seguridad extendida y Ciberdefensa</t>
        </is>
      </c>
      <c r="C10" s="0" t="inlineStr">
        <is>
          <t xml:space="preserve">Publicada</t>
        </is>
      </c>
      <c r="D10" s="0" t="inlineStr">
        <is>
          <t xml:space="preserve">CORP ADMINISTRATIVA DEL PODER JUDICIAL</t>
        </is>
      </c>
      <c r="E10" s="0" t="inlineStr">
        <is>
          <t xml:space="preserve">Servicios</t>
        </is>
      </c>
      <c r="F10" s="0" t="inlineStr">
        <is>
          <t xml:space="preserve">Región Metropolitana de Santiago</t>
        </is>
      </c>
      <c r="G10" s="0" t="inlineStr">
        <is>
          <t xml:space="preserve">Santiago Centro</t>
        </is>
      </c>
      <c r="H10" s="2">
        <v>46289.704861</v>
      </c>
      <c r="I10" s="2">
        <v>46317.666667</v>
      </c>
      <c r="J10" s="0">
        <v>3</v>
      </c>
      <c r="K10" s="3"/>
      <c r="L10" s="0" t="inlineStr">
        <is>
          <t xml:space="preserve">USD</t>
        </is>
      </c>
      <c r="M10" s="0" t="inlineStr">
        <is>
          <t xml:space="preserve">LE</t>
        </is>
      </c>
      <c r="N10" s="4" t="inlineStr">
        <is>
          <t xml:space="preserve">Tecnologías de la información, telecomunicaciones y radiodifusión / Software / Software de seguridad y protección</t>
        </is>
      </c>
      <c r="O10" s="4" t="inlineStr">
        <is>
          <t xml:space="preserve">1 Unidad · Software de equipos de red privada virtual (VPN) o de seguridad de red</t>
        </is>
      </c>
      <c r="P10" s="2"/>
      <c r="Q10" s="2"/>
      <c r="R10" s="0" t="inlineStr">
        <is>
          <t xml:space="preserve">12 meses</t>
        </is>
      </c>
      <c r="S10" s="0" t="inlineStr">
        <is>
          <t xml:space="preserve">No</t>
        </is>
      </c>
      <c r="T10" s="4"/>
      <c r="U10" s="0" t="inlineStr">
        <is>
          <t xml:space="preserve">Jorge Quezada</t>
        </is>
      </c>
      <c r="V10"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10" s="5" t="str">
        <f>HYPERLINK("https://www.mercadopublico.cl/Procurement/Modules/Attachment/ViewAttachment.aspx?enc=dU4f0WNVHkBUAIDHyxmw%2bco9%2fP3OGdADYUAEjSt9zhCYiT3%2bXvF7ctwj6DBYJCEDIJXdmIwbOWt6i65sb%2bNysOlN%2bfhDhVT696m3ZnGIEQZpYys7OdMOsK2ssMLB9fTvJ39320XtM%2b9HUymHSAiZE9661QdbYIUpTeTtnfofSSaxFdVJb4LEHW%2fGh7VYDUeOwGexv47OdxNPZKvo7bIB%2bWpK6%2bLFyRZoCSXjaQxMbh9AIRCnQ4zrBw86U%2f%2bx%2fasiA9eRvR0fBPdRZaYb%2flPwgu%2bQR4rSvKookxIsOnRnYGdPMCiQZWlk2%2ftOSDF21RN3","descargar bases")</f>
      </c>
    </row>
    <row r="11">
      <c r="A11" s="0" t="inlineStr">
        <is>
          <t xml:space="preserve">948354-140-LR26</t>
        </is>
      </c>
      <c r="B11" s="4" t="inlineStr">
        <is>
          <t xml:space="preserve">CONTRATACIÓN DE UNA SOLUCIÓN INTEGRAL RIS-PACS INCLUYENDO LA PROVISIÓN DE SERVICIOS SOFTWARE HARDWARE E INFRAESTRUCTURA TECNOLÓGICA PARA EL SERVICIO DE IMAGENOLOGÍA DEL HOSPITAL DIPRECA</t>
        </is>
      </c>
      <c r="C11" s="0" t="inlineStr">
        <is>
          <t xml:space="preserve">Publicada</t>
        </is>
      </c>
      <c r="D11" s="0" t="inlineStr">
        <is>
          <t xml:space="preserve">FONDO HOSPITAL DE LA DIRECCION DE PREVISION DE CARABINEROS DE CHILE</t>
        </is>
      </c>
      <c r="E11" s="0" t="inlineStr">
        <is>
          <t xml:space="preserve">Unidad de Compra de Bienes y Servicios</t>
        </is>
      </c>
      <c r="F11" s="0" t="inlineStr">
        <is>
          <t xml:space="preserve">Región Metropolitana de Santiago</t>
        </is>
      </c>
      <c r="G11" s="0" t="inlineStr">
        <is>
          <t xml:space="preserve">Las Condes</t>
        </is>
      </c>
      <c r="H11" s="2">
        <v>46287.400255</v>
      </c>
      <c r="I11" s="2">
        <v>46317.666667</v>
      </c>
      <c r="J11" s="0">
        <v>3</v>
      </c>
      <c r="K11" s="3">
        <v>3310000000.0</v>
      </c>
      <c r="L11" s="0" t="inlineStr">
        <is>
          <t xml:space="preserve">CLP</t>
        </is>
      </c>
      <c r="M11" s="0" t="inlineStr">
        <is>
          <t xml:space="preserve">LR</t>
        </is>
      </c>
      <c r="N11" s="4" t="inlineStr">
        <is>
          <t xml:space="preserve">Equipamiento y suministros médicos / Productos para imágenes y de medicina nuclear / Artículos para archivar información e imágenes radiológicas</t>
        </is>
      </c>
      <c r="O11" s="4" t="inlineStr">
        <is>
          <t xml:space="preserve">60 Mes · Sistemas informatizados de archivado de imágenes (PACS) médicos</t>
        </is>
      </c>
      <c r="P11" s="2"/>
      <c r="Q11" s="2"/>
      <c r="R11" s="0" t="inlineStr">
        <is>
          <t xml:space="preserve">60 meses</t>
        </is>
      </c>
      <c r="S11" s="0" t="inlineStr">
        <is>
          <t xml:space="preserve">No</t>
        </is>
      </c>
      <c r="T11" s="4"/>
      <c r="U11" s="0" t="inlineStr">
        <is>
          <t xml:space="preserve">Dra. Constanza Damm Araneda</t>
        </is>
      </c>
      <c r="V11"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1"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12">
      <c r="A12" s="0" t="inlineStr">
        <is>
          <t xml:space="preserve">5148-13-LP26</t>
        </is>
      </c>
      <c r="B12" s="4" t="inlineStr">
        <is>
          <t xml:space="preserve">ADQUISICIÓN SERVIDORES PARA PLATAFORMA IA DEL MP</t>
        </is>
      </c>
      <c r="C12" s="0" t="inlineStr">
        <is>
          <t xml:space="preserve">Publicada</t>
        </is>
      </c>
      <c r="D12" s="0" t="inlineStr">
        <is>
          <t xml:space="preserve">MINISTERIO PUBLICO</t>
        </is>
      </c>
      <c r="E12" s="0" t="inlineStr">
        <is>
          <t xml:space="preserve">Fiscalía Nacional</t>
        </is>
      </c>
      <c r="F12" s="0" t="inlineStr">
        <is>
          <t xml:space="preserve">Región Metropolitana de Santiago</t>
        </is>
      </c>
      <c r="G12" s="0" t="inlineStr">
        <is>
          <t xml:space="preserve">Santiago Centro</t>
        </is>
      </c>
      <c r="H12" s="2">
        <v>46301.729387</v>
      </c>
      <c r="I12" s="2">
        <v>46317.708333</v>
      </c>
      <c r="J12" s="0">
        <v>3</v>
      </c>
      <c r="K12" s="3"/>
      <c r="L12" s="0" t="inlineStr">
        <is>
          <t xml:space="preserve">USD</t>
        </is>
      </c>
      <c r="M12" s="0" t="inlineStr">
        <is>
          <t xml:space="preserve">LP</t>
        </is>
      </c>
      <c r="N12" s="4" t="inlineStr">
        <is>
          <t xml:space="preserve">Tecnologías de la información, telecomunicaciones y radiodifusión / Equipos informáticos y accesorios / Computadores</t>
        </is>
      </c>
      <c r="O12" s="4" t="inlineStr">
        <is>
          <t xml:space="preserve">1 Unidad · Servidores · 1 Unidad · Servidores</t>
        </is>
      </c>
      <c r="P12" s="2"/>
      <c r="Q12" s="2"/>
      <c r="R12" s="0"/>
      <c r="S12" s="0" t="inlineStr">
        <is>
          <t xml:space="preserve">No</t>
        </is>
      </c>
      <c r="T12"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12" s="0" t="inlineStr">
        <is>
          <t xml:space="preserve">RICHARD ROJAS CASTEX</t>
        </is>
      </c>
      <c r="V12"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12" s="5" t="str">
        <f>HYPERLINK("https://www.mercadopublico.cl/Procurement/Modules/Attachment/ViewAttachment.aspx?enc=LoFqD7RUyI%2f7ffMP%2fYvxRG7g2cRMB9VdYrJqf6ldyKAm1%2fTSkdhuemS460JT36h%2bUSru4SV12IfwhztqSZn9eELwhWnunz181njuf8xtWjgcry9QNSpT0vmvocc3seq0DAPMf2S%2b055mCXAypYpvPZYX8rclSqlcss97SAY2m2TSkBy5y05SNWlhfPDv9LjsYEeo7ZRWratJXBiHRRdCLHIWIU2XNn5usjcGPeYKcYPoY8TkiXJcaFrCX5PEPZ8WzYGRqpyrG19LVVSg1cw7ORcd%2bUl3x%2fjtRr5kfOpEF%2f%2fkz29QfkdpiUYm2O6YB%2fZq","descargar bases")</f>
      </c>
    </row>
    <row r="13">
      <c r="A13" s="0" t="inlineStr">
        <is>
          <t xml:space="preserve">1057499-59-LE26</t>
        </is>
      </c>
      <c r="B13" s="4" t="inlineStr">
        <is>
          <t xml:space="preserve">ADQ TENSIÓMETRO BALANZA DIGITAL Y ESFIGMOMANÓMETRO</t>
        </is>
      </c>
      <c r="C13" s="0" t="inlineStr">
        <is>
          <t xml:space="preserve">Publicada</t>
        </is>
      </c>
      <c r="D13" s="0" t="inlineStr">
        <is>
          <t xml:space="preserve">SERVICIO DE SALUD SUR UNIDAD HOSPITALARI</t>
        </is>
      </c>
      <c r="E13" s="0" t="inlineStr">
        <is>
          <t xml:space="preserve">Bienes y Servicios</t>
        </is>
      </c>
      <c r="F13" s="0" t="inlineStr">
        <is>
          <t xml:space="preserve">Región Metropolitana de Santiago</t>
        </is>
      </c>
      <c r="G13" s="0" t="inlineStr">
        <is>
          <t xml:space="preserve">San Miguel</t>
        </is>
      </c>
      <c r="H13" s="2">
        <v>46308.693461</v>
      </c>
      <c r="I13" s="2">
        <v>46318.375</v>
      </c>
      <c r="J13" s="0">
        <v>4</v>
      </c>
      <c r="K13" s="3"/>
      <c r="L13" s="0" t="inlineStr">
        <is>
          <t xml:space="preserve">CLP</t>
        </is>
      </c>
      <c r="M13" s="0" t="inlineStr">
        <is>
          <t xml:space="preserve">LE</t>
        </is>
      </c>
      <c r="N13"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13" s="4" t="inlineStr">
        <is>
          <t xml:space="preserve">200 Unidad · Balanzas electrónicas de carga superior · 200 Unidad · Unidades electrónicas de presión sanguínea · 200 Unidad · Unidades de presión sanguínea aneroide</t>
        </is>
      </c>
      <c r="P13" s="2"/>
      <c r="Q13" s="2"/>
      <c r="R13" s="0"/>
      <c r="S13" s="0" t="inlineStr">
        <is>
          <t xml:space="preserve">No</t>
        </is>
      </c>
      <c r="T13" s="4" t="inlineStr">
        <is>
          <t xml:space="preserve">De acuerdo al numeral 13 de las Bases Administrativas</t>
        </is>
      </c>
      <c r="U13" s="0" t="inlineStr">
        <is>
          <t xml:space="preserve">Gabriela Daza</t>
        </is>
      </c>
      <c r="V13" s="4" t="inlineStr">
        <is>
          <t xml:space="preserve">La presente licitación tiene como objetivo la contratación de “ADQUISICIÓN DE TENSIÓMETRO, BALANZA DIGITAL Y ESFIGMOMANÓMETRO AUSCULTATORIO CON MANGUITO PARA APS”.</t>
        </is>
      </c>
      <c r="W13"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14">
      <c r="A14" s="0" t="inlineStr">
        <is>
          <t xml:space="preserve">598-26-LE26</t>
        </is>
      </c>
      <c r="B14" s="4" t="inlineStr">
        <is>
          <t xml:space="preserve">Licencia Automatización de Procesos IFM por 36 mes</t>
        </is>
      </c>
      <c r="C14" s="0" t="inlineStr">
        <is>
          <t xml:space="preserve">Publicada</t>
        </is>
      </c>
      <c r="D14" s="0" t="inlineStr">
        <is>
          <t xml:space="preserve">DIRECCION PREVISION DE CARABINEROS DE CHILE</t>
        </is>
      </c>
      <c r="E14" s="0" t="inlineStr">
        <is>
          <t xml:space="preserve">Unidad de Abastecimiento DIPRECA</t>
        </is>
      </c>
      <c r="F14" s="0" t="inlineStr">
        <is>
          <t xml:space="preserve">Región Metropolitana de Santiago</t>
        </is>
      </c>
      <c r="G14" s="0" t="inlineStr">
        <is>
          <t xml:space="preserve">Santiago</t>
        </is>
      </c>
      <c r="H14" s="2">
        <v>46304.477535</v>
      </c>
      <c r="I14" s="2">
        <v>46318.395833</v>
      </c>
      <c r="J14" s="0">
        <v>4</v>
      </c>
      <c r="K14" s="3">
        <v>24000000.0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t>
        </is>
      </c>
      <c r="P14" s="2"/>
      <c r="Q14" s="2"/>
      <c r="R14" s="0"/>
      <c r="S14" s="0" t="inlineStr">
        <is>
          <t xml:space="preserve">No</t>
        </is>
      </c>
      <c r="T14" s="4"/>
      <c r="U14" s="0" t="inlineStr">
        <is>
          <t xml:space="preserve">Alex Saavedra</t>
        </is>
      </c>
      <c r="V14"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14" s="5" t="str">
        <f>HYPERLINK("https://www.mercadopublico.cl/Procurement/Modules/Attachment/ViewAttachment.aspx?enc=FK7miVOHC92y5vpZmtqighTm30SN7VGWwswiezRHoKmpqVCNsO23aIBHyswGX1fZnZvq5yGoPCkcg1ZivnyeLEg0Uk8ZbyhM%2fYp3R6jmu82B8ZSL2urDhRI2mKSJVyKbsT9DI3IIw27nIyanvMnob7dwDlWF8PqJUK32BfLDniKup6RDRDAY0xxmskNyui%2fdD03zaEURXxEG38pb7oYLClIVcga7Z9QCu5dK6aZ5SCxRIxeLCe%2beMR9am6jH58zyYk8m634i4Qlt5xn7sEQDhk5ImwSvTAHuc6tjV1HqZcXGBmKHbLua8dsJJ2GFgUta","descargar bases")</f>
      </c>
    </row>
    <row r="15">
      <c r="A15" s="0" t="inlineStr">
        <is>
          <t xml:space="preserve">792909-1-LE26</t>
        </is>
      </c>
      <c r="B15" s="4" t="inlineStr">
        <is>
          <t xml:space="preserve">ALMACENAJE DIGITALIZACIÓN Y CUSTODIA DE DOCUMENTO</t>
        </is>
      </c>
      <c r="C15" s="0" t="inlineStr">
        <is>
          <t xml:space="preserve">Publicada</t>
        </is>
      </c>
      <c r="D15" s="0" t="inlineStr">
        <is>
          <t xml:space="preserve">SUPERINTENDENCIA DE EDUCACION ESCOLAR</t>
        </is>
      </c>
      <c r="E15" s="0" t="inlineStr">
        <is>
          <t xml:space="preserve">SUPEREDUC DIRECCION REGIONAL X</t>
        </is>
      </c>
      <c r="F15" s="0" t="inlineStr">
        <is>
          <t xml:space="preserve">Región de los Lagos </t>
        </is>
      </c>
      <c r="G15" s="0" t="inlineStr">
        <is>
          <t xml:space="preserve">Puerto Montt</t>
        </is>
      </c>
      <c r="H15" s="2">
        <v>46310.415845</v>
      </c>
      <c r="I15" s="2">
        <v>46318.458333</v>
      </c>
      <c r="J15" s="0">
        <v>4</v>
      </c>
      <c r="K15" s="3"/>
      <c r="L15" s="0" t="inlineStr">
        <is>
          <t xml:space="preserve">CLP</t>
        </is>
      </c>
      <c r="M15" s="0" t="inlineStr">
        <is>
          <t xml:space="preserve">LE</t>
        </is>
      </c>
      <c r="N15" s="4" t="inlineStr">
        <is>
          <t xml:space="preserve">Servicios de transporte, almacenaje y correo / Almacenaje / Depósito y almacenaje especializado</t>
        </is>
      </c>
      <c r="O15" s="4" t="inlineStr">
        <is>
          <t xml:space="preserve">1 Unidad · Servicios de almacenaje de documentos</t>
        </is>
      </c>
      <c r="P15" s="2"/>
      <c r="Q15" s="2"/>
      <c r="R15" s="0" t="inlineStr">
        <is>
          <t xml:space="preserve">24 meses</t>
        </is>
      </c>
      <c r="S15" s="0" t="inlineStr">
        <is>
          <t xml:space="preserve">No</t>
        </is>
      </c>
      <c r="T15" s="4"/>
      <c r="U15" s="0" t="inlineStr">
        <is>
          <t xml:space="preserve">CARLOS FELIPE QUIÑONES BARRIA</t>
        </is>
      </c>
      <c r="V15" s="4" t="inlineStr">
        <is>
          <t xml:space="preserve">La Dirección Regional de la Superintendencia de Educación requiere contratar el Servicio de Almacenaje, Digitalización y Custodia de Documentos Físicos.</t>
        </is>
      </c>
      <c r="W15" s="5" t="str">
        <f>HYPERLINK("https://www.mercadopublico.cl/Procurement/Modules/Attachment/ViewAttachment.aspx?enc=pK%2fdLEFcC97%2bVEk4nOnWKuV3ji%2fdaVw5%2f32%2ba%2fBHt%2fq8wQH67KLQHwRKt3eZK%2b%2fdVMYEI8NM7Yr7gd2mTQ8wWumM1kxUQk8HSsYQDAd%2bX5l%2fovGuYPv6g4KT7Vx7Wwd0wYYewMKHkuqztlvza%2bwMQb5dYpT%2bOEKSk%2fhYeUAAfmTQe1cg0d%2bx6BEQFEXngLu6gBI%2bTBsGUZT5GxJF411gjnGSBnDL2pDTt2V%2fMIoZvKbuMdeMCo35cNl3kf%2bQ9PENQ0SXQ3fGm4AZdBHQ50s9txNUGKg2IC0QsnI1u95iAG46pL80edVBmf0qFLnvU2Lc","descargar bases")</f>
      </c>
    </row>
    <row r="16">
      <c r="A16" s="0" t="inlineStr">
        <is>
          <t xml:space="preserve">3337-21-LE26</t>
        </is>
      </c>
      <c r="B16" s="4" t="inlineStr">
        <is>
          <t xml:space="preserve">PLATAFORMA DIGITAL PARA EVALUACIÓN PSICOLOGICA</t>
        </is>
      </c>
      <c r="C16" s="0" t="inlineStr">
        <is>
          <t xml:space="preserve">Publicada</t>
        </is>
      </c>
      <c r="D16" s="0" t="inlineStr">
        <is>
          <t xml:space="preserve">DIVISION LOGISTICA DEL EJERCITO</t>
        </is>
      </c>
      <c r="E16" s="0" t="inlineStr">
        <is>
          <t xml:space="preserve">División de Salud</t>
        </is>
      </c>
      <c r="F16" s="0" t="inlineStr">
        <is>
          <t xml:space="preserve">Región Metropolitana de Santiago</t>
        </is>
      </c>
      <c r="G16" s="0" t="inlineStr">
        <is>
          <t xml:space="preserve">Santiago</t>
        </is>
      </c>
      <c r="H16" s="2">
        <v>46308.717731</v>
      </c>
      <c r="I16" s="2">
        <v>46318.5</v>
      </c>
      <c r="J16" s="0">
        <v>4</v>
      </c>
      <c r="K16" s="3"/>
      <c r="L16" s="0" t="inlineStr">
        <is>
          <t xml:space="preserve">CLP</t>
        </is>
      </c>
      <c r="M16" s="0" t="inlineStr">
        <is>
          <t xml:space="preserve">LE</t>
        </is>
      </c>
      <c r="N16" s="4" t="inlineStr">
        <is>
          <t xml:space="preserve">Salud, servicios sanitarios y alimentación / Medicina y servicios de salud / Evaluaciones de salud individuales</t>
        </is>
      </c>
      <c r="O16" s="4" t="inlineStr">
        <is>
          <t xml:space="preserve">1 Unidad · Exámenes médicos</t>
        </is>
      </c>
      <c r="P16" s="2"/>
      <c r="Q16" s="2"/>
      <c r="R16" s="0"/>
      <c r="S16" s="0" t="inlineStr">
        <is>
          <t xml:space="preserve">No</t>
        </is>
      </c>
      <c r="T16" s="4"/>
      <c r="U16" s="0" t="inlineStr">
        <is>
          <t xml:space="preserve">PATRICIA VARAS PEZOA</t>
        </is>
      </c>
      <c r="V16" s="4" t="inlineStr">
        <is>
          <t xml:space="preserve">Plataforma digital para Evaluación Psicológica automatizada, que deberá encontrarse operacional a contar 23NOV2026, que será utilizada en el territorio nacional.</t>
        </is>
      </c>
      <c r="W16"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17">
      <c r="A17" s="0" t="inlineStr">
        <is>
          <t xml:space="preserve">2446-303-LE26</t>
        </is>
      </c>
      <c r="B17" s="4" t="inlineStr">
        <is>
          <t xml:space="preserve">SERVICIO MULTISTREAMING CON TRANSMISIÓN DIGITAL</t>
        </is>
      </c>
      <c r="C17" s="0" t="inlineStr">
        <is>
          <t xml:space="preserve">Publicada</t>
        </is>
      </c>
      <c r="D17" s="0" t="inlineStr">
        <is>
          <t xml:space="preserve">I MUNICIPALIDAD DE COQUIMBO</t>
        </is>
      </c>
      <c r="E17" s="0" t="inlineStr">
        <is>
          <t xml:space="preserve">IMUNI_COQUIMBO</t>
        </is>
      </c>
      <c r="F17" s="0" t="inlineStr">
        <is>
          <t xml:space="preserve">Región de Coquimbo </t>
        </is>
      </c>
      <c r="G17" s="0" t="inlineStr">
        <is>
          <t xml:space="preserve">Coquimbo</t>
        </is>
      </c>
      <c r="H17" s="2">
        <v>46308.533542</v>
      </c>
      <c r="I17" s="2">
        <v>46318.583333</v>
      </c>
      <c r="J17" s="0">
        <v>4</v>
      </c>
      <c r="K17" s="3">
        <v>19714284.0</v>
      </c>
      <c r="L17" s="0" t="inlineStr">
        <is>
          <t xml:space="preserve">CLP</t>
        </is>
      </c>
      <c r="M17" s="0" t="inlineStr">
        <is>
          <t xml:space="preserve">LE</t>
        </is>
      </c>
      <c r="N17" s="4" t="inlineStr">
        <is>
          <t xml:space="preserve">Tecnologías de la información, telecomunicaciones y radiodifusión / Equipos, plataformas y accesorios de redes multimedia, voz y datos / Plataformas de mensajería por móvil</t>
        </is>
      </c>
      <c r="O17" s="4" t="inlineStr">
        <is>
          <t xml:space="preserve">12 Unidad · Sistema de transmisión por secuencias de video</t>
        </is>
      </c>
      <c r="P17" s="2"/>
      <c r="Q17" s="2"/>
      <c r="R17" s="0" t="inlineStr">
        <is>
          <t xml:space="preserve">12 semanas</t>
        </is>
      </c>
      <c r="S17" s="0" t="inlineStr">
        <is>
          <t xml:space="preserve">No</t>
        </is>
      </c>
      <c r="T17" s="4"/>
      <c r="U17" s="0" t="inlineStr">
        <is>
          <t xml:space="preserve">MARCELA ARAYA SALINAS</t>
        </is>
      </c>
      <c r="V17" s="4" t="inlineStr">
        <is>
          <t xml:space="preserve">SERVICIO MULTISTREAMING CON TRANSMISIÓN DIGITAL E INTERNET SATELITAL PARA DIFUSIÓN DE ACTIVIDADES MUNICIPALES</t>
        </is>
      </c>
      <c r="W17"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18">
      <c r="A18" s="0" t="inlineStr">
        <is>
          <t xml:space="preserve">1230848-71-L126</t>
        </is>
      </c>
      <c r="B18" s="4" t="inlineStr">
        <is>
          <t xml:space="preserve">SERVICIO DE SOFTWARE PARA GESTIÓN DE FILAS TÓTEM</t>
        </is>
      </c>
      <c r="C18" s="0" t="inlineStr">
        <is>
          <t xml:space="preserve">Publicada</t>
        </is>
      </c>
      <c r="D18" s="0" t="inlineStr">
        <is>
          <t xml:space="preserve">Corporación Municipal de Desarrollo Social de Calama</t>
        </is>
      </c>
      <c r="E18" s="0" t="inlineStr">
        <is>
          <t xml:space="preserve">Corporación Municipal de Desarrollo Social de Cala</t>
        </is>
      </c>
      <c r="F18" s="0" t="inlineStr">
        <is>
          <t xml:space="preserve">Región de Antofagasta </t>
        </is>
      </c>
      <c r="G18" s="0" t="inlineStr">
        <is>
          <t xml:space="preserve">Calama</t>
        </is>
      </c>
      <c r="H18" s="2">
        <v>46309.731852</v>
      </c>
      <c r="I18" s="2">
        <v>46318.625</v>
      </c>
      <c r="J18" s="0">
        <v>4</v>
      </c>
      <c r="K18" s="3">
        <v>2300000.0</v>
      </c>
      <c r="L18" s="0" t="inlineStr">
        <is>
          <t xml:space="preserve">CLP</t>
        </is>
      </c>
      <c r="M18" s="0" t="inlineStr">
        <is>
          <t xml:space="preserve">L1</t>
        </is>
      </c>
      <c r="N18" s="4" t="inlineStr">
        <is>
          <t xml:space="preserve">Tecnologías de la información, telecomunicaciones y radiodifusión / Software / Software de consultas y gestión de datos</t>
        </is>
      </c>
      <c r="O18" s="4" t="inlineStr">
        <is>
          <t xml:space="preserve">1 Global · Software de clasificación o categorización</t>
        </is>
      </c>
      <c r="P18" s="2"/>
      <c r="Q18" s="2"/>
      <c r="R18" s="0"/>
      <c r="S18" s="0" t="inlineStr">
        <is>
          <t xml:space="preserve">No</t>
        </is>
      </c>
      <c r="T18" s="4"/>
      <c r="U18" s="0" t="inlineStr">
        <is>
          <t xml:space="preserve">Patricio Orellana Flores</t>
        </is>
      </c>
      <c r="V18"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18"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19">
      <c r="A19" s="0" t="inlineStr">
        <is>
          <t xml:space="preserve">2484-22-LE26</t>
        </is>
      </c>
      <c r="B19" s="4" t="inlineStr">
        <is>
          <t xml:space="preserve">SERVICIO DE ARRIENDO DE SOFTWARE CLOUD PARA CONTROL Y GESTION DE ASISTENCIA Y MANTENCION DE RELOJES BIOMETRICOS.</t>
        </is>
      </c>
      <c r="C19" s="0" t="inlineStr">
        <is>
          <t xml:space="preserve">Publicada</t>
        </is>
      </c>
      <c r="D19" s="0" t="inlineStr">
        <is>
          <t xml:space="preserve">I MUNICIPALIDAD DE QUILICURA</t>
        </is>
      </c>
      <c r="E19" s="0" t="inlineStr">
        <is>
          <t xml:space="preserve">Adquisiciones DESAM</t>
        </is>
      </c>
      <c r="F19" s="0" t="inlineStr">
        <is>
          <t xml:space="preserve">Región Metropolitana de Santiago</t>
        </is>
      </c>
      <c r="G19" s="0"/>
      <c r="H19" s="2">
        <v>46308.705718</v>
      </c>
      <c r="I19" s="2">
        <v>46318.625</v>
      </c>
      <c r="J19" s="0">
        <v>4</v>
      </c>
      <c r="K19" s="3"/>
      <c r="L19" s="0" t="inlineStr">
        <is>
          <t xml:space="preserve">CLP</t>
        </is>
      </c>
      <c r="M19" s="0" t="inlineStr">
        <is>
          <t xml:space="preserve">LE</t>
        </is>
      </c>
      <c r="N19" s="4" t="inlineStr">
        <is>
          <t xml:space="preserve">Equipos, accesorios y suministros de oficina / Maquinarias, suministros y accesorios de oficina / Máquinas y accesorios para registro de hora y asistencia en la oficina</t>
        </is>
      </c>
      <c r="O19" s="4" t="inlineStr">
        <is>
          <t xml:space="preserve">1 Paquete · Reloj de control</t>
        </is>
      </c>
      <c r="P19" s="2"/>
      <c r="Q19" s="2"/>
      <c r="R19" s="0" t="inlineStr">
        <is>
          <t xml:space="preserve">3 meses</t>
        </is>
      </c>
      <c r="S19" s="0" t="inlineStr">
        <is>
          <t xml:space="preserve">No</t>
        </is>
      </c>
      <c r="T19" s="4"/>
      <c r="U19" s="0" t="inlineStr">
        <is>
          <t xml:space="preserve">Michael Sáez Palma</t>
        </is>
      </c>
      <c r="V19" s="4" t="inlineStr">
        <is>
          <t xml:space="preserve">NECESIDAD DEL SERVICIO</t>
        </is>
      </c>
      <c r="W19"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20">
      <c r="A20" s="0" t="inlineStr">
        <is>
          <t xml:space="preserve">608-197-LR26</t>
        </is>
      </c>
      <c r="B20" s="4" t="inlineStr">
        <is>
          <t xml:space="preserve">SERVICIO DE OPERACIÓN MANTENIMIENTO Y ACTUALIZACIÓN DE PLATAFORMAS TECNOLÓGICAS DE LA SALA DE CONTROL CENTRALIZADO DEL HOSPITAL DR. GUSTAVO FRICKE</t>
        </is>
      </c>
      <c r="C20" s="0" t="inlineStr">
        <is>
          <t xml:space="preserve">Publicada</t>
        </is>
      </c>
      <c r="D20" s="0" t="inlineStr">
        <is>
          <t xml:space="preserve">HOSPITAL DR GUSTAVO FRICKE DE VINA DEL MAR</t>
        </is>
      </c>
      <c r="E20" s="0" t="inlineStr">
        <is>
          <t xml:space="preserve">Hospital Dr. Gustavo Fricke</t>
        </is>
      </c>
      <c r="F20" s="0" t="inlineStr">
        <is>
          <t xml:space="preserve">Región de Valparaíso </t>
        </is>
      </c>
      <c r="G20" s="0"/>
      <c r="H20" s="2">
        <v>46279.504861</v>
      </c>
      <c r="I20" s="2">
        <v>46318.686806</v>
      </c>
      <c r="J20" s="0">
        <v>4</v>
      </c>
      <c r="K20" s="3">
        <v>675433201.0</v>
      </c>
      <c r="L20" s="0" t="inlineStr">
        <is>
          <t xml:space="preserve">CLP</t>
        </is>
      </c>
      <c r="M20" s="0" t="inlineStr">
        <is>
          <t xml:space="preserve">LR</t>
        </is>
      </c>
      <c r="N20" s="4" t="inlineStr">
        <is>
          <t xml:space="preserve">Servicios basados en ingeniería, ciencias sociales y tecnología de la información / Servicios informáticos / Ingeniería en computación e informática</t>
        </is>
      </c>
      <c r="O20" s="4" t="inlineStr">
        <is>
          <t xml:space="preserve">1 Unidad · Integración de sistemas</t>
        </is>
      </c>
      <c r="P20" s="2"/>
      <c r="Q20" s="2"/>
      <c r="R20" s="0" t="inlineStr">
        <is>
          <t xml:space="preserve">17 meses</t>
        </is>
      </c>
      <c r="S20" s="0" t="inlineStr">
        <is>
          <t xml:space="preserve">No</t>
        </is>
      </c>
      <c r="T20" s="4"/>
      <c r="U20" s="0" t="inlineStr">
        <is>
          <t xml:space="preserve">SE DEFINIRÁ AL MOMENTO DE ADJUDICAR PROCESO</t>
        </is>
      </c>
      <c r="V20" s="4" t="inlineStr">
        <is>
          <t xml:space="preserve">Que la unidad de control centralizado integra plataformas tecnológicas y de comunicación complejas que
permiten el monitoreo constante y reacción inmediata ante incidentes y respuesta en tiempo real frente a
emergencias.</t>
        </is>
      </c>
      <c r="W20" s="5" t="str">
        <f>HYPERLINK("https://www.mercadopublico.cl/Procurement/Modules/Attachment/ViewAttachment.aspx?enc=SNmF6QY7woDeRAvvrke7SJMQpleJDijk4f6JXO%2bOZTVmY5NvDSqQHbgjo1LINM%2bujGq5SDfKxKo%2b0bK4Tfu4zzW9eugOImjA0z3nKbcvc7gR5Ye%2fNS%2b4Ny%2b%2be4OFROEmz%2fd4JUcHE2May%2b6iliCPlDk839wdPBV7I2o6F3indWHwEbjwYYADBpnmHCKufJxs5CTVMPQZHbmZnUBnFhXTyksKmi%2bUsaOuHh0v1uT6NgdWFf1ANZGpa6Fp5TOtT7qfenY74USFyRRLvK1ob1UD0hhfQNQIxSXAmceBXx%2fwM29Apv4SIVZ2LQe6fvUoVaW0","descargar bases")</f>
      </c>
    </row>
    <row r="21">
      <c r="A21" s="0" t="inlineStr">
        <is>
          <t xml:space="preserve">1591-25-LE26</t>
        </is>
      </c>
      <c r="B21" s="4" t="inlineStr">
        <is>
          <t xml:space="preserve">LICENCIA ADOBE CREATIVE CLOUD Y ADOBE ACROBAT PRO</t>
        </is>
      </c>
      <c r="C21" s="0" t="inlineStr">
        <is>
          <t xml:space="preserve">Publicada</t>
        </is>
      </c>
      <c r="D21" s="0" t="inlineStr">
        <is>
          <t xml:space="preserve">SERVICIO NACIONAL DE TURISMO</t>
        </is>
      </c>
      <c r="E21" s="0" t="inlineStr">
        <is>
          <t xml:space="preserve">Servicio Nacional de Turismo - Sernatur</t>
        </is>
      </c>
      <c r="F21" s="0" t="inlineStr">
        <is>
          <t xml:space="preserve">Región Metropolitana de Santiago</t>
        </is>
      </c>
      <c r="G21" s="0" t="inlineStr">
        <is>
          <t xml:space="preserve">Alhué</t>
        </is>
      </c>
      <c r="H21" s="2">
        <v>46311.58816</v>
      </c>
      <c r="I21" s="2">
        <v>46321.625</v>
      </c>
      <c r="J21" s="0">
        <v>7</v>
      </c>
      <c r="K21" s="3">
        <v>32104692.0</v>
      </c>
      <c r="L21" s="0" t="inlineStr">
        <is>
          <t xml:space="preserve">CLP</t>
        </is>
      </c>
      <c r="M21" s="0" t="inlineStr">
        <is>
          <t xml:space="preserve">LE</t>
        </is>
      </c>
      <c r="N21" s="4" t="inlineStr">
        <is>
          <t xml:space="preserve">Tecnologías de la información, telecomunicaciones y radiodifusión / Software / Software de gestión de contenidos</t>
        </is>
      </c>
      <c r="O21" s="4" t="inlineStr">
        <is>
          <t xml:space="preserve">1 Unidad · Programas de gestión de documentos</t>
        </is>
      </c>
      <c r="P21" s="2"/>
      <c r="Q21" s="2"/>
      <c r="R21" s="0"/>
      <c r="S21" s="0" t="inlineStr">
        <is>
          <t xml:space="preserve">No</t>
        </is>
      </c>
      <c r="T21" s="4"/>
      <c r="U21" s="0" t="inlineStr">
        <is>
          <t xml:space="preserve">Carlos Díaz Acevedo</t>
        </is>
      </c>
      <c r="V21" s="4" t="inlineStr">
        <is>
          <t xml:space="preserve">LICENCIA ADOBE CREATIVE CLOUD Y ADOBE ACROBAT PRO</t>
        </is>
      </c>
      <c r="W21"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22">
      <c r="A22" s="0" t="inlineStr">
        <is>
          <t xml:space="preserve">2563-43-LP26</t>
        </is>
      </c>
      <c r="B22" s="4" t="inlineStr">
        <is>
          <t xml:space="preserve">Adquisición de cámaras IA y radares de seguridad</t>
        </is>
      </c>
      <c r="C22" s="0" t="inlineStr">
        <is>
          <t xml:space="preserve">Publicada</t>
        </is>
      </c>
      <c r="D22" s="0" t="inlineStr">
        <is>
          <t xml:space="preserve">DIRECCION GENERAL DE AERONAUTICA CIVIL</t>
        </is>
      </c>
      <c r="E22" s="0" t="inlineStr">
        <is>
          <t xml:space="preserve">UNIDAD DE COMPRA CONTRATOS NACIONALES</t>
        </is>
      </c>
      <c r="F22" s="0" t="inlineStr">
        <is>
          <t xml:space="preserve">Región Metropolitana de Santiago</t>
        </is>
      </c>
      <c r="G22" s="0" t="inlineStr">
        <is>
          <t xml:space="preserve">Providencia</t>
        </is>
      </c>
      <c r="H22" s="2">
        <v>46293.538194</v>
      </c>
      <c r="I22" s="2">
        <v>46321.625</v>
      </c>
      <c r="J22" s="0">
        <v>7</v>
      </c>
      <c r="K22" s="3">
        <v>192000000.0</v>
      </c>
      <c r="L22" s="0" t="inlineStr">
        <is>
          <t xml:space="preserve">CLP</t>
        </is>
      </c>
      <c r="M22" s="0" t="inlineStr">
        <is>
          <t xml:space="preserve">LP</t>
        </is>
      </c>
      <c r="N22" s="4" t="inlineStr">
        <is>
          <t xml:space="preserve">Equipos y suministros de defensa, orden público, protección y seguridad / Seguridad, vigilancia y detección / Equipo de vigilancia y detección</t>
        </is>
      </c>
      <c r="O22" s="4" t="inlineStr">
        <is>
          <t xml:space="preserve">2 Unidad · Cámaras de seguridad · 2 Unidad · Cámaras de seguridad · 1 Unidad · Cámaras de seguridad · y 13 más</t>
        </is>
      </c>
      <c r="P22" s="2"/>
      <c r="Q22" s="2"/>
      <c r="R22" s="0"/>
      <c r="S22" s="0" t="inlineStr">
        <is>
          <t xml:space="preserve">No</t>
        </is>
      </c>
      <c r="T22" s="4"/>
      <c r="U22" s="0" t="inlineStr">
        <is>
          <t xml:space="preserve">Javier Pacheco</t>
        </is>
      </c>
      <c r="V22"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22" s="5" t="str">
        <f>HYPERLINK("https://www.mercadopublico.cl/Procurement/Modules/Attachment/ViewAttachment.aspx?enc=YVqLq69%2fWvvQff4DdAMrWxtVHc0zOGetROkhDZZuqGSS8SMqtzDncehrUW6o81ZjyHloZntkMfmHzYIxwIAq1g2GSqcT1RYarkRtcS8BdmrrdecXwTYLS3tEQ5HP8duYoyRve8a4ew9974nJ6P1ciFPGJnS1PA0nPOaUSEfLmZ3gKrNTLopRy7%2b%2fyT8U7bCL3pJB2p%2f8UiWjcvLKEPKVAlVkKBIxY60sptWN6gpGQbqRhpMZJODF6tLmsESKL4IGUNcIC08BeF8sSFMQbqoJhRPg45EwkZzu6ptJtKbWP%2bXc%2f4%2bIBr%2f1EvjSqGcjlkOc","descargar bases")</f>
      </c>
    </row>
    <row r="23">
      <c r="A23" s="0" t="inlineStr">
        <is>
          <t xml:space="preserve">2788-54-LE26</t>
        </is>
      </c>
      <c r="B23" s="4" t="inlineStr">
        <is>
          <t xml:space="preserve">ADQUISICION Y RENOVACION DE SOFTWARES</t>
        </is>
      </c>
      <c r="C23" s="0" t="inlineStr">
        <is>
          <t xml:space="preserve">Publicada</t>
        </is>
      </c>
      <c r="D23" s="0" t="inlineStr">
        <is>
          <t xml:space="preserve">I MUNICIPALIDAD DE PAINE</t>
        </is>
      </c>
      <c r="E23" s="0" t="inlineStr">
        <is>
          <t xml:space="preserve">DEPARTAMENTO DE ADQUISICIONES</t>
        </is>
      </c>
      <c r="F23" s="0" t="inlineStr">
        <is>
          <t xml:space="preserve">Región Metropolitana de Santiago</t>
        </is>
      </c>
      <c r="G23" s="0" t="inlineStr">
        <is>
          <t xml:space="preserve">Paine</t>
        </is>
      </c>
      <c r="H23" s="2">
        <v>46309.660741</v>
      </c>
      <c r="I23" s="2">
        <v>46321.625</v>
      </c>
      <c r="J23" s="0">
        <v>7</v>
      </c>
      <c r="K23" s="3"/>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 Unidad · Software de gestión de licencias · 1 Unidad · Software de gestión de licencias · 1 Unidad · Software de gestión de licencias</t>
        </is>
      </c>
      <c r="P23" s="2"/>
      <c r="Q23" s="2"/>
      <c r="R23" s="0" t="inlineStr">
        <is>
          <t xml:space="preserve">12 meses</t>
        </is>
      </c>
      <c r="S23" s="0" t="inlineStr">
        <is>
          <t xml:space="preserve">No</t>
        </is>
      </c>
      <c r="T23" s="4"/>
      <c r="U23" s="0" t="inlineStr">
        <is>
          <t xml:space="preserve">NICOLAS HUIRCAN MOHOR</t>
        </is>
      </c>
      <c r="V23" s="4" t="inlineStr">
        <is>
          <t xml:space="preserve">ADQUISICION Y RENOVACION DE SOFTWARES PARA UTILIZACION EN SECPLA, COMUNICACIONES, DOM Y OTRAS DEPENDENCIAS MUNICIPALES</t>
        </is>
      </c>
      <c r="W23"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24">
      <c r="A24" s="0" t="inlineStr">
        <is>
          <t xml:space="preserve">3047-60-LE26</t>
        </is>
      </c>
      <c r="B24" s="4" t="inlineStr">
        <is>
          <t xml:space="preserve">EQUIPAMIENTO INFORMÁTICO PARA IMPLEMENTAR SERVIDOR EN EL CENTRO DE INNOVACIÓN TECNOLÓGICA DE LA ARMADA</t>
        </is>
      </c>
      <c r="C24" s="0" t="inlineStr">
        <is>
          <t xml:space="preserve">Publicada</t>
        </is>
      </c>
      <c r="D24" s="0" t="inlineStr">
        <is>
          <t xml:space="preserve">DIRECCION DE ABASTECIMIENTO DE LA ARMADA</t>
        </is>
      </c>
      <c r="E24" s="0" t="inlineStr">
        <is>
          <t xml:space="preserve">ACADEMIA POLITECNICA NAVAL</t>
        </is>
      </c>
      <c r="F24" s="0" t="inlineStr">
        <is>
          <t xml:space="preserve">Región de Valparaíso </t>
        </is>
      </c>
      <c r="G24" s="0"/>
      <c r="H24" s="2">
        <v>46303.664468</v>
      </c>
      <c r="I24" s="2">
        <v>46321.625</v>
      </c>
      <c r="J24" s="0">
        <v>7</v>
      </c>
      <c r="K24" s="3">
        <v>60000000.0</v>
      </c>
      <c r="L24" s="0" t="inlineStr">
        <is>
          <t xml:space="preserve">CLP</t>
        </is>
      </c>
      <c r="M24" s="0" t="inlineStr">
        <is>
          <t xml:space="preserve">LE</t>
        </is>
      </c>
      <c r="N24" s="4" t="inlineStr">
        <is>
          <t xml:space="preserve">Tecnologías de la información, telecomunicaciones y radiodifusión / Equipos informáticos y accesorios / Computadores</t>
        </is>
      </c>
      <c r="O24" s="4" t="inlineStr">
        <is>
          <t xml:space="preserve">1 Unidad · Servidores</t>
        </is>
      </c>
      <c r="P24" s="2"/>
      <c r="Q24" s="2"/>
      <c r="R24" s="0"/>
      <c r="S24" s="0" t="inlineStr">
        <is>
          <t xml:space="preserve">No</t>
        </is>
      </c>
      <c r="T24" s="4"/>
      <c r="U24" s="0" t="inlineStr">
        <is>
          <t xml:space="preserve">FRANCISCO LAYMUNS HEILMAIER</t>
        </is>
      </c>
      <c r="V24" s="4" t="inlineStr">
        <is>
          <t xml:space="preserve">EQUIPAMIENTO INFORMÁTICO PARA IMPLEMENTAR SERVIDOR EN EL CENTRO DE INNOVACIÓN TECNOLÓGICA DE LA ARMADA</t>
        </is>
      </c>
      <c r="W24"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25">
      <c r="A25" s="0" t="inlineStr">
        <is>
          <t xml:space="preserve">3671-80-LE26</t>
        </is>
      </c>
      <c r="B25" s="4" t="inlineStr">
        <is>
          <t xml:space="preserve">“HABILITACIÓN DE NUEVAS DEPENDENCIAS DE SEGURIDAD MUNICIPAL E INFORMÁTICA DE LA MUNICIPALIDAD DE CHILLÁN VIEJO”</t>
        </is>
      </c>
      <c r="C25" s="0" t="inlineStr">
        <is>
          <t xml:space="preserve">Publicada</t>
        </is>
      </c>
      <c r="D25" s="0" t="inlineStr">
        <is>
          <t xml:space="preserve">ILUSTRE MUNICIPALIDAD DE CHILLAN VIEJO</t>
        </is>
      </c>
      <c r="E25" s="0" t="inlineStr">
        <is>
          <t xml:space="preserve">Secplan</t>
        </is>
      </c>
      <c r="F25" s="0" t="inlineStr">
        <is>
          <t xml:space="preserve">Región del Ñuble</t>
        </is>
      </c>
      <c r="G25" s="0" t="inlineStr">
        <is>
          <t xml:space="preserve">Chillán Viejo</t>
        </is>
      </c>
      <c r="H25" s="2">
        <v>46304.695139</v>
      </c>
      <c r="I25" s="2">
        <v>46321.625</v>
      </c>
      <c r="J25" s="0">
        <v>7</v>
      </c>
      <c r="K25" s="3"/>
      <c r="L25" s="0" t="inlineStr">
        <is>
          <t xml:space="preserve">CLP</t>
        </is>
      </c>
      <c r="M25" s="0" t="inlineStr">
        <is>
          <t xml:space="preserve">LE</t>
        </is>
      </c>
      <c r="N25" s="4" t="inlineStr">
        <is>
          <t xml:space="preserve">Servicios de construcción y mantenimiento / Construcción de edificios en general / Construcción de obras civiles y infraestructuras</t>
        </is>
      </c>
      <c r="O25" s="4" t="inlineStr">
        <is>
          <t xml:space="preserve">1 Unidad · Construcción de obras civiles</t>
        </is>
      </c>
      <c r="P25" s="2"/>
      <c r="Q25" s="2"/>
      <c r="R25" s="0"/>
      <c r="S25" s="0" t="inlineStr">
        <is>
          <t xml:space="preserve">No</t>
        </is>
      </c>
      <c r="T25" s="4"/>
      <c r="U25" s="0" t="inlineStr">
        <is>
          <t xml:space="preserve">MARIA PAZ VASQUEZ RAMIREZ</t>
        </is>
      </c>
      <c r="V25"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25"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26">
      <c r="A26" s="0" t="inlineStr">
        <is>
          <t xml:space="preserve">5586-164-LE26</t>
        </is>
      </c>
      <c r="B26" s="4" t="inlineStr">
        <is>
          <t xml:space="preserve">BC SERVICIO DE PLATAFORMA TECNOLÓGICA INTEGRAL PARA LA GESTIÓN DE EVENTO ACADÉMICO</t>
        </is>
      </c>
      <c r="C26" s="0" t="inlineStr">
        <is>
          <t xml:space="preserve">Publicada</t>
        </is>
      </c>
      <c r="D26" s="0" t="inlineStr">
        <is>
          <t xml:space="preserve">UNIVERSIDAD DE LA FRONTERA</t>
        </is>
      </c>
      <c r="E26" s="0" t="inlineStr">
        <is>
          <t xml:space="preserve">Universidad de la Frontera</t>
        </is>
      </c>
      <c r="F26" s="0" t="inlineStr">
        <is>
          <t xml:space="preserve">Región de la Araucanía </t>
        </is>
      </c>
      <c r="G26" s="0" t="inlineStr">
        <is>
          <t xml:space="preserve">Temuco</t>
        </is>
      </c>
      <c r="H26" s="2">
        <v>46311.770208</v>
      </c>
      <c r="I26" s="2">
        <v>46321.625</v>
      </c>
      <c r="J26" s="0">
        <v>7</v>
      </c>
      <c r="K26" s="3"/>
      <c r="L26" s="0" t="inlineStr">
        <is>
          <t xml:space="preserve">CLP</t>
        </is>
      </c>
      <c r="M26" s="0" t="inlineStr">
        <is>
          <t xml:space="preserve">LE</t>
        </is>
      </c>
      <c r="N26" s="4" t="inlineStr">
        <is>
          <t xml:space="preserve">Tecnologías de la información, telecomunicaciones y radiodifusión / Software / Software para trabajo en redes</t>
        </is>
      </c>
      <c r="O26" s="4" t="inlineStr">
        <is>
          <t xml:space="preserve">1 Unidad · Software de interconectividad de plataformas</t>
        </is>
      </c>
      <c r="P26" s="2"/>
      <c r="Q26" s="2"/>
      <c r="R26" s="0"/>
      <c r="S26" s="0" t="inlineStr">
        <is>
          <t xml:space="preserve">No</t>
        </is>
      </c>
      <c r="T26" s="4"/>
      <c r="U26" s="0" t="inlineStr">
        <is>
          <t xml:space="preserve">Claudio Vega Cáceres</t>
        </is>
      </c>
      <c r="V26" s="4" t="inlineStr">
        <is>
          <t xml:space="preserve">SERVICIO DE PLATAFORMA TECNOLÓGICA INTEGRAL PARA LA GESTIÓN DE EVENTO ACADÉMICO</t>
        </is>
      </c>
      <c r="W26"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27">
      <c r="A27" s="0" t="inlineStr">
        <is>
          <t xml:space="preserve">577290-4-LP26</t>
        </is>
      </c>
      <c r="B27" s="4" t="inlineStr">
        <is>
          <t xml:space="preserve">RENOVACIÓN Y ADQUISICIÓN DE LICENCIAS DE SOFTWARE</t>
        </is>
      </c>
      <c r="C27" s="0" t="inlineStr">
        <is>
          <t xml:space="preserve">Publicada</t>
        </is>
      </c>
      <c r="D27" s="0" t="inlineStr">
        <is>
          <t xml:space="preserve">SUBSECRETARIA DE TRANSPORTES</t>
        </is>
      </c>
      <c r="E27" s="0" t="inlineStr">
        <is>
          <t xml:space="preserve">Subsidio Nacional Transporte Publico</t>
        </is>
      </c>
      <c r="F27" s="0" t="inlineStr">
        <is>
          <t xml:space="preserve">Región Metropolitana de Santiago</t>
        </is>
      </c>
      <c r="G27" s="0" t="inlineStr">
        <is>
          <t xml:space="preserve">Santiago Centro</t>
        </is>
      </c>
      <c r="H27" s="2">
        <v>46301.443924</v>
      </c>
      <c r="I27" s="2">
        <v>46321.625</v>
      </c>
      <c r="J27" s="0">
        <v>7</v>
      </c>
      <c r="K27" s="3">
        <v>74076010.0</v>
      </c>
      <c r="L27" s="0" t="inlineStr">
        <is>
          <t xml:space="preserve">CLP</t>
        </is>
      </c>
      <c r="M27" s="0" t="inlineStr">
        <is>
          <t xml:space="preserve">LP</t>
        </is>
      </c>
      <c r="N27" s="4" t="inlineStr">
        <is>
          <t xml:space="preserve">Tecnologías de la información, telecomunicaciones y radiodifusión / Software / Software de gestión</t>
        </is>
      </c>
      <c r="O27" s="4" t="inlineStr">
        <is>
          <t xml:space="preserve">4 Unidad · Software de gestión de licencias · 1 Unidad · Software de gestión de licencias · 4 Unidad · Software de gestión de licencias · y 3 más</t>
        </is>
      </c>
      <c r="P27" s="2"/>
      <c r="Q27" s="2"/>
      <c r="R27" s="0"/>
      <c r="S27" s="0" t="inlineStr">
        <is>
          <t xml:space="preserve">No</t>
        </is>
      </c>
      <c r="T27" s="4" t="inlineStr">
        <is>
          <t xml:space="preserve">VER NUMERAL 2.34 SUBCONTRATACIÓN</t>
        </is>
      </c>
      <c r="U27" s="0" t="inlineStr">
        <is>
          <t xml:space="preserve">Mauricio Segovia Briceño</t>
        </is>
      </c>
      <c r="V27"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27"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28">
      <c r="A28" s="0" t="inlineStr">
        <is>
          <t xml:space="preserve">618923-19-LP26</t>
        </is>
      </c>
      <c r="B28" s="4" t="inlineStr">
        <is>
          <t xml:space="preserve">ADQUISICIÓN E IMPLEMENTACIÓN SOFTWARE INVENTARIO</t>
        </is>
      </c>
      <c r="C28" s="0" t="inlineStr">
        <is>
          <t xml:space="preserve">Publicada</t>
        </is>
      </c>
      <c r="D28" s="0" t="inlineStr">
        <is>
          <t xml:space="preserve">SUBSECRETARIA PARA LAS FUERZAS ARMADAS</t>
        </is>
      </c>
      <c r="E28" s="0" t="inlineStr">
        <is>
          <t xml:space="preserve">Subsecretaría para las Fuerzas Armadas</t>
        </is>
      </c>
      <c r="F28" s="0" t="inlineStr">
        <is>
          <t xml:space="preserve">Región Metropolitana de Santiago</t>
        </is>
      </c>
      <c r="G28" s="0" t="inlineStr">
        <is>
          <t xml:space="preserve">Santiago</t>
        </is>
      </c>
      <c r="H28" s="2">
        <v>46311.425648</v>
      </c>
      <c r="I28" s="2">
        <v>46321.625</v>
      </c>
      <c r="J28" s="0">
        <v>7</v>
      </c>
      <c r="K28" s="3"/>
      <c r="L28" s="0" t="inlineStr">
        <is>
          <t xml:space="preserve">CLF</t>
        </is>
      </c>
      <c r="M28" s="0" t="inlineStr">
        <is>
          <t xml:space="preserve">LP</t>
        </is>
      </c>
      <c r="N28" s="4" t="inlineStr">
        <is>
          <t xml:space="preserve">Tecnologías de la información, telecomunicaciones y radiodifusión / Software / Software de consultas y gestión de datos</t>
        </is>
      </c>
      <c r="O28" s="4" t="inlineStr">
        <is>
          <t xml:space="preserve">1 Unidad · Software de administración de bases de datos orientado a objetos</t>
        </is>
      </c>
      <c r="P28" s="2"/>
      <c r="Q28" s="2"/>
      <c r="R28" s="0" t="inlineStr">
        <is>
          <t xml:space="preserve">12 meses</t>
        </is>
      </c>
      <c r="S28" s="0" t="inlineStr">
        <is>
          <t xml:space="preserve">No</t>
        </is>
      </c>
      <c r="T28" s="4"/>
      <c r="U28" s="0" t="inlineStr">
        <is>
          <t xml:space="preserve">Carlos Ortiz</t>
        </is>
      </c>
      <c r="V28"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28"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29">
      <c r="A29" s="0" t="inlineStr">
        <is>
          <t xml:space="preserve">1098710-30-LE26</t>
        </is>
      </c>
      <c r="B29" s="4" t="inlineStr">
        <is>
          <t xml:space="preserve">LICENCIAS SOFTWARE SLACK BUSINESS+ O EQUIVALENTE</t>
        </is>
      </c>
      <c r="C29" s="0" t="inlineStr">
        <is>
          <t xml:space="preserve">Publicada</t>
        </is>
      </c>
      <c r="D29" s="0" t="inlineStr">
        <is>
          <t xml:space="preserve">SUBSECRETARIA DE CIENCIA, TECNOLOGIA, CONOCIMIENTO E INNOVACION</t>
        </is>
      </c>
      <c r="E29" s="0" t="inlineStr">
        <is>
          <t xml:space="preserve">SUBSECRETARIA DE CIENCIA, TECNOLOGIA, CONOCIMIENTO E INNOVACION</t>
        </is>
      </c>
      <c r="F29" s="0" t="inlineStr">
        <is>
          <t xml:space="preserve">Región Metropolitana de Santiago</t>
        </is>
      </c>
      <c r="G29" s="0" t="inlineStr">
        <is>
          <t xml:space="preserve">Santiago</t>
        </is>
      </c>
      <c r="H29" s="2">
        <v>46314.443935</v>
      </c>
      <c r="I29" s="2">
        <v>46321.625</v>
      </c>
      <c r="J29" s="0">
        <v>7</v>
      </c>
      <c r="K29" s="3">
        <v>38556000.0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Unidad · Software de gestión de licencias</t>
        </is>
      </c>
      <c r="P29" s="2"/>
      <c r="Q29" s="2"/>
      <c r="R29" s="0"/>
      <c r="S29" s="0" t="inlineStr">
        <is>
          <t xml:space="preserve">No</t>
        </is>
      </c>
      <c r="T29" s="4" t="inlineStr">
        <is>
          <t xml:space="preserve">Lo indicado en punto 18 de Res. Ex. N°4632026 que llama a licitación y aprueba Bases Administrativas y Técnicas</t>
        </is>
      </c>
      <c r="U29" s="0" t="inlineStr">
        <is>
          <t xml:space="preserve">Patricio Echenique</t>
        </is>
      </c>
      <c r="V29" s="4" t="inlineStr">
        <is>
          <t xml:space="preserve">ADQUISICIÓN DE LICENCIAS DE SOFTWARE SLACK BUSINESS+ O EQUIVALENTE</t>
        </is>
      </c>
      <c r="W29"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30">
      <c r="A30" s="0" t="inlineStr">
        <is>
          <t xml:space="preserve">2429-21-LE26</t>
        </is>
      </c>
      <c r="B30" s="4" t="inlineStr">
        <is>
          <t xml:space="preserve">ADQUISICIÓN DE LICENCIAS DE SOFTWARE DE ANTIVIRUS</t>
        </is>
      </c>
      <c r="C30" s="0" t="inlineStr">
        <is>
          <t xml:space="preserve">Publicada</t>
        </is>
      </c>
      <c r="D30" s="0" t="inlineStr">
        <is>
          <t xml:space="preserve">I MUNICIPALIDAD DE ANTOFAGASTA</t>
        </is>
      </c>
      <c r="E30" s="0" t="inlineStr">
        <is>
          <t xml:space="preserve">I MUNICIPALIDAD DE ANTOFAGASTA - FINANZAS</t>
        </is>
      </c>
      <c r="F30" s="0" t="inlineStr">
        <is>
          <t xml:space="preserve">Región de Antofagasta </t>
        </is>
      </c>
      <c r="G30" s="0" t="inlineStr">
        <is>
          <t xml:space="preserve">Antofagasta</t>
        </is>
      </c>
      <c r="H30" s="2">
        <v>46314.550081</v>
      </c>
      <c r="I30" s="2">
        <v>46321.625</v>
      </c>
      <c r="J30" s="0">
        <v>7</v>
      </c>
      <c r="K30" s="3"/>
      <c r="L30" s="0" t="inlineStr">
        <is>
          <t xml:space="preserve">CLP</t>
        </is>
      </c>
      <c r="M30" s="0" t="inlineStr">
        <is>
          <t xml:space="preserve">LE</t>
        </is>
      </c>
      <c r="N30" s="4" t="inlineStr">
        <is>
          <t xml:space="preserve">Tecnologías de la información, telecomunicaciones y radiodifusión / Software / Software de seguridad y protección</t>
        </is>
      </c>
      <c r="O30" s="4" t="inlineStr">
        <is>
          <t xml:space="preserve">1 Global · Software de protección antivirus y de seguridad de transacciones</t>
        </is>
      </c>
      <c r="P30" s="2"/>
      <c r="Q30" s="2"/>
      <c r="R30" s="0"/>
      <c r="S30" s="0" t="inlineStr">
        <is>
          <t xml:space="preserve">No</t>
        </is>
      </c>
      <c r="T30" s="4" t="inlineStr">
        <is>
          <t xml:space="preserve">SEGUN BASES ADMINISTRATIVAS</t>
        </is>
      </c>
      <c r="U30" s="0" t="inlineStr">
        <is>
          <t xml:space="preserve">SMILKA KOVACEVIC</t>
        </is>
      </c>
      <c r="V30" s="4" t="inlineStr">
        <is>
          <t xml:space="preserve">ADQUISICIÓN DE LICENCIAS DE SOFWARE DE ANTIVIRUS (EDR) CON ADMINISTRACIÓN
CENTRALIZADA</t>
        </is>
      </c>
      <c r="W30"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31">
      <c r="A31" s="0" t="inlineStr">
        <is>
          <t xml:space="preserve">1375735-16-LE26</t>
        </is>
      </c>
      <c r="B31" s="4" t="inlineStr">
        <is>
          <t xml:space="preserve">ADQUISICIÓN DE LICENCIAS INFORMÁTICAS DESTINADAS A ADMINISTRACIÓN CENTRAL DEL SERVICIO LOCAL DE EDUCACIÓN PÚBLICA DE ANTOFAGASTA 2DO. LLAMADO</t>
        </is>
      </c>
      <c r="C31" s="0" t="inlineStr">
        <is>
          <t xml:space="preserve">Publicada</t>
        </is>
      </c>
      <c r="D31" s="0" t="inlineStr">
        <is>
          <t xml:space="preserve">SERVICIO LOCAL DE EDUCACIÓN PÚBLICA ANTOFAGASTA</t>
        </is>
      </c>
      <c r="E31" s="0" t="inlineStr">
        <is>
          <t xml:space="preserve">P01 - COMPRAS Y LICITACIONES NIVEL CENTRAL</t>
        </is>
      </c>
      <c r="F31" s="0" t="inlineStr">
        <is>
          <t xml:space="preserve">Región de Antofagasta </t>
        </is>
      </c>
      <c r="G31" s="0"/>
      <c r="H31" s="2">
        <v>46310.731308</v>
      </c>
      <c r="I31" s="2">
        <v>46321.625694</v>
      </c>
      <c r="J31" s="0">
        <v>7</v>
      </c>
      <c r="K31" s="3">
        <v>37461310.0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 · 4 Unidad · Software de gestión de licencias · 1 Unidad · Software de gestión de licencias · y 3 más</t>
        </is>
      </c>
      <c r="P31" s="2"/>
      <c r="Q31" s="2"/>
      <c r="R31" s="0"/>
      <c r="S31" s="0" t="inlineStr">
        <is>
          <t xml:space="preserve">No</t>
        </is>
      </c>
      <c r="T31" s="4"/>
      <c r="U31" s="0" t="inlineStr">
        <is>
          <t xml:space="preserve">Subdirectora de Planificación y Control de Gestión</t>
        </is>
      </c>
      <c r="V31"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31"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32">
      <c r="A32" s="0" t="inlineStr">
        <is>
          <t xml:space="preserve">1375753-42-LE26</t>
        </is>
      </c>
      <c r="B32" s="4" t="inlineStr">
        <is>
          <t xml:space="preserve">Adquisición de licencias informaticas</t>
        </is>
      </c>
      <c r="C32" s="0" t="inlineStr">
        <is>
          <t xml:space="preserve">Publicada</t>
        </is>
      </c>
      <c r="D32" s="0" t="inlineStr">
        <is>
          <t xml:space="preserve">SERVICIO LOCAL DE EDUCACIÓN PÚBLICA LOS ANDES</t>
        </is>
      </c>
      <c r="E32" s="0" t="inlineStr">
        <is>
          <t xml:space="preserve">COMPRAS Y LICITACIONES</t>
        </is>
      </c>
      <c r="F32" s="0" t="inlineStr">
        <is>
          <t xml:space="preserve">Región de Valparaíso </t>
        </is>
      </c>
      <c r="G32" s="0" t="inlineStr">
        <is>
          <t xml:space="preserve">Santiago</t>
        </is>
      </c>
      <c r="H32" s="2">
        <v>46311.66235</v>
      </c>
      <c r="I32" s="2">
        <v>46321.625694</v>
      </c>
      <c r="J32" s="0">
        <v>7</v>
      </c>
      <c r="K32" s="3">
        <v>8850899.0</v>
      </c>
      <c r="L32" s="0" t="inlineStr">
        <is>
          <t xml:space="preserve">CLP</t>
        </is>
      </c>
      <c r="M32" s="0" t="inlineStr">
        <is>
          <t xml:space="preserve">LE</t>
        </is>
      </c>
      <c r="N32" s="4" t="inlineStr">
        <is>
          <t xml:space="preserve">Tecnologías de la información, telecomunicaciones y radiodifusión / Software / Software de administración de redes</t>
        </is>
      </c>
      <c r="O32" s="4" t="inlineStr">
        <is>
          <t xml:space="preserve">3 Unidad · Software de administración · 22 Unidad · Software de administración · 20 Unidad · Software de administración</t>
        </is>
      </c>
      <c r="P32" s="2"/>
      <c r="Q32" s="2"/>
      <c r="R32" s="0"/>
      <c r="S32" s="0" t="inlineStr">
        <is>
          <t xml:space="preserve">No</t>
        </is>
      </c>
      <c r="T32" s="4" t="inlineStr">
        <is>
          <t xml:space="preserve">Según se indica en bases adjuntas.</t>
        </is>
      </c>
      <c r="U32" s="0" t="inlineStr">
        <is>
          <t xml:space="preserve">Marcelo Blanca</t>
        </is>
      </c>
      <c r="V32"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32"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33">
      <c r="A33" s="0" t="inlineStr">
        <is>
          <t xml:space="preserve">2020-23-LE26</t>
        </is>
      </c>
      <c r="B33" s="4" t="inlineStr">
        <is>
          <t xml:space="preserve">SERVICIOS DE DIGITALIZACIÓN Y EXTRACCIÓN DE TÉXTO.</t>
        </is>
      </c>
      <c r="C33" s="0" t="inlineStr">
        <is>
          <t xml:space="preserve">Publicada</t>
        </is>
      </c>
      <c r="D33" s="0" t="inlineStr">
        <is>
          <t xml:space="preserve">Biblioteca del Congreso Nacional</t>
        </is>
      </c>
      <c r="E33" s="0" t="inlineStr">
        <is>
          <t xml:space="preserve">Biblioteca del Congreso Nacional</t>
        </is>
      </c>
      <c r="F33" s="0" t="inlineStr">
        <is>
          <t xml:space="preserve">Región Metropolitana de Santiago</t>
        </is>
      </c>
      <c r="G33" s="0" t="inlineStr">
        <is>
          <t xml:space="preserve">Santiago Centro</t>
        </is>
      </c>
      <c r="H33" s="2">
        <v>46309.468495</v>
      </c>
      <c r="I33" s="2">
        <v>46321.625694</v>
      </c>
      <c r="J33" s="0">
        <v>7</v>
      </c>
      <c r="K33" s="3">
        <v>72000000.0</v>
      </c>
      <c r="L33" s="0" t="inlineStr">
        <is>
          <t xml:space="preserve">CLP</t>
        </is>
      </c>
      <c r="M33" s="0" t="inlineStr">
        <is>
          <t xml:space="preserve">LE</t>
        </is>
      </c>
      <c r="N33" s="4" t="inlineStr">
        <is>
          <t xml:space="preserve">Servicios basados en ingeniería, ciencias sociales y tecnología de la información / Servicios informáticos / Servicios de datos</t>
        </is>
      </c>
      <c r="O33" s="4" t="inlineStr">
        <is>
          <t xml:space="preserve">1 Unidad · Servicios de digitalización de documentos</t>
        </is>
      </c>
      <c r="P33" s="2"/>
      <c r="Q33" s="2"/>
      <c r="R33" s="0" t="inlineStr">
        <is>
          <t xml:space="preserve">80 días</t>
        </is>
      </c>
      <c r="S33" s="0" t="inlineStr">
        <is>
          <t xml:space="preserve">No</t>
        </is>
      </c>
      <c r="T33" s="4" t="inlineStr">
        <is>
          <t xml:space="preserve">Según lo establecido en numeral 24. Subcontratación de las Bases de Licitación adjuntas.</t>
        </is>
      </c>
      <c r="U33" s="0" t="inlineStr">
        <is>
          <t xml:space="preserve">80 Días Hábiles. Unidad Requirente.</t>
        </is>
      </c>
      <c r="V33" s="4" t="inlineStr">
        <is>
          <t xml:space="preserve">SERVICIO ESPECIALIZADO DE DIGITALIZACIÓN Y EXTRACCIÓN INTELIGENTE DE TEXTO, DEL ARCHIVO DE PRENSA HISTÓRICA DE LA BIBLIOTECA DEL CONGRESO NACIONAL.</t>
        </is>
      </c>
      <c r="W33"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34">
      <c r="A34" s="0" t="inlineStr">
        <is>
          <t xml:space="preserve">3656-167-L126</t>
        </is>
      </c>
      <c r="B34" s="4" t="inlineStr">
        <is>
          <t xml:space="preserve">SERVICIO MESA DE AYUDA PLATAFORMA SIFIM</t>
        </is>
      </c>
      <c r="C34" s="0" t="inlineStr">
        <is>
          <t xml:space="preserve">Publicada</t>
        </is>
      </c>
      <c r="D34" s="0" t="inlineStr">
        <is>
          <t xml:space="preserve">I MUNICIPALIDAD DE REQUINOA</t>
        </is>
      </c>
      <c r="E34" s="0" t="inlineStr">
        <is>
          <t xml:space="preserve">Ilustre Municipalidad de Requínoa</t>
        </is>
      </c>
      <c r="F34" s="0" t="inlineStr">
        <is>
          <t xml:space="preserve">Región del Libertador General Bernardo O´Higgins</t>
        </is>
      </c>
      <c r="G34" s="0" t="inlineStr">
        <is>
          <t xml:space="preserve">Requinoa</t>
        </is>
      </c>
      <c r="H34" s="2">
        <v>46309.733299</v>
      </c>
      <c r="I34" s="2">
        <v>46321.625694</v>
      </c>
      <c r="J34" s="0">
        <v>7</v>
      </c>
      <c r="K34" s="3"/>
      <c r="L34" s="0" t="inlineStr">
        <is>
          <t xml:space="preserve">CLP</t>
        </is>
      </c>
      <c r="M34" s="0" t="inlineStr">
        <is>
          <t xml:space="preserve">L1</t>
        </is>
      </c>
      <c r="N34" s="4" t="inlineStr">
        <is>
          <t xml:space="preserve">Servicios profesionales, administrativos y consultorías de gestión empresarial / Servicios de recursos humanos / Contratación de personal</t>
        </is>
      </c>
      <c r="O34" s="4" t="inlineStr">
        <is>
          <t xml:space="preserve">14 Mes · Profesionales</t>
        </is>
      </c>
      <c r="P34" s="2"/>
      <c r="Q34" s="2"/>
      <c r="R34" s="0" t="inlineStr">
        <is>
          <t xml:space="preserve">14 meses</t>
        </is>
      </c>
      <c r="S34" s="0" t="inlineStr">
        <is>
          <t xml:space="preserve">No</t>
        </is>
      </c>
      <c r="T34" s="4"/>
      <c r="U34" s="0" t="inlineStr">
        <is>
          <t xml:space="preserve">PAULINA FLORES</t>
        </is>
      </c>
      <c r="V34" s="4" t="inlineStr">
        <is>
          <t xml:space="preserve">SERVICIO MESA DE AYUDA PLATAFORMA SIFIM</t>
        </is>
      </c>
      <c r="W34"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35">
      <c r="A35" s="0" t="inlineStr">
        <is>
          <t xml:space="preserve">5482-101-LR26</t>
        </is>
      </c>
      <c r="B35" s="4" t="inlineStr">
        <is>
          <t xml:space="preserve">Plataforma IA para video y seguridad urbana</t>
        </is>
      </c>
      <c r="C35" s="0" t="inlineStr">
        <is>
          <t xml:space="preserve">Publicada</t>
        </is>
      </c>
      <c r="D35" s="0" t="inlineStr">
        <is>
          <t xml:space="preserve">I MUNICIPALIDAD DE NUNOA</t>
        </is>
      </c>
      <c r="E35" s="0" t="inlineStr">
        <is>
          <t xml:space="preserve">SECPLANUNOA</t>
        </is>
      </c>
      <c r="F35" s="0" t="inlineStr">
        <is>
          <t xml:space="preserve">Región Metropolitana de Santiago</t>
        </is>
      </c>
      <c r="G35" s="0" t="inlineStr">
        <is>
          <t xml:space="preserve">Ñuñoa</t>
        </is>
      </c>
      <c r="H35" s="2">
        <v>46275.729861</v>
      </c>
      <c r="I35" s="2">
        <v>46321.625694</v>
      </c>
      <c r="J35" s="0">
        <v>7</v>
      </c>
      <c r="K35" s="3"/>
      <c r="L35" s="0" t="inlineStr">
        <is>
          <t xml:space="preserve">CLF</t>
        </is>
      </c>
      <c r="M35" s="0" t="inlineStr">
        <is>
          <t xml:space="preserve">LR</t>
        </is>
      </c>
      <c r="N35" s="4" t="inlineStr">
        <is>
          <t xml:space="preserve">Tecnologías de la información, telecomunicaciones y radiodifusión / Software / Programas de desarrollo</t>
        </is>
      </c>
      <c r="O35" s="4" t="inlineStr">
        <is>
          <t xml:space="preserve">1 Global · Software de desarrollo de plataforma Web · 26 Mes · Software de desarrollo de plataforma Web</t>
        </is>
      </c>
      <c r="P35" s="2"/>
      <c r="Q35" s="2"/>
      <c r="R35" s="0" t="inlineStr">
        <is>
          <t xml:space="preserve">26 meses</t>
        </is>
      </c>
      <c r="S35" s="0" t="inlineStr">
        <is>
          <t xml:space="preserve">No</t>
        </is>
      </c>
      <c r="T35" s="4"/>
      <c r="U35" s="0" t="inlineStr">
        <is>
          <t xml:space="preserve">Katherinne Ayala</t>
        </is>
      </c>
      <c r="V3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35"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36">
      <c r="A36" s="0" t="inlineStr">
        <is>
          <t xml:space="preserve">761391-155-CO26</t>
        </is>
      </c>
      <c r="B36" s="4" t="inlineStr">
        <is>
          <t xml:space="preserve">EE-133-GUB-DAS-SVC. ARRI. EQUIPOS INFORMATICOS</t>
        </is>
      </c>
      <c r="C36" s="0" t="inlineStr">
        <is>
          <t xml:space="preserve">Publicada</t>
        </is>
      </c>
      <c r="D36" s="0" t="inlineStr">
        <is>
          <t xml:space="preserve">FUERZA AEREA DE CHILE COMANDO LOGISTICO</t>
        </is>
      </c>
      <c r="E36" s="0" t="inlineStr">
        <is>
          <t xml:space="preserve">Base Aérea El Bosque</t>
        </is>
      </c>
      <c r="F36" s="0" t="inlineStr">
        <is>
          <t xml:space="preserve">Región Metropolitana de Santiago</t>
        </is>
      </c>
      <c r="G36" s="0" t="inlineStr">
        <is>
          <t xml:space="preserve">El Bosque</t>
        </is>
      </c>
      <c r="H36" s="2">
        <v>46310.68897</v>
      </c>
      <c r="I36" s="2">
        <v>46321.625694</v>
      </c>
      <c r="J36" s="0">
        <v>7</v>
      </c>
      <c r="K36" s="3">
        <v>16333332.0</v>
      </c>
      <c r="L36" s="0" t="inlineStr">
        <is>
          <t xml:space="preserve">CLP</t>
        </is>
      </c>
      <c r="M36" s="0" t="inlineStr">
        <is>
          <t xml:space="preserve">CO</t>
        </is>
      </c>
      <c r="N36" s="4" t="inlineStr">
        <is>
          <t xml:space="preserve">Vehículos y equipamiento en general / Componentes para sistemas aeroespaciales / Sistemas de control principal del avión</t>
        </is>
      </c>
      <c r="O36" s="4" t="inlineStr">
        <is>
          <t xml:space="preserve">1 Global · Sistemas informáticos de vuelo</t>
        </is>
      </c>
      <c r="P36" s="2"/>
      <c r="Q36" s="2"/>
      <c r="R36" s="0" t="inlineStr">
        <is>
          <t xml:space="preserve">3 meses</t>
        </is>
      </c>
      <c r="S36" s="0" t="inlineStr">
        <is>
          <t xml:space="preserve">No</t>
        </is>
      </c>
      <c r="T36" s="4" t="inlineStr">
        <is>
          <t xml:space="preserve">EN CONFORMIDAD A LO ESTABLECIDO EN EL PARRAFO I.-NORMAS GENERALES DEL LLAMADO A PROPUESTA, LETRA P DE LAS BASES ADMINISTRATIVAS ADJUNTAS.</t>
        </is>
      </c>
      <c r="U36" s="0" t="inlineStr">
        <is>
          <t xml:space="preserve">RODRIGO INOSTROZA</t>
        </is>
      </c>
      <c r="V36" s="4" t="inlineStr">
        <is>
          <t xml:space="preserve">CONTRATACIÓN DEL SERVICIO DE ARRIENDO DE EQUIPOS INFORMATICOS PARA LA IMPLEMENTACIÓN DE SIMULADOR DE AIRBUS ACT ACADEMY PARA EL AÑO 2026, DE ACUERDO A BASES TÉCNICAS, BASES ADM Y ANEXOS.</t>
        </is>
      </c>
      <c r="W36"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37">
      <c r="A37" s="0" t="inlineStr">
        <is>
          <t xml:space="preserve">1622-22-LP26</t>
        </is>
      </c>
      <c r="B37" s="4" t="inlineStr">
        <is>
          <t xml:space="preserve">ARRIENDO SISTEMA DE INFORMACIÓN DE LABORATORIO HSV</t>
        </is>
      </c>
      <c r="C37" s="0" t="inlineStr">
        <is>
          <t xml:space="preserve">Publicada</t>
        </is>
      </c>
      <c r="D37" s="0" t="inlineStr">
        <is>
          <t xml:space="preserve">SERVICIO DE SALUD HOSPITAL DE SAN VICENTE DE TAGUA TAGUA</t>
        </is>
      </c>
      <c r="E37" s="0" t="inlineStr">
        <is>
          <t xml:space="preserve">Hospital de San Vicente de Tagua Tagua</t>
        </is>
      </c>
      <c r="F37" s="0" t="inlineStr">
        <is>
          <t xml:space="preserve">Región del Libertador General Bernardo O´Higgins</t>
        </is>
      </c>
      <c r="G37" s="0" t="inlineStr">
        <is>
          <t xml:space="preserve">San Vicente de Tagua Tagua</t>
        </is>
      </c>
      <c r="H37" s="2">
        <v>46301.633356</v>
      </c>
      <c r="I37" s="2">
        <v>46321.645833</v>
      </c>
      <c r="J37" s="0">
        <v>7</v>
      </c>
      <c r="K37" s="3"/>
      <c r="L37" s="0" t="inlineStr">
        <is>
          <t xml:space="preserve">CLP</t>
        </is>
      </c>
      <c r="M37" s="0" t="inlineStr">
        <is>
          <t xml:space="preserve">LP</t>
        </is>
      </c>
      <c r="N37" s="4" t="inlineStr">
        <is>
          <t xml:space="preserve">Tecnologías de la información, telecomunicaciones y radiodifusión / Software / Software de consultas y gestión de datos</t>
        </is>
      </c>
      <c r="O37" s="4" t="inlineStr">
        <is>
          <t xml:space="preserve">1 Unidad · Software del sistema de administración de bases de datos</t>
        </is>
      </c>
      <c r="P37" s="2"/>
      <c r="Q37" s="2"/>
      <c r="R37" s="0" t="inlineStr">
        <is>
          <t xml:space="preserve">36 meses</t>
        </is>
      </c>
      <c r="S37" s="0" t="inlineStr">
        <is>
          <t xml:space="preserve">No</t>
        </is>
      </c>
      <c r="T37" s="4"/>
      <c r="U37" s="0" t="inlineStr">
        <is>
          <t xml:space="preserve">ANIBAL DONOSO MARTIN</t>
        </is>
      </c>
      <c r="V37"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37"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38">
      <c r="A38" s="0" t="inlineStr">
        <is>
          <t xml:space="preserve">2403-73-LR26</t>
        </is>
      </c>
      <c r="B38" s="4" t="inlineStr">
        <is>
          <t xml:space="preserve">Servicios de conectividad telecomunicaciones operación de infraestructura y gestión de ciberseguridad.</t>
        </is>
      </c>
      <c r="C38" s="0" t="inlineStr">
        <is>
          <t xml:space="preserve">Publicada</t>
        </is>
      </c>
      <c r="D38" s="0" t="inlineStr">
        <is>
          <t xml:space="preserve">I MUNICIPALIDAD DE PENALOLEN</t>
        </is>
      </c>
      <c r="E38" s="0" t="inlineStr">
        <is>
          <t xml:space="preserve">I.MUNICIPALIDAD DE PEÑALOLEN</t>
        </is>
      </c>
      <c r="F38" s="0" t="inlineStr">
        <is>
          <t xml:space="preserve">Región Metropolitana de Santiago</t>
        </is>
      </c>
      <c r="G38" s="0" t="inlineStr">
        <is>
          <t xml:space="preserve">Peñalolén</t>
        </is>
      </c>
      <c r="H38" s="2">
        <v>46288.604861</v>
      </c>
      <c r="I38" s="2">
        <v>46321.645833</v>
      </c>
      <c r="J38" s="0">
        <v>7</v>
      </c>
      <c r="K38" s="3">
        <v>1910656000.0</v>
      </c>
      <c r="L38" s="0" t="inlineStr">
        <is>
          <t xml:space="preserve">CLP</t>
        </is>
      </c>
      <c r="M38" s="0" t="inlineStr">
        <is>
          <t xml:space="preserve">LR</t>
        </is>
      </c>
      <c r="N38" s="4" t="inlineStr">
        <is>
          <t xml:space="preserve">Servicios de construcción y mantenimiento / Servicios de atención, mantenimiento y reparaciones de edificios / Servicios eléctricos</t>
        </is>
      </c>
      <c r="O38" s="4" t="inlineStr">
        <is>
          <t xml:space="preserve">1 Global · Instalación de sistemas de seguridad</t>
        </is>
      </c>
      <c r="P38" s="2"/>
      <c r="Q38" s="2"/>
      <c r="R38" s="0" t="inlineStr">
        <is>
          <t xml:space="preserve">51 meses</t>
        </is>
      </c>
      <c r="S38" s="0" t="inlineStr">
        <is>
          <t xml:space="preserve">No</t>
        </is>
      </c>
      <c r="T38" s="4" t="inlineStr">
        <is>
          <t xml:space="preserve">Previa autorización de la inspección técnica, y siempre que no supere el 30% del precio total de la contratación.</t>
        </is>
      </c>
      <c r="U38" s="0" t="inlineStr">
        <is>
          <t xml:space="preserve">Matías Allende Contreras</t>
        </is>
      </c>
      <c r="V3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38"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39">
      <c r="A39" s="0" t="inlineStr">
        <is>
          <t xml:space="preserve">634-92-LE26</t>
        </is>
      </c>
      <c r="B39" s="4" t="inlineStr">
        <is>
          <t xml:space="preserve">SISTEMA RADIOGRÁFICO ODONTOLÓGICO DIGITAL</t>
        </is>
      </c>
      <c r="C39" s="0" t="inlineStr">
        <is>
          <t xml:space="preserve">Publicada</t>
        </is>
      </c>
      <c r="D39" s="0" t="inlineStr">
        <is>
          <t xml:space="preserve">DIRECCION GENERAL DE GENDARMERIA DE CHIL</t>
        </is>
      </c>
      <c r="E39" s="0" t="inlineStr">
        <is>
          <t xml:space="preserve">Dirección Nacional</t>
        </is>
      </c>
      <c r="F39" s="0" t="inlineStr">
        <is>
          <t xml:space="preserve">Región Metropolitana de Santiago</t>
        </is>
      </c>
      <c r="G39" s="0" t="inlineStr">
        <is>
          <t xml:space="preserve">Santiago</t>
        </is>
      </c>
      <c r="H39" s="2">
        <v>46297.655498</v>
      </c>
      <c r="I39" s="2">
        <v>46321.645833</v>
      </c>
      <c r="J39" s="0">
        <v>7</v>
      </c>
      <c r="K39" s="3">
        <v>35009800.0</v>
      </c>
      <c r="L39" s="0" t="inlineStr">
        <is>
          <t xml:space="preserve">CLP</t>
        </is>
      </c>
      <c r="M39" s="0" t="inlineStr">
        <is>
          <t xml:space="preserve">LE</t>
        </is>
      </c>
      <c r="N39" s="4" t="inlineStr">
        <is>
          <t xml:space="preserve">Equipamiento y suministros médicos / Equipos y suministros odontológicos / Equipo y suministros para imágenes dentales</t>
        </is>
      </c>
      <c r="O39" s="4" t="inlineStr">
        <is>
          <t xml:space="preserve">1 Unidad · Unidades de Rayos X dentales</t>
        </is>
      </c>
      <c r="P39" s="2"/>
      <c r="Q39" s="2"/>
      <c r="R39" s="0"/>
      <c r="S39" s="0" t="inlineStr">
        <is>
          <t xml:space="preserve">No</t>
        </is>
      </c>
      <c r="T39" s="4"/>
      <c r="U39" s="0" t="inlineStr">
        <is>
          <t xml:space="preserve">José Silva Díaz</t>
        </is>
      </c>
      <c r="V39"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39"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40">
      <c r="A40" s="0" t="inlineStr">
        <is>
          <t xml:space="preserve">730566-31-LE26</t>
        </is>
      </c>
      <c r="B40" s="4" t="inlineStr">
        <is>
          <t xml:space="preserve">Servicio de Enlace de Datos</t>
        </is>
      </c>
      <c r="C40" s="0" t="inlineStr">
        <is>
          <t xml:space="preserve">Publicada</t>
        </is>
      </c>
      <c r="D40" s="0" t="inlineStr">
        <is>
          <t xml:space="preserve">SUBSECRETARIA DE EVALUACION SOCIAL</t>
        </is>
      </c>
      <c r="E40" s="0" t="inlineStr">
        <is>
          <t xml:space="preserve">Subsecretaría de Evaluación Social</t>
        </is>
      </c>
      <c r="F40" s="0" t="inlineStr">
        <is>
          <t xml:space="preserve">Región Metropolitana de Santiago</t>
        </is>
      </c>
      <c r="G40" s="0" t="inlineStr">
        <is>
          <t xml:space="preserve">Santiago</t>
        </is>
      </c>
      <c r="H40" s="2">
        <v>46311.573044</v>
      </c>
      <c r="I40" s="2">
        <v>46321.645833</v>
      </c>
      <c r="J40" s="0">
        <v>7</v>
      </c>
      <c r="K40" s="3">
        <v>67200000.0</v>
      </c>
      <c r="L40" s="0" t="inlineStr">
        <is>
          <t xml:space="preserve">CLP</t>
        </is>
      </c>
      <c r="M40" s="0" t="inlineStr">
        <is>
          <t xml:space="preserve">LE</t>
        </is>
      </c>
      <c r="N40" s="4" t="inlineStr">
        <is>
          <t xml:space="preserve">Servicios básicos y de información pública / Bibliotecas y otros centros de información pública / Comunicación social y de masas</t>
        </is>
      </c>
      <c r="O40" s="4" t="inlineStr">
        <is>
          <t xml:space="preserve">1 Unidad · Servicios relacionados con Internet</t>
        </is>
      </c>
      <c r="P40" s="2"/>
      <c r="Q40" s="2"/>
      <c r="R40" s="0" t="inlineStr">
        <is>
          <t xml:space="preserve">27 meses</t>
        </is>
      </c>
      <c r="S40" s="0" t="inlineStr">
        <is>
          <t xml:space="preserve">No</t>
        </is>
      </c>
      <c r="T40" s="4"/>
      <c r="U40" s="0" t="inlineStr">
        <is>
          <t xml:space="preserve">Joaquín Rojas</t>
        </is>
      </c>
      <c r="V40"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40"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41">
      <c r="A41" s="0" t="inlineStr">
        <is>
          <t xml:space="preserve">752-39-LE26</t>
        </is>
      </c>
      <c r="B41" s="4" t="inlineStr">
        <is>
          <t xml:space="preserve">Adquisición y habilitación de Servidores para plataforma tecnológica</t>
        </is>
      </c>
      <c r="C41" s="0" t="inlineStr">
        <is>
          <t xml:space="preserve">Publicada</t>
        </is>
      </c>
      <c r="D41" s="0" t="inlineStr">
        <is>
          <t xml:space="preserve">GOBIERNO REGIONAL DECIMA REGION LOS LAGOS</t>
        </is>
      </c>
      <c r="E41" s="0" t="inlineStr">
        <is>
          <t xml:space="preserve">Gobierno Regional de Los Lagos</t>
        </is>
      </c>
      <c r="F41" s="0" t="inlineStr">
        <is>
          <t xml:space="preserve">Región de los Lagos </t>
        </is>
      </c>
      <c r="G41" s="0"/>
      <c r="H41" s="2">
        <v>46308.448495</v>
      </c>
      <c r="I41" s="2">
        <v>46321.645833</v>
      </c>
      <c r="J41" s="0">
        <v>7</v>
      </c>
      <c r="K41" s="3">
        <v>64000000.0</v>
      </c>
      <c r="L41" s="0" t="inlineStr">
        <is>
          <t xml:space="preserve">CLP</t>
        </is>
      </c>
      <c r="M41" s="0" t="inlineStr">
        <is>
          <t xml:space="preserve">LE</t>
        </is>
      </c>
      <c r="N41" s="4" t="inlineStr">
        <is>
          <t xml:space="preserve">Tecnologías de la información, telecomunicaciones y radiodifusión / Equipos informáticos y accesorios / Computadores</t>
        </is>
      </c>
      <c r="O41" s="4" t="inlineStr">
        <is>
          <t xml:space="preserve">1 Unidad · Servidores</t>
        </is>
      </c>
      <c r="P41" s="2"/>
      <c r="Q41" s="2"/>
      <c r="R41" s="0" t="inlineStr">
        <is>
          <t xml:space="preserve">90 días</t>
        </is>
      </c>
      <c r="S41" s="0" t="inlineStr">
        <is>
          <t xml:space="preserve">No</t>
        </is>
      </c>
      <c r="T41" s="4" t="inlineStr">
        <is>
          <t xml:space="preserve">Art. 32° Bases: se prohíbe subcontratar instalación, configuración, migración, retiro y borrado seguro, y personal del Anexo N°6. Solo se permite subcontratar trasladologística y soporte del fabricante, hasta 30% del contrato.</t>
        </is>
      </c>
      <c r="U41" s="0" t="inlineStr">
        <is>
          <t xml:space="preserve">Eduardo Madrid Osorio</t>
        </is>
      </c>
      <c r="V41" s="4" t="inlineStr">
        <is>
          <t xml:space="preserve">El Gobierno Regional de Los Lagos requiere la reposición, adquisición, instalación y habilitación de 2 servidores, con migración de máquinas virtuales y continuidad operacional, para su plataforma tecnológica.</t>
        </is>
      </c>
      <c r="W41"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42">
      <c r="A42" s="0" t="inlineStr">
        <is>
          <t xml:space="preserve">1057509-348-LE26</t>
        </is>
      </c>
      <c r="B42" s="4" t="inlineStr">
        <is>
          <t xml:space="preserve">CONTRATACIÓN DE SERVICIO DE CONECTIVIDAD DE DATOS PRIVADOS IPMPLS o EQUIVALENTE vps</t>
        </is>
      </c>
      <c r="C42" s="0" t="inlineStr">
        <is>
          <t xml:space="preserve">Publicada</t>
        </is>
      </c>
      <c r="D42" s="0" t="inlineStr">
        <is>
          <t xml:space="preserve">HOSPITAL CLINICO HERMINDA MARTIN</t>
        </is>
      </c>
      <c r="E42" s="0" t="inlineStr">
        <is>
          <t xml:space="preserve">Bienes y Servicios</t>
        </is>
      </c>
      <c r="F42" s="0" t="inlineStr">
        <is>
          <t xml:space="preserve">Región del Ñuble</t>
        </is>
      </c>
      <c r="G42" s="0" t="inlineStr">
        <is>
          <t xml:space="preserve">Chillán</t>
        </is>
      </c>
      <c r="H42" s="2">
        <v>46309.456655</v>
      </c>
      <c r="I42" s="2">
        <v>46321.666667</v>
      </c>
      <c r="J42" s="0">
        <v>7</v>
      </c>
      <c r="K42" s="3"/>
      <c r="L42" s="0" t="inlineStr">
        <is>
          <t xml:space="preserve">CLP</t>
        </is>
      </c>
      <c r="M42" s="0" t="inlineStr">
        <is>
          <t xml:space="preserve">LE</t>
        </is>
      </c>
      <c r="N42" s="4" t="inlineStr">
        <is>
          <t xml:space="preserve">Tecnologías de la información, telecomunicaciones y radiodifusión / Equipos informáticos y accesorios / Computadores</t>
        </is>
      </c>
      <c r="O42" s="4" t="inlineStr">
        <is>
          <t xml:space="preserve">1 Unidad no definida · Computadores personales</t>
        </is>
      </c>
      <c r="P42" s="2"/>
      <c r="Q42" s="2"/>
      <c r="R42" s="0" t="inlineStr">
        <is>
          <t xml:space="preserve">36 meses</t>
        </is>
      </c>
      <c r="S42" s="0" t="inlineStr">
        <is>
          <t xml:space="preserve">No</t>
        </is>
      </c>
      <c r="T42" s="4"/>
      <c r="U42" s="0" t="inlineStr">
        <is>
          <t xml:space="preserve">...</t>
        </is>
      </c>
      <c r="V42"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42"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43">
      <c r="A43" s="0" t="inlineStr">
        <is>
          <t xml:space="preserve">3755-6-LP26</t>
        </is>
      </c>
      <c r="B43" s="4" t="inlineStr">
        <is>
          <t xml:space="preserve">Serv datos de tránsito y tráfico de dispositivos</t>
        </is>
      </c>
      <c r="C43" s="0" t="inlineStr">
        <is>
          <t xml:space="preserve">Publicada</t>
        </is>
      </c>
      <c r="D43" s="0" t="inlineStr">
        <is>
          <t xml:space="preserve">SUBSECRETARIA DE TRANSPORTES</t>
        </is>
      </c>
      <c r="E43" s="0" t="inlineStr">
        <is>
          <t xml:space="preserve">Fiscalización y Control</t>
        </is>
      </c>
      <c r="F43" s="0" t="inlineStr">
        <is>
          <t xml:space="preserve">Región Metropolitana de Santiago</t>
        </is>
      </c>
      <c r="G43" s="0" t="inlineStr">
        <is>
          <t xml:space="preserve">Santiago</t>
        </is>
      </c>
      <c r="H43" s="2">
        <v>46301.501343</v>
      </c>
      <c r="I43" s="2">
        <v>46321.666667</v>
      </c>
      <c r="J43" s="0">
        <v>7</v>
      </c>
      <c r="K43" s="3"/>
      <c r="L43" s="0" t="inlineStr">
        <is>
          <t xml:space="preserve">CLP</t>
        </is>
      </c>
      <c r="M43" s="0" t="inlineStr">
        <is>
          <t xml:space="preserve">LP</t>
        </is>
      </c>
      <c r="N43" s="4" t="inlineStr">
        <is>
          <t xml:space="preserve">Tecnologías de la información, telecomunicaciones y radiodifusión / Software / Software de consultas y gestión de datos</t>
        </is>
      </c>
      <c r="O43" s="4" t="inlineStr">
        <is>
          <t xml:space="preserve">1 Global · Software de extracción de datos</t>
        </is>
      </c>
      <c r="P43" s="2"/>
      <c r="Q43" s="2"/>
      <c r="R43" s="0" t="inlineStr">
        <is>
          <t xml:space="preserve">12 meses</t>
        </is>
      </c>
      <c r="S43" s="0" t="inlineStr">
        <is>
          <t xml:space="preserve">No</t>
        </is>
      </c>
      <c r="T43" s="4"/>
      <c r="U43" s="0" t="inlineStr">
        <is>
          <t xml:space="preserve">CARLOS TORO ARAYA</t>
        </is>
      </c>
      <c r="V43"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43"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44">
      <c r="A44" s="0" t="inlineStr">
        <is>
          <t xml:space="preserve">885-100-LE26</t>
        </is>
      </c>
      <c r="B44" s="4" t="inlineStr">
        <is>
          <t xml:space="preserve">Servicio de soporte y mantenimiento para plataforma de seguridad de la CGR</t>
        </is>
      </c>
      <c r="C44" s="0" t="inlineStr">
        <is>
          <t xml:space="preserve">Publicada</t>
        </is>
      </c>
      <c r="D44" s="0" t="inlineStr">
        <is>
          <t xml:space="preserve">CONTRALORIA GENERAL DE LA REPUBLICA</t>
        </is>
      </c>
      <c r="E44" s="0" t="inlineStr">
        <is>
          <t xml:space="preserve">Contraloría General de la República</t>
        </is>
      </c>
      <c r="F44" s="0" t="inlineStr">
        <is>
          <t xml:space="preserve">Región Metropolitana de Santiago</t>
        </is>
      </c>
      <c r="G44" s="0" t="inlineStr">
        <is>
          <t xml:space="preserve">Santiago</t>
        </is>
      </c>
      <c r="H44" s="2">
        <v>46310.693785</v>
      </c>
      <c r="I44" s="2">
        <v>46321.666667</v>
      </c>
      <c r="J44" s="0">
        <v>7</v>
      </c>
      <c r="K44" s="3">
        <v>20000000.0</v>
      </c>
      <c r="L44" s="0" t="inlineStr">
        <is>
          <t xml:space="preserve">CLP</t>
        </is>
      </c>
      <c r="M44" s="0" t="inlineStr">
        <is>
          <t xml:space="preserve">LE</t>
        </is>
      </c>
      <c r="N44" s="4" t="inlineStr">
        <is>
          <t xml:space="preserve">Tecnologías de la información, telecomunicaciones y radiodifusión / Equipos, plataformas y accesorios de redes multimedia, voz y datos / Equipos de seguridad de red</t>
        </is>
      </c>
      <c r="O44" s="4" t="inlineStr">
        <is>
          <t xml:space="preserve">1 Global · Equipo de seguridad de red de firewall</t>
        </is>
      </c>
      <c r="P44" s="2"/>
      <c r="Q44" s="2"/>
      <c r="R44" s="0" t="inlineStr">
        <is>
          <t xml:space="preserve">12 meses</t>
        </is>
      </c>
      <c r="S44" s="0" t="inlineStr">
        <is>
          <t xml:space="preserve">No</t>
        </is>
      </c>
      <c r="T44" s="4"/>
      <c r="U44" s="0" t="inlineStr">
        <is>
          <t xml:space="preserve">Tania Cornejo Abarca</t>
        </is>
      </c>
      <c r="V44"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44"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45">
      <c r="A45" s="0" t="inlineStr">
        <is>
          <t xml:space="preserve">932-34-LE26</t>
        </is>
      </c>
      <c r="B45" s="4" t="inlineStr">
        <is>
          <t xml:space="preserve">SERVICIO DE MANTENIMIENTO PREVENTIVO Y CORRECTIVO HABITUAL DEL SISTEMA ELÉCTRICO CORRIENTES DÉBILES E INFRAESTRUCTURA DE DATOS PARA EL CENTRO DEPORTIVO COMUNITARIO DE RANCAGUA</t>
        </is>
      </c>
      <c r="C45" s="0" t="inlineStr">
        <is>
          <t xml:space="preserve">Publicada</t>
        </is>
      </c>
      <c r="D45" s="0" t="inlineStr">
        <is>
          <t xml:space="preserve">INSTITUTO NACIONAL DE DEPORTES DE CHILE</t>
        </is>
      </c>
      <c r="E45" s="0" t="inlineStr">
        <is>
          <t xml:space="preserve">I.N.D. REGION VI</t>
        </is>
      </c>
      <c r="F45" s="0" t="inlineStr">
        <is>
          <t xml:space="preserve">Región del Libertador General Bernardo O´Higgins</t>
        </is>
      </c>
      <c r="G45" s="0" t="inlineStr">
        <is>
          <t xml:space="preserve">Rancagua</t>
        </is>
      </c>
      <c r="H45" s="2">
        <v>46310.703773</v>
      </c>
      <c r="I45" s="2">
        <v>46321.666667</v>
      </c>
      <c r="J45" s="0">
        <v>7</v>
      </c>
      <c r="K45" s="3">
        <v>30000000.0</v>
      </c>
      <c r="L45" s="0" t="inlineStr">
        <is>
          <t xml:space="preserve">CLP</t>
        </is>
      </c>
      <c r="M45" s="0" t="inlineStr">
        <is>
          <t xml:space="preserve">LE</t>
        </is>
      </c>
      <c r="N45" s="4" t="inlineStr">
        <is>
          <t xml:space="preserve">Servicios de producción y fabricación industrial / Servicios de apoyo o soporte a la fabricación / Servicios de mantenimiento y reparación de equipo de fabricación</t>
        </is>
      </c>
      <c r="O45" s="4" t="inlineStr">
        <is>
          <t xml:space="preserve">1 Unidad · Servicio de mantenimiento de equipo de fabricación</t>
        </is>
      </c>
      <c r="P45" s="2"/>
      <c r="Q45" s="2"/>
      <c r="R45" s="0" t="inlineStr">
        <is>
          <t xml:space="preserve">11 meses</t>
        </is>
      </c>
      <c r="S45" s="0" t="inlineStr">
        <is>
          <t xml:space="preserve">No</t>
        </is>
      </c>
      <c r="T45" s="4"/>
      <c r="U45" s="0" t="inlineStr">
        <is>
          <t xml:space="preserve">Cristina Alfonso Aguirre</t>
        </is>
      </c>
      <c r="V45"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45"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46">
      <c r="A46" s="0" t="inlineStr">
        <is>
          <t xml:space="preserve">4829-56-LE26</t>
        </is>
      </c>
      <c r="B46" s="4" t="inlineStr">
        <is>
          <t xml:space="preserve">CONV.SUMINISTRO DIFUSION RADIAR Y DIGITAL MUNIC</t>
        </is>
      </c>
      <c r="C46" s="0" t="inlineStr">
        <is>
          <t xml:space="preserve">Publicada</t>
        </is>
      </c>
      <c r="D46" s="0" t="inlineStr">
        <is>
          <t xml:space="preserve">ILUSTRE MUNICIPALIDAD DE ALTO BIOBIO</t>
        </is>
      </c>
      <c r="E46" s="0" t="inlineStr">
        <is>
          <t xml:space="preserve">Departamento Finanzas</t>
        </is>
      </c>
      <c r="F46" s="0" t="inlineStr">
        <is>
          <t xml:space="preserve">Región del Biobío </t>
        </is>
      </c>
      <c r="G46" s="0" t="inlineStr">
        <is>
          <t xml:space="preserve">Alto Bio Bio</t>
        </is>
      </c>
      <c r="H46" s="2">
        <v>46311.694456</v>
      </c>
      <c r="I46" s="2">
        <v>46321.679167</v>
      </c>
      <c r="J46" s="0">
        <v>7</v>
      </c>
      <c r="K46" s="3"/>
      <c r="L46" s="0" t="inlineStr">
        <is>
          <t xml:space="preserve">CLP</t>
        </is>
      </c>
      <c r="M46" s="0" t="inlineStr">
        <is>
          <t xml:space="preserve">LE</t>
        </is>
      </c>
      <c r="N46" s="4" t="inlineStr">
        <is>
          <t xml:space="preserve">Servicios básicos y de información pública / Bibliotecas y otros centros de información pública / Comunicación social y de masas</t>
        </is>
      </c>
      <c r="O46" s="4" t="inlineStr">
        <is>
          <t xml:space="preserve">1 Unidad no definida · Servicios relacionados con la radio · 1 Unidad no definida · Servicios relacionados con Internet</t>
        </is>
      </c>
      <c r="P46" s="2"/>
      <c r="Q46" s="2"/>
      <c r="R46" s="0"/>
      <c r="S46" s="0" t="inlineStr">
        <is>
          <t xml:space="preserve">No</t>
        </is>
      </c>
      <c r="T46" s="4"/>
      <c r="U46" s="0" t="inlineStr">
        <is>
          <t xml:space="preserve">EDUARDO VIVANCO GONZALEZ</t>
        </is>
      </c>
      <c r="V46"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46"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47">
      <c r="A47" s="0" t="inlineStr">
        <is>
          <t xml:space="preserve">1375758-7-LE26</t>
        </is>
      </c>
      <c r="B47" s="4" t="inlineStr">
        <is>
          <t xml:space="preserve">PLATAFORMA INTEGRAL PARA LA PLANIFICACIÓN CONTROL DE DOTACIÓN ESCOLAR Y GESTIÓN DE SOLICITUDES DE CONTRATACIÓN</t>
        </is>
      </c>
      <c r="C47" s="0" t="inlineStr">
        <is>
          <t xml:space="preserve">Publicada</t>
        </is>
      </c>
      <c r="D47" s="0" t="inlineStr">
        <is>
          <t xml:space="preserve">SERVICIO LOCAL DE EDUCACIÓN PÚBLICA SANTIAGO CENTRO</t>
        </is>
      </c>
      <c r="E47" s="0" t="inlineStr">
        <is>
          <t xml:space="preserve">NIVEL CENTRAL SLEP SANTIAGO CENTRO P01</t>
        </is>
      </c>
      <c r="F47" s="0" t="inlineStr">
        <is>
          <t xml:space="preserve">Región Metropolitana de Santiago</t>
        </is>
      </c>
      <c r="G47" s="0" t="inlineStr">
        <is>
          <t xml:space="preserve">Santiago</t>
        </is>
      </c>
      <c r="H47" s="2">
        <v>46301.667361</v>
      </c>
      <c r="I47" s="2">
        <v>46321.6875</v>
      </c>
      <c r="J47" s="0">
        <v>7</v>
      </c>
      <c r="K47" s="3"/>
      <c r="L47" s="0" t="inlineStr">
        <is>
          <t xml:space="preserve">CLP</t>
        </is>
      </c>
      <c r="M47" s="0" t="inlineStr">
        <is>
          <t xml:space="preserve">LE</t>
        </is>
      </c>
      <c r="N47" s="4" t="inlineStr">
        <is>
          <t xml:space="preserve">Servicios basados en ingeniería, ciencias sociales y tecnología de la información / Servicios informáticos / Ingeniería en computación e informática</t>
        </is>
      </c>
      <c r="O47" s="4" t="inlineStr">
        <is>
          <t xml:space="preserve">24 Mes · Desarrollo de Aplicaciones de Recursos Empresariales (ERP)</t>
        </is>
      </c>
      <c r="P47" s="2"/>
      <c r="Q47" s="2"/>
      <c r="R47" s="0" t="inlineStr">
        <is>
          <t xml:space="preserve">24 meses</t>
        </is>
      </c>
      <c r="S47" s="0" t="inlineStr">
        <is>
          <t xml:space="preserve">No</t>
        </is>
      </c>
      <c r="T47" s="4"/>
      <c r="U47" s="0" t="inlineStr">
        <is>
          <t xml:space="preserve">Christian Rivillo</t>
        </is>
      </c>
      <c r="V47" s="4" t="inlineStr">
        <is>
          <t xml:space="preserve">SE REQUEIRE CONTRATAR PLATAFORMA INTEGRAL PARA LA PLANIFICACIÓN, CONTROL DE DOTACIÓN ESCOLAR Y GESTIÓN DE SOLICITUDES DE CONTRATACIÓN, SEGÚN BASES ADJUNTAS, APROBADAS POR RES. EXENTA N°</t>
        </is>
      </c>
      <c r="W47" s="5" t="str">
        <f>HYPERLINK("https://www.mercadopublico.cl/Procurement/Modules/Attachment/ViewAttachment.aspx?enc=sA6goAkK56PS5JqA5K5qyQI5nnDuHQaU36jViJ8rA%2bRfgPbcfs4p1agKudXkt3KWfzgnGbWaAUsgL%2byTvrMZEqJKCzCBm008h4tgZ1SIybh6H5qVWKYPUTsWx74IdgVf06FrMj%2bUWntwYT9%2fpoxpePPW%2b4l%2fSilA91a7L1mfxrfytIdgLhcZCmkX0Y5pVtND3dzv%2f0XUIjtvcGs4EP32UU7Hmw5RLxeH3jbm7m13yY917mxs8%2bTipWboMasIhtG%2b8QfVQFqtA%2bqYe5CwAz737azDz3iJORoPCq2qERclFKSPZQkRE61LtX1UmWMUWDSY","descargar bases")</f>
      </c>
    </row>
    <row r="48">
      <c r="A48" s="0" t="inlineStr">
        <is>
          <t xml:space="preserve">765-25-L126</t>
        </is>
      </c>
      <c r="B48" s="4" t="inlineStr">
        <is>
          <t xml:space="preserve">Desarrollo de soluciones informáticas para la implementación del plan de transformación digital de la CONADI 2026-2029</t>
        </is>
      </c>
      <c r="C48" s="0" t="inlineStr">
        <is>
          <t xml:space="preserve">Publicada</t>
        </is>
      </c>
      <c r="D48" s="0" t="inlineStr">
        <is>
          <t xml:space="preserve">CORP NACIONAL DE DESARROLLO INDIGENA</t>
        </is>
      </c>
      <c r="E48" s="0" t="inlineStr">
        <is>
          <t xml:space="preserve">CORP NACIONAL DE DESARROLLO INDIGENA</t>
        </is>
      </c>
      <c r="F48" s="0" t="inlineStr">
        <is>
          <t xml:space="preserve">Región del Biobío </t>
        </is>
      </c>
      <c r="G48" s="0" t="inlineStr">
        <is>
          <t xml:space="preserve">Concepción</t>
        </is>
      </c>
      <c r="H48" s="2">
        <v>46308.40066</v>
      </c>
      <c r="I48" s="2">
        <v>46321.700694</v>
      </c>
      <c r="J48" s="0">
        <v>7</v>
      </c>
      <c r="K48" s="3">
        <v>6000000.0</v>
      </c>
      <c r="L48" s="0" t="inlineStr">
        <is>
          <t xml:space="preserve">CLP</t>
        </is>
      </c>
      <c r="M48" s="0" t="inlineStr">
        <is>
          <t xml:space="preserve">L1</t>
        </is>
      </c>
      <c r="N48" s="4" t="inlineStr">
        <is>
          <t xml:space="preserve">Tecnologías de la información, telecomunicaciones y radiodifusión / Software / Software para trabajo en redes</t>
        </is>
      </c>
      <c r="O48" s="4" t="inlineStr">
        <is>
          <t xml:space="preserve">1 Unidad · Firmware y software de conmutación de WAN</t>
        </is>
      </c>
      <c r="P48" s="2"/>
      <c r="Q48" s="2"/>
      <c r="R48" s="0"/>
      <c r="S48" s="0" t="inlineStr">
        <is>
          <t xml:space="preserve">No</t>
        </is>
      </c>
      <c r="T48" s="4"/>
      <c r="U48" s="0"/>
      <c r="V48"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48"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49">
      <c r="A49" s="0" t="inlineStr">
        <is>
          <t xml:space="preserve">2048-78-LE26</t>
        </is>
      </c>
      <c r="B49" s="4" t="inlineStr">
        <is>
          <t xml:space="preserve">COMPRA SERVICIOS PROFESIONALES PARA U.INFORMÁTICA</t>
        </is>
      </c>
      <c r="C49" s="0" t="inlineStr">
        <is>
          <t xml:space="preserve">Publicada</t>
        </is>
      </c>
      <c r="D49" s="0" t="inlineStr">
        <is>
          <t xml:space="preserve">SERVICIO DE SALUD CHILOE</t>
        </is>
      </c>
      <c r="E49" s="0" t="inlineStr">
        <is>
          <t xml:space="preserve">Hospital de Ancud</t>
        </is>
      </c>
      <c r="F49" s="0" t="inlineStr">
        <is>
          <t xml:space="preserve">Región de los Lagos </t>
        </is>
      </c>
      <c r="G49" s="0"/>
      <c r="H49" s="2">
        <v>46310.37581</v>
      </c>
      <c r="I49" s="2">
        <v>46321.708333</v>
      </c>
      <c r="J49" s="0">
        <v>7</v>
      </c>
      <c r="K49" s="3"/>
      <c r="L49" s="0" t="inlineStr">
        <is>
          <t xml:space="preserve">CLP</t>
        </is>
      </c>
      <c r="M49" s="0" t="inlineStr">
        <is>
          <t xml:space="preserve">LE</t>
        </is>
      </c>
      <c r="N49" s="4" t="inlineStr">
        <is>
          <t xml:space="preserve">Servicios profesionales, administrativos y consultorías de gestión empresarial / Servicios de recursos humanos / Contratación de personal</t>
        </is>
      </c>
      <c r="O49" s="4" t="inlineStr">
        <is>
          <t xml:space="preserve">1 Hora/Hombre · Profesionales</t>
        </is>
      </c>
      <c r="P49" s="2"/>
      <c r="Q49" s="2"/>
      <c r="R49" s="0" t="inlineStr">
        <is>
          <t xml:space="preserve">12 meses</t>
        </is>
      </c>
      <c r="S49" s="0" t="inlineStr">
        <is>
          <t xml:space="preserve">No</t>
        </is>
      </c>
      <c r="T49" s="4" t="inlineStr">
        <is>
          <t xml:space="preserve">El adjudicatario no podrá ceder ni transferir en forma alguna, total ni parcialmente los derechos y obligaciones que nacen del desarrollo de la licitación. No se permite subcontratación.</t>
        </is>
      </c>
      <c r="U49" s="0" t="inlineStr">
        <is>
          <t xml:space="preserve">deisy cardenas</t>
        </is>
      </c>
      <c r="V49"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49"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50">
      <c r="A50" s="0" t="inlineStr">
        <is>
          <t xml:space="preserve">4375-142-LE26</t>
        </is>
      </c>
      <c r="B50" s="4" t="inlineStr">
        <is>
          <t xml:space="preserve">ARRIENDO SOFTWARE Y EQUIPOS PARA SISTEMA GESTOR DE FILAS</t>
        </is>
      </c>
      <c r="C50" s="0" t="inlineStr">
        <is>
          <t xml:space="preserve">Publicada</t>
        </is>
      </c>
      <c r="D50" s="0" t="inlineStr">
        <is>
          <t xml:space="preserve">HOSPITAL GUILLERMO GRANT BENAVENTE DE CO</t>
        </is>
      </c>
      <c r="E50" s="0" t="inlineStr">
        <is>
          <t xml:space="preserve">Abastecimiento General</t>
        </is>
      </c>
      <c r="F50" s="0" t="inlineStr">
        <is>
          <t xml:space="preserve">Región del Biobío </t>
        </is>
      </c>
      <c r="G50" s="0" t="inlineStr">
        <is>
          <t xml:space="preserve">Santiago</t>
        </is>
      </c>
      <c r="H50" s="2">
        <v>46310.46787</v>
      </c>
      <c r="I50" s="2">
        <v>46321.708333</v>
      </c>
      <c r="J50" s="0">
        <v>7</v>
      </c>
      <c r="K50" s="3"/>
      <c r="L50" s="0" t="inlineStr">
        <is>
          <t xml:space="preserve">CLP</t>
        </is>
      </c>
      <c r="M50" s="0" t="inlineStr">
        <is>
          <t xml:space="preserve">LE</t>
        </is>
      </c>
      <c r="N50" s="4" t="inlineStr">
        <is>
          <t xml:space="preserve">Equipos y suministros de defensa, orden público, protección y seguridad / Equipos para orden público / Equipo para control de disturbios</t>
        </is>
      </c>
      <c r="O50" s="4" t="inlineStr">
        <is>
          <t xml:space="preserve">24 Mes · Sistemas de control de formación de filas</t>
        </is>
      </c>
      <c r="P50" s="2"/>
      <c r="Q50" s="2"/>
      <c r="R50" s="0" t="inlineStr">
        <is>
          <t xml:space="preserve">24 meses</t>
        </is>
      </c>
      <c r="S50" s="0" t="inlineStr">
        <is>
          <t xml:space="preserve">No</t>
        </is>
      </c>
      <c r="T50" s="4" t="inlineStr">
        <is>
          <t xml:space="preserve">Se Prohíbe la  subcontratación</t>
        </is>
      </c>
      <c r="U50" s="0" t="inlineStr">
        <is>
          <t xml:space="preserve">Lisette Garcés Carrasco</t>
        </is>
      </c>
      <c r="V50" s="4" t="inlineStr">
        <is>
          <t xml:space="preserve">ARRIENDO SOFTWARE Y EQUIPOS PARA SISTEMA GESTOR DE FILAS</t>
        </is>
      </c>
      <c r="W50"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51">
      <c r="A51" s="0" t="inlineStr">
        <is>
          <t xml:space="preserve">538598-41-LE26</t>
        </is>
      </c>
      <c r="B51" s="4" t="inlineStr">
        <is>
          <t xml:space="preserve">Servicio LME - arriendo de lectores huella digital</t>
        </is>
      </c>
      <c r="C51" s="0" t="inlineStr">
        <is>
          <t xml:space="preserve">Publicada</t>
        </is>
      </c>
      <c r="D51" s="0" t="inlineStr">
        <is>
          <t xml:space="preserve">HOSPITAL METROPOLITANO DE SANTIAGO</t>
        </is>
      </c>
      <c r="E51" s="0" t="inlineStr">
        <is>
          <t xml:space="preserve">ABASTECIMIENTO</t>
        </is>
      </c>
      <c r="F51" s="0" t="inlineStr">
        <is>
          <t xml:space="preserve">Región Metropolitana de Santiago</t>
        </is>
      </c>
      <c r="G51" s="0" t="inlineStr">
        <is>
          <t xml:space="preserve">Providencia</t>
        </is>
      </c>
      <c r="H51" s="2">
        <v>46310.430903</v>
      </c>
      <c r="I51" s="2">
        <v>46321.708333</v>
      </c>
      <c r="J51" s="0">
        <v>7</v>
      </c>
      <c r="K51" s="3"/>
      <c r="L51" s="0" t="inlineStr">
        <is>
          <t xml:space="preserve">CLP</t>
        </is>
      </c>
      <c r="M51" s="0" t="inlineStr">
        <is>
          <t xml:space="preserve">LE</t>
        </is>
      </c>
      <c r="N51"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51" s="4" t="inlineStr">
        <is>
          <t xml:space="preserve">1 Unidad · Software de sistema experto · 1 Unidad · Software del sistema de administración de bases de datos · 28 Unidad · Circuitos integrados digitales</t>
        </is>
      </c>
      <c r="P51" s="2"/>
      <c r="Q51" s="2"/>
      <c r="R51" s="0" t="inlineStr">
        <is>
          <t xml:space="preserve">36 meses</t>
        </is>
      </c>
      <c r="S51" s="0" t="inlineStr">
        <is>
          <t xml:space="preserve">No</t>
        </is>
      </c>
      <c r="T51" s="4"/>
      <c r="U51" s="0" t="inlineStr">
        <is>
          <t xml:space="preserve">Nicole Cañete Moya</t>
        </is>
      </c>
      <c r="V51"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51"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52">
      <c r="A52" s="0" t="inlineStr">
        <is>
          <t xml:space="preserve">610-20-LE26</t>
        </is>
      </c>
      <c r="B52" s="4" t="inlineStr">
        <is>
          <t xml:space="preserve">Proyecto de Automatización y uso de Inteligencia Artificial en los modelos de Proyección de Demanda</t>
        </is>
      </c>
      <c r="C52" s="0" t="inlineStr">
        <is>
          <t xml:space="preserve">Publicada</t>
        </is>
      </c>
      <c r="D52" s="0" t="inlineStr">
        <is>
          <t xml:space="preserve">Comisión Nacional de Energía</t>
        </is>
      </c>
      <c r="E52" s="0" t="inlineStr">
        <is>
          <t xml:space="preserve">Comisión Nacional de Energía</t>
        </is>
      </c>
      <c r="F52" s="0" t="inlineStr">
        <is>
          <t xml:space="preserve">Región Metropolitana de Santiago</t>
        </is>
      </c>
      <c r="G52" s="0" t="inlineStr">
        <is>
          <t xml:space="preserve">Santiago Centro</t>
        </is>
      </c>
      <c r="H52" s="2">
        <v>46309.432894</v>
      </c>
      <c r="I52" s="2">
        <v>46321.708333</v>
      </c>
      <c r="J52" s="0">
        <v>7</v>
      </c>
      <c r="K52" s="3">
        <v>20467000.0</v>
      </c>
      <c r="L52" s="0" t="inlineStr">
        <is>
          <t xml:space="preserve">CLP</t>
        </is>
      </c>
      <c r="M52" s="0" t="inlineStr">
        <is>
          <t xml:space="preserve">LE</t>
        </is>
      </c>
      <c r="N52" s="4" t="inlineStr">
        <is>
          <t xml:space="preserve">Servicios basados en ingeniería, ciencias sociales y tecnología de la información / Servicios profesionales de ingeniería / Ingeniería eléctrica y electrónica</t>
        </is>
      </c>
      <c r="O52" s="4" t="inlineStr">
        <is>
          <t xml:space="preserve">1 Unidad · Ingeniería eléctrica</t>
        </is>
      </c>
      <c r="P52" s="2"/>
      <c r="Q52" s="2"/>
      <c r="R52" s="0" t="inlineStr">
        <is>
          <t xml:space="preserve">180 días</t>
        </is>
      </c>
      <c r="S52" s="0" t="inlineStr">
        <is>
          <t xml:space="preserve">No</t>
        </is>
      </c>
      <c r="T52" s="4" t="inlineStr">
        <is>
          <t xml:space="preserve">De acuerdo a lo establecido en Bases de Licitación adjuntas.</t>
        </is>
      </c>
      <c r="U52" s="0" t="inlineStr">
        <is>
          <t xml:space="preserve">Martín Osorio Campusano</t>
        </is>
      </c>
      <c r="V52"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52"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53">
      <c r="A53" s="0" t="inlineStr">
        <is>
          <t xml:space="preserve">799595-5-LP26</t>
        </is>
      </c>
      <c r="B53" s="4" t="inlineStr">
        <is>
          <t xml:space="preserve">Servicio de Cloud Computing MINDEP</t>
        </is>
      </c>
      <c r="C53" s="0" t="inlineStr">
        <is>
          <t xml:space="preserve">Publicada</t>
        </is>
      </c>
      <c r="D53" s="0" t="inlineStr">
        <is>
          <t xml:space="preserve">SUBSECRETARIA DEL DEPORTE</t>
        </is>
      </c>
      <c r="E53" s="0" t="inlineStr">
        <is>
          <t xml:space="preserve">Subsecretaría del Deporte</t>
        </is>
      </c>
      <c r="F53" s="0" t="inlineStr">
        <is>
          <t xml:space="preserve">Región Metropolitana de Santiago</t>
        </is>
      </c>
      <c r="G53" s="0" t="inlineStr">
        <is>
          <t xml:space="preserve">Providencia</t>
        </is>
      </c>
      <c r="H53" s="2">
        <v>46301.788206</v>
      </c>
      <c r="I53" s="2">
        <v>46321.708333</v>
      </c>
      <c r="J53" s="0">
        <v>7</v>
      </c>
      <c r="K53" s="3">
        <v>106618.0</v>
      </c>
      <c r="L53" s="0" t="inlineStr">
        <is>
          <t xml:space="preserve">USD</t>
        </is>
      </c>
      <c r="M53" s="0" t="inlineStr">
        <is>
          <t xml:space="preserve">LP</t>
        </is>
      </c>
      <c r="N53" s="4" t="inlineStr">
        <is>
          <t xml:space="preserve">Servicios basados en ingeniería, ciencias sociales y tecnología de la información / Servicios informáticos / Servicios de datos</t>
        </is>
      </c>
      <c r="O53" s="4" t="inlineStr">
        <is>
          <t xml:space="preserve">1 Unidad · Centro de servicios de datos</t>
        </is>
      </c>
      <c r="P53" s="2"/>
      <c r="Q53" s="2"/>
      <c r="R53" s="0" t="inlineStr">
        <is>
          <t xml:space="preserve">36 meses</t>
        </is>
      </c>
      <c r="S53" s="0" t="inlineStr">
        <is>
          <t xml:space="preserve">No</t>
        </is>
      </c>
      <c r="T53" s="4"/>
      <c r="U53" s="0" t="inlineStr">
        <is>
          <t xml:space="preserve">Ignacio Sáez</t>
        </is>
      </c>
      <c r="V53" s="4" t="inlineStr">
        <is>
          <t xml:space="preserve">Servicio de Cloud Computing y Servicios Asociados para la Subsecretaría del Deporte</t>
        </is>
      </c>
      <c r="W53"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54">
      <c r="A54" s="0" t="inlineStr">
        <is>
          <t xml:space="preserve">847-59-L126</t>
        </is>
      </c>
      <c r="B54" s="4" t="inlineStr">
        <is>
          <t xml:space="preserve">PLANI - II Adquisición de Equipos Informáticos para J.I. Santa Julia_SC 61362</t>
        </is>
      </c>
      <c r="C54" s="0" t="inlineStr">
        <is>
          <t xml:space="preserve">Publicada</t>
        </is>
      </c>
      <c r="D54" s="0" t="inlineStr">
        <is>
          <t xml:space="preserve">JUNTA NACIONAL DE JARDINES         INFANTILES</t>
        </is>
      </c>
      <c r="E54" s="0" t="inlineStr">
        <is>
          <t xml:space="preserve">Junji - V Región</t>
        </is>
      </c>
      <c r="F54" s="0" t="inlineStr">
        <is>
          <t xml:space="preserve">Región de Valparaíso </t>
        </is>
      </c>
      <c r="G54" s="0" t="inlineStr">
        <is>
          <t xml:space="preserve">Viña del Mar</t>
        </is>
      </c>
      <c r="H54" s="2">
        <v>46311.481481</v>
      </c>
      <c r="I54" s="2">
        <v>46321.75</v>
      </c>
      <c r="J54" s="0">
        <v>7</v>
      </c>
      <c r="K54" s="3">
        <v>3886503.0</v>
      </c>
      <c r="L54" s="0" t="inlineStr">
        <is>
          <t xml:space="preserve">CLP</t>
        </is>
      </c>
      <c r="M54" s="0" t="inlineStr">
        <is>
          <t xml:space="preserve">L1</t>
        </is>
      </c>
      <c r="N54"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54" s="4" t="inlineStr">
        <is>
          <t xml:space="preserve">4 Unidad · Notebook, laptop o computador portátil excepto Tablet PC · 2 Unidad · Proyectores de diapositivas</t>
        </is>
      </c>
      <c r="P54" s="2"/>
      <c r="Q54" s="2"/>
      <c r="R54" s="0"/>
      <c r="S54" s="0" t="inlineStr">
        <is>
          <t xml:space="preserve">No</t>
        </is>
      </c>
      <c r="T54" s="4"/>
      <c r="U54" s="0"/>
      <c r="V54" s="4" t="inlineStr">
        <is>
          <t xml:space="preserve">Según resolución exenta N°1117 de fecha 15 de noviembre de 2026</t>
        </is>
      </c>
      <c r="W54"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55">
      <c r="A55" s="0" t="inlineStr">
        <is>
          <t xml:space="preserve">2440-63-LE26</t>
        </is>
      </c>
      <c r="B55" s="4" t="inlineStr">
        <is>
          <t xml:space="preserve">Habilitación y Adquisición de Equipo Informático para la Instalación conexión y Administración de la RED de datos e Iluminación WIFI para el Establecimiento Educacional Instituto Ingles de Curicó</t>
        </is>
      </c>
      <c r="C55" s="0" t="inlineStr">
        <is>
          <t xml:space="preserve">Publicada</t>
        </is>
      </c>
      <c r="D55" s="0" t="inlineStr">
        <is>
          <t xml:space="preserve">I MUNICIPALIDAD DE CURICO</t>
        </is>
      </c>
      <c r="E55" s="0" t="inlineStr">
        <is>
          <t xml:space="preserve">Municipalidad de Curicó - Educación - Adquisiciones</t>
        </is>
      </c>
      <c r="F55" s="0" t="inlineStr">
        <is>
          <t xml:space="preserve">Región del Maule </t>
        </is>
      </c>
      <c r="G55" s="0"/>
      <c r="H55" s="2">
        <v>46311.545718</v>
      </c>
      <c r="I55" s="2">
        <v>46321.776389</v>
      </c>
      <c r="J55" s="0">
        <v>7</v>
      </c>
      <c r="K55" s="3"/>
      <c r="L55" s="0" t="inlineStr">
        <is>
          <t xml:space="preserve">CLP</t>
        </is>
      </c>
      <c r="M55" s="0" t="inlineStr">
        <is>
          <t xml:space="preserve">LE</t>
        </is>
      </c>
      <c r="N55" s="4" t="inlineStr">
        <is>
          <t xml:space="preserve">Tecnologías de la información, telecomunicaciones y radiodifusión / Equipos, plataformas y accesorios de redes multimedia, voz y datos / Equipos de servicio de red</t>
        </is>
      </c>
      <c r="O55" s="4" t="inlineStr">
        <is>
          <t xml:space="preserve">1 Unidad · Equipo de red de video</t>
        </is>
      </c>
      <c r="P55" s="2"/>
      <c r="Q55" s="2"/>
      <c r="R55" s="0"/>
      <c r="S55" s="0" t="inlineStr">
        <is>
          <t xml:space="preserve">No</t>
        </is>
      </c>
      <c r="T55" s="4"/>
      <c r="U55" s="0" t="inlineStr">
        <is>
          <t xml:space="preserve">Gonzalo Pino Muñoz</t>
        </is>
      </c>
      <c r="V55"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55"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56">
      <c r="A56" s="0" t="inlineStr">
        <is>
          <t xml:space="preserve">434-110-LP26</t>
        </is>
      </c>
      <c r="B56" s="4" t="inlineStr">
        <is>
          <t xml:space="preserve">SISTEMA DE GESTIÓN DOCUMENTAL SEGÚN LEY N°21.180</t>
        </is>
      </c>
      <c r="C56" s="0" t="inlineStr">
        <is>
          <t xml:space="preserve">Publicada</t>
        </is>
      </c>
      <c r="D56" s="0" t="inlineStr">
        <is>
          <t xml:space="preserve">I MUNICIPALIDAD DE CAUQUENES</t>
        </is>
      </c>
      <c r="E56" s="0" t="inlineStr">
        <is>
          <t xml:space="preserve">Adquisiciones</t>
        </is>
      </c>
      <c r="F56" s="0" t="inlineStr">
        <is>
          <t xml:space="preserve">Región del Maule </t>
        </is>
      </c>
      <c r="G56" s="0" t="inlineStr">
        <is>
          <t xml:space="preserve">Cauquenes</t>
        </is>
      </c>
      <c r="H56" s="2">
        <v>46302.681944</v>
      </c>
      <c r="I56" s="2">
        <v>46322.375</v>
      </c>
      <c r="J56" s="0">
        <v>8</v>
      </c>
      <c r="K56" s="3">
        <v>75000000.0</v>
      </c>
      <c r="L56" s="0" t="inlineStr">
        <is>
          <t xml:space="preserve">CLP</t>
        </is>
      </c>
      <c r="M56" s="0" t="inlineStr">
        <is>
          <t xml:space="preserve">LP</t>
        </is>
      </c>
      <c r="N56" s="4" t="inlineStr">
        <is>
          <t xml:space="preserve">Artículos para estructuras, obras y construcciones / Construcciones permanentes / Construcciones para educación e investigación</t>
        </is>
      </c>
      <c r="O56" s="4" t="inlineStr">
        <is>
          <t xml:space="preserve">1 Unidad · Servicios de investigación o medición · 1 Unidad · Servicios de investigación o medición</t>
        </is>
      </c>
      <c r="P56" s="2"/>
      <c r="Q56" s="2"/>
      <c r="R56" s="0" t="inlineStr">
        <is>
          <t xml:space="preserve">36 meses</t>
        </is>
      </c>
      <c r="S56" s="0" t="inlineStr">
        <is>
          <t xml:space="preserve">No</t>
        </is>
      </c>
      <c r="T56" s="4"/>
      <c r="U56" s="0" t="inlineStr">
        <is>
          <t xml:space="preserve">CHRISTIAN AGUILERA LETELIER</t>
        </is>
      </c>
      <c r="V56" s="4" t="inlineStr">
        <is>
          <t xml:space="preserve">TENER UN SISTEMA PARA ACOMPAÑAMIENTO EN LA IMPLEMENTACIÓN DE LA LEY DE TRANSFORMACIÓN DIGITAL DEL ESTADO.</t>
        </is>
      </c>
      <c r="W56"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57">
      <c r="A57" s="0" t="inlineStr">
        <is>
          <t xml:space="preserve">2308-90-LE26</t>
        </is>
      </c>
      <c r="B57" s="4" t="inlineStr">
        <is>
          <t xml:space="preserve">REPARACIÓN MODERNIZACIÓN PUESTA EN MARCHA Y CERTIFICACIÓN DEL ASCENSOR DEL EDIFICIO CONSISTORIAL OSORNO</t>
        </is>
      </c>
      <c r="C57" s="0" t="inlineStr">
        <is>
          <t xml:space="preserve">Publicada</t>
        </is>
      </c>
      <c r="D57" s="0" t="inlineStr">
        <is>
          <t xml:space="preserve">I MUNICIPALIDAD DE OSORNO</t>
        </is>
      </c>
      <c r="E57" s="0" t="inlineStr">
        <is>
          <t xml:space="preserve">SECRETARIA DE PLANIFICACION</t>
        </is>
      </c>
      <c r="F57" s="0" t="inlineStr">
        <is>
          <t xml:space="preserve">Región de los Lagos </t>
        </is>
      </c>
      <c r="G57" s="0" t="inlineStr">
        <is>
          <t xml:space="preserve">Osorno</t>
        </is>
      </c>
      <c r="H57" s="2">
        <v>46303.685648</v>
      </c>
      <c r="I57" s="2">
        <v>46322.416667</v>
      </c>
      <c r="J57" s="0">
        <v>8</v>
      </c>
      <c r="K57" s="3"/>
      <c r="L57" s="0" t="inlineStr">
        <is>
          <t xml:space="preserve">CLP</t>
        </is>
      </c>
      <c r="M57" s="0" t="inlineStr">
        <is>
          <t xml:space="preserve">LE</t>
        </is>
      </c>
      <c r="N57" s="4" t="inlineStr">
        <is>
          <t xml:space="preserve">Servicios de construcción y mantenimiento / Servicios de atención, mantenimiento y reparaciones de edificios / Servicios de apoyo para la construcción</t>
        </is>
      </c>
      <c r="O57" s="4" t="inlineStr">
        <is>
          <t xml:space="preserve">1 Unidad · Servicios de mantenimiento de ascensores</t>
        </is>
      </c>
      <c r="P57" s="2"/>
      <c r="Q57" s="2"/>
      <c r="R57" s="0"/>
      <c r="S57" s="0" t="inlineStr">
        <is>
          <t xml:space="preserve">No</t>
        </is>
      </c>
      <c r="T57" s="4"/>
      <c r="U57" s="0" t="inlineStr">
        <is>
          <t xml:space="preserve">I.MUNICIPALIDAD DE OSORNO</t>
        </is>
      </c>
      <c r="V57"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57"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58">
      <c r="A58" s="0" t="inlineStr">
        <is>
          <t xml:space="preserve">5482-94-LP26</t>
        </is>
      </c>
      <c r="B58" s="4" t="inlineStr">
        <is>
          <t xml:space="preserve">SERVICIO DE ARRIENDO MANTENCIÓN Y SOPORTE DE PLATAFORMA DOM</t>
        </is>
      </c>
      <c r="C58" s="0" t="inlineStr">
        <is>
          <t xml:space="preserve">Publicada</t>
        </is>
      </c>
      <c r="D58" s="0" t="inlineStr">
        <is>
          <t xml:space="preserve">I MUNICIPALIDAD DE NUNOA</t>
        </is>
      </c>
      <c r="E58" s="0" t="inlineStr">
        <is>
          <t xml:space="preserve">SECPLANUNOA</t>
        </is>
      </c>
      <c r="F58" s="0" t="inlineStr">
        <is>
          <t xml:space="preserve">Región Metropolitana de Santiago</t>
        </is>
      </c>
      <c r="G58" s="0" t="inlineStr">
        <is>
          <t xml:space="preserve">Ñuñoa</t>
        </is>
      </c>
      <c r="H58" s="2">
        <v>46300.41875</v>
      </c>
      <c r="I58" s="2">
        <v>46322.416667</v>
      </c>
      <c r="J58" s="0">
        <v>8</v>
      </c>
      <c r="K58" s="3"/>
      <c r="L58" s="0" t="inlineStr">
        <is>
          <t xml:space="preserve">CLP</t>
        </is>
      </c>
      <c r="M58" s="0" t="inlineStr">
        <is>
          <t xml:space="preserve">LP</t>
        </is>
      </c>
      <c r="N58" s="4" t="inlineStr">
        <is>
          <t xml:space="preserve">Tecnologías de la información, telecomunicaciones y radiodifusión / Software / Programas de desarrollo</t>
        </is>
      </c>
      <c r="O58" s="4" t="inlineStr">
        <is>
          <t xml:space="preserve">1 Unidad · Software de desarrollo de plataforma Web</t>
        </is>
      </c>
      <c r="P58" s="2"/>
      <c r="Q58" s="2"/>
      <c r="R58" s="0" t="inlineStr">
        <is>
          <t xml:space="preserve">36 meses</t>
        </is>
      </c>
      <c r="S58" s="0" t="inlineStr">
        <is>
          <t xml:space="preserve">No</t>
        </is>
      </c>
      <c r="T58" s="4"/>
      <c r="U58" s="0" t="inlineStr">
        <is>
          <t xml:space="preserve">Katherine Ayala</t>
        </is>
      </c>
      <c r="V58"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58"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59">
      <c r="A59" s="0" t="inlineStr">
        <is>
          <t xml:space="preserve">1514-113-LE26</t>
        </is>
      </c>
      <c r="B59" s="4" t="inlineStr">
        <is>
          <t xml:space="preserve">Convenio de Sistema de Gestión de Calidad en Salud GCS bajo modalidad Cloud</t>
        </is>
      </c>
      <c r="C59" s="0" t="inlineStr">
        <is>
          <t xml:space="preserve">Publicada</t>
        </is>
      </c>
      <c r="D59" s="0" t="inlineStr">
        <is>
          <t xml:space="preserve">SERVICIO DE SALUD CHILOE</t>
        </is>
      </c>
      <c r="E59" s="0" t="inlineStr">
        <is>
          <t xml:space="preserve">Hospital de Castro</t>
        </is>
      </c>
      <c r="F59" s="0" t="inlineStr">
        <is>
          <t xml:space="preserve">Región de los Lagos </t>
        </is>
      </c>
      <c r="G59" s="0" t="inlineStr">
        <is>
          <t xml:space="preserve">Ancud</t>
        </is>
      </c>
      <c r="H59" s="2">
        <v>46310.637083</v>
      </c>
      <c r="I59" s="2">
        <v>46322.625</v>
      </c>
      <c r="J59" s="0">
        <v>8</v>
      </c>
      <c r="K59" s="3"/>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36 Mes · Programas de gestión de configuración</t>
        </is>
      </c>
      <c r="P59" s="2"/>
      <c r="Q59" s="2"/>
      <c r="R59" s="0" t="inlineStr">
        <is>
          <t xml:space="preserve">36 meses</t>
        </is>
      </c>
      <c r="S59" s="0" t="inlineStr">
        <is>
          <t xml:space="preserve">No</t>
        </is>
      </c>
      <c r="T59" s="4" t="inlineStr">
        <is>
          <t xml:space="preserve">DE ACUERDO A BASES ADMINISTRATIVAS</t>
        </is>
      </c>
      <c r="U59" s="0" t="inlineStr">
        <is>
          <t xml:space="preserve">Alex Gomez De La Torre</t>
        </is>
      </c>
      <c r="V59" s="4" t="inlineStr">
        <is>
          <t xml:space="preserve">Hospital de Castro requiere realizar Licitación Pública para establecer dicho Convenio de Sistema de Gestión de Calidad en Salud (GCS) bajo modalidad Cloud y con ello permitir el normal funcionamiento del Hospital</t>
        </is>
      </c>
      <c r="W59"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60">
      <c r="A60" s="0" t="inlineStr">
        <is>
          <t xml:space="preserve">2667-71-LR26</t>
        </is>
      </c>
      <c r="B60" s="4" t="inlineStr">
        <is>
          <t xml:space="preserve">ARRIENDO SOPORTE Y MANTENCIÓN DE CENTRAL TELEFONICA IP TELEFONOS IP Y PLATAFORMA DE CONTACT CENTER</t>
        </is>
      </c>
      <c r="C60" s="0" t="inlineStr">
        <is>
          <t xml:space="preserve">Publicada</t>
        </is>
      </c>
      <c r="D60" s="0" t="inlineStr">
        <is>
          <t xml:space="preserve">I MUNICIPALIDAD DE VITACURA</t>
        </is>
      </c>
      <c r="E60" s="0" t="inlineStr">
        <is>
          <t xml:space="preserve">SECPLA</t>
        </is>
      </c>
      <c r="F60" s="0" t="inlineStr">
        <is>
          <t xml:space="preserve">Región Metropolitana de Santiago</t>
        </is>
      </c>
      <c r="G60" s="0" t="inlineStr">
        <is>
          <t xml:space="preserve">Vitacura</t>
        </is>
      </c>
      <c r="H60" s="2">
        <v>46282.543056</v>
      </c>
      <c r="I60" s="2">
        <v>46322.625</v>
      </c>
      <c r="J60" s="0">
        <v>8</v>
      </c>
      <c r="K60" s="3"/>
      <c r="L60" s="0" t="inlineStr">
        <is>
          <t xml:space="preserve">CLF</t>
        </is>
      </c>
      <c r="M60" s="0" t="inlineStr">
        <is>
          <t xml:space="preserve">LR</t>
        </is>
      </c>
      <c r="N60" s="4" t="inlineStr">
        <is>
          <t xml:space="preserve">Equipos y suministros de defensa, orden público, protección y seguridad / Seguridad, vigilancia y detección / Equipo de vigilancia y detección</t>
        </is>
      </c>
      <c r="O60" s="4" t="inlineStr">
        <is>
          <t xml:space="preserve">1 Global · Sistemas de alarma</t>
        </is>
      </c>
      <c r="P60" s="2"/>
      <c r="Q60" s="2"/>
      <c r="R60" s="0" t="inlineStr">
        <is>
          <t xml:space="preserve">48 meses</t>
        </is>
      </c>
      <c r="S60" s="0" t="inlineStr">
        <is>
          <t xml:space="preserve">No</t>
        </is>
      </c>
      <c r="T60" s="4"/>
      <c r="U60" s="0" t="inlineStr">
        <is>
          <t xml:space="preserve">Gonzalo Fuentes Osses</t>
        </is>
      </c>
      <c r="V60"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60"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61">
      <c r="A61" s="0" t="inlineStr">
        <is>
          <t xml:space="preserve">622-64-L126</t>
        </is>
      </c>
      <c r="B61" s="4" t="inlineStr">
        <is>
          <t xml:space="preserve">CONTRATACIÓN DEL CURSO INTELIGENCIA ARTIFICIAL APLICADA A LA GESTIÓN GREMIAL Y LA FUNCIÓN PÚBLICA</t>
        </is>
      </c>
      <c r="C61" s="0" t="inlineStr">
        <is>
          <t xml:space="preserve">Publicada</t>
        </is>
      </c>
      <c r="D61" s="0" t="inlineStr">
        <is>
          <t xml:space="preserve">TESORERIA GENERAL DE LA REPUBLICA</t>
        </is>
      </c>
      <c r="E61" s="0" t="inlineStr">
        <is>
          <t xml:space="preserve">Tesorería General de la República</t>
        </is>
      </c>
      <c r="F61" s="0" t="inlineStr">
        <is>
          <t xml:space="preserve">Región Metropolitana de Santiago</t>
        </is>
      </c>
      <c r="G61" s="0" t="inlineStr">
        <is>
          <t xml:space="preserve">Ñuñoa</t>
        </is>
      </c>
      <c r="H61" s="2">
        <v>46304.640752</v>
      </c>
      <c r="I61" s="2">
        <v>46322.625</v>
      </c>
      <c r="J61" s="0">
        <v>8</v>
      </c>
      <c r="K61" s="3">
        <v>5000000.0</v>
      </c>
      <c r="L61" s="0" t="inlineStr">
        <is>
          <t xml:space="preserve">CLP</t>
        </is>
      </c>
      <c r="M61" s="0" t="inlineStr">
        <is>
          <t xml:space="preserve">L1</t>
        </is>
      </c>
      <c r="N61" s="4" t="inlineStr">
        <is>
          <t xml:space="preserve">Educación, formación, entrenamiento y capacitación / Sistemas educativos complementarios / Educación de adultos</t>
        </is>
      </c>
      <c r="O61" s="4" t="inlineStr">
        <is>
          <t xml:space="preserve">1 Unidad · Capacitación a empleados</t>
        </is>
      </c>
      <c r="P61" s="2"/>
      <c r="Q61" s="2"/>
      <c r="R61" s="0"/>
      <c r="S61" s="0" t="inlineStr">
        <is>
          <t xml:space="preserve">No</t>
        </is>
      </c>
      <c r="T61" s="4"/>
      <c r="U61" s="0"/>
      <c r="V61"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61"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62">
      <c r="A62" s="0" t="inlineStr">
        <is>
          <t xml:space="preserve">5360-5-LP26</t>
        </is>
      </c>
      <c r="B62" s="4" t="inlineStr">
        <is>
          <t xml:space="preserve">SERVICIOS DE ELECTRICIDAD Y DATOS UTA - ARICA</t>
        </is>
      </c>
      <c r="C62" s="0" t="inlineStr">
        <is>
          <t xml:space="preserve">Publicada</t>
        </is>
      </c>
      <c r="D62" s="0" t="inlineStr">
        <is>
          <t xml:space="preserve">UNIVERSIDAD DE TARAPACA</t>
        </is>
      </c>
      <c r="E62" s="0" t="inlineStr">
        <is>
          <t xml:space="preserve">DIRECCIÓN DE SERVICIOS Y  LOGÍSTICA</t>
        </is>
      </c>
      <c r="F62" s="0" t="inlineStr">
        <is>
          <t xml:space="preserve">Región de Arica y Parinacota</t>
        </is>
      </c>
      <c r="G62" s="0" t="inlineStr">
        <is>
          <t xml:space="preserve">Arica</t>
        </is>
      </c>
      <c r="H62" s="2">
        <v>46302.721933</v>
      </c>
      <c r="I62" s="2">
        <v>46322.666667</v>
      </c>
      <c r="J62" s="0">
        <v>8</v>
      </c>
      <c r="K62" s="3"/>
      <c r="L62" s="0" t="inlineStr">
        <is>
          <t xml:space="preserve">CLP</t>
        </is>
      </c>
      <c r="M62" s="0" t="inlineStr">
        <is>
          <t xml:space="preserve">LP</t>
        </is>
      </c>
      <c r="N62" s="4" t="inlineStr">
        <is>
          <t xml:space="preserve">Servicios de construcción y mantenimiento / Servicios de atención, mantenimiento y reparaciones de edificios / Servicios eléctricos</t>
        </is>
      </c>
      <c r="O62" s="4" t="inlineStr">
        <is>
          <t xml:space="preserve">1 Unidad · Instalación o servicio de sistemas de energía eléctrica</t>
        </is>
      </c>
      <c r="P62" s="2"/>
      <c r="Q62" s="2"/>
      <c r="R62" s="0" t="inlineStr">
        <is>
          <t xml:space="preserve">24 meses</t>
        </is>
      </c>
      <c r="S62" s="0" t="inlineStr">
        <is>
          <t xml:space="preserve">No</t>
        </is>
      </c>
      <c r="T62" s="4" t="inlineStr">
        <is>
          <t xml:space="preserve">No permite subcontratación. De acuerdo al Capítulo VIII Contrato de suministro
y servicio, párrafo 4 Cesión y subcontratación, Artículo 128 reglamento.
Subcontratación del reglamento de Ley Nº 19.886 sobre compras Públicas.</t>
        </is>
      </c>
      <c r="U62" s="0" t="inlineStr">
        <is>
          <t xml:space="preserve">Armando Villalobos</t>
        </is>
      </c>
      <c r="V62"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62"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63">
      <c r="A63" s="0" t="inlineStr">
        <is>
          <t xml:space="preserve">2981-287-LP26</t>
        </is>
      </c>
      <c r="B63" s="4" t="inlineStr">
        <is>
          <t xml:space="preserve">CIBERSEGURIDAD- CONSULTORIA</t>
        </is>
      </c>
      <c r="C63" s="0" t="inlineStr">
        <is>
          <t xml:space="preserve">Publicada</t>
        </is>
      </c>
      <c r="D63" s="0" t="inlineStr">
        <is>
          <t xml:space="preserve">POLICIA DE INVESTIGACIONES DE CHILE</t>
        </is>
      </c>
      <c r="E63" s="0" t="inlineStr">
        <is>
          <t xml:space="preserve">DEPARTAMENTO ADMINISTRATIVO</t>
        </is>
      </c>
      <c r="F63" s="0" t="inlineStr">
        <is>
          <t xml:space="preserve">Región Metropolitana de Santiago</t>
        </is>
      </c>
      <c r="G63" s="0" t="inlineStr">
        <is>
          <t xml:space="preserve">Santiago Centro</t>
        </is>
      </c>
      <c r="H63" s="2">
        <v>46303.658333</v>
      </c>
      <c r="I63" s="2">
        <v>46323.625</v>
      </c>
      <c r="J63" s="0">
        <v>9</v>
      </c>
      <c r="K63" s="3">
        <v>80000000.0</v>
      </c>
      <c r="L63" s="0" t="inlineStr">
        <is>
          <t xml:space="preserve">CLP</t>
        </is>
      </c>
      <c r="M63" s="0" t="inlineStr">
        <is>
          <t xml:space="preserve">LP</t>
        </is>
      </c>
      <c r="N63" s="4" t="inlineStr">
        <is>
          <t xml:space="preserve">Servicios profesionales, administrativos y consultorías de gestión empresarial / Consultorías o asesorías en gestión empresarial / Servicios de consultoría en gestión de empresas</t>
        </is>
      </c>
      <c r="O63" s="4" t="inlineStr">
        <is>
          <t xml:space="preserve">1 Unidad · Asesorías en gestión estratégica</t>
        </is>
      </c>
      <c r="P63" s="2"/>
      <c r="Q63" s="2"/>
      <c r="R63" s="0" t="inlineStr">
        <is>
          <t xml:space="preserve">12 meses</t>
        </is>
      </c>
      <c r="S63" s="0" t="inlineStr">
        <is>
          <t xml:space="preserve">No</t>
        </is>
      </c>
      <c r="T63" s="4" t="inlineStr">
        <is>
          <t xml:space="preserve">No permite subcontratacion, Art 53 de las bases</t>
        </is>
      </c>
      <c r="U63" s="0" t="inlineStr">
        <is>
          <t xml:space="preserve">CRISTOPHER SILVA GUZMAN</t>
        </is>
      </c>
      <c r="V63" s="4" t="inlineStr">
        <is>
          <t xml:space="preserve">SE REQUIERE CONTRATAR LOS SERVICIOS DE CONSULTORIA SEGUN BASES ADMINISTRATIVAS, TECNICAS Y ANEXOS ADJUNTOS.</t>
        </is>
      </c>
      <c r="W63"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64">
      <c r="A64" s="0" t="inlineStr">
        <is>
          <t xml:space="preserve">622-66-LE26</t>
        </is>
      </c>
      <c r="B64" s="4" t="inlineStr">
        <is>
          <t xml:space="preserve">ADQUISICIÓN DE LICENCIAS PARA SOFTWARE DLP</t>
        </is>
      </c>
      <c r="C64" s="0" t="inlineStr">
        <is>
          <t xml:space="preserve">Publicada</t>
        </is>
      </c>
      <c r="D64" s="0" t="inlineStr">
        <is>
          <t xml:space="preserve">TESORERIA GENERAL DE LA REPUBLICA</t>
        </is>
      </c>
      <c r="E64" s="0" t="inlineStr">
        <is>
          <t xml:space="preserve">Tesorería General de la República</t>
        </is>
      </c>
      <c r="F64" s="0" t="inlineStr">
        <is>
          <t xml:space="preserve">Región Metropolitana de Santiago</t>
        </is>
      </c>
      <c r="G64" s="0" t="inlineStr">
        <is>
          <t xml:space="preserve">Santiago</t>
        </is>
      </c>
      <c r="H64" s="2">
        <v>46303.43956</v>
      </c>
      <c r="I64" s="2">
        <v>46323.625</v>
      </c>
      <c r="J64" s="0">
        <v>9</v>
      </c>
      <c r="K64" s="3">
        <v>69700000.0</v>
      </c>
      <c r="L64" s="0" t="inlineStr">
        <is>
          <t xml:space="preserve">CLP</t>
        </is>
      </c>
      <c r="M64" s="0" t="inlineStr">
        <is>
          <t xml:space="preserve">LE</t>
        </is>
      </c>
      <c r="N64" s="4" t="inlineStr">
        <is>
          <t xml:space="preserve">Tecnologías de la información, telecomunicaciones y radiodifusión / Software / Software de gestión</t>
        </is>
      </c>
      <c r="O64" s="4" t="inlineStr">
        <is>
          <t xml:space="preserve">1 Unidad · Software de gestión de licencias</t>
        </is>
      </c>
      <c r="P64" s="2"/>
      <c r="Q64" s="2"/>
      <c r="R64" s="0" t="inlineStr">
        <is>
          <t xml:space="preserve">24 meses</t>
        </is>
      </c>
      <c r="S64" s="0" t="inlineStr">
        <is>
          <t xml:space="preserve">No</t>
        </is>
      </c>
      <c r="T64"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64" s="0" t="inlineStr">
        <is>
          <t xml:space="preserve">Será indicado en el contrato a suscribir.</t>
        </is>
      </c>
      <c r="V64"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64"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65">
      <c r="A65" s="0" t="inlineStr">
        <is>
          <t xml:space="preserve">1057049-376-LP26</t>
        </is>
      </c>
      <c r="B65" s="4" t="inlineStr">
        <is>
          <t xml:space="preserve">PROV E INSTALACIÓN DE PLATAFORMAS DE SEGURIDAD PARA SHAFTS DEL HOSPITAL CLÍNICO SAN BORJA ARRIARÁN</t>
        </is>
      </c>
      <c r="C65" s="0" t="inlineStr">
        <is>
          <t xml:space="preserve">Publicada</t>
        </is>
      </c>
      <c r="D65" s="0" t="inlineStr">
        <is>
          <t xml:space="preserve">SERV SALUD METROPOLITANO CENTRAL HOSPITAL CLINICO SAN BORJA ARRIARAN</t>
        </is>
      </c>
      <c r="E65" s="0" t="inlineStr">
        <is>
          <t xml:space="preserve">Bienes y Servicios</t>
        </is>
      </c>
      <c r="F65" s="0" t="inlineStr">
        <is>
          <t xml:space="preserve">Región Metropolitana de Santiago</t>
        </is>
      </c>
      <c r="G65" s="0" t="inlineStr">
        <is>
          <t xml:space="preserve">Santiago</t>
        </is>
      </c>
      <c r="H65" s="2">
        <v>46303.592002</v>
      </c>
      <c r="I65" s="2">
        <v>46323.645833</v>
      </c>
      <c r="J65" s="0">
        <v>9</v>
      </c>
      <c r="K65" s="3"/>
      <c r="L65" s="0" t="inlineStr">
        <is>
          <t xml:space="preserve">CLP</t>
        </is>
      </c>
      <c r="M65" s="0" t="inlineStr">
        <is>
          <t xml:space="preserve">LP</t>
        </is>
      </c>
      <c r="N65" s="4" t="inlineStr">
        <is>
          <t xml:space="preserve">Maquinaria para construcción y edificación / Maquinaria pesada de construcción / Elevadores</t>
        </is>
      </c>
      <c r="O65" s="4" t="inlineStr">
        <is>
          <t xml:space="preserve">1 Global · Plataforma elevadora</t>
        </is>
      </c>
      <c r="P65" s="2"/>
      <c r="Q65" s="2"/>
      <c r="R65" s="0"/>
      <c r="S65" s="0" t="inlineStr">
        <is>
          <t xml:space="preserve">No</t>
        </is>
      </c>
      <c r="T65" s="4"/>
      <c r="U65" s="0" t="inlineStr">
        <is>
          <t xml:space="preserve">Andres Muñoz</t>
        </is>
      </c>
      <c r="V65"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65"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66">
      <c r="A66" s="0" t="inlineStr">
        <is>
          <t xml:space="preserve">1005498-24-LP26</t>
        </is>
      </c>
      <c r="B66" s="4" t="inlineStr">
        <is>
          <t xml:space="preserve">SUSCRIPCIÓN DE LICENCIAS EN MODALIDAD CLOUD</t>
        </is>
      </c>
      <c r="C66" s="0" t="inlineStr">
        <is>
          <t xml:space="preserve">Publicada</t>
        </is>
      </c>
      <c r="D66" s="0" t="inlineStr">
        <is>
          <t xml:space="preserve">COMISION PARA EL MERCADO FINANCIERO</t>
        </is>
      </c>
      <c r="E66" s="0" t="inlineStr">
        <is>
          <t xml:space="preserve">COMISION PARA EL MERCADO FINANCIERO</t>
        </is>
      </c>
      <c r="F66" s="0" t="inlineStr">
        <is>
          <t xml:space="preserve">Región Metropolitana de Santiago</t>
        </is>
      </c>
      <c r="G66" s="0" t="inlineStr">
        <is>
          <t xml:space="preserve">Santiago Centro</t>
        </is>
      </c>
      <c r="H66" s="2">
        <v>46303.688009</v>
      </c>
      <c r="I66" s="2">
        <v>46323.666667</v>
      </c>
      <c r="J66" s="0">
        <v>9</v>
      </c>
      <c r="K66" s="3">
        <v>196000.0</v>
      </c>
      <c r="L66" s="0" t="inlineStr">
        <is>
          <t xml:space="preserve">USD</t>
        </is>
      </c>
      <c r="M66" s="0" t="inlineStr">
        <is>
          <t xml:space="preserve">LP</t>
        </is>
      </c>
      <c r="N66" s="4" t="inlineStr">
        <is>
          <t xml:space="preserve">Servicios basados en ingeniería, ciencias sociales y tecnología de la información / Servicios informáticos / Mantenimiento y soporte de software</t>
        </is>
      </c>
      <c r="O66" s="4" t="inlineStr">
        <is>
          <t xml:space="preserve">1 Global · Up grade de software</t>
        </is>
      </c>
      <c r="P66" s="2"/>
      <c r="Q66" s="2"/>
      <c r="R66" s="0" t="inlineStr">
        <is>
          <t xml:space="preserve">36 meses</t>
        </is>
      </c>
      <c r="S66" s="0" t="inlineStr">
        <is>
          <t xml:space="preserve">No</t>
        </is>
      </c>
      <c r="T66" s="4" t="inlineStr">
        <is>
          <t xml:space="preserve">No se permite según Art.13.2.2 de Bases de licitación</t>
        </is>
      </c>
      <c r="U66" s="0" t="inlineStr">
        <is>
          <t xml:space="preserve">CHRISTIAN METCALFE</t>
        </is>
      </c>
      <c r="V66"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66"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67">
      <c r="A67" s="0" t="inlineStr">
        <is>
          <t xml:space="preserve">5512-18-LE26</t>
        </is>
      </c>
      <c r="B67" s="4" t="inlineStr">
        <is>
          <t xml:space="preserve">ADQUISICIÓN DE MINICOMPUTADORES PARA IA PROYECTO UTA 22991</t>
        </is>
      </c>
      <c r="C67" s="0" t="inlineStr">
        <is>
          <t xml:space="preserve">Publicada</t>
        </is>
      </c>
      <c r="D67" s="0" t="inlineStr">
        <is>
          <t xml:space="preserve">UNIVERSIDAD DE TARAPACA</t>
        </is>
      </c>
      <c r="E67" s="0" t="inlineStr">
        <is>
          <t xml:space="preserve">Convenio de Desempeño</t>
        </is>
      </c>
      <c r="F67" s="0" t="inlineStr">
        <is>
          <t xml:space="preserve">Región de Arica y Parinacota</t>
        </is>
      </c>
      <c r="G67" s="0" t="inlineStr">
        <is>
          <t xml:space="preserve">Iquique</t>
        </is>
      </c>
      <c r="H67" s="2">
        <v>46304.456655</v>
      </c>
      <c r="I67" s="2">
        <v>46323.666667</v>
      </c>
      <c r="J67" s="0">
        <v>9</v>
      </c>
      <c r="K67" s="3">
        <v>30000000.0</v>
      </c>
      <c r="L67" s="0" t="inlineStr">
        <is>
          <t xml:space="preserve">CLP</t>
        </is>
      </c>
      <c r="M67" s="0" t="inlineStr">
        <is>
          <t xml:space="preserve">LE</t>
        </is>
      </c>
      <c r="N67" s="4" t="inlineStr">
        <is>
          <t xml:space="preserve">Tecnologías de la información, telecomunicaciones y radiodifusión / Equipos informáticos y accesorios / Computadores</t>
        </is>
      </c>
      <c r="O67" s="4" t="inlineStr">
        <is>
          <t xml:space="preserve">3 Unidad · Computadores de escritorio</t>
        </is>
      </c>
      <c r="P67" s="2"/>
      <c r="Q67" s="2"/>
      <c r="R67" s="0"/>
      <c r="S67" s="0" t="inlineStr">
        <is>
          <t xml:space="preserve">No</t>
        </is>
      </c>
      <c r="T67" s="4" t="inlineStr">
        <is>
          <t xml:space="preserve">No permite subcontratación De acuerdo al Capítulo IX Contrato de suministro y servicio, párrafo 4 Cesión y subcontratación, Artículo 128. Subcontratación del reglamento de Ley Nº 19.886 sobre compras Públicas.</t>
        </is>
      </c>
      <c r="U67" s="0" t="inlineStr">
        <is>
          <t xml:space="preserve">Jefe de Proyecto, UTA 22991</t>
        </is>
      </c>
      <c r="V67"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67"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68">
      <c r="A68" s="0" t="inlineStr">
        <is>
          <t xml:space="preserve">1020-55-LE26</t>
        </is>
      </c>
      <c r="B68" s="4" t="inlineStr">
        <is>
          <t xml:space="preserve">Adq. Sopor. y Actual. Software ServiceTonic MOP.</t>
        </is>
      </c>
      <c r="C68" s="0" t="inlineStr">
        <is>
          <t xml:space="preserve">Publicada</t>
        </is>
      </c>
      <c r="D68" s="0" t="inlineStr">
        <is>
          <t xml:space="preserve">MINISTERIO DE OBRAS PUBLICAS DIREC CION GRAL DE OO PP DCYF</t>
        </is>
      </c>
      <c r="E68" s="0" t="inlineStr">
        <is>
          <t xml:space="preserve">MOP Subsecretaría </t>
        </is>
      </c>
      <c r="F68" s="0" t="inlineStr">
        <is>
          <t xml:space="preserve">Región Metropolitana de Santiago</t>
        </is>
      </c>
      <c r="G68" s="0"/>
      <c r="H68" s="2">
        <v>46308.512766</v>
      </c>
      <c r="I68" s="2">
        <v>46324.625</v>
      </c>
      <c r="J68" s="0">
        <v>10</v>
      </c>
      <c r="K68" s="3">
        <v>22500000.0</v>
      </c>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50 Unidad · Software de gestión de licencias</t>
        </is>
      </c>
      <c r="P68" s="2"/>
      <c r="Q68" s="2"/>
      <c r="R68" s="0"/>
      <c r="S68" s="0" t="inlineStr">
        <is>
          <t xml:space="preserve">No</t>
        </is>
      </c>
      <c r="T68" s="4" t="inlineStr">
        <is>
          <t xml:space="preserve">El oferente adjudicado no podrá subcontratar los servicios derivados de la ejecución del contrato. VER NUMERAL 10.6 de las BA.</t>
        </is>
      </c>
      <c r="U68" s="0" t="inlineStr">
        <is>
          <t xml:space="preserve">Francisco Bórquez B.</t>
        </is>
      </c>
      <c r="V68" s="4" t="inlineStr">
        <is>
          <t xml:space="preserve">Que, el objetivo es la Adquisición de Soporte y Actualizaciones Software ServiceTonic Licencias en modalidad On-Premise, usuarios nombrados, por 12 meses.</t>
        </is>
      </c>
      <c r="W68"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69">
      <c r="A69" s="0" t="inlineStr">
        <is>
          <t xml:space="preserve">1067778-4-LP26</t>
        </is>
      </c>
      <c r="B69" s="4" t="inlineStr">
        <is>
          <t xml:space="preserve">ARRIENDO CON OPCION DE COMPRA  DE SERVIDOR PARA IA</t>
        </is>
      </c>
      <c r="C69" s="0" t="inlineStr">
        <is>
          <t xml:space="preserve">Publicada</t>
        </is>
      </c>
      <c r="D69" s="0" t="inlineStr">
        <is>
          <t xml:space="preserve">FISCALIA NACIONAL ECONOMICA</t>
        </is>
      </c>
      <c r="E69" s="0" t="inlineStr">
        <is>
          <t xml:space="preserve">Tecnologías de Información</t>
        </is>
      </c>
      <c r="F69" s="0" t="inlineStr">
        <is>
          <t xml:space="preserve">Región Metropolitana de Santiago</t>
        </is>
      </c>
      <c r="G69" s="0" t="inlineStr">
        <is>
          <t xml:space="preserve">Santiago Centro</t>
        </is>
      </c>
      <c r="H69" s="2">
        <v>46302.538113</v>
      </c>
      <c r="I69" s="2">
        <v>46324.625</v>
      </c>
      <c r="J69" s="0">
        <v>10</v>
      </c>
      <c r="K69" s="3">
        <v>75203.0</v>
      </c>
      <c r="L69" s="0" t="inlineStr">
        <is>
          <t xml:space="preserve">USD</t>
        </is>
      </c>
      <c r="M69" s="0" t="inlineStr">
        <is>
          <t xml:space="preserve">LP</t>
        </is>
      </c>
      <c r="N69" s="4" t="inlineStr">
        <is>
          <t xml:space="preserve">Tecnologías de la información, telecomunicaciones y radiodifusión / Equipos informáticos y accesorios / Computadores</t>
        </is>
      </c>
      <c r="O69" s="4" t="inlineStr">
        <is>
          <t xml:space="preserve">60 Mes · Servidores</t>
        </is>
      </c>
      <c r="P69" s="2"/>
      <c r="Q69" s="2"/>
      <c r="R69" s="0" t="inlineStr">
        <is>
          <t xml:space="preserve">60 meses</t>
        </is>
      </c>
      <c r="S69" s="0" t="inlineStr">
        <is>
          <t xml:space="preserve">No</t>
        </is>
      </c>
      <c r="T69"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69" s="0" t="inlineStr">
        <is>
          <t xml:space="preserve">Cristian Mella Cisterna</t>
        </is>
      </c>
      <c r="V69" s="4" t="inlineStr">
        <is>
          <t xml:space="preserve">Contar con una infraestructura tecnológica robusta, segura y escalable que permita alojar y soportar los desarrollos tecnológicos actuales y futuros de la Fiscalía Nacional Económica.</t>
        </is>
      </c>
      <c r="W69"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70">
      <c r="A70" s="0" t="inlineStr">
        <is>
          <t xml:space="preserve">2656-77-LP26</t>
        </is>
      </c>
      <c r="B70" s="4" t="inlineStr">
        <is>
          <t xml:space="preserve">ARRIENDO SISTEMAS MUNICIPALES Y CLOUD COMPUTING</t>
        </is>
      </c>
      <c r="C70" s="0" t="inlineStr">
        <is>
          <t xml:space="preserve">Publicada</t>
        </is>
      </c>
      <c r="D70" s="0" t="inlineStr">
        <is>
          <t xml:space="preserve">I MUNICIPALIDAD DE TOME</t>
        </is>
      </c>
      <c r="E70" s="0" t="inlineStr">
        <is>
          <t xml:space="preserve">Dirección de Administración y Finanzas</t>
        </is>
      </c>
      <c r="F70" s="0" t="inlineStr">
        <is>
          <t xml:space="preserve">Región del Biobío </t>
        </is>
      </c>
      <c r="G70" s="0" t="inlineStr">
        <is>
          <t xml:space="preserve">Tomé</t>
        </is>
      </c>
      <c r="H70" s="2">
        <v>46304.85662</v>
      </c>
      <c r="I70" s="2">
        <v>46324.625694</v>
      </c>
      <c r="J70" s="0">
        <v>10</v>
      </c>
      <c r="K70" s="3">
        <v>3907.0</v>
      </c>
      <c r="L70" s="0" t="inlineStr">
        <is>
          <t xml:space="preserve">CLF</t>
        </is>
      </c>
      <c r="M70" s="0" t="inlineStr">
        <is>
          <t xml:space="preserve">LP</t>
        </is>
      </c>
      <c r="N70" s="4" t="inlineStr">
        <is>
          <t xml:space="preserve">Tecnologías de la información, telecomunicaciones y radiodifusión / Software / Software de entorno operativo</t>
        </is>
      </c>
      <c r="O70" s="4" t="inlineStr">
        <is>
          <t xml:space="preserve">1 Pack · Software de sistema de archivos</t>
        </is>
      </c>
      <c r="P70" s="2"/>
      <c r="Q70" s="2"/>
      <c r="R70" s="0"/>
      <c r="S70" s="0" t="inlineStr">
        <is>
          <t xml:space="preserve">No</t>
        </is>
      </c>
      <c r="T70" s="4"/>
      <c r="U70" s="0" t="inlineStr">
        <is>
          <t xml:space="preserve">patricio parra</t>
        </is>
      </c>
      <c r="V70"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70"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71">
      <c r="A71" s="0" t="inlineStr">
        <is>
          <t xml:space="preserve">838794-12-LE26</t>
        </is>
      </c>
      <c r="B71" s="4" t="inlineStr">
        <is>
          <t xml:space="preserve">Tótem gestor de fila CAPSVILLA</t>
        </is>
      </c>
      <c r="C71" s="0" t="inlineStr">
        <is>
          <t xml:space="preserve">Publicada</t>
        </is>
      </c>
      <c r="D71" s="0" t="inlineStr">
        <is>
          <t xml:space="preserve">DIRECCION DE ABASTECIMIENTO DE LA ARMADA</t>
        </is>
      </c>
      <c r="E71" s="0" t="inlineStr">
        <is>
          <t xml:space="preserve">CENTRAL DE ATENCION PRIMARIA DE SALUD DE LA ARMADA</t>
        </is>
      </c>
      <c r="F71" s="0" t="inlineStr">
        <is>
          <t xml:space="preserve">Región de Valparaíso </t>
        </is>
      </c>
      <c r="G71" s="0" t="inlineStr">
        <is>
          <t xml:space="preserve">Viña del Mar</t>
        </is>
      </c>
      <c r="H71" s="2">
        <v>46309.66228</v>
      </c>
      <c r="I71" s="2">
        <v>46324.666667</v>
      </c>
      <c r="J71" s="0">
        <v>10</v>
      </c>
      <c r="K71" s="3"/>
      <c r="L71" s="0" t="inlineStr">
        <is>
          <t xml:space="preserve">CLP</t>
        </is>
      </c>
      <c r="M71" s="0" t="inlineStr">
        <is>
          <t xml:space="preserve">LE</t>
        </is>
      </c>
      <c r="N71" s="4" t="inlineStr">
        <is>
          <t xml:space="preserve">Equipos y suministros de defensa, orden público, protección y seguridad / Equipos para orden público / Equipo para control de disturbios</t>
        </is>
      </c>
      <c r="O71" s="4" t="inlineStr">
        <is>
          <t xml:space="preserve">1 Unidad · Sistemas de control de formación de filas</t>
        </is>
      </c>
      <c r="P71" s="2"/>
      <c r="Q71" s="2"/>
      <c r="R71" s="0"/>
      <c r="S71" s="0" t="inlineStr">
        <is>
          <t xml:space="preserve">No</t>
        </is>
      </c>
      <c r="T71" s="4" t="inlineStr">
        <is>
          <t xml:space="preserve">CAPITULO XVIII DE LAS BASES ADMINISTRATIVAS DE LA PRESENTE LICITACION.</t>
        </is>
      </c>
      <c r="U71" s="0" t="inlineStr">
        <is>
          <t xml:space="preserve">VICTOR LABRIN TAPIA</t>
        </is>
      </c>
      <c r="V71" s="4" t="inlineStr">
        <is>
          <t xml:space="preserve">Ordenar la espera de atención de pacientes que asisten a los Centros de Atención Primaria de Salud de Villa Alemana, en adelante CAPSVILLA.</t>
        </is>
      </c>
      <c r="W71"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72">
      <c r="A72" s="0" t="inlineStr">
        <is>
          <t xml:space="preserve">976-18-O126</t>
        </is>
      </c>
      <c r="B72" s="4" t="inlineStr">
        <is>
          <t xml:space="preserve">ATIF Ampliación Plataformas Comercial y General Ad. El Loa</t>
        </is>
      </c>
      <c r="C72" s="0" t="inlineStr">
        <is>
          <t xml:space="preserve">Publicada</t>
        </is>
      </c>
      <c r="D72" s="0" t="inlineStr">
        <is>
          <t xml:space="preserve">MINISTERIO DE OBRAS PUBLICAS DIREC CION GRAL DE OO PP DCYF</t>
        </is>
      </c>
      <c r="E72" s="0" t="inlineStr">
        <is>
          <t xml:space="preserve">Dirección de Aeropuertos - MOPTT</t>
        </is>
      </c>
      <c r="F72" s="0" t="inlineStr">
        <is>
          <t xml:space="preserve">Región de Antofagasta </t>
        </is>
      </c>
      <c r="G72" s="0" t="inlineStr">
        <is>
          <t xml:space="preserve">Santiago</t>
        </is>
      </c>
      <c r="H72" s="2">
        <v>46290.38125</v>
      </c>
      <c r="I72" s="2">
        <v>46325.375</v>
      </c>
      <c r="J72" s="0">
        <v>11</v>
      </c>
      <c r="K72" s="3"/>
      <c r="L72" s="0" t="inlineStr">
        <is>
          <t xml:space="preserve">CLP</t>
        </is>
      </c>
      <c r="M72" s="0" t="inlineStr">
        <is>
          <t xml:space="preserve">O1</t>
        </is>
      </c>
      <c r="N72" s="4" t="inlineStr">
        <is>
          <t xml:space="preserve">Consultoria / Consultoria / Planificación y Factibilidad</t>
        </is>
      </c>
      <c r="O72" s="4" t="inlineStr">
        <is>
          <t xml:space="preserve">1 Unidad · Licitación Pública de Consultoria</t>
        </is>
      </c>
      <c r="P72" s="2"/>
      <c r="Q72" s="2"/>
      <c r="R72" s="0"/>
      <c r="S72" s="0" t="inlineStr">
        <is>
          <t xml:space="preserve">No</t>
        </is>
      </c>
      <c r="T72" s="4"/>
      <c r="U72" s="0"/>
      <c r="V72" s="4" t="inlineStr">
        <is>
          <t xml:space="preserve">ESTA DIRECCIÓN NECESITA CONTRATAR ASESORÍA TECNICA DE INSPECCIÓN FISCAL PARA EL CONTRATO DE OBRA AMPLICACION PLATAFORMAS COMERCIAL Y GENERAL AERÓDROMO EL LOA</t>
        </is>
      </c>
      <c r="W72"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73">
      <c r="A73" s="0" t="inlineStr">
        <is>
          <t xml:space="preserve">2490-91-LP26</t>
        </is>
      </c>
      <c r="B73" s="4" t="inlineStr">
        <is>
          <t xml:space="preserve">ARRIENDO SOPORTE Y MANTENCIÓN DE GABINETES PSICOSENSOMÉTRICOS Y EQUIPOS COMPUTACIONALES CON SOFTWARE SPI INTEGRADO 2027-2031</t>
        </is>
      </c>
      <c r="C73" s="0" t="inlineStr">
        <is>
          <t xml:space="preserve">Publicada</t>
        </is>
      </c>
      <c r="D73" s="0" t="inlineStr">
        <is>
          <t xml:space="preserve">I MUNICIPALIDAD DE PROVIDENCIA</t>
        </is>
      </c>
      <c r="E73" s="0" t="inlineStr">
        <is>
          <t xml:space="preserve">Dirección de Secpla</t>
        </is>
      </c>
      <c r="F73" s="0" t="inlineStr">
        <is>
          <t xml:space="preserve">Región Metropolitana de Santiago</t>
        </is>
      </c>
      <c r="G73" s="0" t="inlineStr">
        <is>
          <t xml:space="preserve">Providencia</t>
        </is>
      </c>
      <c r="H73" s="2">
        <v>46296.700741</v>
      </c>
      <c r="I73" s="2">
        <v>46325.541667</v>
      </c>
      <c r="J73" s="0">
        <v>11</v>
      </c>
      <c r="K73" s="3">
        <v>190000000.0</v>
      </c>
      <c r="L73" s="0" t="inlineStr">
        <is>
          <t xml:space="preserve">CLP</t>
        </is>
      </c>
      <c r="M73" s="0" t="inlineStr">
        <is>
          <t xml:space="preserve">LP</t>
        </is>
      </c>
      <c r="N73" s="4" t="inlineStr">
        <is>
          <t xml:space="preserve">Equipos y suministros de defensa, orden público, protección y seguridad / Seguridad y control público / Control de tráfico</t>
        </is>
      </c>
      <c r="O73" s="4" t="inlineStr">
        <is>
          <t xml:space="preserve">1 Global · Señales de tránsito</t>
        </is>
      </c>
      <c r="P73" s="2"/>
      <c r="Q73" s="2"/>
      <c r="R73" s="0" t="inlineStr">
        <is>
          <t xml:space="preserve">48 meses</t>
        </is>
      </c>
      <c r="S73" s="0" t="inlineStr">
        <is>
          <t xml:space="preserve">No</t>
        </is>
      </c>
      <c r="T73" s="4"/>
      <c r="U73" s="0" t="inlineStr">
        <is>
          <t xml:space="preserve">Luis Barrientos Echavarría</t>
        </is>
      </c>
      <c r="V7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73"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74">
      <c r="A74" s="0" t="inlineStr">
        <is>
          <t xml:space="preserve">1457282-6-LE26</t>
        </is>
      </c>
      <c r="B74" s="4" t="inlineStr">
        <is>
          <t xml:space="preserve">ADQUISICIÓN DE RADIOS DIGITALES PORTÁTILES</t>
        </is>
      </c>
      <c r="C74" s="0" t="inlineStr">
        <is>
          <t xml:space="preserve">Publicada</t>
        </is>
      </c>
      <c r="D74" s="0" t="inlineStr">
        <is>
          <t xml:space="preserve">CORPORACION CENTRO CULTURAL GABRIELA MISTRAL</t>
        </is>
      </c>
      <c r="E74" s="0" t="inlineStr">
        <is>
          <t xml:space="preserve">CORPORACION CENTRO CULTURAL GABRIELA MISTRAL</t>
        </is>
      </c>
      <c r="F74" s="0" t="inlineStr">
        <is>
          <t xml:space="preserve">Región Metropolitana de Santiago</t>
        </is>
      </c>
      <c r="G74" s="0" t="inlineStr">
        <is>
          <t xml:space="preserve">Santiago</t>
        </is>
      </c>
      <c r="H74" s="2">
        <v>46311.501956</v>
      </c>
      <c r="I74" s="2">
        <v>46325.625</v>
      </c>
      <c r="J74" s="0">
        <v>11</v>
      </c>
      <c r="K74" s="3">
        <v>17000000.0</v>
      </c>
      <c r="L74" s="0" t="inlineStr">
        <is>
          <t xml:space="preserve">CLP</t>
        </is>
      </c>
      <c r="M74" s="0" t="inlineStr">
        <is>
          <t xml:space="preserve">LE</t>
        </is>
      </c>
      <c r="N74" s="4" t="inlineStr">
        <is>
          <t xml:space="preserve">Tecnologías de la información, telecomunicaciones y radiodifusión / Equipos informáticos y accesorios / Dispositivos informáticos de entrada de datos</t>
        </is>
      </c>
      <c r="O74" s="4" t="inlineStr">
        <is>
          <t xml:space="preserve">1 Global · Dispositivos de identificación de radiofrecuencias</t>
        </is>
      </c>
      <c r="P74" s="2"/>
      <c r="Q74" s="2"/>
      <c r="R74" s="0"/>
      <c r="S74" s="0" t="inlineStr">
        <is>
          <t xml:space="preserve">No</t>
        </is>
      </c>
      <c r="T74" s="4"/>
      <c r="U74" s="0" t="inlineStr">
        <is>
          <t xml:space="preserve">No hay información</t>
        </is>
      </c>
      <c r="V74"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74"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75">
      <c r="A75" s="0" t="inlineStr">
        <is>
          <t xml:space="preserve">1221019-17-LE26</t>
        </is>
      </c>
      <c r="B75" s="4" t="inlineStr">
        <is>
          <t xml:space="preserve">Plataforma de Venta de Entradas para Evento.</t>
        </is>
      </c>
      <c r="C75" s="0" t="inlineStr">
        <is>
          <t xml:space="preserve">Publicada</t>
        </is>
      </c>
      <c r="D75" s="0" t="inlineStr">
        <is>
          <t xml:space="preserve">Corporación Municipal de Deporte  de Vitacura</t>
        </is>
      </c>
      <c r="E75" s="0" t="inlineStr">
        <is>
          <t xml:space="preserve">Corporación</t>
        </is>
      </c>
      <c r="F75" s="0" t="inlineStr">
        <is>
          <t xml:space="preserve">Región Metropolitana de Santiago</t>
        </is>
      </c>
      <c r="G75" s="0" t="inlineStr">
        <is>
          <t xml:space="preserve">Vitacura</t>
        </is>
      </c>
      <c r="H75" s="2">
        <v>46311.643079</v>
      </c>
      <c r="I75" s="2">
        <v>46325.645833</v>
      </c>
      <c r="J75" s="0">
        <v>11</v>
      </c>
      <c r="K75" s="3">
        <v>25000000.0</v>
      </c>
      <c r="L75" s="0" t="inlineStr">
        <is>
          <t xml:space="preserve">CLP</t>
        </is>
      </c>
      <c r="M75" s="0" t="inlineStr">
        <is>
          <t xml:space="preserve">LE</t>
        </is>
      </c>
      <c r="N75" s="4" t="inlineStr">
        <is>
          <t xml:space="preserve">Tecnologías de la información, telecomunicaciones y radiodifusión / Software / Programas de desarrollo</t>
        </is>
      </c>
      <c r="O75" s="4" t="inlineStr">
        <is>
          <t xml:space="preserve">1 Unidad · Software de desarrollo de plataforma Web</t>
        </is>
      </c>
      <c r="P75" s="2"/>
      <c r="Q75" s="2"/>
      <c r="R75" s="0"/>
      <c r="S75" s="0" t="inlineStr">
        <is>
          <t xml:space="preserve">No</t>
        </is>
      </c>
      <c r="T75" s="4"/>
      <c r="U75" s="0" t="inlineStr">
        <is>
          <t xml:space="preserve">Víctor Banda Carrasco</t>
        </is>
      </c>
      <c r="V75"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75"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76">
      <c r="A76" s="0" t="inlineStr">
        <is>
          <t xml:space="preserve">2342-36-LR26</t>
        </is>
      </c>
      <c r="B76" s="4" t="inlineStr">
        <is>
          <t xml:space="preserve">CONCESIÓN DE ESTACIONAMIENTOS EN CALLES DE LA ZONA CENTRO DE LA COMUNA DE SAN BERNARDO APLICANDO SISTEMA DE CONTROL DE TIEMPO DE USO CAPTADORES DE DATOS</t>
        </is>
      </c>
      <c r="C76" s="0" t="inlineStr">
        <is>
          <t xml:space="preserve">Publicada</t>
        </is>
      </c>
      <c r="D76" s="0" t="inlineStr">
        <is>
          <t xml:space="preserve">I MUNICIPALIDAD DE SAN BERNARDO</t>
        </is>
      </c>
      <c r="E76" s="0" t="inlineStr">
        <is>
          <t xml:space="preserve">SECRETARIA COMUNAL DE PLANIFICACION</t>
        </is>
      </c>
      <c r="F76" s="0" t="inlineStr">
        <is>
          <t xml:space="preserve">Región Metropolitana de Santiago</t>
        </is>
      </c>
      <c r="G76" s="0" t="inlineStr">
        <is>
          <t xml:space="preserve">San Bernardo</t>
        </is>
      </c>
      <c r="H76" s="2">
        <v>46289.689583</v>
      </c>
      <c r="I76" s="2">
        <v>46328.625694</v>
      </c>
      <c r="J76" s="0">
        <v>14</v>
      </c>
      <c r="K76" s="3"/>
      <c r="L76" s="0" t="inlineStr">
        <is>
          <t xml:space="preserve">UTM</t>
        </is>
      </c>
      <c r="M76" s="0" t="inlineStr">
        <is>
          <t xml:space="preserve">LR</t>
        </is>
      </c>
      <c r="N76" s="4" t="inlineStr">
        <is>
          <t xml:space="preserve">Servicios de transporte, almacenaje y correo / Servicios de mantención o reparaciones de transportes / Combustible para vehículos de transporte, estacionamiento y otros servicios de apoyo</t>
        </is>
      </c>
      <c r="O76" s="4" t="inlineStr">
        <is>
          <t xml:space="preserve">1 Unidad · Estacionamientos</t>
        </is>
      </c>
      <c r="P76" s="2"/>
      <c r="Q76" s="2"/>
      <c r="R76" s="0" t="inlineStr">
        <is>
          <t xml:space="preserve">36 meses</t>
        </is>
      </c>
      <c r="S76" s="0" t="inlineStr">
        <is>
          <t xml:space="preserve">No</t>
        </is>
      </c>
      <c r="T76" s="4"/>
      <c r="U76" s="0" t="inlineStr">
        <is>
          <t xml:space="preserve">JUAN CARLOS CABRERA CAMPOS</t>
        </is>
      </c>
      <c r="V76" s="4" t="inlineStr">
        <is>
          <t xml:space="preserve">CONCESIÓN DE ESTACIONAMIENTOS EN CALLES DE LA ZONA CENTRO DE LA COMUNA DE SAN BERNARDO, APLICANDO SISTEMA DE CONTROL DE TIEMPO DE USO CAPTADORES DE DATOS</t>
        </is>
      </c>
      <c r="W76"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77">
      <c r="A77" s="0" t="inlineStr">
        <is>
          <t xml:space="preserve">2446-315-LE26</t>
        </is>
      </c>
      <c r="B77" s="4" t="inlineStr">
        <is>
          <t xml:space="preserve">ADQUISICIÓN DE LICENCIAS DE SOFTWARE INSTITUCIONAL</t>
        </is>
      </c>
      <c r="C77" s="0" t="inlineStr">
        <is>
          <t xml:space="preserve">Publicada</t>
        </is>
      </c>
      <c r="D77" s="0" t="inlineStr">
        <is>
          <t xml:space="preserve">I MUNICIPALIDAD DE COQUIMBO</t>
        </is>
      </c>
      <c r="E77" s="0" t="inlineStr">
        <is>
          <t xml:space="preserve">IMUNI_COQUIMBO</t>
        </is>
      </c>
      <c r="F77" s="0" t="inlineStr">
        <is>
          <t xml:space="preserve">Región de Coquimbo </t>
        </is>
      </c>
      <c r="G77" s="0" t="inlineStr">
        <is>
          <t xml:space="preserve">Coquimbo</t>
        </is>
      </c>
      <c r="H77" s="2">
        <v>46312.805787</v>
      </c>
      <c r="I77" s="2">
        <v>46328.625694</v>
      </c>
      <c r="J77" s="0">
        <v>14</v>
      </c>
      <c r="K77" s="3">
        <v>19200000.0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Global · Paquetes de software para oficinas · 1 Global · Paquetes de software para oficinas · 1 Global · Paquetes de software para oficinas · y 2 más</t>
        </is>
      </c>
      <c r="P77" s="2"/>
      <c r="Q77" s="2"/>
      <c r="R77" s="0" t="inlineStr">
        <is>
          <t xml:space="preserve">7 días</t>
        </is>
      </c>
      <c r="S77" s="0" t="inlineStr">
        <is>
          <t xml:space="preserve">No</t>
        </is>
      </c>
      <c r="T77" s="4"/>
      <c r="U77" s="0" t="inlineStr">
        <is>
          <t xml:space="preserve">Felipe Alegre Monroy</t>
        </is>
      </c>
      <c r="V77"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77"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78">
      <c r="A78" s="0" t="inlineStr">
        <is>
          <t xml:space="preserve">5441-12-LP26</t>
        </is>
      </c>
      <c r="B78" s="4" t="inlineStr">
        <is>
          <t xml:space="preserve">Generador 500 kVA y Tablero de Transf. Autom. 800A</t>
        </is>
      </c>
      <c r="C78" s="0" t="inlineStr">
        <is>
          <t xml:space="preserve">Publicada</t>
        </is>
      </c>
      <c r="D78" s="0" t="inlineStr">
        <is>
          <t xml:space="preserve">UNIVERSIDAD DE CHILE</t>
        </is>
      </c>
      <c r="E78" s="0" t="inlineStr">
        <is>
          <t xml:space="preserve">UCHILE Facultad Cs.Veterinarias</t>
        </is>
      </c>
      <c r="F78" s="0" t="inlineStr">
        <is>
          <t xml:space="preserve">Región Metropolitana de Santiago</t>
        </is>
      </c>
      <c r="G78" s="0" t="inlineStr">
        <is>
          <t xml:space="preserve">La Pintana</t>
        </is>
      </c>
      <c r="H78" s="2">
        <v>46302.464919</v>
      </c>
      <c r="I78" s="2">
        <v>46328.625694</v>
      </c>
      <c r="J78" s="0">
        <v>14</v>
      </c>
      <c r="K78" s="3"/>
      <c r="L78" s="0" t="inlineStr">
        <is>
          <t xml:space="preserve">CLP</t>
        </is>
      </c>
      <c r="M78" s="0" t="inlineStr">
        <is>
          <t xml:space="preserve">LP</t>
        </is>
      </c>
      <c r="N78"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78" s="4" t="inlineStr">
        <is>
          <t xml:space="preserve">1 Unidad · Generadores diesel · 1 Unidad · Paneles de control eléctrico para generadores</t>
        </is>
      </c>
      <c r="P78" s="2"/>
      <c r="Q78" s="2"/>
      <c r="R78" s="0"/>
      <c r="S78" s="0" t="inlineStr">
        <is>
          <t xml:space="preserve">No</t>
        </is>
      </c>
      <c r="T78" s="4"/>
      <c r="U78" s="0" t="inlineStr">
        <is>
          <t xml:space="preserve">Carlos Miranda</t>
        </is>
      </c>
      <c r="V78"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78"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79">
      <c r="A79" s="0" t="inlineStr">
        <is>
          <t xml:space="preserve">587-47-LE26</t>
        </is>
      </c>
      <c r="B79" s="4" t="inlineStr">
        <is>
          <t xml:space="preserve">RENOVACIÓN DE LICENCIAS DE SOFTWARE</t>
        </is>
      </c>
      <c r="C79" s="0" t="inlineStr">
        <is>
          <t xml:space="preserve">Publicada</t>
        </is>
      </c>
      <c r="D79" s="0" t="inlineStr">
        <is>
          <t xml:space="preserve">SUBSECRETARIA DEL MINISTERIO DE LA VIVIENDA Y URBANISMO</t>
        </is>
      </c>
      <c r="E79" s="0" t="inlineStr">
        <is>
          <t xml:space="preserve">Ministerio de Vivienda y Urbanismo(766)</t>
        </is>
      </c>
      <c r="F79" s="0" t="inlineStr">
        <is>
          <t xml:space="preserve">Región Metropolitana de Santiago</t>
        </is>
      </c>
      <c r="G79" s="0"/>
      <c r="H79" s="2">
        <v>46302.47669</v>
      </c>
      <c r="I79" s="2">
        <v>46328.631944</v>
      </c>
      <c r="J79" s="0">
        <v>14</v>
      </c>
      <c r="K79" s="3">
        <v>52000.0</v>
      </c>
      <c r="L79" s="0" t="inlineStr">
        <is>
          <t xml:space="preserve">USD</t>
        </is>
      </c>
      <c r="M79" s="0" t="inlineStr">
        <is>
          <t xml:space="preserve">LE</t>
        </is>
      </c>
      <c r="N79" s="4" t="inlineStr">
        <is>
          <t xml:space="preserve">Tecnologías de la información, telecomunicaciones y radiodifusión / Software / Software de gestión</t>
        </is>
      </c>
      <c r="O79" s="4" t="inlineStr">
        <is>
          <t xml:space="preserve">12 Unidad · Software de gestión de licencias</t>
        </is>
      </c>
      <c r="P79" s="2"/>
      <c r="Q79" s="2"/>
      <c r="R79" s="0" t="inlineStr">
        <is>
          <t xml:space="preserve">12 meses</t>
        </is>
      </c>
      <c r="S79" s="0" t="inlineStr">
        <is>
          <t xml:space="preserve">No</t>
        </is>
      </c>
      <c r="T79" s="4" t="inlineStr">
        <is>
          <t xml:space="preserve">NO PERMITE SUBCONTRATACIÓN VER PUNTO 1.13.5.7. “SUBCONTRATACIÓN” DE LAS BASES ADMINISTRATIVAS.</t>
        </is>
      </c>
      <c r="U79" s="0" t="inlineStr">
        <is>
          <t xml:space="preserve">Adrian Muñoz Brevis</t>
        </is>
      </c>
      <c r="V79"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79"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80">
      <c r="A80" s="0" t="inlineStr">
        <is>
          <t xml:space="preserve">2735-149-LR26</t>
        </is>
      </c>
      <c r="B80" s="4" t="inlineStr">
        <is>
          <t xml:space="preserve">Servicio de Software de Gestión y Registro Clinico</t>
        </is>
      </c>
      <c r="C80" s="0" t="inlineStr">
        <is>
          <t xml:space="preserve">Publicada</t>
        </is>
      </c>
      <c r="D80" s="0" t="inlineStr">
        <is>
          <t xml:space="preserve">I MUNICIPALIDAD LO BARNECHEA</t>
        </is>
      </c>
      <c r="E80" s="0" t="inlineStr">
        <is>
          <t xml:space="preserve">Municipalidad de lo Barnechea - Adquisiciones - Consistorial</t>
        </is>
      </c>
      <c r="F80" s="0" t="inlineStr">
        <is>
          <t xml:space="preserve">Región Metropolitana de Santiago</t>
        </is>
      </c>
      <c r="G80" s="0" t="inlineStr">
        <is>
          <t xml:space="preserve">Lo Barnechea</t>
        </is>
      </c>
      <c r="H80" s="2">
        <v>46296.503356</v>
      </c>
      <c r="I80" s="2">
        <v>46328.645833</v>
      </c>
      <c r="J80" s="0">
        <v>14</v>
      </c>
      <c r="K80" s="3"/>
      <c r="L80" s="0" t="inlineStr">
        <is>
          <t xml:space="preserve">CLF</t>
        </is>
      </c>
      <c r="M80" s="0" t="inlineStr">
        <is>
          <t xml:space="preserve">LR</t>
        </is>
      </c>
      <c r="N80" s="4" t="inlineStr">
        <is>
          <t xml:space="preserve">Tecnologías de la información, telecomunicaciones y radiodifusión / Software / Software específico para la industria</t>
        </is>
      </c>
      <c r="O80" s="4" t="inlineStr">
        <is>
          <t xml:space="preserve">1 Unidad · Software médico</t>
        </is>
      </c>
      <c r="P80" s="2"/>
      <c r="Q80" s="2"/>
      <c r="R80" s="0" t="inlineStr">
        <is>
          <t xml:space="preserve">63 meses</t>
        </is>
      </c>
      <c r="S80" s="0" t="inlineStr">
        <is>
          <t xml:space="preserve">No</t>
        </is>
      </c>
      <c r="T80" s="4" t="inlineStr">
        <is>
          <t xml:space="preserve">Conforme a lo establecido en el numeral 16.6 de las bases administrativas</t>
        </is>
      </c>
      <c r="U80" s="0" t="inlineStr">
        <is>
          <t xml:space="preserve">Angelica Parra</t>
        </is>
      </c>
      <c r="V8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80"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81">
      <c r="A81" s="0" t="inlineStr">
        <is>
          <t xml:space="preserve">519302-9-LE26</t>
        </is>
      </c>
      <c r="B81" s="4" t="inlineStr">
        <is>
          <t xml:space="preserve">DISEÑO IMPLEMENTACIÓN MEDICION MARKETING DIGITAL</t>
        </is>
      </c>
      <c r="C81" s="0" t="inlineStr">
        <is>
          <t xml:space="preserve">Publicada</t>
        </is>
      </c>
      <c r="D81" s="0" t="inlineStr">
        <is>
          <t xml:space="preserve">INSTITUTO NACIONAL DE PROPIEDAD INDUSTRIAL</t>
        </is>
      </c>
      <c r="E81" s="0" t="inlineStr">
        <is>
          <t xml:space="preserve">Servicios Generales</t>
        </is>
      </c>
      <c r="F81" s="0" t="inlineStr">
        <is>
          <t xml:space="preserve">Región Metropolitana de Santiago</t>
        </is>
      </c>
      <c r="G81" s="0" t="inlineStr">
        <is>
          <t xml:space="preserve">Santiago</t>
        </is>
      </c>
      <c r="H81" s="2">
        <v>46304.665139</v>
      </c>
      <c r="I81" s="2">
        <v>46328.666667</v>
      </c>
      <c r="J81" s="0">
        <v>14</v>
      </c>
      <c r="K81" s="3"/>
      <c r="L81" s="0" t="inlineStr">
        <is>
          <t xml:space="preserve">CLP</t>
        </is>
      </c>
      <c r="M81" s="0" t="inlineStr">
        <is>
          <t xml:space="preserve">LE</t>
        </is>
      </c>
      <c r="N81" s="4" t="inlineStr">
        <is>
          <t xml:space="preserve">Servicios profesionales, administrativos y consultorías de gestión empresarial / Servicios para la comercialización y distribución / Ventas y marketing</t>
        </is>
      </c>
      <c r="O81" s="4" t="inlineStr">
        <is>
          <t xml:space="preserve">1 Unidad · Campañas publicitarias o de marketing</t>
        </is>
      </c>
      <c r="P81" s="2"/>
      <c r="Q81" s="2"/>
      <c r="R81" s="0" t="inlineStr">
        <is>
          <t xml:space="preserve">3 meses</t>
        </is>
      </c>
      <c r="S81" s="0" t="inlineStr">
        <is>
          <t xml:space="preserve">No</t>
        </is>
      </c>
      <c r="T81" s="4"/>
      <c r="U81" s="0" t="inlineStr">
        <is>
          <t xml:space="preserve">Francisco Carrasco Ramírez</t>
        </is>
      </c>
      <c r="V81"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81"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82">
      <c r="A82" s="0" t="inlineStr">
        <is>
          <t xml:space="preserve">621-909-LR26</t>
        </is>
      </c>
      <c r="B82" s="4" t="inlineStr">
        <is>
          <t xml:space="preserve">TERMOGRAFO DIGITAL MONITOREO TEMPERATURA 1000023277</t>
        </is>
      </c>
      <c r="C82" s="0" t="inlineStr">
        <is>
          <t xml:space="preserve">Publicada</t>
        </is>
      </c>
      <c r="D82" s="0" t="inlineStr">
        <is>
          <t xml:space="preserve">CENTRAL DE ABASTECIMIENTO DEL SISTEMA NACIONAL DE SERVICIO DE SALUD</t>
        </is>
      </c>
      <c r="E82" s="0" t="inlineStr">
        <is>
          <t xml:space="preserve">Compras del Giro 621</t>
        </is>
      </c>
      <c r="F82" s="0" t="inlineStr">
        <is>
          <t xml:space="preserve">Región Metropolitana de Santiago</t>
        </is>
      </c>
      <c r="G82" s="0" t="inlineStr">
        <is>
          <t xml:space="preserve">Santiago Centro</t>
        </is>
      </c>
      <c r="H82" s="2">
        <v>46297.536181</v>
      </c>
      <c r="I82" s="2">
        <v>46328.666667</v>
      </c>
      <c r="J82" s="0">
        <v>14</v>
      </c>
      <c r="K82" s="3">
        <v>533715000.0</v>
      </c>
      <c r="L82" s="0" t="inlineStr">
        <is>
          <t xml:space="preserve">CLP</t>
        </is>
      </c>
      <c r="M82" s="0" t="inlineStr">
        <is>
          <t xml:space="preserve">LR</t>
        </is>
      </c>
      <c r="N82" s="4" t="inlineStr">
        <is>
          <t xml:space="preserve">Equipamiento para laboratorios / Instrumentos de medida y experimentación / Instrumentos para medir temperatura y calor</t>
        </is>
      </c>
      <c r="O82" s="4" t="inlineStr">
        <is>
          <t xml:space="preserve">3000 Unidad · Termómetros de tele indicación</t>
        </is>
      </c>
      <c r="P82" s="2"/>
      <c r="Q82" s="2"/>
      <c r="R82" s="0" t="inlineStr">
        <is>
          <t xml:space="preserve">14 meses</t>
        </is>
      </c>
      <c r="S82" s="0" t="inlineStr">
        <is>
          <t xml:space="preserve">No</t>
        </is>
      </c>
      <c r="T82" s="4"/>
      <c r="U82" s="0" t="inlineStr">
        <is>
          <t xml:space="preserve">Gisela Teresa Castro Gomez</t>
        </is>
      </c>
      <c r="V82"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82"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83">
      <c r="A83" s="0" t="inlineStr">
        <is>
          <t xml:space="preserve">2426-52-LR26</t>
        </is>
      </c>
      <c r="B83" s="4" t="inlineStr">
        <is>
          <t xml:space="preserve">DATACENTER ENLACES DE DATOS TELEFONIA E INTERNET</t>
        </is>
      </c>
      <c r="C83" s="0" t="inlineStr">
        <is>
          <t xml:space="preserve">Publicada</t>
        </is>
      </c>
      <c r="D83" s="0" t="inlineStr">
        <is>
          <t xml:space="preserve">I MUNICIPALIDAD DE VALPARAISO</t>
        </is>
      </c>
      <c r="E83" s="0" t="inlineStr">
        <is>
          <t xml:space="preserve">ADQUISICIONES MAYORES</t>
        </is>
      </c>
      <c r="F83" s="0" t="inlineStr">
        <is>
          <t xml:space="preserve">Región de Valparaíso </t>
        </is>
      </c>
      <c r="G83" s="0" t="inlineStr">
        <is>
          <t xml:space="preserve">Valparaíso</t>
        </is>
      </c>
      <c r="H83" s="2">
        <v>46297.658079</v>
      </c>
      <c r="I83" s="2">
        <v>46328.708333</v>
      </c>
      <c r="J83" s="0">
        <v>14</v>
      </c>
      <c r="K83" s="3">
        <v>40719.0</v>
      </c>
      <c r="L83" s="0" t="inlineStr">
        <is>
          <t xml:space="preserve">CLF</t>
        </is>
      </c>
      <c r="M83" s="0" t="inlineStr">
        <is>
          <t xml:space="preserve">LR</t>
        </is>
      </c>
      <c r="N83" s="4" t="inlineStr">
        <is>
          <t xml:space="preserve">Servicios basados en ingeniería, ciencias sociales y tecnología de la información / Servicios informáticos / Servicios de datos</t>
        </is>
      </c>
      <c r="O83" s="4" t="inlineStr">
        <is>
          <t xml:space="preserve">1 Unidad · Centro de servicios de datos</t>
        </is>
      </c>
      <c r="P83" s="2"/>
      <c r="Q83" s="2"/>
      <c r="R83" s="0" t="inlineStr">
        <is>
          <t xml:space="preserve">48 meses</t>
        </is>
      </c>
      <c r="S83" s="0" t="inlineStr">
        <is>
          <t xml:space="preserve">No</t>
        </is>
      </c>
      <c r="T83" s="4"/>
      <c r="U83" s="0" t="inlineStr">
        <is>
          <t xml:space="preserve">Juan Carlos Tempine</t>
        </is>
      </c>
      <c r="V83" s="4" t="inlineStr">
        <is>
          <t xml:space="preserve">SERVICIOS DE DATA CENTER, ENLACES DE DATOS, TELEFONÍA E INTERNET PARA LA MUNICIPALIDAD DE VALPARAÍSO</t>
        </is>
      </c>
      <c r="W83"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84">
      <c r="A84" s="0" t="inlineStr">
        <is>
          <t xml:space="preserve">1020-38-LP26</t>
        </is>
      </c>
      <c r="B84" s="4" t="inlineStr">
        <is>
          <t xml:space="preserve">Adquisición de Plataforma Next Generation Firewall</t>
        </is>
      </c>
      <c r="C84" s="0" t="inlineStr">
        <is>
          <t xml:space="preserve">Publicada</t>
        </is>
      </c>
      <c r="D84" s="0" t="inlineStr">
        <is>
          <t xml:space="preserve">MINISTERIO DE OBRAS PUBLICAS DIREC CION GRAL DE OO PP DCYF</t>
        </is>
      </c>
      <c r="E84" s="0" t="inlineStr">
        <is>
          <t xml:space="preserve">MOP Subsecretaría </t>
        </is>
      </c>
      <c r="F84" s="0" t="inlineStr">
        <is>
          <t xml:space="preserve">Región Metropolitana de Santiago</t>
        </is>
      </c>
      <c r="G84" s="0"/>
      <c r="H84" s="2">
        <v>46252.442361</v>
      </c>
      <c r="I84" s="2">
        <v>46329.625</v>
      </c>
      <c r="J84" s="0">
        <v>15</v>
      </c>
      <c r="K84" s="3">
        <v>240000000.0</v>
      </c>
      <c r="L84" s="0" t="inlineStr">
        <is>
          <t xml:space="preserve">CLP</t>
        </is>
      </c>
      <c r="M84" s="0" t="inlineStr">
        <is>
          <t xml:space="preserve">LP</t>
        </is>
      </c>
      <c r="N8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4" s="4" t="inlineStr">
        <is>
          <t xml:space="preserve">2 Unidad · Equipo de seguridad de red de firewall · 1 Unidad · Software de vigilancia de redes</t>
        </is>
      </c>
      <c r="P84" s="2"/>
      <c r="Q84" s="2"/>
      <c r="R84" s="0" t="inlineStr">
        <is>
          <t xml:space="preserve">16 meses</t>
        </is>
      </c>
      <c r="S84" s="0" t="inlineStr">
        <is>
          <t xml:space="preserve">No</t>
        </is>
      </c>
      <c r="T84" s="4" t="inlineStr">
        <is>
          <t xml:space="preserve">Conforme al punto 10.5 de las Bases Administrativas, el oferente adjudicado no podrá subcontratar los servicios derivados de la ejecución del Contrato</t>
        </is>
      </c>
      <c r="U84" s="0" t="inlineStr">
        <is>
          <t xml:space="preserve">Francisco Borques</t>
        </is>
      </c>
      <c r="V8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4"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85">
      <c r="A85" s="0" t="inlineStr">
        <is>
          <t xml:space="preserve">2770-154-LP26</t>
        </is>
      </c>
      <c r="B85" s="4" t="inlineStr">
        <is>
          <t xml:space="preserve">SERVICIOS DE TELEFONÍA Y DATOS MÓVILES</t>
        </is>
      </c>
      <c r="C85" s="0" t="inlineStr">
        <is>
          <t xml:space="preserve">Publicada</t>
        </is>
      </c>
      <c r="D85" s="0" t="inlineStr">
        <is>
          <t xml:space="preserve">I MUNICIPALIDAD DE MAIPU</t>
        </is>
      </c>
      <c r="E85" s="0" t="inlineStr">
        <is>
          <t xml:space="preserve">I MUNICIPALIDAD DE MAIPU</t>
        </is>
      </c>
      <c r="F85" s="0" t="inlineStr">
        <is>
          <t xml:space="preserve">Región Metropolitana de Santiago</t>
        </is>
      </c>
      <c r="G85" s="0" t="inlineStr">
        <is>
          <t xml:space="preserve">Maipú</t>
        </is>
      </c>
      <c r="H85" s="2">
        <v>46308.486238</v>
      </c>
      <c r="I85" s="2">
        <v>46329.625</v>
      </c>
      <c r="J85" s="0">
        <v>15</v>
      </c>
      <c r="K85" s="3">
        <v>193200000.0</v>
      </c>
      <c r="L85" s="0" t="inlineStr">
        <is>
          <t xml:space="preserve">CLP</t>
        </is>
      </c>
      <c r="M85" s="0" t="inlineStr">
        <is>
          <t xml:space="preserve">LP</t>
        </is>
      </c>
      <c r="N85" s="4" t="inlineStr">
        <is>
          <t xml:space="preserve">Servicios básicos y de información pública / Telecomunicaciones / Comunicaciones móviles</t>
        </is>
      </c>
      <c r="O85" s="4" t="inlineStr">
        <is>
          <t xml:space="preserve">1 Global · Servicios de telefonía móvil</t>
        </is>
      </c>
      <c r="P85" s="2"/>
      <c r="Q85" s="2"/>
      <c r="R85" s="0" t="inlineStr">
        <is>
          <t xml:space="preserve">24 meses</t>
        </is>
      </c>
      <c r="S85" s="0" t="inlineStr">
        <is>
          <t xml:space="preserve">No</t>
        </is>
      </c>
      <c r="T85" s="4"/>
      <c r="U85" s="0" t="inlineStr">
        <is>
          <t xml:space="preserve">Teresa Olave Quinteros</t>
        </is>
      </c>
      <c r="V85"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85"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86">
      <c r="A86" s="0" t="inlineStr">
        <is>
          <t xml:space="preserve">654478-7-LP26</t>
        </is>
      </c>
      <c r="B86" s="4" t="inlineStr">
        <is>
          <t xml:space="preserve">RENOVACIÓN DE SOPORTE DE LICENCIAS DE SOFTWARE</t>
        </is>
      </c>
      <c r="C86" s="0" t="inlineStr">
        <is>
          <t xml:space="preserve">Publicada</t>
        </is>
      </c>
      <c r="D86" s="0" t="inlineStr">
        <is>
          <t xml:space="preserve">SUBSECRETARIA DE PREVENCION DEL DELITO</t>
        </is>
      </c>
      <c r="E86" s="0" t="inlineStr">
        <is>
          <t xml:space="preserve">Subsecretaría de Prevención del Delito</t>
        </is>
      </c>
      <c r="F86" s="0" t="inlineStr">
        <is>
          <t xml:space="preserve">Región Metropolitana de Santiago</t>
        </is>
      </c>
      <c r="G86" s="0" t="inlineStr">
        <is>
          <t xml:space="preserve">Santiago</t>
        </is>
      </c>
      <c r="H86" s="2">
        <v>46309.503866</v>
      </c>
      <c r="I86" s="2">
        <v>46329.666667</v>
      </c>
      <c r="J86" s="0">
        <v>15</v>
      </c>
      <c r="K86" s="3">
        <v>368390.0</v>
      </c>
      <c r="L86" s="0" t="inlineStr">
        <is>
          <t xml:space="preserve">USD</t>
        </is>
      </c>
      <c r="M86" s="0" t="inlineStr">
        <is>
          <t xml:space="preserve">LP</t>
        </is>
      </c>
      <c r="N86" s="4" t="inlineStr">
        <is>
          <t xml:space="preserve">Tecnologías de la información, telecomunicaciones y radiodifusión / Software / Software de gestión</t>
        </is>
      </c>
      <c r="O86" s="4" t="inlineStr">
        <is>
          <t xml:space="preserve">1 Unidad · Software de gestión de licencias · 1 Unidad · Software de gestión de licencias · 1 Unidad · Software de gestión de licencias · y 11 más</t>
        </is>
      </c>
      <c r="P86" s="2"/>
      <c r="Q86" s="2"/>
      <c r="R86" s="0" t="inlineStr">
        <is>
          <t xml:space="preserve">24 meses</t>
        </is>
      </c>
      <c r="S86" s="0" t="inlineStr">
        <is>
          <t xml:space="preserve">No</t>
        </is>
      </c>
      <c r="T86" s="4" t="inlineStr">
        <is>
          <t xml:space="preserve">No está permitida dada la especificidad del servicio requerido.</t>
        </is>
      </c>
      <c r="U86" s="0" t="inlineStr">
        <is>
          <t xml:space="preserve">Luis Alarcón Ruiz</t>
        </is>
      </c>
      <c r="V86"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86"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87">
      <c r="A87" s="0" t="inlineStr">
        <is>
          <t xml:space="preserve">4362-31-LP26</t>
        </is>
      </c>
      <c r="B87" s="4" t="inlineStr">
        <is>
          <t xml:space="preserve">Construcción Hitos de Acceso y Tótems Turísticos</t>
        </is>
      </c>
      <c r="C87" s="0" t="inlineStr">
        <is>
          <t xml:space="preserve">Publicada</t>
        </is>
      </c>
      <c r="D87" s="0" t="inlineStr">
        <is>
          <t xml:space="preserve">I MUNICIPALIDAD DE NACIMIENTO</t>
        </is>
      </c>
      <c r="E87" s="0" t="inlineStr">
        <is>
          <t xml:space="preserve">Secplan</t>
        </is>
      </c>
      <c r="F87" s="0" t="inlineStr">
        <is>
          <t xml:space="preserve">Región del Biobío </t>
        </is>
      </c>
      <c r="G87" s="0" t="inlineStr">
        <is>
          <t xml:space="preserve">Nacimiento</t>
        </is>
      </c>
      <c r="H87" s="2">
        <v>46309.782396</v>
      </c>
      <c r="I87" s="2">
        <v>46330.375</v>
      </c>
      <c r="J87" s="0">
        <v>16</v>
      </c>
      <c r="K87" s="3"/>
      <c r="L87" s="0" t="inlineStr">
        <is>
          <t xml:space="preserve">CLP</t>
        </is>
      </c>
      <c r="M87" s="0" t="inlineStr">
        <is>
          <t xml:space="preserve">LP</t>
        </is>
      </c>
      <c r="N87" s="4" t="inlineStr">
        <is>
          <t xml:space="preserve">Servicios de construcción y mantenimiento / Construcción de edificios en general / Construcción de obras civiles y infraestructuras</t>
        </is>
      </c>
      <c r="O87" s="4" t="inlineStr">
        <is>
          <t xml:space="preserve">1 Unidad · Construcción de obras civiles</t>
        </is>
      </c>
      <c r="P87" s="2"/>
      <c r="Q87" s="2"/>
      <c r="R87" s="0" t="inlineStr">
        <is>
          <t xml:space="preserve">90 días</t>
        </is>
      </c>
      <c r="S87" s="0" t="inlineStr">
        <is>
          <t xml:space="preserve">No</t>
        </is>
      </c>
      <c r="T87" s="4"/>
      <c r="U87" s="0" t="inlineStr">
        <is>
          <t xml:space="preserve">Gonzalo Antonio Oñate</t>
        </is>
      </c>
      <c r="V87"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87"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88">
      <c r="A88" s="0" t="inlineStr">
        <is>
          <t xml:space="preserve">1782-17-LE26</t>
        </is>
      </c>
      <c r="B88" s="4" t="inlineStr">
        <is>
          <t xml:space="preserve">Consultoría Plataforma Inteligencia Inversión FRPD</t>
        </is>
      </c>
      <c r="C88" s="0" t="inlineStr">
        <is>
          <t xml:space="preserve">Publicada</t>
        </is>
      </c>
      <c r="D88" s="0" t="inlineStr">
        <is>
          <t xml:space="preserve">GOBIERNO REGIONAL DE ANTOFAGASTA</t>
        </is>
      </c>
      <c r="E88" s="0" t="inlineStr">
        <is>
          <t xml:space="preserve">GORE ANTOFAGASTA PROGRAMA 02 FNDR</t>
        </is>
      </c>
      <c r="F88" s="0" t="inlineStr">
        <is>
          <t xml:space="preserve">Región de Antofagasta </t>
        </is>
      </c>
      <c r="G88" s="0" t="inlineStr">
        <is>
          <t xml:space="preserve">Antofagasta</t>
        </is>
      </c>
      <c r="H88" s="2">
        <v>46310.685625</v>
      </c>
      <c r="I88" s="2">
        <v>46330.625</v>
      </c>
      <c r="J88" s="0">
        <v>16</v>
      </c>
      <c r="K88" s="3">
        <v>25000000.0</v>
      </c>
      <c r="L88" s="0" t="inlineStr">
        <is>
          <t xml:space="preserve">CLP</t>
        </is>
      </c>
      <c r="M88" s="0" t="inlineStr">
        <is>
          <t xml:space="preserve">LE</t>
        </is>
      </c>
      <c r="N88" s="4" t="inlineStr">
        <is>
          <t xml:space="preserve">Servicios profesionales, administrativos y consultorías de gestión empresarial / Consultorías o asesorías en gestión empresarial / Servicios de consultoría en gestión de empresas</t>
        </is>
      </c>
      <c r="O88" s="4" t="inlineStr">
        <is>
          <t xml:space="preserve">1 Unidad · Asesorías Informáticas</t>
        </is>
      </c>
      <c r="P88" s="2"/>
      <c r="Q88" s="2"/>
      <c r="R88" s="0"/>
      <c r="S88" s="0" t="inlineStr">
        <is>
          <t xml:space="preserve">No</t>
        </is>
      </c>
      <c r="T88" s="4"/>
      <c r="U88" s="0" t="inlineStr">
        <is>
          <t xml:space="preserve">Karla Dubo</t>
        </is>
      </c>
      <c r="V88"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88"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89">
      <c r="A89" s="0" t="inlineStr">
        <is>
          <t xml:space="preserve">652-61-LP26</t>
        </is>
      </c>
      <c r="B89" s="4" t="inlineStr">
        <is>
          <t xml:space="preserve">ARRIENDO SERVIDOR INFORMATICO PARA PROGRAMA SISSA.</t>
        </is>
      </c>
      <c r="C89" s="0" t="inlineStr">
        <is>
          <t xml:space="preserve">Publicada</t>
        </is>
      </c>
      <c r="D89" s="0" t="inlineStr">
        <is>
          <t xml:space="preserve">SERVICIO DE SALUD ARAUCO</t>
        </is>
      </c>
      <c r="E89" s="0" t="inlineStr">
        <is>
          <t xml:space="preserve">SERVICIO DE SALUD ARAUCO</t>
        </is>
      </c>
      <c r="F89" s="0" t="inlineStr">
        <is>
          <t xml:space="preserve">Región del Biobío </t>
        </is>
      </c>
      <c r="G89" s="0" t="inlineStr">
        <is>
          <t xml:space="preserve">Lebu</t>
        </is>
      </c>
      <c r="H89" s="2">
        <v>46310.878391</v>
      </c>
      <c r="I89" s="2">
        <v>46330.625</v>
      </c>
      <c r="J89" s="0">
        <v>16</v>
      </c>
      <c r="K89" s="3"/>
      <c r="L89" s="0" t="inlineStr">
        <is>
          <t xml:space="preserve">CLP</t>
        </is>
      </c>
      <c r="M89" s="0" t="inlineStr">
        <is>
          <t xml:space="preserve">LP</t>
        </is>
      </c>
      <c r="N89" s="4" t="inlineStr">
        <is>
          <t xml:space="preserve">Tecnologías de la información, telecomunicaciones y radiodifusión / Equipos informáticos y accesorios / Computadores</t>
        </is>
      </c>
      <c r="O89" s="4" t="inlineStr">
        <is>
          <t xml:space="preserve">1 Unidad · Servidores</t>
        </is>
      </c>
      <c r="P89" s="2"/>
      <c r="Q89" s="2"/>
      <c r="R89" s="0"/>
      <c r="S89" s="0" t="inlineStr">
        <is>
          <t xml:space="preserve">No</t>
        </is>
      </c>
      <c r="T89" s="4"/>
      <c r="U89" s="0" t="inlineStr">
        <is>
          <t xml:space="preserve">Jefe Depto. TIC del Servicio de Salud Arauco</t>
        </is>
      </c>
      <c r="V89"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89"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90">
      <c r="A90" s="0" t="inlineStr">
        <is>
          <t xml:space="preserve">4127-51-LR26</t>
        </is>
      </c>
      <c r="B90" s="4" t="inlineStr">
        <is>
          <t xml:space="preserve">[DIGEDEP]Cursos M-Learning Plataforma SIAD 26-27</t>
        </is>
      </c>
      <c r="C90" s="0" t="inlineStr">
        <is>
          <t xml:space="preserve">Publicada</t>
        </is>
      </c>
      <c r="D90" s="0" t="inlineStr">
        <is>
          <t xml:space="preserve">SUBSECRETARIA DE SALUD PUBLICA</t>
        </is>
      </c>
      <c r="E90" s="0" t="inlineStr">
        <is>
          <t xml:space="preserve">Subsecretaria de Redes Asistenciales</t>
        </is>
      </c>
      <c r="F90" s="0" t="inlineStr">
        <is>
          <t xml:space="preserve">Región Metropolitana de Santiago</t>
        </is>
      </c>
      <c r="G90" s="0" t="inlineStr">
        <is>
          <t xml:space="preserve">Santiago</t>
        </is>
      </c>
      <c r="H90" s="2">
        <v>46300.445336</v>
      </c>
      <c r="I90" s="2">
        <v>46330.625</v>
      </c>
      <c r="J90" s="0">
        <v>16</v>
      </c>
      <c r="K90" s="3"/>
      <c r="L90" s="0" t="inlineStr">
        <is>
          <t xml:space="preserve">CLP</t>
        </is>
      </c>
      <c r="M90" s="0" t="inlineStr">
        <is>
          <t xml:space="preserve">LR</t>
        </is>
      </c>
      <c r="N90" s="4" t="inlineStr">
        <is>
          <t xml:space="preserve">Educación, formación, entrenamiento y capacitación / Sistemas educativos complementarios / Educación de adultos</t>
        </is>
      </c>
      <c r="O90" s="4" t="inlineStr">
        <is>
          <t xml:space="preserve">1 Unidad · Capacitación a empleados</t>
        </is>
      </c>
      <c r="P90" s="2"/>
      <c r="Q90" s="2"/>
      <c r="R90" s="0" t="inlineStr">
        <is>
          <t xml:space="preserve">12 meses</t>
        </is>
      </c>
      <c r="S90" s="0" t="inlineStr">
        <is>
          <t xml:space="preserve">No</t>
        </is>
      </c>
      <c r="T90" s="4"/>
      <c r="U90" s="0" t="inlineStr">
        <is>
          <t xml:space="preserve">Ana Osorio Yeuto</t>
        </is>
      </c>
      <c r="V90" s="4" t="inlineStr">
        <is>
          <t xml:space="preserve">Los servicios que considera este programa Sistema de Aprendizaje a Distancia SIAD son Despliegue de Cursos M- Learning, Desarrollo de Cursos Moodle, Actualizaciones Cursos Moodle Bacoffice para platafoma SIAD 2026 - 2027.</t>
        </is>
      </c>
      <c r="W90"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91">
      <c r="A91" s="0" t="inlineStr">
        <is>
          <t xml:space="preserve">5403-11-LP26</t>
        </is>
      </c>
      <c r="B91" s="4" t="inlineStr">
        <is>
          <t xml:space="preserve">Diseño e instalación de gobernanza de datos</t>
        </is>
      </c>
      <c r="C91" s="0" t="inlineStr">
        <is>
          <t xml:space="preserve">Publicada</t>
        </is>
      </c>
      <c r="D91" s="0" t="inlineStr">
        <is>
          <t xml:space="preserve">COMISION NACIONAL DE ACREDITACION</t>
        </is>
      </c>
      <c r="E91" s="0" t="inlineStr">
        <is>
          <t xml:space="preserve">COMISION NACIONAL DE ACREDITACION</t>
        </is>
      </c>
      <c r="F91" s="0" t="inlineStr">
        <is>
          <t xml:space="preserve">Región Metropolitana de Santiago</t>
        </is>
      </c>
      <c r="G91" s="0" t="inlineStr">
        <is>
          <t xml:space="preserve">Santiago</t>
        </is>
      </c>
      <c r="H91" s="2">
        <v>46310.745671</v>
      </c>
      <c r="I91" s="2">
        <v>46330.666667</v>
      </c>
      <c r="J91" s="0">
        <v>16</v>
      </c>
      <c r="K91" s="3"/>
      <c r="L91" s="0" t="inlineStr">
        <is>
          <t xml:space="preserve">CLP</t>
        </is>
      </c>
      <c r="M91" s="0" t="inlineStr">
        <is>
          <t xml:space="preserve">LP</t>
        </is>
      </c>
      <c r="N91" s="4" t="inlineStr">
        <is>
          <t xml:space="preserve">Servicios profesionales, administrativos y consultorías de gestión empresarial / Consultorías o asesorías en gestión empresarial / Servicios de consultoría en gestión de empresas</t>
        </is>
      </c>
      <c r="O91" s="4" t="inlineStr">
        <is>
          <t xml:space="preserve">1 Unidad · Asesorías en gestión estratégica</t>
        </is>
      </c>
      <c r="P91" s="2"/>
      <c r="Q91" s="2"/>
      <c r="R91" s="0" t="inlineStr">
        <is>
          <t xml:space="preserve">9 meses</t>
        </is>
      </c>
      <c r="S91" s="0" t="inlineStr">
        <is>
          <t xml:space="preserve">No</t>
        </is>
      </c>
      <c r="T91" s="4"/>
      <c r="U91" s="0" t="inlineStr">
        <is>
          <t xml:space="preserve">Carolina Olea</t>
        </is>
      </c>
      <c r="V91"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91"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92">
      <c r="A92" s="0" t="inlineStr">
        <is>
          <t xml:space="preserve">1447930-15-LP26</t>
        </is>
      </c>
      <c r="B92" s="4" t="inlineStr">
        <is>
          <t xml:space="preserve">SSP - Plataforma de virtualización On Premise</t>
        </is>
      </c>
      <c r="C92" s="0" t="inlineStr">
        <is>
          <t xml:space="preserve">Publicada</t>
        </is>
      </c>
      <c r="D92" s="0" t="inlineStr">
        <is>
          <t xml:space="preserve">SUBSECRETARIA DE SEGURIDAD PUBLICA</t>
        </is>
      </c>
      <c r="E92" s="0" t="inlineStr">
        <is>
          <t xml:space="preserve">SUBSECRETARIA DE SEGURIDAD PUBLICA</t>
        </is>
      </c>
      <c r="F92" s="0" t="inlineStr">
        <is>
          <t xml:space="preserve">Región Metropolitana de Santiago</t>
        </is>
      </c>
      <c r="G92" s="0" t="inlineStr">
        <is>
          <t xml:space="preserve">Santiago</t>
        </is>
      </c>
      <c r="H92" s="2">
        <v>46311.52985</v>
      </c>
      <c r="I92" s="2">
        <v>46331.708333</v>
      </c>
      <c r="J92" s="0">
        <v>17</v>
      </c>
      <c r="K92" s="3">
        <v>113050000.0</v>
      </c>
      <c r="L92" s="0" t="inlineStr">
        <is>
          <t xml:space="preserve">CLP</t>
        </is>
      </c>
      <c r="M92" s="0" t="inlineStr">
        <is>
          <t xml:space="preserve">LP</t>
        </is>
      </c>
      <c r="N92" s="4" t="inlineStr">
        <is>
          <t xml:space="preserve">Tecnologías de la información, telecomunicaciones y radiodifusión / Software / Software para trabajo en redes</t>
        </is>
      </c>
      <c r="O92" s="4" t="inlineStr">
        <is>
          <t xml:space="preserve">1 Unidad · Software de interconectividad de plataformas</t>
        </is>
      </c>
      <c r="P92" s="2"/>
      <c r="Q92" s="2"/>
      <c r="R92" s="0" t="inlineStr">
        <is>
          <t xml:space="preserve">40 meses</t>
        </is>
      </c>
      <c r="S92" s="0" t="inlineStr">
        <is>
          <t xml:space="preserve">No</t>
        </is>
      </c>
      <c r="T92" s="4"/>
      <c r="U92" s="0" t="inlineStr">
        <is>
          <t xml:space="preserve">Mauricio Quitral</t>
        </is>
      </c>
      <c r="V9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92"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93">
      <c r="A93" s="0" t="inlineStr">
        <is>
          <t xml:space="preserve">1232565-42-LP26</t>
        </is>
      </c>
      <c r="B93" s="4" t="inlineStr">
        <is>
          <t xml:space="preserve">Mesa Digital de Disección Anatómica Convertible</t>
        </is>
      </c>
      <c r="C93" s="0" t="inlineStr">
        <is>
          <t xml:space="preserve">Publicada</t>
        </is>
      </c>
      <c r="D93" s="0" t="inlineStr">
        <is>
          <t xml:space="preserve">UNIVERSIDAD DE LA SERENA</t>
        </is>
      </c>
      <c r="E93" s="0" t="inlineStr">
        <is>
          <t xml:space="preserve">DIRECCIÓN DE GESTIÓN ESTRATÉGICA INSTITUCIONAL</t>
        </is>
      </c>
      <c r="F93" s="0" t="inlineStr">
        <is>
          <t xml:space="preserve">Región de Coquimbo </t>
        </is>
      </c>
      <c r="G93" s="0" t="inlineStr">
        <is>
          <t xml:space="preserve">La Serena</t>
        </is>
      </c>
      <c r="H93" s="2">
        <v>46311.490671</v>
      </c>
      <c r="I93" s="2">
        <v>46331.75</v>
      </c>
      <c r="J93" s="0">
        <v>17</v>
      </c>
      <c r="K93" s="3"/>
      <c r="L93" s="0" t="inlineStr">
        <is>
          <t xml:space="preserve">CLP</t>
        </is>
      </c>
      <c r="M93" s="0" t="inlineStr">
        <is>
          <t xml:space="preserve">LP</t>
        </is>
      </c>
      <c r="N93" s="4" t="inlineStr">
        <is>
          <t xml:space="preserve">Equipamiento y suministros médicos / Suministros para formación y estudios de medicina / Ayudas para la formación médica</t>
        </is>
      </c>
      <c r="O93" s="4" t="inlineStr">
        <is>
          <t xml:space="preserve">1 Unidad · Equipos para formación y estudios de medicina</t>
        </is>
      </c>
      <c r="P93" s="2"/>
      <c r="Q93" s="2"/>
      <c r="R93" s="0"/>
      <c r="S93" s="0" t="inlineStr">
        <is>
          <t xml:space="preserve">No</t>
        </is>
      </c>
      <c r="T93" s="4"/>
      <c r="U93" s="0" t="inlineStr">
        <is>
          <t xml:space="preserve">Estefania Muñoz Valdivia</t>
        </is>
      </c>
      <c r="V93"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93"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94">
      <c r="A94" s="0" t="inlineStr">
        <is>
          <t xml:space="preserve">976-15-O126</t>
        </is>
      </c>
      <c r="B94" s="4" t="inlineStr">
        <is>
          <t xml:space="preserve">Ampliación Plataformas Comercial y General Ad. El Loa</t>
        </is>
      </c>
      <c r="C94" s="0" t="inlineStr">
        <is>
          <t xml:space="preserve">Publicada</t>
        </is>
      </c>
      <c r="D94" s="0" t="inlineStr">
        <is>
          <t xml:space="preserve">MINISTERIO DE OBRAS PUBLICAS DIREC CION GRAL DE OO PP DCYF</t>
        </is>
      </c>
      <c r="E94" s="0" t="inlineStr">
        <is>
          <t xml:space="preserve">Dirección de Aeropuertos - MOPTT</t>
        </is>
      </c>
      <c r="F94" s="0" t="inlineStr">
        <is>
          <t xml:space="preserve">Región de Antofagasta </t>
        </is>
      </c>
      <c r="G94" s="0" t="inlineStr">
        <is>
          <t xml:space="preserve">Santiago</t>
        </is>
      </c>
      <c r="H94" s="2">
        <v>46265.341667</v>
      </c>
      <c r="I94" s="2">
        <v>46332.458333</v>
      </c>
      <c r="J94" s="0">
        <v>18</v>
      </c>
      <c r="K94" s="3"/>
      <c r="L94" s="0" t="inlineStr">
        <is>
          <t xml:space="preserve">CLP</t>
        </is>
      </c>
      <c r="M94" s="0" t="inlineStr">
        <is>
          <t xml:space="preserve">O1</t>
        </is>
      </c>
      <c r="N94" s="4" t="inlineStr">
        <is>
          <t xml:space="preserve">Consultoria / Consultoria / Planificación y Factibilidad</t>
        </is>
      </c>
      <c r="O94" s="4" t="inlineStr">
        <is>
          <t xml:space="preserve">1 Unidad · Licitación Pública de Obra</t>
        </is>
      </c>
      <c r="P94" s="2"/>
      <c r="Q94" s="2"/>
      <c r="R94" s="0"/>
      <c r="S94" s="0" t="inlineStr">
        <is>
          <t xml:space="preserve">No</t>
        </is>
      </c>
      <c r="T94" s="4"/>
      <c r="U94" s="0"/>
      <c r="V94" s="4" t="inlineStr">
        <is>
          <t xml:space="preserve">Esta Dirección necesita llamar a licitación para contratar la obra Ampliación Plataformas Comercial y General Aeródromo El Loa.</t>
        </is>
      </c>
      <c r="W94"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95">
      <c r="A95" s="0" t="inlineStr">
        <is>
          <t xml:space="preserve">1020-54-LP26</t>
        </is>
      </c>
      <c r="B95" s="4" t="inlineStr">
        <is>
          <t xml:space="preserve">Administración y Mantención de Bases de Datos MOP</t>
        </is>
      </c>
      <c r="C95" s="0" t="inlineStr">
        <is>
          <t xml:space="preserve">Publicada</t>
        </is>
      </c>
      <c r="D95" s="0" t="inlineStr">
        <is>
          <t xml:space="preserve">MINISTERIO DE OBRAS PUBLICAS DIREC CION GRAL DE OO PP DCYF</t>
        </is>
      </c>
      <c r="E95" s="0" t="inlineStr">
        <is>
          <t xml:space="preserve">MOP Subsecretaría </t>
        </is>
      </c>
      <c r="F95" s="0" t="inlineStr">
        <is>
          <t xml:space="preserve">Región Metropolitana de Santiago</t>
        </is>
      </c>
      <c r="G95" s="0"/>
      <c r="H95" s="2">
        <v>46303.478727</v>
      </c>
      <c r="I95" s="2">
        <v>46332.625</v>
      </c>
      <c r="J95" s="0">
        <v>18</v>
      </c>
      <c r="K95" s="3">
        <v>174000000.0</v>
      </c>
      <c r="L95" s="0" t="inlineStr">
        <is>
          <t xml:space="preserve">CLP</t>
        </is>
      </c>
      <c r="M95" s="0" t="inlineStr">
        <is>
          <t xml:space="preserve">LP</t>
        </is>
      </c>
      <c r="N95" s="4" t="inlineStr">
        <is>
          <t xml:space="preserve">Servicios profesionales, administrativos y consultorías de gestión empresarial / Servicios de recursos humanos / Contratación de personal</t>
        </is>
      </c>
      <c r="O95" s="4" t="inlineStr">
        <is>
          <t xml:space="preserve">24 Mes · Administradores de bases de datos</t>
        </is>
      </c>
      <c r="P95" s="2"/>
      <c r="Q95" s="2"/>
      <c r="R95" s="0" t="inlineStr">
        <is>
          <t xml:space="preserve">25 meses</t>
        </is>
      </c>
      <c r="S95" s="0" t="inlineStr">
        <is>
          <t xml:space="preserve">No</t>
        </is>
      </c>
      <c r="T95" s="4" t="inlineStr">
        <is>
          <t xml:space="preserve">Según 10.5 de las BA El oferente adjudicado no podrá subcontratar los servicios derivados de la ejecución del Contrato</t>
        </is>
      </c>
      <c r="U95" s="0" t="inlineStr">
        <is>
          <t xml:space="preserve">Francisco Borquez</t>
        </is>
      </c>
      <c r="V95"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95"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96">
      <c r="A96" s="0" t="inlineStr">
        <is>
          <t xml:space="preserve">605-17-LP26</t>
        </is>
      </c>
      <c r="B96" s="4" t="inlineStr">
        <is>
          <t xml:space="preserve">TELEFONÍA FIJA Y RED PRIVADA DE DATOS</t>
        </is>
      </c>
      <c r="C96" s="0" t="inlineStr">
        <is>
          <t xml:space="preserve">Publicada</t>
        </is>
      </c>
      <c r="D96" s="0" t="inlineStr">
        <is>
          <t xml:space="preserve">Consejo de Defensa del Estado</t>
        </is>
      </c>
      <c r="E96" s="0" t="inlineStr">
        <is>
          <t xml:space="preserve">Consejo de Defensa del Estado</t>
        </is>
      </c>
      <c r="F96" s="0" t="inlineStr">
        <is>
          <t xml:space="preserve">Región Metropolitana de Santiago</t>
        </is>
      </c>
      <c r="G96" s="0" t="inlineStr">
        <is>
          <t xml:space="preserve">Santiago</t>
        </is>
      </c>
      <c r="H96" s="2">
        <v>46267.454861</v>
      </c>
      <c r="I96" s="2">
        <v>46332.625</v>
      </c>
      <c r="J96" s="0">
        <v>18</v>
      </c>
      <c r="K96" s="3">
        <v>8500.0</v>
      </c>
      <c r="L96" s="0" t="inlineStr">
        <is>
          <t xml:space="preserve">CLF</t>
        </is>
      </c>
      <c r="M96" s="0" t="inlineStr">
        <is>
          <t xml:space="preserve">LP</t>
        </is>
      </c>
      <c r="N96" s="4" t="inlineStr">
        <is>
          <t xml:space="preserve">Servicios básicos y de información pública / Telecomunicaciones / Telefonía local y de larga distancia</t>
        </is>
      </c>
      <c r="O96" s="4" t="inlineStr">
        <is>
          <t xml:space="preserve">1 Unidad · Servicio telefónico local · 1 Unidad · Servicio de comunicación IP</t>
        </is>
      </c>
      <c r="P96" s="2"/>
      <c r="Q96" s="2"/>
      <c r="R96" s="0" t="inlineStr">
        <is>
          <t xml:space="preserve">24 meses</t>
        </is>
      </c>
      <c r="S96" s="0" t="inlineStr">
        <is>
          <t xml:space="preserve">No</t>
        </is>
      </c>
      <c r="T9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6" s="0" t="inlineStr">
        <is>
          <t xml:space="preserve">IVANHOE AGUIRRE RIVERA</t>
        </is>
      </c>
      <c r="V9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6"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97">
      <c r="A97" s="0" t="inlineStr">
        <is>
          <t xml:space="preserve">1113265-17-LE26</t>
        </is>
      </c>
      <c r="B97" s="4" t="inlineStr">
        <is>
          <t xml:space="preserve">PLATAFORMA DE GESTIÓN ESTRATÉGICA</t>
        </is>
      </c>
      <c r="C97" s="0" t="inlineStr">
        <is>
          <t xml:space="preserve">Publicada</t>
        </is>
      </c>
      <c r="D97" s="0" t="inlineStr">
        <is>
          <t xml:space="preserve">CENTRO DE FORMACION TECNICA DE LA REGION DE ANTOFAGASTA</t>
        </is>
      </c>
      <c r="E97" s="0" t="inlineStr">
        <is>
          <t xml:space="preserve">UNIDAD DE COMPRAS</t>
        </is>
      </c>
      <c r="F97" s="0" t="inlineStr">
        <is>
          <t xml:space="preserve">Región de Antofagasta </t>
        </is>
      </c>
      <c r="G97" s="0" t="inlineStr">
        <is>
          <t xml:space="preserve">Calama</t>
        </is>
      </c>
      <c r="H97" s="2">
        <v>46309.735046</v>
      </c>
      <c r="I97" s="2">
        <v>46332.63125</v>
      </c>
      <c r="J97" s="0">
        <v>18</v>
      </c>
      <c r="K97" s="3"/>
      <c r="L97" s="0" t="inlineStr">
        <is>
          <t xml:space="preserve">CLP</t>
        </is>
      </c>
      <c r="M97" s="0" t="inlineStr">
        <is>
          <t xml:space="preserve">LE</t>
        </is>
      </c>
      <c r="N97" s="4" t="inlineStr">
        <is>
          <t xml:space="preserve">Tecnologías de la información, telecomunicaciones y radiodifusión / Software / Software de consultas y gestión de datos</t>
        </is>
      </c>
      <c r="O97" s="4" t="inlineStr">
        <is>
          <t xml:space="preserve">1 Unidad · Software del sistema de administración de bases de datos</t>
        </is>
      </c>
      <c r="P97" s="2"/>
      <c r="Q97" s="2"/>
      <c r="R97" s="0" t="inlineStr">
        <is>
          <t xml:space="preserve">12 meses</t>
        </is>
      </c>
      <c r="S97" s="0" t="inlineStr">
        <is>
          <t xml:space="preserve">No</t>
        </is>
      </c>
      <c r="T97" s="4"/>
      <c r="U97" s="0" t="inlineStr">
        <is>
          <t xml:space="preserve">IVAN MELLA</t>
        </is>
      </c>
      <c r="V97" s="4" t="inlineStr">
        <is>
          <t xml:space="preserve">ADQUISICIÓN E IMPLEMENTACIÓN DE PLATAFORMA DE GESTIÓN ESTRATÉGICA DE LA PERMANENCIA ESTUDIANTIL PARA EL CENTRO DE FORMACIÓN TÉCNICA ESTATAL DE LA REGIÓN DE ANTOFAGASTA</t>
        </is>
      </c>
      <c r="W97"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98">
      <c r="A98" s="0" t="inlineStr">
        <is>
          <t xml:space="preserve">1177296-25-LP26</t>
        </is>
      </c>
      <c r="B98"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98" s="0" t="inlineStr">
        <is>
          <t xml:space="preserve">Publicada</t>
        </is>
      </c>
      <c r="D98" s="0" t="inlineStr">
        <is>
          <t xml:space="preserve">SERVICIO NACIONAL DE PROTECCIÓN ESPECIALIZADA A LA NIÑEZ Y ADOLESCENCI</t>
        </is>
      </c>
      <c r="E98" s="0" t="inlineStr">
        <is>
          <t xml:space="preserve">SERVICIO NACIONAL DE PROTECCIÓN ESPECIALIZADA A LA</t>
        </is>
      </c>
      <c r="F98" s="0" t="inlineStr">
        <is>
          <t xml:space="preserve">Región Metropolitana de Santiago</t>
        </is>
      </c>
      <c r="G98" s="0" t="inlineStr">
        <is>
          <t xml:space="preserve">Santiago</t>
        </is>
      </c>
      <c r="H98" s="2">
        <v>46309.722616</v>
      </c>
      <c r="I98" s="2">
        <v>46335.625</v>
      </c>
      <c r="J98" s="0">
        <v>21</v>
      </c>
      <c r="K98" s="3"/>
      <c r="L98" s="0" t="inlineStr">
        <is>
          <t xml:space="preserve">CLP</t>
        </is>
      </c>
      <c r="M98" s="0" t="inlineStr">
        <is>
          <t xml:space="preserve">LP</t>
        </is>
      </c>
      <c r="N98" s="4" t="inlineStr">
        <is>
          <t xml:space="preserve">Equipos, accesorios y suministros de oficina / Maquinarias, suministros y accesorios de oficina / Máquinas y accesorios para registro de hora y asistencia en la oficina</t>
        </is>
      </c>
      <c r="O98" s="4" t="inlineStr">
        <is>
          <t xml:space="preserve">1 Global · Reloj de control</t>
        </is>
      </c>
      <c r="P98" s="2"/>
      <c r="Q98" s="2"/>
      <c r="R98" s="0" t="inlineStr">
        <is>
          <t xml:space="preserve">24 meses</t>
        </is>
      </c>
      <c r="S98" s="0" t="inlineStr">
        <is>
          <t xml:space="preserve">No</t>
        </is>
      </c>
      <c r="T98" s="4" t="inlineStr">
        <is>
          <t xml:space="preserve">Según lo indicado en bases de licitación adjuntas.</t>
        </is>
      </c>
      <c r="U98" s="0" t="inlineStr">
        <is>
          <t xml:space="preserve">Maximo Ovalle</t>
        </is>
      </c>
      <c r="V98" s="4" t="inlineStr">
        <is>
          <t xml:space="preserve">Adquirir servicios de instalación, mplementación, arriendo, soporte, mantención y operación de software y hardware de un sistema de  gestión de asistencia, relojes control y marcaje remoto con georreferenciación</t>
        </is>
      </c>
      <c r="W98"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99">
      <c r="A99" s="0" t="inlineStr">
        <is>
          <t xml:space="preserve">2421-52-LR26</t>
        </is>
      </c>
      <c r="B99" s="4" t="inlineStr">
        <is>
          <t xml:space="preserve">SUMINISTRO SERVICIO DE TELECOMUNICACIONES DATOS Y VOZ</t>
        </is>
      </c>
      <c r="C99" s="0" t="inlineStr">
        <is>
          <t xml:space="preserve">Publicada</t>
        </is>
      </c>
      <c r="D99" s="0" t="inlineStr">
        <is>
          <t xml:space="preserve">I MUNICIPALIDAD DE CONCEPCION</t>
        </is>
      </c>
      <c r="E99" s="0" t="inlineStr">
        <is>
          <t xml:space="preserve">DIRECCION DE SALUD MUNICIPAL DE CONCEPCION</t>
        </is>
      </c>
      <c r="F99" s="0" t="inlineStr">
        <is>
          <t xml:space="preserve">Región del Biobío </t>
        </is>
      </c>
      <c r="G99" s="0" t="inlineStr">
        <is>
          <t xml:space="preserve">Concepción</t>
        </is>
      </c>
      <c r="H99" s="2">
        <v>46303.407569</v>
      </c>
      <c r="I99" s="2">
        <v>46335.625</v>
      </c>
      <c r="J99" s="0">
        <v>21</v>
      </c>
      <c r="K99" s="3"/>
      <c r="L99" s="0" t="inlineStr">
        <is>
          <t xml:space="preserve">CLP</t>
        </is>
      </c>
      <c r="M99" s="0" t="inlineStr">
        <is>
          <t xml:space="preserve">LR</t>
        </is>
      </c>
      <c r="N99" s="4" t="inlineStr">
        <is>
          <t xml:space="preserve">Servicios básicos y de información pública / Telecomunicaciones / Telefonía local y de larga distancia</t>
        </is>
      </c>
      <c r="O99" s="4" t="inlineStr">
        <is>
          <t xml:space="preserve">1 Unidad · Servicio telefónico local · 1 Unidad · Servicio telefónico local</t>
        </is>
      </c>
      <c r="P99" s="2"/>
      <c r="Q99" s="2"/>
      <c r="R99" s="0" t="inlineStr">
        <is>
          <t xml:space="preserve">60 meses</t>
        </is>
      </c>
      <c r="S99" s="0" t="inlineStr">
        <is>
          <t xml:space="preserve">No</t>
        </is>
      </c>
      <c r="T99" s="4"/>
      <c r="U99" s="0" t="inlineStr">
        <is>
          <t xml:space="preserve">MARCELO SEPULVEDA</t>
        </is>
      </c>
      <c r="V99" s="4" t="inlineStr">
        <is>
          <t xml:space="preserve">LA DIRECCION DE SALUD DE CONCEPCION SOLICITA LA ADQUISICION DE SUMINISTRO DE SERVICIO DE TELECOMUNICACIONES DE DATOS Y VOZ POR UN PLAZO DE 60 MESES.</t>
        </is>
      </c>
      <c r="W99"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00">
      <c r="A100" s="0" t="inlineStr">
        <is>
          <t xml:space="preserve">619-13-LP26</t>
        </is>
      </c>
      <c r="B100" s="4" t="inlineStr">
        <is>
          <t xml:space="preserve">Suscripción de licencias IA generativa Claude.</t>
        </is>
      </c>
      <c r="C100" s="0" t="inlineStr">
        <is>
          <t xml:space="preserve">Publicada</t>
        </is>
      </c>
      <c r="D100" s="0" t="inlineStr">
        <is>
          <t xml:space="preserve">SUBSECRETARIA DEL MINISTERIO DE HACIENDA</t>
        </is>
      </c>
      <c r="E100" s="0" t="inlineStr">
        <is>
          <t xml:space="preserve">SUBSECRETARIA DEL MINISTERIO DE HACIENDA</t>
        </is>
      </c>
      <c r="F100" s="0" t="inlineStr">
        <is>
          <t xml:space="preserve">Región Metropolitana de Santiago</t>
        </is>
      </c>
      <c r="G100" s="0" t="inlineStr">
        <is>
          <t xml:space="preserve">Santiago</t>
        </is>
      </c>
      <c r="H100" s="2">
        <v>46314.50441</v>
      </c>
      <c r="I100" s="2">
        <v>46335.625</v>
      </c>
      <c r="J100" s="0">
        <v>21</v>
      </c>
      <c r="K100" s="3">
        <v>105000000.0</v>
      </c>
      <c r="L100" s="0" t="inlineStr">
        <is>
          <t xml:space="preserve">CLP</t>
        </is>
      </c>
      <c r="M100" s="0" t="inlineStr">
        <is>
          <t xml:space="preserve">LP</t>
        </is>
      </c>
      <c r="N100" s="4" t="inlineStr">
        <is>
          <t xml:space="preserve">Tecnologías de la información, telecomunicaciones y radiodifusión / Software / Software de gestión</t>
        </is>
      </c>
      <c r="O100" s="4" t="inlineStr">
        <is>
          <t xml:space="preserve">1 Unidad no definida · Software de gestión de licencias</t>
        </is>
      </c>
      <c r="P100" s="2"/>
      <c r="Q100" s="2"/>
      <c r="R100" s="0" t="inlineStr">
        <is>
          <t xml:space="preserve">13 meses</t>
        </is>
      </c>
      <c r="S100" s="0" t="inlineStr">
        <is>
          <t xml:space="preserve">No</t>
        </is>
      </c>
      <c r="T100" s="4"/>
      <c r="U100" s="0" t="inlineStr">
        <is>
          <t xml:space="preserve">Óscar Escobar</t>
        </is>
      </c>
      <c r="V100"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100"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101">
      <c r="A101" s="0" t="inlineStr">
        <is>
          <t xml:space="preserve">1057390-21-LR26</t>
        </is>
      </c>
      <c r="B101" s="4" t="inlineStr">
        <is>
          <t xml:space="preserve">PLATAFORMA CLOUD COMPUTING Y SERVICIOS ASOCIADOS ESISSAN</t>
        </is>
      </c>
      <c r="C101" s="0" t="inlineStr">
        <is>
          <t xml:space="preserve">Publicada</t>
        </is>
      </c>
      <c r="D101" s="0" t="inlineStr">
        <is>
          <t xml:space="preserve">SERVICIO DE SALUD ARAUCANIA NORTE</t>
        </is>
      </c>
      <c r="E101" s="0" t="inlineStr">
        <is>
          <t xml:space="preserve">Bienes y Servicios</t>
        </is>
      </c>
      <c r="F101" s="0" t="inlineStr">
        <is>
          <t xml:space="preserve">Región de la Araucanía </t>
        </is>
      </c>
      <c r="G101" s="0" t="inlineStr">
        <is>
          <t xml:space="preserve">Angol</t>
        </is>
      </c>
      <c r="H101" s="2">
        <v>46304.689398</v>
      </c>
      <c r="I101" s="2">
        <v>46335.645833</v>
      </c>
      <c r="J101" s="0">
        <v>21</v>
      </c>
      <c r="K101" s="3">
        <v>487000000.0</v>
      </c>
      <c r="L101" s="0" t="inlineStr">
        <is>
          <t xml:space="preserve">CLP</t>
        </is>
      </c>
      <c r="M101" s="0" t="inlineStr">
        <is>
          <t xml:space="preserve">LR</t>
        </is>
      </c>
      <c r="N101" s="4" t="inlineStr">
        <is>
          <t xml:space="preserve">Tecnologías de la información, telecomunicaciones y radiodifusión / Software / Software para trabajo en redes</t>
        </is>
      </c>
      <c r="O101" s="4" t="inlineStr">
        <is>
          <t xml:space="preserve">1 Unidad · Software de interconectividad de plataformas</t>
        </is>
      </c>
      <c r="P101" s="2"/>
      <c r="Q101" s="2"/>
      <c r="R101" s="0" t="inlineStr">
        <is>
          <t xml:space="preserve">36 meses</t>
        </is>
      </c>
      <c r="S101" s="0" t="inlineStr">
        <is>
          <t xml:space="preserve">No</t>
        </is>
      </c>
      <c r="T101" s="4"/>
      <c r="U101" s="0" t="inlineStr">
        <is>
          <t xml:space="preserve">Jorge Mora Bustamante</t>
        </is>
      </c>
      <c r="V101"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01"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02">
      <c r="A102" s="0" t="inlineStr">
        <is>
          <t xml:space="preserve">1260-17-LP26</t>
        </is>
      </c>
      <c r="B102" s="4" t="inlineStr">
        <is>
          <t xml:space="preserve">NARRATIVAS DIGITALES Y PRODUCCION CONTENIDOS</t>
        </is>
      </c>
      <c r="C102" s="0" t="inlineStr">
        <is>
          <t xml:space="preserve">Publicada</t>
        </is>
      </c>
      <c r="D102" s="0" t="inlineStr">
        <is>
          <t xml:space="preserve">GOBIERNO REGIONAL REGION METROPOLITANA</t>
        </is>
      </c>
      <c r="E102" s="0" t="inlineStr">
        <is>
          <t xml:space="preserve">ADQUISICIONES - PROGRAMA 01</t>
        </is>
      </c>
      <c r="F102" s="0" t="inlineStr">
        <is>
          <t xml:space="preserve">Región Metropolitana de Santiago</t>
        </is>
      </c>
      <c r="G102" s="0"/>
      <c r="H102" s="2">
        <v>46303.472778</v>
      </c>
      <c r="I102" s="2">
        <v>46335.645833</v>
      </c>
      <c r="J102" s="0">
        <v>21</v>
      </c>
      <c r="K102" s="3">
        <v>160650000.0</v>
      </c>
      <c r="L102" s="0" t="inlineStr">
        <is>
          <t xml:space="preserve">CLP</t>
        </is>
      </c>
      <c r="M102" s="0" t="inlineStr">
        <is>
          <t xml:space="preserve">LP</t>
        </is>
      </c>
      <c r="N102" s="4" t="inlineStr">
        <is>
          <t xml:space="preserve">Servicios profesionales, administrativos y consultorías de gestión empresarial / Servicios para la comercialización y distribución / Ventas y marketing</t>
        </is>
      </c>
      <c r="O102" s="4" t="inlineStr">
        <is>
          <t xml:space="preserve">1 Unidad · Agencias de marketing de ventas, incluidas las impresiones</t>
        </is>
      </c>
      <c r="P102" s="2"/>
      <c r="Q102" s="2"/>
      <c r="R102" s="0" t="inlineStr">
        <is>
          <t xml:space="preserve">365 días</t>
        </is>
      </c>
      <c r="S102" s="0" t="inlineStr">
        <is>
          <t xml:space="preserve">No</t>
        </is>
      </c>
      <c r="T102" s="4"/>
      <c r="U102" s="0" t="inlineStr">
        <is>
          <t xml:space="preserve">Joaquín Orellana Calderón</t>
        </is>
      </c>
      <c r="V102"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02"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03">
      <c r="A103" s="0" t="inlineStr">
        <is>
          <t xml:space="preserve">425-73-LP26</t>
        </is>
      </c>
      <c r="B103" s="4" t="inlineStr">
        <is>
          <t xml:space="preserve">Renovación de licencias de software CISCO</t>
        </is>
      </c>
      <c r="C103" s="0" t="inlineStr">
        <is>
          <t xml:space="preserve">Publicada</t>
        </is>
      </c>
      <c r="D103" s="0" t="inlineStr">
        <is>
          <t xml:space="preserve">CORP ADMINISTRATIVA DEL PODER JUDICIAL</t>
        </is>
      </c>
      <c r="E103" s="0" t="inlineStr">
        <is>
          <t xml:space="preserve">Servicios</t>
        </is>
      </c>
      <c r="F103" s="0" t="inlineStr">
        <is>
          <t xml:space="preserve">Región Metropolitana de Santiago</t>
        </is>
      </c>
      <c r="G103" s="0" t="inlineStr">
        <is>
          <t xml:space="preserve">Santiago Centro</t>
        </is>
      </c>
      <c r="H103" s="2">
        <v>46304.698588</v>
      </c>
      <c r="I103" s="2">
        <v>46335.666667</v>
      </c>
      <c r="J103" s="0">
        <v>21</v>
      </c>
      <c r="K103" s="3"/>
      <c r="L103" s="0" t="inlineStr">
        <is>
          <t xml:space="preserve">USD</t>
        </is>
      </c>
      <c r="M103" s="0" t="inlineStr">
        <is>
          <t xml:space="preserve">LP</t>
        </is>
      </c>
      <c r="N103" s="4" t="inlineStr">
        <is>
          <t xml:space="preserve">Tecnologías de la información, telecomunicaciones y radiodifusión / Software / Software de gestión</t>
        </is>
      </c>
      <c r="O103" s="4" t="inlineStr">
        <is>
          <t xml:space="preserve">5000 Unidad · Software de gestión de licencias · 20000 Unidad · Software de gestión de licencias · 11000 Unidad · Software de gestión de licencias · y 7 más</t>
        </is>
      </c>
      <c r="P103" s="2"/>
      <c r="Q103" s="2"/>
      <c r="R103" s="0" t="inlineStr">
        <is>
          <t xml:space="preserve">12 meses</t>
        </is>
      </c>
      <c r="S103" s="0" t="inlineStr">
        <is>
          <t xml:space="preserve">No</t>
        </is>
      </c>
      <c r="T103" s="4" t="inlineStr">
        <is>
          <t xml:space="preserve">Remítase a lo indicado en el numeral 15 de las bases administrativas especiales</t>
        </is>
      </c>
      <c r="U103" s="0" t="inlineStr">
        <is>
          <t xml:space="preserve">César Herrera Mejías</t>
        </is>
      </c>
      <c r="V103" s="4" t="inlineStr">
        <is>
          <t xml:space="preserve">UR (1804), Renovación de licencias de software CISCO</t>
        </is>
      </c>
      <c r="W103"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04">
      <c r="A104" s="0" t="inlineStr">
        <is>
          <t xml:space="preserve">4160-22-LP26</t>
        </is>
      </c>
      <c r="B104" s="4" t="inlineStr">
        <is>
          <t xml:space="preserve">SERVICIO DE INTERNET VOZ Y DATOS</t>
        </is>
      </c>
      <c r="C104" s="0" t="inlineStr">
        <is>
          <t xml:space="preserve">Publicada</t>
        </is>
      </c>
      <c r="D104" s="0" t="inlineStr">
        <is>
          <t xml:space="preserve">MUNICIPALIDAD DE HUALPEN</t>
        </is>
      </c>
      <c r="E104" s="0" t="inlineStr">
        <is>
          <t xml:space="preserve">Secplan</t>
        </is>
      </c>
      <c r="F104" s="0" t="inlineStr">
        <is>
          <t xml:space="preserve">Región del Biobío </t>
        </is>
      </c>
      <c r="G104" s="0" t="inlineStr">
        <is>
          <t xml:space="preserve">Hualpén</t>
        </is>
      </c>
      <c r="H104" s="2">
        <v>46314.427569</v>
      </c>
      <c r="I104" s="2">
        <v>46336.583333</v>
      </c>
      <c r="J104" s="0">
        <v>22</v>
      </c>
      <c r="K104" s="3"/>
      <c r="L104" s="0" t="inlineStr">
        <is>
          <t xml:space="preserve">CLF</t>
        </is>
      </c>
      <c r="M104" s="0" t="inlineStr">
        <is>
          <t xml:space="preserve">LP</t>
        </is>
      </c>
      <c r="N104" s="4" t="inlineStr">
        <is>
          <t xml:space="preserve">Servicios basados en ingeniería, ciencias sociales y tecnología de la información / Servicios informáticos / Servicios para internet</t>
        </is>
      </c>
      <c r="O104" s="4" t="inlineStr">
        <is>
          <t xml:space="preserve">36 Mes · Proveedores de servicio de Internet (ISP)</t>
        </is>
      </c>
      <c r="P104" s="2"/>
      <c r="Q104" s="2"/>
      <c r="R104" s="0" t="inlineStr">
        <is>
          <t xml:space="preserve">36 meses</t>
        </is>
      </c>
      <c r="S104" s="0" t="inlineStr">
        <is>
          <t xml:space="preserve">No</t>
        </is>
      </c>
      <c r="T104" s="4"/>
      <c r="U104" s="0" t="inlineStr">
        <is>
          <t xml:space="preserve">RENE IBAÑEZ RETAMAL</t>
        </is>
      </c>
      <c r="V104"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104"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105">
      <c r="A105" s="0" t="inlineStr">
        <is>
          <t xml:space="preserve">5240-109-LR26</t>
        </is>
      </c>
      <c r="B105" s="4" t="inlineStr">
        <is>
          <t xml:space="preserve">SOFTWARE USO FORENSE DE EXTRACC. Y ANALIS DE DATOS</t>
        </is>
      </c>
      <c r="C105" s="0" t="inlineStr">
        <is>
          <t xml:space="preserve">Publicada</t>
        </is>
      </c>
      <c r="D105" s="0" t="inlineStr">
        <is>
          <t xml:space="preserve">DIRECCION DE LOGISTICA DE CARABINEROS</t>
        </is>
      </c>
      <c r="E105" s="0" t="inlineStr">
        <is>
          <t xml:space="preserve">Direccion de Compras Publicas de Carabineros</t>
        </is>
      </c>
      <c r="F105" s="0" t="inlineStr">
        <is>
          <t xml:space="preserve">Región Metropolitana de Santiago</t>
        </is>
      </c>
      <c r="G105" s="0" t="inlineStr">
        <is>
          <t xml:space="preserve">Santiago Centro</t>
        </is>
      </c>
      <c r="H105" s="2">
        <v>46308.369236</v>
      </c>
      <c r="I105" s="2">
        <v>46339.645833</v>
      </c>
      <c r="J105" s="0">
        <v>25</v>
      </c>
      <c r="K105" s="3">
        <v>418036746.0</v>
      </c>
      <c r="L105" s="0" t="inlineStr">
        <is>
          <t xml:space="preserve">CLP</t>
        </is>
      </c>
      <c r="M105" s="0" t="inlineStr">
        <is>
          <t xml:space="preserve">LR</t>
        </is>
      </c>
      <c r="N105" s="4" t="inlineStr">
        <is>
          <t xml:space="preserve">Tecnologías de la información, telecomunicaciones y radiodifusión / Software / Software de consultas y gestión de datos</t>
        </is>
      </c>
      <c r="O105" s="4" t="inlineStr">
        <is>
          <t xml:space="preserve">2 Unidad · Software de extracción de datos · 1 Unidad · Software de extracción de datos · 3 Unidad · Software de extracción de datos · y 6 más</t>
        </is>
      </c>
      <c r="P105" s="2"/>
      <c r="Q105" s="2"/>
      <c r="R105" s="0"/>
      <c r="S105" s="0" t="inlineStr">
        <is>
          <t xml:space="preserve">No</t>
        </is>
      </c>
      <c r="T105" s="4" t="inlineStr">
        <is>
          <t xml:space="preserve">EL PROVEEDOR ADJUDICADO NO PODRA SUBCONTRATAR, CONFORME A LO SEÑALADO EN EL NUMERAL 5.21 CESIBILIDAD DEL CONTRATO Y SUBCONTRATACION DE LAS BASES ADMINISTRATIVAS ADJUNTAS.</t>
        </is>
      </c>
      <c r="U105" s="0" t="inlineStr">
        <is>
          <t xml:space="preserve">Departamento gestion de contratos</t>
        </is>
      </c>
      <c r="V105" s="4" t="inlineStr">
        <is>
          <t xml:space="preserve">MATERIALIZAR LA ADQUISICION DE SOFTWARE DE USO FORENSE DE EXTRACCION AVANZADO Y ANALISIS DE INFORMACION DIGITAL PARA EL DEPARTAMENTO CRIMINALISTICA DE CARABINEROS DE CHILE LABOCAR Y SECCIONES REGIONALES.</t>
        </is>
      </c>
      <c r="W105"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06">
      <c r="A106" s="0" t="inlineStr">
        <is>
          <t xml:space="preserve">2345-137-LR26</t>
        </is>
      </c>
      <c r="B106" s="4" t="inlineStr">
        <is>
          <t xml:space="preserve">SERVICIO DE APLICACIÓN MÓVIL DE SEGURIDAD 1402 PARA LA COMUNA DE LAS CONDES</t>
        </is>
      </c>
      <c r="C106" s="0" t="inlineStr">
        <is>
          <t xml:space="preserve">Publicada</t>
        </is>
      </c>
      <c r="D106" s="0" t="inlineStr">
        <is>
          <t xml:space="preserve">I MUNICIPALIDAD DE LAS CONDES</t>
        </is>
      </c>
      <c r="E106" s="0" t="inlineStr">
        <is>
          <t xml:space="preserve">I MUNICIPALIDAD DE LAS CONDES</t>
        </is>
      </c>
      <c r="F106" s="0" t="inlineStr">
        <is>
          <t xml:space="preserve">Región Metropolitana de Santiago</t>
        </is>
      </c>
      <c r="G106" s="0" t="inlineStr">
        <is>
          <t xml:space="preserve">Las Condes</t>
        </is>
      </c>
      <c r="H106" s="2">
        <v>46311.430463</v>
      </c>
      <c r="I106" s="2">
        <v>46342.625694</v>
      </c>
      <c r="J106" s="0">
        <v>28</v>
      </c>
      <c r="K106" s="3">
        <v>504000000.0</v>
      </c>
      <c r="L106" s="0" t="inlineStr">
        <is>
          <t xml:space="preserve">CLP</t>
        </is>
      </c>
      <c r="M106" s="0" t="inlineStr">
        <is>
          <t xml:space="preserve">LR</t>
        </is>
      </c>
      <c r="N106" s="4" t="inlineStr">
        <is>
          <t xml:space="preserve">Servicios basados en ingeniería, ciencias sociales y tecnología de la información / Servicios informáticos / Servicios para internet</t>
        </is>
      </c>
      <c r="O106" s="4" t="inlineStr">
        <is>
          <t xml:space="preserve">1 Global · Web Hosting</t>
        </is>
      </c>
      <c r="P106" s="2"/>
      <c r="Q106" s="2"/>
      <c r="R106" s="0" t="inlineStr">
        <is>
          <t xml:space="preserve">48 meses</t>
        </is>
      </c>
      <c r="S106" s="0" t="inlineStr">
        <is>
          <t xml:space="preserve">No</t>
        </is>
      </c>
      <c r="T106" s="4"/>
      <c r="U106" s="0" t="inlineStr">
        <is>
          <t xml:space="preserve">Jaime Izarnotegui Lopez</t>
        </is>
      </c>
      <c r="V106"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06"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07">
      <c r="A107" s="0" t="inlineStr">
        <is>
          <t xml:space="preserve">1882-3-LP26</t>
        </is>
      </c>
      <c r="B107" s="4" t="inlineStr">
        <is>
          <t xml:space="preserve">DPP LA ARAUCANIA SERVICIO DEFENSA RPA LLAMADO 2026</t>
        </is>
      </c>
      <c r="C107" s="0" t="inlineStr">
        <is>
          <t xml:space="preserve">Publicada</t>
        </is>
      </c>
      <c r="D107" s="0" t="inlineStr">
        <is>
          <t xml:space="preserve">DEFENSORIA PENAL PUBLICA</t>
        </is>
      </c>
      <c r="E107" s="0" t="inlineStr">
        <is>
          <t xml:space="preserve">Defensoría Regional de La Araucanía</t>
        </is>
      </c>
      <c r="F107" s="0" t="inlineStr">
        <is>
          <t xml:space="preserve">Región de la Araucanía </t>
        </is>
      </c>
      <c r="G107" s="0" t="inlineStr">
        <is>
          <t xml:space="preserve">Temuco</t>
        </is>
      </c>
      <c r="H107" s="2">
        <v>46310.629259</v>
      </c>
      <c r="I107" s="2">
        <v>46342.666667</v>
      </c>
      <c r="J107" s="0">
        <v>28</v>
      </c>
      <c r="K107" s="3"/>
      <c r="L107" s="0" t="inlineStr">
        <is>
          <t xml:space="preserve">CLP</t>
        </is>
      </c>
      <c r="M107" s="0" t="inlineStr">
        <is>
          <t xml:space="preserve">LP</t>
        </is>
      </c>
      <c r="N107" s="4" t="inlineStr">
        <is>
          <t xml:space="preserve">Servicios profesionales, administrativos y consultorías de gestión empresarial / Servicios legales / Derecho penal</t>
        </is>
      </c>
      <c r="O107" s="4" t="inlineStr">
        <is>
          <t xml:space="preserve">1 Unidad · Servicio de defensa penal pública</t>
        </is>
      </c>
      <c r="P107" s="2"/>
      <c r="Q107" s="2"/>
      <c r="R107" s="0" t="inlineStr">
        <is>
          <t xml:space="preserve">36 meses</t>
        </is>
      </c>
      <c r="S107" s="0" t="inlineStr">
        <is>
          <t xml:space="preserve">No</t>
        </is>
      </c>
      <c r="T107" s="4" t="inlineStr">
        <is>
          <t xml:space="preserve">Se prohíbe absolutamente en atención a la integridad y naturaleza de la prestación, según punto N°8.17 de las Bases Administrativas.</t>
        </is>
      </c>
      <c r="U107" s="0" t="inlineStr">
        <is>
          <t xml:space="preserve">Humberto Serri Gajardo</t>
        </is>
      </c>
      <c r="V107" s="4" t="inlineStr">
        <is>
          <t xml:space="preserve">Defensa Responsabilidad Penal Adolescente Zona Angol de acuerdo a la REX N°198 de fecha 15 de octubre de 2026.</t>
        </is>
      </c>
      <c r="W107"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08">
      <c r="A108" s="0" t="inlineStr">
        <is>
          <t xml:space="preserve">1887-4-LP26</t>
        </is>
      </c>
      <c r="B108" s="4" t="inlineStr">
        <is>
          <t xml:space="preserve">SERVICIO DE DEFENSA PENAL EN ZONA 1 RPA</t>
        </is>
      </c>
      <c r="C108" s="0" t="inlineStr">
        <is>
          <t xml:space="preserve">Publicada</t>
        </is>
      </c>
      <c r="D108" s="0" t="inlineStr">
        <is>
          <t xml:space="preserve">DEFENSORIA PENAL PUBLICA</t>
        </is>
      </c>
      <c r="E108" s="0" t="inlineStr">
        <is>
          <t xml:space="preserve">Defensoría Regional de Aysén</t>
        </is>
      </c>
      <c r="F108" s="0" t="inlineStr">
        <is>
          <t xml:space="preserve">Región Aysén del General Carlos Ibáñez del Campo</t>
        </is>
      </c>
      <c r="G108" s="0" t="inlineStr">
        <is>
          <t xml:space="preserve">Coyhaique</t>
        </is>
      </c>
      <c r="H108" s="2">
        <v>46310.617616</v>
      </c>
      <c r="I108" s="2">
        <v>46342.666667</v>
      </c>
      <c r="J108" s="0">
        <v>28</v>
      </c>
      <c r="K108" s="3">
        <v>108000000.0</v>
      </c>
      <c r="L108" s="0" t="inlineStr">
        <is>
          <t xml:space="preserve">CLP</t>
        </is>
      </c>
      <c r="M108" s="0" t="inlineStr">
        <is>
          <t xml:space="preserve">LP</t>
        </is>
      </c>
      <c r="N108" s="4" t="inlineStr">
        <is>
          <t xml:space="preserve">Servicios profesionales, administrativos y consultorías de gestión empresarial / Servicios legales / Derecho penal</t>
        </is>
      </c>
      <c r="O108" s="4" t="inlineStr">
        <is>
          <t xml:space="preserve">36 Mes · Servicio de defensa penal pública</t>
        </is>
      </c>
      <c r="P108" s="2"/>
      <c r="Q108" s="2"/>
      <c r="R108" s="0" t="inlineStr">
        <is>
          <t xml:space="preserve">36 meses</t>
        </is>
      </c>
      <c r="S108" s="0" t="inlineStr">
        <is>
          <t xml:space="preserve">No</t>
        </is>
      </c>
      <c r="T108" s="4" t="inlineStr">
        <is>
          <t xml:space="preserve">8.17.PROHIBICIÓN DE TRASPASO, CESIÓN Y SUBCONTRATACIÓN DEL CONTRATO</t>
        </is>
      </c>
      <c r="U108" s="0" t="inlineStr">
        <is>
          <t xml:space="preserve">MARIANELA MOLINA MANSILLA</t>
        </is>
      </c>
      <c r="V108" s="4" t="inlineStr">
        <is>
          <t xml:space="preserve">2.DISPOSICIONES GENERALES
2.1.DEL OBJETIVO DE LA LICITACIÓN</t>
        </is>
      </c>
      <c r="W108"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09">
      <c r="A109" s="0" t="inlineStr">
        <is>
          <t xml:space="preserve">1057898-85-LR26</t>
        </is>
      </c>
      <c r="B109" s="4" t="inlineStr">
        <is>
          <t xml:space="preserve">ADQUISICIÓN DE SOFTWARES HIS-ESB-BI Y ERP PARA EL NUEVO HOSPITAL REGIONAL DE ÑUBLE</t>
        </is>
      </c>
      <c r="C109" s="0" t="inlineStr">
        <is>
          <t xml:space="preserve">Publicada</t>
        </is>
      </c>
      <c r="D109" s="0" t="inlineStr">
        <is>
          <t xml:space="preserve">SERVICIO DE SALUD NUBLE</t>
        </is>
      </c>
      <c r="E109" s="0" t="inlineStr">
        <is>
          <t xml:space="preserve">Activos Fijos</t>
        </is>
      </c>
      <c r="F109" s="0" t="inlineStr">
        <is>
          <t xml:space="preserve">Región del Ñuble</t>
        </is>
      </c>
      <c r="G109" s="0" t="inlineStr">
        <is>
          <t xml:space="preserve">Chillán</t>
        </is>
      </c>
      <c r="H109" s="2">
        <v>46304.500694</v>
      </c>
      <c r="I109" s="2">
        <v>46349.708333</v>
      </c>
      <c r="J109" s="0">
        <v>35</v>
      </c>
      <c r="K109" s="3">
        <v>19373825000.0</v>
      </c>
      <c r="L109" s="0" t="inlineStr">
        <is>
          <t xml:space="preserve">CLP</t>
        </is>
      </c>
      <c r="M109" s="0" t="inlineStr">
        <is>
          <t xml:space="preserve">LR</t>
        </is>
      </c>
      <c r="N109" s="4" t="inlineStr">
        <is>
          <t xml:space="preserve">Tecnologías de la información, telecomunicaciones y radiodifusión / Software / Software de administración de redes</t>
        </is>
      </c>
      <c r="O109" s="4" t="inlineStr">
        <is>
          <t xml:space="preserve">1 Global · Software de administración · 1 Global · Software de administración</t>
        </is>
      </c>
      <c r="P109" s="2"/>
      <c r="Q109" s="2"/>
      <c r="R109" s="0" t="inlineStr">
        <is>
          <t xml:space="preserve">96 meses</t>
        </is>
      </c>
      <c r="S109" s="0" t="inlineStr">
        <is>
          <t xml:space="preserve">No</t>
        </is>
      </c>
      <c r="T109" s="4"/>
      <c r="U109" s="0" t="inlineStr">
        <is>
          <t xml:space="preserve">RODOLFO JIMENEZ</t>
        </is>
      </c>
      <c r="V109" s="4" t="inlineStr">
        <is>
          <t xml:space="preserve">El Servicio de Salud Ñuble requiere efectuar la ADQUISICIÓN DE SOFTWARES HIS-ESB-BI Y ERP PARA EL NUEVO HOSPITAL REGIONAL DE ÑUBLE, de acuerdo a las Bases Administrativas adjuntas y sus respectivos Anexos.</t>
        </is>
      </c>
      <c r="W109"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10">
      <c r="A110" s="0" t="inlineStr">
        <is>
          <t xml:space="preserve">1969-34-LS19</t>
        </is>
      </c>
      <c r="B110" s="4" t="inlineStr">
        <is>
          <t xml:space="preserve">AUTOMATIZACIÓN PORTÓN ACCESO A LINEA DE FUEGO</t>
        </is>
      </c>
      <c r="C110" s="0" t="inlineStr">
        <is>
          <t xml:space="preserve">Publicada</t>
        </is>
      </c>
      <c r="D110" s="0" t="inlineStr">
        <is>
          <t xml:space="preserve">DIRECCION GENERAL DE GENDARMERIA DE CHIL</t>
        </is>
      </c>
      <c r="E110" s="0" t="inlineStr">
        <is>
          <t xml:space="preserve">Región del Bio Bío</t>
        </is>
      </c>
      <c r="F110" s="0" t="inlineStr">
        <is>
          <t xml:space="preserve">Región del Biobío </t>
        </is>
      </c>
      <c r="G110" s="0" t="inlineStr">
        <is>
          <t xml:space="preserve">Concepción</t>
        </is>
      </c>
      <c r="H110" s="2">
        <v>43588.74809</v>
      </c>
      <c r="I110" s="2"/>
      <c r="J110" s="0"/>
      <c r="K110" s="3"/>
      <c r="L110" s="0" t="inlineStr">
        <is>
          <t xml:space="preserve">CLP</t>
        </is>
      </c>
      <c r="M110" s="0" t="inlineStr">
        <is>
          <t xml:space="preserve">LS</t>
        </is>
      </c>
      <c r="N110" s="4" t="inlineStr">
        <is>
          <t xml:space="preserve">Artículos para estructuras, obras y construcciones / Puertas, ventanas y vidrios / Puertas</t>
        </is>
      </c>
      <c r="O110" s="4" t="inlineStr">
        <is>
          <t xml:space="preserve">1 Unidad · Puertas de metal</t>
        </is>
      </c>
      <c r="P110" s="2"/>
      <c r="Q110" s="2"/>
      <c r="R110" s="0"/>
      <c r="S110" s="0" t="inlineStr">
        <is>
          <t xml:space="preserve">No</t>
        </is>
      </c>
      <c r="T110" s="4"/>
      <c r="U110" s="0" t="inlineStr">
        <is>
          <t xml:space="preserve">Héctor Polma Lillo</t>
        </is>
      </c>
      <c r="V110" s="4" t="inlineStr">
        <is>
          <t xml:space="preserve">AUTOMATIZACIÓN DE PORTÓN ACCESO A LINEA DE FUEGO C.P. CONCEPCIÓN</t>
        </is>
      </c>
      <c r="W110"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1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1606-34-LE26</t>
        </is>
      </c>
      <c r="B2" s="4" t="inlineStr">
        <is>
          <t xml:space="preserve">Consultoría para la digitalización de rutas de taxis colectivos. Proyecto Apoyo a la estrategia Chilena de transporte sostenible - CLETS Financiado por la GEF e implementado por CAF</t>
        </is>
      </c>
      <c r="C2" s="0">
        <v>1</v>
      </c>
      <c r="D2" s="4" t="inlineStr">
        <is>
          <t xml:space="preserve">Asesorías en planificación estratégica</t>
        </is>
      </c>
      <c r="E2" s="4" t="inlineStr">
        <is>
          <t xml:space="preserve">Servicios profesionales, administrativos y consultorías de gestión empresarial / Consultorías o asesorías en gestión empresarial / Servicios de consultoría en gestión de empresas</t>
        </is>
      </c>
      <c r="F2" s="0">
        <v>1.0</v>
      </c>
      <c r="G2" s="0" t="inlineStr">
        <is>
          <t xml:space="preserve">Unidad</t>
        </is>
      </c>
      <c r="H2" s="4" t="inlineStr">
        <is>
          <t xml:space="preserve">Servicio de consultoría para la digitalización de rutas de taxis colectivos para el Proyecto CLETS, financiado por la GEF e Implementado por CAF, según bases administrativas adjuntas.</t>
        </is>
      </c>
    </row>
    <row r="3">
      <c r="A3" s="0" t="inlineStr">
        <is>
          <t xml:space="preserve">617807-79-B226</t>
        </is>
      </c>
      <c r="B3" s="4" t="inlineStr">
        <is>
          <t xml:space="preserve">SERVICIO DE MANTENCIÓN PREVENTIVA Y REPARATIVA DE EQUIPOS DE RAYOS X DIGITAL ARCO C PARA EL HOSPITAL SAN JUAN DE DIOS DE LOS ANDES</t>
        </is>
      </c>
      <c r="C3" s="0">
        <v>1</v>
      </c>
      <c r="D3" s="4" t="inlineStr">
        <is>
          <t xml:space="preserve">Servicio de mantenimiento de equipo de fabricación</t>
        </is>
      </c>
      <c r="E3" s="4" t="inlineStr">
        <is>
          <t xml:space="preserve">Servicios de producción y fabricación industrial / Servicios de apoyo o soporte a la fabricación / Servicios de mantenimiento y reparación de equipo de fabricación</t>
        </is>
      </c>
      <c r="F3" s="0">
        <v>1.0</v>
      </c>
      <c r="G3" s="0" t="inlineStr">
        <is>
          <t xml:space="preserve">Unidad</t>
        </is>
      </c>
      <c r="H3" s="4" t="inlineStr">
        <is>
          <t xml:space="preserve">SERVICIO DE MANTENCION PREVENTIVA Y REPARATIVO  DE EQUIPOS DE RAYOS X DIGITAL ARCO C (SEGUN TERMINOS DE REFERENCIA)</t>
        </is>
      </c>
    </row>
    <row r="4">
      <c r="A4" s="0" t="inlineStr">
        <is>
          <t xml:space="preserve">869591-12-LP26</t>
        </is>
      </c>
      <c r="B4" s="4" t="inlineStr">
        <is>
          <t xml:space="preserve">CONTRATACIÓN DE PLATAFORMA DE GESTIÓN DOCUMENTAL EXPEDIENTE ELECTRÓNICO Y GESTIÓN DE PROCESOS</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CONTRATACIÓN DE PLATAFORMA DE GESTIÓN DOCUMENTAL, EXPEDIENTE ELECTRÓNICO Y GESTIÓN DE PROCESOS PARA LA DIRECCIÓN DE COMPRAS Y CONTRATACIÓN PÚBLICA</t>
        </is>
      </c>
    </row>
    <row r="5">
      <c r="A5" s="0" t="inlineStr">
        <is>
          <t xml:space="preserve">1107281-6-LE26</t>
        </is>
      </c>
      <c r="B5" s="4" t="inlineStr">
        <is>
          <t xml:space="preserve">COMPRA SOFTWARE COMPATIBLE CON EQUIPO HPLC AGILENT</t>
        </is>
      </c>
      <c r="C5" s="0">
        <v>1</v>
      </c>
      <c r="D5" s="4" t="inlineStr">
        <is>
          <t xml:space="preserve">Software de desarrollo de interfaz gráfica de usuario</t>
        </is>
      </c>
      <c r="E5" s="4" t="inlineStr">
        <is>
          <t xml:space="preserve">Tecnologías de la información, telecomunicaciones y radiodifusión / Software / Programas de desarrollo</t>
        </is>
      </c>
      <c r="F5" s="0">
        <v>1.0</v>
      </c>
      <c r="G5" s="0" t="inlineStr">
        <is>
          <t xml:space="preserve">Unidad</t>
        </is>
      </c>
      <c r="H5"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6">
      <c r="A6" s="0" t="inlineStr">
        <is>
          <t xml:space="preserve">1461054-45-LP26</t>
        </is>
      </c>
      <c r="B6" s="4" t="inlineStr">
        <is>
          <t xml:space="preserve">PLATAFORMA DE GESTIÓN EDUCACIONAL PARA 77 E.E</t>
        </is>
      </c>
      <c r="C6" s="0">
        <v>1</v>
      </c>
      <c r="D6" s="4" t="inlineStr">
        <is>
          <t xml:space="preserve">Software del sistema de administración de bases de datos</t>
        </is>
      </c>
      <c r="E6" s="4" t="inlineStr">
        <is>
          <t xml:space="preserve">Tecnologías de la información, telecomunicaciones y radiodifusión / Software / Software de consultas y gestión de datos</t>
        </is>
      </c>
      <c r="F6" s="0">
        <v>1.0</v>
      </c>
      <c r="G6" s="0" t="inlineStr">
        <is>
          <t xml:space="preserve">Unidad</t>
        </is>
      </c>
      <c r="H6" s="4" t="inlineStr">
        <is>
          <t xml:space="preserve">PLATAFORMA DE GESTIÓN EDUCACIONAL PARA 77 ESTABLECIMIENTOS EDUCACIONALES DEPENDIENTES DEL SERVICIO LOCAL DE EDUCACIÓN PÚBLICA ELQUI</t>
        </is>
      </c>
    </row>
    <row r="7">
      <c r="A7" s="0" t="inlineStr">
        <is>
          <t xml:space="preserve">1469-286-L126</t>
        </is>
      </c>
      <c r="B7" s="4" t="inlineStr">
        <is>
          <t xml:space="preserve">Servicio de plataforma e-learning para cursos de capacitación – Educación Continua, Facultad de Odontología, Universidad de Talca</t>
        </is>
      </c>
      <c r="C7" s="0">
        <v>1</v>
      </c>
      <c r="D7" s="4" t="inlineStr">
        <is>
          <t xml:space="preserve">Capacitación a empleados</t>
        </is>
      </c>
      <c r="E7" s="4" t="inlineStr">
        <is>
          <t xml:space="preserve">Educación, formación, entrenamiento y capacitación / Sistemas educativos complementarios / Educación de adultos</t>
        </is>
      </c>
      <c r="F7" s="0">
        <v>1.0</v>
      </c>
      <c r="G7" s="0" t="inlineStr">
        <is>
          <t xml:space="preserve">Unidad</t>
        </is>
      </c>
      <c r="H7" s="4" t="inlineStr">
        <is>
          <t xml:space="preserve">Servicio de plataforma e-learning para cursos de capacitación  Educación Continua, Facultad de Odontología, Universidad de Talca</t>
        </is>
      </c>
    </row>
    <row r="8">
      <c r="A8" s="0" t="inlineStr">
        <is>
          <t xml:space="preserve">1216085-67-LE26</t>
        </is>
      </c>
      <c r="B8" s="4" t="inlineStr">
        <is>
          <t xml:space="preserve">Adquis. De licencias de software de reloj control.</t>
        </is>
      </c>
      <c r="C8" s="0">
        <v>1</v>
      </c>
      <c r="D8" s="4" t="inlineStr">
        <is>
          <t xml:space="preserve">Software de gestión de recursos humanos</t>
        </is>
      </c>
      <c r="E8" s="4" t="inlineStr">
        <is>
          <t xml:space="preserve">Tecnologías de la información, telecomunicaciones y radiodifusión / Software / Software de gestión</t>
        </is>
      </c>
      <c r="F8" s="0">
        <v>1.0</v>
      </c>
      <c r="G8" s="0" t="inlineStr">
        <is>
          <t xml:space="preserve">Unidad</t>
        </is>
      </c>
      <c r="H8" s="4" t="inlineStr">
        <is>
          <t xml:space="preserve">adquisición de licencias de software de reloj control.</t>
        </is>
      </c>
    </row>
    <row r="9">
      <c r="A9" s="0" t="inlineStr">
        <is>
          <t xml:space="preserve">3348-9-LE26</t>
        </is>
      </c>
      <c r="B9" s="4" t="inlineStr">
        <is>
          <t xml:space="preserve">Servicio de Arriendo de Tótem Gestor de Filas</t>
        </is>
      </c>
      <c r="C9" s="0">
        <v>1</v>
      </c>
      <c r="D9" s="4" t="inlineStr">
        <is>
          <t xml:space="preserve">Monitores de pantalla táctil</t>
        </is>
      </c>
      <c r="E9" s="4" t="inlineStr">
        <is>
          <t xml:space="preserve">Tecnologías de la información, telecomunicaciones y radiodifusión / Equipos informáticos y accesorios / Pantallas o monitores de computador</t>
        </is>
      </c>
      <c r="F9" s="0">
        <v>1.0</v>
      </c>
      <c r="G9" s="0" t="inlineStr">
        <is>
          <t xml:space="preserve">Unidad</t>
        </is>
      </c>
      <c r="H9"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0">
      <c r="A10" s="0" t="inlineStr">
        <is>
          <t xml:space="preserve">425-67-LE26</t>
        </is>
      </c>
      <c r="B10" s="4" t="inlineStr">
        <is>
          <t xml:space="preserve">Software de seguridad extendida y Ciberdefensa</t>
        </is>
      </c>
      <c r="C10" s="0">
        <v>1</v>
      </c>
      <c r="D10" s="4" t="inlineStr">
        <is>
          <t xml:space="preserve">Software de equipos de red privada virtual (VPN) o de seguridad de red</t>
        </is>
      </c>
      <c r="E10" s="4" t="inlineStr">
        <is>
          <t xml:space="preserve">Tecnologías de la información, telecomunicaciones y radiodifusión / Software / Software de seguridad y protección</t>
        </is>
      </c>
      <c r="F10" s="0">
        <v>1.0</v>
      </c>
      <c r="G10" s="0" t="inlineStr">
        <is>
          <t xml:space="preserve">Unidad</t>
        </is>
      </c>
      <c r="H10" s="4" t="inlineStr">
        <is>
          <t xml:space="preserve">Software de seguridad extendida y protección de cadena de suministros para la Ciberdefensa de Poder Judicial Ingresar valor total neto según formulario económico N°1</t>
        </is>
      </c>
    </row>
    <row r="11">
      <c r="A11" s="0" t="inlineStr">
        <is>
          <t xml:space="preserve">948354-140-LR26</t>
        </is>
      </c>
      <c r="B11" s="4" t="inlineStr">
        <is>
          <t xml:space="preserve">CONTRATACIÓN DE UNA SOLUCIÓN INTEGRAL RIS-PACS INCLUYENDO LA PROVISIÓN DE SERVICIOS SOFTWARE HARDWARE E INFRAESTRUCTURA TECNOLÓGICA PARA EL SERVICIO DE IMAGENOLOGÍA DEL HOSPITAL DIPRECA</t>
        </is>
      </c>
      <c r="C11" s="0">
        <v>1</v>
      </c>
      <c r="D11" s="4" t="inlineStr">
        <is>
          <t xml:space="preserve">Sistemas informatizados de archivado de imágenes (PACS) médicos</t>
        </is>
      </c>
      <c r="E11" s="4" t="inlineStr">
        <is>
          <t xml:space="preserve">Equipamiento y suministros médicos / Productos para imágenes y de medicina nuclear / Artículos para archivar información e imágenes radiológicas</t>
        </is>
      </c>
      <c r="F11" s="0">
        <v>60.0</v>
      </c>
      <c r="G11" s="0" t="inlineStr">
        <is>
          <t xml:space="preserve">Mes</t>
        </is>
      </c>
      <c r="H11" s="4" t="inlineStr">
        <is>
          <t xml:space="preserve">SERVICIO DE RIS-PACS PARA EL SERVICIO DE IMAGENOLOGÍA DEL HOSPITAL DIPRECA (De acuerdo a las Bases Técnicas).</t>
        </is>
      </c>
    </row>
    <row r="12">
      <c r="A12" s="0" t="inlineStr">
        <is>
          <t xml:space="preserve">5148-13-LP26</t>
        </is>
      </c>
      <c r="B12" s="4" t="inlineStr">
        <is>
          <t xml:space="preserve">ADQUISICIÓN SERVIDORES PARA PLATAFORMA IA DEL MP</t>
        </is>
      </c>
      <c r="C12" s="0">
        <v>1</v>
      </c>
      <c r="D12" s="4" t="inlineStr">
        <is>
          <t xml:space="preserve">Servidores</t>
        </is>
      </c>
      <c r="E12" s="4" t="inlineStr">
        <is>
          <t xml:space="preserve">Tecnologías de la información, telecomunicaciones y radiodifusión / Equipos informáticos y accesorios / Computadores</t>
        </is>
      </c>
      <c r="F12" s="0">
        <v>1.0</v>
      </c>
      <c r="G12" s="0" t="inlineStr">
        <is>
          <t xml:space="preserve">Unidad</t>
        </is>
      </c>
      <c r="H12" s="4" t="inlineStr">
        <is>
          <t xml:space="preserve">SERVIDOR PARA LA PLATAFORMA DE INTELIGENCIA ARTIFICIAL (IA) Y MACHINE LEARNING (ML), CON SOPORTE POR 36 MESES, PARA AMBIENTE PRODUCTIVO</t>
        </is>
      </c>
    </row>
    <row r="13">
      <c r="A13" s="0" t="inlineStr">
        <is>
          <t xml:space="preserve">5148-13-LP26</t>
        </is>
      </c>
      <c r="B13" s="4" t="inlineStr">
        <is>
          <t xml:space="preserve">ADQUISICIÓN SERVIDORES PARA PLATAFORMA IA DEL MP</t>
        </is>
      </c>
      <c r="C13" s="0">
        <v>2</v>
      </c>
      <c r="D13" s="4" t="inlineStr">
        <is>
          <t xml:space="preserve">Servidores</t>
        </is>
      </c>
      <c r="E13" s="4" t="inlineStr">
        <is>
          <t xml:space="preserve">Tecnologías de la información, telecomunicaciones y radiodifusión / Equipos informáticos y accesorios / Computadores</t>
        </is>
      </c>
      <c r="F13" s="0">
        <v>1.0</v>
      </c>
      <c r="G13" s="0" t="inlineStr">
        <is>
          <t xml:space="preserve">Unidad</t>
        </is>
      </c>
      <c r="H13" s="4" t="inlineStr">
        <is>
          <t xml:space="preserve">SERVIDOR PARA LA PLATAFORMA DE INTELIGENCIA ARTIFICIAL (IA) Y MACHINE LEARNING (ML), CON SOPORTE POR 36 MESES, PARA AMBIENTE DESARROLLO</t>
        </is>
      </c>
    </row>
    <row r="14">
      <c r="A14" s="0" t="inlineStr">
        <is>
          <t xml:space="preserve">1057499-59-LE26</t>
        </is>
      </c>
      <c r="B14" s="4" t="inlineStr">
        <is>
          <t xml:space="preserve">ADQ TENSIÓMETRO BALANZA DIGITAL Y ESFIGMOMANÓMETRO</t>
        </is>
      </c>
      <c r="C14" s="0">
        <v>1</v>
      </c>
      <c r="D14" s="4" t="inlineStr">
        <is>
          <t xml:space="preserve">Balanzas electrónicas de carga superior</t>
        </is>
      </c>
      <c r="E14" s="4" t="inlineStr">
        <is>
          <t xml:space="preserve">Equipamiento para laboratorios / Instrumentos de medida y experimentación / Instrumentos de medición de peso</t>
        </is>
      </c>
      <c r="F14" s="0">
        <v>200.0</v>
      </c>
      <c r="G14" s="0" t="inlineStr">
        <is>
          <t xml:space="preserve">Unidad</t>
        </is>
      </c>
      <c r="H14" s="4" t="inlineStr">
        <is>
          <t xml:space="preserve">ÍTEM N°1: BALANZA DIGITAL</t>
        </is>
      </c>
    </row>
    <row r="15">
      <c r="A15" s="0" t="inlineStr">
        <is>
          <t xml:space="preserve">1057499-59-LE26</t>
        </is>
      </c>
      <c r="B15" s="4" t="inlineStr">
        <is>
          <t xml:space="preserve">ADQ TENSIÓMETRO BALANZA DIGITAL Y ESFIGMOMANÓMETRO</t>
        </is>
      </c>
      <c r="C15" s="0">
        <v>2</v>
      </c>
      <c r="D15" s="4" t="inlineStr">
        <is>
          <t xml:space="preserve">Unidades electrónicas de presión sanguínea</t>
        </is>
      </c>
      <c r="E15" s="4" t="inlineStr">
        <is>
          <t xml:space="preserve">Equipamiento y suministros médicos / Productos para exámenes y control de pacientes / Unidades de presión sanguínea y productos relacionados</t>
        </is>
      </c>
      <c r="F15" s="0">
        <v>200.0</v>
      </c>
      <c r="G15" s="0" t="inlineStr">
        <is>
          <t xml:space="preserve">Unidad</t>
        </is>
      </c>
      <c r="H15" s="4" t="inlineStr">
        <is>
          <t xml:space="preserve">ÍTEM N°2: ESFIGMOMANÓMETRO AUSCULTATORIO CON MANGUITOS</t>
        </is>
      </c>
    </row>
    <row r="16">
      <c r="A16" s="0" t="inlineStr">
        <is>
          <t xml:space="preserve">1057499-59-LE26</t>
        </is>
      </c>
      <c r="B16" s="4" t="inlineStr">
        <is>
          <t xml:space="preserve">ADQ TENSIÓMETRO BALANZA DIGITAL Y ESFIGMOMANÓMETRO</t>
        </is>
      </c>
      <c r="C16" s="0">
        <v>3</v>
      </c>
      <c r="D16" s="4" t="inlineStr">
        <is>
          <t xml:space="preserve">Unidades de presión sanguínea aneroide</t>
        </is>
      </c>
      <c r="E16" s="4" t="inlineStr">
        <is>
          <t xml:space="preserve">Equipamiento y suministros médicos / Productos para exámenes y control de pacientes / Unidades de presión sanguínea y productos relacionados</t>
        </is>
      </c>
      <c r="F16" s="0">
        <v>200.0</v>
      </c>
      <c r="G16" s="0" t="inlineStr">
        <is>
          <t xml:space="preserve">Unidad</t>
        </is>
      </c>
      <c r="H16" s="4" t="inlineStr">
        <is>
          <t xml:space="preserve">ÍTEM N°3: TENSIÓMETRO DIGITAL</t>
        </is>
      </c>
    </row>
    <row r="17">
      <c r="A17" s="0" t="inlineStr">
        <is>
          <t xml:space="preserve">598-26-LE26</t>
        </is>
      </c>
      <c r="B17" s="4" t="inlineStr">
        <is>
          <t xml:space="preserve">Licencia Automatización de Procesos IFM por 36 mes</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Licencia IFM POR 36 MESES, SEGÚN BASES DE LICITACIÓN.</t>
        </is>
      </c>
    </row>
    <row r="18">
      <c r="A18" s="0" t="inlineStr">
        <is>
          <t xml:space="preserve">792909-1-LE26</t>
        </is>
      </c>
      <c r="B18" s="4" t="inlineStr">
        <is>
          <t xml:space="preserve">ALMACENAJE DIGITALIZACIÓN Y CUSTODIA DE DOCUMENTO</t>
        </is>
      </c>
      <c r="C18" s="0">
        <v>1</v>
      </c>
      <c r="D18" s="4" t="inlineStr">
        <is>
          <t xml:space="preserve">Servicios de almacenaje de documentos</t>
        </is>
      </c>
      <c r="E18" s="4" t="inlineStr">
        <is>
          <t xml:space="preserve">Servicios de transporte, almacenaje y correo / Almacenaje / Depósito y almacenaje especializado</t>
        </is>
      </c>
      <c r="F18" s="0">
        <v>1.0</v>
      </c>
      <c r="G18" s="0" t="inlineStr">
        <is>
          <t xml:space="preserve">Unidad</t>
        </is>
      </c>
      <c r="H18" s="4" t="inlineStr">
        <is>
          <t xml:space="preserve">contratación del servicio de: ALMACENAJE, DIGITALIZACIÓN Y CUSTODIA DE DOCUMENTACIÓN FÍSICA, lo que fue debidamente autorizado por la Director Regional.</t>
        </is>
      </c>
    </row>
    <row r="19">
      <c r="A19" s="0" t="inlineStr">
        <is>
          <t xml:space="preserve">3337-21-LE26</t>
        </is>
      </c>
      <c r="B19" s="4" t="inlineStr">
        <is>
          <t xml:space="preserve">PLATAFORMA DIGITAL PARA EVALUACIÓN PSICOLOGICA</t>
        </is>
      </c>
      <c r="C19" s="0">
        <v>1</v>
      </c>
      <c r="D19" s="4" t="inlineStr">
        <is>
          <t xml:space="preserve">Exámenes médicos</t>
        </is>
      </c>
      <c r="E19" s="4" t="inlineStr">
        <is>
          <t xml:space="preserve">Salud, servicios sanitarios y alimentación / Medicina y servicios de salud / Evaluaciones de salud individuales</t>
        </is>
      </c>
      <c r="F19" s="0">
        <v>1.0</v>
      </c>
      <c r="G19" s="0" t="inlineStr">
        <is>
          <t xml:space="preserve">Unidad</t>
        </is>
      </c>
      <c r="H19" s="4" t="inlineStr">
        <is>
          <t xml:space="preserve">Contratación de plataforma digital para Evaluación psicológica, para el proceso de selección de personal.</t>
        </is>
      </c>
    </row>
    <row r="20">
      <c r="A20" s="0" t="inlineStr">
        <is>
          <t xml:space="preserve">2446-303-LE26</t>
        </is>
      </c>
      <c r="B20" s="4" t="inlineStr">
        <is>
          <t xml:space="preserve">SERVICIO MULTISTREAMING CON TRANSMISIÓN DIGITAL</t>
        </is>
      </c>
      <c r="C20" s="0">
        <v>1</v>
      </c>
      <c r="D20" s="4" t="inlineStr">
        <is>
          <t xml:space="preserve">Sistema de transmisión por secuencias de video</t>
        </is>
      </c>
      <c r="E20" s="4" t="inlineStr">
        <is>
          <t xml:space="preserve">Tecnologías de la información, telecomunicaciones y radiodifusión / Equipos, plataformas y accesorios de redes multimedia, voz y datos / Plataformas de mensajería por móvil</t>
        </is>
      </c>
      <c r="F20" s="0">
        <v>12.0</v>
      </c>
      <c r="G20" s="0" t="inlineStr">
        <is>
          <t xml:space="preserve">Unidad</t>
        </is>
      </c>
      <c r="H20" s="4" t="inlineStr">
        <is>
          <t xml:space="preserve">SERVICIO MULTISTREAMING CON TRANSMISIÓN DIGITAL E INTERNET SATELITAL PARA DIFUSIÓN DE ACTIVIDADES MUNICIPALES</t>
        </is>
      </c>
    </row>
    <row r="21">
      <c r="A21" s="0" t="inlineStr">
        <is>
          <t xml:space="preserve">1230848-71-L126</t>
        </is>
      </c>
      <c r="B21" s="4" t="inlineStr">
        <is>
          <t xml:space="preserve">SERVICIO DE SOFTWARE PARA GESTIÓN DE FILAS TÓTEM</t>
        </is>
      </c>
      <c r="C21" s="0">
        <v>1</v>
      </c>
      <c r="D21" s="4" t="inlineStr">
        <is>
          <t xml:space="preserve">Software de clasificación o categorización</t>
        </is>
      </c>
      <c r="E21" s="4" t="inlineStr">
        <is>
          <t xml:space="preserve">Tecnologías de la información, telecomunicaciones y radiodifusión / Software / Software de consultas y gestión de datos</t>
        </is>
      </c>
      <c r="F21" s="0">
        <v>1.0</v>
      </c>
      <c r="G21" s="0" t="inlineStr">
        <is>
          <t xml:space="preserve">Global</t>
        </is>
      </c>
      <c r="H21" s="4" t="inlineStr">
        <is>
          <t xml:space="preserve">REMITASE AL NUMERAL 1.2 DE LAS BASES ADMINISTRATIVAS ESPECIALES "SISTEMA GESTIÓN DE FILAS"</t>
        </is>
      </c>
    </row>
    <row r="22">
      <c r="A22" s="0" t="inlineStr">
        <is>
          <t xml:space="preserve">2484-22-LE26</t>
        </is>
      </c>
      <c r="B22" s="4" t="inlineStr">
        <is>
          <t xml:space="preserve">SERVICIO DE ARRIENDO DE SOFTWARE CLOUD PARA CONTROL Y GESTION DE ASISTENCIA Y MANTENCION DE RELOJES BIOMETRICOS.</t>
        </is>
      </c>
      <c r="C22" s="0">
        <v>1</v>
      </c>
      <c r="D22" s="4" t="inlineStr">
        <is>
          <t xml:space="preserve">Reloj de control</t>
        </is>
      </c>
      <c r="E22" s="4" t="inlineStr">
        <is>
          <t xml:space="preserve">Equipos, accesorios y suministros de oficina / Maquinarias, suministros y accesorios de oficina / Máquinas y accesorios para registro de hora y asistencia en la oficina</t>
        </is>
      </c>
      <c r="F22" s="0">
        <v>1.0</v>
      </c>
      <c r="G22" s="0" t="inlineStr">
        <is>
          <t xml:space="preserve">Paquete</t>
        </is>
      </c>
      <c r="H22" s="4" t="inlineStr">
        <is>
          <t xml:space="preserve">SERVICIO DE ARRIENDO DE SOFTWARE CLOUD PARA CONTROL Y GESTION DE ASISTENCIA Y MANTENCION DE RELOJES BIOMETRICOS, SEGUN BASES ADMINISTRATIVAS Y TECNICAS.</t>
        </is>
      </c>
    </row>
    <row r="23">
      <c r="A23" s="0" t="inlineStr">
        <is>
          <t xml:space="preserve">608-197-LR26</t>
        </is>
      </c>
      <c r="B23" s="4" t="inlineStr">
        <is>
          <t xml:space="preserve">SERVICIO DE OPERACIÓN MANTENIMIENTO Y ACTUALIZACIÓN DE PLATAFORMAS TECNOLÓGICAS DE LA SALA DE CONTROL CENTRALIZADO DEL HOSPITAL DR. GUSTAVO FRICKE</t>
        </is>
      </c>
      <c r="C23" s="0">
        <v>1</v>
      </c>
      <c r="D23" s="4" t="inlineStr">
        <is>
          <t xml:space="preserve">Integración de sistemas</t>
        </is>
      </c>
      <c r="E23" s="4" t="inlineStr">
        <is>
          <t xml:space="preserve">Servicios basados en ingeniería, ciencias sociales y tecnología de la información / Servicios informáticos / Ingeniería en computación e informática</t>
        </is>
      </c>
      <c r="F23" s="0">
        <v>1.0</v>
      </c>
      <c r="G23" s="0" t="inlineStr">
        <is>
          <t xml:space="preserve">Unidad</t>
        </is>
      </c>
      <c r="H23" s="4" t="inlineStr">
        <is>
          <t xml:space="preserve">SERVICIO
DE OPERACIÓN, MANTENIMIENTO Y ACTUALIZACIÓN
DE PLATAFORMAS TECNOLÓGICAS DE LA SALA DE
CONTROL CENTRALIZADO DEL HOSPITAL DR.
GUSTAVO FRICKE (favor desglosar valores en anexo económico N°6)</t>
        </is>
      </c>
    </row>
    <row r="24">
      <c r="A24" s="0" t="inlineStr">
        <is>
          <t xml:space="preserve">1591-25-LE26</t>
        </is>
      </c>
      <c r="B24" s="4" t="inlineStr">
        <is>
          <t xml:space="preserve">LICENCIA ADOBE CREATIVE CLOUD Y ADOBE ACROBAT PRO</t>
        </is>
      </c>
      <c r="C24" s="0">
        <v>1</v>
      </c>
      <c r="D24" s="4" t="inlineStr">
        <is>
          <t xml:space="preserve">Programas de gestión de documentos</t>
        </is>
      </c>
      <c r="E24" s="4" t="inlineStr">
        <is>
          <t xml:space="preserve">Tecnologías de la información, telecomunicaciones y radiodifusión / Software / Software de gestión de contenidos</t>
        </is>
      </c>
      <c r="F24" s="0">
        <v>1.0</v>
      </c>
      <c r="G24" s="0" t="inlineStr">
        <is>
          <t xml:space="preserve">Unidad</t>
        </is>
      </c>
      <c r="H24"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25">
      <c r="A25" s="0" t="inlineStr">
        <is>
          <t xml:space="preserve">2563-43-LP26</t>
        </is>
      </c>
      <c r="B25" s="4" t="inlineStr">
        <is>
          <t xml:space="preserve">Adquisición de cámaras IA y radares de seguridad</t>
        </is>
      </c>
      <c r="C25" s="0">
        <v>1</v>
      </c>
      <c r="D25" s="4" t="inlineStr">
        <is>
          <t xml:space="preserve">Cámaras de seguridad</t>
        </is>
      </c>
      <c r="E25" s="4" t="inlineStr">
        <is>
          <t xml:space="preserve">Equipos y suministros de defensa, orden público, protección y seguridad / Seguridad, vigilancia y detección / Equipo de vigilancia y detección</t>
        </is>
      </c>
      <c r="F25" s="0">
        <v>2.0</v>
      </c>
      <c r="G25" s="0" t="inlineStr">
        <is>
          <t xml:space="preserve">Unidad</t>
        </is>
      </c>
      <c r="H25"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26">
      <c r="A26" s="0" t="inlineStr">
        <is>
          <t xml:space="preserve">2563-43-LP26</t>
        </is>
      </c>
      <c r="B26" s="4" t="inlineStr">
        <is>
          <t xml:space="preserve">Adquisición de cámaras IA y radares de seguridad</t>
        </is>
      </c>
      <c r="C26" s="0">
        <v>2</v>
      </c>
      <c r="D26" s="4" t="inlineStr">
        <is>
          <t xml:space="preserve">Cámaras de seguridad</t>
        </is>
      </c>
      <c r="E26" s="4" t="inlineStr">
        <is>
          <t xml:space="preserve">Equipos y suministros de defensa, orden público, protección y seguridad / Seguridad, vigilancia y detección / Equipo de vigilancia y detección</t>
        </is>
      </c>
      <c r="F26" s="0">
        <v>2.0</v>
      </c>
      <c r="G26" s="0" t="inlineStr">
        <is>
          <t xml:space="preserve">Unidad</t>
        </is>
      </c>
      <c r="H26"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27">
      <c r="A27" s="0" t="inlineStr">
        <is>
          <t xml:space="preserve">2563-43-LP26</t>
        </is>
      </c>
      <c r="B27" s="4" t="inlineStr">
        <is>
          <t xml:space="preserve">Adquisición de cámaras IA y radares de seguridad</t>
        </is>
      </c>
      <c r="C27" s="0">
        <v>3</v>
      </c>
      <c r="D27" s="4" t="inlineStr">
        <is>
          <t xml:space="preserve">Cámaras de seguridad</t>
        </is>
      </c>
      <c r="E27" s="4" t="inlineStr">
        <is>
          <t xml:space="preserve">Equipos y suministros de defensa, orden público, protección y seguridad / Seguridad, vigilancia y detección / Equipo de vigilancia y detección</t>
        </is>
      </c>
      <c r="F27" s="0">
        <v>1.0</v>
      </c>
      <c r="G27" s="0" t="inlineStr">
        <is>
          <t xml:space="preserve">Unidad</t>
        </is>
      </c>
      <c r="H27" s="4" t="inlineStr">
        <is>
          <t xml:space="preserve">ítem 2: Servidor de gestión de video.</t>
        </is>
      </c>
    </row>
    <row r="28">
      <c r="A28" s="0" t="inlineStr">
        <is>
          <t xml:space="preserve">2563-43-LP26</t>
        </is>
      </c>
      <c r="B28" s="4" t="inlineStr">
        <is>
          <t xml:space="preserve">Adquisición de cámaras IA y radares de seguridad</t>
        </is>
      </c>
      <c r="C28" s="0">
        <v>4</v>
      </c>
      <c r="D28" s="4" t="inlineStr">
        <is>
          <t xml:space="preserve">Cámaras de seguridad</t>
        </is>
      </c>
      <c r="E28" s="4" t="inlineStr">
        <is>
          <t xml:space="preserve">Equipos y suministros de defensa, orden público, protección y seguridad / Seguridad, vigilancia y detección / Equipo de vigilancia y detección</t>
        </is>
      </c>
      <c r="F28" s="0">
        <v>2.0</v>
      </c>
      <c r="G28" s="0" t="inlineStr">
        <is>
          <t xml:space="preserve">Unidad</t>
        </is>
      </c>
      <c r="H28"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9">
      <c r="A29" s="0" t="inlineStr">
        <is>
          <t xml:space="preserve">2563-43-LP26</t>
        </is>
      </c>
      <c r="B29" s="4" t="inlineStr">
        <is>
          <t xml:space="preserve">Adquisición de cámaras IA y radares de seguridad</t>
        </is>
      </c>
      <c r="C29" s="0">
        <v>5</v>
      </c>
      <c r="D29" s="4" t="inlineStr">
        <is>
          <t xml:space="preserve">Cámaras de seguridad</t>
        </is>
      </c>
      <c r="E29" s="4" t="inlineStr">
        <is>
          <t xml:space="preserve">Equipos y suministros de defensa, orden público, protección y seguridad / Seguridad, vigilancia y detección / Equipo de vigilancia y detección</t>
        </is>
      </c>
      <c r="F29" s="0">
        <v>2.0</v>
      </c>
      <c r="G29" s="0" t="inlineStr">
        <is>
          <t xml:space="preserve">Unidad</t>
        </is>
      </c>
      <c r="H29"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30">
      <c r="A30" s="0" t="inlineStr">
        <is>
          <t xml:space="preserve">2563-43-LP26</t>
        </is>
      </c>
      <c r="B30" s="4" t="inlineStr">
        <is>
          <t xml:space="preserve">Adquisición de cámaras IA y radares de seguridad</t>
        </is>
      </c>
      <c r="C30" s="0">
        <v>6</v>
      </c>
      <c r="D30" s="4" t="inlineStr">
        <is>
          <t xml:space="preserve">Cámaras de seguridad</t>
        </is>
      </c>
      <c r="E30" s="4" t="inlineStr">
        <is>
          <t xml:space="preserve">Equipos y suministros de defensa, orden público, protección y seguridad / Seguridad, vigilancia y detección / Equipo de vigilancia y detección</t>
        </is>
      </c>
      <c r="F30" s="0">
        <v>6.0</v>
      </c>
      <c r="G30" s="0" t="inlineStr">
        <is>
          <t xml:space="preserve">Unidad</t>
        </is>
      </c>
      <c r="H30"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31">
      <c r="A31" s="0" t="inlineStr">
        <is>
          <t xml:space="preserve">2563-43-LP26</t>
        </is>
      </c>
      <c r="B31" s="4" t="inlineStr">
        <is>
          <t xml:space="preserve">Adquisición de cámaras IA y radares de seguridad</t>
        </is>
      </c>
      <c r="C31" s="0">
        <v>7</v>
      </c>
      <c r="D31" s="4" t="inlineStr">
        <is>
          <t xml:space="preserve">Cámaras de seguridad</t>
        </is>
      </c>
      <c r="E31" s="4" t="inlineStr">
        <is>
          <t xml:space="preserve">Equipos y suministros de defensa, orden público, protección y seguridad / Seguridad, vigilancia y detección / Equipo de vigilancia y detección</t>
        </is>
      </c>
      <c r="F31" s="0">
        <v>6.0</v>
      </c>
      <c r="G31" s="0" t="inlineStr">
        <is>
          <t xml:space="preserve">Unidad</t>
        </is>
      </c>
      <c r="H31"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32">
      <c r="A32" s="0" t="inlineStr">
        <is>
          <t xml:space="preserve">2563-43-LP26</t>
        </is>
      </c>
      <c r="B32" s="4" t="inlineStr">
        <is>
          <t xml:space="preserve">Adquisición de cámaras IA y radares de seguridad</t>
        </is>
      </c>
      <c r="C32" s="0">
        <v>8</v>
      </c>
      <c r="D32" s="4" t="inlineStr">
        <is>
          <t xml:space="preserve">Cámaras de seguridad</t>
        </is>
      </c>
      <c r="E32" s="4" t="inlineStr">
        <is>
          <t xml:space="preserve">Equipos y suministros de defensa, orden público, protección y seguridad / Seguridad, vigilancia y detección / Equipo de vigilancia y detección</t>
        </is>
      </c>
      <c r="F32" s="0">
        <v>1.0</v>
      </c>
      <c r="G32" s="0" t="inlineStr">
        <is>
          <t xml:space="preserve">Unidad</t>
        </is>
      </c>
      <c r="H32"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33">
      <c r="A33" s="0" t="inlineStr">
        <is>
          <t xml:space="preserve">2563-43-LP26</t>
        </is>
      </c>
      <c r="B33" s="4" t="inlineStr">
        <is>
          <t xml:space="preserve">Adquisición de cámaras IA y radares de seguridad</t>
        </is>
      </c>
      <c r="C33" s="0">
        <v>9</v>
      </c>
      <c r="D33" s="4" t="inlineStr">
        <is>
          <t xml:space="preserve">Cámaras de seguridad</t>
        </is>
      </c>
      <c r="E33" s="4" t="inlineStr">
        <is>
          <t xml:space="preserve">Equipos y suministros de defensa, orden público, protección y seguridad / Seguridad, vigilancia y detección / Equipo de vigilancia y detección</t>
        </is>
      </c>
      <c r="F33" s="0">
        <v>8.0</v>
      </c>
      <c r="G33" s="0" t="inlineStr">
        <is>
          <t xml:space="preserve">Unidad</t>
        </is>
      </c>
      <c r="H33"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34">
      <c r="A34" s="0" t="inlineStr">
        <is>
          <t xml:space="preserve">2563-43-LP26</t>
        </is>
      </c>
      <c r="B34" s="4" t="inlineStr">
        <is>
          <t xml:space="preserve">Adquisición de cámaras IA y radares de seguridad</t>
        </is>
      </c>
      <c r="C34" s="0">
        <v>10</v>
      </c>
      <c r="D34" s="4" t="inlineStr">
        <is>
          <t xml:space="preserve">Cámaras de seguridad</t>
        </is>
      </c>
      <c r="E34" s="4" t="inlineStr">
        <is>
          <t xml:space="preserve">Equipos y suministros de defensa, orden público, protección y seguridad / Seguridad, vigilancia y detección / Equipo de vigilancia y detección</t>
        </is>
      </c>
      <c r="F34" s="0">
        <v>1.0</v>
      </c>
      <c r="G34" s="0" t="inlineStr">
        <is>
          <t xml:space="preserve">Unidad</t>
        </is>
      </c>
      <c r="H34"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35">
      <c r="A35" s="0" t="inlineStr">
        <is>
          <t xml:space="preserve">2563-43-LP26</t>
        </is>
      </c>
      <c r="B35" s="4" t="inlineStr">
        <is>
          <t xml:space="preserve">Adquisición de cámaras IA y radares de seguridad</t>
        </is>
      </c>
      <c r="C35" s="0">
        <v>11</v>
      </c>
      <c r="D35" s="4" t="inlineStr">
        <is>
          <t xml:space="preserve">Cámaras de seguridad</t>
        </is>
      </c>
      <c r="E35" s="4" t="inlineStr">
        <is>
          <t xml:space="preserve">Equipos y suministros de defensa, orden público, protección y seguridad / Seguridad, vigilancia y detección / Equipo de vigilancia y detección</t>
        </is>
      </c>
      <c r="F35" s="0">
        <v>1.0</v>
      </c>
      <c r="G35" s="0" t="inlineStr">
        <is>
          <t xml:space="preserve">Unidad</t>
        </is>
      </c>
      <c r="H35"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36">
      <c r="A36" s="0" t="inlineStr">
        <is>
          <t xml:space="preserve">2563-43-LP26</t>
        </is>
      </c>
      <c r="B36" s="4" t="inlineStr">
        <is>
          <t xml:space="preserve">Adquisición de cámaras IA y radares de seguridad</t>
        </is>
      </c>
      <c r="C36" s="0">
        <v>12</v>
      </c>
      <c r="D36" s="4" t="inlineStr">
        <is>
          <t xml:space="preserve">Cámaras de seguridad</t>
        </is>
      </c>
      <c r="E36" s="4" t="inlineStr">
        <is>
          <t xml:space="preserve">Equipos y suministros de defensa, orden público, protección y seguridad / Seguridad, vigilancia y detección / Equipo de vigilancia y detección</t>
        </is>
      </c>
      <c r="F36" s="0">
        <v>2.0</v>
      </c>
      <c r="G36" s="0" t="inlineStr">
        <is>
          <t xml:space="preserve">Unidad</t>
        </is>
      </c>
      <c r="H36"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37">
      <c r="A37" s="0" t="inlineStr">
        <is>
          <t xml:space="preserve">2563-43-LP26</t>
        </is>
      </c>
      <c r="B37" s="4" t="inlineStr">
        <is>
          <t xml:space="preserve">Adquisición de cámaras IA y radares de seguridad</t>
        </is>
      </c>
      <c r="C37" s="0">
        <v>13</v>
      </c>
      <c r="D37" s="4" t="inlineStr">
        <is>
          <t xml:space="preserve">Cámaras de seguridad</t>
        </is>
      </c>
      <c r="E37" s="4" t="inlineStr">
        <is>
          <t xml:space="preserve">Equipos y suministros de defensa, orden público, protección y seguridad / Seguridad, vigilancia y detección / Equipo de vigilancia y detección</t>
        </is>
      </c>
      <c r="F37" s="0">
        <v>2.0</v>
      </c>
      <c r="G37" s="0" t="inlineStr">
        <is>
          <t xml:space="preserve">Unidad</t>
        </is>
      </c>
      <c r="H37"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38">
      <c r="A38" s="0" t="inlineStr">
        <is>
          <t xml:space="preserve">2563-43-LP26</t>
        </is>
      </c>
      <c r="B38" s="4" t="inlineStr">
        <is>
          <t xml:space="preserve">Adquisición de cámaras IA y radares de seguridad</t>
        </is>
      </c>
      <c r="C38" s="0">
        <v>14</v>
      </c>
      <c r="D38" s="4" t="inlineStr">
        <is>
          <t xml:space="preserve">Cámaras de seguridad</t>
        </is>
      </c>
      <c r="E38" s="4" t="inlineStr">
        <is>
          <t xml:space="preserve">Equipos y suministros de defensa, orden público, protección y seguridad / Seguridad, vigilancia y detección / Equipo de vigilancia y detección</t>
        </is>
      </c>
      <c r="F38" s="0">
        <v>2.0</v>
      </c>
      <c r="G38" s="0" t="inlineStr">
        <is>
          <t xml:space="preserve">Unidad</t>
        </is>
      </c>
      <c r="H38"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39">
      <c r="A39" s="0" t="inlineStr">
        <is>
          <t xml:space="preserve">2563-43-LP26</t>
        </is>
      </c>
      <c r="B39" s="4" t="inlineStr">
        <is>
          <t xml:space="preserve">Adquisición de cámaras IA y radares de seguridad</t>
        </is>
      </c>
      <c r="C39" s="0">
        <v>15</v>
      </c>
      <c r="D39" s="4" t="inlineStr">
        <is>
          <t xml:space="preserve">Cámaras de seguridad</t>
        </is>
      </c>
      <c r="E39" s="4" t="inlineStr">
        <is>
          <t xml:space="preserve">Equipos y suministros de defensa, orden público, protección y seguridad / Seguridad, vigilancia y detección / Equipo de vigilancia y detección</t>
        </is>
      </c>
      <c r="F39" s="0">
        <v>1.0</v>
      </c>
      <c r="G39" s="0" t="inlineStr">
        <is>
          <t xml:space="preserve">Unidad</t>
        </is>
      </c>
      <c r="H39"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40">
      <c r="A40" s="0" t="inlineStr">
        <is>
          <t xml:space="preserve">2788-54-LE26</t>
        </is>
      </c>
      <c r="B40" s="4" t="inlineStr">
        <is>
          <t xml:space="preserve">ADQUISICION Y RENOVACION DE SOFTWARES</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linea 1 ADQUISICION Y RENOVACION DE SOFTWARES PARA UTILIZACION EN SECPLA, COMUNICACIONES, DOM Y OTRAS DEPENDENCIAS MUNICIPALES</t>
        </is>
      </c>
    </row>
    <row r="41">
      <c r="A41" s="0" t="inlineStr">
        <is>
          <t xml:space="preserve">2788-54-LE26</t>
        </is>
      </c>
      <c r="B41" s="4" t="inlineStr">
        <is>
          <t xml:space="preserve">ADQUISICION Y RENOVACION DE SOFTWARES</t>
        </is>
      </c>
      <c r="C41" s="0">
        <v>2</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linea 2 Prezi Plus suscripción anual (1</t>
        </is>
      </c>
    </row>
    <row r="42">
      <c r="A42" s="0" t="inlineStr">
        <is>
          <t xml:space="preserve">2788-54-LE26</t>
        </is>
      </c>
      <c r="B42" s="4" t="inlineStr">
        <is>
          <t xml:space="preserve">ADQUISICION Y RENOVACION DE SOFTWARES</t>
        </is>
      </c>
      <c r="C42" s="0">
        <v>3</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LINEA 3: OPEN AI chat GPT Business suscripción anual (2 licencias)</t>
        </is>
      </c>
    </row>
    <row r="43">
      <c r="A43" s="0" t="inlineStr">
        <is>
          <t xml:space="preserve">3047-60-LE26</t>
        </is>
      </c>
      <c r="B43" s="4" t="inlineStr">
        <is>
          <t xml:space="preserve">EQUIPAMIENTO INFORMÁTICO PARA IMPLEMENTAR SERVIDOR EN EL CENTRO DE INNOVACIÓN TECNOLÓGICA DE LA ARMADA</t>
        </is>
      </c>
      <c r="C43" s="0">
        <v>1</v>
      </c>
      <c r="D43" s="4" t="inlineStr">
        <is>
          <t xml:space="preserve">Servidores</t>
        </is>
      </c>
      <c r="E43" s="4" t="inlineStr">
        <is>
          <t xml:space="preserve">Tecnologías de la información, telecomunicaciones y radiodifusión / Equipos informáticos y accesorios / Computadores</t>
        </is>
      </c>
      <c r="F43" s="0">
        <v>1.0</v>
      </c>
      <c r="G43" s="0" t="inlineStr">
        <is>
          <t xml:space="preserve">Unidad</t>
        </is>
      </c>
      <c r="H43" s="4" t="inlineStr">
        <is>
          <t xml:space="preserve">EQUIPAMIENTO INFORMATICO PARA IMPLEMENTAR UN SERVIDOR IA ON PREMISE DE ACUERDO A ESPECIFICACIONES ADMINISTRATIVAS,TÉCNICAS Y ANEXOS ADJUNTOS.</t>
        </is>
      </c>
    </row>
    <row r="44">
      <c r="A44" s="0" t="inlineStr">
        <is>
          <t xml:space="preserve">3671-80-LE26</t>
        </is>
      </c>
      <c r="B44" s="4" t="inlineStr">
        <is>
          <t xml:space="preserve">“HABILITACIÓN DE NUEVAS DEPENDENCIAS DE SEGURIDAD MUNICIPAL E INFORMÁTICA DE LA MUNICIPALIDAD DE CHILLÁN VIEJO”</t>
        </is>
      </c>
      <c r="C44" s="0">
        <v>1</v>
      </c>
      <c r="D44" s="4" t="inlineStr">
        <is>
          <t xml:space="preserve">Construcción de obras civiles</t>
        </is>
      </c>
      <c r="E44" s="4" t="inlineStr">
        <is>
          <t xml:space="preserve">Servicios de construcción y mantenimiento / Construcción de edificios en general / Construcción de obras civiles y infraestructuras</t>
        </is>
      </c>
      <c r="F44" s="0">
        <v>1.0</v>
      </c>
      <c r="G44" s="0" t="inlineStr">
        <is>
          <t xml:space="preserve">Unidad</t>
        </is>
      </c>
      <c r="H44" s="4" t="inlineStr">
        <is>
          <t xml:space="preserve">HABILITACION DE NUEVAS DEPENDENCIAS DE SEGURIDAD MUNICIPAL E INFORMATICA DE LA MUNICIPALIDAD DE CHILLAN VIEJO</t>
        </is>
      </c>
    </row>
    <row r="45">
      <c r="A45" s="0" t="inlineStr">
        <is>
          <t xml:space="preserve">5586-164-LE26</t>
        </is>
      </c>
      <c r="B45" s="4" t="inlineStr">
        <is>
          <t xml:space="preserve">BC SERVICIO DE PLATAFORMA TECNOLÓGICA INTEGRAL PARA LA GESTIÓN DE EVENTO ACADÉMICO</t>
        </is>
      </c>
      <c r="C45" s="0">
        <v>1</v>
      </c>
      <c r="D45" s="4" t="inlineStr">
        <is>
          <t xml:space="preserve">Software de interconectividad de plataformas</t>
        </is>
      </c>
      <c r="E45" s="4" t="inlineStr">
        <is>
          <t xml:space="preserve">Tecnologías de la información, telecomunicaciones y radiodifusión / Software / Software para trabajo en redes</t>
        </is>
      </c>
      <c r="F45" s="0">
        <v>1.0</v>
      </c>
      <c r="G45" s="0" t="inlineStr">
        <is>
          <t xml:space="preserve">Unidad</t>
        </is>
      </c>
      <c r="H45" s="4" t="inlineStr">
        <is>
          <t xml:space="preserve">SERVICIO DE PLATAFORMA TECNOLÓGICA INTEGRAL PARA LA GESTIÓN DE EVENTO ACADÉMICO</t>
        </is>
      </c>
    </row>
    <row r="46">
      <c r="A46" s="0" t="inlineStr">
        <is>
          <t xml:space="preserve">577290-4-LP26</t>
        </is>
      </c>
      <c r="B46" s="4" t="inlineStr">
        <is>
          <t xml:space="preserve">RENOVACIÓN Y ADQUISICIÓN DE LICENCIAS DE SOFTWARE</t>
        </is>
      </c>
      <c r="C46" s="0">
        <v>1</v>
      </c>
      <c r="D46" s="4" t="inlineStr">
        <is>
          <t xml:space="preserve">Software de gestión de licencias</t>
        </is>
      </c>
      <c r="E46" s="4" t="inlineStr">
        <is>
          <t xml:space="preserve">Tecnologías de la información, telecomunicaciones y radiodifusión / Software / Software de gestión</t>
        </is>
      </c>
      <c r="F46" s="0">
        <v>4.0</v>
      </c>
      <c r="G46" s="0" t="inlineStr">
        <is>
          <t xml:space="preserve">Unidad</t>
        </is>
      </c>
      <c r="H46" s="4" t="inlineStr">
        <is>
          <t xml:space="preserve">DEVEXPRESS UNIVERSAL (o equivalente). Suscripción. 12 meses</t>
        </is>
      </c>
    </row>
    <row r="47">
      <c r="A47" s="0" t="inlineStr">
        <is>
          <t xml:space="preserve">577290-4-LP26</t>
        </is>
      </c>
      <c r="B47" s="4" t="inlineStr">
        <is>
          <t xml:space="preserve">RENOVACIÓN Y ADQUISICIÓN DE LICENCIAS DE SOFTWARE</t>
        </is>
      </c>
      <c r="C47" s="0">
        <v>2</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PowerDesigner Enterprise Architect (o equivalente). Perpetua</t>
        </is>
      </c>
    </row>
    <row r="48">
      <c r="A48" s="0" t="inlineStr">
        <is>
          <t xml:space="preserve">577290-4-LP26</t>
        </is>
      </c>
      <c r="B48" s="4" t="inlineStr">
        <is>
          <t xml:space="preserve">RENOVACIÓN Y ADQUISICIÓN DE LICENCIAS DE SOFTWARE</t>
        </is>
      </c>
      <c r="C48" s="0">
        <v>3</v>
      </c>
      <c r="D48" s="4" t="inlineStr">
        <is>
          <t xml:space="preserve">Software de gestión de licencias</t>
        </is>
      </c>
      <c r="E48" s="4" t="inlineStr">
        <is>
          <t xml:space="preserve">Tecnologías de la información, telecomunicaciones y radiodifusión / Software / Software de gestión</t>
        </is>
      </c>
      <c r="F48" s="0">
        <v>4.0</v>
      </c>
      <c r="G48" s="0" t="inlineStr">
        <is>
          <t xml:space="preserve">Unidad</t>
        </is>
      </c>
      <c r="H48" s="4" t="inlineStr">
        <is>
          <t xml:space="preserve">TOAD FOR ORACLE DBA Edition (o equivalente). Suscripción. 12 meses</t>
        </is>
      </c>
    </row>
    <row r="49">
      <c r="A49" s="0" t="inlineStr">
        <is>
          <t xml:space="preserve">577290-4-LP26</t>
        </is>
      </c>
      <c r="B49" s="4" t="inlineStr">
        <is>
          <t xml:space="preserve">RENOVACIÓN Y ADQUISICIÓN DE LICENCIAS DE SOFTWARE</t>
        </is>
      </c>
      <c r="C49" s="0">
        <v>4</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Unidad</t>
        </is>
      </c>
      <c r="H49" s="4" t="inlineStr">
        <is>
          <t xml:space="preserve">TOAD DATA STUDIO (o equivalente). Suscripción. 12 meses.</t>
        </is>
      </c>
    </row>
    <row r="50">
      <c r="A50" s="0" t="inlineStr">
        <is>
          <t xml:space="preserve">577290-4-LP26</t>
        </is>
      </c>
      <c r="B50" s="4" t="inlineStr">
        <is>
          <t xml:space="preserve">RENOVACIÓN Y ADQUISICIÓN DE LICENCIAS DE SOFTWARE</t>
        </is>
      </c>
      <c r="C50" s="0">
        <v>5</v>
      </c>
      <c r="D50" s="4" t="inlineStr">
        <is>
          <t xml:space="preserve">Software de gestión de licencias</t>
        </is>
      </c>
      <c r="E50" s="4" t="inlineStr">
        <is>
          <t xml:space="preserve">Tecnologías de la información, telecomunicaciones y radiodifusión / Software / Software de gestión</t>
        </is>
      </c>
      <c r="F50" s="0">
        <v>60.0</v>
      </c>
      <c r="G50" s="0" t="inlineStr">
        <is>
          <t xml:space="preserve">Unidad</t>
        </is>
      </c>
      <c r="H50" s="4" t="inlineStr">
        <is>
          <t xml:space="preserve">ADOBE ACROBAT PRO DC (o equivalente). Suscripción. 12 meses</t>
        </is>
      </c>
    </row>
    <row r="51">
      <c r="A51" s="0" t="inlineStr">
        <is>
          <t xml:space="preserve">577290-4-LP26</t>
        </is>
      </c>
      <c r="B51" s="4" t="inlineStr">
        <is>
          <t xml:space="preserve">RENOVACIÓN Y ADQUISICIÓN DE LICENCIAS DE SOFTWARE</t>
        </is>
      </c>
      <c r="C51" s="0">
        <v>6</v>
      </c>
      <c r="D51" s="4" t="inlineStr">
        <is>
          <t xml:space="preserve">Software de gestión de licencias</t>
        </is>
      </c>
      <c r="E51" s="4" t="inlineStr">
        <is>
          <t xml:space="preserve">Tecnologías de la información, telecomunicaciones y radiodifusión / Software / Software de gestión</t>
        </is>
      </c>
      <c r="F51" s="0">
        <v>8.0</v>
      </c>
      <c r="G51" s="0" t="inlineStr">
        <is>
          <t xml:space="preserve">Unidad</t>
        </is>
      </c>
      <c r="H51" s="4" t="inlineStr">
        <is>
          <t xml:space="preserve">ADOBE CREATIVE CLOUD (o equivalente). Suscripción. 12 meses</t>
        </is>
      </c>
    </row>
    <row r="52">
      <c r="A52" s="0" t="inlineStr">
        <is>
          <t xml:space="preserve">618923-19-LP26</t>
        </is>
      </c>
      <c r="B52" s="4" t="inlineStr">
        <is>
          <t xml:space="preserve">ADQUISICIÓN E IMPLEMENTACIÓN SOFTWARE INVENTARIO</t>
        </is>
      </c>
      <c r="C52" s="0">
        <v>1</v>
      </c>
      <c r="D52" s="4" t="inlineStr">
        <is>
          <t xml:space="preserve">Software de administración de bases de datos orientado a objetos</t>
        </is>
      </c>
      <c r="E52" s="4" t="inlineStr">
        <is>
          <t xml:space="preserve">Tecnologías de la información, telecomunicaciones y radiodifusión / Software / Software de consultas y gestión de datos</t>
        </is>
      </c>
      <c r="F52" s="0">
        <v>1.0</v>
      </c>
      <c r="G52" s="0" t="inlineStr">
        <is>
          <t xml:space="preserve">Unidad</t>
        </is>
      </c>
      <c r="H52" s="4" t="inlineStr">
        <is>
          <t xml:space="preserve">ADQUISICIÓN E IMPLEMENTACIÓN DE SOFTWARE DE CONTROL Y GESTIÓN DE ACTIVO FIJO Y SERVICIOS DE MANTENCIÓN Y SOPORTE</t>
        </is>
      </c>
    </row>
    <row r="53">
      <c r="A53" s="0" t="inlineStr">
        <is>
          <t xml:space="preserve">1098710-30-LE26</t>
        </is>
      </c>
      <c r="B53" s="4" t="inlineStr">
        <is>
          <t xml:space="preserve">LICENCIAS SOFTWARE SLACK BUSINESS+ O EQUIVALENTE</t>
        </is>
      </c>
      <c r="C53" s="0">
        <v>1</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ADQUISICIÓN DE LICENCIAS DE SOFTWARE SLACK BUSINESS+ O EQUIVALENTE</t>
        </is>
      </c>
    </row>
    <row r="54">
      <c r="A54" s="0" t="inlineStr">
        <is>
          <t xml:space="preserve">2429-21-LE26</t>
        </is>
      </c>
      <c r="B54" s="4" t="inlineStr">
        <is>
          <t xml:space="preserve">ADQUISICIÓN DE LICENCIAS DE SOFTWARE DE ANTIVIRUS</t>
        </is>
      </c>
      <c r="C54" s="0">
        <v>1</v>
      </c>
      <c r="D54" s="4" t="inlineStr">
        <is>
          <t xml:space="preserve">Software de protección antivirus y de seguridad de transacciones</t>
        </is>
      </c>
      <c r="E54" s="4" t="inlineStr">
        <is>
          <t xml:space="preserve">Tecnologías de la información, telecomunicaciones y radiodifusión / Software / Software de seguridad y protección</t>
        </is>
      </c>
      <c r="F54" s="0">
        <v>1.0</v>
      </c>
      <c r="G54" s="0" t="inlineStr">
        <is>
          <t xml:space="preserve">Global</t>
        </is>
      </c>
      <c r="H54" s="4" t="inlineStr">
        <is>
          <t xml:space="preserve">LICENCIAS DE SOFTWARE DE ANTIVIRUS TS
(EDR) CON ADMINISTRACIÓN CENTRALIZADA</t>
        </is>
      </c>
    </row>
    <row r="55">
      <c r="A55" s="0" t="inlineStr">
        <is>
          <t xml:space="preserve">1375735-16-LE26</t>
        </is>
      </c>
      <c r="B55" s="4" t="inlineStr">
        <is>
          <t xml:space="preserve">ADQUISICIÓN DE LICENCIAS INFORMÁTICAS DESTINADAS A ADMINISTRACIÓN CENTRAL DEL SERVICIO LOCAL DE EDUCACIÓN PÚBLICA DE ANTOFAGASTA 2DO. LLAMADO</t>
        </is>
      </c>
      <c r="C55" s="0">
        <v>1</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Tableau Creator o equivalente</t>
        </is>
      </c>
    </row>
    <row r="56">
      <c r="A56" s="0" t="inlineStr">
        <is>
          <t xml:space="preserve">1375735-16-LE26</t>
        </is>
      </c>
      <c r="B56" s="4" t="inlineStr">
        <is>
          <t xml:space="preserve">ADQUISICIÓN DE LICENCIAS INFORMÁTICAS DESTINADAS A ADMINISTRACIÓN CENTRAL DEL SERVICIO LOCAL DE EDUCACIÓN PÚBLICA DE ANTOFAGASTA 2DO. LLAMADO</t>
        </is>
      </c>
      <c r="C56" s="0">
        <v>2</v>
      </c>
      <c r="D56" s="4" t="inlineStr">
        <is>
          <t xml:space="preserve">Software de gestión de licencias</t>
        </is>
      </c>
      <c r="E56" s="4" t="inlineStr">
        <is>
          <t xml:space="preserve">Tecnologías de la información, telecomunicaciones y radiodifusión / Software / Software de gestión</t>
        </is>
      </c>
      <c r="F56" s="0">
        <v>4.0</v>
      </c>
      <c r="G56" s="0" t="inlineStr">
        <is>
          <t xml:space="preserve">Unidad</t>
        </is>
      </c>
      <c r="H56" s="4" t="inlineStr">
        <is>
          <t xml:space="preserve">(3) vLex Premium o equivalente / 
(1) vLex Vincent AI o equivalente
OFERENTE DEBE OFERTAR OBLIGATORIAMENTE ESTOS DOS SERVICIOS JUNTOS.</t>
        </is>
      </c>
    </row>
    <row r="57">
      <c r="A57" s="0" t="inlineStr">
        <is>
          <t xml:space="preserve">1375735-16-LE26</t>
        </is>
      </c>
      <c r="B57" s="4" t="inlineStr">
        <is>
          <t xml:space="preserve">ADQUISICIÓN DE LICENCIAS INFORMÁTICAS DESTINADAS A ADMINISTRACIÓN CENTRAL DEL SERVICIO LOCAL DE EDUCACIÓN PÚBLICA DE ANTOFAGASTA 2DO. LLAMADO</t>
        </is>
      </c>
      <c r="C57" s="0">
        <v>3</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Software de Presupuestos Ondac Evolution Plus o equivalente</t>
        </is>
      </c>
    </row>
    <row r="58">
      <c r="A58" s="0" t="inlineStr">
        <is>
          <t xml:space="preserve">1375735-16-LE26</t>
        </is>
      </c>
      <c r="B58" s="4" t="inlineStr">
        <is>
          <t xml:space="preserve">ADQUISICIÓN DE LICENCIAS INFORMÁTICAS DESTINADAS A ADMINISTRACIÓN CENTRAL DEL SERVICIO LOCAL DE EDUCACIÓN PÚBLICA DE ANTOFAGASTA 2DO. LLAMADO</t>
        </is>
      </c>
      <c r="C58" s="0">
        <v>4</v>
      </c>
      <c r="D58" s="4" t="inlineStr">
        <is>
          <t xml:space="preserve">Software de gestión de licencias</t>
        </is>
      </c>
      <c r="E58" s="4" t="inlineStr">
        <is>
          <t xml:space="preserve">Tecnologías de la información, telecomunicaciones y radiodifusión / Software / Software de gestión</t>
        </is>
      </c>
      <c r="F58" s="0">
        <v>1.0</v>
      </c>
      <c r="G58" s="0" t="inlineStr">
        <is>
          <t xml:space="preserve">Unidad</t>
        </is>
      </c>
      <c r="H58" s="4" t="inlineStr">
        <is>
          <t xml:space="preserve">ElevenLabs Pro o equivalente</t>
        </is>
      </c>
    </row>
    <row r="59">
      <c r="A59" s="0" t="inlineStr">
        <is>
          <t xml:space="preserve">1375735-16-LE26</t>
        </is>
      </c>
      <c r="B59" s="4" t="inlineStr">
        <is>
          <t xml:space="preserve">ADQUISICIÓN DE LICENCIAS INFORMÁTICAS DESTINADAS A ADMINISTRACIÓN CENTRAL DEL SERVICIO LOCAL DE EDUCACIÓN PÚBLICA DE ANTOFAGASTA 2DO. LLAMADO</t>
        </is>
      </c>
      <c r="C59" s="0">
        <v>5</v>
      </c>
      <c r="D59" s="4" t="inlineStr">
        <is>
          <t xml:space="preserve">Software de gestión de licencias</t>
        </is>
      </c>
      <c r="E59" s="4" t="inlineStr">
        <is>
          <t xml:space="preserve">Tecnologías de la información, telecomunicaciones y radiodifusión / Software / Software de gestión</t>
        </is>
      </c>
      <c r="F59" s="0">
        <v>170.0</v>
      </c>
      <c r="G59" s="0" t="inlineStr">
        <is>
          <t xml:space="preserve">Unidad</t>
        </is>
      </c>
      <c r="H59" s="4" t="inlineStr">
        <is>
          <t xml:space="preserve">(85) Microsoft Intune for Education o equivalente. 
(85) Microsoft Entra ID P2 for faculty o equivalente.
OFERENTE DEBE OFERTAR OBLIGATORIAMENTE ESTOS DOS SERVICIOS JUNTOS.</t>
        </is>
      </c>
    </row>
    <row r="60">
      <c r="A60" s="0" t="inlineStr">
        <is>
          <t xml:space="preserve">1375735-16-LE26</t>
        </is>
      </c>
      <c r="B60" s="4" t="inlineStr">
        <is>
          <t xml:space="preserve">ADQUISICIÓN DE LICENCIAS INFORMÁTICAS DESTINADAS A ADMINISTRACIÓN CENTRAL DEL SERVICIO LOCAL DE EDUCACIÓN PÚBLICA DE ANTOFAGASTA 2DO. LLAMADO</t>
        </is>
      </c>
      <c r="C60" s="0">
        <v>6</v>
      </c>
      <c r="D60" s="4" t="inlineStr">
        <is>
          <t xml:space="preserve">Software de gestión de licencias</t>
        </is>
      </c>
      <c r="E60" s="4" t="inlineStr">
        <is>
          <t xml:space="preserve">Tecnologías de la información, telecomunicaciones y radiodifusión / Software / Software de gestión</t>
        </is>
      </c>
      <c r="F60" s="0">
        <v>1.0</v>
      </c>
      <c r="G60" s="0" t="inlineStr">
        <is>
          <t xml:space="preserve">Unidad</t>
        </is>
      </c>
      <c r="H60" s="4" t="inlineStr">
        <is>
          <t xml:space="preserve">Ekahau Connect Bundle Pack II o equivalente</t>
        </is>
      </c>
    </row>
    <row r="61">
      <c r="A61" s="0" t="inlineStr">
        <is>
          <t xml:space="preserve">1375753-42-LE26</t>
        </is>
      </c>
      <c r="B61" s="4" t="inlineStr">
        <is>
          <t xml:space="preserve">Adquisición de licencias informaticas</t>
        </is>
      </c>
      <c r="C61" s="0">
        <v>1</v>
      </c>
      <c r="D61" s="4" t="inlineStr">
        <is>
          <t xml:space="preserve">Software de administración</t>
        </is>
      </c>
      <c r="E61" s="4" t="inlineStr">
        <is>
          <t xml:space="preserve">Tecnologías de la información, telecomunicaciones y radiodifusión / Software / Software de administración de redes</t>
        </is>
      </c>
      <c r="F61" s="0">
        <v>3.0</v>
      </c>
      <c r="G61" s="0" t="inlineStr">
        <is>
          <t xml:space="preserve">Unidad</t>
        </is>
      </c>
      <c r="H61" s="4" t="inlineStr">
        <is>
          <t xml:space="preserve">AutoCAD Revit LT Suite 2026 Commercial New Single-user ELD Annual Subscription</t>
        </is>
      </c>
    </row>
    <row r="62">
      <c r="A62" s="0" t="inlineStr">
        <is>
          <t xml:space="preserve">1375753-42-LE26</t>
        </is>
      </c>
      <c r="B62" s="4" t="inlineStr">
        <is>
          <t xml:space="preserve">Adquisición de licencias informaticas</t>
        </is>
      </c>
      <c r="C62" s="0">
        <v>2</v>
      </c>
      <c r="D62" s="4" t="inlineStr">
        <is>
          <t xml:space="preserve">Software de administración</t>
        </is>
      </c>
      <c r="E62" s="4" t="inlineStr">
        <is>
          <t xml:space="preserve">Tecnologías de la información, telecomunicaciones y radiodifusión / Software / Software de administración de redes</t>
        </is>
      </c>
      <c r="F62" s="0">
        <v>22.0</v>
      </c>
      <c r="G62" s="0" t="inlineStr">
        <is>
          <t xml:space="preserve">Unidad</t>
        </is>
      </c>
      <c r="H62" s="4" t="inlineStr">
        <is>
          <t xml:space="preserve">Licencias de Lector y editor
ACROBAT PDF (Nivel central SLEP de Los Andes)</t>
        </is>
      </c>
    </row>
    <row r="63">
      <c r="A63" s="0" t="inlineStr">
        <is>
          <t xml:space="preserve">1375753-42-LE26</t>
        </is>
      </c>
      <c r="B63" s="4" t="inlineStr">
        <is>
          <t xml:space="preserve">Adquisición de licencias informaticas</t>
        </is>
      </c>
      <c r="C63" s="0">
        <v>3</v>
      </c>
      <c r="D63" s="4" t="inlineStr">
        <is>
          <t xml:space="preserve">Software de administración</t>
        </is>
      </c>
      <c r="E63" s="4" t="inlineStr">
        <is>
          <t xml:space="preserve">Tecnologías de la información, telecomunicaciones y radiodifusión / Software / Software de administración de redes</t>
        </is>
      </c>
      <c r="F63" s="0">
        <v>20.0</v>
      </c>
      <c r="G63" s="0" t="inlineStr">
        <is>
          <t xml:space="preserve">Unidad</t>
        </is>
      </c>
      <c r="H63" s="4" t="inlineStr">
        <is>
          <t xml:space="preserve">Licencias de Lector y editor
ACROBAT PDF(Unidades Educativas)</t>
        </is>
      </c>
    </row>
    <row r="64">
      <c r="A64" s="0" t="inlineStr">
        <is>
          <t xml:space="preserve">2020-23-LE26</t>
        </is>
      </c>
      <c r="B64" s="4" t="inlineStr">
        <is>
          <t xml:space="preserve">SERVICIOS DE DIGITALIZACIÓN Y EXTRACCIÓN DE TÉXTO.</t>
        </is>
      </c>
      <c r="C64" s="0">
        <v>1</v>
      </c>
      <c r="D64" s="4" t="inlineStr">
        <is>
          <t xml:space="preserve">Servicios de digitalización de documentos</t>
        </is>
      </c>
      <c r="E64" s="4" t="inlineStr">
        <is>
          <t xml:space="preserve">Servicios basados en ingeniería, ciencias sociales y tecnología de la información / Servicios informáticos / Servicios de datos</t>
        </is>
      </c>
      <c r="F64" s="0">
        <v>1.0</v>
      </c>
      <c r="G64" s="0" t="inlineStr">
        <is>
          <t xml:space="preserve">Unidad</t>
        </is>
      </c>
      <c r="H64" s="4" t="inlineStr">
        <is>
          <t xml:space="preserve">SERVICIO ESPECIALIZADO DE DIGITALIZACIÓN Y EXTRACCIÓN INTELIGENTE DE TEXTO, DEL ARCHIVO DE
PRENSA HISTÓRICA DE LA BIBLIOTECA DEL
CONGRESO NACIONAL.</t>
        </is>
      </c>
    </row>
    <row r="65">
      <c r="A65" s="0" t="inlineStr">
        <is>
          <t xml:space="preserve">3656-167-L126</t>
        </is>
      </c>
      <c r="B65" s="4" t="inlineStr">
        <is>
          <t xml:space="preserve">SERVICIO MESA DE AYUDA PLATAFORMA SIFIM</t>
        </is>
      </c>
      <c r="C65" s="0">
        <v>1</v>
      </c>
      <c r="D65" s="4" t="inlineStr">
        <is>
          <t xml:space="preserve">Profesionales</t>
        </is>
      </c>
      <c r="E65" s="4" t="inlineStr">
        <is>
          <t xml:space="preserve">Servicios profesionales, administrativos y consultorías de gestión empresarial / Servicios de recursos humanos / Contratación de personal</t>
        </is>
      </c>
      <c r="F65" s="0">
        <v>14.0</v>
      </c>
      <c r="G65" s="0" t="inlineStr">
        <is>
          <t xml:space="preserve">Mes</t>
        </is>
      </c>
      <c r="H65" s="4" t="inlineStr">
        <is>
          <t xml:space="preserve">SERVICIO MESA DE AYUDA PLATAFORMA SIFIM, SEGUN BASES ADMINISTRATIVAS.</t>
        </is>
      </c>
    </row>
    <row r="66">
      <c r="A66" s="0" t="inlineStr">
        <is>
          <t xml:space="preserve">5482-101-LR26</t>
        </is>
      </c>
      <c r="B66" s="4" t="inlineStr">
        <is>
          <t xml:space="preserve">Plataforma IA para video y seguridad urbana</t>
        </is>
      </c>
      <c r="C66" s="0">
        <v>1</v>
      </c>
      <c r="D66" s="4" t="inlineStr">
        <is>
          <t xml:space="preserve">Software de desarrollo de plataforma Web</t>
        </is>
      </c>
      <c r="E66" s="4" t="inlineStr">
        <is>
          <t xml:space="preserve">Tecnologías de la información, telecomunicaciones y radiodifusión / Software / Programas de desarrollo</t>
        </is>
      </c>
      <c r="F66" s="0">
        <v>1.0</v>
      </c>
      <c r="G66" s="0" t="inlineStr">
        <is>
          <t xml:space="preserve">Global</t>
        </is>
      </c>
      <c r="H66" s="4" t="inlineStr">
        <is>
          <t xml:space="preserve">Setup o configuración inicial del servicio e instalación</t>
        </is>
      </c>
    </row>
    <row r="67">
      <c r="A67" s="0" t="inlineStr">
        <is>
          <t xml:space="preserve">5482-101-LR26</t>
        </is>
      </c>
      <c r="B67" s="4" t="inlineStr">
        <is>
          <t xml:space="preserve">Plataforma IA para video y seguridad urbana</t>
        </is>
      </c>
      <c r="C67" s="0">
        <v>2</v>
      </c>
      <c r="D67" s="4" t="inlineStr">
        <is>
          <t xml:space="preserve">Software de desarrollo de plataforma Web</t>
        </is>
      </c>
      <c r="E67" s="4" t="inlineStr">
        <is>
          <t xml:space="preserve">Tecnologías de la información, telecomunicaciones y radiodifusión / Software / Programas de desarrollo</t>
        </is>
      </c>
      <c r="F67" s="0">
        <v>26.0</v>
      </c>
      <c r="G67" s="0" t="inlineStr">
        <is>
          <t xml:space="preserve">Mes</t>
        </is>
      </c>
      <c r="H67" s="4" t="inlineStr">
        <is>
          <t xml:space="preserve">Servicio mensual (Operación)</t>
        </is>
      </c>
    </row>
    <row r="68">
      <c r="A68" s="0" t="inlineStr">
        <is>
          <t xml:space="preserve">761391-155-CO26</t>
        </is>
      </c>
      <c r="B68" s="4" t="inlineStr">
        <is>
          <t xml:space="preserve">EE-133-GUB-DAS-SVC. ARRI. EQUIPOS INFORMATICOS</t>
        </is>
      </c>
      <c r="C68" s="0">
        <v>1</v>
      </c>
      <c r="D68" s="4" t="inlineStr">
        <is>
          <t xml:space="preserve">Sistemas informáticos de vuelo</t>
        </is>
      </c>
      <c r="E68" s="4" t="inlineStr">
        <is>
          <t xml:space="preserve">Vehículos y equipamiento en general / Componentes para sistemas aeroespaciales / Sistemas de control principal del avión</t>
        </is>
      </c>
      <c r="F68" s="0">
        <v>1.0</v>
      </c>
      <c r="G68" s="0" t="inlineStr">
        <is>
          <t xml:space="preserve">Global</t>
        </is>
      </c>
      <c r="H68" s="4" t="inlineStr">
        <is>
          <t xml:space="preserve">CONTRATACIÓN DEL SERVICIO DE ARRIENDO DE EQUIPOS INFORMATICOS PARA LA IMPLEMENTACIÓN DE SIMULADOR DE AIRBUS ACT ACADEMY, DE ACUERDO A BASES TÉCNICAS, BASES ADM Y ANEXOS</t>
        </is>
      </c>
    </row>
    <row r="69">
      <c r="A69" s="0" t="inlineStr">
        <is>
          <t xml:space="preserve">1622-22-LP26</t>
        </is>
      </c>
      <c r="B69" s="4" t="inlineStr">
        <is>
          <t xml:space="preserve">ARRIENDO SISTEMA DE INFORMACIÓN DE LABORATORIO HSV</t>
        </is>
      </c>
      <c r="C69" s="0">
        <v>1</v>
      </c>
      <c r="D69" s="4" t="inlineStr">
        <is>
          <t xml:space="preserve">Software del sistema de administración de bases de datos</t>
        </is>
      </c>
      <c r="E69" s="4" t="inlineStr">
        <is>
          <t xml:space="preserve">Tecnologías de la información, telecomunicaciones y radiodifusión / Software / Software de consultas y gestión de datos</t>
        </is>
      </c>
      <c r="F69" s="0">
        <v>1.0</v>
      </c>
      <c r="G69" s="0" t="inlineStr">
        <is>
          <t xml:space="preserve">Unidad</t>
        </is>
      </c>
      <c r="H69" s="4" t="inlineStr">
        <is>
          <t xml:space="preserve">ARRIENDO DE SISTEMA DE INFORMACIÓN DE LABORATORIO CLÍNICO (LIS) POR 36 MESES</t>
        </is>
      </c>
    </row>
    <row r="70">
      <c r="A70" s="0" t="inlineStr">
        <is>
          <t xml:space="preserve">2403-73-LR26</t>
        </is>
      </c>
      <c r="B70" s="4" t="inlineStr">
        <is>
          <t xml:space="preserve">Servicios de conectividad telecomunicaciones operación de infraestructura y gestión de ciberseguridad.</t>
        </is>
      </c>
      <c r="C70" s="0">
        <v>1</v>
      </c>
      <c r="D70" s="4" t="inlineStr">
        <is>
          <t xml:space="preserve">Instalación de sistemas de seguridad</t>
        </is>
      </c>
      <c r="E70" s="4" t="inlineStr">
        <is>
          <t xml:space="preserve">Servicios de construcción y mantenimiento / Servicios de atención, mantenimiento y reparaciones de edificios / Servicios eléctricos</t>
        </is>
      </c>
      <c r="F70" s="0">
        <v>1.0</v>
      </c>
      <c r="G70" s="0" t="inlineStr">
        <is>
          <t xml:space="preserve">Global</t>
        </is>
      </c>
      <c r="H70"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71">
      <c r="A71" s="0" t="inlineStr">
        <is>
          <t xml:space="preserve">634-92-LE26</t>
        </is>
      </c>
      <c r="B71" s="4" t="inlineStr">
        <is>
          <t xml:space="preserve">SISTEMA RADIOGRÁFICO ODONTOLÓGICO DIGITAL</t>
        </is>
      </c>
      <c r="C71" s="0">
        <v>1</v>
      </c>
      <c r="D71" s="4" t="inlineStr">
        <is>
          <t xml:space="preserve">Unidades de Rayos X dentales</t>
        </is>
      </c>
      <c r="E71" s="4" t="inlineStr">
        <is>
          <t xml:space="preserve">Equipamiento y suministros médicos / Equipos y suministros odontológicos / Equipo y suministros para imágenes dentales</t>
        </is>
      </c>
      <c r="F71" s="0">
        <v>1.0</v>
      </c>
      <c r="G71" s="0" t="inlineStr">
        <is>
          <t xml:space="preserve">Unidad</t>
        </is>
      </c>
      <c r="H71" s="4" t="inlineStr">
        <is>
          <t xml:space="preserve">Adquisición sistema radiográfico odontológico digital tipo Ortopantomógrafo con tecnología CBCT para el Servicio Dental del Hospital Penitenciario</t>
        </is>
      </c>
    </row>
    <row r="72">
      <c r="A72" s="0" t="inlineStr">
        <is>
          <t xml:space="preserve">730566-31-LE26</t>
        </is>
      </c>
      <c r="B72" s="4" t="inlineStr">
        <is>
          <t xml:space="preserve">Servicio de Enlace de Datos</t>
        </is>
      </c>
      <c r="C72" s="0">
        <v>1</v>
      </c>
      <c r="D72" s="4" t="inlineStr">
        <is>
          <t xml:space="preserve">Servicios relacionados con Internet</t>
        </is>
      </c>
      <c r="E72" s="4" t="inlineStr">
        <is>
          <t xml:space="preserve">Servicios básicos y de información pública / Bibliotecas y otros centros de información pública / Comunicación social y de masas</t>
        </is>
      </c>
      <c r="F72" s="0">
        <v>1.0</v>
      </c>
      <c r="G72" s="0" t="inlineStr">
        <is>
          <t xml:space="preserve">Unidad</t>
        </is>
      </c>
      <c r="H72" s="4" t="inlineStr">
        <is>
          <t xml:space="preserve">Esta iniciativa contempla un uso intensivo de productos alojados en servicios de nube pública, lo que requiere conectividad de datos de forma dedicada para abordar los nuevos requerimientos a nivel de sistemas y bases de datos</t>
        </is>
      </c>
    </row>
    <row r="73">
      <c r="A73" s="0" t="inlineStr">
        <is>
          <t xml:space="preserve">752-39-LE26</t>
        </is>
      </c>
      <c r="B73" s="4" t="inlineStr">
        <is>
          <t xml:space="preserve">Adquisición y habilitación de Servidores para plataforma tecnológica</t>
        </is>
      </c>
      <c r="C73" s="0">
        <v>1</v>
      </c>
      <c r="D73" s="4" t="inlineStr">
        <is>
          <t xml:space="preserve">Servidores</t>
        </is>
      </c>
      <c r="E73" s="4" t="inlineStr">
        <is>
          <t xml:space="preserve">Tecnologías de la información, telecomunicaciones y radiodifusión / Equipos informáticos y accesorios / Computadores</t>
        </is>
      </c>
      <c r="F73" s="0">
        <v>1.0</v>
      </c>
      <c r="G73" s="0" t="inlineStr">
        <is>
          <t xml:space="preserve">Unidad</t>
        </is>
      </c>
      <c r="H73" s="4" t="inlineStr">
        <is>
          <t xml:space="preserve">Servicio de reposición, adquisición, instalación y habilitación de servidores, con migración de máquinas virtuales y continuidad operacional, para la plataforma tecnológica del Gobierno Regional de Los Lagos.</t>
        </is>
      </c>
    </row>
    <row r="74">
      <c r="A74" s="0" t="inlineStr">
        <is>
          <t xml:space="preserve">1057509-348-LE26</t>
        </is>
      </c>
      <c r="B74" s="4" t="inlineStr">
        <is>
          <t xml:space="preserve">CONTRATACIÓN DE SERVICIO DE CONECTIVIDAD DE DATOS PRIVADOS IPMPLS o EQUIVALENTE vps</t>
        </is>
      </c>
      <c r="C74" s="0">
        <v>1</v>
      </c>
      <c r="D74" s="4" t="inlineStr">
        <is>
          <t xml:space="preserve">Computadores personales</t>
        </is>
      </c>
      <c r="E74" s="4" t="inlineStr">
        <is>
          <t xml:space="preserve">Tecnologías de la información, telecomunicaciones y radiodifusión / Equipos informáticos y accesorios / Computadores</t>
        </is>
      </c>
      <c r="F74" s="0">
        <v>1.0</v>
      </c>
      <c r="G74" s="0" t="inlineStr">
        <is>
          <t xml:space="preserve">Unidad no definida</t>
        </is>
      </c>
      <c r="H74" s="4" t="inlineStr">
        <is>
          <t xml:space="preserve">Adquisición de servicio de conectividad de alta disponibilidad mediante conectividad de datos privados IP/MPLS o equivalente. OFERTAR VALORES EN ANEXO N°3: OFERTA ECONÓMICA. PPTO REFERENCIAL TOTAL $45.000.000.-</t>
        </is>
      </c>
    </row>
    <row r="75">
      <c r="A75" s="0" t="inlineStr">
        <is>
          <t xml:space="preserve">3755-6-LP26</t>
        </is>
      </c>
      <c r="B75" s="4" t="inlineStr">
        <is>
          <t xml:space="preserve">Serv datos de tránsito y tráfico de dispositivos</t>
        </is>
      </c>
      <c r="C75" s="0">
        <v>1</v>
      </c>
      <c r="D75" s="4" t="inlineStr">
        <is>
          <t xml:space="preserve">Software de extracción de datos</t>
        </is>
      </c>
      <c r="E75" s="4" t="inlineStr">
        <is>
          <t xml:space="preserve">Tecnologías de la información, telecomunicaciones y radiodifusión / Software / Software de consultas y gestión de datos</t>
        </is>
      </c>
      <c r="F75" s="0">
        <v>1.0</v>
      </c>
      <c r="G75" s="0" t="inlineStr">
        <is>
          <t xml:space="preserve">Global</t>
        </is>
      </c>
      <c r="H75" s="4" t="inlineStr">
        <is>
          <t xml:space="preserve">SERVICIO DE DATOS DE TRÁNSITO Y TRÁFICO PROVISTOS DESDE LA NAVEGACIÓN DE DISPOSITIVOS QUE CUENTEN CON GPS</t>
        </is>
      </c>
    </row>
    <row r="76">
      <c r="A76" s="0" t="inlineStr">
        <is>
          <t xml:space="preserve">885-100-LE26</t>
        </is>
      </c>
      <c r="B76" s="4" t="inlineStr">
        <is>
          <t xml:space="preserve">Servicio de soporte y mantenimiento para plataforma de seguridad de la CGR</t>
        </is>
      </c>
      <c r="C76" s="0">
        <v>1</v>
      </c>
      <c r="D76" s="4" t="inlineStr">
        <is>
          <t xml:space="preserve">Equipo de seguridad de red de firewall</t>
        </is>
      </c>
      <c r="E76" s="4" t="inlineStr">
        <is>
          <t xml:space="preserve">Tecnologías de la información, telecomunicaciones y radiodifusión / Equipos, plataformas y accesorios de redes multimedia, voz y datos / Equipos de seguridad de red</t>
        </is>
      </c>
      <c r="F76" s="0">
        <v>1.0</v>
      </c>
      <c r="G76" s="0" t="inlineStr">
        <is>
          <t xml:space="preserve">Global</t>
        </is>
      </c>
      <c r="H76" s="4" t="inlineStr">
        <is>
          <t xml:space="preserve">Servicio especializados de soporte y mantenimiento de la plataforma de seguridad de producción, incluyendo equipos y licencias de infraestructuras de Checkpoint Quantum, Infinity XDR/XPR y Harmony EDR.</t>
        </is>
      </c>
    </row>
    <row r="77">
      <c r="A77" s="0" t="inlineStr">
        <is>
          <t xml:space="preserve">932-34-LE26</t>
        </is>
      </c>
      <c r="B77" s="4" t="inlineStr">
        <is>
          <t xml:space="preserve">SERVICIO DE MANTENIMIENTO PREVENTIVO Y CORRECTIVO HABITUAL DEL SISTEMA ELÉCTRICO CORRIENTES DÉBILES E INFRAESTRUCTURA DE DATOS PARA EL CENTRO DEPORTIVO COMUNITARIO DE RANCAGUA</t>
        </is>
      </c>
      <c r="C77" s="0">
        <v>1</v>
      </c>
      <c r="D77" s="4" t="inlineStr">
        <is>
          <t xml:space="preserve">Servicio de mantenimiento de equipo de fabricación</t>
        </is>
      </c>
      <c r="E77" s="4" t="inlineStr">
        <is>
          <t xml:space="preserve">Servicios de producción y fabricación industrial / Servicios de apoyo o soporte a la fabricación / Servicios de mantenimiento y reparación de equipo de fabricación</t>
        </is>
      </c>
      <c r="F77" s="0">
        <v>1.0</v>
      </c>
      <c r="G77" s="0" t="inlineStr">
        <is>
          <t xml:space="preserve">Unidad</t>
        </is>
      </c>
      <c r="H77"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78">
      <c r="A78" s="0" t="inlineStr">
        <is>
          <t xml:space="preserve">4829-56-LE26</t>
        </is>
      </c>
      <c r="B78" s="4" t="inlineStr">
        <is>
          <t xml:space="preserve">CONV.SUMINISTRO DIFUSION RADIAR Y DIGITAL MUNIC</t>
        </is>
      </c>
      <c r="C78" s="0">
        <v>1</v>
      </c>
      <c r="D78" s="4" t="inlineStr">
        <is>
          <t xml:space="preserve">Servicios relacionados con la radio</t>
        </is>
      </c>
      <c r="E78" s="4" t="inlineStr">
        <is>
          <t xml:space="preserve">Servicios básicos y de información pública / Bibliotecas y otros centros de información pública / Comunicación social y de masas</t>
        </is>
      </c>
      <c r="F78" s="0">
        <v>1.0</v>
      </c>
      <c r="G78" s="0" t="inlineStr">
        <is>
          <t xml:space="preserve">Unidad no definida</t>
        </is>
      </c>
      <c r="H78" s="4" t="inlineStr">
        <is>
          <t xml:space="preserve">Convenio de Suministro Servicio de Difusión Radial,Municipalidad de Alto Biobío.</t>
        </is>
      </c>
    </row>
    <row r="79">
      <c r="A79" s="0" t="inlineStr">
        <is>
          <t xml:space="preserve">4829-56-LE26</t>
        </is>
      </c>
      <c r="B79" s="4" t="inlineStr">
        <is>
          <t xml:space="preserve">CONV.SUMINISTRO DIFUSION RADIAR Y DIGITAL MUNIC</t>
        </is>
      </c>
      <c r="C79" s="0">
        <v>2</v>
      </c>
      <c r="D79" s="4" t="inlineStr">
        <is>
          <t xml:space="preserve">Servicios relacionados con Internet</t>
        </is>
      </c>
      <c r="E79" s="4" t="inlineStr">
        <is>
          <t xml:space="preserve">Servicios básicos y de información pública / Bibliotecas y otros centros de información pública / Comunicación social y de masas</t>
        </is>
      </c>
      <c r="F79" s="0">
        <v>1.0</v>
      </c>
      <c r="G79" s="0" t="inlineStr">
        <is>
          <t xml:space="preserve">Unidad no definida</t>
        </is>
      </c>
      <c r="H79" s="4" t="inlineStr">
        <is>
          <t xml:space="preserve">Convenio de Suministro Servicio de Difusión Digital,Municipalidad de Alto Biobío.</t>
        </is>
      </c>
    </row>
    <row r="80">
      <c r="A80" s="0" t="inlineStr">
        <is>
          <t xml:space="preserve">1375758-7-LE26</t>
        </is>
      </c>
      <c r="B80" s="4" t="inlineStr">
        <is>
          <t xml:space="preserve">PLATAFORMA INTEGRAL PARA LA PLANIFICACIÓN CONTROL DE DOTACIÓN ESCOLAR Y GESTIÓN DE SOLICITUDES DE CONTRATACIÓN</t>
        </is>
      </c>
      <c r="C80" s="0">
        <v>1</v>
      </c>
      <c r="D80" s="4" t="inlineStr">
        <is>
          <t xml:space="preserve">Desarrollo de Aplicaciones de Recursos Empresariales (ERP)</t>
        </is>
      </c>
      <c r="E80" s="4" t="inlineStr">
        <is>
          <t xml:space="preserve">Servicios basados en ingeniería, ciencias sociales y tecnología de la información / Servicios informáticos / Ingeniería en computación e informática</t>
        </is>
      </c>
      <c r="F80" s="0">
        <v>24.0</v>
      </c>
      <c r="G80" s="0" t="inlineStr">
        <is>
          <t xml:space="preserve">Mes</t>
        </is>
      </c>
      <c r="H80" s="4" t="inlineStr">
        <is>
          <t xml:space="preserve">CONTRATACIÓN DE “PLATAFORMA INTEGRAL PARA LA PLANIFICACIÓN, CONTROL DE DOTACIÓN ESCOLAR Y GESTIÓN DE SOLICITUDES DE CONTRATACIÓN DEL SLEP SANTIAGO CENTRO”</t>
        </is>
      </c>
    </row>
    <row r="81">
      <c r="A81" s="0" t="inlineStr">
        <is>
          <t xml:space="preserve">765-25-L126</t>
        </is>
      </c>
      <c r="B81" s="4" t="inlineStr">
        <is>
          <t xml:space="preserve">Desarrollo de soluciones informáticas para la implementación del plan de transformación digital de la CONADI 2026-2029</t>
        </is>
      </c>
      <c r="C81" s="0">
        <v>1</v>
      </c>
      <c r="D81" s="4" t="inlineStr">
        <is>
          <t xml:space="preserve">Firmware y software de conmutación de WAN</t>
        </is>
      </c>
      <c r="E81" s="4" t="inlineStr">
        <is>
          <t xml:space="preserve">Tecnologías de la información, telecomunicaciones y radiodifusión / Software / Software para trabajo en redes</t>
        </is>
      </c>
      <c r="F81" s="0">
        <v>1.0</v>
      </c>
      <c r="G81" s="0" t="inlineStr">
        <is>
          <t xml:space="preserve">Unidad</t>
        </is>
      </c>
      <c r="H81" s="4" t="inlineStr">
        <is>
          <t xml:space="preserve">Desarrollo de soluciones informáticas para la implementación del plan de transformación digital</t>
        </is>
      </c>
    </row>
    <row r="82">
      <c r="A82" s="0" t="inlineStr">
        <is>
          <t xml:space="preserve">2048-78-LE26</t>
        </is>
      </c>
      <c r="B82" s="4" t="inlineStr">
        <is>
          <t xml:space="preserve">COMPRA SERVICIOS PROFESIONALES PARA U.INFORMÁTICA</t>
        </is>
      </c>
      <c r="C82" s="0">
        <v>1</v>
      </c>
      <c r="D82" s="4" t="inlineStr">
        <is>
          <t xml:space="preserve">Profesionales</t>
        </is>
      </c>
      <c r="E82" s="4" t="inlineStr">
        <is>
          <t xml:space="preserve">Servicios profesionales, administrativos y consultorías de gestión empresarial / Servicios de recursos humanos / Contratación de personal</t>
        </is>
      </c>
      <c r="F82" s="0">
        <v>1.0</v>
      </c>
      <c r="G82" s="0" t="inlineStr">
        <is>
          <t xml:space="preserve">Hora/Hombre</t>
        </is>
      </c>
      <c r="H82" s="4" t="inlineStr">
        <is>
          <t xml:space="preserve">El Hospital de Ancud requiere la compra de servicios de un Profesional TIC’s para Desarrollo de Software y servicios digitales , para la Unidad de Tic´s.</t>
        </is>
      </c>
    </row>
    <row r="83">
      <c r="A83" s="0" t="inlineStr">
        <is>
          <t xml:space="preserve">4375-142-LE26</t>
        </is>
      </c>
      <c r="B83" s="4" t="inlineStr">
        <is>
          <t xml:space="preserve">ARRIENDO SOFTWARE Y EQUIPOS PARA SISTEMA GESTOR DE FILAS</t>
        </is>
      </c>
      <c r="C83" s="0">
        <v>1</v>
      </c>
      <c r="D83" s="4" t="inlineStr">
        <is>
          <t xml:space="preserve">Sistemas de control de formación de filas</t>
        </is>
      </c>
      <c r="E83" s="4" t="inlineStr">
        <is>
          <t xml:space="preserve">Equipos y suministros de defensa, orden público, protección y seguridad / Equipos para orden público / Equipo para control de disturbios</t>
        </is>
      </c>
      <c r="F83" s="0">
        <v>24.0</v>
      </c>
      <c r="G83" s="0" t="inlineStr">
        <is>
          <t xml:space="preserve">Mes</t>
        </is>
      </c>
      <c r="H83" s="4" t="inlineStr">
        <is>
          <t xml:space="preserve">ARRIENDO SOFTWARE Y EQUIPOS PARA SISTEMA GESTOR DE FILAS. Según ETT adjunta.</t>
        </is>
      </c>
    </row>
    <row r="84">
      <c r="A84" s="0" t="inlineStr">
        <is>
          <t xml:space="preserve">538598-41-LE26</t>
        </is>
      </c>
      <c r="B84" s="4" t="inlineStr">
        <is>
          <t xml:space="preserve">Servicio LME - arriendo de lectores huella digital</t>
        </is>
      </c>
      <c r="C84" s="0">
        <v>1</v>
      </c>
      <c r="D84" s="4" t="inlineStr">
        <is>
          <t xml:space="preserve">Software de sistema experto</t>
        </is>
      </c>
      <c r="E84" s="4" t="inlineStr">
        <is>
          <t xml:space="preserve">Tecnologías de la información, telecomunicaciones y radiodifusión / Software / Software de gestión</t>
        </is>
      </c>
      <c r="F84" s="0">
        <v>1.0</v>
      </c>
      <c r="G84" s="0" t="inlineStr">
        <is>
          <t xml:space="preserve">Unidad</t>
        </is>
      </c>
      <c r="H84" s="4" t="inlineStr">
        <is>
          <t xml:space="preserve">Línea N°1: Arriendo sistema de emisión de licencia médica electrónica.</t>
        </is>
      </c>
    </row>
    <row r="85">
      <c r="A85" s="0" t="inlineStr">
        <is>
          <t xml:space="preserve">538598-41-LE26</t>
        </is>
      </c>
      <c r="B85" s="4" t="inlineStr">
        <is>
          <t xml:space="preserve">Servicio LME - arriendo de lectores huella digital</t>
        </is>
      </c>
      <c r="C85" s="0">
        <v>2</v>
      </c>
      <c r="D85" s="4" t="inlineStr">
        <is>
          <t xml:space="preserve">Software del sistema de administración de bases de datos</t>
        </is>
      </c>
      <c r="E85" s="4" t="inlineStr">
        <is>
          <t xml:space="preserve">Tecnologías de la información, telecomunicaciones y radiodifusión / Software / Software de consultas y gestión de datos</t>
        </is>
      </c>
      <c r="F85" s="0">
        <v>1.0</v>
      </c>
      <c r="G85" s="0" t="inlineStr">
        <is>
          <t xml:space="preserve">Unidad</t>
        </is>
      </c>
      <c r="H85" s="4" t="inlineStr">
        <is>
          <t xml:space="preserve">Línea N°1: Arriendo sistema de consulta en línea de previsión de pacientes y datos demográficos.</t>
        </is>
      </c>
    </row>
    <row r="86">
      <c r="A86" s="0" t="inlineStr">
        <is>
          <t xml:space="preserve">538598-41-LE26</t>
        </is>
      </c>
      <c r="B86" s="4" t="inlineStr">
        <is>
          <t xml:space="preserve">Servicio LME - arriendo de lectores huella digital</t>
        </is>
      </c>
      <c r="C86" s="0">
        <v>3</v>
      </c>
      <c r="D86" s="4" t="inlineStr">
        <is>
          <t xml:space="preserve">Circuitos integrados digitales</t>
        </is>
      </c>
      <c r="E86" s="4" t="inlineStr">
        <is>
          <t xml:space="preserve">Artículos de electrónica / Circuitos electrónicos / Circuitos integrados, memorias y microprocesadores</t>
        </is>
      </c>
      <c r="F86" s="0">
        <v>28.0</v>
      </c>
      <c r="G86" s="0" t="inlineStr">
        <is>
          <t xml:space="preserve">Unidad</t>
        </is>
      </c>
      <c r="H86" s="4" t="inlineStr">
        <is>
          <t xml:space="preserve">Línea N°1: Arriendo lectores de huella digital.</t>
        </is>
      </c>
    </row>
    <row r="87">
      <c r="A87" s="0" t="inlineStr">
        <is>
          <t xml:space="preserve">610-20-LE26</t>
        </is>
      </c>
      <c r="B87" s="4" t="inlineStr">
        <is>
          <t xml:space="preserve">Proyecto de Automatización y uso de Inteligencia Artificial en los modelos de Proyección de Demanda</t>
        </is>
      </c>
      <c r="C87" s="0">
        <v>1</v>
      </c>
      <c r="D87" s="4" t="inlineStr">
        <is>
          <t xml:space="preserve">Ingeniería eléctrica</t>
        </is>
      </c>
      <c r="E87" s="4" t="inlineStr">
        <is>
          <t xml:space="preserve">Servicios basados en ingeniería, ciencias sociales y tecnología de la información / Servicios profesionales de ingeniería / Ingeniería eléctrica y electrónica</t>
        </is>
      </c>
      <c r="F87" s="0">
        <v>1.0</v>
      </c>
      <c r="G87" s="0" t="inlineStr">
        <is>
          <t xml:space="preserve">Unidad</t>
        </is>
      </c>
      <c r="H87" s="4" t="inlineStr">
        <is>
          <t xml:space="preserve">Proyecto de Automatización y uso de Inteligencia Artificial en los modelos de Proyección de Demanda.</t>
        </is>
      </c>
    </row>
    <row r="88">
      <c r="A88" s="0" t="inlineStr">
        <is>
          <t xml:space="preserve">799595-5-LP26</t>
        </is>
      </c>
      <c r="B88" s="4" t="inlineStr">
        <is>
          <t xml:space="preserve">Servicio de Cloud Computing MINDEP</t>
        </is>
      </c>
      <c r="C88" s="0">
        <v>1</v>
      </c>
      <c r="D88" s="4" t="inlineStr">
        <is>
          <t xml:space="preserve">Centro de servicios de datos</t>
        </is>
      </c>
      <c r="E88" s="4" t="inlineStr">
        <is>
          <t xml:space="preserve">Servicios basados en ingeniería, ciencias sociales y tecnología de la información / Servicios informáticos / Servicios de datos</t>
        </is>
      </c>
      <c r="F88" s="0">
        <v>1.0</v>
      </c>
      <c r="G88" s="0" t="inlineStr">
        <is>
          <t xml:space="preserve">Unidad</t>
        </is>
      </c>
      <c r="H88" s="4" t="inlineStr">
        <is>
          <t xml:space="preserve">SERVICIO DE CLOUD COMPUTING Y SERVICIOS ASOCIADOS, PARA LA SUBSECRETARÍA DEL DEPORTE</t>
        </is>
      </c>
    </row>
    <row r="89">
      <c r="A89" s="0" t="inlineStr">
        <is>
          <t xml:space="preserve">847-59-L126</t>
        </is>
      </c>
      <c r="B89" s="4" t="inlineStr">
        <is>
          <t xml:space="preserve">PLANI - II Adquisición de Equipos Informáticos para J.I. Santa Julia_SC 61362</t>
        </is>
      </c>
      <c r="C89" s="0">
        <v>1</v>
      </c>
      <c r="D89" s="4" t="inlineStr">
        <is>
          <t xml:space="preserve">Notebook, laptop o computador portátil excepto Tablet PC</t>
        </is>
      </c>
      <c r="E89" s="4" t="inlineStr">
        <is>
          <t xml:space="preserve">Tecnologías de la información, telecomunicaciones y radiodifusión / Equipos informáticos y accesorios / Computadores</t>
        </is>
      </c>
      <c r="F89" s="0">
        <v>4.0</v>
      </c>
      <c r="G89" s="0" t="inlineStr">
        <is>
          <t xml:space="preserve">Unidad</t>
        </is>
      </c>
      <c r="H89" s="4" t="inlineStr">
        <is>
          <t xml:space="preserve">Notebook</t>
        </is>
      </c>
    </row>
    <row r="90">
      <c r="A90" s="0" t="inlineStr">
        <is>
          <t xml:space="preserve">847-59-L126</t>
        </is>
      </c>
      <c r="B90" s="4" t="inlineStr">
        <is>
          <t xml:space="preserve">PLANI - II Adquisición de Equipos Informáticos para J.I. Santa Julia_SC 61362</t>
        </is>
      </c>
      <c r="C90" s="0">
        <v>2</v>
      </c>
      <c r="D90" s="4" t="inlineStr">
        <is>
          <t xml:space="preserve">Proyectores de diapositivas</t>
        </is>
      </c>
      <c r="E90" s="4" t="inlineStr">
        <is>
          <t xml:space="preserve">Equipos y suministros de imprenta, fotográficos y audiovisuales / Equipos de composición y presentación audiovisual / Proyectores y suministros</t>
        </is>
      </c>
      <c r="F90" s="0">
        <v>2.0</v>
      </c>
      <c r="G90" s="0" t="inlineStr">
        <is>
          <t xml:space="preserve">Unidad</t>
        </is>
      </c>
      <c r="H90" s="4" t="inlineStr">
        <is>
          <t xml:space="preserve">Proyectores</t>
        </is>
      </c>
    </row>
    <row r="91">
      <c r="A91" s="0" t="inlineStr">
        <is>
          <t xml:space="preserve">2440-63-LE26</t>
        </is>
      </c>
      <c r="B91" s="4" t="inlineStr">
        <is>
          <t xml:space="preserve">Habilitación y Adquisición de Equipo Informático para la Instalación conexión y Administración de la RED de datos e Iluminación WIFI para el Establecimiento Educacional Instituto Ingles de Curicó</t>
        </is>
      </c>
      <c r="C91" s="0">
        <v>1</v>
      </c>
      <c r="D91" s="4" t="inlineStr">
        <is>
          <t xml:space="preserve">Equipo de red de video</t>
        </is>
      </c>
      <c r="E91" s="4" t="inlineStr">
        <is>
          <t xml:space="preserve">Tecnologías de la información, telecomunicaciones y radiodifusión / Equipos, plataformas y accesorios de redes multimedia, voz y datos / Equipos de servicio de red</t>
        </is>
      </c>
      <c r="F91" s="0">
        <v>1.0</v>
      </c>
      <c r="G91" s="0" t="inlineStr">
        <is>
          <t xml:space="preserve">Unidad</t>
        </is>
      </c>
      <c r="H91"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92">
      <c r="A92" s="0" t="inlineStr">
        <is>
          <t xml:space="preserve">434-110-LP26</t>
        </is>
      </c>
      <c r="B92" s="4" t="inlineStr">
        <is>
          <t xml:space="preserve">SISTEMA DE GESTIÓN DOCUMENTAL SEGÚN LEY N°21.180</t>
        </is>
      </c>
      <c r="C92" s="0">
        <v>1</v>
      </c>
      <c r="D92" s="4" t="inlineStr">
        <is>
          <t xml:space="preserve">Servicios de investigación o medición</t>
        </is>
      </c>
      <c r="E92" s="4" t="inlineStr">
        <is>
          <t xml:space="preserve">Artículos para estructuras, obras y construcciones / Construcciones permanentes / Construcciones para educación e investigación</t>
        </is>
      </c>
      <c r="F92" s="0">
        <v>1.0</v>
      </c>
      <c r="G92" s="0" t="inlineStr">
        <is>
          <t xml:space="preserve">Unidad</t>
        </is>
      </c>
      <c r="H92" s="4" t="inlineStr">
        <is>
          <t xml:space="preserve">SERVICIO INTEGRADO DE BRANDING ESTRATEGICO, SOCIAL LISTENING Y ESTRATEGIA CREATIVA APLICADA, SEGUN BASES TECNICAS ADJUNTAS</t>
        </is>
      </c>
    </row>
    <row r="93">
      <c r="A93" s="0" t="inlineStr">
        <is>
          <t xml:space="preserve">434-110-LP26</t>
        </is>
      </c>
      <c r="B93" s="4" t="inlineStr">
        <is>
          <t xml:space="preserve">SISTEMA DE GESTIÓN DOCUMENTAL SEGÚN LEY N°21.180</t>
        </is>
      </c>
      <c r="C93" s="0">
        <v>2</v>
      </c>
      <c r="D93" s="4" t="inlineStr">
        <is>
          <t xml:space="preserve">Servicios de investigación o medición</t>
        </is>
      </c>
      <c r="E93" s="4" t="inlineStr">
        <is>
          <t xml:space="preserve">Artículos para estructuras, obras y construcciones / Construcciones permanentes / Construcciones para educación e investigación</t>
        </is>
      </c>
      <c r="F93" s="0">
        <v>1.0</v>
      </c>
      <c r="G93" s="0" t="inlineStr">
        <is>
          <t xml:space="preserve">Unidad</t>
        </is>
      </c>
      <c r="H93" s="4" t="inlineStr">
        <is>
          <t xml:space="preserve">SISTEMA DE GESTIÓN DOCUMENTAL Y ACOMPAÑAMIENTO EN LA IMPLEMENTACIÓN DE LA LEY N°21.180 DE TRANSFORMACIÓN DIGITAL DEL ESTADO SEGÚN BASES TÉCNICAS ADJUNTAS (IGNORAR SERVICIO ANTERIOR).</t>
        </is>
      </c>
    </row>
    <row r="94">
      <c r="A94" s="0" t="inlineStr">
        <is>
          <t xml:space="preserve">2308-90-LE26</t>
        </is>
      </c>
      <c r="B94" s="4" t="inlineStr">
        <is>
          <t xml:space="preserve">REPARACIÓN MODERNIZACIÓN PUESTA EN MARCHA Y CERTIFICACIÓN DEL ASCENSOR DEL EDIFICIO CONSISTORIAL OSORNO</t>
        </is>
      </c>
      <c r="C94" s="0">
        <v>1</v>
      </c>
      <c r="D94" s="4" t="inlineStr">
        <is>
          <t xml:space="preserve">Servicios de mantenimiento de ascensores</t>
        </is>
      </c>
      <c r="E94" s="4" t="inlineStr">
        <is>
          <t xml:space="preserve">Servicios de construcción y mantenimiento / Servicios de atención, mantenimiento y reparaciones de edificios / Servicios de apoyo para la construcción</t>
        </is>
      </c>
      <c r="F94" s="0">
        <v>1.0</v>
      </c>
      <c r="G94" s="0" t="inlineStr">
        <is>
          <t xml:space="preserve">Unidad</t>
        </is>
      </c>
      <c r="H94" s="4" t="inlineStr">
        <is>
          <t xml:space="preserve">Reparación, Modernización, Puesta en Marcha y Certificación del Ascensor del Edificio Consistorial, Osorno.</t>
        </is>
      </c>
    </row>
    <row r="95">
      <c r="A95" s="0" t="inlineStr">
        <is>
          <t xml:space="preserve">5482-94-LP26</t>
        </is>
      </c>
      <c r="B95" s="4" t="inlineStr">
        <is>
          <t xml:space="preserve">SERVICIO DE ARRIENDO MANTENCIÓN Y SOPORTE DE PLATAFORMA DOM</t>
        </is>
      </c>
      <c r="C95" s="0">
        <v>1</v>
      </c>
      <c r="D95" s="4" t="inlineStr">
        <is>
          <t xml:space="preserve">Software de desarrollo de plataforma Web</t>
        </is>
      </c>
      <c r="E95" s="4" t="inlineStr">
        <is>
          <t xml:space="preserve">Tecnologías de la información, telecomunicaciones y radiodifusión / Software / Programas de desarrollo</t>
        </is>
      </c>
      <c r="F95" s="0">
        <v>1.0</v>
      </c>
      <c r="G95" s="0" t="inlineStr">
        <is>
          <t xml:space="preserve">Unidad</t>
        </is>
      </c>
      <c r="H95"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96">
      <c r="A96" s="0" t="inlineStr">
        <is>
          <t xml:space="preserve">1514-113-LE26</t>
        </is>
      </c>
      <c r="B96" s="4" t="inlineStr">
        <is>
          <t xml:space="preserve">Convenio de Sistema de Gestión de Calidad en Salud GCS bajo modalidad Cloud</t>
        </is>
      </c>
      <c r="C96" s="0">
        <v>1</v>
      </c>
      <c r="D96" s="4" t="inlineStr">
        <is>
          <t xml:space="preserve">Programas de gestión de configuración</t>
        </is>
      </c>
      <c r="E96" s="4" t="inlineStr">
        <is>
          <t xml:space="preserve">Tecnologías de la información, telecomunicaciones y radiodifusión / Software / Programas de desarrollo</t>
        </is>
      </c>
      <c r="F96" s="0">
        <v>36.0</v>
      </c>
      <c r="G96" s="0" t="inlineStr">
        <is>
          <t xml:space="preserve">Mes</t>
        </is>
      </c>
      <c r="H96" s="4" t="inlineStr">
        <is>
          <t xml:space="preserve">Convenio de arriendo del sistema de gestión de calidad en salud</t>
        </is>
      </c>
    </row>
    <row r="97">
      <c r="A97" s="0" t="inlineStr">
        <is>
          <t xml:space="preserve">2667-71-LR26</t>
        </is>
      </c>
      <c r="B97" s="4" t="inlineStr">
        <is>
          <t xml:space="preserve">ARRIENDO SOPORTE Y MANTENCIÓN DE CENTRAL TELEFONICA IP TELEFONOS IP Y PLATAFORMA DE CONTACT CENTER</t>
        </is>
      </c>
      <c r="C97" s="0">
        <v>1</v>
      </c>
      <c r="D97" s="4" t="inlineStr">
        <is>
          <t xml:space="preserve">Sistemas de alarma</t>
        </is>
      </c>
      <c r="E97" s="4" t="inlineStr">
        <is>
          <t xml:space="preserve">Equipos y suministros de defensa, orden público, protección y seguridad / Seguridad, vigilancia y detección / Equipo de vigilancia y detección</t>
        </is>
      </c>
      <c r="F97" s="0">
        <v>1.0</v>
      </c>
      <c r="G97" s="0" t="inlineStr">
        <is>
          <t xml:space="preserve">Global</t>
        </is>
      </c>
      <c r="H97" s="4" t="inlineStr">
        <is>
          <t xml:space="preserve">ARRIENDO, INSTALACIÓN, SOPORTE Y MANTENCIÓN DE CENTRAL TELEFÓNICA, EQUIPOS TELEFÓNICOS Y PLATAFORMA DE ATENCIÓN TELEFÓNICA</t>
        </is>
      </c>
    </row>
    <row r="98">
      <c r="A98" s="0" t="inlineStr">
        <is>
          <t xml:space="preserve">622-64-L126</t>
        </is>
      </c>
      <c r="B98" s="4" t="inlineStr">
        <is>
          <t xml:space="preserve">CONTRATACIÓN DEL CURSO INTELIGENCIA ARTIFICIAL APLICADA A LA GESTIÓN GREMIAL Y LA FUNCIÓN PÚBLICA</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CURSO INTELIGENCIA ARTIFICIAL APLICADA A LA GESTIÓN GREMIAL Y LA FUNCIÓN PÚBLICA</t>
        </is>
      </c>
    </row>
    <row r="99">
      <c r="A99" s="0" t="inlineStr">
        <is>
          <t xml:space="preserve">5360-5-LP26</t>
        </is>
      </c>
      <c r="B99" s="4" t="inlineStr">
        <is>
          <t xml:space="preserve">SERVICIOS DE ELECTRICIDAD Y DATOS UTA - ARICA</t>
        </is>
      </c>
      <c r="C99" s="0">
        <v>1</v>
      </c>
      <c r="D99" s="4" t="inlineStr">
        <is>
          <t xml:space="preserve">Instalación o servicio de sistemas de energía eléctrica</t>
        </is>
      </c>
      <c r="E99" s="4" t="inlineStr">
        <is>
          <t xml:space="preserve">Servicios de construcción y mantenimiento / Servicios de atención, mantenimiento y reparaciones de edificios / Servicios eléctricos</t>
        </is>
      </c>
      <c r="F99" s="0">
        <v>1.0</v>
      </c>
      <c r="G99" s="0" t="inlineStr">
        <is>
          <t xml:space="preserve">Unidad</t>
        </is>
      </c>
      <c r="H99" s="4" t="inlineStr">
        <is>
          <t xml:space="preserve">Servicios de electricidad y datos, para dependencias de la Universidad de Tarapacá en Arica, según anexo N°6.</t>
        </is>
      </c>
    </row>
    <row r="100">
      <c r="A100" s="0" t="inlineStr">
        <is>
          <t xml:space="preserve">2981-287-LP26</t>
        </is>
      </c>
      <c r="B100" s="4" t="inlineStr">
        <is>
          <t xml:space="preserve">CIBERSEGURIDAD- CONSULTORIA</t>
        </is>
      </c>
      <c r="C100" s="0">
        <v>1</v>
      </c>
      <c r="D100" s="4" t="inlineStr">
        <is>
          <t xml:space="preserve">Asesorías en gestión estratégica</t>
        </is>
      </c>
      <c r="E100" s="4" t="inlineStr">
        <is>
          <t xml:space="preserve">Servicios profesionales, administrativos y consultorías de gestión empresarial / Consultorías o asesorías en gestión empresarial / Servicios de consultoría en gestión de empresas</t>
        </is>
      </c>
      <c r="F100" s="0">
        <v>1.0</v>
      </c>
      <c r="G100" s="0" t="inlineStr">
        <is>
          <t xml:space="preserve">Unidad</t>
        </is>
      </c>
      <c r="H100" s="4" t="inlineStr">
        <is>
          <t xml:space="preserve">CONTRATACION  DEL SERVICIO DE CONSULTORIA PARA LA IMPLEMENTACION DE UN SISTEMA DE SEGURIDAD DE LA INFORMACION PARA LA PDI.</t>
        </is>
      </c>
    </row>
    <row r="101">
      <c r="A101" s="0" t="inlineStr">
        <is>
          <t xml:space="preserve">622-66-LE26</t>
        </is>
      </c>
      <c r="B101" s="4" t="inlineStr">
        <is>
          <t xml:space="preserve">ADQUISICIÓN DE LICENCIAS PARA SOFTWARE DLP</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Suscripción de Licenciamiento Endpoint DLP (Trellix DLP Endpoint Complete o equivalente), incluyendo implementación (revisar anexo 1 de las bases)</t>
        </is>
      </c>
    </row>
    <row r="102">
      <c r="A102" s="0" t="inlineStr">
        <is>
          <t xml:space="preserve">1057049-376-LP26</t>
        </is>
      </c>
      <c r="B102" s="4" t="inlineStr">
        <is>
          <t xml:space="preserve">PROV E INSTALACIÓN DE PLATAFORMAS DE SEGURIDAD PARA SHAFTS DEL HOSPITAL CLÍNICO SAN BORJA ARRIARÁN</t>
        </is>
      </c>
      <c r="C102" s="0">
        <v>1</v>
      </c>
      <c r="D102" s="4" t="inlineStr">
        <is>
          <t xml:space="preserve">Plataforma elevadora</t>
        </is>
      </c>
      <c r="E102" s="4" t="inlineStr">
        <is>
          <t xml:space="preserve">Maquinaria para construcción y edificación / Maquinaria pesada de construcción / Elevadores</t>
        </is>
      </c>
      <c r="F102" s="0">
        <v>1.0</v>
      </c>
      <c r="G102" s="0" t="inlineStr">
        <is>
          <t xml:space="preserve">Global</t>
        </is>
      </c>
      <c r="H102" s="4" t="inlineStr">
        <is>
          <t xml:space="preserve">Servicio de Provisión e Instalación de Plataformas de Seguridad para Shafts del Hospital Clínico San Borja Arriarán</t>
        </is>
      </c>
    </row>
    <row r="103">
      <c r="A103" s="0" t="inlineStr">
        <is>
          <t xml:space="preserve">1005498-24-LP26</t>
        </is>
      </c>
      <c r="B103" s="4" t="inlineStr">
        <is>
          <t xml:space="preserve">SUSCRIPCIÓN DE LICENCIAS EN MODALIDAD CLOUD</t>
        </is>
      </c>
      <c r="C103" s="0">
        <v>1</v>
      </c>
      <c r="D103" s="4" t="inlineStr">
        <is>
          <t xml:space="preserve">Up grade de software</t>
        </is>
      </c>
      <c r="E103" s="4" t="inlineStr">
        <is>
          <t xml:space="preserve">Servicios basados en ingeniería, ciencias sociales y tecnología de la información / Servicios informáticos / Mantenimiento y soporte de software</t>
        </is>
      </c>
      <c r="F103" s="0">
        <v>1.0</v>
      </c>
      <c r="G103" s="0" t="inlineStr">
        <is>
          <t xml:space="preserve">Global</t>
        </is>
      </c>
      <c r="H103" s="4" t="inlineStr">
        <is>
          <t xml:space="preserve">SUSCRIPCIÓN DE LICENCIAS EN MODALIDAD CLOUD COMPUTING SaaS CON SOPORTE LOCAL Y MANTENCIÓN</t>
        </is>
      </c>
    </row>
    <row r="104">
      <c r="A104" s="0" t="inlineStr">
        <is>
          <t xml:space="preserve">5512-18-LE26</t>
        </is>
      </c>
      <c r="B104" s="4" t="inlineStr">
        <is>
          <t xml:space="preserve">ADQUISICIÓN DE MINICOMPUTADORES PARA IA PROYECTO UTA 22991</t>
        </is>
      </c>
      <c r="C104" s="0">
        <v>1</v>
      </c>
      <c r="D104" s="4" t="inlineStr">
        <is>
          <t xml:space="preserve">Computadores de escritorio</t>
        </is>
      </c>
      <c r="E104" s="4" t="inlineStr">
        <is>
          <t xml:space="preserve">Tecnologías de la información, telecomunicaciones y radiodifusión / Equipos informáticos y accesorios / Computadores</t>
        </is>
      </c>
      <c r="F104" s="0">
        <v>3.0</v>
      </c>
      <c r="G104" s="0" t="inlineStr">
        <is>
          <t xml:space="preserve">Unidad</t>
        </is>
      </c>
      <c r="H104"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05">
      <c r="A105" s="0" t="inlineStr">
        <is>
          <t xml:space="preserve">1020-55-LE26</t>
        </is>
      </c>
      <c r="B105" s="4" t="inlineStr">
        <is>
          <t xml:space="preserve">Adq. Sopor. y Actual. Software ServiceTonic MOP.</t>
        </is>
      </c>
      <c r="C105" s="0">
        <v>1</v>
      </c>
      <c r="D105" s="4" t="inlineStr">
        <is>
          <t xml:space="preserve">Software de gestión de licencias</t>
        </is>
      </c>
      <c r="E105" s="4" t="inlineStr">
        <is>
          <t xml:space="preserve">Tecnologías de la información, telecomunicaciones y radiodifusión / Software / Software de gestión</t>
        </is>
      </c>
      <c r="F105" s="0">
        <v>50.0</v>
      </c>
      <c r="G105" s="0" t="inlineStr">
        <is>
          <t xml:space="preserve">Unidad</t>
        </is>
      </c>
      <c r="H105" s="4" t="inlineStr">
        <is>
          <t xml:space="preserve">Soporte y Actualizaciones Software ServiceTonic Licencias en modalidad On-Premise, usuarios nombrados, por 12 meses. Hasta el 19 de Octubre de 2027</t>
        </is>
      </c>
    </row>
    <row r="106">
      <c r="A106" s="0" t="inlineStr">
        <is>
          <t xml:space="preserve">1067778-4-LP26</t>
        </is>
      </c>
      <c r="B106" s="4" t="inlineStr">
        <is>
          <t xml:space="preserve">ARRIENDO CON OPCION DE COMPRA  DE SERVIDOR PARA IA</t>
        </is>
      </c>
      <c r="C106" s="0">
        <v>1</v>
      </c>
      <c r="D106" s="4" t="inlineStr">
        <is>
          <t xml:space="preserve">Servidores</t>
        </is>
      </c>
      <c r="E106" s="4" t="inlineStr">
        <is>
          <t xml:space="preserve">Tecnologías de la información, telecomunicaciones y radiodifusión / Equipos informáticos y accesorios / Computadores</t>
        </is>
      </c>
      <c r="F106" s="0">
        <v>60.0</v>
      </c>
      <c r="G106" s="0" t="inlineStr">
        <is>
          <t xml:space="preserve">Mes</t>
        </is>
      </c>
      <c r="H106" s="4" t="inlineStr">
        <is>
          <t xml:space="preserve">ARRIENDO CON OPCION DE COMPRA DE SERVIDOR PARA IA. VER BASES PARA MAYOR DETALLE</t>
        </is>
      </c>
    </row>
    <row r="107">
      <c r="A107" s="0" t="inlineStr">
        <is>
          <t xml:space="preserve">2656-77-LP26</t>
        </is>
      </c>
      <c r="B107" s="4" t="inlineStr">
        <is>
          <t xml:space="preserve">ARRIENDO SISTEMAS MUNICIPALES Y CLOUD COMPUTING</t>
        </is>
      </c>
      <c r="C107" s="0">
        <v>1</v>
      </c>
      <c r="D107" s="4" t="inlineStr">
        <is>
          <t xml:space="preserve">Software de sistema de archivos</t>
        </is>
      </c>
      <c r="E107" s="4" t="inlineStr">
        <is>
          <t xml:space="preserve">Tecnologías de la información, telecomunicaciones y radiodifusión / Software / Software de entorno operativo</t>
        </is>
      </c>
      <c r="F107" s="0">
        <v>1.0</v>
      </c>
      <c r="G107" s="0" t="inlineStr">
        <is>
          <t xml:space="preserve">Pack</t>
        </is>
      </c>
      <c r="H107"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08">
      <c r="A108" s="0" t="inlineStr">
        <is>
          <t xml:space="preserve">838794-12-LE26</t>
        </is>
      </c>
      <c r="B108" s="4" t="inlineStr">
        <is>
          <t xml:space="preserve">Tótem gestor de fila CAPSVILLA</t>
        </is>
      </c>
      <c r="C108" s="0">
        <v>1</v>
      </c>
      <c r="D108" s="4" t="inlineStr">
        <is>
          <t xml:space="preserve">Sistemas de control de formación de filas</t>
        </is>
      </c>
      <c r="E108" s="4" t="inlineStr">
        <is>
          <t xml:space="preserve">Equipos y suministros de defensa, orden público, protección y seguridad / Equipos para orden público / Equipo para control de disturbios</t>
        </is>
      </c>
      <c r="F108" s="0">
        <v>1.0</v>
      </c>
      <c r="G108" s="0" t="inlineStr">
        <is>
          <t xml:space="preserve">Unidad</t>
        </is>
      </c>
      <c r="H108" s="4" t="inlineStr">
        <is>
          <t xml:space="preserve">servicio de tótem gestor de filas para el Centro de Atención Primaria de Salud de Villa Alemana</t>
        </is>
      </c>
    </row>
    <row r="109">
      <c r="A109" s="0" t="inlineStr">
        <is>
          <t xml:space="preserve">976-18-O126</t>
        </is>
      </c>
      <c r="B109" s="4" t="inlineStr">
        <is>
          <t xml:space="preserve">ATIF Ampliación Plataformas Comercial y General Ad. El Loa</t>
        </is>
      </c>
      <c r="C109" s="0">
        <v>1</v>
      </c>
      <c r="D109" s="4" t="inlineStr">
        <is>
          <t xml:space="preserve">Licitación Pública de Consultoria</t>
        </is>
      </c>
      <c r="E109" s="4" t="inlineStr">
        <is>
          <t xml:space="preserve">Consultoria / Consultoria / Planificación y Factibilidad</t>
        </is>
      </c>
      <c r="F109" s="0">
        <v>1.0</v>
      </c>
      <c r="G109" s="0" t="inlineStr">
        <is>
          <t xml:space="preserve">Unidad</t>
        </is>
      </c>
      <c r="H109" s="4" t="inlineStr">
        <is>
          <t xml:space="preserve">Licitación Pública de Consultoria</t>
        </is>
      </c>
    </row>
    <row r="110">
      <c r="A110" s="0" t="inlineStr">
        <is>
          <t xml:space="preserve">2490-91-LP26</t>
        </is>
      </c>
      <c r="B110" s="4" t="inlineStr">
        <is>
          <t xml:space="preserve">ARRIENDO SOPORTE Y MANTENCIÓN DE GABINETES PSICOSENSOMÉTRICOS Y EQUIPOS COMPUTACIONALES CON SOFTWARE SPI INTEGRADO 2027-2031</t>
        </is>
      </c>
      <c r="C110" s="0">
        <v>1</v>
      </c>
      <c r="D110" s="4" t="inlineStr">
        <is>
          <t xml:space="preserve">Señales de tránsito</t>
        </is>
      </c>
      <c r="E110" s="4" t="inlineStr">
        <is>
          <t xml:space="preserve">Equipos y suministros de defensa, orden público, protección y seguridad / Seguridad y control público / Control de tráfico</t>
        </is>
      </c>
      <c r="F110" s="0">
        <v>1.0</v>
      </c>
      <c r="G110" s="0" t="inlineStr">
        <is>
          <t xml:space="preserve">Global</t>
        </is>
      </c>
      <c r="H110" s="4" t="inlineStr">
        <is>
          <t xml:space="preserve">“ARRIENDO, SOPORTE Y MANTENCIÓN DE GABINETES PSICOSENSOMÉTRICOS Y EQUIPOS COMPUTACIONALES CON SOFTWARE SPI INTEGRADO 2027-2031”</t>
        </is>
      </c>
    </row>
    <row r="111">
      <c r="A111" s="0" t="inlineStr">
        <is>
          <t xml:space="preserve">1457282-6-LE26</t>
        </is>
      </c>
      <c r="B111" s="4" t="inlineStr">
        <is>
          <t xml:space="preserve">ADQUISICIÓN DE RADIOS DIGITALES PORTÁTILES</t>
        </is>
      </c>
      <c r="C111" s="0">
        <v>1</v>
      </c>
      <c r="D111" s="4" t="inlineStr">
        <is>
          <t xml:space="preserve">Dispositivos de identificación de radiofrecuencias</t>
        </is>
      </c>
      <c r="E111" s="4" t="inlineStr">
        <is>
          <t xml:space="preserve">Tecnologías de la información, telecomunicaciones y radiodifusión / Equipos informáticos y accesorios / Dispositivos informáticos de entrada de datos</t>
        </is>
      </c>
      <c r="F111" s="0">
        <v>1.0</v>
      </c>
      <c r="G111" s="0" t="inlineStr">
        <is>
          <t xml:space="preserve">Global</t>
        </is>
      </c>
      <c r="H111" s="4" t="inlineStr">
        <is>
          <t xml:space="preserve">Adquisición, suministro, configuración, puesta en marcha y marcha blanca de un sistema de radiocomunicación digital para la operación diaria de GAM.</t>
        </is>
      </c>
    </row>
    <row r="112">
      <c r="A112" s="0" t="inlineStr">
        <is>
          <t xml:space="preserve">1221019-17-LE26</t>
        </is>
      </c>
      <c r="B112" s="4" t="inlineStr">
        <is>
          <t xml:space="preserve">Plataforma de Venta de Entradas para Evento.</t>
        </is>
      </c>
      <c r="C112" s="0">
        <v>1</v>
      </c>
      <c r="D112" s="4" t="inlineStr">
        <is>
          <t xml:space="preserve">Software de desarrollo de plataforma Web</t>
        </is>
      </c>
      <c r="E112" s="4" t="inlineStr">
        <is>
          <t xml:space="preserve">Tecnologías de la información, telecomunicaciones y radiodifusión / Software / Programas de desarrollo</t>
        </is>
      </c>
      <c r="F112" s="0">
        <v>1.0</v>
      </c>
      <c r="G112" s="0" t="inlineStr">
        <is>
          <t xml:space="preserve">Unidad</t>
        </is>
      </c>
      <c r="H112" s="4" t="inlineStr">
        <is>
          <t xml:space="preserve">De acuerdo a lo Establecido en las Bases Administrativas y Técnicas de la presente propuesta pública.</t>
        </is>
      </c>
    </row>
    <row r="113">
      <c r="A113" s="0" t="inlineStr">
        <is>
          <t xml:space="preserve">2342-36-LR26</t>
        </is>
      </c>
      <c r="B113" s="4" t="inlineStr">
        <is>
          <t xml:space="preserve">CONCESIÓN DE ESTACIONAMIENTOS EN CALLES DE LA ZONA CENTRO DE LA COMUNA DE SAN BERNARDO APLICANDO SISTEMA DE CONTROL DE TIEMPO DE USO CAPTADORES DE DATOS</t>
        </is>
      </c>
      <c r="C113" s="0">
        <v>1</v>
      </c>
      <c r="D113" s="4" t="inlineStr">
        <is>
          <t xml:space="preserve">Estacionamientos</t>
        </is>
      </c>
      <c r="E113" s="4" t="inlineStr">
        <is>
          <t xml:space="preserve">Servicios de transporte, almacenaje y correo / Servicios de mantención o reparaciones de transportes / Combustible para vehículos de transporte, estacionamiento y otros servicios de apoyo</t>
        </is>
      </c>
      <c r="F113" s="0">
        <v>1.0</v>
      </c>
      <c r="G113" s="0" t="inlineStr">
        <is>
          <t xml:space="preserve">Unidad</t>
        </is>
      </c>
      <c r="H113" s="4" t="inlineStr">
        <is>
          <t xml:space="preserve">De acuerdo a lo indicado en Especificaciones Técnicas</t>
        </is>
      </c>
    </row>
    <row r="114">
      <c r="A114" s="0" t="inlineStr">
        <is>
          <t xml:space="preserve">2446-315-LE26</t>
        </is>
      </c>
      <c r="B114" s="4" t="inlineStr">
        <is>
          <t xml:space="preserve">ADQUISICIÓN DE LICENCIAS DE SOFTWARE INSTITUCIONAL</t>
        </is>
      </c>
      <c r="C114" s="0">
        <v>1</v>
      </c>
      <c r="D114" s="4" t="inlineStr">
        <is>
          <t xml:space="preserve">Paquetes de software para oficinas</t>
        </is>
      </c>
      <c r="E114" s="4" t="inlineStr">
        <is>
          <t xml:space="preserve">Tecnologías de la información, telecomunicaciones y radiodifusión / Software / Software de gestión</t>
        </is>
      </c>
      <c r="F114" s="0">
        <v>1.0</v>
      </c>
      <c r="G114" s="0" t="inlineStr">
        <is>
          <t xml:space="preserve">Global</t>
        </is>
      </c>
      <c r="H114" s="4" t="inlineStr">
        <is>
          <t xml:space="preserve">LÍNEA 1: Adquisición de licencias de software de diseño y producción audiovisual (Adobe Creative Cloud o equivalente) (INGRESAR VALOR NETO TOTAL)</t>
        </is>
      </c>
    </row>
    <row r="115">
      <c r="A115" s="0" t="inlineStr">
        <is>
          <t xml:space="preserve">2446-315-LE26</t>
        </is>
      </c>
      <c r="B115" s="4" t="inlineStr">
        <is>
          <t xml:space="preserve">ADQUISICIÓN DE LICENCIAS DE SOFTWARE INSTITUCIONAL</t>
        </is>
      </c>
      <c r="C115" s="0">
        <v>2</v>
      </c>
      <c r="D115" s="4" t="inlineStr">
        <is>
          <t xml:space="preserve">Paquetes de software para oficinas</t>
        </is>
      </c>
      <c r="E115" s="4" t="inlineStr">
        <is>
          <t xml:space="preserve">Tecnologías de la información, telecomunicaciones y radiodifusión / Software / Software de gestión</t>
        </is>
      </c>
      <c r="F115" s="0">
        <v>1.0</v>
      </c>
      <c r="G115" s="0" t="inlineStr">
        <is>
          <t xml:space="preserve">Global</t>
        </is>
      </c>
      <c r="H115" s="4" t="inlineStr">
        <is>
          <t xml:space="preserve">LÍNEA N°2: Adquisición de licencias de plataforma de inteligencia artificial conversacional para desarrollo de software (Claude o equivalente) (INGRESAR VALOR NETO TOTAL)</t>
        </is>
      </c>
    </row>
    <row r="116">
      <c r="A116" s="0" t="inlineStr">
        <is>
          <t xml:space="preserve">2446-315-LE26</t>
        </is>
      </c>
      <c r="B116" s="4" t="inlineStr">
        <is>
          <t xml:space="preserve">ADQUISICIÓN DE LICENCIAS DE SOFTWARE INSTITUCIONAL</t>
        </is>
      </c>
      <c r="C116" s="0">
        <v>3</v>
      </c>
      <c r="D116" s="4" t="inlineStr">
        <is>
          <t xml:space="preserve">Paquetes de software para oficinas</t>
        </is>
      </c>
      <c r="E116" s="4" t="inlineStr">
        <is>
          <t xml:space="preserve">Tecnologías de la información, telecomunicaciones y radiodifusión / Software / Software de gestión</t>
        </is>
      </c>
      <c r="F116" s="0">
        <v>1.0</v>
      </c>
      <c r="G116" s="0" t="inlineStr">
        <is>
          <t xml:space="preserve">Global</t>
        </is>
      </c>
      <c r="H116" s="4" t="inlineStr">
        <is>
          <t xml:space="preserve">LÍNEA N°3: Adquisición de licencia de software de escritorio remoto para soporte técnico y administración de equipos institucionales (AnyDesk o equivalente) INGRESAR VALOR NETO TOTAL</t>
        </is>
      </c>
    </row>
    <row r="117">
      <c r="A117" s="0" t="inlineStr">
        <is>
          <t xml:space="preserve">2446-315-LE26</t>
        </is>
      </c>
      <c r="B117" s="4" t="inlineStr">
        <is>
          <t xml:space="preserve">ADQUISICIÓN DE LICENCIAS DE SOFTWARE INSTITUCIONAL</t>
        </is>
      </c>
      <c r="C117" s="0">
        <v>4</v>
      </c>
      <c r="D117" s="4" t="inlineStr">
        <is>
          <t xml:space="preserve">Paquetes de software para oficinas</t>
        </is>
      </c>
      <c r="E117" s="4" t="inlineStr">
        <is>
          <t xml:space="preserve">Tecnologías de la información, telecomunicaciones y radiodifusión / Software / Software de gestión</t>
        </is>
      </c>
      <c r="F117" s="0">
        <v>1.0</v>
      </c>
      <c r="G117" s="0" t="inlineStr">
        <is>
          <t xml:space="preserve">Global</t>
        </is>
      </c>
      <c r="H117" s="4" t="inlineStr">
        <is>
          <t xml:space="preserve">LÍNEA N°4: Adquisición licencia de software de visualización de datos, analítica e inteligencia de negocios (Power BI o equivalente) INGRESAR VALOR NETO TOTAL</t>
        </is>
      </c>
    </row>
    <row r="118">
      <c r="A118" s="0" t="inlineStr">
        <is>
          <t xml:space="preserve">2446-315-LE26</t>
        </is>
      </c>
      <c r="B118" s="4" t="inlineStr">
        <is>
          <t xml:space="preserve">ADQUISICIÓN DE LICENCIAS DE SOFTWARE INSTITUCIONAL</t>
        </is>
      </c>
      <c r="C118" s="0">
        <v>5</v>
      </c>
      <c r="D118" s="4" t="inlineStr">
        <is>
          <t xml:space="preserve">Paquetes de software para oficinas</t>
        </is>
      </c>
      <c r="E118" s="4" t="inlineStr">
        <is>
          <t xml:space="preserve">Tecnologías de la información, telecomunicaciones y radiodifusión / Software / Software de gestión</t>
        </is>
      </c>
      <c r="F118" s="0">
        <v>1.0</v>
      </c>
      <c r="G118" s="0" t="inlineStr">
        <is>
          <t xml:space="preserve">Global</t>
        </is>
      </c>
      <c r="H118" s="4" t="inlineStr">
        <is>
          <t xml:space="preserve">LÍNEA N°5: Adquisición de licenciamiento de software de generación de imágenes y videos con inteligencia artificial (Runway o equivalente). INGRESAR VALOR NETO TOTAL</t>
        </is>
      </c>
    </row>
    <row r="119">
      <c r="A119" s="0" t="inlineStr">
        <is>
          <t xml:space="preserve">5441-12-LP26</t>
        </is>
      </c>
      <c r="B119" s="4" t="inlineStr">
        <is>
          <t xml:space="preserve">Generador 500 kVA y Tablero de Transf. Autom. 800A</t>
        </is>
      </c>
      <c r="C119" s="0">
        <v>1</v>
      </c>
      <c r="D119" s="4" t="inlineStr">
        <is>
          <t xml:space="preserve">Generadores diesel</t>
        </is>
      </c>
      <c r="E119" s="4" t="inlineStr">
        <is>
          <t xml:space="preserve">Maquinaria para generación y distribución de energía / Transmisión de energía eléctrica, mecánica y cinética / Grupos electrógenos</t>
        </is>
      </c>
      <c r="F119" s="0">
        <v>1.0</v>
      </c>
      <c r="G119" s="0" t="inlineStr">
        <is>
          <t xml:space="preserve">Unidad</t>
        </is>
      </c>
      <c r="H119" s="4" t="inlineStr">
        <is>
          <t xml:space="preserve">GENERADOR DE 500 kVA, SEGÚN BASES ADMINISTRATIVAS Y TÉCNICAS.</t>
        </is>
      </c>
    </row>
    <row r="120">
      <c r="A120" s="0" t="inlineStr">
        <is>
          <t xml:space="preserve">5441-12-LP26</t>
        </is>
      </c>
      <c r="B120" s="4" t="inlineStr">
        <is>
          <t xml:space="preserve">Generador 500 kVA y Tablero de Transf. Autom. 800A</t>
        </is>
      </c>
      <c r="C120" s="0">
        <v>2</v>
      </c>
      <c r="D120" s="4" t="inlineStr">
        <is>
          <t xml:space="preserve">Paneles de control eléctrico para generadores</t>
        </is>
      </c>
      <c r="E120" s="4" t="inlineStr">
        <is>
          <t xml:space="preserve">Maquinaria para generación y distribución de energía / Generación de energía / Equipo para control de producción de energía</t>
        </is>
      </c>
      <c r="F120" s="0">
        <v>1.0</v>
      </c>
      <c r="G120" s="0" t="inlineStr">
        <is>
          <t xml:space="preserve">Unidad</t>
        </is>
      </c>
      <c r="H120" s="4" t="inlineStr">
        <is>
          <t xml:space="preserve">TABLERO DE TRANSFERENCIA AUTOMÁTICA, SEGÚN BASES ADMINISTRATIVAS Y TÉCNICAS.</t>
        </is>
      </c>
    </row>
    <row r="121">
      <c r="A121" s="0" t="inlineStr">
        <is>
          <t xml:space="preserve">587-47-LE26</t>
        </is>
      </c>
      <c r="B121" s="4" t="inlineStr">
        <is>
          <t xml:space="preserve">RENOVACIÓN DE LICENCIAS DE SOFTWARE</t>
        </is>
      </c>
      <c r="C121" s="0">
        <v>1</v>
      </c>
      <c r="D121" s="4" t="inlineStr">
        <is>
          <t xml:space="preserve">Software de gestión de licencias</t>
        </is>
      </c>
      <c r="E121" s="4" t="inlineStr">
        <is>
          <t xml:space="preserve">Tecnologías de la información, telecomunicaciones y radiodifusión / Software / Software de gestión</t>
        </is>
      </c>
      <c r="F121" s="0">
        <v>12.0</v>
      </c>
      <c r="G121" s="0" t="inlineStr">
        <is>
          <t xml:space="preserve">Unidad</t>
        </is>
      </c>
      <c r="H121"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22">
      <c r="A122" s="0" t="inlineStr">
        <is>
          <t xml:space="preserve">2735-149-LR26</t>
        </is>
      </c>
      <c r="B122" s="4" t="inlineStr">
        <is>
          <t xml:space="preserve">Servicio de Software de Gestión y Registro Clinico</t>
        </is>
      </c>
      <c r="C122" s="0">
        <v>1</v>
      </c>
      <c r="D122" s="4" t="inlineStr">
        <is>
          <t xml:space="preserve">Software médico</t>
        </is>
      </c>
      <c r="E122" s="4" t="inlineStr">
        <is>
          <t xml:space="preserve">Tecnologías de la información, telecomunicaciones y radiodifusión / Software / Software específico para la industria</t>
        </is>
      </c>
      <c r="F122" s="0">
        <v>1.0</v>
      </c>
      <c r="G122" s="0" t="inlineStr">
        <is>
          <t xml:space="preserve">Unidad</t>
        </is>
      </c>
      <c r="H12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23">
      <c r="A123" s="0" t="inlineStr">
        <is>
          <t xml:space="preserve">519302-9-LE26</t>
        </is>
      </c>
      <c r="B123" s="4" t="inlineStr">
        <is>
          <t xml:space="preserve">DISEÑO IMPLEMENTACIÓN MEDICION MARKETING DIGITAL</t>
        </is>
      </c>
      <c r="C123" s="0">
        <v>1</v>
      </c>
      <c r="D123" s="4" t="inlineStr">
        <is>
          <t xml:space="preserve">Campañas publicitarias o de marketing</t>
        </is>
      </c>
      <c r="E123" s="4" t="inlineStr">
        <is>
          <t xml:space="preserve">Servicios profesionales, administrativos y consultorías de gestión empresarial / Servicios para la comercialización y distribución / Ventas y marketing</t>
        </is>
      </c>
      <c r="F123" s="0">
        <v>1.0</v>
      </c>
      <c r="G123" s="0" t="inlineStr">
        <is>
          <t xml:space="preserve">Unidad</t>
        </is>
      </c>
      <c r="H123" s="4" t="inlineStr">
        <is>
          <t xml:space="preserve">DISEÑO, PLANIFICACIÓN, IMPLEMENTACIÓN, ADMINISTRACIÓN, OPTIMIZACIÓN Y MEDICIÓN DE CAMPAÑAS DE MARKETING DIGITAL</t>
        </is>
      </c>
    </row>
    <row r="124">
      <c r="A124" s="0" t="inlineStr">
        <is>
          <t xml:space="preserve">621-909-LR26</t>
        </is>
      </c>
      <c r="B124" s="4" t="inlineStr">
        <is>
          <t xml:space="preserve">TERMOGRAFO DIGITAL MONITOREO TEMPERATURA 1000023277</t>
        </is>
      </c>
      <c r="C124" s="0">
        <v>1</v>
      </c>
      <c r="D124" s="4" t="inlineStr">
        <is>
          <t xml:space="preserve">Termómetros de tele indicación</t>
        </is>
      </c>
      <c r="E124" s="4" t="inlineStr">
        <is>
          <t xml:space="preserve">Equipamiento para laboratorios / Instrumentos de medida y experimentación / Instrumentos para medir temperatura y calor</t>
        </is>
      </c>
      <c r="F124" s="0">
        <v>3000.0</v>
      </c>
      <c r="G124" s="0" t="inlineStr">
        <is>
          <t xml:space="preserve">Unidad</t>
        </is>
      </c>
      <c r="H124" s="4" t="inlineStr">
        <is>
          <t xml:space="preserve">TERMOGRAFO DIGITAL MONITOREO TEMPERATURA; 100005575</t>
        </is>
      </c>
    </row>
    <row r="125">
      <c r="A125" s="0" t="inlineStr">
        <is>
          <t xml:space="preserve">2426-52-LR26</t>
        </is>
      </c>
      <c r="B125" s="4" t="inlineStr">
        <is>
          <t xml:space="preserve">DATACENTER ENLACES DE DATOS TELEFONIA E INTERNET</t>
        </is>
      </c>
      <c r="C125" s="0">
        <v>1</v>
      </c>
      <c r="D125" s="4" t="inlineStr">
        <is>
          <t xml:space="preserve">Centro de servicios de datos</t>
        </is>
      </c>
      <c r="E125" s="4" t="inlineStr">
        <is>
          <t xml:space="preserve">Servicios basados en ingeniería, ciencias sociales y tecnología de la información / Servicios informáticos / Servicios de datos</t>
        </is>
      </c>
      <c r="F125" s="0">
        <v>1.0</v>
      </c>
      <c r="G125" s="0" t="inlineStr">
        <is>
          <t xml:space="preserve">Unidad</t>
        </is>
      </c>
      <c r="H125" s="4"/>
    </row>
    <row r="126">
      <c r="A126" s="0" t="inlineStr">
        <is>
          <t xml:space="preserve">1020-38-LP26</t>
        </is>
      </c>
      <c r="B126" s="4" t="inlineStr">
        <is>
          <t xml:space="preserve">Adquisición de Plataforma Next Generation Firewall</t>
        </is>
      </c>
      <c r="C126" s="0">
        <v>1</v>
      </c>
      <c r="D126" s="4" t="inlineStr">
        <is>
          <t xml:space="preserve">Equipo de seguridad de red de firewall</t>
        </is>
      </c>
      <c r="E126" s="4" t="inlineStr">
        <is>
          <t xml:space="preserve">Tecnologías de la información, telecomunicaciones y radiodifusión / Equipos, plataformas y accesorios de redes multimedia, voz y datos / Equipos de seguridad de red</t>
        </is>
      </c>
      <c r="F126" s="0">
        <v>2.0</v>
      </c>
      <c r="G126" s="0" t="inlineStr">
        <is>
          <t xml:space="preserve">Unidad</t>
        </is>
      </c>
      <c r="H126" s="4" t="inlineStr">
        <is>
          <t xml:space="preserve">Equipos.</t>
        </is>
      </c>
    </row>
    <row r="127">
      <c r="A127" s="0" t="inlineStr">
        <is>
          <t xml:space="preserve">1020-38-LP26</t>
        </is>
      </c>
      <c r="B127" s="4" t="inlineStr">
        <is>
          <t xml:space="preserve">Adquisición de Plataforma Next Generation Firewall</t>
        </is>
      </c>
      <c r="C127" s="0">
        <v>2</v>
      </c>
      <c r="D127" s="4" t="inlineStr">
        <is>
          <t xml:space="preserve">Software de vigilancia de redes</t>
        </is>
      </c>
      <c r="E127" s="4" t="inlineStr">
        <is>
          <t xml:space="preserve">Tecnologías de la información, telecomunicaciones y radiodifusión / Software / Software de administración de redes</t>
        </is>
      </c>
      <c r="F127" s="0">
        <v>1.0</v>
      </c>
      <c r="G127" s="0" t="inlineStr">
        <is>
          <t xml:space="preserve">Unidad</t>
        </is>
      </c>
      <c r="H127" s="4" t="inlineStr">
        <is>
          <t xml:space="preserve">Licenciamiento de software para la Plataforma Next Generation Firewall (NGFW)</t>
        </is>
      </c>
    </row>
    <row r="128">
      <c r="A128" s="0" t="inlineStr">
        <is>
          <t xml:space="preserve">2770-154-LP26</t>
        </is>
      </c>
      <c r="B128" s="4" t="inlineStr">
        <is>
          <t xml:space="preserve">SERVICIOS DE TELEFONÍA Y DATOS MÓVILES</t>
        </is>
      </c>
      <c r="C128" s="0">
        <v>1</v>
      </c>
      <c r="D128" s="4" t="inlineStr">
        <is>
          <t xml:space="preserve">Servicios de telefonía móvil</t>
        </is>
      </c>
      <c r="E128" s="4" t="inlineStr">
        <is>
          <t xml:space="preserve">Servicios básicos y de información pública / Telecomunicaciones / Comunicaciones móviles</t>
        </is>
      </c>
      <c r="F128" s="0">
        <v>1.0</v>
      </c>
      <c r="G128" s="0" t="inlineStr">
        <is>
          <t xml:space="preserve">Global</t>
        </is>
      </c>
      <c r="H128" s="4" t="inlineStr">
        <is>
          <t xml:space="preserve">Servicio de telefonía y datos móviles, conforme a bases de licitación</t>
        </is>
      </c>
    </row>
    <row r="129">
      <c r="A129" s="0" t="inlineStr">
        <is>
          <t xml:space="preserve">654478-7-LP26</t>
        </is>
      </c>
      <c r="B129" s="4" t="inlineStr">
        <is>
          <t xml:space="preserve">RENOVACIÓN DE SOPORTE DE LICENCIAS DE SOFTWARE</t>
        </is>
      </c>
      <c r="C129" s="0">
        <v>1</v>
      </c>
      <c r="D129" s="4" t="inlineStr">
        <is>
          <t xml:space="preserve">Software de gestión de licencias</t>
        </is>
      </c>
      <c r="E129" s="4" t="inlineStr">
        <is>
          <t xml:space="preserve">Tecnologías de la información, telecomunicaciones y radiodifusión / Software / Software de gestión</t>
        </is>
      </c>
      <c r="F129" s="0">
        <v>1.0</v>
      </c>
      <c r="G129" s="0" t="inlineStr">
        <is>
          <t xml:space="preserve">Unidad</t>
        </is>
      </c>
      <c r="H129" s="4" t="inlineStr">
        <is>
          <t xml:space="preserve">Línea N° 1: Renovación de Soporte de Licencias Backup Exec</t>
        </is>
      </c>
    </row>
    <row r="130">
      <c r="A130" s="0" t="inlineStr">
        <is>
          <t xml:space="preserve">654478-7-LP26</t>
        </is>
      </c>
      <c r="B130" s="4" t="inlineStr">
        <is>
          <t xml:space="preserve">RENOVACIÓN DE SOPORTE DE LICENCIAS DE SOFTWARE</t>
        </is>
      </c>
      <c r="C130" s="0">
        <v>2</v>
      </c>
      <c r="D130" s="4" t="inlineStr">
        <is>
          <t xml:space="preserve">Software de gestión de licencias</t>
        </is>
      </c>
      <c r="E130" s="4" t="inlineStr">
        <is>
          <t xml:space="preserve">Tecnologías de la información, telecomunicaciones y radiodifusión / Software / Software de gestión</t>
        </is>
      </c>
      <c r="F130" s="0">
        <v>1.0</v>
      </c>
      <c r="G130" s="0" t="inlineStr">
        <is>
          <t xml:space="preserve">Unidad</t>
        </is>
      </c>
      <c r="H130" s="4" t="inlineStr">
        <is>
          <t xml:space="preserve">Línea N°2: Renovación de suscripción de Soporte de Licencias InvGate Service-Desk</t>
        </is>
      </c>
    </row>
    <row r="131">
      <c r="A131" s="0" t="inlineStr">
        <is>
          <t xml:space="preserve">654478-7-LP26</t>
        </is>
      </c>
      <c r="B131" s="4" t="inlineStr">
        <is>
          <t xml:space="preserve">RENOVACIÓN DE SOPORTE DE LICENCIAS DE SOFTWARE</t>
        </is>
      </c>
      <c r="C131" s="0">
        <v>3</v>
      </c>
      <c r="D131" s="4" t="inlineStr">
        <is>
          <t xml:space="preserve">Software de gestión de licencias</t>
        </is>
      </c>
      <c r="E131" s="4" t="inlineStr">
        <is>
          <t xml:space="preserve">Tecnologías de la información, telecomunicaciones y radiodifusión / Software / Software de gestión</t>
        </is>
      </c>
      <c r="F131" s="0">
        <v>1.0</v>
      </c>
      <c r="G131" s="0" t="inlineStr">
        <is>
          <t xml:space="preserve">Unidad</t>
        </is>
      </c>
      <c r="H131" s="4" t="inlineStr">
        <is>
          <t xml:space="preserve">Línea N°3: Renovación de Suscripción de licencia API Google Maps</t>
        </is>
      </c>
    </row>
    <row r="132">
      <c r="A132" s="0" t="inlineStr">
        <is>
          <t xml:space="preserve">654478-7-LP26</t>
        </is>
      </c>
      <c r="B132" s="4" t="inlineStr">
        <is>
          <t xml:space="preserve">RENOVACIÓN DE SOPORTE DE LICENCIAS DE SOFTWARE</t>
        </is>
      </c>
      <c r="C132" s="0">
        <v>4</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Unidad</t>
        </is>
      </c>
      <c r="H132" s="4" t="inlineStr">
        <is>
          <t xml:space="preserve">Línea N°4: Renovación de Suscripción de Soporte de Licencias Red Hat Linux</t>
        </is>
      </c>
    </row>
    <row r="133">
      <c r="A133" s="0" t="inlineStr">
        <is>
          <t xml:space="preserve">654478-7-LP26</t>
        </is>
      </c>
      <c r="B133" s="4" t="inlineStr">
        <is>
          <t xml:space="preserve">RENOVACIÓN DE SOPORTE DE LICENCIAS DE SOFTWARE</t>
        </is>
      </c>
      <c r="C133" s="0">
        <v>5</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Unidad</t>
        </is>
      </c>
      <c r="H133" s="4" t="inlineStr">
        <is>
          <t xml:space="preserve">Línea N°5: Renovación y Adquisición de Suscripción, Soporte y Migración hacia Qlik Cloud Analytics</t>
        </is>
      </c>
    </row>
    <row r="134">
      <c r="A134" s="0" t="inlineStr">
        <is>
          <t xml:space="preserve">654478-7-LP26</t>
        </is>
      </c>
      <c r="B134" s="4" t="inlineStr">
        <is>
          <t xml:space="preserve">RENOVACIÓN DE SOPORTE DE LICENCIAS DE SOFTWARE</t>
        </is>
      </c>
      <c r="C134" s="0">
        <v>6</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Línea N°6 Renovación de Suscripción de Licencia Tenable Nessus Expert</t>
        </is>
      </c>
    </row>
    <row r="135">
      <c r="A135" s="0" t="inlineStr">
        <is>
          <t xml:space="preserve">654478-7-LP26</t>
        </is>
      </c>
      <c r="B135" s="4" t="inlineStr">
        <is>
          <t xml:space="preserve">RENOVACIÓN DE SOPORTE DE LICENCIAS DE SOFTWARE</t>
        </is>
      </c>
      <c r="C135" s="0">
        <v>7</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Línea N°7   Renovación de Suscripción y Soporte de Licencias Statistics Smart Pack</t>
        </is>
      </c>
    </row>
    <row r="136">
      <c r="A136" s="0" t="inlineStr">
        <is>
          <t xml:space="preserve">654478-7-LP26</t>
        </is>
      </c>
      <c r="B136" s="4" t="inlineStr">
        <is>
          <t xml:space="preserve">RENOVACIÓN DE SOPORTE DE LICENCIAS DE SOFTWARE</t>
        </is>
      </c>
      <c r="C136" s="0">
        <v>8</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Línea N°8 Renovación de Suscripciones de Licencias Auto CAD LT 2024 Commercial New Single User ELD Annual</t>
        </is>
      </c>
    </row>
    <row r="137">
      <c r="A137" s="0" t="inlineStr">
        <is>
          <t xml:space="preserve">654478-7-LP26</t>
        </is>
      </c>
      <c r="B137" s="4" t="inlineStr">
        <is>
          <t xml:space="preserve">RENOVACIÓN DE SOPORTE DE LICENCIAS DE SOFTWARE</t>
        </is>
      </c>
      <c r="C137" s="0">
        <v>9</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Línea N°9 Renovación de Suscripciones de Licencias Adobe Creative Cloud for Teams All multiple plataforms Multi Latin American Languages Subcription 1 User Level 11-9</t>
        </is>
      </c>
    </row>
    <row r="138">
      <c r="A138" s="0" t="inlineStr">
        <is>
          <t xml:space="preserve">654478-7-LP26</t>
        </is>
      </c>
      <c r="B138" s="4" t="inlineStr">
        <is>
          <t xml:space="preserve">RENOVACIÓN DE SOPORTE DE LICENCIAS DE SOFTWARE</t>
        </is>
      </c>
      <c r="C138" s="0">
        <v>10</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Línea N°10 Renovación y Adquisición de Suscripciones de Licencias Miro Project Planner Business</t>
        </is>
      </c>
    </row>
    <row r="139">
      <c r="A139" s="0" t="inlineStr">
        <is>
          <t xml:space="preserve">654478-7-LP26</t>
        </is>
      </c>
      <c r="B139" s="4" t="inlineStr">
        <is>
          <t xml:space="preserve">RENOVACIÓN DE SOPORTE DE LICENCIAS DE SOFTWARE</t>
        </is>
      </c>
      <c r="C139" s="0">
        <v>11</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Línea N°11 Renovación y Adquisición de Suscripciones de Licencias FIGMA Professional Full Seat</t>
        </is>
      </c>
    </row>
    <row r="140">
      <c r="A140" s="0" t="inlineStr">
        <is>
          <t xml:space="preserve">654478-7-LP26</t>
        </is>
      </c>
      <c r="B140" s="4" t="inlineStr">
        <is>
          <t xml:space="preserve">RENOVACIÓN DE SOPORTE DE LICENCIAS DE SOFTWARE</t>
        </is>
      </c>
      <c r="C140" s="0">
        <v>12</v>
      </c>
      <c r="D140" s="4" t="inlineStr">
        <is>
          <t xml:space="preserve">Software de gestión de licencias</t>
        </is>
      </c>
      <c r="E140" s="4" t="inlineStr">
        <is>
          <t xml:space="preserve">Tecnologías de la información, telecomunicaciones y radiodifusión / Software / Software de gestión</t>
        </is>
      </c>
      <c r="F140" s="0">
        <v>1.0</v>
      </c>
      <c r="G140" s="0" t="inlineStr">
        <is>
          <t xml:space="preserve">Unidad</t>
        </is>
      </c>
      <c r="H140" s="4" t="inlineStr">
        <is>
          <t xml:space="preserve">Línea N°12 Adquisición de Suscripción de Licencia SonarQube Developer Edition</t>
        </is>
      </c>
    </row>
    <row r="141">
      <c r="A141" s="0" t="inlineStr">
        <is>
          <t xml:space="preserve">654478-7-LP26</t>
        </is>
      </c>
      <c r="B141" s="4" t="inlineStr">
        <is>
          <t xml:space="preserve">RENOVACIÓN DE SOPORTE DE LICENCIAS DE SOFTWARE</t>
        </is>
      </c>
      <c r="C141" s="0">
        <v>13</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t>
        </is>
      </c>
      <c r="H141" s="4" t="inlineStr">
        <is>
          <t xml:space="preserve">Línea N°13 Adquisición de Suscripción de Licencias Claude AI Team Standard Seats</t>
        </is>
      </c>
    </row>
    <row r="142">
      <c r="A142" s="0" t="inlineStr">
        <is>
          <t xml:space="preserve">654478-7-LP26</t>
        </is>
      </c>
      <c r="B142" s="4" t="inlineStr">
        <is>
          <t xml:space="preserve">RENOVACIÓN DE SOPORTE DE LICENCIAS DE SOFTWARE</t>
        </is>
      </c>
      <c r="C142" s="0">
        <v>14</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Línea N°14 Adquisición de suscripción de Licencias Claude Max 20x</t>
        </is>
      </c>
    </row>
    <row r="143">
      <c r="A143" s="0" t="inlineStr">
        <is>
          <t xml:space="preserve">4362-31-LP26</t>
        </is>
      </c>
      <c r="B143" s="4" t="inlineStr">
        <is>
          <t xml:space="preserve">Construcción Hitos de Acceso y Tótems Turísticos</t>
        </is>
      </c>
      <c r="C143" s="0">
        <v>1</v>
      </c>
      <c r="D143" s="4" t="inlineStr">
        <is>
          <t xml:space="preserve">Construcción de obras civiles</t>
        </is>
      </c>
      <c r="E143" s="4" t="inlineStr">
        <is>
          <t xml:space="preserve">Servicios de construcción y mantenimiento / Construcción de edificios en general / Construcción de obras civiles y infraestructuras</t>
        </is>
      </c>
      <c r="F143" s="0">
        <v>1.0</v>
      </c>
      <c r="G143" s="0" t="inlineStr">
        <is>
          <t xml:space="preserve">Unidad</t>
        </is>
      </c>
      <c r="H143" s="4" t="inlineStr">
        <is>
          <t xml:space="preserve">.</t>
        </is>
      </c>
    </row>
    <row r="144">
      <c r="A144" s="0" t="inlineStr">
        <is>
          <t xml:space="preserve">1782-17-LE26</t>
        </is>
      </c>
      <c r="B144" s="4" t="inlineStr">
        <is>
          <t xml:space="preserve">Consultoría Plataforma Inteligencia Inversión FRPD</t>
        </is>
      </c>
      <c r="C144" s="0">
        <v>1</v>
      </c>
      <c r="D144" s="4" t="inlineStr">
        <is>
          <t xml:space="preserve">Asesorías Informáticas</t>
        </is>
      </c>
      <c r="E144" s="4" t="inlineStr">
        <is>
          <t xml:space="preserve">Servicios profesionales, administrativos y consultorías de gestión empresarial / Consultorías o asesorías en gestión empresarial / Servicios de consultoría en gestión de empresas</t>
        </is>
      </c>
      <c r="F144" s="0">
        <v>1.0</v>
      </c>
      <c r="G144" s="0" t="inlineStr">
        <is>
          <t xml:space="preserve">Unidad</t>
        </is>
      </c>
      <c r="H144" s="4" t="inlineStr">
        <is>
          <t xml:space="preserve">Consultoría para diagnóstico integral y propuesta para plataforma de inteligencia territorial para la inversión productiva del Royalty de la Región Antofagasta - FRPD</t>
        </is>
      </c>
    </row>
    <row r="145">
      <c r="A145" s="0" t="inlineStr">
        <is>
          <t xml:space="preserve">652-61-LP26</t>
        </is>
      </c>
      <c r="B145" s="4" t="inlineStr">
        <is>
          <t xml:space="preserve">ARRIENDO SERVIDOR INFORMATICO PARA PROGRAMA SISSA.</t>
        </is>
      </c>
      <c r="C145" s="0">
        <v>1</v>
      </c>
      <c r="D145" s="4" t="inlineStr">
        <is>
          <t xml:space="preserve">Servidores</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Convenio Arriendo Servidor Informático para el Programa SISSA por un Periodo de 36 meses, Servicio de Salud Arauco para el Servicio de Salud Araucanía Sur, Según Requerimientos Técnicos Adjuntos.</t>
        </is>
      </c>
    </row>
    <row r="146">
      <c r="A146" s="0" t="inlineStr">
        <is>
          <t xml:space="preserve">4127-51-LR26</t>
        </is>
      </c>
      <c r="B146" s="4" t="inlineStr">
        <is>
          <t xml:space="preserve">[DIGEDEP]Cursos M-Learning Plataforma SIAD 26-27</t>
        </is>
      </c>
      <c r="C146" s="0">
        <v>1</v>
      </c>
      <c r="D146" s="4" t="inlineStr">
        <is>
          <t xml:space="preserve">Capacitación a empleados</t>
        </is>
      </c>
      <c r="E146" s="4" t="inlineStr">
        <is>
          <t xml:space="preserve">Educación, formación, entrenamiento y capacitación / Sistemas educativos complementarios / Educación de adultos</t>
        </is>
      </c>
      <c r="F146" s="0">
        <v>1.0</v>
      </c>
      <c r="G146" s="0" t="inlineStr">
        <is>
          <t xml:space="preserve">Unidad</t>
        </is>
      </c>
      <c r="H146" s="4"/>
    </row>
    <row r="147">
      <c r="A147" s="0" t="inlineStr">
        <is>
          <t xml:space="preserve">5403-11-LP26</t>
        </is>
      </c>
      <c r="B147" s="4" t="inlineStr">
        <is>
          <t xml:space="preserve">Diseño e instalación de gobernanza de datos</t>
        </is>
      </c>
      <c r="C147" s="0">
        <v>1</v>
      </c>
      <c r="D147" s="4" t="inlineStr">
        <is>
          <t xml:space="preserve">Asesorías en gestión estratégica</t>
        </is>
      </c>
      <c r="E147" s="4" t="inlineStr">
        <is>
          <t xml:space="preserve">Servicios profesionales, administrativos y consultorías de gestión empresarial / Consultorías o asesorías en gestión empresarial / Servicios de consultoría en gestión de empresas</t>
        </is>
      </c>
      <c r="F147" s="0">
        <v>1.0</v>
      </c>
      <c r="G147" s="0" t="inlineStr">
        <is>
          <t xml:space="preserve">Unidad</t>
        </is>
      </c>
      <c r="H147" s="4" t="inlineStr">
        <is>
          <t xml:space="preserve">Servicio de asesoría estratégica para el diseño e instalación inicial del modelo institucional de gobernanza y gestión de datos de la Comisión Nacional de Acreditación</t>
        </is>
      </c>
    </row>
    <row r="148">
      <c r="A148" s="0" t="inlineStr">
        <is>
          <t xml:space="preserve">1447930-15-LP26</t>
        </is>
      </c>
      <c r="B148" s="4" t="inlineStr">
        <is>
          <t xml:space="preserve">SSP - Plataforma de virtualización On Premise</t>
        </is>
      </c>
      <c r="C148" s="0">
        <v>1</v>
      </c>
      <c r="D148" s="4" t="inlineStr">
        <is>
          <t xml:space="preserve">Software de interconectividad de plataformas</t>
        </is>
      </c>
      <c r="E148" s="4" t="inlineStr">
        <is>
          <t xml:space="preserve">Tecnologías de la información, telecomunicaciones y radiodifusión / Software / Software para trabajo en redes</t>
        </is>
      </c>
      <c r="F148" s="0">
        <v>1.0</v>
      </c>
      <c r="G148" s="0" t="inlineStr">
        <is>
          <t xml:space="preserve">Unidad</t>
        </is>
      </c>
      <c r="H148" s="4" t="inlineStr">
        <is>
          <t xml:space="preserve">ADQUISICIÓN E IMPLEMENTACIÓN DE EQUIPAMIENTO, SOFTWARE, PUESTA EN MARCHA Y PASO APRODUCCIÓN DE UNA PLATAFORMA DE VIRTUALIZACIÓN ON PREMISE PARA LA SUBSECRETARÍA DESEGURIDAD PÚBLICA</t>
        </is>
      </c>
    </row>
    <row r="149">
      <c r="A149" s="0" t="inlineStr">
        <is>
          <t xml:space="preserve">1232565-42-LP26</t>
        </is>
      </c>
      <c r="B149" s="4" t="inlineStr">
        <is>
          <t xml:space="preserve">Mesa Digital de Disección Anatómica Convertible</t>
        </is>
      </c>
      <c r="C149" s="0">
        <v>1</v>
      </c>
      <c r="D149" s="4" t="inlineStr">
        <is>
          <t xml:space="preserve">Equipos para formación y estudios de medicina</t>
        </is>
      </c>
      <c r="E149" s="4" t="inlineStr">
        <is>
          <t xml:space="preserve">Equipamiento y suministros médicos / Suministros para formación y estudios de medicina / Ayudas para la formación médica</t>
        </is>
      </c>
      <c r="F149" s="0">
        <v>1.0</v>
      </c>
      <c r="G149" s="0" t="inlineStr">
        <is>
          <t xml:space="preserve">Unidad</t>
        </is>
      </c>
      <c r="H149" s="4" t="inlineStr">
        <is>
          <t xml:space="preserve">Mesa de Anatomía de Disección Virtual ANATOMAGE o su equivalente técnico.</t>
        </is>
      </c>
    </row>
    <row r="150">
      <c r="A150" s="0" t="inlineStr">
        <is>
          <t xml:space="preserve">976-15-O126</t>
        </is>
      </c>
      <c r="B150" s="4" t="inlineStr">
        <is>
          <t xml:space="preserve">Ampliación Plataformas Comercial y General Ad. El Loa</t>
        </is>
      </c>
      <c r="C150" s="0">
        <v>1</v>
      </c>
      <c r="D150" s="4" t="inlineStr">
        <is>
          <t xml:space="preserve">Licitación Pública de Obra</t>
        </is>
      </c>
      <c r="E150" s="4" t="inlineStr">
        <is>
          <t xml:space="preserve">Consultoria / Consultoria / Planificación y Factibilidad</t>
        </is>
      </c>
      <c r="F150" s="0">
        <v>1.0</v>
      </c>
      <c r="G150" s="0" t="inlineStr">
        <is>
          <t xml:space="preserve">Unidad</t>
        </is>
      </c>
      <c r="H150" s="4" t="inlineStr">
        <is>
          <t xml:space="preserve">Licitación Pública de Obra</t>
        </is>
      </c>
    </row>
    <row r="151">
      <c r="A151" s="0" t="inlineStr">
        <is>
          <t xml:space="preserve">1020-54-LP26</t>
        </is>
      </c>
      <c r="B151" s="4" t="inlineStr">
        <is>
          <t xml:space="preserve">Administración y Mantención de Bases de Datos MOP</t>
        </is>
      </c>
      <c r="C151" s="0">
        <v>1</v>
      </c>
      <c r="D151" s="4" t="inlineStr">
        <is>
          <t xml:space="preserve">Administradores de bases de datos</t>
        </is>
      </c>
      <c r="E151" s="4" t="inlineStr">
        <is>
          <t xml:space="preserve">Servicios profesionales, administrativos y consultorías de gestión empresarial / Servicios de recursos humanos / Contratación de personal</t>
        </is>
      </c>
      <c r="F151" s="0">
        <v>24.0</v>
      </c>
      <c r="G151" s="0" t="inlineStr">
        <is>
          <t xml:space="preserve">Mes</t>
        </is>
      </c>
      <c r="H151" s="4" t="inlineStr">
        <is>
          <t xml:space="preserve">SERVICIO DE ADMINISTRACIÓN  Y  MANTENCION DE BASES DE DATOS  ORACLE, MS SQL SERVER, POSTGRESQL y MySQL (24 meses)</t>
        </is>
      </c>
    </row>
    <row r="152">
      <c r="A152" s="0" t="inlineStr">
        <is>
          <t xml:space="preserve">605-17-LP26</t>
        </is>
      </c>
      <c r="B152" s="4" t="inlineStr">
        <is>
          <t xml:space="preserve">TELEFONÍA FIJA Y RED PRIVADA DE DATOS</t>
        </is>
      </c>
      <c r="C152" s="0">
        <v>1</v>
      </c>
      <c r="D152" s="4" t="inlineStr">
        <is>
          <t xml:space="preserve">Servicio telefónico local</t>
        </is>
      </c>
      <c r="E152" s="4" t="inlineStr">
        <is>
          <t xml:space="preserve">Servicios básicos y de información pública / Telecomunicaciones / Telefonía local y de larga distancia</t>
        </is>
      </c>
      <c r="F152" s="0">
        <v>1.0</v>
      </c>
      <c r="G152" s="0" t="inlineStr">
        <is>
          <t xml:space="preserve">Unidad</t>
        </is>
      </c>
      <c r="H15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53">
      <c r="A153" s="0" t="inlineStr">
        <is>
          <t xml:space="preserve">605-17-LP26</t>
        </is>
      </c>
      <c r="B153" s="4" t="inlineStr">
        <is>
          <t xml:space="preserve">TELEFONÍA FIJA Y RED PRIVADA DE DATOS</t>
        </is>
      </c>
      <c r="C153" s="0">
        <v>2</v>
      </c>
      <c r="D153" s="4" t="inlineStr">
        <is>
          <t xml:space="preserve">Servicio de comunicación IP</t>
        </is>
      </c>
      <c r="E153" s="4" t="inlineStr">
        <is>
          <t xml:space="preserve">Servicios básicos y de información pública / Telecomunicaciones / Telefonía local y de larga distancia</t>
        </is>
      </c>
      <c r="F153" s="0">
        <v>1.0</v>
      </c>
      <c r="G153" s="0" t="inlineStr">
        <is>
          <t xml:space="preserve">Unidad</t>
        </is>
      </c>
      <c r="H15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54">
      <c r="A154" s="0" t="inlineStr">
        <is>
          <t xml:space="preserve">1113265-17-LE26</t>
        </is>
      </c>
      <c r="B154" s="4" t="inlineStr">
        <is>
          <t xml:space="preserve">PLATAFORMA DE GESTIÓN ESTRATÉGICA</t>
        </is>
      </c>
      <c r="C154" s="0">
        <v>1</v>
      </c>
      <c r="D154" s="4" t="inlineStr">
        <is>
          <t xml:space="preserve">Software del sistema de administración de bases de datos</t>
        </is>
      </c>
      <c r="E154" s="4" t="inlineStr">
        <is>
          <t xml:space="preserve">Tecnologías de la información, telecomunicaciones y radiodifusión / Software / Software de consultas y gestión de datos</t>
        </is>
      </c>
      <c r="F154" s="0">
        <v>1.0</v>
      </c>
      <c r="G154" s="0" t="inlineStr">
        <is>
          <t xml:space="preserve">Unidad</t>
        </is>
      </c>
      <c r="H154" s="4" t="inlineStr">
        <is>
          <t xml:space="preserve">PLATAFORMA DE GESTIÓN ESTRATÉGICA DE LA PERMANENCIA ESTUDIANTIL PARA EL CENTRO DE FORMACIÓN TÉCNICA ESTATAL DE LA REGIÓN DE ANTOFAGASTA</t>
        </is>
      </c>
    </row>
    <row r="155">
      <c r="A155" s="0" t="inlineStr">
        <is>
          <t xml:space="preserve">1177296-25-LP26</t>
        </is>
      </c>
      <c r="B15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55" s="0">
        <v>1</v>
      </c>
      <c r="D155" s="4" t="inlineStr">
        <is>
          <t xml:space="preserve">Reloj de control</t>
        </is>
      </c>
      <c r="E155" s="4" t="inlineStr">
        <is>
          <t xml:space="preserve">Equipos, accesorios y suministros de oficina / Maquinarias, suministros y accesorios de oficina / Máquinas y accesorios para registro de hora y asistencia en la oficina</t>
        </is>
      </c>
      <c r="F155" s="0">
        <v>1.0</v>
      </c>
      <c r="G155" s="0" t="inlineStr">
        <is>
          <t xml:space="preserve">Global</t>
        </is>
      </c>
      <c r="H155"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56">
      <c r="A156" s="0" t="inlineStr">
        <is>
          <t xml:space="preserve">2421-52-LR26</t>
        </is>
      </c>
      <c r="B156" s="4" t="inlineStr">
        <is>
          <t xml:space="preserve">SUMINISTRO SERVICIO DE TELECOMUNICACIONES DATOS Y VOZ</t>
        </is>
      </c>
      <c r="C156" s="0">
        <v>1</v>
      </c>
      <c r="D156" s="4" t="inlineStr">
        <is>
          <t xml:space="preserve">Servicio telefónico local</t>
        </is>
      </c>
      <c r="E156" s="4" t="inlineStr">
        <is>
          <t xml:space="preserve">Servicios básicos y de información pública / Telecomunicaciones / Telefonía local y de larga distancia</t>
        </is>
      </c>
      <c r="F156" s="0">
        <v>1.0</v>
      </c>
      <c r="G156" s="0" t="inlineStr">
        <is>
          <t xml:space="preserve">Unidad</t>
        </is>
      </c>
      <c r="H156" s="4" t="inlineStr">
        <is>
          <t xml:space="preserve">Valor total neto mensual (sin impuesto) por los servicios de red de datos, Internet en red de datos, sistema de comunicación de voz y otros, según especificaciones técnicas adjuntas (Anexo Nº8). VER FORMATO ANEXO Nº4.</t>
        </is>
      </c>
    </row>
    <row r="157">
      <c r="A157" s="0" t="inlineStr">
        <is>
          <t xml:space="preserve">2421-52-LR26</t>
        </is>
      </c>
      <c r="B157" s="4" t="inlineStr">
        <is>
          <t xml:space="preserve">SUMINISTRO SERVICIO DE TELECOMUNICACIONES DATOS Y VOZ</t>
        </is>
      </c>
      <c r="C157" s="0">
        <v>2</v>
      </c>
      <c r="D157" s="4" t="inlineStr">
        <is>
          <t xml:space="preserve">Servicio telefónico local</t>
        </is>
      </c>
      <c r="E157" s="4" t="inlineStr">
        <is>
          <t xml:space="preserve">Servicios básicos y de información pública / Telecomunicaciones / Telefonía local y de larga distancia</t>
        </is>
      </c>
      <c r="F157" s="0">
        <v>1.0</v>
      </c>
      <c r="G157" s="0" t="inlineStr">
        <is>
          <t xml:space="preserve">Unidad</t>
        </is>
      </c>
      <c r="H157" s="4" t="inlineStr">
        <is>
          <t xml:space="preserve">Valor Total Neto Cobro Inicial correspondiente a la habilitación y puesta en marcha de los Servicios, cobro aplicado por única vez.</t>
        </is>
      </c>
    </row>
    <row r="158">
      <c r="A158" s="0" t="inlineStr">
        <is>
          <t xml:space="preserve">619-13-LP26</t>
        </is>
      </c>
      <c r="B158" s="4" t="inlineStr">
        <is>
          <t xml:space="preserve">Suscripción de licencias IA generativa Claude.</t>
        </is>
      </c>
      <c r="C158" s="0">
        <v>1</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 no definida</t>
        </is>
      </c>
      <c r="H158" s="4" t="inlineStr">
        <is>
          <t xml:space="preserve">124 licencias de IA generativa Claude o equivalente: 47 Premium y 77 Standard, con vigencia de 12 meses.</t>
        </is>
      </c>
    </row>
    <row r="159">
      <c r="A159" s="0" t="inlineStr">
        <is>
          <t xml:space="preserve">1057390-21-LR26</t>
        </is>
      </c>
      <c r="B159" s="4" t="inlineStr">
        <is>
          <t xml:space="preserve">PLATAFORMA CLOUD COMPUTING Y SERVICIOS ASOCIADOS ESISSAN</t>
        </is>
      </c>
      <c r="C159" s="0">
        <v>1</v>
      </c>
      <c r="D159" s="4" t="inlineStr">
        <is>
          <t xml:space="preserve">Software de interconectividad de plataformas</t>
        </is>
      </c>
      <c r="E159" s="4" t="inlineStr">
        <is>
          <t xml:space="preserve">Tecnologías de la información, telecomunicaciones y radiodifusión / Software / Software para trabajo en redes</t>
        </is>
      </c>
      <c r="F159" s="0">
        <v>1.0</v>
      </c>
      <c r="G159" s="0" t="inlineStr">
        <is>
          <t xml:space="preserve">Unidad</t>
        </is>
      </c>
      <c r="H159" s="4" t="inlineStr">
        <is>
          <t xml:space="preserve">PLATAFORMA CLOUD COMPUTING Y SERVICIOS ASOCIADOS ESISSAN  Total proyecto neto según Anexo 4 Oferta Económica.   (OC se emitiran de acuerdo a la programación)</t>
        </is>
      </c>
    </row>
    <row r="160">
      <c r="A160" s="0" t="inlineStr">
        <is>
          <t xml:space="preserve">1260-17-LP26</t>
        </is>
      </c>
      <c r="B160" s="4" t="inlineStr">
        <is>
          <t xml:space="preserve">NARRATIVAS DIGITALES Y PRODUCCION CONTENIDOS</t>
        </is>
      </c>
      <c r="C160" s="0">
        <v>1</v>
      </c>
      <c r="D160" s="4" t="inlineStr">
        <is>
          <t xml:space="preserve">Agencias de marketing de ventas, incluidas las impresiones</t>
        </is>
      </c>
      <c r="E160" s="4" t="inlineStr">
        <is>
          <t xml:space="preserve">Servicios profesionales, administrativos y consultorías de gestión empresarial / Servicios para la comercialización y distribución / Ventas y marketing</t>
        </is>
      </c>
      <c r="F160" s="0">
        <v>1.0</v>
      </c>
      <c r="G160" s="0" t="inlineStr">
        <is>
          <t xml:space="preserve">Unidad</t>
        </is>
      </c>
      <c r="H160" s="4" t="inlineStr">
        <is>
          <t xml:space="preserve">SERVICIO DE ANÁLISIS DE NARRATIVAS DIGITALES Y PRODUCCIÓN DE CONTENIDOS CREATIVOS. Ver archivos adjuntos RES_EXENTA_N°1419(11-08-2026)_Aprueba Bases.pdf y RESOLUCION_EXENTA_N°1745(06-10-2026)_Modifica REX 1419.pdf</t>
        </is>
      </c>
    </row>
    <row r="161">
      <c r="A161" s="0" t="inlineStr">
        <is>
          <t xml:space="preserve">425-73-LP26</t>
        </is>
      </c>
      <c r="B161" s="4" t="inlineStr">
        <is>
          <t xml:space="preserve">Renovación de licencias de software CISCO</t>
        </is>
      </c>
      <c r="C161" s="0">
        <v>1</v>
      </c>
      <c r="D161" s="4" t="inlineStr">
        <is>
          <t xml:space="preserve">Software de gestión de licencias</t>
        </is>
      </c>
      <c r="E161" s="4" t="inlineStr">
        <is>
          <t xml:space="preserve">Tecnologías de la información, telecomunicaciones y radiodifusión / Software / Software de gestión</t>
        </is>
      </c>
      <c r="F161" s="0">
        <v>5000.0</v>
      </c>
      <c r="G161" s="0" t="inlineStr">
        <is>
          <t xml:space="preserve">Unidad</t>
        </is>
      </c>
      <c r="H161" s="4" t="inlineStr">
        <is>
          <t xml:space="preserve">CISCO ISE Essentials, Valor neto según Formulario Económico N°1 (en caso de discrepancia entre el valor y el Formulario Económico N° 1 primará este último)</t>
        </is>
      </c>
    </row>
    <row r="162">
      <c r="A162" s="0" t="inlineStr">
        <is>
          <t xml:space="preserve">425-73-LP26</t>
        </is>
      </c>
      <c r="B162" s="4" t="inlineStr">
        <is>
          <t xml:space="preserve">Renovación de licencias de software CISCO</t>
        </is>
      </c>
      <c r="C162" s="0">
        <v>2</v>
      </c>
      <c r="D162" s="4" t="inlineStr">
        <is>
          <t xml:space="preserve">Software de gestión de licencias</t>
        </is>
      </c>
      <c r="E162" s="4" t="inlineStr">
        <is>
          <t xml:space="preserve">Tecnologías de la información, telecomunicaciones y radiodifusión / Software / Software de gestión</t>
        </is>
      </c>
      <c r="F162" s="0">
        <v>20000.0</v>
      </c>
      <c r="G162" s="0" t="inlineStr">
        <is>
          <t xml:space="preserve">Unidad</t>
        </is>
      </c>
      <c r="H162" s="4" t="inlineStr">
        <is>
          <t xml:space="preserve">Cisco Secure Network Analytics, Valor neto según Formulario Económico N°1 (en caso de discrepancia entre el valor y el Formulario Económico N° 1 primará este último)</t>
        </is>
      </c>
    </row>
    <row r="163">
      <c r="A163" s="0" t="inlineStr">
        <is>
          <t xml:space="preserve">425-73-LP26</t>
        </is>
      </c>
      <c r="B163" s="4" t="inlineStr">
        <is>
          <t xml:space="preserve">Renovación de licencias de software CISCO</t>
        </is>
      </c>
      <c r="C163" s="0">
        <v>3</v>
      </c>
      <c r="D163" s="4" t="inlineStr">
        <is>
          <t xml:space="preserve">Software de gestión de licencias</t>
        </is>
      </c>
      <c r="E163" s="4" t="inlineStr">
        <is>
          <t xml:space="preserve">Tecnologías de la información, telecomunicaciones y radiodifusión / Software / Software de gestión</t>
        </is>
      </c>
      <c r="F163" s="0">
        <v>11000.0</v>
      </c>
      <c r="G163" s="0" t="inlineStr">
        <is>
          <t xml:space="preserve">Unidad</t>
        </is>
      </c>
      <c r="H163" s="4" t="inlineStr">
        <is>
          <t xml:space="preserve">CISCO ISE Advantage, Valor neto según Formulario Económico N°1 (en caso de discrepancia entre el valor y el Formulario Económico N° 1 primará este último)</t>
        </is>
      </c>
    </row>
    <row r="164">
      <c r="A164" s="0" t="inlineStr">
        <is>
          <t xml:space="preserve">425-73-LP26</t>
        </is>
      </c>
      <c r="B164" s="4" t="inlineStr">
        <is>
          <t xml:space="preserve">Renovación de licencias de software CISCO</t>
        </is>
      </c>
      <c r="C164" s="0">
        <v>4</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Threat Intelligence, Valor neto según Formulario Económico N°1 (en caso de discrepancia entre el valor y el Formulario Económico N° 1 primará este último)</t>
        </is>
      </c>
    </row>
    <row r="165">
      <c r="A165" s="0" t="inlineStr">
        <is>
          <t xml:space="preserve">425-73-LP26</t>
        </is>
      </c>
      <c r="B165" s="4" t="inlineStr">
        <is>
          <t xml:space="preserve">Renovación de licencias de software CISCO</t>
        </is>
      </c>
      <c r="C165" s="0">
        <v>5</v>
      </c>
      <c r="D165" s="4" t="inlineStr">
        <is>
          <t xml:space="preserve">Software de gestión de licencias</t>
        </is>
      </c>
      <c r="E165" s="4" t="inlineStr">
        <is>
          <t xml:space="preserve">Tecnologías de la información, telecomunicaciones y radiodifusión / Software / Software de gestión</t>
        </is>
      </c>
      <c r="F165" s="0">
        <v>3000.0</v>
      </c>
      <c r="G165" s="0" t="inlineStr">
        <is>
          <t xml:space="preserve">Unidad</t>
        </is>
      </c>
      <c r="H165" s="4" t="inlineStr">
        <is>
          <t xml:space="preserve">CISCO ISE Premier, Valor neto según Formulario Económico N°1 (en caso de discrepancia entre el valor y el Formulario Económico N° 1 primará este último)</t>
        </is>
      </c>
    </row>
    <row r="166">
      <c r="A166" s="0" t="inlineStr">
        <is>
          <t xml:space="preserve">425-73-LP26</t>
        </is>
      </c>
      <c r="B166" s="4" t="inlineStr">
        <is>
          <t xml:space="preserve">Renovación de licencias de software CISCO</t>
        </is>
      </c>
      <c r="C166" s="0">
        <v>6</v>
      </c>
      <c r="D166" s="4" t="inlineStr">
        <is>
          <t xml:space="preserve">Software de gestión de licencias</t>
        </is>
      </c>
      <c r="E166" s="4" t="inlineStr">
        <is>
          <t xml:space="preserve">Tecnologías de la información, telecomunicaciones y radiodifusión / Software / Software de gestión</t>
        </is>
      </c>
      <c r="F166" s="0">
        <v>2.0</v>
      </c>
      <c r="G166" s="0" t="inlineStr">
        <is>
          <t xml:space="preserve">Unidad</t>
        </is>
      </c>
      <c r="H166" s="4" t="inlineStr">
        <is>
          <t xml:space="preserve">CISCO ISE VM, Valor neto según Formulario Económico N°1 (en caso de discrepancia entre el valor y el Formulario Económico N° 1 primará este último)</t>
        </is>
      </c>
    </row>
    <row r="167">
      <c r="A167" s="0" t="inlineStr">
        <is>
          <t xml:space="preserve">425-73-LP26</t>
        </is>
      </c>
      <c r="B167" s="4" t="inlineStr">
        <is>
          <t xml:space="preserve">Renovación de licencias de software CISCO</t>
        </is>
      </c>
      <c r="C167" s="0">
        <v>7</v>
      </c>
      <c r="D167" s="4" t="inlineStr">
        <is>
          <t xml:space="preserve">Software de gestión de licencias</t>
        </is>
      </c>
      <c r="E167" s="4" t="inlineStr">
        <is>
          <t xml:space="preserve">Tecnologías de la información, telecomunicaciones y radiodifusión / Software / Software de gestión</t>
        </is>
      </c>
      <c r="F167" s="0">
        <v>2700.0</v>
      </c>
      <c r="G167" s="0" t="inlineStr">
        <is>
          <t xml:space="preserve">Unidad</t>
        </is>
      </c>
      <c r="H167" s="4" t="inlineStr">
        <is>
          <t xml:space="preserve">Umbrella SIG Essentials, Valor neto según Formulario Económico N°1 (en caso de discrepancia entre el valor y el Formulario Económico N° 1 primará este último)</t>
        </is>
      </c>
    </row>
    <row r="168">
      <c r="A168" s="0" t="inlineStr">
        <is>
          <t xml:space="preserve">425-73-LP26</t>
        </is>
      </c>
      <c r="B168" s="4" t="inlineStr">
        <is>
          <t xml:space="preserve">Renovación de licencias de software CISCO</t>
        </is>
      </c>
      <c r="C168" s="0">
        <v>8</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FMC v300, Valor neto según Formulario Económico N°1 (en caso de discrepancia entre el valor y el Formulario Económico N° 1 primará este último)</t>
        </is>
      </c>
    </row>
    <row r="169">
      <c r="A169" s="0" t="inlineStr">
        <is>
          <t xml:space="preserve">425-73-LP26</t>
        </is>
      </c>
      <c r="B169" s="4" t="inlineStr">
        <is>
          <t xml:space="preserve">Renovación de licencias de software CISCO</t>
        </is>
      </c>
      <c r="C169" s="0">
        <v>9</v>
      </c>
      <c r="D169" s="4" t="inlineStr">
        <is>
          <t xml:space="preserve">Software de gestión de licencias</t>
        </is>
      </c>
      <c r="E169" s="4" t="inlineStr">
        <is>
          <t xml:space="preserve">Tecnologías de la información, telecomunicaciones y radiodifusión / Software / Software de gestión</t>
        </is>
      </c>
      <c r="F169" s="0">
        <v>2.0</v>
      </c>
      <c r="G169" s="0" t="inlineStr">
        <is>
          <t xml:space="preserve">Unidad</t>
        </is>
      </c>
      <c r="H169" s="4" t="inlineStr">
        <is>
          <t xml:space="preserve">Firepower 4115, Valor neto según Formulario Económico N°1 (en caso de discrepancia entre el valor y el Formulario Económico N° 1 primará este último)</t>
        </is>
      </c>
    </row>
    <row r="170">
      <c r="A170" s="0" t="inlineStr">
        <is>
          <t xml:space="preserve">425-73-LP26</t>
        </is>
      </c>
      <c r="B170" s="4" t="inlineStr">
        <is>
          <t xml:space="preserve">Renovación de licencias de software CISCO</t>
        </is>
      </c>
      <c r="C170" s="0">
        <v>10</v>
      </c>
      <c r="D170" s="4" t="inlineStr">
        <is>
          <t xml:space="preserve">Software de gestión de licencias</t>
        </is>
      </c>
      <c r="E170" s="4" t="inlineStr">
        <is>
          <t xml:space="preserve">Tecnologías de la información, telecomunicaciones y radiodifusión / Software / Software de gestión</t>
        </is>
      </c>
      <c r="F170" s="0">
        <v>3000.0</v>
      </c>
      <c r="G170" s="0" t="inlineStr">
        <is>
          <t xml:space="preserve">Unidad</t>
        </is>
      </c>
      <c r="H170" s="4" t="inlineStr">
        <is>
          <t xml:space="preserve">Cisco Secure Client Premier, Valor neto según Formulario Económico N°1 (en caso de discrepancia entre el valor y el Formulario Económico N° 1 primará este último)</t>
        </is>
      </c>
    </row>
    <row r="171">
      <c r="A171" s="0" t="inlineStr">
        <is>
          <t xml:space="preserve">4160-22-LP26</t>
        </is>
      </c>
      <c r="B171" s="4" t="inlineStr">
        <is>
          <t xml:space="preserve">SERVICIO DE INTERNET VOZ Y DATOS</t>
        </is>
      </c>
      <c r="C171" s="0">
        <v>1</v>
      </c>
      <c r="D171" s="4" t="inlineStr">
        <is>
          <t xml:space="preserve">Proveedores de servicio de Internet (ISP)</t>
        </is>
      </c>
      <c r="E171" s="4" t="inlineStr">
        <is>
          <t xml:space="preserve">Servicios basados en ingeniería, ciencias sociales y tecnología de la información / Servicios informáticos / Servicios para internet</t>
        </is>
      </c>
      <c r="F171" s="0">
        <v>36.0</v>
      </c>
      <c r="G171" s="0" t="inlineStr">
        <is>
          <t xml:space="preserve">Mes</t>
        </is>
      </c>
      <c r="H171"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72">
      <c r="A172" s="0" t="inlineStr">
        <is>
          <t xml:space="preserve">5240-109-LR26</t>
        </is>
      </c>
      <c r="B172" s="4" t="inlineStr">
        <is>
          <t xml:space="preserve">SOFTWARE USO FORENSE DE EXTRACC. Y ANALIS DE DATOS</t>
        </is>
      </c>
      <c r="C172" s="0">
        <v>1</v>
      </c>
      <c r="D172" s="4" t="inlineStr">
        <is>
          <t xml:space="preserve">Software de extracción de datos</t>
        </is>
      </c>
      <c r="E172" s="4" t="inlineStr">
        <is>
          <t xml:space="preserve">Tecnologías de la información, telecomunicaciones y radiodifusión / Software / Software de consultas y gestión de datos</t>
        </is>
      </c>
      <c r="F172" s="0">
        <v>2.0</v>
      </c>
      <c r="G172" s="0" t="inlineStr">
        <is>
          <t xml:space="preserve">Unidad</t>
        </is>
      </c>
      <c r="H172" s="4" t="inlineStr">
        <is>
          <t xml:space="preserve">LINEA 1: SOFTWARE FORENSE DE EXTRACCIÓN AVANZADO Y ANALISIS DE INFORMACIÓN DIGITAL</t>
        </is>
      </c>
    </row>
    <row r="173">
      <c r="A173" s="0" t="inlineStr">
        <is>
          <t xml:space="preserve">5240-109-LR26</t>
        </is>
      </c>
      <c r="B173" s="4" t="inlineStr">
        <is>
          <t xml:space="preserve">SOFTWARE USO FORENSE DE EXTRACC. Y ANALIS DE DATOS</t>
        </is>
      </c>
      <c r="C173" s="0">
        <v>2</v>
      </c>
      <c r="D173" s="4" t="inlineStr">
        <is>
          <t xml:space="preserve">Software de extracción de datos</t>
        </is>
      </c>
      <c r="E173" s="4" t="inlineStr">
        <is>
          <t xml:space="preserve">Tecnologías de la información, telecomunicaciones y radiodifusión / Software / Software de consultas y gestión de datos</t>
        </is>
      </c>
      <c r="F173" s="0">
        <v>1.0</v>
      </c>
      <c r="G173" s="0" t="inlineStr">
        <is>
          <t xml:space="preserve">Unidad</t>
        </is>
      </c>
      <c r="H173" s="4" t="inlineStr">
        <is>
          <t xml:space="preserve">LINEA 2: SOFTWARE FORENSE PARA RECUPERAR Y REPRODUCIR DISTINTOS FORMATOS DE VIDEO CAPTADOS POR DVR</t>
        </is>
      </c>
    </row>
    <row r="174">
      <c r="A174" s="0" t="inlineStr">
        <is>
          <t xml:space="preserve">5240-109-LR26</t>
        </is>
      </c>
      <c r="B174" s="4" t="inlineStr">
        <is>
          <t xml:space="preserve">SOFTWARE USO FORENSE DE EXTRACC. Y ANALIS DE DATOS</t>
        </is>
      </c>
      <c r="C174" s="0">
        <v>3</v>
      </c>
      <c r="D174" s="4" t="inlineStr">
        <is>
          <t xml:space="preserve">Software de extracción de datos</t>
        </is>
      </c>
      <c r="E174" s="4" t="inlineStr">
        <is>
          <t xml:space="preserve">Tecnologías de la información, telecomunicaciones y radiodifusión / Software / Software de consultas y gestión de datos</t>
        </is>
      </c>
      <c r="F174" s="0">
        <v>3.0</v>
      </c>
      <c r="G174" s="0" t="inlineStr">
        <is>
          <t xml:space="preserve">Unidad</t>
        </is>
      </c>
      <c r="H174" s="4" t="inlineStr">
        <is>
          <t xml:space="preserve">LINEA 3: LICENCIAS FORENSIC TOOL KIT SMS</t>
        </is>
      </c>
    </row>
    <row r="175">
      <c r="A175" s="0" t="inlineStr">
        <is>
          <t xml:space="preserve">5240-109-LR26</t>
        </is>
      </c>
      <c r="B175" s="4" t="inlineStr">
        <is>
          <t xml:space="preserve">SOFTWARE USO FORENSE DE EXTRACC. Y ANALIS DE DATOS</t>
        </is>
      </c>
      <c r="C175" s="0">
        <v>4</v>
      </c>
      <c r="D175" s="4" t="inlineStr">
        <is>
          <t xml:space="preserve">Software de extracción de datos</t>
        </is>
      </c>
      <c r="E175" s="4" t="inlineStr">
        <is>
          <t xml:space="preserve">Tecnologías de la información, telecomunicaciones y radiodifusión / Software / Software de consultas y gestión de datos</t>
        </is>
      </c>
      <c r="F175" s="0">
        <v>1.0</v>
      </c>
      <c r="G175" s="0" t="inlineStr">
        <is>
          <t xml:space="preserve">Unidad</t>
        </is>
      </c>
      <c r="H175" s="4" t="inlineStr">
        <is>
          <t xml:space="preserve">LINEA 4: LICENCIA ENCASE FORENSIC MAINTENANCE</t>
        </is>
      </c>
    </row>
    <row r="176">
      <c r="A176" s="0" t="inlineStr">
        <is>
          <t xml:space="preserve">5240-109-LR26</t>
        </is>
      </c>
      <c r="B176" s="4" t="inlineStr">
        <is>
          <t xml:space="preserve">SOFTWARE USO FORENSE DE EXTRACC. Y ANALIS DE DATOS</t>
        </is>
      </c>
      <c r="C176" s="0">
        <v>5</v>
      </c>
      <c r="D176" s="4" t="inlineStr">
        <is>
          <t xml:space="preserve">Software de extracción de datos</t>
        </is>
      </c>
      <c r="E176" s="4" t="inlineStr">
        <is>
          <t xml:space="preserve">Tecnologías de la información, telecomunicaciones y radiodifusión / Software / Software de consultas y gestión de datos</t>
        </is>
      </c>
      <c r="F176" s="0">
        <v>1.0</v>
      </c>
      <c r="G176" s="0" t="inlineStr">
        <is>
          <t xml:space="preserve">Unidad</t>
        </is>
      </c>
      <c r="H176" s="4" t="inlineStr">
        <is>
          <t xml:space="preserve">LINEA 5: LICENCIAS FORENSIC TOOL KIT SMS (RANCAGUA)</t>
        </is>
      </c>
    </row>
    <row r="177">
      <c r="A177" s="0" t="inlineStr">
        <is>
          <t xml:space="preserve">5240-109-LR26</t>
        </is>
      </c>
      <c r="B177" s="4" t="inlineStr">
        <is>
          <t xml:space="preserve">SOFTWARE USO FORENSE DE EXTRACC. Y ANALIS DE DATOS</t>
        </is>
      </c>
      <c r="C177" s="0">
        <v>6</v>
      </c>
      <c r="D177" s="4" t="inlineStr">
        <is>
          <t xml:space="preserve">Software de extracción de datos</t>
        </is>
      </c>
      <c r="E177" s="4" t="inlineStr">
        <is>
          <t xml:space="preserve">Tecnologías de la información, telecomunicaciones y radiodifusión / Software / Software de consultas y gestión de datos</t>
        </is>
      </c>
      <c r="F177" s="0">
        <v>1.0</v>
      </c>
      <c r="G177" s="0" t="inlineStr">
        <is>
          <t xml:space="preserve">Unidad</t>
        </is>
      </c>
      <c r="H177" s="4" t="inlineStr">
        <is>
          <t xml:space="preserve">LINEA 6: SOFTWARE FORENSE DE EXTRACCIÓN AVANZADO Y ANALISIS DE INFORMACIÓN DIGITAL (RANCAGUA)</t>
        </is>
      </c>
    </row>
    <row r="178">
      <c r="A178" s="0" t="inlineStr">
        <is>
          <t xml:space="preserve">5240-109-LR26</t>
        </is>
      </c>
      <c r="B178" s="4" t="inlineStr">
        <is>
          <t xml:space="preserve">SOFTWARE USO FORENSE DE EXTRACC. Y ANALIS DE DATOS</t>
        </is>
      </c>
      <c r="C178" s="0">
        <v>7</v>
      </c>
      <c r="D178" s="4" t="inlineStr">
        <is>
          <t xml:space="preserve">Software de extracción de datos</t>
        </is>
      </c>
      <c r="E178" s="4" t="inlineStr">
        <is>
          <t xml:space="preserve">Tecnologías de la información, telecomunicaciones y radiodifusión / Software / Software de consultas y gestión de datos</t>
        </is>
      </c>
      <c r="F178" s="0">
        <v>1.0</v>
      </c>
      <c r="G178" s="0" t="inlineStr">
        <is>
          <t xml:space="preserve">Unidad</t>
        </is>
      </c>
      <c r="H178" s="4" t="inlineStr">
        <is>
          <t xml:space="preserve">LINEA 7: SOFTWARE FORENSE DE EXTRACCIÓN AVANZADO Y ANALISIS DE INFORMACIÓN DIGITAL (TALCA)</t>
        </is>
      </c>
    </row>
    <row r="179">
      <c r="A179" s="0" t="inlineStr">
        <is>
          <t xml:space="preserve">5240-109-LR26</t>
        </is>
      </c>
      <c r="B179" s="4" t="inlineStr">
        <is>
          <t xml:space="preserve">SOFTWARE USO FORENSE DE EXTRACC. Y ANALIS DE DATOS</t>
        </is>
      </c>
      <c r="C179" s="0">
        <v>8</v>
      </c>
      <c r="D179" s="4" t="inlineStr">
        <is>
          <t xml:space="preserve">Software de extracción de datos</t>
        </is>
      </c>
      <c r="E179" s="4" t="inlineStr">
        <is>
          <t xml:space="preserve">Tecnologías de la información, telecomunicaciones y radiodifusión / Software / Software de consultas y gestión de datos</t>
        </is>
      </c>
      <c r="F179" s="0">
        <v>1.0</v>
      </c>
      <c r="G179" s="0" t="inlineStr">
        <is>
          <t xml:space="preserve">Unidad</t>
        </is>
      </c>
      <c r="H179" s="4" t="inlineStr">
        <is>
          <t xml:space="preserve">LINEA 8: SOFTWARE FORENSE DE EXTRACCIÓN AVANZADO Y ANALISIS DE INFORMACIÓN DIGITAL (VALDIVIA)</t>
        </is>
      </c>
    </row>
    <row r="180">
      <c r="A180" s="0" t="inlineStr">
        <is>
          <t xml:space="preserve">5240-109-LR26</t>
        </is>
      </c>
      <c r="B180" s="4" t="inlineStr">
        <is>
          <t xml:space="preserve">SOFTWARE USO FORENSE DE EXTRACC. Y ANALIS DE DATOS</t>
        </is>
      </c>
      <c r="C180" s="0">
        <v>9</v>
      </c>
      <c r="D180" s="4" t="inlineStr">
        <is>
          <t xml:space="preserve">Software de extracción de datos</t>
        </is>
      </c>
      <c r="E180" s="4" t="inlineStr">
        <is>
          <t xml:space="preserve">Tecnologías de la información, telecomunicaciones y radiodifusión / Software / Software de consultas y gestión de datos</t>
        </is>
      </c>
      <c r="F180" s="0">
        <v>1.0</v>
      </c>
      <c r="G180" s="0" t="inlineStr">
        <is>
          <t xml:space="preserve">Unidad</t>
        </is>
      </c>
      <c r="H180" s="4" t="inlineStr">
        <is>
          <t xml:space="preserve">LINEA 9: SOFTWARE FORENSE DE EXTRACCIÓN AVANZADO Y ANALISIS DE INFORMACIÓN DIGITAL (PUERTO MONTT)</t>
        </is>
      </c>
    </row>
    <row r="181">
      <c r="A181" s="0" t="inlineStr">
        <is>
          <t xml:space="preserve">2345-137-LR26</t>
        </is>
      </c>
      <c r="B181" s="4" t="inlineStr">
        <is>
          <t xml:space="preserve">SERVICIO DE APLICACIÓN MÓVIL DE SEGURIDAD 1402 PARA LA COMUNA DE LAS CONDES</t>
        </is>
      </c>
      <c r="C181" s="0">
        <v>1</v>
      </c>
      <c r="D181" s="4" t="inlineStr">
        <is>
          <t xml:space="preserve">Web Hosting</t>
        </is>
      </c>
      <c r="E181" s="4" t="inlineStr">
        <is>
          <t xml:space="preserve">Servicios basados en ingeniería, ciencias sociales y tecnología de la información / Servicios informáticos / Servicios para internet</t>
        </is>
      </c>
      <c r="F181" s="0">
        <v>1.0</v>
      </c>
      <c r="G181" s="0" t="inlineStr">
        <is>
          <t xml:space="preserve">Global</t>
        </is>
      </c>
      <c r="H181" s="4" t="inlineStr">
        <is>
          <t xml:space="preserve">De acuerdo a lo indicado en las Bases Técnicas y Anexo N° 3-A y N°3-B</t>
        </is>
      </c>
    </row>
    <row r="182">
      <c r="A182" s="0" t="inlineStr">
        <is>
          <t xml:space="preserve">1882-3-LP26</t>
        </is>
      </c>
      <c r="B182" s="4" t="inlineStr">
        <is>
          <t xml:space="preserve">DPP LA ARAUCANIA SERVICIO DEFENSA RPA LLAMADO 2026</t>
        </is>
      </c>
      <c r="C182" s="0">
        <v>1</v>
      </c>
      <c r="D182" s="4" t="inlineStr">
        <is>
          <t xml:space="preserve">Servicio de defensa penal pública</t>
        </is>
      </c>
      <c r="E182" s="4" t="inlineStr">
        <is>
          <t xml:space="preserve">Servicios profesionales, administrativos y consultorías de gestión empresarial / Servicios legales / Derecho penal</t>
        </is>
      </c>
      <c r="F182" s="0">
        <v>1.0</v>
      </c>
      <c r="G182" s="0" t="inlineStr">
        <is>
          <t xml:space="preserve">Unidad</t>
        </is>
      </c>
      <c r="H182" s="4" t="inlineStr">
        <is>
          <t xml:space="preserve">Contratación con abogad@s, personas jurídicas o abogad@s particulares para la prestación de todo o parte del servicio de Defensa Penal EN LA ZONA 1 RPA ANGOL, SEGUN ANEXO N°1 ADJUNTO.</t>
        </is>
      </c>
    </row>
    <row r="183">
      <c r="A183" s="0" t="inlineStr">
        <is>
          <t xml:space="preserve">1887-4-LP26</t>
        </is>
      </c>
      <c r="B183" s="4" t="inlineStr">
        <is>
          <t xml:space="preserve">SERVICIO DE DEFENSA PENAL EN ZONA 1 RPA</t>
        </is>
      </c>
      <c r="C183" s="0">
        <v>1</v>
      </c>
      <c r="D183" s="4" t="inlineStr">
        <is>
          <t xml:space="preserve">Servicio de defensa penal pública</t>
        </is>
      </c>
      <c r="E183" s="4" t="inlineStr">
        <is>
          <t xml:space="preserve">Servicios profesionales, administrativos y consultorías de gestión empresarial / Servicios legales / Derecho penal</t>
        </is>
      </c>
      <c r="F183" s="0">
        <v>36.0</v>
      </c>
      <c r="G183" s="0" t="inlineStr">
        <is>
          <t xml:space="preserve">Mes</t>
        </is>
      </c>
      <c r="H183" s="4" t="inlineStr">
        <is>
          <t xml:space="preserve">SERVICIO DEFENSA PENAL ZONA 1 RPA(PREFERENTE)</t>
        </is>
      </c>
    </row>
    <row r="184">
      <c r="A184" s="0" t="inlineStr">
        <is>
          <t xml:space="preserve">1057898-85-LR26</t>
        </is>
      </c>
      <c r="B184" s="4" t="inlineStr">
        <is>
          <t xml:space="preserve">ADQUISICIÓN DE SOFTWARES HIS-ESB-BI Y ERP PARA EL NUEVO HOSPITAL REGIONAL DE ÑUBLE</t>
        </is>
      </c>
      <c r="C184" s="0">
        <v>1</v>
      </c>
      <c r="D184" s="4" t="inlineStr">
        <is>
          <t xml:space="preserve">Software de administración</t>
        </is>
      </c>
      <c r="E184" s="4" t="inlineStr">
        <is>
          <t xml:space="preserve">Tecnologías de la información, telecomunicaciones y radiodifusión / Software / Software de administración de redes</t>
        </is>
      </c>
      <c r="F184" s="0">
        <v>1.0</v>
      </c>
      <c r="G184" s="0" t="inlineStr">
        <is>
          <t xml:space="preserve">Global</t>
        </is>
      </c>
      <c r="H184" s="4" t="inlineStr">
        <is>
          <t xml:space="preserve">FAMILIA N°1: SISTEMAS 1 PAQUETIZADO SOFTWARE PRINCIPAL(SOFTWARE COMO SERVICIO)</t>
        </is>
      </c>
    </row>
    <row r="185">
      <c r="A185" s="0" t="inlineStr">
        <is>
          <t xml:space="preserve">1057898-85-LR26</t>
        </is>
      </c>
      <c r="B185" s="4" t="inlineStr">
        <is>
          <t xml:space="preserve">ADQUISICIÓN DE SOFTWARES HIS-ESB-BI Y ERP PARA EL NUEVO HOSPITAL REGIONAL DE ÑUBLE</t>
        </is>
      </c>
      <c r="C185" s="0">
        <v>2</v>
      </c>
      <c r="D185" s="4" t="inlineStr">
        <is>
          <t xml:space="preserve">Software de administración</t>
        </is>
      </c>
      <c r="E185" s="4" t="inlineStr">
        <is>
          <t xml:space="preserve">Tecnologías de la información, telecomunicaciones y radiodifusión / Software / Software de administración de redes</t>
        </is>
      </c>
      <c r="F185" s="0">
        <v>1.0</v>
      </c>
      <c r="G185" s="0" t="inlineStr">
        <is>
          <t xml:space="preserve">Global</t>
        </is>
      </c>
      <c r="H185" s="4" t="inlineStr">
        <is>
          <t xml:space="preserve">FAMILIA N°2: SISTEMAS 2 SISTEMA ERP (SOFTWARE COMO SERVICIO)</t>
        </is>
      </c>
    </row>
    <row r="186">
      <c r="A186" s="0" t="inlineStr">
        <is>
          <t xml:space="preserve">1969-34-LS19</t>
        </is>
      </c>
      <c r="B186" s="4" t="inlineStr">
        <is>
          <t xml:space="preserve">AUTOMATIZACIÓN PORTÓN ACCESO A LINEA DE FUEGO</t>
        </is>
      </c>
      <c r="C186" s="0">
        <v>1</v>
      </c>
      <c r="D186" s="4" t="inlineStr">
        <is>
          <t xml:space="preserve">Puertas de metal</t>
        </is>
      </c>
      <c r="E186" s="4" t="inlineStr">
        <is>
          <t xml:space="preserve">Artículos para estructuras, obras y construcciones / Puertas, ventanas y vidrios / Puertas</t>
        </is>
      </c>
      <c r="F186" s="0">
        <v>1.0</v>
      </c>
      <c r="G186" s="0" t="inlineStr">
        <is>
          <t xml:space="preserve">Unidad</t>
        </is>
      </c>
      <c r="H186" s="4" t="inlineStr">
        <is>
          <t xml:space="preserve">AUTOMATIZACIÓN DE PORTÓN ACCESO A LINEA DE FUEGO C.P. CONCEPCIÓN</t>
        </is>
      </c>
    </row>
  </sheetData>
  <autoFilter ref="A1:H186"/>
</worksheet>
</file>