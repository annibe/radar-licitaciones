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sheetData>
  <autoFilter ref="A1:W1"/>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728-13-LE26</t>
        </is>
      </c>
      <c r="B2" s="4" t="inlineStr">
        <is>
          <t xml:space="preserve">Servicio de automatización de Banco de Calibracion</t>
        </is>
      </c>
      <c r="C2" s="0" t="inlineStr">
        <is>
          <t xml:space="preserve">Publicada</t>
        </is>
      </c>
      <c r="D2" s="0" t="inlineStr">
        <is>
          <t xml:space="preserve">INSTITUTO NACIONAL DE HIDRAULICA</t>
        </is>
      </c>
      <c r="E2" s="0" t="inlineStr">
        <is>
          <t xml:space="preserve">Instituto Nacional de Hidráulicas - INH</t>
        </is>
      </c>
      <c r="F2" s="0" t="inlineStr">
        <is>
          <t xml:space="preserve">Región Metropolitana de Santiago</t>
        </is>
      </c>
      <c r="G2" s="0" t="inlineStr">
        <is>
          <t xml:space="preserve">Peñaflor</t>
        </is>
      </c>
      <c r="H2" s="2">
        <v>46294.706412</v>
      </c>
      <c r="I2" s="2">
        <v>46309.583333</v>
      </c>
      <c r="J2" s="0">
        <v>3</v>
      </c>
      <c r="K2" s="3"/>
      <c r="L2" s="0" t="inlineStr">
        <is>
          <t xml:space="preserve">CLP</t>
        </is>
      </c>
      <c r="M2" s="0" t="inlineStr">
        <is>
          <t xml:space="preserve">LE</t>
        </is>
      </c>
      <c r="N2" s="4" t="inlineStr">
        <is>
          <t xml:space="preserve">Maquinaria para fabricación y transformación industrial / Maquinaria y suministros de procesos industriales / Dispositivos de guía, posicionamiento y sujeción</t>
        </is>
      </c>
      <c r="O2" s="4" t="inlineStr">
        <is>
          <t xml:space="preserve">1 Unidad · Artículo de calibración</t>
        </is>
      </c>
      <c r="P2" s="2"/>
      <c r="Q2" s="2"/>
      <c r="R2" s="0"/>
      <c r="S2" s="0" t="inlineStr">
        <is>
          <t xml:space="preserve">No</t>
        </is>
      </c>
      <c r="T2" s="4"/>
      <c r="U2" s="0" t="inlineStr">
        <is>
          <t xml:space="preserve">Jimena Castillo</t>
        </is>
      </c>
      <c r="V2" s="4" t="inlineStr">
        <is>
          <t xml:space="preserve">Se requiere la automatizacion de banco de calibraciones.</t>
        </is>
      </c>
      <c r="W2" s="5" t="str">
        <f>HYPERLINK("https://www.mercadopublico.cl/Procurement/Modules/Attachment/ViewAttachment.aspx?enc=GW1W1QvYTLAghRabukZrwMTI85%2bh5npgna4YcZinZJDBR5W6qaylBsfF%2bZ6Z%2fvG%2bRTr5dHDrl0C%2b2cH9%2fUsAxixd%2fY0Px5kTWcYbwMHIuyA7KziuUCwtpeIcHsCMRhIINWy9pEvvt1ZChV3plJziSuJVFLGF3CN0P8mHqK5W9N9jwie0k%2bAmJrb5NRXzM04mikELi5K%2fyQXi8vWhD4aUGoKmJY2Tr8h93XoJgapUOstNjDXJwVrCXyh45iv84fZ5W6DhxLk0NaMtp7cP9HJT7oDA5HGnatJtL5eLhV94ctlx2RZSWyJf8bET0kFt9DJQ","descargar bases")</f>
      </c>
    </row>
    <row r="3">
      <c r="A3" s="0" t="inlineStr">
        <is>
          <t xml:space="preserve">1469-251-L126</t>
        </is>
      </c>
      <c r="B3" s="4" t="inlineStr">
        <is>
          <t xml:space="preserve">“Servicio suministro de puntos de datos para la Universidad de Talca, Dirección de Tecnologías de información, nueva Oficina Servicios TI”</t>
        </is>
      </c>
      <c r="C3" s="0" t="inlineStr">
        <is>
          <t xml:space="preserve">Publicada</t>
        </is>
      </c>
      <c r="D3" s="0" t="inlineStr">
        <is>
          <t xml:space="preserve">UNIVERSIDAD DE TALCA</t>
        </is>
      </c>
      <c r="E3" s="0" t="inlineStr">
        <is>
          <t xml:space="preserve">Universidad de Talca</t>
        </is>
      </c>
      <c r="F3" s="0" t="inlineStr">
        <is>
          <t xml:space="preserve">Región del Maule </t>
        </is>
      </c>
      <c r="G3" s="0" t="inlineStr">
        <is>
          <t xml:space="preserve">Talca</t>
        </is>
      </c>
      <c r="H3" s="2">
        <v>46297.774097</v>
      </c>
      <c r="I3" s="2">
        <v>46309.625</v>
      </c>
      <c r="J3" s="0">
        <v>3</v>
      </c>
      <c r="K3" s="3">
        <v>3730650.0</v>
      </c>
      <c r="L3" s="0" t="inlineStr">
        <is>
          <t xml:space="preserve">CLP</t>
        </is>
      </c>
      <c r="M3" s="0" t="inlineStr">
        <is>
          <t xml:space="preserve">L1</t>
        </is>
      </c>
      <c r="N3" s="4" t="inlineStr">
        <is>
          <t xml:space="preserve">Servicios básicos y de información pública / Bibliotecas y otros centros de información pública / Comunicación social y de masas</t>
        </is>
      </c>
      <c r="O3" s="4" t="inlineStr">
        <is>
          <t xml:space="preserve">1 Unidad · Servicios relacionados con Internet</t>
        </is>
      </c>
      <c r="P3" s="2"/>
      <c r="Q3" s="2"/>
      <c r="R3" s="0"/>
      <c r="S3" s="0" t="inlineStr">
        <is>
          <t xml:space="preserve">No</t>
        </is>
      </c>
      <c r="T3" s="4"/>
      <c r="U3" s="0"/>
      <c r="V3" s="4" t="inlineStr">
        <is>
          <t xml:space="preserve">Contratar la provisión e instalación integral de infraestructura de red para la habilitación del servicio de datos en la nueva oficina del Departamento de Servicios y Procesos TI.</t>
        </is>
      </c>
      <c r="W3" s="5" t="str">
        <f>HYPERLINK("https://www.mercadopublico.cl/Procurement/Modules/Attachment/ViewAttachment.aspx?enc=rGza6pMJZRnoAYOLM0n%2f9YTdswkO9d4faWeMz1BqVwC%2fT0hPk01GwSVF8yf3k0nup8wwnOlbfH65TUVgPgE2Jj6bELGeIMRFNP3b9QRwsA5f224mOA4%2f6ylj3C63YQpdqjcac3pW9LNY%2fGWhVz8LgzTG3bQWvKjWaB3hlXO3pvmOYQ%2fwC3rjscDYethVE3ny6pjk8pKoJ6r2vgPLby0fgLBSLJPhJ84h%2bsi8j6OScG%2ffYpSNx5HXALpMqq3VhFc9HsyhTFGYhsWRdwbVsj9GRrmcAgXyDM1SMX%2b8Sx8ak0odTiRlvGdxE46IjSyvTdFB","descargar bases")</f>
      </c>
    </row>
    <row r="4">
      <c r="A4" s="0" t="inlineStr">
        <is>
          <t xml:space="preserve">2107-153-LP26</t>
        </is>
      </c>
      <c r="B4" s="4" t="inlineStr">
        <is>
          <t xml:space="preserve">ARRIENDO DE INFRAESTRUCTURA FÍSICA ENTERPRISE PARA PLATAFORMA TECNOLÓGICA INSTITUCIONAL</t>
        </is>
      </c>
      <c r="C4" s="0" t="inlineStr">
        <is>
          <t xml:space="preserve">Publicada</t>
        </is>
      </c>
      <c r="D4" s="0" t="inlineStr">
        <is>
          <t xml:space="preserve">SERVICIO DE SALUD HOSPITAL DE SANTA CRUZ</t>
        </is>
      </c>
      <c r="E4" s="0" t="inlineStr">
        <is>
          <t xml:space="preserve">Hospital de Santa Cruz</t>
        </is>
      </c>
      <c r="F4" s="0" t="inlineStr">
        <is>
          <t xml:space="preserve">Región del Libertador General Bernardo O´Higgins</t>
        </is>
      </c>
      <c r="G4" s="0"/>
      <c r="H4" s="2">
        <v>46287.719167</v>
      </c>
      <c r="I4" s="2">
        <v>46309.645139</v>
      </c>
      <c r="J4" s="0">
        <v>3</v>
      </c>
      <c r="K4" s="3"/>
      <c r="L4" s="0" t="inlineStr">
        <is>
          <t xml:space="preserve">CLP</t>
        </is>
      </c>
      <c r="M4" s="0" t="inlineStr">
        <is>
          <t xml:space="preserve">LP</t>
        </is>
      </c>
      <c r="N4" s="4" t="inlineStr">
        <is>
          <t xml:space="preserve">Tecnologías de la información, telecomunicaciones y radiodifusión / Componentes para tecnología de la información, difusión o telecomunicaciones / Subconjuntos para dispositivos electrónicos</t>
        </is>
      </c>
      <c r="O4" s="4" t="inlineStr">
        <is>
          <t xml:space="preserve">1 Unidad · Componentes de dispositivo de entrada o unidad de almacenamiento</t>
        </is>
      </c>
      <c r="P4" s="2"/>
      <c r="Q4" s="2"/>
      <c r="R4" s="0" t="inlineStr">
        <is>
          <t xml:space="preserve">36 meses</t>
        </is>
      </c>
      <c r="S4" s="0" t="inlineStr">
        <is>
          <t xml:space="preserve">No</t>
        </is>
      </c>
      <c r="T4" s="4"/>
      <c r="U4" s="0" t="inlineStr">
        <is>
          <t xml:space="preserve">Nicolas Salgado</t>
        </is>
      </c>
      <c r="V4" s="4" t="inlineStr">
        <is>
          <t xml:space="preserve">la contratación permitirá mantener la continuidad operacional de los servicios institucionales, disminuyendo riesgos tecnológicos y asegurando la disponibilidad permanente de la información clínica y administrativa</t>
        </is>
      </c>
      <c r="W4" s="5" t="str">
        <f>HYPERLINK("https://www.mercadopublico.cl/Procurement/Modules/Attachment/ViewAttachment.aspx?enc=iFLOpJWftbgEaOo1S4cSiUY8Jo9ytKrHz6g5N%2fkrsved8usTyxle6nzQXtuPZjmK2qBuoLUn9c2NFFoN3LqHuE1UNkl%2biCIvkGieQrUiaEjeHAB0Dv2idW58CJlxvOsrJXOkcJEKRBHljPolfZwt%2bAYXvpI%2fX%2fHx92c22ljJD3lNGDWiX1HHKEieElGyNxgtHJNEyTuSsPrsy%2follf%2fwMv7w1xkpIQU945DCuiBQj4avqXNQMG9SoaLDzoMFfynvwUWPxH%2fQenZrOmSO8XUPs9prKOujVQrqEED6PRsaw7YU0tWvjqHRhXrfYN6KleNx","descargar bases")</f>
      </c>
    </row>
    <row r="5">
      <c r="A5" s="0" t="inlineStr">
        <is>
          <t xml:space="preserve">3928-62-LE26</t>
        </is>
      </c>
      <c r="B5" s="4" t="inlineStr">
        <is>
          <t xml:space="preserve">ADQUISICION DE SOFTWARE Y EQUIPAMIENTO TECNOLOGICO PARA ESCUELA DE CAHUIL</t>
        </is>
      </c>
      <c r="C5" s="0" t="inlineStr">
        <is>
          <t xml:space="preserve">Publicada</t>
        </is>
      </c>
      <c r="D5" s="0" t="inlineStr">
        <is>
          <t xml:space="preserve">ILUSTRE MUNICIPALIDAD DE PICHILEMU</t>
        </is>
      </c>
      <c r="E5" s="0" t="inlineStr">
        <is>
          <t xml:space="preserve">Educación Municipal</t>
        </is>
      </c>
      <c r="F5" s="0" t="inlineStr">
        <is>
          <t xml:space="preserve">Región del Libertador General Bernardo O´Higgins</t>
        </is>
      </c>
      <c r="G5" s="0" t="inlineStr">
        <is>
          <t xml:space="preserve">Pichilemu</t>
        </is>
      </c>
      <c r="H5" s="2">
        <v>46290.638773</v>
      </c>
      <c r="I5" s="2">
        <v>46309.666667</v>
      </c>
      <c r="J5" s="0">
        <v>3</v>
      </c>
      <c r="K5" s="3">
        <v>9100000.0</v>
      </c>
      <c r="L5" s="0" t="inlineStr">
        <is>
          <t xml:space="preserve">CLP</t>
        </is>
      </c>
      <c r="M5" s="0" t="inlineStr">
        <is>
          <t xml:space="preserve">LE</t>
        </is>
      </c>
      <c r="N5" s="4" t="inlineStr">
        <is>
          <t xml:space="preserve">Maquinaria para fabricación y transformación industrial / Maquinaria y suministros de procesos industriales / Maquinaria para la industria farmacéutica, Tecnologías de la información, telecomunicaciones y radiodifusión / Software / Software de ocio o juegos de computador</t>
        </is>
      </c>
      <c r="O5" s="4" t="inlineStr">
        <is>
          <t xml:space="preserve">1 Global · Contadores de tabletas · 1 Global · Software doméstico</t>
        </is>
      </c>
      <c r="P5" s="2"/>
      <c r="Q5" s="2"/>
      <c r="R5" s="0"/>
      <c r="S5" s="0" t="inlineStr">
        <is>
          <t xml:space="preserve">No</t>
        </is>
      </c>
      <c r="T5" s="4"/>
      <c r="U5" s="0" t="inlineStr">
        <is>
          <t xml:space="preserve">MERYS TAPIA LATORRES</t>
        </is>
      </c>
      <c r="V5" s="4" t="inlineStr">
        <is>
          <t xml:space="preserve">ADQUISICION DE SOFTWARE Y EQUIPAMIENTO TECNOLOGICO PARA ESCUELA DE CAHUIL
DECRETO N° 2628 DEL 15.09.2026
FONDOS LEY SEP ESCUELA DECAHUIL</t>
        </is>
      </c>
      <c r="W5" s="5" t="str">
        <f>HYPERLINK("https://www.mercadopublico.cl/Procurement/Modules/Attachment/ViewAttachment.aspx?enc=Hn7eFFwp1MZjGeNucfGiDHbegp6buwcJ5mPHMbRrjo8yHXgLI3JJq1v7ukVh9zKkJaif8Lji1%2f207e4f5kRBWUx70WHb%2b1CPSMXOuxhlKqr4609xrFtXs%2fi%2fN2P2Bho2bcD5hryPELTra1ZAJ9woMBhXOA6%2fAlL4I2Yod2yasMM%2fiB0Vx8dvl%2fYCGnSkjpnT6r2CY1DDPb1tXiATjPTjer5lb4SFaoEOS9t6BQlXbADwHB03LGdxOD3IlZXlbGXIrZsIO168dHg9n7NT9KNRHF%2f39DNxcmZVudG36R9PLqfH%2bDIoQ%2fyJFNR3xplYyYam","descargar bases")</f>
      </c>
    </row>
    <row r="6">
      <c r="A6" s="0" t="inlineStr">
        <is>
          <t xml:space="preserve">591-34-LE26</t>
        </is>
      </c>
      <c r="B6" s="4" t="inlineStr">
        <is>
          <t xml:space="preserve">CURSO IA EN INGENIERÍA DE SOFTWARE Y ANALÍTICA  A</t>
        </is>
      </c>
      <c r="C6" s="0" t="inlineStr">
        <is>
          <t xml:space="preserve">Publicada</t>
        </is>
      </c>
      <c r="D6" s="0" t="inlineStr">
        <is>
          <t xml:space="preserve">FONDO NACIONAL DE SALUD</t>
        </is>
      </c>
      <c r="E6" s="0" t="inlineStr">
        <is>
          <t xml:space="preserve">FONASA, Nivel Central</t>
        </is>
      </c>
      <c r="F6" s="0" t="inlineStr">
        <is>
          <t xml:space="preserve">Región Metropolitana de Santiago</t>
        </is>
      </c>
      <c r="G6" s="0"/>
      <c r="H6" s="2">
        <v>46300.676539</v>
      </c>
      <c r="I6" s="2">
        <v>46310.41875</v>
      </c>
      <c r="J6" s="0">
        <v>4</v>
      </c>
      <c r="K6" s="3">
        <v>3000000.0</v>
      </c>
      <c r="L6" s="0" t="inlineStr">
        <is>
          <t xml:space="preserve">CLP</t>
        </is>
      </c>
      <c r="M6" s="0" t="inlineStr">
        <is>
          <t xml:space="preserve">LE</t>
        </is>
      </c>
      <c r="N6" s="4" t="inlineStr">
        <is>
          <t xml:space="preserve">Educación, formación, entrenamiento y capacitación / Sistemas educativos complementarios / Aprendizaje a distancia</t>
        </is>
      </c>
      <c r="O6" s="4" t="inlineStr">
        <is>
          <t xml:space="preserve">1 Unidad · Programas o cursos no diplomados a distancia</t>
        </is>
      </c>
      <c r="P6" s="2"/>
      <c r="Q6" s="2"/>
      <c r="R6" s="0"/>
      <c r="S6" s="0" t="inlineStr">
        <is>
          <t xml:space="preserve">No</t>
        </is>
      </c>
      <c r="T6" s="4" t="inlineStr">
        <is>
          <t xml:space="preserve">Las señaladas en la Resolución.</t>
        </is>
      </c>
      <c r="U6" s="0" t="inlineStr">
        <is>
          <t xml:space="preserve">ISMENIA TUDELA ROJO</t>
        </is>
      </c>
      <c r="V6" s="4" t="inlineStr">
        <is>
          <t xml:space="preserve">FONASA busca fortalecer las competencias técnicas de sus funcionarios y funcionarias para mejorar su desempeño laboral y contribuir al óptimo funcionamiento institucional. En este contexto, se requiere la contratación del curso IA EN INGENIERÍA DE SOFTWARE Y ANALÍTICA AVANZADA contemplado en el Plan Anual de Capacitación 2026, con el fin de fortalecer el conocimientos  y herramientas prácticas en inteligencia artificial, analítica avanzada, generación de indicadores, protección de datos y ciberseguridad, aplicadas a entornos AWS, GCP, OCI y plataformas on-premise.</t>
        </is>
      </c>
      <c r="W6" s="5" t="str">
        <f>HYPERLINK("https://www.mercadopublico.cl/Procurement/Modules/Attachment/ViewAttachment.aspx?enc=U6HDzuw96cEDmgM6R3vNv1QeMPX3PcIKzDt7Tk6ShMb8CrLE55xtF8AliWIkegm8KVUiOoyWpLryUzUPnL8YcqqygS2k1klpmi%2b8jxJu0DiU95jEbDZoQNjbO1iCJCd9ls9ZpoFHgyysmMG%2fkj1jziXHIYJOny7x7zcAbctQDkwVrBI7%2bwEue72WgdDfkb2vPxQI3kMFuNyO7G5Z3fLxCfVDek4ZybVfjHBY%2fhw0iNGPAreGvnvQcq2LtYtc2ECaT1%2fneRQMNT3FOj2nDUT0k2NnhhthK27ky%2b68vtkSBjRs8TR%2fQH13P5pk8x7pIxGr","descargar bases")</f>
      </c>
    </row>
    <row r="7">
      <c r="A7" s="0" t="inlineStr">
        <is>
          <t xml:space="preserve">2078-47-LE26</t>
        </is>
      </c>
      <c r="B7" s="4" t="inlineStr">
        <is>
          <t xml:space="preserve">“SERVICIO DE DIFUSIÓN MULTIMEDIAL REGIONAL EN MEDIOS DE COMUNICACIÓN Y PLATAFORMAS DIGITALES” LA SEREMI DE SALUD REGIÓN DEL BIOBÍO  S.C. N° 464 465 466 467 472 474 475 476 477 478</t>
        </is>
      </c>
      <c r="C7" s="0" t="inlineStr">
        <is>
          <t xml:space="preserve">Publicada</t>
        </is>
      </c>
      <c r="D7" s="0" t="inlineStr">
        <is>
          <t xml:space="preserve">SUBSECRETARIA DE SALUD PUBLICA</t>
        </is>
      </c>
      <c r="E7" s="0" t="inlineStr">
        <is>
          <t xml:space="preserve">Seremi de Salud VIII región</t>
        </is>
      </c>
      <c r="F7" s="0" t="inlineStr">
        <is>
          <t xml:space="preserve">Región del Biobío </t>
        </is>
      </c>
      <c r="G7" s="0" t="inlineStr">
        <is>
          <t xml:space="preserve">Lebu</t>
        </is>
      </c>
      <c r="H7" s="2">
        <v>46300.507986</v>
      </c>
      <c r="I7" s="2">
        <v>46310.420139</v>
      </c>
      <c r="J7" s="0">
        <v>4</v>
      </c>
      <c r="K7" s="3">
        <v>10600000.0</v>
      </c>
      <c r="L7" s="0" t="inlineStr">
        <is>
          <t xml:space="preserve">CLP</t>
        </is>
      </c>
      <c r="M7" s="0" t="inlineStr">
        <is>
          <t xml:space="preserve">LE</t>
        </is>
      </c>
      <c r="N7" s="4" t="inlineStr">
        <is>
          <t xml:space="preserve">Servicios editoriales, de diseño, publicidad, gráficos y artistas / Publicidad / Agencias de publicidad, Servicios editoriales, de diseño, publicidad, gráficos y artistas / Publicidad / Inserciones publicitarias en medios, Servicios editoriales, de diseño, publicidad, gráficos y artistas / Publicidad / Publicidad en medios no impresos</t>
        </is>
      </c>
      <c r="O7" s="4" t="inlineStr">
        <is>
          <t xml:space="preserve">1 Unidad · Publicidad en radio · 1 Unidad · Publicidad en radio · 1 Unidad · Avisos en televisión · y 7 más</t>
        </is>
      </c>
      <c r="P7" s="2"/>
      <c r="Q7" s="2"/>
      <c r="R7" s="0"/>
      <c r="S7" s="0" t="inlineStr">
        <is>
          <t xml:space="preserve">No</t>
        </is>
      </c>
      <c r="T7" s="4" t="inlineStr">
        <is>
          <t xml:space="preserve">A TODO EVENTO</t>
        </is>
      </c>
      <c r="U7" s="0" t="inlineStr">
        <is>
          <t xml:space="preserve">VICTOR BUSTOS</t>
        </is>
      </c>
      <c r="V7" s="4" t="inlineStr">
        <is>
          <t xml:space="preserve">“SERVICIO DE DIFUSIÓN MULTIMEDIAL REGIONAL EN MEDIOS DE COMUNICACIÓN Y PLATAFORMAS DIGITALES” LA SEREMI DE SALUD REGIÓN DEL BIOBÍO
 (S.C. N° 464, 465, 466, 467, 472, 474, 475, 476, 477, 478)</t>
        </is>
      </c>
      <c r="W7" s="5" t="str">
        <f>HYPERLINK("https://www.mercadopublico.cl/Procurement/Modules/Attachment/ViewAttachment.aspx?enc=PBaS9u0aTV9Zqlua6yvcATkd66S4vyIH6uXwxSaamsj0k58nA0emzFbyvw8%2bKVi3O8J77RgWdhic5NTIxKjsQrmlhf8%2btB2GKfXXMOUMvj5BliVI6ZcQy5HlgNwgzeVOXi3A9Y5B%2beOIAvbeceb%2bvDQfs4pGmBKkslNTdaOx%2b17rFaY0pCMvp9QG2JlyL5mg6O3vg%2bauDLQvfCUlTLCoJfKdz5OwnBvwEeA41wkEzmU7b0kZHSas4212U6Z6ATzM%2fMQfl1a4NxQPKIqoVU3Tvk0DyBXE5eXttlDmSJWWOHQhhjb8da%2bVfnfxRX3O1ceX","descargar bases")</f>
      </c>
    </row>
    <row r="8">
      <c r="A8" s="0" t="inlineStr">
        <is>
          <t xml:space="preserve">1208129-10-LP26</t>
        </is>
      </c>
      <c r="B8" s="4" t="inlineStr">
        <is>
          <t xml:space="preserve">Giftcards digitales nominativas para las RR.FF A.D</t>
        </is>
      </c>
      <c r="C8" s="0" t="inlineStr">
        <is>
          <t xml:space="preserve">Publicada</t>
        </is>
      </c>
      <c r="D8" s="0" t="inlineStr">
        <is>
          <t xml:space="preserve">SERVICIO NACIONAL DE PROTECCIÓN ESPECIALIZADA A LA NIÑEZ Y ADOLESCENCI</t>
        </is>
      </c>
      <c r="E8" s="0" t="inlineStr">
        <is>
          <t xml:space="preserve">ADMINISTRACIÓN DIRECTA REGIÓN DEL BIOBÍO</t>
        </is>
      </c>
      <c r="F8" s="0" t="inlineStr">
        <is>
          <t xml:space="preserve">Región del Biobío </t>
        </is>
      </c>
      <c r="G8" s="0" t="inlineStr">
        <is>
          <t xml:space="preserve">Concepción</t>
        </is>
      </c>
      <c r="H8" s="2">
        <v>46297.700833</v>
      </c>
      <c r="I8" s="2">
        <v>46310.450694</v>
      </c>
      <c r="J8" s="0">
        <v>4</v>
      </c>
      <c r="K8" s="3">
        <v>222800000.0</v>
      </c>
      <c r="L8" s="0" t="inlineStr">
        <is>
          <t xml:space="preserve">CLP</t>
        </is>
      </c>
      <c r="M8" s="0" t="inlineStr">
        <is>
          <t xml:space="preserve">LP</t>
        </is>
      </c>
      <c r="N8" s="4" t="inlineStr">
        <is>
          <t xml:space="preserve">Servicios profesionales, administrativos y consultorías de gestión empresarial / Servicios de recursos humanos / Consultorías para el desarrollo de recursos humanos</t>
        </is>
      </c>
      <c r="O8" s="4" t="inlineStr">
        <is>
          <t xml:space="preserve">1 Global · Planificación de compensaciones o beneficios · 1 Global · Planificación de compensaciones o beneficios · 1 Global · Planificación de compensaciones o beneficios</t>
        </is>
      </c>
      <c r="P8" s="2"/>
      <c r="Q8" s="2"/>
      <c r="R8" s="0" t="inlineStr">
        <is>
          <t xml:space="preserve">12 meses</t>
        </is>
      </c>
      <c r="S8" s="0" t="inlineStr">
        <is>
          <t xml:space="preserve">No</t>
        </is>
      </c>
      <c r="T8" s="4"/>
      <c r="U8" s="0" t="inlineStr">
        <is>
          <t xml:space="preserve">PAULA GATICA</t>
        </is>
      </c>
      <c r="V8" s="4" t="inlineStr">
        <is>
          <t xml:space="preserve">SERVICIOS DE ADMINISTRACIÓN Y PROVISIÓN DE BENEFICIOS MEDIANTE GIFTCARDS DIGITALES NOMINATIVAS PARA ALIMENTACIÓN, VESTUARIO Y CALZADO PARA LAS RESIDENCIAS FAMILIARES DE ADMINISTRACION DIRECTA DEL SERVICIO NACIONAL DE PROTECCIÓN ESPECIALIZADA A LA NIÑEZ Y ADOLESCENCIA REGIÓN DEL BIOBIO.</t>
        </is>
      </c>
      <c r="W8" s="5" t="str">
        <f>HYPERLINK("https://www.mercadopublico.cl/Procurement/Modules/Attachment/ViewAttachment.aspx?enc=R2FuVQRRPcSyGvpixHwE4GQ4xkFYnw8MMa%2bdI6paTZufsjKFAJaYstivuY0%2fNS0SZJh0ze3pXfTLsC3YQ0H%2fSKJrrpOxCAukqJmq37TamJb6cmKmKFmNRbhg%2bx2MXYhNQzZT0nsjaETFXnBHQ%2brWQ5XouPt2nvA7LoDEAV2OLg1MYzcvxY58vxCsjs3aBLV19X27SOs6C4R8AZ3hdLjB3YhFFBHfVLWLC8KYzU8cpfrVwCdnOsXj%2fR2DOvSfpbAQ4DYhFXB0Ngu5QpYs6daNTF9fnHJQ7YiWansXW0SJEFRVncbJYC03841PxRny2136","descargar bases")</f>
      </c>
    </row>
    <row r="9">
      <c r="A9" s="0" t="inlineStr">
        <is>
          <t xml:space="preserve">1562-75-LE26</t>
        </is>
      </c>
      <c r="B9" s="4" t="inlineStr">
        <is>
          <t xml:space="preserve">ADQUISICIÓN DE SOFTWARE AGISOFT METASHAPE PROFESSI</t>
        </is>
      </c>
      <c r="C9" s="0" t="inlineStr">
        <is>
          <t xml:space="preserve">Publicada</t>
        </is>
      </c>
      <c r="D9" s="0" t="inlineStr">
        <is>
          <t xml:space="preserve">SERVICIO NACIONAL DE GEOLOGIA Y MINERIA</t>
        </is>
      </c>
      <c r="E9" s="0" t="inlineStr">
        <is>
          <t xml:space="preserve">Servicio Nacional de Geología y Minería</t>
        </is>
      </c>
      <c r="F9" s="0" t="inlineStr">
        <is>
          <t xml:space="preserve">Región Metropolitana de Santiago</t>
        </is>
      </c>
      <c r="G9" s="0" t="inlineStr">
        <is>
          <t xml:space="preserve">Providencia</t>
        </is>
      </c>
      <c r="H9" s="2">
        <v>46300.706366</v>
      </c>
      <c r="I9" s="2">
        <v>46310.625</v>
      </c>
      <c r="J9" s="0">
        <v>4</v>
      </c>
      <c r="K9" s="3">
        <v>12349000.0</v>
      </c>
      <c r="L9" s="0" t="inlineStr">
        <is>
          <t xml:space="preserve">CLP</t>
        </is>
      </c>
      <c r="M9" s="0" t="inlineStr">
        <is>
          <t xml:space="preserve">LE</t>
        </is>
      </c>
      <c r="N9" s="4" t="inlineStr">
        <is>
          <t xml:space="preserve">Tecnologías de la información, telecomunicaciones y radiodifusión / Software / Software de gestión</t>
        </is>
      </c>
      <c r="O9" s="4" t="inlineStr">
        <is>
          <t xml:space="preserve">1 Unidad · Software de gestión de licencias</t>
        </is>
      </c>
      <c r="P9" s="2"/>
      <c r="Q9" s="2"/>
      <c r="R9" s="0"/>
      <c r="S9" s="0" t="inlineStr">
        <is>
          <t xml:space="preserve">No</t>
        </is>
      </c>
      <c r="T9" s="4"/>
      <c r="U9" s="0" t="inlineStr">
        <is>
          <t xml:space="preserve">Hugo Neira</t>
        </is>
      </c>
      <c r="V9" s="4" t="inlineStr">
        <is>
          <t xml:space="preserve">El Servicio Nacional de Geología y Minería SERNAGEOMIN, a través del Subdepartamento de Analítica Territorial, requiere la adquisición de un paquete de tres licencias fijas del software Agisoft Metashape Professional o equivalente, destinado al procesamiento, análisis y gestión de información digital y geoespacial.
La solución permitirá procesar grandes volúmenes de imágenes y generar productos técnicos de alta resolución, tales como ortomosaicos georreferenciados, modelos digitales de elevación, nubes de puntos y modelos tridimensionales texturizados.</t>
        </is>
      </c>
      <c r="W9" s="5" t="str">
        <f>HYPERLINK("https://www.mercadopublico.cl/Procurement/Modules/Attachment/ViewAttachment.aspx?enc=7Seh9C70dss%2fzXhcEZVb9JvSzqhXOUfaR6MIGI1mP8stSvfv9pQhOxpOVwmI0DredDM8Dx5WnXI5r7c9tz%2b76gi0ojXf18z4O9gSc7UW%2b0oi2u9hUloN1zNUTzPxovDqChobwQURGeU1oWkK9opNhinbtnHciG6biRdyWH9S%2b9b%2fFan0YgxoN6Kmgud57tjcVce07efLGlf71f%2bFQMvjVQduX6sGJhb6vL46WRb4P%2bicM8UgnJuj8YHp7LCfoooeptsMQLOz%2bpIJ4ndwQYxr6wGFTkezvLX0IXIrDnyHfO14fpmyNxFF5aEctQkOs7N3","descargar bases")</f>
      </c>
    </row>
    <row r="10">
      <c r="A10" s="0" t="inlineStr">
        <is>
          <t xml:space="preserve">2563-34-LR26</t>
        </is>
      </c>
      <c r="B10" s="4" t="inlineStr">
        <is>
          <t xml:space="preserve">EQUIPOS PARA REDES INFORMÁTICAS Y LICENCIAS</t>
        </is>
      </c>
      <c r="C10" s="0" t="inlineStr">
        <is>
          <t xml:space="preserve">Publicada</t>
        </is>
      </c>
      <c r="D10" s="0" t="inlineStr">
        <is>
          <t xml:space="preserve">DIRECCION GENERAL DE AERONAUTICA CIVIL</t>
        </is>
      </c>
      <c r="E10" s="0" t="inlineStr">
        <is>
          <t xml:space="preserve">UNIDAD DE COMPRA CONTRATOS NACIONALES</t>
        </is>
      </c>
      <c r="F10" s="0" t="inlineStr">
        <is>
          <t xml:space="preserve">Región Metropolitana de Santiago</t>
        </is>
      </c>
      <c r="G10" s="0" t="inlineStr">
        <is>
          <t xml:space="preserve">Providencia</t>
        </is>
      </c>
      <c r="H10" s="2">
        <v>46254.63125</v>
      </c>
      <c r="I10" s="2">
        <v>46310.625</v>
      </c>
      <c r="J10" s="0">
        <v>4</v>
      </c>
      <c r="K10" s="3">
        <v>453590167.0</v>
      </c>
      <c r="L10" s="0" t="inlineStr">
        <is>
          <t xml:space="preserve">CLP</t>
        </is>
      </c>
      <c r="M10" s="0" t="inlineStr">
        <is>
          <t xml:space="preserve">LR</t>
        </is>
      </c>
      <c r="N10" s="4" t="inlineStr">
        <is>
          <t xml:space="preserve">Tecnologías de la información, telecomunicaciones y radiodifusión / Equipos informáticos y accesorios / Accesorios de computador</t>
        </is>
      </c>
      <c r="O10" s="4" t="inlineStr">
        <is>
          <t xml:space="preserve">10 Unidad · Cajas de conmutación de computadores · 11 Unidad · Cajas de conmutación de computadores · 1 Unidad · Cajas de conmutación de computadores · y 14 más</t>
        </is>
      </c>
      <c r="P10" s="2"/>
      <c r="Q10" s="2"/>
      <c r="R10" s="0"/>
      <c r="S10" s="0" t="inlineStr">
        <is>
          <t xml:space="preserve">No</t>
        </is>
      </c>
      <c r="T10" s="4"/>
      <c r="U10" s="0" t="inlineStr">
        <is>
          <t xml:space="preserve">Javier Pacheco Barahona</t>
        </is>
      </c>
      <c r="V10"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10" s="5" t="str">
        <f>HYPERLINK("https://www.mercadopublico.cl/Procurement/Modules/Attachment/ViewAttachment.aspx?enc=GEON4q9yzsyjnWUBXBPpiRNT9U5EKVMsqZUJ6JdI6rUqSrIkmcd5oT7mCP5IEN%2fckn0w0iJFMFoRRd8d%2bX15CutuYJXdZ1pxBsBpwNNglL%2fWfFmR17U1yLX1HoSS52Oq2T6H9mL%2fUXPXqmmf5noSmRHmOrFkmY92QRYaUkDahkD6QgJciiAwUlZT05fjz530KVxnVJH%2bAVuPrG1HmkLeM2sYQJtY0bEorBAAIouuk15OnT94MNDvanigB36iuJfOfkjo7pFAqeLZa7QXJSJElxbBGUE%2bj7jD1lALCWGDfEojpquvJQ%2fFIUtAcVMNnxrE","descargar bases")</f>
      </c>
    </row>
    <row r="11">
      <c r="A11" s="0" t="inlineStr">
        <is>
          <t xml:space="preserve">2760-118-LR26</t>
        </is>
      </c>
      <c r="B11" s="4" t="inlineStr">
        <is>
          <t xml:space="preserve">SERVICIOS DE TELECOMUNICACIONES Y OTROS SERVICIOS INFORMÁTICOS PARA LA MUNICIPALIDAD DE CORONEL</t>
        </is>
      </c>
      <c r="C11" s="0" t="inlineStr">
        <is>
          <t xml:space="preserve">Publicada</t>
        </is>
      </c>
      <c r="D11" s="0" t="inlineStr">
        <is>
          <t xml:space="preserve">I MUNICIPALIDAD DE CORONEL</t>
        </is>
      </c>
      <c r="E11" s="0" t="inlineStr">
        <is>
          <t xml:space="preserve">SECRETARIA COMUNAL DE PLANIFICACION</t>
        </is>
      </c>
      <c r="F11" s="0" t="inlineStr">
        <is>
          <t xml:space="preserve">Región del Biobío </t>
        </is>
      </c>
      <c r="G11" s="0" t="inlineStr">
        <is>
          <t xml:space="preserve">Coronel</t>
        </is>
      </c>
      <c r="H11" s="2">
        <v>46279.810417</v>
      </c>
      <c r="I11" s="2">
        <v>46310.625</v>
      </c>
      <c r="J11" s="0">
        <v>4</v>
      </c>
      <c r="K11" s="3">
        <v>540000000.0</v>
      </c>
      <c r="L11" s="0" t="inlineStr">
        <is>
          <t xml:space="preserve">CLP</t>
        </is>
      </c>
      <c r="M11" s="0" t="inlineStr">
        <is>
          <t xml:space="preserve">LR</t>
        </is>
      </c>
      <c r="N11" s="4" t="inlineStr">
        <is>
          <t xml:space="preserve">Servicios basados en ingeniería, ciencias sociales y tecnología de la información / Servicios informáticos / Administración de sistemas</t>
        </is>
      </c>
      <c r="O11" s="4" t="inlineStr">
        <is>
          <t xml:space="preserve">1 Global · Soporte y mantenimiento de red de área local (LAN)</t>
        </is>
      </c>
      <c r="P11" s="2"/>
      <c r="Q11" s="2"/>
      <c r="R11" s="0" t="inlineStr">
        <is>
          <t xml:space="preserve">60 meses</t>
        </is>
      </c>
      <c r="S11" s="0" t="inlineStr">
        <is>
          <t xml:space="preserve">No</t>
        </is>
      </c>
      <c r="T11" s="4"/>
      <c r="U11" s="0" t="inlineStr">
        <is>
          <t xml:space="preserve">RODRIGO HENRIQUEZ ARANEDA</t>
        </is>
      </c>
      <c r="V11" s="4" t="inlineStr">
        <is>
          <t xml:space="preserve">SERVICIOS DE TELECOMUNICACIONES Y OTROS SERVICIOS INFORMÁTICOS PARA LA MUNICIPALIDAD DE CORONEL</t>
        </is>
      </c>
      <c r="W11" s="5" t="str">
        <f>HYPERLINK("https://www.mercadopublico.cl/Procurement/Modules/Attachment/ViewAttachment.aspx?enc=ujYIeOoi4fDd2ZyQCQyH4BLDPHYxlc2RFwf6fc1T684Z44KZIZmptwGvmPnfve8dCnaZr5TR8IRdyz7kce5TKPxVqHnQMmw%2bvS2YMSS5KsLG5s4FNJpOglhWXok%2bAnjl0zlz9gtaAYqK56wov5AMMzUeUQOtCzD%2fEtxj4BAiONn9hQguhs4aJESceGZyAgUZ71%2f3xcUG20oH1evHJ3SSwreVywDyPVIRbRAzxXvieY7vlJ9eH0Oyf438WNup8BPn70byMdC8rI4pmNqG18557rSVjh%2fXLYwk6KQ2s5DZqR96wpOnHkTjsW6MsQfJSu18","descargar bases")</f>
      </c>
    </row>
    <row r="12">
      <c r="A12" s="0" t="inlineStr">
        <is>
          <t xml:space="preserve">548874-78-LR26</t>
        </is>
      </c>
      <c r="B12" s="4" t="inlineStr">
        <is>
          <t xml:space="preserve">SERVICIO DE LICENCIAS CLOUD SUCCESSFACTORS</t>
        </is>
      </c>
      <c r="C12" s="0" t="inlineStr">
        <is>
          <t xml:space="preserve">Publicada</t>
        </is>
      </c>
      <c r="D12" s="0" t="inlineStr">
        <is>
          <t xml:space="preserve">INSTITUTO DE PREVISION SOCIAL</t>
        </is>
      </c>
      <c r="E12" s="0" t="inlineStr">
        <is>
          <t xml:space="preserve">IPS Oficina Central de Compras</t>
        </is>
      </c>
      <c r="F12" s="0" t="inlineStr">
        <is>
          <t xml:space="preserve">Región Metropolitana de Santiago</t>
        </is>
      </c>
      <c r="G12" s="0" t="inlineStr">
        <is>
          <t xml:space="preserve">Santiago</t>
        </is>
      </c>
      <c r="H12" s="2">
        <v>46272.683935</v>
      </c>
      <c r="I12" s="2">
        <v>46310.625</v>
      </c>
      <c r="J12" s="0">
        <v>4</v>
      </c>
      <c r="K12" s="3">
        <v>606192000.0</v>
      </c>
      <c r="L12" s="0" t="inlineStr">
        <is>
          <t xml:space="preserve">CLP</t>
        </is>
      </c>
      <c r="M12" s="0" t="inlineStr">
        <is>
          <t xml:space="preserve">LR</t>
        </is>
      </c>
      <c r="N12" s="4" t="inlineStr">
        <is>
          <t xml:space="preserve">Tecnologías de la información, telecomunicaciones y radiodifusión / Software / Software de gestión</t>
        </is>
      </c>
      <c r="O12" s="4" t="inlineStr">
        <is>
          <t xml:space="preserve">1 Global · Software de gestión de licencias</t>
        </is>
      </c>
      <c r="P12" s="2"/>
      <c r="Q12" s="2"/>
      <c r="R12" s="0" t="inlineStr">
        <is>
          <t xml:space="preserve">12 meses</t>
        </is>
      </c>
      <c r="S12" s="0" t="inlineStr">
        <is>
          <t xml:space="preserve">No</t>
        </is>
      </c>
      <c r="T12" s="4" t="inlineStr">
        <is>
          <t xml:space="preserve">Ver bases administrativas punto 16.</t>
        </is>
      </c>
      <c r="U12" s="0" t="inlineStr">
        <is>
          <t xml:space="preserve">Por Definir</t>
        </is>
      </c>
      <c r="V12" s="4" t="inlineStr">
        <is>
          <t xml:space="preserve">SERVICIO DE LICENCIAS CLOUD SUCCESSFACTORS EN MODALIDAD SAAS  E1O2RT8.</t>
        </is>
      </c>
      <c r="W12" s="5" t="str">
        <f>HYPERLINK("https://www.mercadopublico.cl/Procurement/Modules/Attachment/ViewAttachment.aspx?enc=8PPs1%2bkqm0BoHQAWESoE4RvUEJDE3iPPeceBXkpWrKMF7AYnsa1iTlM%2bJ7U%2bT8KNFhZDJBA7iBw8teAylEmeWhFIS6EMNVco5hONWcMBBqolAo8JVtYd%2fmqcHbHlCEwakXGycN4usfRp1UDMppd1uqX9eCyrvFYw%2fFHm2IlpJuWJineBA1cPVxan%2fgvRRQqK4hftTm1DonZY%2fmxlkDGPEabovx9yRytenuGntUJfN1N41jP91%2fROrBI%2bQ08tvpS79U2%2byUNB3HeCcCQzh3VDyK5sGsflZEHaDm%2fcQADZDvl25CZxfSGEH7XvO85ux47X","descargar bases")</f>
      </c>
    </row>
    <row r="13">
      <c r="A13" s="0" t="inlineStr">
        <is>
          <t xml:space="preserve">5574-13-LE26</t>
        </is>
      </c>
      <c r="B13" s="4" t="inlineStr">
        <is>
          <t xml:space="preserve">Licencias Adobe Creative Cloud y Acrobat Pro DC.</t>
        </is>
      </c>
      <c r="C13" s="0" t="inlineStr">
        <is>
          <t xml:space="preserve">Publicada</t>
        </is>
      </c>
      <c r="D13" s="0" t="inlineStr">
        <is>
          <t xml:space="preserve">UNIVERSIDAD DE CHILE</t>
        </is>
      </c>
      <c r="E13" s="0" t="inlineStr">
        <is>
          <t xml:space="preserve">UCHILE Vicerrectoría de Tecnologías de Información</t>
        </is>
      </c>
      <c r="F13" s="0" t="inlineStr">
        <is>
          <t xml:space="preserve">Región Metropolitana de Santiago</t>
        </is>
      </c>
      <c r="G13" s="0" t="inlineStr">
        <is>
          <t xml:space="preserve">Santiago Centro</t>
        </is>
      </c>
      <c r="H13" s="2">
        <v>46300.510752</v>
      </c>
      <c r="I13" s="2">
        <v>46310.625</v>
      </c>
      <c r="J13" s="0">
        <v>4</v>
      </c>
      <c r="K13" s="3">
        <v>40000.0</v>
      </c>
      <c r="L13" s="0" t="inlineStr">
        <is>
          <t xml:space="preserve">USD</t>
        </is>
      </c>
      <c r="M13" s="0" t="inlineStr">
        <is>
          <t xml:space="preserve">LE</t>
        </is>
      </c>
      <c r="N13" s="4" t="inlineStr">
        <is>
          <t xml:space="preserve">Tecnologías de la información, telecomunicaciones y radiodifusión / Software / Software de gestión</t>
        </is>
      </c>
      <c r="O13" s="4" t="inlineStr">
        <is>
          <t xml:space="preserve">100 Unidad · Software de gestión de licencias · 80 Unidad · Software de gestión de licencias</t>
        </is>
      </c>
      <c r="P13" s="2"/>
      <c r="Q13" s="2"/>
      <c r="R13" s="0" t="inlineStr">
        <is>
          <t xml:space="preserve">12 meses</t>
        </is>
      </c>
      <c r="S13" s="0" t="inlineStr">
        <is>
          <t xml:space="preserve">No</t>
        </is>
      </c>
      <c r="T13" s="4"/>
      <c r="U13" s="0" t="inlineStr">
        <is>
          <t xml:space="preserve">Sandra Jaque Figueroa</t>
        </is>
      </c>
      <c r="V13" s="4" t="inlineStr">
        <is>
          <t xml:space="preserve">Se requiere renovar y ampliar el licenciamiento de los siguientes productos asociados al Value Incentive Plan VIP 1735DDC90004E4085CBA. Cien licencias de Creative Cloud para equipos for teams All Apps, o su equivalente tecnológico. Ochenta licencias de Adobe Acrobat Pro para equipos for teams All, o su equivalente tecnológico. Por un periodo de 12 meses. Presupuesto de USD 40.000, más IVA.</t>
        </is>
      </c>
      <c r="W13" s="5" t="str">
        <f>HYPERLINK("https://www.mercadopublico.cl/Procurement/Modules/Attachment/ViewAttachment.aspx?enc=1P8%2bS%2fdfPxPPSIZ4MfcmNqI46zLz080uGL2KCMmnLiYJdt9MaH8dXdVYrT6%2fh6YqIQzByzQJFAiVw3rjz0viTX7HsOfdYg8aEbwONELq479oJO2wioXt1udqCD6hbsVF1GfOvvo%2fdbldiQ1wvweOsDNT%2fn%2f6EsfuvY0PlLaU7gZAQg%2bJTh1CvYc0eyI6a2mWnBtGXgiH9ZhwokjwidArZAxSBn56RSk0M40crVYf06YsAykgGeV5MarKr2GttJ0wdhpj6ts7ci0PGrTwauaro4pQz%2fFppGGqhdnwoCZs%2bKYPK%2feHCy6Bs08BduqOwVfQ","descargar bases")</f>
      </c>
    </row>
    <row r="14">
      <c r="A14" s="0" t="inlineStr">
        <is>
          <t xml:space="preserve">558869-62-LE26</t>
        </is>
      </c>
      <c r="B14" s="4" t="inlineStr">
        <is>
          <t xml:space="preserve">CAPACITACIÓN EN INTELIGENCIA ARTIFICIAL</t>
        </is>
      </c>
      <c r="C14" s="0" t="inlineStr">
        <is>
          <t xml:space="preserve">Publicada</t>
        </is>
      </c>
      <c r="D14" s="0" t="inlineStr">
        <is>
          <t xml:space="preserve">CORP MUNICIPAL DE DESARROLLO SOCIAL DE A</t>
        </is>
      </c>
      <c r="E14" s="0" t="inlineStr">
        <is>
          <t xml:space="preserve">ADQUISICIONES - DIRECC ADMIN Y FINANZAS</t>
        </is>
      </c>
      <c r="F14" s="0" t="inlineStr">
        <is>
          <t xml:space="preserve">Región de Antofagasta </t>
        </is>
      </c>
      <c r="G14" s="0" t="inlineStr">
        <is>
          <t xml:space="preserve">Antofagasta</t>
        </is>
      </c>
      <c r="H14" s="2">
        <v>46301.704699</v>
      </c>
      <c r="I14" s="2">
        <v>46310.625</v>
      </c>
      <c r="J14" s="0">
        <v>4</v>
      </c>
      <c r="K14" s="3"/>
      <c r="L14" s="0" t="inlineStr">
        <is>
          <t xml:space="preserve">CLP</t>
        </is>
      </c>
      <c r="M14" s="0" t="inlineStr">
        <is>
          <t xml:space="preserve">LE</t>
        </is>
      </c>
      <c r="N14" s="4" t="inlineStr">
        <is>
          <t xml:space="preserve">Educación, formación, entrenamiento y capacitación / Sistemas educativos complementarios / Educación de adultos</t>
        </is>
      </c>
      <c r="O14" s="4" t="inlineStr">
        <is>
          <t xml:space="preserve">1 Unidad · Capacitación a empleados</t>
        </is>
      </c>
      <c r="P14" s="2"/>
      <c r="Q14" s="2"/>
      <c r="R14" s="0"/>
      <c r="S14" s="0" t="inlineStr">
        <is>
          <t xml:space="preserve">No</t>
        </is>
      </c>
      <c r="T14" s="4"/>
      <c r="U14" s="0" t="inlineStr">
        <is>
          <t xml:space="preserve">Wilma Vega Cardenas</t>
        </is>
      </c>
      <c r="V14" s="4" t="inlineStr">
        <is>
          <t xml:space="preserve">objetivo complementar el proceso de licitación que sustenta las bases administrativas, reglamentando la operatoria mínima necesaria para la correcta ejecución del servicio y cautelando el estricto cumplimiento del contrato.
El propósito principal es capacitar a equipos de gestión, docentes, profesionales del Programa de Integración Escolar PIE y asistentes de la educación, con el fin de fortalecer y profundizar sus competencias profesionales, pedagógicas y digitales. Mediante el uso estratégico, ético y pedagógico de la Inteligencia Artificial IA y metodologías activas, se busca</t>
        </is>
      </c>
      <c r="W14" s="5" t="str">
        <f>HYPERLINK("https://www.mercadopublico.cl/Procurement/Modules/Attachment/ViewAttachment.aspx?enc=C88rWPGyQQfux1V%2bgCmtxRrFM%2biIx%2b2uWeqWeP4NzT9KhNbT%2fI3HTb2dt78F%2f1XWVjNcpZr3kSl0SApaKq0FQQ%2fRK%2fslTx3GVO69%2bpUSeUKG%2fTbaxdBC3eyxN4yC3miB1Vki%2fF39buoOCssqHnkh4sI%2btQIWYif8FUdMw2G%2bXqkI%2bPfXNS7UIYv4dk4qXjmTgyOG5OIiAVsFsU9z%2f%2frcISh26AzOJrfU7X135ccq9M8MaYAQFfldZhWuaJew8H5Jc7OLopT5FEifhJQBo%2fOLNruFDbtrYUKxA9FF0uVkUHih1VcrEQl3vMk8I1xoMMOC","descargar bases")</f>
      </c>
    </row>
    <row r="15">
      <c r="A15" s="0" t="inlineStr">
        <is>
          <t xml:space="preserve">1305532-14-LP26</t>
        </is>
      </c>
      <c r="B15" s="4" t="inlineStr">
        <is>
          <t xml:space="preserve">VALORIZACION ACTIVO FIJO Y SOFTWARE INVENTARIO</t>
        </is>
      </c>
      <c r="C15" s="0" t="inlineStr">
        <is>
          <t xml:space="preserve">Publicada</t>
        </is>
      </c>
      <c r="D15" s="0" t="inlineStr">
        <is>
          <t xml:space="preserve">SERVICIO LOCAL DE EDUCACIÓN PÚBLICA DEL ELQUI</t>
        </is>
      </c>
      <c r="E15" s="0" t="inlineStr">
        <is>
          <t xml:space="preserve">COMPRAS Y LICITACIONES</t>
        </is>
      </c>
      <c r="F15" s="0" t="inlineStr">
        <is>
          <t xml:space="preserve">Región de Coquimbo </t>
        </is>
      </c>
      <c r="G15" s="0" t="inlineStr">
        <is>
          <t xml:space="preserve">La Serena</t>
        </is>
      </c>
      <c r="H15" s="2">
        <v>46288.674861</v>
      </c>
      <c r="I15" s="2">
        <v>46310.645833</v>
      </c>
      <c r="J15" s="0">
        <v>4</v>
      </c>
      <c r="K15" s="3">
        <v>138000000.0</v>
      </c>
      <c r="L15" s="0" t="inlineStr">
        <is>
          <t xml:space="preserve">CLP</t>
        </is>
      </c>
      <c r="M15" s="0" t="inlineStr">
        <is>
          <t xml:space="preserve">LP</t>
        </is>
      </c>
      <c r="N15" s="4" t="inlineStr">
        <is>
          <t xml:space="preserve">Servicios financieros, pensiones y seguros / Contabilidad y auditorías / Servicios contables</t>
        </is>
      </c>
      <c r="O15" s="4" t="inlineStr">
        <is>
          <t xml:space="preserve">1 Unidad · Contabilidad de inventario</t>
        </is>
      </c>
      <c r="P15" s="2"/>
      <c r="Q15" s="2"/>
      <c r="R15" s="0" t="inlineStr">
        <is>
          <t xml:space="preserve">24 meses</t>
        </is>
      </c>
      <c r="S15" s="0" t="inlineStr">
        <is>
          <t xml:space="preserve">No</t>
        </is>
      </c>
      <c r="T15" s="4"/>
      <c r="U15" s="0" t="inlineStr">
        <is>
          <t xml:space="preserve">Francisca Pérez García</t>
        </is>
      </c>
      <c r="V15" s="4" t="inlineStr">
        <is>
          <t xml:space="preserve">El Servicio Local de Educación Pública de Elqui requiere contratar el “Servicio de Levantamiento, Valorización de Activo Fijo y Plataforma de Gestión de Inventario”, como una solución integral compuesta por dos componentes principales: i) el levantamiento, catastro, regularización y valorización de los activos fijos e inventarios institucionales, y ii) la implementación y licenciamiento de una plataforma tecnológica destinada a la administración y control de dichos bienes.</t>
        </is>
      </c>
      <c r="W15" s="5" t="str">
        <f>HYPERLINK("https://www.mercadopublico.cl/Procurement/Modules/Attachment/ViewAttachment.aspx?enc=oaprEC%2feZLPArIte7vn8LeyPsLup6Qr%2blt%2fyJmBSq8gpgFInbptK3gngGNlIcxZXNOTmfzsx0NuTyZflzCLZBH4Zg7X0V6FRR1bkvXTCQ3gmswxLgEKhR0jbhLcP2RYi4%2fD%2b21%2byT3zRm3B2H0jcZ%2bNmpIUVXNG0%2faCZJ8l2NVOxXmKUJs6q1kn29k4q0o5h%2frbKQPZGLQ66%2f4BTlokY3Z%2b%2b0ioUohDUbvKku3Syn8vwUljKVxfR5dU8%2fwmABW9PZzUSHQxMybEFMw5AL1o1rIZ98M8XckhRsLABAPNlnFg7pzAUYBj2fnToLJBmpkYG","descargar bases")</f>
      </c>
    </row>
    <row r="16">
      <c r="A16" s="0" t="inlineStr">
        <is>
          <t xml:space="preserve">1305532-16-LP26</t>
        </is>
      </c>
      <c r="B16" s="4" t="inlineStr">
        <is>
          <t xml:space="preserve">LICENCIAMIENTO SOFTWARE CONCILIACIONES BANCARIAS</t>
        </is>
      </c>
      <c r="C16" s="0" t="inlineStr">
        <is>
          <t xml:space="preserve">Publicada</t>
        </is>
      </c>
      <c r="D16" s="0" t="inlineStr">
        <is>
          <t xml:space="preserve">SERVICIO LOCAL DE EDUCACIÓN PÚBLICA DEL ELQUI</t>
        </is>
      </c>
      <c r="E16" s="0" t="inlineStr">
        <is>
          <t xml:space="preserve">COMPRAS Y LICITACIONES</t>
        </is>
      </c>
      <c r="F16" s="0" t="inlineStr">
        <is>
          <t xml:space="preserve">Región de Coquimbo </t>
        </is>
      </c>
      <c r="G16" s="0" t="inlineStr">
        <is>
          <t xml:space="preserve">La Serena</t>
        </is>
      </c>
      <c r="H16" s="2">
        <v>46289.534722</v>
      </c>
      <c r="I16" s="2">
        <v>46310.645833</v>
      </c>
      <c r="J16" s="0">
        <v>4</v>
      </c>
      <c r="K16" s="3">
        <v>72000000.0</v>
      </c>
      <c r="L16" s="0" t="inlineStr">
        <is>
          <t xml:space="preserve">CLP</t>
        </is>
      </c>
      <c r="M16" s="0" t="inlineStr">
        <is>
          <t xml:space="preserve">LP</t>
        </is>
      </c>
      <c r="N16" s="4" t="inlineStr">
        <is>
          <t xml:space="preserve">Tecnologías de la información, telecomunicaciones y radiodifusión / Software / Software de planificación de recursos empresariales (ERP) y contabilidad financiera</t>
        </is>
      </c>
      <c r="O16" s="4" t="inlineStr">
        <is>
          <t xml:space="preserve">1 Unidad · Programas de contabilidad</t>
        </is>
      </c>
      <c r="P16" s="2"/>
      <c r="Q16" s="2"/>
      <c r="R16" s="0" t="inlineStr">
        <is>
          <t xml:space="preserve">36 meses</t>
        </is>
      </c>
      <c r="S16" s="0" t="inlineStr">
        <is>
          <t xml:space="preserve">No</t>
        </is>
      </c>
      <c r="T16"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16" s="0" t="inlineStr">
        <is>
          <t xml:space="preserve">Francisca Pérez García</t>
        </is>
      </c>
      <c r="V16" s="4" t="inlineStr">
        <is>
          <t xml:space="preserve">El Servicio Local de Educación Pública del Elqui requiere contratar una solución tecnológica integral, bajo la modalidad de Software as a Service SaaS, destinada a automatizar, optimizar y fortalecer los procesos de conciliación bancaria institucional, contribuyendo a una gestión financiera más eficiente, segura, trazable y conforme a los principios de control, probidad y modernización de la función pública</t>
        </is>
      </c>
      <c r="W16" s="5" t="str">
        <f>HYPERLINK("https://www.mercadopublico.cl/Procurement/Modules/Attachment/ViewAttachment.aspx?enc=Yom9TTUxrP72T4pWz5H7NI8Nchfg8raFB2FFUKOieg1T9CGowGsu3dthVwNuSuHjOn7wUnfvsaJSQyAbzr8AYhe%2ba4mJWfDAu6tR1VP0sTOVYce3bkinNufCONfUek01ZOlnrE1sjjzC308LEcLuLFDP5LsTkvd0W0DP2iTXS0TghJCysLqds5ZQgelXCfnAA4HW%2ffhECjvbTegMvTAwhpE0p3QmGhZoJvmsrZAfIFEsBC6AcGabmR2e67%2b1NiZGNW%2fJLJxvnrmlBu3tBI7DnpYGvoXK3p%2beXbFaPjQb5PK0Ub8L80NCwPVQc8iue7pt","descargar bases")</f>
      </c>
    </row>
    <row r="17">
      <c r="A17" s="0" t="inlineStr">
        <is>
          <t xml:space="preserve">1658-233-LE26</t>
        </is>
      </c>
      <c r="B17" s="4" t="inlineStr">
        <is>
          <t xml:space="preserve">P.280-2026 SUSCRIPCIÓN DE LICENCIAS DE SOFTWARE DE</t>
        </is>
      </c>
      <c r="C17" s="0" t="inlineStr">
        <is>
          <t xml:space="preserve">Publicada</t>
        </is>
      </c>
      <c r="D17" s="0" t="inlineStr">
        <is>
          <t xml:space="preserve">I MUNICIPALIDAD DE TEMUCO</t>
        </is>
      </c>
      <c r="E17" s="0" t="inlineStr">
        <is>
          <t xml:space="preserve">I MUNICIPALIDAD DE TEMUCO</t>
        </is>
      </c>
      <c r="F17" s="0" t="inlineStr">
        <is>
          <t xml:space="preserve">Región de la Araucanía </t>
        </is>
      </c>
      <c r="G17" s="0" t="inlineStr">
        <is>
          <t xml:space="preserve">Temuco</t>
        </is>
      </c>
      <c r="H17" s="2">
        <v>46300.697894</v>
      </c>
      <c r="I17" s="2">
        <v>46310.645833</v>
      </c>
      <c r="J17" s="0">
        <v>4</v>
      </c>
      <c r="K17" s="3"/>
      <c r="L17" s="0" t="inlineStr">
        <is>
          <t xml:space="preserve">CLP</t>
        </is>
      </c>
      <c r="M17" s="0" t="inlineStr">
        <is>
          <t xml:space="preserve">LE</t>
        </is>
      </c>
      <c r="N17" s="4" t="inlineStr">
        <is>
          <t xml:space="preserve">Servicios editoriales, de diseño, publicidad, gráficos y artistas / Escritura y traducciones / Servicios editoriales y de apoyo</t>
        </is>
      </c>
      <c r="O17" s="4" t="inlineStr">
        <is>
          <t xml:space="preserve">1 Global · Edición</t>
        </is>
      </c>
      <c r="P17" s="2"/>
      <c r="Q17" s="2"/>
      <c r="R17" s="0" t="inlineStr">
        <is>
          <t xml:space="preserve">12 meses</t>
        </is>
      </c>
      <c r="S17" s="0" t="inlineStr">
        <is>
          <t xml:space="preserve">No</t>
        </is>
      </c>
      <c r="T17" s="4"/>
      <c r="U17" s="0" t="inlineStr">
        <is>
          <t xml:space="preserve">GLORIA BIELEFELD</t>
        </is>
      </c>
      <c r="V17" s="4" t="inlineStr">
        <is>
          <t xml:space="preserve">Se requiere la suscripción de licencias de software de edición multimedia para uso de profesionales audiovisualistas y diseñadores en el departamento de comunicaciones y de la dirección de turismo de la municipalidad de Temuco</t>
        </is>
      </c>
      <c r="W17" s="5" t="str">
        <f>HYPERLINK("https://www.mercadopublico.cl/Procurement/Modules/Attachment/ViewAttachment.aspx?enc=Qhkegnjy5GXVW5jpttVTTO5ZXhkg6QlWooOphqLfkJl2%2f%2fgaCIlx30ye6zE5k9eatz9HeeNBGqIoen9c8%2bw6CcG5lTs%2foWAOm%2fhNWPlsVCcrHEKQTv%2fvLVqfbomvDi4jyO%2fzAKeUUd0EGBW%2fvMDChbZnrUm3nFpmCu37Sa7JVLOuhMXAInRKzDs3S2hx25ZXXOVW60QbZsKOBHRmDZDWWf9VKUo7j17ET2sdVMqsgkTHZfqaBoXJ%2f9Ktxe4z1e7NptKcjwAisdSUJ%2fzEpZzEKqFRxG9cpCOc%2fb1F3j8JwelRRIEgF5310kUH2tLV4pvp","descargar bases")</f>
      </c>
    </row>
    <row r="18">
      <c r="A18" s="0" t="inlineStr">
        <is>
          <t xml:space="preserve">2403-72-LP26</t>
        </is>
      </c>
      <c r="B18" s="4" t="inlineStr">
        <is>
          <t xml:space="preserve">Servicios Cloud</t>
        </is>
      </c>
      <c r="C18" s="0" t="inlineStr">
        <is>
          <t xml:space="preserve">Publicada</t>
        </is>
      </c>
      <c r="D18" s="0" t="inlineStr">
        <is>
          <t xml:space="preserve">I MUNICIPALIDAD DE PENALOLEN</t>
        </is>
      </c>
      <c r="E18" s="0" t="inlineStr">
        <is>
          <t xml:space="preserve">I.MUNICIPALIDAD DE PEÑALOLEN</t>
        </is>
      </c>
      <c r="F18" s="0" t="inlineStr">
        <is>
          <t xml:space="preserve">Región Metropolitana de Santiago</t>
        </is>
      </c>
      <c r="G18" s="0" t="inlineStr">
        <is>
          <t xml:space="preserve">Peñalolén</t>
        </is>
      </c>
      <c r="H18" s="2">
        <v>46288.529942</v>
      </c>
      <c r="I18" s="2">
        <v>46310.645833</v>
      </c>
      <c r="J18" s="0">
        <v>4</v>
      </c>
      <c r="K18" s="3">
        <v>320000.0</v>
      </c>
      <c r="L18" s="0" t="inlineStr">
        <is>
          <t xml:space="preserve">USD</t>
        </is>
      </c>
      <c r="M18" s="0" t="inlineStr">
        <is>
          <t xml:space="preserve">LP</t>
        </is>
      </c>
      <c r="N18" s="4" t="inlineStr">
        <is>
          <t xml:space="preserve">Servicios basados en ingeniería, ciencias sociales y tecnología de la información / Servicios informáticos / Servicios de datos</t>
        </is>
      </c>
      <c r="O18" s="4" t="inlineStr">
        <is>
          <t xml:space="preserve">1 Global · Centro de servicios de datos</t>
        </is>
      </c>
      <c r="P18" s="2"/>
      <c r="Q18" s="2"/>
      <c r="R18" s="0" t="inlineStr">
        <is>
          <t xml:space="preserve">49 meses</t>
        </is>
      </c>
      <c r="S18" s="0" t="inlineStr">
        <is>
          <t xml:space="preserve">No</t>
        </is>
      </c>
      <c r="T18" s="4" t="inlineStr">
        <is>
          <t xml:space="preserve">Según Bases de Licitación</t>
        </is>
      </c>
      <c r="U18" s="0" t="inlineStr">
        <is>
          <t xml:space="preserve">Matías Allende</t>
        </is>
      </c>
      <c r="V18" s="4" t="inlineStr">
        <is>
          <t xml:space="preserve">La Municipalidad de Peñalolén requiere contratar la asistencia de gestión
comercial, contractual, organizacional, de facturación y soporte administrativo
de servicios Cloud actualmente desplegados en dos cuentas AWS y una cuenta
Google Cloud Platform, para asegurar la continuidad operativa, autoservicio
municipal, control de accesos, trazabilidad, cumplimiento normativo y
coordinación con los proveedores cloud.</t>
        </is>
      </c>
      <c r="W18" s="5" t="str">
        <f>HYPERLINK("https://www.mercadopublico.cl/Procurement/Modules/Attachment/ViewAttachment.aspx?enc=bJ1Bf9FCqmQru2hPpI4uTp%2fRV37Iatx5PL1zv3tUxpBA3UdTouFicztSGNlWK7AZmhfupMWFfg%2fszFk5WKC3I4zbPNrKbZsSllIivaTDQlIifGV0%2bPwkodNWLzMpwHDb%2fWfFpy2lPM4MsMpdgIk6qnaK%2bjyRygZ5Rr0hLMNIOyZTnf%2f2J41M86VluLgrtDHRoMx%2bbvmq1bQhC5GF0Q6x3RnmXJkwcCtkkn%2fdLo8Qbmj20MeGMhwHI%2fwZSw7Bzqjir8SnKA3H6h%2fnpRRg9A726juFt%2bj5IItC56GBpTbpe0LJJwfmpdr9ShcHqbTjuBCV","descargar bases")</f>
      </c>
    </row>
    <row r="19">
      <c r="A19" s="0" t="inlineStr">
        <is>
          <t xml:space="preserve">5190-21-LE26</t>
        </is>
      </c>
      <c r="B19" s="4" t="inlineStr">
        <is>
          <t xml:space="preserve">JENABIEN - SOFTWARE FINANCIERO DE EMISION DTE</t>
        </is>
      </c>
      <c r="C19" s="0" t="inlineStr">
        <is>
          <t xml:space="preserve">Publicada</t>
        </is>
      </c>
      <c r="D19" s="0" t="inlineStr">
        <is>
          <t xml:space="preserve">POLICIA DE INVESTIGACIONES DE CHILE</t>
        </is>
      </c>
      <c r="E19" s="0" t="inlineStr">
        <is>
          <t xml:space="preserve">JENABIEN</t>
        </is>
      </c>
      <c r="F19" s="0" t="inlineStr">
        <is>
          <t xml:space="preserve">Región Metropolitana de Santiago</t>
        </is>
      </c>
      <c r="G19" s="0" t="inlineStr">
        <is>
          <t xml:space="preserve">Santiago Centro</t>
        </is>
      </c>
      <c r="H19" s="2">
        <v>46300.716944</v>
      </c>
      <c r="I19" s="2">
        <v>46310.652778</v>
      </c>
      <c r="J19" s="0">
        <v>4</v>
      </c>
      <c r="K19" s="3">
        <v>760.0</v>
      </c>
      <c r="L19" s="0" t="inlineStr">
        <is>
          <t xml:space="preserve">CLF</t>
        </is>
      </c>
      <c r="M19" s="0" t="inlineStr">
        <is>
          <t xml:space="preserve">LE</t>
        </is>
      </c>
      <c r="N19" s="4" t="inlineStr">
        <is>
          <t xml:space="preserve">Tecnologías de la información, telecomunicaciones y radiodifusión / Software / Software de planificación de recursos empresariales (ERP) y contabilidad financiera</t>
        </is>
      </c>
      <c r="O19" s="4" t="inlineStr">
        <is>
          <t xml:space="preserve">1 Unidad no definida · Programas de contabilidad</t>
        </is>
      </c>
      <c r="P19" s="2"/>
      <c r="Q19" s="2"/>
      <c r="R19" s="0" t="inlineStr">
        <is>
          <t xml:space="preserve">24 meses</t>
        </is>
      </c>
      <c r="S19" s="0" t="inlineStr">
        <is>
          <t xml:space="preserve">No</t>
        </is>
      </c>
      <c r="T19" s="4"/>
      <c r="U19" s="0" t="inlineStr">
        <is>
          <t xml:space="preserve">Marcos DAZA SEPÚLVEDA</t>
        </is>
      </c>
      <c r="V19" s="4" t="inlineStr">
        <is>
          <t xml:space="preserve">Procurar la contratación del servicio de software financiero de emisión de documentos tributarios electrónicos para el Departamento de Contabilidad y Finanzas, dependiente de la Jefatura Nacional de Bienestar y Calidad de Vida.</t>
        </is>
      </c>
      <c r="W19" s="5" t="str">
        <f>HYPERLINK("https://www.mercadopublico.cl/Procurement/Modules/Attachment/ViewAttachment.aspx?enc=5CAWNHO6jrB2V9xgJCpufzWfZAkDqOZ0OsOllfzWUKtSgosUjAZKe1ROtrGXGPjDBZdM9%2fFC2ONrh5qIkHT2%2bt4%2bPGPsrrWkBg6pjnR%2fJEB6QWqxjEIofEDjHm1xrGFaAEMji%2bBK8D6O6yohafk9JyQ73QAdiWLCWXcnS2k1n62yuNtMfA5YXWgmwkiWnS0%2fAvylzdzzkON%2bVzbZp1Hhfb8kRkm0l5O%2bqxLiZKBy%2fZP9M7G%2bNSwr9NoxGQ92iCUZfEnL%2bUmWQx%2bq%2f8LglgcUcV4SpmIWrXN03uCmGXwyVQ%2bIJDEcGR%2fpV3DDkP8BfXSi","descargar bases")</f>
      </c>
    </row>
    <row r="20">
      <c r="A20" s="0" t="inlineStr">
        <is>
          <t xml:space="preserve">1057503-146-LE26</t>
        </is>
      </c>
      <c r="B20" s="4" t="inlineStr">
        <is>
          <t xml:space="preserve">Contratación de Solución Tecnológica Bajo Modalidad SaaS para Automatizar Procesos de Gestión Estratégica Institucional para el Hospital Padre Alberto Hurtado</t>
        </is>
      </c>
      <c r="C20" s="0" t="inlineStr">
        <is>
          <t xml:space="preserve">Publicada</t>
        </is>
      </c>
      <c r="D20" s="0" t="inlineStr">
        <is>
          <t xml:space="preserve">HOSPITAL PADRE ALBERTO HURTADO</t>
        </is>
      </c>
      <c r="E20" s="0" t="inlineStr">
        <is>
          <t xml:space="preserve">Bienes y Servicios</t>
        </is>
      </c>
      <c r="F20" s="0" t="inlineStr">
        <is>
          <t xml:space="preserve">Región Metropolitana de Santiago</t>
        </is>
      </c>
      <c r="G20" s="0" t="inlineStr">
        <is>
          <t xml:space="preserve">San Ramón</t>
        </is>
      </c>
      <c r="H20" s="2">
        <v>46295.709595</v>
      </c>
      <c r="I20" s="2">
        <v>46310.666667</v>
      </c>
      <c r="J20" s="0">
        <v>4</v>
      </c>
      <c r="K20" s="3">
        <v>1600.0</v>
      </c>
      <c r="L20" s="0" t="inlineStr">
        <is>
          <t xml:space="preserve">CLF</t>
        </is>
      </c>
      <c r="M20" s="0" t="inlineStr">
        <is>
          <t xml:space="preserve">LE</t>
        </is>
      </c>
      <c r="N20" s="4" t="inlineStr">
        <is>
          <t xml:space="preserve">Tecnologías de la información, telecomunicaciones y radiodifusión / Software / Software de administración de redes</t>
        </is>
      </c>
      <c r="O20" s="4" t="inlineStr">
        <is>
          <t xml:space="preserve">1 Unidad · Software de administración</t>
        </is>
      </c>
      <c r="P20" s="2"/>
      <c r="Q20" s="2"/>
      <c r="R20" s="0" t="inlineStr">
        <is>
          <t xml:space="preserve">24 meses</t>
        </is>
      </c>
      <c r="S20" s="0" t="inlineStr">
        <is>
          <t xml:space="preserve">No</t>
        </is>
      </c>
      <c r="T20" s="4"/>
      <c r="U20" s="0" t="inlineStr">
        <is>
          <t xml:space="preserve">Erika Valdés Rubio</t>
        </is>
      </c>
      <c r="V20" s="4" t="inlineStr">
        <is>
          <t xml:space="preserve">El objetivo de la presente licitación es proveer de una Solución Tecnológica Bajo Modalidad SaaS para Automatizar Procesos de Gestión Estratégica Institucional, que cumpla con las exigencias precisadas en las Bases Administrativas y Técnicas de la Propuesta.</t>
        </is>
      </c>
      <c r="W20" s="5" t="str">
        <f>HYPERLINK("https://www.mercadopublico.cl/Procurement/Modules/Attachment/ViewAttachment.aspx?enc=ezKWKY0t3dzbEpUAqHA0aJ1zkeGQE4uVMg6lN4KDdb0VT4vzLLd%2fzUFWULJIXqIIepJ0Ve6kRbfuAPrPGEKFjQRcKMxYlGyOTdVTNBQ2YY%2f%2bKXMiUpv3kCXTD7XKc5P7szVDPncsIjE8AblokQs0A2qqVxHMk7Oh41pdbtgum5jpcUFfqslwHtmM5OL7S5rXq%2fZBMRqQYgy5bS6Gc53oWmFCHr6bFwZ8aBxYbVY3sOcHy5Bdp0Vqzu4BLGdTzeiPgPJg1XpFJdSBYevFzh2oKP68SfpGC3YMlj25S9G6pyIkQzOdYq4BZFu%2fAMSieGYW","descargar bases")</f>
      </c>
    </row>
    <row r="21">
      <c r="A21" s="0" t="inlineStr">
        <is>
          <t xml:space="preserve">425-67-LE26</t>
        </is>
      </c>
      <c r="B21" s="4" t="inlineStr">
        <is>
          <t xml:space="preserve">Software de seguridad extendida y Ciberdefensa</t>
        </is>
      </c>
      <c r="C21" s="0" t="inlineStr">
        <is>
          <t xml:space="preserve">Publicada</t>
        </is>
      </c>
      <c r="D21" s="0" t="inlineStr">
        <is>
          <t xml:space="preserve">CORP ADMINISTRATIVA DEL PODER JUDICIAL</t>
        </is>
      </c>
      <c r="E21" s="0" t="inlineStr">
        <is>
          <t xml:space="preserve">Servicios</t>
        </is>
      </c>
      <c r="F21" s="0" t="inlineStr">
        <is>
          <t xml:space="preserve">Región Metropolitana de Santiago</t>
        </is>
      </c>
      <c r="G21" s="0" t="inlineStr">
        <is>
          <t xml:space="preserve">Santiago Centro</t>
        </is>
      </c>
      <c r="H21" s="2">
        <v>46289.704861</v>
      </c>
      <c r="I21" s="2">
        <v>46310.666667</v>
      </c>
      <c r="J21" s="0">
        <v>4</v>
      </c>
      <c r="K21" s="3"/>
      <c r="L21" s="0" t="inlineStr">
        <is>
          <t xml:space="preserve">USD</t>
        </is>
      </c>
      <c r="M21" s="0" t="inlineStr">
        <is>
          <t xml:space="preserve">LE</t>
        </is>
      </c>
      <c r="N21" s="4" t="inlineStr">
        <is>
          <t xml:space="preserve">Tecnologías de la información, telecomunicaciones y radiodifusión / Software / Software de seguridad y protección</t>
        </is>
      </c>
      <c r="O21" s="4" t="inlineStr">
        <is>
          <t xml:space="preserve">1 Unidad · Software de equipos de red privada virtual (VPN) o de seguridad de red</t>
        </is>
      </c>
      <c r="P21" s="2"/>
      <c r="Q21" s="2"/>
      <c r="R21" s="0" t="inlineStr">
        <is>
          <t xml:space="preserve">12 meses</t>
        </is>
      </c>
      <c r="S21" s="0" t="inlineStr">
        <is>
          <t xml:space="preserve">No</t>
        </is>
      </c>
      <c r="T21" s="4"/>
      <c r="U21" s="0" t="inlineStr">
        <is>
          <t xml:space="preserve">Jorge Quezada</t>
        </is>
      </c>
      <c r="V21" s="4" t="inlineStr">
        <is>
          <t xml:space="preserve">UE(1804) Software de seguridad extendida y protección de cadena de suministros para la Ciberdefensa de Poder Judicial, para ser utilizadas por el Departamento de Informática y Computación del Poder Judicial como herramienta de protección de riesgos cibernéticos “de la marca Poder Judicial”</t>
        </is>
      </c>
      <c r="W21" s="5" t="str">
        <f>HYPERLINK("https://www.mercadopublico.cl/Procurement/Modules/Attachment/ViewAttachment.aspx?enc=RoI%2fQdB1g56FG%2bUQrdyH2pQrmjQ9jBWYlWB5vDYAJAFX%2b887u69CmSWuax73gjGW%2fiXKCXWkCjLirR5m%2fcvs6M6m3S4iikC4t9DjZ7bebyyDgvnMVlYHMkJMBsIYm8dtyCSv0odnj40B8a69J5fi94fWJ%2fbmIUMstEBsx2TvNjVmMwBKjLi%2b%2fUkNnlRocffCYvR49lTIxH2IdnVnxKKxmQYnLzkC9AghI9CkqmXZdtWSY6M1vuUumep72TEMWnN2%2b%2b5KsUwY1Vp%2ffnguOj1RdyQMq%2b%2fvfdHfYO1xG97Vlb3%2fM13TkVyte7%2bjM0XxuCC7","descargar bases")</f>
      </c>
    </row>
    <row r="22">
      <c r="A22" s="0" t="inlineStr">
        <is>
          <t xml:space="preserve">948354-150-LP26</t>
        </is>
      </c>
      <c r="B22" s="4" t="inlineStr">
        <is>
          <t xml:space="preserve">CONTRATACIÓN DEL SERVICIO DE SISTEMA INFORMÁTICO PARA GESTIÓN DE DATOS DE BANCO DE SANGRE DEL HOSPITAL DIPRECA</t>
        </is>
      </c>
      <c r="C22" s="0" t="inlineStr">
        <is>
          <t xml:space="preserve">Publicada</t>
        </is>
      </c>
      <c r="D22" s="0" t="inlineStr">
        <is>
          <t xml:space="preserve">FONDO HOSPITAL DE LA DIRECCION DE PREVISION DE CARABINEROS DE CHILE</t>
        </is>
      </c>
      <c r="E22" s="0" t="inlineStr">
        <is>
          <t xml:space="preserve">Unidad de Compra de Bienes y Servicios</t>
        </is>
      </c>
      <c r="F22" s="0" t="inlineStr">
        <is>
          <t xml:space="preserve">Región Metropolitana de Santiago</t>
        </is>
      </c>
      <c r="G22" s="0" t="inlineStr">
        <is>
          <t xml:space="preserve">Las Condes</t>
        </is>
      </c>
      <c r="H22" s="2">
        <v>46300.512141</v>
      </c>
      <c r="I22" s="2">
        <v>46310.666667</v>
      </c>
      <c r="J22" s="0">
        <v>4</v>
      </c>
      <c r="K22" s="3">
        <v>175000000.0</v>
      </c>
      <c r="L22" s="0" t="inlineStr">
        <is>
          <t xml:space="preserve">CLP</t>
        </is>
      </c>
      <c r="M22" s="0" t="inlineStr">
        <is>
          <t xml:space="preserve">LP</t>
        </is>
      </c>
      <c r="N22" s="4" t="inlineStr">
        <is>
          <t xml:space="preserve">Tecnologías de la información, telecomunicaciones y radiodifusión / Software / Programas de desarrollo</t>
        </is>
      </c>
      <c r="O22" s="4" t="inlineStr">
        <is>
          <t xml:space="preserve">24 Mes · Software de desarrollo orientado a objetos o componentes</t>
        </is>
      </c>
      <c r="P22" s="2"/>
      <c r="Q22" s="2"/>
      <c r="R22" s="0" t="inlineStr">
        <is>
          <t xml:space="preserve">24 meses</t>
        </is>
      </c>
      <c r="S22" s="0" t="inlineStr">
        <is>
          <t xml:space="preserve">No</t>
        </is>
      </c>
      <c r="T22" s="4"/>
      <c r="U22" s="0" t="inlineStr">
        <is>
          <t xml:space="preserve">Patricio Salinas</t>
        </is>
      </c>
      <c r="V22" s="4" t="inlineStr">
        <is>
          <t xml:space="preserve">El Hospital de la Dirección de Previsión de Carabineros de Chile, ubicado en Vital Apoquindo N°1.200, Comuna de Las Condes, Región Metropolitana, en adelante “EL HOSPITAL”, llama a Licitación Pública para la Contratación del Servicio de Sistema Informático para Gestión de Datos de Banco de Sangre, en adelante “EL SERVICIO”, por un periodo de 24 meses, cuyas características y requisitos técnicos constan en las Bases Administrativas y Técnicas de esta Licitación con sus respectivos anexos.</t>
        </is>
      </c>
      <c r="W22" s="5" t="str">
        <f>HYPERLINK("https://www.mercadopublico.cl/Procurement/Modules/Attachment/ViewAttachment.aspx?enc=o0qaCdQ33YBK%2b23t6yZR4YLvY5yuQtxMLqYnoV%2f5q7ulu%2fzSA2Tgb9y5WQr0Bek0yaw3dkj4gBkYJk%2foWmFYfkUe2h17ER8VRcDWVt9Ukj1%2bsjs4R4nO%2bh96c4VZQyNmChpBciUoT19v84KsYCSHGKC18cGYomUr2Oj5CLwTb3HCXNH0JievLZs4sdoHjt1prPTp4mKBtvBw7eJ52cOBN5MC7OWB046ylJTyLYrfznlGk6I2KKXMWNDPVEq343Kpmsgq1%2bD0qCAJYcuy9GrZlQBR9tYeQrpp%2bANy6mHL5u0wyN2f3sstyrgpccA73vSK","descargar bases")</f>
      </c>
    </row>
    <row r="23">
      <c r="A23" s="0" t="inlineStr">
        <is>
          <t xml:space="preserve">847-55-LE26</t>
        </is>
      </c>
      <c r="B23" s="4" t="inlineStr">
        <is>
          <t xml:space="preserve">PLANI-ADQ. DE ACCESORIOS INFORMÁTICOS P04-SC61.307</t>
        </is>
      </c>
      <c r="C23" s="0" t="inlineStr">
        <is>
          <t xml:space="preserve">Publicada</t>
        </is>
      </c>
      <c r="D23" s="0" t="inlineStr">
        <is>
          <t xml:space="preserve">JUNTA NACIONAL DE JARDINES         INFANTILES</t>
        </is>
      </c>
      <c r="E23" s="0" t="inlineStr">
        <is>
          <t xml:space="preserve">Junji - V Región</t>
        </is>
      </c>
      <c r="F23" s="0" t="inlineStr">
        <is>
          <t xml:space="preserve">Región de Valparaíso </t>
        </is>
      </c>
      <c r="G23" s="0" t="inlineStr">
        <is>
          <t xml:space="preserve">Viña del Mar</t>
        </is>
      </c>
      <c r="H23" s="2">
        <v>46300.693623</v>
      </c>
      <c r="I23" s="2">
        <v>46310.75</v>
      </c>
      <c r="J23" s="0">
        <v>4</v>
      </c>
      <c r="K23" s="3"/>
      <c r="L23" s="0" t="inlineStr">
        <is>
          <t xml:space="preserve">CLP</t>
        </is>
      </c>
      <c r="M23" s="0" t="inlineStr">
        <is>
          <t xml:space="preserve">LE</t>
        </is>
      </c>
      <c r="N23" s="4" t="inlineStr">
        <is>
          <t xml:space="preserve">Artículos eléctricos y de iluminación / Equipamiento y artículos eléctricos / Conectores, enchufes y terminales, Muebles, accesorios, electrodomésticos y productos electrónicos / Equipos y accesorios audiovisuales / Equipos audiovisuales y de electrónica menor, Tecnologías de la información, telecomunicaciones y radiodifusión / Componentes para tecnología de la información, difusión o telecomunicaciones / Dispositivos de soporte de almacenamiento, Tecnologías de la información, telecomunicaciones y radiodifusión / Equipos informáticos y accesorios / Dispositivos informáticos de entrada de datos</t>
        </is>
      </c>
      <c r="O23" s="4" t="inlineStr">
        <is>
          <t xml:space="preserve">75 Unidad · Teclados · 75 Unidad · Trackballs y mouse de computador · 10 Unidad · Trackballs y mouse de computador · y 6 más</t>
        </is>
      </c>
      <c r="P23" s="2"/>
      <c r="Q23" s="2"/>
      <c r="R23" s="0"/>
      <c r="S23" s="0" t="inlineStr">
        <is>
          <t xml:space="preserve">No</t>
        </is>
      </c>
      <c r="T23" s="4"/>
      <c r="U23" s="0" t="inlineStr">
        <is>
          <t xml:space="preserve">Marcelo Pineda</t>
        </is>
      </c>
      <c r="V23" s="4" t="inlineStr">
        <is>
          <t xml:space="preserve">La Junta Nacional de Jardines Infantiles, JUNJI, a través de la Unidad de Tecnologías de la información, 
requiere la “Adquisición de accesorios informáticos para la Dirección Regional de la Junta Nacional de 
Jardines Infantiles de la Región de Valparaíso”. El objetivo de la presente licitación es proveer los 
artículos individualizados en las bases técnicas, los cuales serán destinados al cumplimiento de sus 
funciones institucionales.
Que, por las características técnicas de la presente, y para darle cabal cumplimiento, se levanta licitación 
pública con adjudicación múltiple, en nueve líneas de adjudicación independiente de la otra.</t>
        </is>
      </c>
      <c r="W23" s="5" t="str">
        <f>HYPERLINK("https://www.mercadopublico.cl/Procurement/Modules/Attachment/ViewAttachment.aspx?enc=pvlqaf58jdsLn9myMCZCQ2JM3o%2fhvxnnvnWqglMRDDI9Yyv4lN8y3pe%2bQ4ITRqcDOoQmYk%2bWY6Bcw7U8mgIiZZybpvgycwoqf6xY0W368gdvT4JR%2bKex%2bIKFHEr8dy6mPUqegzXIp9GNUheDCRIatIjE2oaM3ebSFtJB0m%2fWRH%2fNpGLCZ2mrUjfyfXcUf9DkRWEBLomiqYnzuTXaV2ABBxENADKb9V87W%2bDqzSPcmhgVyTSaVz3SaDJo3RcJAIm3kqPHsw0AG%2fj7UK4J3Tx8UAYTdYtVhu6jYUDRbqIFHk%2f0TVPygBNTVPLJjhN701HY","descargar bases")</f>
      </c>
    </row>
    <row r="24">
      <c r="A24" s="0" t="inlineStr">
        <is>
          <t xml:space="preserve">1375761-51-LP26</t>
        </is>
      </c>
      <c r="B24" s="4" t="inlineStr">
        <is>
          <t xml:space="preserve">SIST. INF PLATAFORMA DE GESTION ESCOLAR SLEP V.D</t>
        </is>
      </c>
      <c r="C24" s="0" t="inlineStr">
        <is>
          <t xml:space="preserve">Publicada</t>
        </is>
      </c>
      <c r="D24" s="0" t="inlineStr">
        <is>
          <t xml:space="preserve">SERVICIO LOCAL DE EDUCACIÓN PÚBLICA VALLE DIGUILLÍN</t>
        </is>
      </c>
      <c r="E24" s="0" t="inlineStr">
        <is>
          <t xml:space="preserve">COMPRAS Y LICITACIONES</t>
        </is>
      </c>
      <c r="F24" s="0" t="inlineStr">
        <is>
          <t xml:space="preserve">Región del Ñuble</t>
        </is>
      </c>
      <c r="G24" s="0"/>
      <c r="H24" s="2">
        <v>46300.620231</v>
      </c>
      <c r="I24" s="2">
        <v>46310.751389</v>
      </c>
      <c r="J24" s="0">
        <v>4</v>
      </c>
      <c r="K24" s="3"/>
      <c r="L24" s="0" t="inlineStr">
        <is>
          <t xml:space="preserve">CLP</t>
        </is>
      </c>
      <c r="M24" s="0" t="inlineStr">
        <is>
          <t xml:space="preserve">LP</t>
        </is>
      </c>
      <c r="N24" s="4" t="inlineStr">
        <is>
          <t xml:space="preserve">Tecnologías de la información, telecomunicaciones y radiodifusión / Software / Software de consultas y gestión de datos</t>
        </is>
      </c>
      <c r="O24" s="4" t="inlineStr">
        <is>
          <t xml:space="preserve">1 Unidad · Software del sistema de administración de bases de datos</t>
        </is>
      </c>
      <c r="P24" s="2"/>
      <c r="Q24" s="2"/>
      <c r="R24" s="0" t="inlineStr">
        <is>
          <t xml:space="preserve">24 meses</t>
        </is>
      </c>
      <c r="S24" s="0" t="inlineStr">
        <is>
          <t xml:space="preserve">No</t>
        </is>
      </c>
      <c r="T24" s="4"/>
      <c r="U24" s="0" t="inlineStr">
        <is>
          <t xml:space="preserve">Subdirector de Apoyo Técnico Pedagógico</t>
        </is>
      </c>
      <c r="V24" s="4" t="inlineStr">
        <is>
          <t xml:space="preserve">Dotar a las unidades educativas con los distintos suministros, insumos y servicios necesarios, para una gestión y comunicación más eficiente y ordenada para los miembros de las comunidades educativas dependientes del Servicio Local de Educación Valle Diguillín.</t>
        </is>
      </c>
      <c r="W24" s="5" t="str">
        <f>HYPERLINK("https://www.mercadopublico.cl/Procurement/Modules/Attachment/ViewAttachment.aspx?enc=wxenJKb9yHhnflJDF%2fYEBHglV5%2foEAjCdrMg3ADlnajJBYP7Ae7ceusSMK3%2bkWe1m9sDFUxTVnwNkjx7ZTRT2Lqc0ZbmKoPdSIVEJT1wZrWyv670ht%2bO0%2b7TW%2bxS7usCakP1JuEKtajOILYsZl4c2fmg6%2fAM9SM1qumi3twUd0N1fezkVyJLcSX2uoK6rJeD2jbEaZnKcKEkeu%2fHrAa6BzM5WOIRmNam7XnEObj8Xf9DQ0vgzhGoZHnbeKzgmgJEEN2esycn7Ylg9KZQdhfdFoTqJuN8HajqPDWnlA3lGQp%2fOs0X4pqQsRkqMp67dvry","descargar bases")</f>
      </c>
    </row>
    <row r="25">
      <c r="A25" s="0" t="inlineStr">
        <is>
          <t xml:space="preserve">1660-150-L126</t>
        </is>
      </c>
      <c r="B25" s="4" t="inlineStr">
        <is>
          <t xml:space="preserve">COMPRA DE SERVICIO TONS/TENS BODEGA DENTAL DE FARMACIA Y GESTIÓN DOCUMENTAL PARA EL HOSPITAL DE SALAMANCA</t>
        </is>
      </c>
      <c r="C25" s="0" t="inlineStr">
        <is>
          <t xml:space="preserve">Publicada</t>
        </is>
      </c>
      <c r="D25" s="0" t="inlineStr">
        <is>
          <t xml:space="preserve">SERVICIO SALUD COQUIMBO HOSP DE SALAMANC</t>
        </is>
      </c>
      <c r="E25" s="0" t="inlineStr">
        <is>
          <t xml:space="preserve">SERVICIO SALUD COQUIMBO HOSP DE SALAMANC</t>
        </is>
      </c>
      <c r="F25" s="0" t="inlineStr">
        <is>
          <t xml:space="preserve">Región de Coquimbo </t>
        </is>
      </c>
      <c r="G25" s="0" t="inlineStr">
        <is>
          <t xml:space="preserve">Salamanca</t>
        </is>
      </c>
      <c r="H25" s="2">
        <v>46300.692477</v>
      </c>
      <c r="I25" s="2">
        <v>46310.791667</v>
      </c>
      <c r="J25" s="0">
        <v>4</v>
      </c>
      <c r="K25" s="3">
        <v>1324000.0</v>
      </c>
      <c r="L25" s="0" t="inlineStr">
        <is>
          <t xml:space="preserve">CLP</t>
        </is>
      </c>
      <c r="M25" s="0" t="inlineStr">
        <is>
          <t xml:space="preserve">L1</t>
        </is>
      </c>
      <c r="N25" s="4" t="inlineStr">
        <is>
          <t xml:space="preserve">Servicios profesionales, administrativos y consultorías de gestión empresarial / Servicios de recursos humanos / Contratación de personal</t>
        </is>
      </c>
      <c r="O25" s="4" t="inlineStr">
        <is>
          <t xml:space="preserve">1 Unidad · Personal técnico</t>
        </is>
      </c>
      <c r="P25" s="2"/>
      <c r="Q25" s="2"/>
      <c r="R25" s="0"/>
      <c r="S25" s="0" t="inlineStr">
        <is>
          <t xml:space="preserve">No</t>
        </is>
      </c>
      <c r="T25" s="4"/>
      <c r="U25" s="0"/>
      <c r="V25" s="4" t="inlineStr">
        <is>
          <t xml:space="preserve">COMPRA DE SERVICIO TONS/TENS BODEGA DENTAL DE FARMACIA Y GESTIÓN DOCUMENTAL PARA EL HOSPITAL DE SALAMANCA</t>
        </is>
      </c>
      <c r="W25" s="5" t="str">
        <f>HYPERLINK("https://www.mercadopublico.cl/Procurement/Modules/Attachment/ViewAttachment.aspx?enc=2lcG5zTbtCymGf8m%2bcPT9OQR19DW%2bsQLnCqmWPzTzSNX%2foGdy1r88bUHYYSPYH792QhlVY2ZpDcgqErB8mmCCqYVDJ5c%2bDyHsH0YmxXFQXv7ONo0uIgzpYIVeD1IhtDmximxPqxDI8TK8jBiLtooRhhlSzdvgys5GwyFFaMvmXUB1umCqPV5ZjFROtTk8CLL7J%2b9Z4rF2oM%2fidyOjK5Z8%2f5XLKXKYEfZMYN0pk1n6gkFFo9UmYVqAdzlanPIO4x6KNX8Z%2ftEKRAMpUxGX4pLVQxCkfqbDGwiTXyztto06S4Dpdb9MjfE0wop3HaXwJLE","descargar bases")</f>
      </c>
    </row>
    <row r="26">
      <c r="A26" s="0" t="inlineStr">
        <is>
          <t xml:space="preserve">2852-59-LP26</t>
        </is>
      </c>
      <c r="B26" s="4" t="inlineStr">
        <is>
          <t xml:space="preserve">ADQUISICION DE LICENCIAS DE SOFTWARE</t>
        </is>
      </c>
      <c r="C26" s="0" t="inlineStr">
        <is>
          <t xml:space="preserve">Publicada</t>
        </is>
      </c>
      <c r="D26" s="0" t="inlineStr">
        <is>
          <t xml:space="preserve">I MUNICIPALIDAD DE PUERTO VARAS</t>
        </is>
      </c>
      <c r="E26" s="0" t="inlineStr">
        <is>
          <t xml:space="preserve">Adquisiciones Municipalidad</t>
        </is>
      </c>
      <c r="F26" s="0" t="inlineStr">
        <is>
          <t xml:space="preserve">Región de los Lagos </t>
        </is>
      </c>
      <c r="G26" s="0" t="inlineStr">
        <is>
          <t xml:space="preserve">Puerto Varas</t>
        </is>
      </c>
      <c r="H26" s="2">
        <v>46290.736111</v>
      </c>
      <c r="I26" s="2">
        <v>46310.829167</v>
      </c>
      <c r="J26" s="0">
        <v>4</v>
      </c>
      <c r="K26" s="3"/>
      <c r="L26" s="0" t="inlineStr">
        <is>
          <t xml:space="preserve">CLP</t>
        </is>
      </c>
      <c r="M26" s="0" t="inlineStr">
        <is>
          <t xml:space="preserve">LP</t>
        </is>
      </c>
      <c r="N26" s="4" t="inlineStr">
        <is>
          <t xml:space="preserve">Tecnologías de la información, telecomunicaciones y radiodifusión / Software / Software de consultas y gestión de datos, Tecnologías de la información, telecomunicaciones y radiodifusión / Software / Software de gestión, Tecnologías de la información, telecomunicaciones y radiodifusión / Software / Software de planificación de recursos empresariales (ERP) y contabilidad financiera</t>
        </is>
      </c>
      <c r="O26" s="4" t="inlineStr">
        <is>
          <t xml:space="preserve">1 Unidad · Software de gestión de licencias · 1 Unidad · Software de gestión de licencias · 1 Unidad · Software de gestión de licencias · y 8 más</t>
        </is>
      </c>
      <c r="P26" s="2"/>
      <c r="Q26" s="2"/>
      <c r="R26" s="0"/>
      <c r="S26" s="0" t="inlineStr">
        <is>
          <t xml:space="preserve">No</t>
        </is>
      </c>
      <c r="T26" s="4"/>
      <c r="U26" s="0" t="inlineStr">
        <is>
          <t xml:space="preserve">Segundo Garcés Leuquen</t>
        </is>
      </c>
      <c r="V26" s="4" t="inlineStr">
        <is>
          <t xml:space="preserve">La presente licitación pública tiene por objeto adquirir, licencias de software para distintos departamentos municipales que nos asegure un alto estándar de calidad, eficiencia y nos asegure la continuidad de todos los servicios, integridad, de acuerdo con los requerimientos y las condiciones establecidas en las presentes Bases Administrativas, Requerimientos Técnicos y anexos que forman parte de ellas y las aclaraciones que se hicieren a éstos. El sistema de contratación será licitado en propuesta Pública y publicada en el portal www.mercadopublico.cl.</t>
        </is>
      </c>
      <c r="W26" s="5" t="str">
        <f>HYPERLINK("https://www.mercadopublico.cl/Procurement/Modules/Attachment/ViewAttachment.aspx?enc=yKjCJu%2fa5mFjk70p%2b11SCQLIubmaQD91I9iX32GkOAFCRyFqZR7tb9tfnWqjwXiy8eRtuZiDu4QdQxDeUXdptcXzaeNAHDEG95X4Dwkwe4N0DJvDSR5fZqVwI1sYLeu7jnvl%2fiL0dML9%2bvSR7GAmiva29RFbwLwKH%2br8nb%2f7R3Ir9pJrrukgDix18byAQed8z9oER3MotNi1g%2f9JR43K1ujW82UV5qsPCsEnizXMIR0hF2wfIS22CHkTeaMau1jm2oLHPvLIAP49GyRFcTcE%2bDHxkFzpSAGNx0q5Jx914VPSmCRtSW4zdgN4dycFh2NN","descargar bases")</f>
      </c>
    </row>
    <row r="27">
      <c r="A27" s="0" t="inlineStr">
        <is>
          <t xml:space="preserve">2343-33-LE26</t>
        </is>
      </c>
      <c r="B27" s="4" t="inlineStr">
        <is>
          <t xml:space="preserve">ADQUISICION DE PLATAFORMA TECNOLOGICA UAS</t>
        </is>
      </c>
      <c r="C27" s="0" t="inlineStr">
        <is>
          <t xml:space="preserve">Publicada</t>
        </is>
      </c>
      <c r="D27" s="0" t="inlineStr">
        <is>
          <t xml:space="preserve">I MUNICIPALIDAD DE SANTIAGO</t>
        </is>
      </c>
      <c r="E27" s="0" t="inlineStr">
        <is>
          <t xml:space="preserve">DEPARTAMENTO DE COMPRAS</t>
        </is>
      </c>
      <c r="F27" s="0" t="inlineStr">
        <is>
          <t xml:space="preserve">Región Metropolitana de Santiago</t>
        </is>
      </c>
      <c r="G27" s="0" t="inlineStr">
        <is>
          <t xml:space="preserve">Santiago</t>
        </is>
      </c>
      <c r="H27" s="2">
        <v>46300.401123</v>
      </c>
      <c r="I27" s="2">
        <v>46311.583333</v>
      </c>
      <c r="J27" s="0">
        <v>5</v>
      </c>
      <c r="K27" s="3"/>
      <c r="L27" s="0" t="inlineStr">
        <is>
          <t xml:space="preserve">CLP</t>
        </is>
      </c>
      <c r="M27" s="0" t="inlineStr">
        <is>
          <t xml:space="preserve">LE</t>
        </is>
      </c>
      <c r="N27" s="4" t="inlineStr">
        <is>
          <t xml:space="preserve">Equipos y suministros de defensa, orden público, protección y seguridad / Seguridad, vigilancia y detección / Equipo de vigilancia y detección</t>
        </is>
      </c>
      <c r="O27" s="4" t="inlineStr">
        <is>
          <t xml:space="preserve">1 Unidad · Cámaras de seguridad</t>
        </is>
      </c>
      <c r="P27" s="2"/>
      <c r="Q27" s="2"/>
      <c r="R27" s="0" t="inlineStr">
        <is>
          <t xml:space="preserve">12 meses</t>
        </is>
      </c>
      <c r="S27" s="0" t="inlineStr">
        <is>
          <t xml:space="preserve">No</t>
        </is>
      </c>
      <c r="T27" s="4"/>
      <c r="U27" s="0" t="inlineStr">
        <is>
          <t xml:space="preserve">ALVARO ADASME</t>
        </is>
      </c>
      <c r="V27" s="4" t="inlineStr">
        <is>
          <t xml:space="preserve">La Ilustre Municipalidad de Santiago, en adelante la “Municipalidad”, en el cumplimiento de sus
funciones establecidas en la Ley N°18.695, Orgánica Constitucional de Municipalidades, requiere
contratar la plataforma y los servicios asociados a la iniciativa denominada “ADQUISICIÓN DE
PLATAFORMA TECNOLÓGICA DE TELEVIGILANCIA UAS”.</t>
        </is>
      </c>
      <c r="W27" s="5" t="str">
        <f>HYPERLINK("https://www.mercadopublico.cl/Procurement/Modules/Attachment/ViewAttachment.aspx?enc=WuQFHxmmRlMCskttjaeEFR0y5iwbshNeukvbLYaJlmdzSELRme7KloFsDSG%2fieMS4Iws8fQlm9B6d971jS2l2GMa3cFPNmWD8bKZsVmRLsx7a5hcjyUhc1MqyWfXddyYlzkIYi7tMNn2bFH8OUeTunjf1SE1y4SvWTvrMUXC1cFN4Y2dbQ41ZkWNCUArW8TtbG7qdkjtJGdM5RxZoMrYbRaD0h9ay979na8x2ru1QJwmQ%2ffb112o0wU3qsbryZkLZGIb25XDbqUW6PA2Hr1dJuDKXJCECWQeS7kIWSsAUIq98CbLErceFodx3jPiNIjo","descargar bases")</f>
      </c>
    </row>
    <row r="28">
      <c r="A28" s="0" t="inlineStr">
        <is>
          <t xml:space="preserve">1079639-23-LE26</t>
        </is>
      </c>
      <c r="B28" s="4" t="inlineStr">
        <is>
          <t xml:space="preserve">RENOVACIÓN SOFTWARE INSEYETS PRO POR 12 MESES</t>
        </is>
      </c>
      <c r="C28" s="0" t="inlineStr">
        <is>
          <t xml:space="preserve">Publicada</t>
        </is>
      </c>
      <c r="D28" s="0" t="inlineStr">
        <is>
          <t xml:space="preserve">DIRECCION DE LOGISTICA DE CARABINEROS</t>
        </is>
      </c>
      <c r="E28" s="0" t="inlineStr">
        <is>
          <t xml:space="preserve">SECCIÓN COMPRAS ZONA DE CARABINEROS LOS LAGOS</t>
        </is>
      </c>
      <c r="F28" s="0" t="inlineStr">
        <is>
          <t xml:space="preserve">Región de los Lagos </t>
        </is>
      </c>
      <c r="G28" s="0" t="inlineStr">
        <is>
          <t xml:space="preserve">Puerto Montt</t>
        </is>
      </c>
      <c r="H28" s="2">
        <v>46302.755139</v>
      </c>
      <c r="I28" s="2">
        <v>46311.625</v>
      </c>
      <c r="J28" s="0">
        <v>5</v>
      </c>
      <c r="K28" s="3"/>
      <c r="L28" s="0" t="inlineStr">
        <is>
          <t xml:space="preserve">CLP</t>
        </is>
      </c>
      <c r="M28" s="0" t="inlineStr">
        <is>
          <t xml:space="preserve">LE</t>
        </is>
      </c>
      <c r="N28" s="4" t="inlineStr">
        <is>
          <t xml:space="preserve">Tecnologías de la información, telecomunicaciones y radiodifusión / Software / Software de gestión</t>
        </is>
      </c>
      <c r="O28" s="4" t="inlineStr">
        <is>
          <t xml:space="preserve">1 Unidad · Software de sistema experto</t>
        </is>
      </c>
      <c r="P28" s="2"/>
      <c r="Q28" s="2"/>
      <c r="R28" s="0"/>
      <c r="S28" s="0" t="inlineStr">
        <is>
          <t xml:space="preserve">No</t>
        </is>
      </c>
      <c r="T28" s="4"/>
      <c r="U28" s="0" t="inlineStr">
        <is>
          <t xml:space="preserve">GERMÁN CANDIA CONCHA</t>
        </is>
      </c>
      <c r="V28" s="4" t="inlineStr">
        <is>
          <t xml:space="preserve">RENOVACIÓN SOFTWARE INSEYETS PRO POR 12 MESES PARA LA SECCIÓN OS9 LOS LAGOS</t>
        </is>
      </c>
      <c r="W28" s="5" t="str">
        <f>HYPERLINK("https://www.mercadopublico.cl/Procurement/Modules/Attachment/ViewAttachment.aspx?enc=nZJx8upZ%2fVOPqi7eEQDqz2oBMwpPJa64tPyBOaVh8iiFa%2feO0yfTjEseEzBad5QcYrQ2v8WMdgMf2KkEOIMM8LCFCoKbQRAMzDQaqor4SqAQlKLRMz2ojtmCcwBTMJZIxay0%2boe3AcQWvpg0UNFCnC48h9J5GnjZkNjgZQtJHNw80A%2bN1AeSq1siaUCv20eVwhq8BRE%2f%2fxDelx9neL2Nk0PhRXMXg%2fZScpZFa%2bSUYwsXOyg7F%2fvR4BqYz%2bLiUReZvo8SyxilJBTxk78CdarFgRpDexuur9rgiSQExbZb9HuIxGtMW3UyV0bJziSBq0r%2b","descargar bases")</f>
      </c>
    </row>
    <row r="29">
      <c r="A29" s="0" t="inlineStr">
        <is>
          <t xml:space="preserve">3712-70-LE26</t>
        </is>
      </c>
      <c r="B29" s="4" t="inlineStr">
        <is>
          <t xml:space="preserve">ADQUISICION DE TOTEM DE AUTOATENCION CHILEATIENDE</t>
        </is>
      </c>
      <c r="C29" s="0" t="inlineStr">
        <is>
          <t xml:space="preserve">Publicada</t>
        </is>
      </c>
      <c r="D29" s="0" t="inlineStr">
        <is>
          <t xml:space="preserve">I MUNICIPALIDAD DE LOS VILOS</t>
        </is>
      </c>
      <c r="E29" s="0" t="inlineStr">
        <is>
          <t xml:space="preserve">Finanzas</t>
        </is>
      </c>
      <c r="F29" s="0" t="inlineStr">
        <is>
          <t xml:space="preserve">Región de Coquimbo </t>
        </is>
      </c>
      <c r="G29" s="0" t="inlineStr">
        <is>
          <t xml:space="preserve">Los Vilos</t>
        </is>
      </c>
      <c r="H29" s="2">
        <v>46301.746134</v>
      </c>
      <c r="I29" s="2">
        <v>46311.625</v>
      </c>
      <c r="J29" s="0">
        <v>5</v>
      </c>
      <c r="K29" s="3"/>
      <c r="L29" s="0" t="inlineStr">
        <is>
          <t xml:space="preserve">CLP</t>
        </is>
      </c>
      <c r="M29" s="0" t="inlineStr">
        <is>
          <t xml:space="preserve">LE</t>
        </is>
      </c>
      <c r="N29" s="4" t="inlineStr">
        <is>
          <t xml:space="preserve">Tecnologías de la información, telecomunicaciones y radiodifusión / Equipos informáticos y accesorios / Pantallas o monitores de computador</t>
        </is>
      </c>
      <c r="O29" s="4" t="inlineStr">
        <is>
          <t xml:space="preserve">1 Unidad · Monitores de pantalla táctil</t>
        </is>
      </c>
      <c r="P29" s="2"/>
      <c r="Q29" s="2"/>
      <c r="R29" s="0"/>
      <c r="S29" s="0" t="inlineStr">
        <is>
          <t xml:space="preserve">No</t>
        </is>
      </c>
      <c r="T29" s="4"/>
      <c r="U29" s="0" t="inlineStr">
        <is>
          <t xml:space="preserve">ANDREA TAPIA GODOY</t>
        </is>
      </c>
      <c r="V29" s="4" t="inlineStr">
        <is>
          <t xml:space="preserve">La Municipalidad de Los Vilos, a través del Programa Registro Social de Hogares, requiere adquirir dos 02 Tótems de Autoservicio ChileAtiende, destinados a su instalación en las Delegaciones Municipales de Quilimarí y Caimanes, con el propósito de facilitar y acercar a la comunidad el acceso a diversos trámites, consultas y certificados de servicios públicos. La implementación de estos dispositivos permitirá fortalecer la atención y orientación a los usuarios, promoviendo la autogestión, reduciendo los tiempos de espera y desplazamiento, y optimizando los recursos y tiempos destinados por las profesionales municipales a la atención presencial, contribuyendo de esta manera a una prestación de servicios más oportuna, eficiente y accesible para los habitantes de dichos sectores.</t>
        </is>
      </c>
      <c r="W29" s="5" t="str">
        <f>HYPERLINK("https://www.mercadopublico.cl/Procurement/Modules/Attachment/ViewAttachment.aspx?enc=47GDRsx8eN6TmjuCNZpjyZuxF%2bcv73Q%2bf6TtPEKfBiAlWNaWhZ0oXZHk3ATB7QHs8YrbPMev7SmIJvYeYFZgy%2bUyWbNCJAbHh7N8jO9Vmj3ox1SYm%2f6KLXAlQ%2bn2UBUwx34RIympQELRWQA4D8OC%2fflgook3CgaRn2%2fbppOb00LpEYUE2dNLbtJQolH38F%2bG4wIZEMKo2VeM4tTwR41eXthocx3KmrAT%2fhUiUbGvZgPcdo5%2bOJeBcM8a5rSaaVDFhruYkWqWtYQFqoDnkrlhAH11z9MR9%2fo7D62rnz4AbAtFozh2Hm%2fQKAPGEkak9HGe","descargar bases")</f>
      </c>
    </row>
    <row r="30">
      <c r="A30" s="0" t="inlineStr">
        <is>
          <t xml:space="preserve">4459-23-LP26</t>
        </is>
      </c>
      <c r="B30" s="4" t="inlineStr">
        <is>
          <t xml:space="preserve">Plataforma de Sistemas Informáticos de Gestión Municipal para la Ilustre Municipalidad de Pichilemu</t>
        </is>
      </c>
      <c r="C30" s="0" t="inlineStr">
        <is>
          <t xml:space="preserve">Publicada</t>
        </is>
      </c>
      <c r="D30" s="0" t="inlineStr">
        <is>
          <t xml:space="preserve">ILUSTRE MUNICIPALIDAD DE PICHILEMU</t>
        </is>
      </c>
      <c r="E30" s="0" t="inlineStr">
        <is>
          <t xml:space="preserve">Departamento de Proyectos</t>
        </is>
      </c>
      <c r="F30" s="0" t="inlineStr">
        <is>
          <t xml:space="preserve">Región del Libertador General Bernardo O´Higgins</t>
        </is>
      </c>
      <c r="G30" s="0" t="inlineStr">
        <is>
          <t xml:space="preserve">Pichilemu</t>
        </is>
      </c>
      <c r="H30" s="2">
        <v>46290.508056</v>
      </c>
      <c r="I30" s="2">
        <v>46311.625</v>
      </c>
      <c r="J30" s="0">
        <v>5</v>
      </c>
      <c r="K30" s="3">
        <v>265216200.0</v>
      </c>
      <c r="L30" s="0" t="inlineStr">
        <is>
          <t xml:space="preserve">CLP</t>
        </is>
      </c>
      <c r="M30" s="0" t="inlineStr">
        <is>
          <t xml:space="preserve">LP</t>
        </is>
      </c>
      <c r="N30" s="4" t="inlineStr">
        <is>
          <t xml:space="preserve">Tecnologías de la información, telecomunicaciones y radiodifusión / Software / Software de administración de redes</t>
        </is>
      </c>
      <c r="O30" s="4" t="inlineStr">
        <is>
          <t xml:space="preserve">1 Unidad · Software de mejora de sistemas operativos de redes</t>
        </is>
      </c>
      <c r="P30" s="2"/>
      <c r="Q30" s="2"/>
      <c r="R30" s="0"/>
      <c r="S30" s="0" t="inlineStr">
        <is>
          <t xml:space="preserve">No</t>
        </is>
      </c>
      <c r="T30" s="4"/>
      <c r="U30" s="0" t="inlineStr">
        <is>
          <t xml:space="preserve">Isabel Riquelme Gonzalez</t>
        </is>
      </c>
      <c r="V30"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 mediante servicios en línea y facilitar la gestión interna de las distintas unidades municipales, contribuyendo a una mayor eficiencia, transparencia y modernización institucional.</t>
        </is>
      </c>
      <c r="W30" s="5" t="str">
        <f>HYPERLINK("https://www.mercadopublico.cl/Procurement/Modules/Attachment/ViewAttachment.aspx?enc=siUOUf1c%2fAVEcOO5VV8joBDTs7h44PBDQBdlWtDQlZgWtn7ZO01Jhi9tFdW0gNHg3COPufq1sNmwNmYa7ay8spkhOO3OOuMjiwiW2dRyWgXFI57ucekD9aVcS%2bccOrQaB8ACoiP8fCFopw804AFd66f7Xnci%2fxRl6WzeyOg57UmZf54PWpZ243thrtWoYIFZwsQUC8du4v7lI0nZxt0tDSBPqVl4eE98d6WJJfnRM%2f0BqlHCZ85vIqE%2biuQ7nfg0fmbHPCIZA2n6dqS5qdZrlJtCnstxZxH4ctGxB8hP22bs%2fRerzOCYq3Hx2RG2FVCj","descargar bases")</f>
      </c>
    </row>
    <row r="31">
      <c r="A31" s="0" t="inlineStr">
        <is>
          <t xml:space="preserve">4511-58-LE26</t>
        </is>
      </c>
      <c r="B31" s="4" t="inlineStr">
        <is>
          <t xml:space="preserve">Contratación de software trámites en línea Dirección de Obras Municipales I. Municipalidad de Retiro</t>
        </is>
      </c>
      <c r="C31" s="0" t="inlineStr">
        <is>
          <t xml:space="preserve">Publicada</t>
        </is>
      </c>
      <c r="D31" s="0" t="inlineStr">
        <is>
          <t xml:space="preserve">ILUSTRE MUNICIPALIDAD DE RETIRO</t>
        </is>
      </c>
      <c r="E31" s="0" t="inlineStr">
        <is>
          <t xml:space="preserve">Secpla</t>
        </is>
      </c>
      <c r="F31" s="0" t="inlineStr">
        <is>
          <t xml:space="preserve">Región del Maule </t>
        </is>
      </c>
      <c r="G31" s="0" t="inlineStr">
        <is>
          <t xml:space="preserve">Retiro</t>
        </is>
      </c>
      <c r="H31" s="2">
        <v>46300.657037</v>
      </c>
      <c r="I31" s="2">
        <v>46311.625</v>
      </c>
      <c r="J31" s="0">
        <v>5</v>
      </c>
      <c r="K31" s="3"/>
      <c r="L31" s="0" t="inlineStr">
        <is>
          <t xml:space="preserve">CLP</t>
        </is>
      </c>
      <c r="M31" s="0" t="inlineStr">
        <is>
          <t xml:space="preserve">LE</t>
        </is>
      </c>
      <c r="N31" s="4" t="inlineStr">
        <is>
          <t xml:space="preserve">Tecnologías de la información, telecomunicaciones y radiodifusión / Software / Software de consultas y gestión de datos</t>
        </is>
      </c>
      <c r="O31" s="4" t="inlineStr">
        <is>
          <t xml:space="preserve">1 Global · Software de creación de informes de bases de datos</t>
        </is>
      </c>
      <c r="P31" s="2"/>
      <c r="Q31" s="2"/>
      <c r="R31" s="0" t="inlineStr">
        <is>
          <t xml:space="preserve">24 meses</t>
        </is>
      </c>
      <c r="S31" s="0" t="inlineStr">
        <is>
          <t xml:space="preserve">No</t>
        </is>
      </c>
      <c r="T31" s="4" t="inlineStr">
        <is>
          <t xml:space="preserve">CONFORME NUMERAl 21.8</t>
        </is>
      </c>
      <c r="U31" s="0" t="inlineStr">
        <is>
          <t xml:space="preserve">ADELQUI MILLAR</t>
        </is>
      </c>
      <c r="V31" s="4" t="inlineStr">
        <is>
          <t xml:space="preserve">Existe la necesidad de contratar el arriendo software en la nube, que permita implementar una plataforma digital, a través de la cual la ciudadanía pueda realizar en forma remota trámites ante la Dirección de Obras Municipales (DOM) de la comuna de Retiro, entre los que figuran permisos de edificación, subdivisión, urbanización, regularizaciones y certificados, entre otros.</t>
        </is>
      </c>
      <c r="W31" s="5" t="str">
        <f>HYPERLINK("https://www.mercadopublico.cl/Procurement/Modules/Attachment/ViewAttachment.aspx?enc=Qfin2sIz3wsrqv9GKeZSFjqPQU7ShxDpMtU2cO5iW3RBDt%2bscrO0KTLWabPsaL4SIm66qr4LY%2bRGV%2fAAwKPvl%2buyoyEB0S5R7Ep%2b2E0qP5Z7tRHb4QEnu9xLL6B%2fksnh7BP61COPyFMGGy4g8k5Q0RprvKAA%2fesLB0l3mZghgkiDEBB9gZI6IbGONzhNuSS6g16nx5o7Sz3sveyYMUzlsDYLk3lZXUDExL5fapSNNGFHbvU%2f8u%2f4tZv5RFcMZnzm3vxzBBYafbtcRfFLudiYMsLl55fdepraP494rPyN3cg5Uu2UakWd%2fiZseGUERf5K","descargar bases")</f>
      </c>
    </row>
    <row r="32">
      <c r="A32" s="0" t="inlineStr">
        <is>
          <t xml:space="preserve">976-20-LE26</t>
        </is>
      </c>
      <c r="B32" s="4" t="inlineStr">
        <is>
          <t xml:space="preserve">Equipos computacionales e informáticos</t>
        </is>
      </c>
      <c r="C32" s="0" t="inlineStr">
        <is>
          <t xml:space="preserve">Publicada</t>
        </is>
      </c>
      <c r="D32" s="0" t="inlineStr">
        <is>
          <t xml:space="preserve">MINISTERIO DE OBRAS PUBLICAS DIREC CION GRAL DE OO PP DCYF</t>
        </is>
      </c>
      <c r="E32" s="0" t="inlineStr">
        <is>
          <t xml:space="preserve">Dirección de Aeropuertos - MOPTT</t>
        </is>
      </c>
      <c r="F32" s="0" t="inlineStr">
        <is>
          <t xml:space="preserve">Región Metropolitana de Santiago</t>
        </is>
      </c>
      <c r="G32" s="0" t="inlineStr">
        <is>
          <t xml:space="preserve">Santiago Centro</t>
        </is>
      </c>
      <c r="H32" s="2">
        <v>46302.640197</v>
      </c>
      <c r="I32" s="2">
        <v>46311.625</v>
      </c>
      <c r="J32" s="0">
        <v>5</v>
      </c>
      <c r="K32" s="3">
        <v>70000000.0</v>
      </c>
      <c r="L32" s="0" t="inlineStr">
        <is>
          <t xml:space="preserve">CLP</t>
        </is>
      </c>
      <c r="M32" s="0" t="inlineStr">
        <is>
          <t xml:space="preserve">LE</t>
        </is>
      </c>
      <c r="N32" s="4" t="inlineStr">
        <is>
          <t xml:space="preserve">Tecnologías de la información, telecomunicaciones y radiodifusión / Equipos informáticos y accesorios / Computadores, Tecnologías de la información, telecomunicaciones y radiodifusión / Equipos informáticos y accesorios / Impresoras</t>
        </is>
      </c>
      <c r="O32" s="4" t="inlineStr">
        <is>
          <t xml:space="preserve">1 Unidad · Trazadoras de gráficos · 15 Unidad · Computadores de escritorio · 41 Unidad · Notebook, laptop o computador portátil excepto Tablet PC · y 2 más</t>
        </is>
      </c>
      <c r="P32" s="2"/>
      <c r="Q32" s="2"/>
      <c r="R32" s="0"/>
      <c r="S32" s="0" t="inlineStr">
        <is>
          <t xml:space="preserve">No</t>
        </is>
      </c>
      <c r="T32" s="4" t="inlineStr">
        <is>
          <t xml:space="preserve">Numeral 10.5 de las BA_Subcontratación. El adjudicatario no podrá subcontratar los servicios derivados de la ejecución de los servicios que se suscriba.</t>
        </is>
      </c>
      <c r="U32" s="0" t="inlineStr">
        <is>
          <t xml:space="preserve">Ana Belén Vera Donoso</t>
        </is>
      </c>
      <c r="V32" s="4" t="inlineStr">
        <is>
          <t xml:space="preserve">APRUEBA BASES ADMINISTRATIVAS, FORMULARIOS, ESPECIFICACIONES TÉCNICAS Y DESIGNA COMISIÓN DE EVALUACIÓN DE OFERTAS PARA ADQUISICIÓN DE EQUIPOS COMPUTACIONALES E INFORMATICOS PARA LA DIRECCIÓN DE AEROPUERTOS, NIVEL CENTRAL. ESPECIFICACIONES TÉCNICAS EN NUMERAL 15 DE LAS BA</t>
        </is>
      </c>
      <c r="W32" s="5" t="str">
        <f>HYPERLINK("https://www.mercadopublico.cl/Procurement/Modules/Attachment/ViewAttachment.aspx?enc=rF3oHUajSLrlfOiGUGs%2b7QLyTxUHDsHLY%2fuvzz6AqL5T9I%2fL6exKFzvTEWRekyq19W8oAIYNRuhDMskmHiLUyM3XXUplUcRbaZlpxaMIMtQcuGjz0zYzH66C7urvWXC7GA2mEbDxOazottBLqvjB0%2bWyygZlrAC2kMeIx7VA16AVEd%2fBe13FDVWsiyQlGeEpjec2z4FZ3DO2A0Q%2bi5epNDjnq2PNm94Y%2fu%2f6irMkWTvUXCMKXChDTyuoA6dsEizDiewiedzo%2f6Yb%2bQFahUaZXliJkmVec2Lk3SZobHokDIkX%2bEP5hp%2bkEFieykCKYoC6","descargar bases")</f>
      </c>
    </row>
    <row r="33">
      <c r="A33" s="0" t="inlineStr">
        <is>
          <t xml:space="preserve">948354-139-LR26</t>
        </is>
      </c>
      <c r="B33" s="4" t="inlineStr">
        <is>
          <t xml:space="preserve">CONTRATACIÓN DE SERVICIO DE SOFTWARE DE RECURSOS HUMANOS PARA EL HOSPITAL DIPRECA</t>
        </is>
      </c>
      <c r="C33" s="0" t="inlineStr">
        <is>
          <t xml:space="preserve">Publicada</t>
        </is>
      </c>
      <c r="D33" s="0" t="inlineStr">
        <is>
          <t xml:space="preserve">FONDO HOSPITAL DE LA DIRECCION DE PREVISION DE CARABINEROS DE CHILE</t>
        </is>
      </c>
      <c r="E33" s="0" t="inlineStr">
        <is>
          <t xml:space="preserve">Unidad de Compra de Bienes y Servicios</t>
        </is>
      </c>
      <c r="F33" s="0" t="inlineStr">
        <is>
          <t xml:space="preserve">Región Metropolitana de Santiago</t>
        </is>
      </c>
      <c r="G33" s="0" t="inlineStr">
        <is>
          <t xml:space="preserve">Las Condes</t>
        </is>
      </c>
      <c r="H33" s="2">
        <v>46281.643044</v>
      </c>
      <c r="I33" s="2">
        <v>46311.666667</v>
      </c>
      <c r="J33" s="0">
        <v>5</v>
      </c>
      <c r="K33" s="3">
        <v>450000000.0</v>
      </c>
      <c r="L33" s="0" t="inlineStr">
        <is>
          <t xml:space="preserve">CLP</t>
        </is>
      </c>
      <c r="M33" s="0" t="inlineStr">
        <is>
          <t xml:space="preserve">LR</t>
        </is>
      </c>
      <c r="N33" s="4" t="inlineStr">
        <is>
          <t xml:space="preserve">Tecnologías de la información, telecomunicaciones y radiodifusión / Software / Software de gestión</t>
        </is>
      </c>
      <c r="O33" s="4" t="inlineStr">
        <is>
          <t xml:space="preserve">1 Unidad · Software de gestión de recursos humanos</t>
        </is>
      </c>
      <c r="P33" s="2"/>
      <c r="Q33" s="2"/>
      <c r="R33" s="0" t="inlineStr">
        <is>
          <t xml:space="preserve">36 meses</t>
        </is>
      </c>
      <c r="S33" s="0" t="inlineStr">
        <is>
          <t xml:space="preserve">No</t>
        </is>
      </c>
      <c r="T33" s="4"/>
      <c r="U33" s="0" t="inlineStr">
        <is>
          <t xml:space="preserve">Patricio Salinas</t>
        </is>
      </c>
      <c r="V33"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33" s="5" t="str">
        <f>HYPERLINK("https://www.mercadopublico.cl/Procurement/Modules/Attachment/ViewAttachment.aspx?enc=9v0k0ONkr3UNO6O7TX63PGLkdpgH8mfCIMOV1xb0RkIboyblWJ%2fbNI5W%2fYBzp3d74qeCVCLQPIs%2frnWC%2fBvfzHFGp4%2f2CT4hoSIKgHVYs%2bdiJzOlKUJq2nK3Q3OxJdpkhYL5l4sFgv4z3GzN4GVCsk2JYQv4G02w6i1qvV8vk9roS7X6fAzE%2fyyogYg%2fVwrInMgIyfuaed4TEQi%2bX%2bJz2NDmoe2k2f1PTiVSxhEDk0b9b%2fVjpXTy4UAEhlmlu3T2RYErXABHwTdbwIWPRRn8HzYx4LP5uZDjczX%2bxymJFyflxFwTNZ4MmpOp001OCk16","descargar bases")</f>
      </c>
    </row>
    <row r="34">
      <c r="A34" s="0" t="inlineStr">
        <is>
          <t xml:space="preserve">3090-11-L126</t>
        </is>
      </c>
      <c r="B34" s="4" t="inlineStr">
        <is>
          <t xml:space="preserve">RETIRO, PROVISIÓN E INSTALACIÓN DE TABLERO Y EMPALME ELECTRICO</t>
        </is>
      </c>
      <c r="C34" s="0" t="inlineStr">
        <is>
          <t xml:space="preserve">Publicada</t>
        </is>
      </c>
      <c r="D34" s="0" t="inlineStr">
        <is>
          <t xml:space="preserve">DIRECCION DE ABASTECIMIENTO DE LA ARMADA</t>
        </is>
      </c>
      <c r="E34" s="0" t="inlineStr">
        <is>
          <t xml:space="preserve">CENTRAL ODONTOLOGICA IIA. ZONA NAVAL</t>
        </is>
      </c>
      <c r="F34" s="0" t="inlineStr">
        <is>
          <t xml:space="preserve">Región del Biobío </t>
        </is>
      </c>
      <c r="G34" s="0" t="inlineStr">
        <is>
          <t xml:space="preserve">Talcahuano</t>
        </is>
      </c>
      <c r="H34" s="2">
        <v>46300.462396</v>
      </c>
      <c r="I34" s="2">
        <v>46311.677083</v>
      </c>
      <c r="J34" s="0">
        <v>5</v>
      </c>
      <c r="K34" s="3">
        <v>6000000.0</v>
      </c>
      <c r="L34" s="0" t="inlineStr">
        <is>
          <t xml:space="preserve">CLP</t>
        </is>
      </c>
      <c r="M34" s="0" t="inlineStr">
        <is>
          <t xml:space="preserve">L1</t>
        </is>
      </c>
      <c r="N34" s="4" t="inlineStr">
        <is>
          <t xml:space="preserve">Servicios de construcción y mantenimiento / Servicios de atención, mantenimiento y reparaciones de edificios / Servicios eléctricos</t>
        </is>
      </c>
      <c r="O34" s="4" t="inlineStr">
        <is>
          <t xml:space="preserve">1 Unidad no definida · Instalación o servicio de sistemas de energía eléctrica</t>
        </is>
      </c>
      <c r="P34" s="2"/>
      <c r="Q34" s="2"/>
      <c r="R34" s="0"/>
      <c r="S34" s="0" t="inlineStr">
        <is>
          <t xml:space="preserve">No</t>
        </is>
      </c>
      <c r="T34" s="4"/>
      <c r="U34" s="0"/>
      <c r="V34" s="4" t="inlineStr">
        <is>
          <t xml:space="preserve">Se eleva la necesidad de contratar el servicio de retiro, provisión e instalación de tablero y empalme eléctrico de la Central Odontológica de la Segunda Zona Naval.</t>
        </is>
      </c>
      <c r="W34" s="5" t="str">
        <f>HYPERLINK("https://www.mercadopublico.cl/Procurement/Modules/Attachment/ViewAttachment.aspx?enc=8u06%2bubK3iIxEIITVAArYt%2bv6NNk%2fOR2ygtY0UgpjXIwiHW29LYN4ddXSvMoV%2bWRDmC9FA%2bjiRL70CNXdUChPDH%2bXC11xp3l3o8eAqOSylAISp5Lkfd16sufq3DohezCW2FmqrpPN7aITPJ2oKyDRBxZdyiTvVI42PDUcod1gB8SkbQXprcHFGPUlnBd8fuUzHzkYo8wFwnO4TPtkbTirZdv%2f3q1k0vlBwYtxKdADOShBj%2bW4sMM%2f1P5xo6qlXZ3%2f8PgRe12nnQJbw7My1TIBCoSIqGAzcV67rrCcJkN9F6a%2fKjCi6cD90DJw54bwuYy","descargar bases")</f>
      </c>
    </row>
    <row r="35">
      <c r="A35" s="0" t="inlineStr">
        <is>
          <t xml:space="preserve">1494906-9-LE26</t>
        </is>
      </c>
      <c r="B35" s="4" t="inlineStr">
        <is>
          <t xml:space="preserve">SEGUNDO LLAMADO ADQUISICIÓN DE EQUIPOS ESPECIALIZADOS PARA DIGITALIZACIÓN Y ALMACENAMIENTO</t>
        </is>
      </c>
      <c r="C35" s="0" t="inlineStr">
        <is>
          <t xml:space="preserve">Publicada</t>
        </is>
      </c>
      <c r="D35" s="0" t="inlineStr">
        <is>
          <t xml:space="preserve">SERVICIO NACIONAL DEL PATRIMONIO CULTURAL</t>
        </is>
      </c>
      <c r="E35" s="0" t="inlineStr">
        <is>
          <t xml:space="preserve">CINETECA NACIONAL DE CHILE</t>
        </is>
      </c>
      <c r="F35" s="0" t="inlineStr">
        <is>
          <t xml:space="preserve">Región Metropolitana de Santiago</t>
        </is>
      </c>
      <c r="G35" s="0" t="inlineStr">
        <is>
          <t xml:space="preserve">Ñuñoa</t>
        </is>
      </c>
      <c r="H35" s="2">
        <v>46301.670312</v>
      </c>
      <c r="I35" s="2">
        <v>46311.708333</v>
      </c>
      <c r="J35" s="0">
        <v>5</v>
      </c>
      <c r="K35" s="3"/>
      <c r="L35" s="0" t="inlineStr">
        <is>
          <t xml:space="preserve">CLP</t>
        </is>
      </c>
      <c r="M35" s="0" t="inlineStr">
        <is>
          <t xml:space="preserve">LE</t>
        </is>
      </c>
      <c r="N35" s="4" t="inlineStr">
        <is>
          <t xml:space="preserve">Tecnologías de la información, telecomunicaciones y radiodifusión / Componentes para tecnología de la información, difusión o telecomunicaciones / Dispositivos de soporte de almacenamiento, Tecnologías de la información, telecomunicaciones y radiodifusión / Componentes para tecnología de la información, difusión o telecomunicaciones / Tarjetas de sistema, Tecnologías de la información, telecomunicaciones y radiodifusión / Equipos informáticos y accesorios / Computadores</t>
        </is>
      </c>
      <c r="O35" s="4" t="inlineStr">
        <is>
          <t xml:space="preserve">1 Unidad · Computadores personales · 8 Unidad · Unidades de medios desmontables de gran capacidad · 1 Unidad · Tarjetas aceleradoras de video o gráficos</t>
        </is>
      </c>
      <c r="P35" s="2"/>
      <c r="Q35" s="2"/>
      <c r="R35" s="0"/>
      <c r="S35" s="0" t="inlineStr">
        <is>
          <t xml:space="preserve">No</t>
        </is>
      </c>
      <c r="T35" s="4"/>
      <c r="U35" s="0" t="inlineStr">
        <is>
          <t xml:space="preserve">Consuelo Castillo</t>
        </is>
      </c>
      <c r="V35" s="4" t="inlineStr">
        <is>
          <t xml:space="preserve">Que la Cineteca Nacional de Chile es la institución patrimonial encargada de la preservación, restauración, investigación y difusión del patrimonio audiovisual nacional, y en el marco del Proyecto Patrimonial Nº20 - “Rescate colección noticieros nacionales en nitrato: Chile al día (1944–1949)”, financiado mediante el Programa de Acciones Culturales Complementarias del Servicio Nacional del Patrimonio Cultural, contempla acciones de salvaguarda, digitalización, catalogación y acceso público de dicha colección, para lo cual se requieren equipos especializados para las labores de digitalización y almacenamiento.</t>
        </is>
      </c>
      <c r="W35" s="5" t="str">
        <f>HYPERLINK("https://www.mercadopublico.cl/Procurement/Modules/Attachment/ViewAttachment.aspx?enc=R60IitjmXECtcjJtni5HMn0H2YQTXFRRYuZlLvKwiM7VtGICdrWThj5XExTJxUq%2fYVfHn4yxvEVWLY6EvHe9Z8J%2fCKDhjIkET%2foLCUU%2b3m7sj6R7j1mVWWr63IDVRKxlAwQvRq04VcKBoMwcbgi1tBTQXJB1VQkMVAaZe5cBcvbi7sZAeCFj0YqInnHJO2mwbEf%2fp1G%2bFAAd9s3e08DHZYOBwgjbdLLJPOtsVcwQ1qThmtREZ4z5q6R03HO1znz6VRVAcKWsj0SlLc4K3YNzU%2fw3iypuAv7rHmFas5Hcd8Ik6wOwocA7ZBo8R4CNQFpN","descargar bases")</f>
      </c>
    </row>
    <row r="36">
      <c r="A36" s="0" t="inlineStr">
        <is>
          <t xml:space="preserve">1153624-22-LE26</t>
        </is>
      </c>
      <c r="B36" s="4" t="inlineStr">
        <is>
          <t xml:space="preserve">Servicio enlace de datos de internet</t>
        </is>
      </c>
      <c r="C36" s="0" t="inlineStr">
        <is>
          <t xml:space="preserve">Publicada</t>
        </is>
      </c>
      <c r="D36" s="0" t="inlineStr">
        <is>
          <t xml:space="preserve">SUBSECRETARIA DE RELACIONES ECONOMICAS INTERNACIONALES</t>
        </is>
      </c>
      <c r="E36" s="0" t="inlineStr">
        <is>
          <t xml:space="preserve">Departamento Adquisiciones MN</t>
        </is>
      </c>
      <c r="F36" s="0" t="inlineStr">
        <is>
          <t xml:space="preserve">Región Metropolitana de Santiago</t>
        </is>
      </c>
      <c r="G36" s="0" t="inlineStr">
        <is>
          <t xml:space="preserve">Santiago</t>
        </is>
      </c>
      <c r="H36" s="2">
        <v>46295.481829</v>
      </c>
      <c r="I36" s="2">
        <v>46314.625</v>
      </c>
      <c r="J36" s="0">
        <v>8</v>
      </c>
      <c r="K36" s="3"/>
      <c r="L36" s="0" t="inlineStr">
        <is>
          <t xml:space="preserve">CLP</t>
        </is>
      </c>
      <c r="M36" s="0" t="inlineStr">
        <is>
          <t xml:space="preserve">LE</t>
        </is>
      </c>
      <c r="N36" s="4" t="inlineStr">
        <is>
          <t xml:space="preserve">Servicios basados en ingeniería, ciencias sociales y tecnología de la información / Servicios informáticos / Servicios de datos</t>
        </is>
      </c>
      <c r="O36" s="4" t="inlineStr">
        <is>
          <t xml:space="preserve">1 Unidad · Servicios de almacenamiento de datos</t>
        </is>
      </c>
      <c r="P36" s="2"/>
      <c r="Q36" s="2"/>
      <c r="R36" s="0" t="inlineStr">
        <is>
          <t xml:space="preserve">24 meses</t>
        </is>
      </c>
      <c r="S36" s="0" t="inlineStr">
        <is>
          <t xml:space="preserve">No</t>
        </is>
      </c>
      <c r="T36" s="4" t="inlineStr">
        <is>
          <t xml:space="preserve">No permite subcontratación.
El adjudicatario no podrá subcontratar, salvo autorización escrita de la Subsecretaría de Relaciones Económicas Internacionales</t>
        </is>
      </c>
      <c r="U36" s="0" t="inlineStr">
        <is>
          <t xml:space="preserve">Berland Méndez, René</t>
        </is>
      </c>
      <c r="V36" s="4" t="inlineStr">
        <is>
          <t xml:space="preserve">La Subsecretaría de Relaciones Económicas Internacionales invita a participar en el proceso de contratación de Servicios de enlace de datos de internet de la Subsecretaría de Relaciones Económicas Internacionales.</t>
        </is>
      </c>
      <c r="W36" s="5" t="str">
        <f>HYPERLINK("https://www.mercadopublico.cl/Procurement/Modules/Attachment/ViewAttachment.aspx?enc=OA3qcOSUSsYHVDZL5rB9eAEIwM4Ny3dWODuId0C8Qz1Vj%2fWPWO9Wr%2fpFqYHonGCFCVopsUDqH6IhaA08zmLgb70erFq1LKasKCxpK9I3CbuwgJR6Te5Q2lU8TfKdmJe8nDrtMeQ2aZEfsQVq7OowlWITdAjw4STA3GJacNw5OqsS1ZSioP%2bucXJQS1P07DD5rfF2pXMm3TgyyUq%2fKH01PiGUVutrv7yfN1iAFG3YUNcbsB5J0V507RHdraebgUDjcBhoyL1e7tdUdvXy8842FlOacjA1LGlsek5yMInjswzwTMJeGR9Priz7%2fW7mOlgZ","descargar bases")</f>
      </c>
    </row>
    <row r="37">
      <c r="A37" s="0" t="inlineStr">
        <is>
          <t xml:space="preserve">2563-43-LP26</t>
        </is>
      </c>
      <c r="B37" s="4" t="inlineStr">
        <is>
          <t xml:space="preserve">Adquisición de cámaras IA y radares de seguridad</t>
        </is>
      </c>
      <c r="C37" s="0" t="inlineStr">
        <is>
          <t xml:space="preserve">Publicada</t>
        </is>
      </c>
      <c r="D37" s="0" t="inlineStr">
        <is>
          <t xml:space="preserve">DIRECCION GENERAL DE AERONAUTICA CIVIL</t>
        </is>
      </c>
      <c r="E37" s="0" t="inlineStr">
        <is>
          <t xml:space="preserve">UNIDAD DE COMPRA CONTRATOS NACIONALES</t>
        </is>
      </c>
      <c r="F37" s="0" t="inlineStr">
        <is>
          <t xml:space="preserve">Región Metropolitana de Santiago</t>
        </is>
      </c>
      <c r="G37" s="0" t="inlineStr">
        <is>
          <t xml:space="preserve">Providencia</t>
        </is>
      </c>
      <c r="H37" s="2">
        <v>46293.5386</v>
      </c>
      <c r="I37" s="2">
        <v>46314.625</v>
      </c>
      <c r="J37" s="0">
        <v>8</v>
      </c>
      <c r="K37" s="3">
        <v>192000000.0</v>
      </c>
      <c r="L37" s="0" t="inlineStr">
        <is>
          <t xml:space="preserve">CLP</t>
        </is>
      </c>
      <c r="M37" s="0" t="inlineStr">
        <is>
          <t xml:space="preserve">LP</t>
        </is>
      </c>
      <c r="N37" s="4" t="inlineStr">
        <is>
          <t xml:space="preserve">Equipos y suministros de defensa, orden público, protección y seguridad / Seguridad, vigilancia y detección / Equipo de vigilancia y detección</t>
        </is>
      </c>
      <c r="O37" s="4" t="inlineStr">
        <is>
          <t xml:space="preserve">2 Unidad · Cámaras de seguridad · 2 Unidad · Cámaras de seguridad · 1 Unidad · Cámaras de seguridad · y 13 más</t>
        </is>
      </c>
      <c r="P37" s="2"/>
      <c r="Q37" s="2"/>
      <c r="R37" s="0"/>
      <c r="S37" s="0" t="inlineStr">
        <is>
          <t xml:space="preserve">No</t>
        </is>
      </c>
      <c r="T37" s="4"/>
      <c r="U37" s="0" t="inlineStr">
        <is>
          <t xml:space="preserve">Javier Pacheco</t>
        </is>
      </c>
      <c r="V37"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37" s="5" t="str">
        <f>HYPERLINK("https://www.mercadopublico.cl/Procurement/Modules/Attachment/ViewAttachment.aspx?enc=325d2boERmUVh%2fg2R4GX69Qi%2bRyrh1Zm7G1kwc9k73ps6O1y7Oqk8yopQk1Ne7ITuieXhHa9Or8QIZx9N8ndJHxuEKU20eqPnYwPZFC7qgaGTQcYJ4RZVK66uTcvCfV5S2RR8Z4fBWGSu3E8pNlbxIMVbjzGDhq9UQqNOBkaO6hoKtj15XkqiqIZ%2f%2fEt1PmDdkD6Wo6monliy0ODS3EkF%2fMEPP8b6rrUp7n8IxxF9XAVvZu3tdJktZVmF6Koh%2fS5%2bd3YKzm2%2fAapiR7bp7AEJ9%2fMK%2bKNEe3300fDS9JWoH7uvfiHcJI3RBigczyMiYNu","descargar bases")</f>
      </c>
    </row>
    <row r="38">
      <c r="A38" s="0" t="inlineStr">
        <is>
          <t xml:space="preserve">3000-34-LE26</t>
        </is>
      </c>
      <c r="B38" s="4" t="inlineStr">
        <is>
          <t xml:space="preserve">Relojes Control de Asistencia Software de Gestión</t>
        </is>
      </c>
      <c r="C38" s="0" t="inlineStr">
        <is>
          <t xml:space="preserve">Publicada</t>
        </is>
      </c>
      <c r="D38" s="0" t="inlineStr">
        <is>
          <t xml:space="preserve">I MUNICIPALIDAD DE MONTEPATRIA</t>
        </is>
      </c>
      <c r="E38" s="0" t="inlineStr">
        <is>
          <t xml:space="preserve">Dirección  Adm. y  Finanzas</t>
        </is>
      </c>
      <c r="F38" s="0" t="inlineStr">
        <is>
          <t xml:space="preserve">Región de Coquimbo </t>
        </is>
      </c>
      <c r="G38" s="0" t="inlineStr">
        <is>
          <t xml:space="preserve">Monte Patria</t>
        </is>
      </c>
      <c r="H38" s="2">
        <v>46304.464792</v>
      </c>
      <c r="I38" s="2">
        <v>46314.625</v>
      </c>
      <c r="J38" s="0">
        <v>8</v>
      </c>
      <c r="K38" s="3">
        <v>65824330.0</v>
      </c>
      <c r="L38" s="0" t="inlineStr">
        <is>
          <t xml:space="preserve">CLP</t>
        </is>
      </c>
      <c r="M38" s="0" t="inlineStr">
        <is>
          <t xml:space="preserve">LE</t>
        </is>
      </c>
      <c r="N38" s="4" t="inlineStr">
        <is>
          <t xml:space="preserve">Equipos, accesorios y suministros de oficina / Maquinarias, suministros y accesorios de oficina / Máquinas y accesorios para registro de hora y asistencia en la oficina</t>
        </is>
      </c>
      <c r="O38" s="4" t="inlineStr">
        <is>
          <t xml:space="preserve">20 Unidad · Reloj de control · 1 Global · Reloj de control · 1 Unidad · Reloj de control · y 3 más</t>
        </is>
      </c>
      <c r="P38" s="2"/>
      <c r="Q38" s="2"/>
      <c r="R38" s="0" t="inlineStr">
        <is>
          <t xml:space="preserve">36 meses</t>
        </is>
      </c>
      <c r="S38" s="0" t="inlineStr">
        <is>
          <t xml:space="preserve">No</t>
        </is>
      </c>
      <c r="T38" s="4"/>
      <c r="U38" s="0" t="inlineStr">
        <is>
          <t xml:space="preserve">Juan Fuentevilla Jofre</t>
        </is>
      </c>
      <c r="V38" s="4" t="inlineStr">
        <is>
          <t xml:space="preserve">Llámese a participar en la propuesta Pública para la provisión de Relojes Control de Asistencia, Capacitación, y Arriendo de Software de Gestión on-line para Reloj Control, durante un periodo de 36 meses. Lo anterior para las áreas Municipal y Salud de la Municipalidad de Monte Patria.</t>
        </is>
      </c>
      <c r="W38" s="5" t="str">
        <f>HYPERLINK("https://www.mercadopublico.cl/Procurement/Modules/Attachment/ViewAttachment.aspx?enc=DtB7TOuPii52Pax0pUr3J6GR1P3jtwh4msBcHrg0rWAJDM0OUt6cks1%2btJ6mKtG6TVBYmDwgLdbGcjdsxsQYceCaHJNLS1mCNhFn%2fDVohJHe6rr3VxraY8Y8oA6Kewq%2fQy5wYl2scaOt7VR9gMSi5tiSDZ8jzkNWpmS81HHhX6Wko1mkCN3Ol9NoVW98ir2sbnvP%2fGOOHFBFIfv953y%2fihBJkiy%2ff6vIJIKtQUqoilb6fOlihaqTDSbcNdzS8wy84rRqiBbFNOb6w9arSimEn5P2kXTbrtpa92YyjV6wMXWD3U%2blmqPhKsBfRL%2bSH%2bAA","descargar bases")</f>
      </c>
    </row>
    <row r="39">
      <c r="A39" s="0" t="inlineStr">
        <is>
          <t xml:space="preserve">514862-125-LR26</t>
        </is>
      </c>
      <c r="B39" s="4" t="inlineStr">
        <is>
          <t xml:space="preserve">10032938 PLATAFORMA DE AGENDAMIENTO TELECONSULTAS</t>
        </is>
      </c>
      <c r="C39" s="0" t="inlineStr">
        <is>
          <t xml:space="preserve">Publicada</t>
        </is>
      </c>
      <c r="D39" s="0" t="inlineStr">
        <is>
          <t xml:space="preserve">CORPORACION MUNICIPAL DE PENALOLEN PARA EL DESARROLO SOCIAL CORMUP</t>
        </is>
      </c>
      <c r="E39" s="0" t="inlineStr">
        <is>
          <t xml:space="preserve">CORPORACION MUNICIPAL DE PENALOLEN PARA EL DESARRO</t>
        </is>
      </c>
      <c r="F39" s="0" t="inlineStr">
        <is>
          <t xml:space="preserve">Región Metropolitana de Santiago</t>
        </is>
      </c>
      <c r="G39" s="0" t="inlineStr">
        <is>
          <t xml:space="preserve">Peñalolén</t>
        </is>
      </c>
      <c r="H39" s="2">
        <v>46281.559005</v>
      </c>
      <c r="I39" s="2">
        <v>46314.625</v>
      </c>
      <c r="J39" s="0">
        <v>8</v>
      </c>
      <c r="K39" s="3">
        <v>408000000.0</v>
      </c>
      <c r="L39" s="0" t="inlineStr">
        <is>
          <t xml:space="preserve">CLP</t>
        </is>
      </c>
      <c r="M39" s="0" t="inlineStr">
        <is>
          <t xml:space="preserve">LR</t>
        </is>
      </c>
      <c r="N39" s="4" t="inlineStr">
        <is>
          <t xml:space="preserve">Servicios basados en ingeniería, ciencias sociales y tecnología de la información / Servicios informáticos / Servicios de datos</t>
        </is>
      </c>
      <c r="O39" s="4" t="inlineStr">
        <is>
          <t xml:space="preserve">1 Unidad · Servicios de transformación de datos</t>
        </is>
      </c>
      <c r="P39" s="2"/>
      <c r="Q39" s="2"/>
      <c r="R39" s="0"/>
      <c r="S39" s="0" t="inlineStr">
        <is>
          <t xml:space="preserve">No</t>
        </is>
      </c>
      <c r="T39" s="4" t="inlineStr">
        <is>
          <t xml:space="preserve">SEGUN BASES ADJUNTAS</t>
        </is>
      </c>
      <c r="U39" s="0" t="inlineStr">
        <is>
          <t xml:space="preserve">DANILA SEGUEL</t>
        </is>
      </c>
      <c r="V39" s="4" t="inlineStr">
        <is>
          <t xml:space="preserve">SEGUN BASES ADJUNTAS</t>
        </is>
      </c>
      <c r="W39" s="5" t="str">
        <f>HYPERLINK("https://www.mercadopublico.cl/Procurement/Modules/Attachment/ViewAttachment.aspx?enc=uJQVLz7WDRKzV5zqhuqXWhW2t4H0hynqeM37%2baFz1w5UxcVXQXl6%2bM5FePSWoY51kkAqP9O2bhXAq4pNv5uwOIvJ2YBD2uO2FiZXyQ%2fc8ROBgvq62OV2qvDfpTDBisk8nPO%2bsPSl0GgIhW8vfNyA%2b2uE5T6Iip08iJGPxqHhAi9n0KTCQfDzzK%2b8AeEJTlPEVgcoyyU%2f5N5TEzlxWIhWAoo2slBJzXRI5i8v%2bxcX3gVj4DeteLrXajYxW1ZKRSVHErVjaOLpjFXFGVZTHtI9S4Ys0aO5HSnGR8%2fPyY5iw1c1mOtXnCOU52jjnkjQzCIH","descargar bases")</f>
      </c>
    </row>
    <row r="40">
      <c r="A40" s="0" t="inlineStr">
        <is>
          <t xml:space="preserve">869591-12-LP26</t>
        </is>
      </c>
      <c r="B40" s="4" t="inlineStr">
        <is>
          <t xml:space="preserve">CONTRATACIÓN DE PLATAFORMA DE GESTIÓN DOCUMENTAL EXPEDIENTE ELECTRÓNICO Y GESTIÓN DE PROCESOS</t>
        </is>
      </c>
      <c r="C40" s="0" t="inlineStr">
        <is>
          <t xml:space="preserve">Publicada</t>
        </is>
      </c>
      <c r="D40" s="0" t="inlineStr">
        <is>
          <t xml:space="preserve">DIRECCION DE COMPRAS Y CONTRATACION PUBLICA</t>
        </is>
      </c>
      <c r="E40" s="0" t="inlineStr">
        <is>
          <t xml:space="preserve">Calidad del Gasto en las Compras Públicas</t>
        </is>
      </c>
      <c r="F40" s="0" t="inlineStr">
        <is>
          <t xml:space="preserve">Región Metropolitana de Santiago</t>
        </is>
      </c>
      <c r="G40" s="0" t="inlineStr">
        <is>
          <t xml:space="preserve">Santiago Centro</t>
        </is>
      </c>
      <c r="H40" s="2">
        <v>46280.607639</v>
      </c>
      <c r="I40" s="2">
        <v>46314.625</v>
      </c>
      <c r="J40" s="0">
        <v>8</v>
      </c>
      <c r="K40" s="3"/>
      <c r="L40" s="0" t="inlineStr">
        <is>
          <t xml:space="preserve">CLP</t>
        </is>
      </c>
      <c r="M40" s="0" t="inlineStr">
        <is>
          <t xml:space="preserve">LP</t>
        </is>
      </c>
      <c r="N40" s="4" t="inlineStr">
        <is>
          <t xml:space="preserve">Tecnologías de la información, telecomunicaciones y radiodifusión / Software / Software de gestión de contenidos</t>
        </is>
      </c>
      <c r="O40" s="4" t="inlineStr">
        <is>
          <t xml:space="preserve">1 Unidad · Programas de gestión de documentos</t>
        </is>
      </c>
      <c r="P40" s="2"/>
      <c r="Q40" s="2"/>
      <c r="R40" s="0" t="inlineStr">
        <is>
          <t xml:space="preserve">44 meses</t>
        </is>
      </c>
      <c r="S40" s="0" t="inlineStr">
        <is>
          <t xml:space="preserve">No</t>
        </is>
      </c>
      <c r="T40" s="4" t="inlineStr">
        <is>
          <t xml:space="preserve">ver clausula 10 de las bases especiales</t>
        </is>
      </c>
      <c r="U40" s="0" t="inlineStr">
        <is>
          <t xml:space="preserve">Marcela Cabrera</t>
        </is>
      </c>
      <c r="V40" s="4" t="inlineStr">
        <is>
          <t xml:space="preserve">CONTRATACIÓN DE PLATAFORMA DE GESTIÓN DOCUMENTAL, EXPEDIENTE ELECTRÓNICO Y GESTIÓN DE PROCESOS PARA LA DIRECCIÓN DE COMPRAS Y CONTRATACIÓN PÚBLICA</t>
        </is>
      </c>
      <c r="W40" s="5" t="str">
        <f>HYPERLINK("https://www.mercadopublico.cl/Procurement/Modules/Attachment/ViewAttachment.aspx?enc=XRfLZUOi8Jga8MbV4fj%2bSbLkO6MFovYl30y2gIecMNHfHtwxj%2fgmTE7QF5ZI1IWstDJEyHmUIcaMpdG9PQZwgpWU7i9T%2bgKVWcfipaM5CstEL1eM%2fqY%2fm1XJwtgBsKe5P2Ed3zmX7WufYu5RSDogMfMwN4h3NnT5FaK8UjzLLXF%2b523IreSLi0uyZfTDczODRakks4gMmUSy2VtmFLYqP03QzIZ3VaIDnXU3KKXaskyEd1QJdObygEzru1xG0HXdpIadqnpy%2b0rbbL255oZILS%2blT7UShfX5XxsuMkORMjDrlvgk3dwC7jk7514YwdN5","descargar bases")</f>
      </c>
    </row>
    <row r="41">
      <c r="A41" s="0" t="inlineStr">
        <is>
          <t xml:space="preserve">1057549-8-LE26</t>
        </is>
      </c>
      <c r="B41" s="4" t="inlineStr">
        <is>
          <t xml:space="preserve">CONVENIO FOTOCOPIADO IMPRESIÓN Y DIGITALIZACIÓN</t>
        </is>
      </c>
      <c r="C41" s="0" t="inlineStr">
        <is>
          <t xml:space="preserve">Publicada</t>
        </is>
      </c>
      <c r="D41" s="0" t="inlineStr">
        <is>
          <t xml:space="preserve">SERVICIO DE SALUD VALDIVIA HOSPITAL LANC</t>
        </is>
      </c>
      <c r="E41" s="0" t="inlineStr">
        <is>
          <t xml:space="preserve">Bienes y Servicios</t>
        </is>
      </c>
      <c r="F41" s="0" t="inlineStr">
        <is>
          <t xml:space="preserve">Región de Los Ríos</t>
        </is>
      </c>
      <c r="G41" s="0" t="inlineStr">
        <is>
          <t xml:space="preserve">Lanco</t>
        </is>
      </c>
      <c r="H41" s="2">
        <v>46303.59897</v>
      </c>
      <c r="I41" s="2">
        <v>46314.625694</v>
      </c>
      <c r="J41" s="0">
        <v>8</v>
      </c>
      <c r="K41" s="3"/>
      <c r="L41" s="0" t="inlineStr">
        <is>
          <t xml:space="preserve">CLP</t>
        </is>
      </c>
      <c r="M41" s="0" t="inlineStr">
        <is>
          <t xml:space="preserve">LE</t>
        </is>
      </c>
      <c r="N41" s="4" t="inlineStr">
        <is>
          <t xml:space="preserve">Servicios editoriales, de diseño, publicidad, gráficos y artistas / Servicios de impresión y reproducción / Impresión</t>
        </is>
      </c>
      <c r="O41" s="4" t="inlineStr">
        <is>
          <t xml:space="preserve">1 Unidad · Impresión digital</t>
        </is>
      </c>
      <c r="P41" s="2"/>
      <c r="Q41" s="2"/>
      <c r="R41" s="0" t="inlineStr">
        <is>
          <t xml:space="preserve">24 meses</t>
        </is>
      </c>
      <c r="S41" s="0" t="inlineStr">
        <is>
          <t xml:space="preserve">No</t>
        </is>
      </c>
      <c r="T41" s="4"/>
      <c r="U41" s="0" t="inlineStr">
        <is>
          <t xml:space="preserve">Andrea Folch Bernales</t>
        </is>
      </c>
      <c r="V41" s="4" t="inlineStr">
        <is>
          <t xml:space="preserve">El Hospital Familiar y Comunitario de Lanco requiere celebrar un “CONVENIO DE SUMINISTRO DE SERCICIO DE FOTOCOPIADO, IMPRESIÓN Y DIGITALIZACIÓN CON ENTREGA DE EQUIPOS PARA EL HOSPITAL FAMILIAR Y COMUNITARIO DE LANCO” para los diferentes servicios del Hospital por un periodo de 24 meses.</t>
        </is>
      </c>
      <c r="W41" s="5" t="str">
        <f>HYPERLINK("https://www.mercadopublico.cl/Procurement/Modules/Attachment/ViewAttachment.aspx?enc=1yqKv618%2fUrhaVLQ0gKo1QyjAIRAOMOkvKLExhmFjQdvElkweyil6Vil947entn%2fzF%2bo6hc94nKd%2fBJZVU%2b4F7IlrTrVCrM1bDIXq46sFcC5t2l4NIGqGiTaBmyOFUhXYVAaxDy%2fQ4IVKD8%2bIJzwD1jY4nTA29bScUb7bW%2buOrh6wFdJaW%2fU64g6N0PavtCwZxWlgtVb%2fGRrRQFq4vwREYGLQP6N23w0sAk9bjMZLCIhwVxsn1YV9LF1oH1grRyjLryQjk5YtpfcvO%2fxSAjdk71NyDKhHJSnQvC2msJli8%2byTWSORDFk4k%2fMrRgq%2fGkz","descargar bases")</f>
      </c>
    </row>
    <row r="42">
      <c r="A42" s="0" t="inlineStr">
        <is>
          <t xml:space="preserve">1218393-49-LE26</t>
        </is>
      </c>
      <c r="B42" s="4" t="inlineStr">
        <is>
          <t xml:space="preserve">Convenio suministro de servicios de fotocopiado impresión y digitalización con arriendo de equipos para CESFAM Externo Valdivia</t>
        </is>
      </c>
      <c r="C42" s="0" t="inlineStr">
        <is>
          <t xml:space="preserve">Publicada</t>
        </is>
      </c>
      <c r="D42" s="0" t="inlineStr">
        <is>
          <t xml:space="preserve">CONSULTORIO EXTERNO VALDIVIA</t>
        </is>
      </c>
      <c r="E42" s="0" t="inlineStr">
        <is>
          <t xml:space="preserve">BIENES Y SERVICIOS</t>
        </is>
      </c>
      <c r="F42" s="0" t="inlineStr">
        <is>
          <t xml:space="preserve">Región de Los Ríos</t>
        </is>
      </c>
      <c r="G42" s="0"/>
      <c r="H42" s="2">
        <v>46304.676343</v>
      </c>
      <c r="I42" s="2">
        <v>46314.625694</v>
      </c>
      <c r="J42" s="0">
        <v>8</v>
      </c>
      <c r="K42" s="3">
        <v>21000000.0</v>
      </c>
      <c r="L42" s="0" t="inlineStr">
        <is>
          <t xml:space="preserve">CLP</t>
        </is>
      </c>
      <c r="M42" s="0" t="inlineStr">
        <is>
          <t xml:space="preserve">LE</t>
        </is>
      </c>
      <c r="N42" s="4" t="inlineStr">
        <is>
          <t xml:space="preserve">Servicios editoriales, de diseño, publicidad, gráficos y artistas / Servicios de impresión y reproducción / Fotocopiado</t>
        </is>
      </c>
      <c r="O42" s="4" t="inlineStr">
        <is>
          <t xml:space="preserve">1 Unidad · Servicios de copias en blanco y negro</t>
        </is>
      </c>
      <c r="P42" s="2"/>
      <c r="Q42" s="2"/>
      <c r="R42" s="0" t="inlineStr">
        <is>
          <t xml:space="preserve">12 meses</t>
        </is>
      </c>
      <c r="S42" s="0" t="inlineStr">
        <is>
          <t xml:space="preserve">No</t>
        </is>
      </c>
      <c r="T42" s="4"/>
      <c r="U42" s="0" t="inlineStr">
        <is>
          <t xml:space="preserve">Ximena Alarcón</t>
        </is>
      </c>
      <c r="V42" s="4" t="inlineStr">
        <is>
          <t xml:space="preserve">El CESFAM Externo Valdivia, invita a personas naturales o jurídicas que cumplan con los requisitos establecidos en las presentes Bases a ofertar en su licitación "Convenio suministro de servicios de fotocopiado, impresión y digitalización con arriendo de equipos para CESFAM Externo Valdivia".
En la presente licitación se adjudicará una línea de licitación a un solo oferente, no siendo posible adjudicar a más de un proveedor la misma línea.</t>
        </is>
      </c>
      <c r="W42" s="5" t="str">
        <f>HYPERLINK("https://www.mercadopublico.cl/Procurement/Modules/Attachment/ViewAttachment.aspx?enc=XxnMmD7hZMwMROOWCKhyYsk1lqUpBOzTN8Vh2%2fAIrbK9IPo0lHSTdGleRQCh59kmeulibDYldTwggHMbtmclzQ7G%2fhQZqvcFSGKMgSuynbP7dAIGUcUAv798yL%2fMf9%2by0BA1q%2buA7nPzDdKDcusP8Sihwy%2fUMJcifMFTlFVUOm1Dya0TRzarH2IxaUnnHJhtn4fsfQXE%2f0fP1VGuaUdmNceTWiDBfj6LzXjfRNfnyEx3ysI9WG0zQGAY%2bbhXQA4%2fAQG4dlyCOxoU%2f3OB%2bJhMCFakljtdTg3YlEi1%2bY%2fRWnQgJjgrQhfeCgj%2b0Z2vB89x","descargar bases")</f>
      </c>
    </row>
    <row r="43">
      <c r="A43" s="0" t="inlineStr">
        <is>
          <t xml:space="preserve">4589-20-LE26</t>
        </is>
      </c>
      <c r="B43" s="4" t="inlineStr">
        <is>
          <t xml:space="preserve">CONTRATACION PARA SOPORTE DE MANTENCION Y CAPACITACION DE PLATAFORMA SIFIM PARA ILUSTRE MUNICIPALIDAD DE TORRES DEL PAINE GESTION AREA MUNICIPAL Y SALUD</t>
        </is>
      </c>
      <c r="C43" s="0" t="inlineStr">
        <is>
          <t xml:space="preserve">Publicada</t>
        </is>
      </c>
      <c r="D43" s="0" t="inlineStr">
        <is>
          <t xml:space="preserve">ILUSTRE MUNICIPALIDAD DE TORRES DEL PAIN</t>
        </is>
      </c>
      <c r="E43" s="0" t="inlineStr">
        <is>
          <t xml:space="preserve">adquisiciones</t>
        </is>
      </c>
      <c r="F43" s="0" t="inlineStr">
        <is>
          <t xml:space="preserve">Región de Magallanes y de la Antártica</t>
        </is>
      </c>
      <c r="G43" s="0" t="inlineStr">
        <is>
          <t xml:space="preserve">Torres del Payne</t>
        </is>
      </c>
      <c r="H43" s="2">
        <v>46304.64022</v>
      </c>
      <c r="I43" s="2">
        <v>46314.625694</v>
      </c>
      <c r="J43" s="0">
        <v>8</v>
      </c>
      <c r="K43" s="3"/>
      <c r="L43" s="0" t="inlineStr">
        <is>
          <t xml:space="preserve">CLP</t>
        </is>
      </c>
      <c r="M43" s="0" t="inlineStr">
        <is>
          <t xml:space="preserve">LE</t>
        </is>
      </c>
      <c r="N43" s="4" t="inlineStr">
        <is>
          <t xml:space="preserve">Tecnologías de la información, telecomunicaciones y radiodifusión / Software / Software de planificación de recursos empresariales (ERP) y contabilidad financiera</t>
        </is>
      </c>
      <c r="O43" s="4" t="inlineStr">
        <is>
          <t xml:space="preserve">1 Unidad · Programas de análisis financiero</t>
        </is>
      </c>
      <c r="P43" s="2"/>
      <c r="Q43" s="2"/>
      <c r="R43" s="0" t="inlineStr">
        <is>
          <t xml:space="preserve">12 meses</t>
        </is>
      </c>
      <c r="S43" s="0" t="inlineStr">
        <is>
          <t xml:space="preserve">No</t>
        </is>
      </c>
      <c r="T43" s="4" t="inlineStr">
        <is>
          <t xml:space="preserve">NO APLICA</t>
        </is>
      </c>
      <c r="U43" s="0" t="inlineStr">
        <is>
          <t xml:space="preserve">RODRIGO SOTO OROZ</t>
        </is>
      </c>
      <c r="V43" s="4" t="inlineStr">
        <is>
          <t xml:space="preserve">CONTRATACION PARA SOPORTE DE MANTENCION Y CAPACITACION DE PLATAFORMA SIFIM PARA ILUSTRE MUNICIPALIDAD DE TORRES DEL PAINE, GESTION AREA MUNICIPAL Y SALUD</t>
        </is>
      </c>
      <c r="W43" s="5" t="str">
        <f>HYPERLINK("https://www.mercadopublico.cl/Procurement/Modules/Attachment/ViewAttachment.aspx?enc=rtTNJwe3XMT0Ito9itzruwjS4lZm1q8SZ9F3%2fB6XUTElZMNoorSSf6Xvz3iBSth8nD3sIbVRpTqW4AXYHML6sp%2fW8RIDmdRTxWNVdxoKsl4HzH6LYmiCQy7zpiHm2MrLHXcy%2ftnIAheJMz0um8EPJPDjykhdH5CX%2bHZC8wC6hTRG%2bCZj3Gdl7eCRSW54In%2fAGh%2f26Xfz0yZ8c2ZkkZOqaFbZISgQ6uz9hTlsCjGfDS4yEOJUem2KQ2haecS7yyQldcCursqMsLUFPI2w2IdW921oKbPT%2fZ2p%2feijvU%2fVTxpvuXW%2bb2s7WoOp2t7H1juC","descargar bases")</f>
      </c>
    </row>
    <row r="44">
      <c r="A44" s="0" t="inlineStr">
        <is>
          <t xml:space="preserve">425-65-LR26</t>
        </is>
      </c>
      <c r="B44" s="4" t="inlineStr">
        <is>
          <t xml:space="preserve">Renovación de licencias y servicio de administración de software Falcon Crowdstrike EDR para el Poder Judicial</t>
        </is>
      </c>
      <c r="C44" s="0" t="inlineStr">
        <is>
          <t xml:space="preserve">Publicada</t>
        </is>
      </c>
      <c r="D44" s="0" t="inlineStr">
        <is>
          <t xml:space="preserve">CORP ADMINISTRATIVA DEL PODER JUDICIAL</t>
        </is>
      </c>
      <c r="E44" s="0" t="inlineStr">
        <is>
          <t xml:space="preserve">Servicios</t>
        </is>
      </c>
      <c r="F44" s="0" t="inlineStr">
        <is>
          <t xml:space="preserve">Región Metropolitana de Santiago</t>
        </is>
      </c>
      <c r="G44" s="0" t="inlineStr">
        <is>
          <t xml:space="preserve">Santiago Centro</t>
        </is>
      </c>
      <c r="H44" s="2">
        <v>46282.496528</v>
      </c>
      <c r="I44" s="2">
        <v>46314.666667</v>
      </c>
      <c r="J44" s="0">
        <v>8</v>
      </c>
      <c r="K44" s="3"/>
      <c r="L44" s="0" t="inlineStr">
        <is>
          <t xml:space="preserve">USD</t>
        </is>
      </c>
      <c r="M44" s="0" t="inlineStr">
        <is>
          <t xml:space="preserve">LR</t>
        </is>
      </c>
      <c r="N44" s="4" t="inlineStr">
        <is>
          <t xml:space="preserve">Tecnologías de la información, telecomunicaciones y radiodifusión / Software / Software de gestión</t>
        </is>
      </c>
      <c r="O44" s="4" t="inlineStr">
        <is>
          <t xml:space="preserve">1 Global · Software de gestión de licencias · 1 Global · Software de gestión de licencias · 1 Global · Software de gestión de licencias · y 2 más</t>
        </is>
      </c>
      <c r="P44" s="2"/>
      <c r="Q44" s="2"/>
      <c r="R44" s="0" t="inlineStr">
        <is>
          <t xml:space="preserve">12 meses</t>
        </is>
      </c>
      <c r="S44" s="0" t="inlineStr">
        <is>
          <t xml:space="preserve">No</t>
        </is>
      </c>
      <c r="T44" s="4" t="inlineStr">
        <is>
          <t xml:space="preserve">De acuerdo al numeral 15 de las bases administrativas especiales</t>
        </is>
      </c>
      <c r="U44" s="0" t="inlineStr">
        <is>
          <t xml:space="preserve">Jorge Quezada</t>
        </is>
      </c>
      <c r="V44" s="4" t="inlineStr">
        <is>
          <t xml:space="preserve">Renovación de licencias y servicio de administración de software Falcon Crowdstrike EDR para el Poder Judicial</t>
        </is>
      </c>
      <c r="W44" s="5" t="str">
        <f>HYPERLINK("https://www.mercadopublico.cl/Procurement/Modules/Attachment/ViewAttachment.aspx?enc=1bIZTHhf4RpQISLtyhF7RGZQV4Yi8Muww7Ujc2DA2McHcgdB36%2f9W3PfscBAcflLu0x9ft1xIcK6sKMZK5Je4GNk5tPrO39YxyoVFuAr2Z6X7%2bJCbVymiBATHYQCRvw5FC6v28eVwht5rp7spUFKfSSmUm%2fDn3SuUOo7zePd%2bTD3VieOJA8fqZUPR4SOVhLRdg39p44MUu7pZqCrdCEjbUh29VMW66P%2fCzd5iFvLMTnUkHFNC9ijGVOOGqRSdaFd7PlmYQ884d30DarLmR8HjKqJCMHwy%2bo4D9sqUls6MU8g8zRirbeXa9%2bJqZawymTz","descargar bases")</f>
      </c>
    </row>
    <row r="45">
      <c r="A45" s="0" t="inlineStr">
        <is>
          <t xml:space="preserve">1375758-7-LE26</t>
        </is>
      </c>
      <c r="B45" s="4" t="inlineStr">
        <is>
          <t xml:space="preserve">PLATAFORMA INTEGRAL PARA LA PLANIFICACIÓN CONTROL DE DOTACIÓN ESCOLAR Y GESTIÓN DE SOLICITUDES DE CONTRATACIÓN</t>
        </is>
      </c>
      <c r="C45" s="0" t="inlineStr">
        <is>
          <t xml:space="preserve">Publicada</t>
        </is>
      </c>
      <c r="D45" s="0" t="inlineStr">
        <is>
          <t xml:space="preserve">SERVICIO LOCAL DE EDUCACIÓN PÚBLICA SANTIAGO CENTRO</t>
        </is>
      </c>
      <c r="E45" s="0" t="inlineStr">
        <is>
          <t xml:space="preserve">NIVEL CENTRAL SLEP SANTIAGO CENTRO P01</t>
        </is>
      </c>
      <c r="F45" s="0" t="inlineStr">
        <is>
          <t xml:space="preserve">Región Metropolitana de Santiago</t>
        </is>
      </c>
      <c r="G45" s="0" t="inlineStr">
        <is>
          <t xml:space="preserve">Santiago</t>
        </is>
      </c>
      <c r="H45" s="2">
        <v>46301.667801</v>
      </c>
      <c r="I45" s="2">
        <v>46314.6875</v>
      </c>
      <c r="J45" s="0">
        <v>8</v>
      </c>
      <c r="K45" s="3"/>
      <c r="L45" s="0" t="inlineStr">
        <is>
          <t xml:space="preserve">CLP</t>
        </is>
      </c>
      <c r="M45" s="0" t="inlineStr">
        <is>
          <t xml:space="preserve">LE</t>
        </is>
      </c>
      <c r="N45" s="4" t="inlineStr">
        <is>
          <t xml:space="preserve">Servicios basados en ingeniería, ciencias sociales y tecnología de la información / Servicios informáticos / Ingeniería en computación e informática</t>
        </is>
      </c>
      <c r="O45" s="4" t="inlineStr">
        <is>
          <t xml:space="preserve">24 Mes · Desarrollo de Aplicaciones de Recursos Empresariales (ERP)</t>
        </is>
      </c>
      <c r="P45" s="2"/>
      <c r="Q45" s="2"/>
      <c r="R45" s="0" t="inlineStr">
        <is>
          <t xml:space="preserve">24 meses</t>
        </is>
      </c>
      <c r="S45" s="0" t="inlineStr">
        <is>
          <t xml:space="preserve">No</t>
        </is>
      </c>
      <c r="T45" s="4"/>
      <c r="U45" s="0" t="inlineStr">
        <is>
          <t xml:space="preserve">Christian Rivillo</t>
        </is>
      </c>
      <c r="V45" s="4" t="inlineStr">
        <is>
          <t xml:space="preserve">SE REQUEIRE CONTRATAR PLATAFORMA INTEGRAL PARA LA PLANIFICACIÓN, CONTROL DE DOTACIÓN ESCOLAR Y GESTIÓN DE SOLICITUDES DE CONTRATACIÓN, SEGÚN BASES ADJUNTAS, APROBADAS POR RES. EXENTA N°</t>
        </is>
      </c>
      <c r="W45" s="5" t="str">
        <f>HYPERLINK("https://www.mercadopublico.cl/Procurement/Modules/Attachment/ViewAttachment.aspx?enc=SsX0mLUZHVujWVuRxAUXxgK5V7S0RK4L%2bN0gelcQ1TfPfQKay4oz7v44u8uVOnUfKzi7DnWGJxQMW2gHD4o%2bbsCs6EAUYhunsed8IOBjJ9WdNClbPZ50DD0mHDTLalpQrTWbeWiI1cN3zHydEXjjKYWKqVtbnUFgRWf2EP88OCPIxIUoYfXHRS%2bEMw88FcwmdvnHtEbCg%2bN1mTKD3STnZb51xWos6G5MoJCgQ94r6AtaqLFojg1VzcDsRDfPFIwbaFfyVAW4651J7ghmmQwRfmc2j27q2UzdHE95evSVj83t7CesOIHXgyZ4a%2fjIBlvC","descargar bases")</f>
      </c>
    </row>
    <row r="46">
      <c r="A46" s="0" t="inlineStr">
        <is>
          <t xml:space="preserve">2548-94-CO26</t>
        </is>
      </c>
      <c r="B46" s="4" t="inlineStr">
        <is>
          <t xml:space="preserve">PROVISIÓN DE AUDÍFONOS RETROAURICULARES DIGITALES</t>
        </is>
      </c>
      <c r="C46" s="0" t="inlineStr">
        <is>
          <t xml:space="preserve">Publicada</t>
        </is>
      </c>
      <c r="D46" s="0" t="inlineStr">
        <is>
          <t xml:space="preserve">I MUNICIPALIDAD DE PADRE LAS CASAS</t>
        </is>
      </c>
      <c r="E46" s="0" t="inlineStr">
        <is>
          <t xml:space="preserve">MUNICIPALIDAD DE PADRE LAS CASAS  SALUD</t>
        </is>
      </c>
      <c r="F46" s="0" t="inlineStr">
        <is>
          <t xml:space="preserve">Región de la Araucanía </t>
        </is>
      </c>
      <c r="G46" s="0" t="inlineStr">
        <is>
          <t xml:space="preserve">Padre Las Casas</t>
        </is>
      </c>
      <c r="H46" s="2">
        <v>46302.691782</v>
      </c>
      <c r="I46" s="2">
        <v>46314.6875</v>
      </c>
      <c r="J46" s="0">
        <v>8</v>
      </c>
      <c r="K46" s="3">
        <v>29790000.0</v>
      </c>
      <c r="L46" s="0" t="inlineStr">
        <is>
          <t xml:space="preserve">CLP</t>
        </is>
      </c>
      <c r="M46" s="0" t="inlineStr">
        <is>
          <t xml:space="preserve">CO</t>
        </is>
      </c>
      <c r="N46" s="4" t="inlineStr">
        <is>
          <t xml:space="preserve">Equipamiento y suministros médicos / Ayuda para personas con discapacidad / Artículos de ayuda para la comunicación de discapacitados</t>
        </is>
      </c>
      <c r="O46" s="4" t="inlineStr">
        <is>
          <t xml:space="preserve">1 Unidad · Audífonos para personas con discapacidad física</t>
        </is>
      </c>
      <c r="P46" s="2"/>
      <c r="Q46" s="2"/>
      <c r="R46" s="0"/>
      <c r="S46" s="0" t="inlineStr">
        <is>
          <t xml:space="preserve">No</t>
        </is>
      </c>
      <c r="T46" s="4" t="inlineStr">
        <is>
          <t xml:space="preserve">DE ACUERDO A BASES</t>
        </is>
      </c>
      <c r="U46" s="0" t="inlineStr">
        <is>
          <t xml:space="preserve">ESTEFANI LEIVA CASTRO</t>
        </is>
      </c>
      <c r="V46" s="4" t="inlineStr">
        <is>
          <t xml:space="preserve">Las presentes Bases tienen como objetivo reglamentar la provisión de audífonos retroauriculares digitales para usuarios de los diferentes CESFAM y Postas de Salud Rural dependientes del Departamento de Salud Municipal de Padre Las Casas, que se encuentran en la lista de espera de Otorrinolaringología del Servicio Salud Araucanía Sur SSASUR, de acuerdo con los aspectos técnicos que más adelante se explicitan y en las cantidades establecidas.</t>
        </is>
      </c>
      <c r="W46" s="5" t="str">
        <f>HYPERLINK("https://www.mercadopublico.cl/Procurement/Modules/Attachment/ViewAttachment.aspx?enc=fPxr3WgFTMzSXuyn7DMbLfHVKrcZvr60qL6TH9eS%2bZ35orThT2dEEtXRFjojzZMx5eeV%2f94khrS%2f73e69SeZrwfT0I67NQFu25YPejqNLCPcv1bjWRdSqvVLXYqtIHIceJt4CwvQHywInKxmYeyxh1DbkqpIFEho6GieVDM4%2f4R0HDHYE4bcHVO4bUXx%2f4CwYOLNpGX2RYK244H8%2fJATRPmoTPixAqefkkputdYPwEIgIN7izs3nQKhx1F7K4VPztV3YtPqer%2bTGIm4Y2cErj5LbnHXjzzVL6xTBr%2bjKgwlguqmC5F3igLTmeKKun5Cc","descargar bases")</f>
      </c>
    </row>
    <row r="47">
      <c r="A47" s="0" t="inlineStr">
        <is>
          <t xml:space="preserve">1375757-32-LP26</t>
        </is>
      </c>
      <c r="B47" s="4" t="inlineStr">
        <is>
          <t xml:space="preserve">LICENCIAS DE SOFTWARE PARA SLEP DE PUELCHE</t>
        </is>
      </c>
      <c r="C47" s="0" t="inlineStr">
        <is>
          <t xml:space="preserve">Publicada</t>
        </is>
      </c>
      <c r="D47" s="0" t="inlineStr">
        <is>
          <t xml:space="preserve">SERVICIO LOCAL DE EDUCACIÓN PÚBLICA PUELCHE</t>
        </is>
      </c>
      <c r="E47" s="0" t="inlineStr">
        <is>
          <t xml:space="preserve">COMPRAS Y LICITACIONES</t>
        </is>
      </c>
      <c r="F47" s="0" t="inlineStr">
        <is>
          <t xml:space="preserve">Región del Biobío </t>
        </is>
      </c>
      <c r="G47" s="0" t="inlineStr">
        <is>
          <t xml:space="preserve">Santiago</t>
        </is>
      </c>
      <c r="H47" s="2">
        <v>46301.723102</v>
      </c>
      <c r="I47" s="2">
        <v>46314.708333</v>
      </c>
      <c r="J47" s="0">
        <v>8</v>
      </c>
      <c r="K47" s="3">
        <v>101220000.0</v>
      </c>
      <c r="L47" s="0" t="inlineStr">
        <is>
          <t xml:space="preserve">CLP</t>
        </is>
      </c>
      <c r="M47" s="0" t="inlineStr">
        <is>
          <t xml:space="preserve">LP</t>
        </is>
      </c>
      <c r="N47" s="4" t="inlineStr">
        <is>
          <t xml:space="preserve">Tecnologías de la información, telecomunicaciones y radiodifusión / Software / Software de gestión</t>
        </is>
      </c>
      <c r="O47" s="4" t="inlineStr">
        <is>
          <t xml:space="preserve">1 Global · Software de gestión de licencias · 1 Global · Software de gestión de licencias · 1 Global · Software de gestión de licencias · y 10 más</t>
        </is>
      </c>
      <c r="P47" s="2"/>
      <c r="Q47" s="2"/>
      <c r="R47" s="0"/>
      <c r="S47" s="0" t="inlineStr">
        <is>
          <t xml:space="preserve">No</t>
        </is>
      </c>
      <c r="T47" s="4"/>
      <c r="U47" s="0" t="inlineStr">
        <is>
          <t xml:space="preserve">DIEGO ALONSO CORTÉS RODRÍGUEZ</t>
        </is>
      </c>
      <c r="V47" s="4" t="inlineStr">
        <is>
          <t xml:space="preserve">Según bases adjuntas.</t>
        </is>
      </c>
      <c r="W47" s="5" t="str">
        <f>HYPERLINK("https://www.mercadopublico.cl/Procurement/Modules/Attachment/ViewAttachment.aspx?enc=FEvrSQT3osLj2boczBITdmELw%2bQlaSyEDomzav0vbmRpMGQabwL7O659qIzj8wY6iav0CrW2rPoJpC0ulofrMNGpZP0rRi8ztNSgY1NfmUxxveD%2feayxWK6WwkbmvFI4ujn5ZGLxPlZGoB36MoLpT6HF3zCY4SFP7ltAiByjC%2fuJ%2fQKUaURBqUB8s4SQ46ThN8glAk3PhxIhaNdPp0eZ9t5wo3AueyEF%2f9DJjyb%2f4dNI6mUPgJGv%2bj%2baNhs2ooMYr5BjyNzWTgq53cNpAduvFwbYyhuylGWgCPkJ9UX3QrylUlOZcWfawHJwd4lJBKCK","descargar bases")</f>
      </c>
    </row>
    <row r="48">
      <c r="A48" s="0" t="inlineStr">
        <is>
          <t xml:space="preserve">1389183-71-LE26</t>
        </is>
      </c>
      <c r="B48" s="4" t="inlineStr">
        <is>
          <t xml:space="preserve">PROGRAMAS INFORMATICOS PARA LICEOS TP</t>
        </is>
      </c>
      <c r="C48" s="0" t="inlineStr">
        <is>
          <t xml:space="preserve">Publicada</t>
        </is>
      </c>
      <c r="D48" s="0" t="inlineStr">
        <is>
          <t xml:space="preserve">SERVICIO LOCAL DE EDUCACIÓN PÚBLICA DE ANDALIÉN COSTA</t>
        </is>
      </c>
      <c r="E48" s="0" t="inlineStr">
        <is>
          <t xml:space="preserve">SERVICIO EDUCATIVO ANDALIEN COSTA</t>
        </is>
      </c>
      <c r="F48" s="0" t="inlineStr">
        <is>
          <t xml:space="preserve">Región del Biobío </t>
        </is>
      </c>
      <c r="G48" s="0" t="inlineStr">
        <is>
          <t xml:space="preserve">Coronel</t>
        </is>
      </c>
      <c r="H48" s="2">
        <v>46300.652407</v>
      </c>
      <c r="I48" s="2">
        <v>46314.708333</v>
      </c>
      <c r="J48" s="0">
        <v>8</v>
      </c>
      <c r="K48" s="3">
        <v>9000000.0</v>
      </c>
      <c r="L48" s="0" t="inlineStr">
        <is>
          <t xml:space="preserve">CLP</t>
        </is>
      </c>
      <c r="M48" s="0" t="inlineStr">
        <is>
          <t xml:space="preserve">LE</t>
        </is>
      </c>
      <c r="N48" s="4" t="inlineStr">
        <is>
          <t xml:space="preserve">Tecnologías de la información, telecomunicaciones y radiodifusión / Software / Software de gestión, Tecnologías de la información, telecomunicaciones y radiodifusión / Software / Software de planificación de recursos empresariales (ERP) y contabilidad financiera</t>
        </is>
      </c>
      <c r="O48" s="4" t="inlineStr">
        <is>
          <t xml:space="preserve">1 Unidad · Programas de contabilidad · 1 Unidad · Software de gestión de recursos humanos</t>
        </is>
      </c>
      <c r="P48" s="2"/>
      <c r="Q48" s="2"/>
      <c r="R48" s="0"/>
      <c r="S48" s="0" t="inlineStr">
        <is>
          <t xml:space="preserve">No</t>
        </is>
      </c>
      <c r="T48" s="4"/>
      <c r="U48" s="0" t="inlineStr">
        <is>
          <t xml:space="preserve">Ingrid Cortes</t>
        </is>
      </c>
      <c r="V48" s="4" t="inlineStr">
        <is>
          <t xml:space="preserve">Conforme a la Ley de Compras Públicas 19.886, el Decreto 661 que fija el reglamento y sus modificaciones, el Servicio Local de Educación Pública de Andalién Costa, llama a licitación pública a personas naturales o jurídicas, empresas o proveedores del rubro, o unión temporal de proveedores, para gestionar la compra de “PROGRAMAS INFORMÁTICOS PARA LICEOS TP”, el que tiene por objeto, adquirir Programas Computacionales para el desarrollo de las especialidades de Contabilidad y Administración de establecimientos educacionales Técnicos Profesionales dependientes del Servicio Local de Educación Pública Andalién Costa.</t>
        </is>
      </c>
      <c r="W48" s="5" t="str">
        <f>HYPERLINK("https://www.mercadopublico.cl/Procurement/Modules/Attachment/ViewAttachment.aspx?enc=7aawnh0naqYibIVKdkj4FaXI9T4lqdTQkve83xje8uGSo5hMMHV6VjLMlezUX8ZbmNy%2bZbJm14oqGlY6z5kFttn941o%2fmaEZe5v%2fq25o4gGGgjbja3Ogj%2btLaetZDy%2fs9kENzu4oGwDCGEx8Otq%2fflN3Oye2Ddf0w9%2fP8ta1fRcyBZtou%2bN2iyXVee5X9FZFuYrcsoP%2bgXr9uAeRas3aNxpltOAFUBFR9L7bOT6ZTANOGyYC9g1%2fRHDmlxPSTlA7mRDm%2fb%2bE7UlmxL2ZhuOXjD1Beoxa%2fCM8PB5cqm9IK5Dvc0elsFXrsLTYw8qYBmxD","descargar bases")</f>
      </c>
    </row>
    <row r="49">
      <c r="A49" s="0" t="inlineStr">
        <is>
          <t xml:space="preserve">4455-53-LE26</t>
        </is>
      </c>
      <c r="B49" s="4" t="inlineStr">
        <is>
          <t xml:space="preserve">SERVICIO ARRIENDO DE SOFWARE DE ASISTENCIA CLOUD</t>
        </is>
      </c>
      <c r="C49" s="0" t="inlineStr">
        <is>
          <t xml:space="preserve">Publicada</t>
        </is>
      </c>
      <c r="D49" s="0" t="inlineStr">
        <is>
          <t xml:space="preserve">I MUNICIPALIDAD DE ARAUCO</t>
        </is>
      </c>
      <c r="E49" s="0" t="inlineStr">
        <is>
          <t xml:space="preserve">Ilustre Municipalidad de Arauco - Educación</t>
        </is>
      </c>
      <c r="F49" s="0" t="inlineStr">
        <is>
          <t xml:space="preserve">Región del Biobío </t>
        </is>
      </c>
      <c r="G49" s="0"/>
      <c r="H49" s="2">
        <v>46303.608819</v>
      </c>
      <c r="I49" s="2">
        <v>46314.73125</v>
      </c>
      <c r="J49" s="0">
        <v>8</v>
      </c>
      <c r="K49" s="3"/>
      <c r="L49" s="0" t="inlineStr">
        <is>
          <t xml:space="preserve">CLP</t>
        </is>
      </c>
      <c r="M49" s="0" t="inlineStr">
        <is>
          <t xml:space="preserve">LE</t>
        </is>
      </c>
      <c r="N49" s="4" t="inlineStr">
        <is>
          <t xml:space="preserve">Equipos, accesorios y suministros de oficina / Maquinarias, suministros y accesorios de oficina / Máquinas y accesorios para registro de hora y asistencia en la oficina</t>
        </is>
      </c>
      <c r="O49" s="4" t="inlineStr">
        <is>
          <t xml:space="preserve">1 Unidad · Reloj de control</t>
        </is>
      </c>
      <c r="P49" s="2"/>
      <c r="Q49" s="2"/>
      <c r="R49" s="0" t="inlineStr">
        <is>
          <t xml:space="preserve">14 meses</t>
        </is>
      </c>
      <c r="S49" s="0" t="inlineStr">
        <is>
          <t xml:space="preserve">No</t>
        </is>
      </c>
      <c r="T49" s="4"/>
      <c r="U49" s="0" t="inlineStr">
        <is>
          <t xml:space="preserve">Henry Salazar Pastrana</t>
        </is>
      </c>
      <c r="V49" s="4" t="inlineStr">
        <is>
          <t xml:space="preserve">Servicio Arriendo de SOFTWARE de Asistencia Cloud para Establecimientos Educacionales, Jardines, Salas Cunas de la Comuna y Departamento de Educación Municipal, por 14 meses</t>
        </is>
      </c>
      <c r="W49" s="5" t="str">
        <f>HYPERLINK("https://www.mercadopublico.cl/Procurement/Modules/Attachment/ViewAttachment.aspx?enc=CksxCd2vCJF7IbV9Z0kmhgmv32QNVL6H6pjmvgA17tF8TCk%2bLrHVhqg0WV7KayaSbrDK7JEQ%2bBQEcaaLmebiFsCWut5e6oC4LSBPT04RKeovyCNSaBH4TkXLXDcvBha7dLWVROSEhZausehBEV5nr5PsgbbuDd8NfXnHM%2bYANjK8hEqBcG8O86Md8T5kvVOHXpHb%2btxJ3ufHJmeyZ99wIjbpYlGOIutVDM2KdIMs1qFnMF1Pn1ccRbeieKxt3I1Rj6E7KzcE18wrTYgmsU15cWyKHs9QFYuUWDQl1S9CgYPdsacotRZogI%2fsLGlhsZUY","descargar bases")</f>
      </c>
    </row>
    <row r="50">
      <c r="A50" s="0" t="inlineStr">
        <is>
          <t xml:space="preserve">1230869-7-LE26</t>
        </is>
      </c>
      <c r="B50" s="4" t="inlineStr">
        <is>
          <t xml:space="preserve">SERVICIO DE SOFTWARE DE CONTABILIDAD GUBERNAMENTAL</t>
        </is>
      </c>
      <c r="C50" s="0" t="inlineStr">
        <is>
          <t xml:space="preserve">Publicada</t>
        </is>
      </c>
      <c r="D50" s="0" t="inlineStr">
        <is>
          <t xml:space="preserve">Corporación Cultural de La Florida</t>
        </is>
      </c>
      <c r="E50" s="0" t="inlineStr">
        <is>
          <t xml:space="preserve">Corporación Cultural de La Florida</t>
        </is>
      </c>
      <c r="F50" s="0" t="inlineStr">
        <is>
          <t xml:space="preserve">Región Metropolitana de Santiago</t>
        </is>
      </c>
      <c r="G50" s="0" t="inlineStr">
        <is>
          <t xml:space="preserve">La Florida</t>
        </is>
      </c>
      <c r="H50" s="2">
        <v>46302.551852</v>
      </c>
      <c r="I50" s="2">
        <v>46314.83125</v>
      </c>
      <c r="J50" s="0">
        <v>8</v>
      </c>
      <c r="K50" s="3">
        <v>52800000.0</v>
      </c>
      <c r="L50" s="0" t="inlineStr">
        <is>
          <t xml:space="preserve">CLP</t>
        </is>
      </c>
      <c r="M50" s="0" t="inlineStr">
        <is>
          <t xml:space="preserve">LE</t>
        </is>
      </c>
      <c r="N50" s="4" t="inlineStr">
        <is>
          <t xml:space="preserve">Tecnologías de la información, telecomunicaciones y radiodifusión / Software / Software de planificación de recursos empresariales (ERP) y contabilidad financiera</t>
        </is>
      </c>
      <c r="O50" s="4" t="inlineStr">
        <is>
          <t xml:space="preserve">1 Unidad · Programas de contabilidad</t>
        </is>
      </c>
      <c r="P50" s="2"/>
      <c r="Q50" s="2"/>
      <c r="R50" s="0" t="inlineStr">
        <is>
          <t xml:space="preserve">24 meses</t>
        </is>
      </c>
      <c r="S50" s="0" t="inlineStr">
        <is>
          <t xml:space="preserve">No</t>
        </is>
      </c>
      <c r="T50" s="4" t="inlineStr">
        <is>
          <t xml:space="preserve">No se autoriza la subcontratación.</t>
        </is>
      </c>
      <c r="U50" s="0" t="inlineStr">
        <is>
          <t xml:space="preserve">Carolina Lagos</t>
        </is>
      </c>
      <c r="V50" s="4" t="inlineStr">
        <is>
          <t xml:space="preserve">Las presentes bases administrativas especiales, establecen las disposiciones, condiciones y términos que regularán las exigencias para el servicio de software de contabilidad gubernamental para la Corporación Cultural de La Florida, bajo la modalidad de suministro por 24 meses.</t>
        </is>
      </c>
      <c r="W50" s="5" t="str">
        <f>HYPERLINK("https://www.mercadopublico.cl/Procurement/Modules/Attachment/ViewAttachment.aspx?enc=6IrBl6S6CwtBe8%2b5HoL9YlvApD2VISnu4FdDrvcdoh12fTACtzf7h%2bTGsgnghl1%2f9ApPpYQ2NMQMM7r%2bXMUGTtaNEi3GYB9GURjrVLuNZvySYyHtfC4u9iMh72nI2CZOHHzx%2bn%2fY6wkBTCcOJi1r3ZU90Sm%2fKyxrRclPlcSteBJKzoCiWkx4BjvBsrSyj8yASOGDoxM7VHYpgFLQ9wqPTDaLhPoGRPyTIHjxAIXJjkRHKIXv5HfgRshSizNvTN6QzR10zALlqKKShM8NQhJyOZp%2fq0FLm2HOYsTHb9ZlTyZK%2ftwNQh5A5dKvMU1NR65x","descargar bases")</f>
      </c>
    </row>
    <row r="51">
      <c r="A51" s="0" t="inlineStr">
        <is>
          <t xml:space="preserve">1191449-19-LP26</t>
        </is>
      </c>
      <c r="B51" s="4" t="inlineStr">
        <is>
          <t xml:space="preserve">SERVICIOS  DE ADMINIS DE INFRAES CLOUD Y MANTEN AN</t>
        </is>
      </c>
      <c r="C51" s="0" t="inlineStr">
        <is>
          <t xml:space="preserve">Publicada</t>
        </is>
      </c>
      <c r="D51" s="0" t="inlineStr">
        <is>
          <t xml:space="preserve">SERVICIO NACIONAL DEL PATRIMONIO CULTURAL</t>
        </is>
      </c>
      <c r="E51" s="0" t="inlineStr">
        <is>
          <t xml:space="preserve">SUBDIRECCIÓN ARCHIVO NACIONAL DOS</t>
        </is>
      </c>
      <c r="F51" s="0" t="inlineStr">
        <is>
          <t xml:space="preserve">Región Metropolitana de Santiago</t>
        </is>
      </c>
      <c r="G51" s="0" t="inlineStr">
        <is>
          <t xml:space="preserve">Santiago</t>
        </is>
      </c>
      <c r="H51" s="2">
        <v>46294.62088</v>
      </c>
      <c r="I51" s="2">
        <v>46314.833333</v>
      </c>
      <c r="J51" s="0">
        <v>8</v>
      </c>
      <c r="K51" s="3">
        <v>114470000.0</v>
      </c>
      <c r="L51" s="0" t="inlineStr">
        <is>
          <t xml:space="preserve">CLP</t>
        </is>
      </c>
      <c r="M51" s="0" t="inlineStr">
        <is>
          <t xml:space="preserve">LP</t>
        </is>
      </c>
      <c r="N51" s="4" t="inlineStr">
        <is>
          <t xml:space="preserve">Servicios profesionales, administrativos y consultorías de gestión empresarial / Servicios de recursos humanos / Contratación de personal</t>
        </is>
      </c>
      <c r="O51" s="4" t="inlineStr">
        <is>
          <t xml:space="preserve">1 Unidad · Profesionales · 1 Unidad · Profesionales</t>
        </is>
      </c>
      <c r="P51" s="2"/>
      <c r="Q51" s="2"/>
      <c r="R51" s="0" t="inlineStr">
        <is>
          <t xml:space="preserve">12 meses</t>
        </is>
      </c>
      <c r="S51" s="0" t="inlineStr">
        <is>
          <t xml:space="preserve">No</t>
        </is>
      </c>
      <c r="T51" s="4" t="inlineStr">
        <is>
          <t xml:space="preserve">El proveedor no podrá subcontratar ninguno de los servicios encomendados. El incumplimiento de 
esta prohibición de parte de este, se considerará de carácter grave, facultándose al Serpat para 
poner término anticipado al contrato, sin derecho de indemn</t>
        </is>
      </c>
      <c r="U51" s="0" t="inlineStr">
        <is>
          <t xml:space="preserve">CONSTANZA ACUÑA CERDA</t>
        </is>
      </c>
      <c r="V51" s="4" t="inlineStr">
        <is>
          <t xml:space="preserve">“SERVICIOS PROFESIONALES DE ADMINISTRACIÓN DE INFRAESTRUCTURA CLOUD Y MANTENCIÓN DE SISTEMAS PARA EL ARCHIVO NACIONAL”.</t>
        </is>
      </c>
      <c r="W51" s="5" t="str">
        <f>HYPERLINK("https://www.mercadopublico.cl/Procurement/Modules/Attachment/ViewAttachment.aspx?enc=rFjgHgHHQ74zgv%2f5WzbuVKVSdH45XgE4KRoBUl9VcZC5y1alT9JfgrqJycoghImxXRalpNYbK1QW00rkKaPi%2f4pUylQoglH5YIy%2ft3o9CD6pYy5nTrT%2ffKUYPebAlvXxVctyHWPHLffrkAzm55j3mXnmN5tiOjspYH7UG5s3FS%2fRIfON1%2f9uQG2clMpmDWYIMooz0Lhh09gcN8e8RZ%2bO%2bOUrZcJLGQjkfEWb95f%2f%2bDrKLpKPm0fQP825l0i260o9OP4UTRDwz8xS8k%2b%2fQGWedsrwPBi6YFg4zyAxFvHbKEywIEE%2bJmIMqrqSZN%2fMpnVi","descargar bases")</f>
      </c>
    </row>
    <row r="52">
      <c r="A52" s="0" t="inlineStr">
        <is>
          <t xml:space="preserve">1409-15-LE26</t>
        </is>
      </c>
      <c r="B52" s="4" t="inlineStr">
        <is>
          <t xml:space="preserve">Servicio arriendo red de datos e internet</t>
        </is>
      </c>
      <c r="C52" s="0" t="inlineStr">
        <is>
          <t xml:space="preserve">Publicada</t>
        </is>
      </c>
      <c r="D52" s="0" t="inlineStr">
        <is>
          <t xml:space="preserve">DIRECCION GENERAL DE AERONAUTICA CIVIL</t>
        </is>
      </c>
      <c r="E52" s="0" t="inlineStr">
        <is>
          <t xml:space="preserve">UNIDAD DE COMPRA PUERTO MONTT</t>
        </is>
      </c>
      <c r="F52" s="0" t="inlineStr">
        <is>
          <t xml:space="preserve">Región de los Lagos </t>
        </is>
      </c>
      <c r="G52" s="0" t="inlineStr">
        <is>
          <t xml:space="preserve">Puerto Montt</t>
        </is>
      </c>
      <c r="H52" s="2">
        <v>46294.686956</v>
      </c>
      <c r="I52" s="2">
        <v>46315.416667</v>
      </c>
      <c r="J52" s="0">
        <v>9</v>
      </c>
      <c r="K52" s="3"/>
      <c r="L52" s="0" t="inlineStr">
        <is>
          <t xml:space="preserve">CLP</t>
        </is>
      </c>
      <c r="M52" s="0" t="inlineStr">
        <is>
          <t xml:space="preserve">LE</t>
        </is>
      </c>
      <c r="N52" s="4" t="inlineStr">
        <is>
          <t xml:space="preserve">Servicios basados en ingeniería, ciencias sociales y tecnología de la información / Servicios informáticos / Servicios para internet</t>
        </is>
      </c>
      <c r="O52" s="4" t="inlineStr">
        <is>
          <t xml:space="preserve">36 Mes · Proveedores de servicio de Internet (ISP)</t>
        </is>
      </c>
      <c r="P52" s="2"/>
      <c r="Q52" s="2"/>
      <c r="R52" s="0" t="inlineStr">
        <is>
          <t xml:space="preserve">36 meses</t>
        </is>
      </c>
      <c r="S52" s="0" t="inlineStr">
        <is>
          <t xml:space="preserve">No</t>
        </is>
      </c>
      <c r="T52" s="4"/>
      <c r="U52" s="0" t="inlineStr">
        <is>
          <t xml:space="preserve">Rocio Marin Chambla</t>
        </is>
      </c>
      <c r="V52" s="4" t="inlineStr">
        <is>
          <t xml:space="preserve">se requiere contratar el servicio de arriendo red de datos e internet para el aeropuerto el Tepual de Puerto Montt, por un periodo de 36 meses.</t>
        </is>
      </c>
      <c r="W52" s="5" t="str">
        <f>HYPERLINK("https://www.mercadopublico.cl/Procurement/Modules/Attachment/ViewAttachment.aspx?enc=ozb65Y9e8M7pcWmZh3QcuLb80gbv6iGoXARjMtlp9mVgIVaIMb%2bYPsnqQGqhAUh07OQGn2580yubtRhjEQJHoqdxfuN2KYz7sTy1ZGTE2z6DS%2f9aVFNWOzzaBsaCzUKFTr2QAOE20eA1LP6akWMjsErS%2bzceGu3AoDATh%2bbAze7%2b%2bRWX28Si8O0Fjqf%2fuFWxCzQ8OytqSlksiMQyqHqTvVpZ%2b0%2b5hSPqnHeEgHmR%2bgSwX7dqLtlIY3liTd70GCMOYwcqNXPNKAPCxwc%2bEUP8NG6EbWZ8N9lrLtuHWIEF%2fFgagm5v93VqPm8g2%2fBdTrdc","descargar bases")</f>
      </c>
    </row>
    <row r="53">
      <c r="A53" s="0" t="inlineStr">
        <is>
          <t xml:space="preserve">630-29-LE26</t>
        </is>
      </c>
      <c r="B53" s="4" t="inlineStr">
        <is>
          <t xml:space="preserve">SERVICIO DE GESTIÓN DOCUMENTAL EN MODALIDAD SAAS</t>
        </is>
      </c>
      <c r="C53" s="0" t="inlineStr">
        <is>
          <t xml:space="preserve">Publicada</t>
        </is>
      </c>
      <c r="D53" s="0" t="inlineStr">
        <is>
          <t xml:space="preserve">SUBSECRETARIA DEL TRABAJO</t>
        </is>
      </c>
      <c r="E53" s="0" t="inlineStr">
        <is>
          <t xml:space="preserve">Subsecretaria del Trabajo</t>
        </is>
      </c>
      <c r="F53" s="0" t="inlineStr">
        <is>
          <t xml:space="preserve">Región Metropolitana de Santiago</t>
        </is>
      </c>
      <c r="G53" s="0" t="inlineStr">
        <is>
          <t xml:space="preserve">Santiago</t>
        </is>
      </c>
      <c r="H53" s="2">
        <v>46300.575498</v>
      </c>
      <c r="I53" s="2">
        <v>46315.416667</v>
      </c>
      <c r="J53" s="0">
        <v>9</v>
      </c>
      <c r="K53" s="3">
        <v>40000000.0</v>
      </c>
      <c r="L53" s="0" t="inlineStr">
        <is>
          <t xml:space="preserve">CLP</t>
        </is>
      </c>
      <c r="M53" s="0" t="inlineStr">
        <is>
          <t xml:space="preserve">LE</t>
        </is>
      </c>
      <c r="N53" s="4" t="inlineStr">
        <is>
          <t xml:space="preserve">Tecnologías de la información, telecomunicaciones y radiodifusión / Software / Software de gestión de contenidos</t>
        </is>
      </c>
      <c r="O53" s="4" t="inlineStr">
        <is>
          <t xml:space="preserve">1 Unidad · Programas de gestión de documentos</t>
        </is>
      </c>
      <c r="P53" s="2"/>
      <c r="Q53" s="2"/>
      <c r="R53" s="0" t="inlineStr">
        <is>
          <t xml:space="preserve">12 meses</t>
        </is>
      </c>
      <c r="S53" s="0" t="inlineStr">
        <is>
          <t xml:space="preserve">No</t>
        </is>
      </c>
      <c r="T53" s="4" t="inlineStr">
        <is>
          <t xml:space="preserve">SEGÚN REX N°1384 DE 02102026 QUE LLAMA A PROPUESTA PÚBLICA Y APRUEBA BASES ADMINISTRATIVAS, TÉCNICAS Y ANEXOS PARA LA CONTRATACIÓN DEL SERVICIO DE GESTIÓN DOCUMENTAL EN MODALIDAD SAAS SOFTWARE AS A SERVICE PARA LA SUBSECRETARÍA DEL TRABAJO. ADJUNTA</t>
        </is>
      </c>
      <c r="U53" s="0" t="inlineStr">
        <is>
          <t xml:space="preserve">JOSÉ VICENTE ELGUETA</t>
        </is>
      </c>
      <c r="V53" s="4" t="inlineStr">
        <is>
          <t xml:space="preserve">La Subsecretaría del Trabajo, en adelante “la Subsecretaría”, requiere contratar el servicio de un Gestor Documental en modalidad SaaS Software as a Service. El objetivo principal de esta licitación es implementar una plataforma integral que modernice la gestión, trazabilidad y seguridad de los documentos institucionales.</t>
        </is>
      </c>
      <c r="W53" s="5" t="str">
        <f>HYPERLINK("https://www.mercadopublico.cl/Procurement/Modules/Attachment/ViewAttachment.aspx?enc=AZz3aTCgxaCoqGl5v5NLuRcOUnCBXVfzd7ZV2WThnhVdf%2fcMW%2fLcBq3FijMtiGKb9e7gQrGEZ7We7dmDnVTXnDaV1d%2f6cgMfD2gHexFsOzhUr%2bbl5vVofGM5yTni%2f65l6Ez0ebbupj4d3sHeVL3gu%2bgs9eKyBoIQhioNtp7LIiypw8gScDzssejqGmJfU%2fP1UVCVlcn5TlJ03PjMih29mUhOE09G6gMcp2fP8GG85lVRonF%2fxBJmra4ZKFtJM0bk%2bG%2f7qZ9PWU8DxP%2fF0nLOook3IzvLhvuOqerkGZUzv9nfvcet9J4WjdVypDDohwjX","descargar bases")</f>
      </c>
    </row>
    <row r="54">
      <c r="A54" s="0" t="inlineStr">
        <is>
          <t xml:space="preserve">29-81-LP26</t>
        </is>
      </c>
      <c r="B54" s="4" t="inlineStr">
        <is>
          <t xml:space="preserve">AGF - PLATAFORMA INGLES</t>
        </is>
      </c>
      <c r="C54" s="0" t="inlineStr">
        <is>
          <t xml:space="preserve">Publicada</t>
        </is>
      </c>
      <c r="D54" s="0" t="inlineStr">
        <is>
          <t xml:space="preserve">FUERZA AEREA DE CHILE COMANDO LOGISTICO</t>
        </is>
      </c>
      <c r="E54" s="0" t="inlineStr">
        <is>
          <t xml:space="preserve">Comando Logístico</t>
        </is>
      </c>
      <c r="F54" s="0" t="inlineStr">
        <is>
          <t xml:space="preserve">Región Metropolitana de Santiago</t>
        </is>
      </c>
      <c r="G54" s="0" t="inlineStr">
        <is>
          <t xml:space="preserve">El Bosque</t>
        </is>
      </c>
      <c r="H54" s="2">
        <v>46276.548611</v>
      </c>
      <c r="I54" s="2">
        <v>46315.5</v>
      </c>
      <c r="J54" s="0">
        <v>9</v>
      </c>
      <c r="K54" s="3"/>
      <c r="L54" s="0" t="inlineStr">
        <is>
          <t xml:space="preserve">USD</t>
        </is>
      </c>
      <c r="M54" s="0" t="inlineStr">
        <is>
          <t xml:space="preserve">LP</t>
        </is>
      </c>
      <c r="N54" s="4" t="inlineStr">
        <is>
          <t xml:space="preserve">Educación, formación, entrenamiento y capacitación / Sistemas educativos complementarios / Escuelas de idiomas</t>
        </is>
      </c>
      <c r="O54" s="4" t="inlineStr">
        <is>
          <t xml:space="preserve">1 Global · Enseñanza conversacional de idiomas extranjeros</t>
        </is>
      </c>
      <c r="P54" s="2"/>
      <c r="Q54" s="2"/>
      <c r="R54" s="0"/>
      <c r="S54" s="0" t="inlineStr">
        <is>
          <t xml:space="preserve">No</t>
        </is>
      </c>
      <c r="T54" s="4"/>
      <c r="U54" s="0" t="inlineStr">
        <is>
          <t xml:space="preserve">PAULO ARELLANO WOLFF</t>
        </is>
      </c>
      <c r="V54" s="4" t="inlineStr">
        <is>
          <t xml:space="preserve">CONTRATACIÓN DE SERVICIO DE PLATAFORMA INTEGRAL DE CAPACITACIÓN EN IDIOMA INGLÉS MODALIDAD E-LEARNING CON TUTORIA</t>
        </is>
      </c>
      <c r="W54" s="5" t="str">
        <f>HYPERLINK("https://www.mercadopublico.cl/Procurement/Modules/Attachment/ViewAttachment.aspx?enc=VwG9Uj5iKujp6ES8bqg5P7UB4V8RdWm0NFW6VPi%2b%2fKYS0cfhsrZEXKGF%2bTveelvYtnPxn9uQthFvO7Jn85kaaz2deWzH%2bK7SfNaXVI7eYzJ9XOaL72x4qwZM3Ip2bGgEPZ7lMyRszE3dhe2IRTIqLKg5Zims0UspaNap26gWMDm8ZiP2PgjJh%2fvRHpq1en9RV92tobVD3TiiEiG6AZfOreHJ13lkZrTqyYR7%2fD%2fE8CxwtdRJcZWMypA%2bbhTjJDL1GFHCTvnUlm7kgrrsc7FGcd0rQqnVS1QbsfK0pFbRw1APGGsWS6RrcAg%2ffTXvJAN5","descargar bases")</f>
      </c>
    </row>
    <row r="55">
      <c r="A55" s="0" t="inlineStr">
        <is>
          <t xml:space="preserve">4160-15-LP26</t>
        </is>
      </c>
      <c r="B55" s="4" t="inlineStr">
        <is>
          <t xml:space="preserve">SERV MANTENIMIENTO TRANSMISION DE DATOS CAMARAS</t>
        </is>
      </c>
      <c r="C55" s="0" t="inlineStr">
        <is>
          <t xml:space="preserve">Publicada</t>
        </is>
      </c>
      <c r="D55" s="0" t="inlineStr">
        <is>
          <t xml:space="preserve">MUNICIPALIDAD DE HUALPEN</t>
        </is>
      </c>
      <c r="E55" s="0" t="inlineStr">
        <is>
          <t xml:space="preserve">Secplan</t>
        </is>
      </c>
      <c r="F55" s="0" t="inlineStr">
        <is>
          <t xml:space="preserve">Región del Biobío </t>
        </is>
      </c>
      <c r="G55" s="0" t="inlineStr">
        <is>
          <t xml:space="preserve">Hualpén</t>
        </is>
      </c>
      <c r="H55" s="2">
        <v>46293.499931</v>
      </c>
      <c r="I55" s="2">
        <v>46315.583333</v>
      </c>
      <c r="J55" s="0">
        <v>9</v>
      </c>
      <c r="K55" s="3"/>
      <c r="L55" s="0" t="inlineStr">
        <is>
          <t xml:space="preserve">CLF</t>
        </is>
      </c>
      <c r="M55" s="0" t="inlineStr">
        <is>
          <t xml:space="preserve">LP</t>
        </is>
      </c>
      <c r="N55" s="4" t="inlineStr">
        <is>
          <t xml:space="preserve">Equipos y suministros de defensa, orden público, protección y seguridad / Seguridad, vigilancia y detección / Equipo de vigilancia y detección</t>
        </is>
      </c>
      <c r="O55" s="4" t="inlineStr">
        <is>
          <t xml:space="preserve">48 Mes · Cámaras de seguridad</t>
        </is>
      </c>
      <c r="P55" s="2"/>
      <c r="Q55" s="2"/>
      <c r="R55" s="0" t="inlineStr">
        <is>
          <t xml:space="preserve">48 meses</t>
        </is>
      </c>
      <c r="S55" s="0" t="inlineStr">
        <is>
          <t xml:space="preserve">No</t>
        </is>
      </c>
      <c r="T55" s="4"/>
      <c r="U55" s="0" t="inlineStr">
        <is>
          <t xml:space="preserve">RENE IBAÑEZ RETAMAL</t>
        </is>
      </c>
      <c r="V55" s="4" t="inlineStr">
        <is>
          <t xml:space="preserve">contratación del “SERVICIO DE MANTENIMIENTO, TRANSMISION DE DATOS CAMARAS DE TELEVIGILANCIA HUALPÉN”, para lo cual se deberá considerar un plazo de prestación del servicio de 48 meses corridos.</t>
        </is>
      </c>
      <c r="W55" s="5" t="str">
        <f>HYPERLINK("https://www.mercadopublico.cl/Procurement/Modules/Attachment/ViewAttachment.aspx?enc=vbRL698Mo6k8yUw3d2c0ttwUEhORh%2bPIkoIvqHjbfPmAob3RXbMJOpoIfavgbYbBzJQyuBHKzR4IYgQOzucIZ23cteBNgc2Kn8SMgnTiYqsKZTKcjOd0CNEQ8tjHZ9Pfx4DpZhk3FE9U8CTKpe83VNGfdpOSMBxxYgejp62mE0Vs4cJOS83JWp%2bZVOFp5RfR8r9Unuj94U8WhbNdrLu%2bZh2dyivU3BY5R%2bRESe1k%2fRrOm7ooQbwvroz1qNWUg6zfhbE%2bmSpC8aOYHBamsgnlJTGcE32fj%2b8kpOXvkRxyhhUap%2fjQSlVa1%2b9k9zylwvVW","descargar bases")</f>
      </c>
    </row>
    <row r="56">
      <c r="A56" s="0" t="inlineStr">
        <is>
          <t xml:space="preserve">1469-268-L126</t>
        </is>
      </c>
      <c r="B56" s="4" t="inlineStr">
        <is>
          <t xml:space="preserve">Servicios de Difusión Publicitaria en Plataforma Digital Informativa Nacional</t>
        </is>
      </c>
      <c r="C56" s="0" t="inlineStr">
        <is>
          <t xml:space="preserve">Publicada</t>
        </is>
      </c>
      <c r="D56" s="0" t="inlineStr">
        <is>
          <t xml:space="preserve">UNIVERSIDAD DE TALCA</t>
        </is>
      </c>
      <c r="E56" s="0" t="inlineStr">
        <is>
          <t xml:space="preserve">Universidad de Talca</t>
        </is>
      </c>
      <c r="F56" s="0" t="inlineStr">
        <is>
          <t xml:space="preserve">Región del Maule </t>
        </is>
      </c>
      <c r="G56" s="0" t="inlineStr">
        <is>
          <t xml:space="preserve">Talca</t>
        </is>
      </c>
      <c r="H56" s="2">
        <v>46304.770683</v>
      </c>
      <c r="I56" s="2">
        <v>46315.625</v>
      </c>
      <c r="J56" s="0">
        <v>9</v>
      </c>
      <c r="K56" s="3">
        <v>3570000.0</v>
      </c>
      <c r="L56" s="0" t="inlineStr">
        <is>
          <t xml:space="preserve">CLP</t>
        </is>
      </c>
      <c r="M56" s="0" t="inlineStr">
        <is>
          <t xml:space="preserve">L1</t>
        </is>
      </c>
      <c r="N56" s="4" t="inlineStr">
        <is>
          <t xml:space="preserve">Servicios editoriales, de diseño, publicidad, gráficos y artistas / Publicidad / Publicidad en medios no impresos</t>
        </is>
      </c>
      <c r="O56" s="4" t="inlineStr">
        <is>
          <t xml:space="preserve">1 Unidad · Publicidad en Internet</t>
        </is>
      </c>
      <c r="P56" s="2"/>
      <c r="Q56" s="2"/>
      <c r="R56" s="0"/>
      <c r="S56" s="0" t="inlineStr">
        <is>
          <t xml:space="preserve">No</t>
        </is>
      </c>
      <c r="T56" s="4"/>
      <c r="U56" s="0"/>
      <c r="V56" s="4" t="inlineStr">
        <is>
          <t xml:space="preserve">Difundir información de marca de la Universidad de Talca.</t>
        </is>
      </c>
      <c r="W56" s="5" t="str">
        <f>HYPERLINK("https://www.mercadopublico.cl/Procurement/Modules/Attachment/ViewAttachment.aspx?enc=ovS4cjOlf9h9S%2fDjbwWPhimZ3H6tSdILJolsj48XiOeUsPzdXOV4M6lfqpBpWnbUsRnjv03P1pyUTdHSawCC7Y5aOmoD22O4%2fQJfAXUwYzxCe6csZ9eCAzpnwo%2ffyTB8DtfgpElNIbZrATniAKYGNcyBwSYunN8LBjgIWg2Y1I1bEc927J5CkdM7UKJHLID4W2foX4OGrQbvpHviv0HRiBHAH1wdtJJ0twCE4HVzeHdxuYjtPCcEQJaa9orq08c87rpb8i2IcpBbSAh2BQz%2btRqQ3RF3UZ8c35%2f4iKOqG%2bJh8U97woS2OgkTHqsuWxb2","descargar bases")</f>
      </c>
    </row>
    <row r="57">
      <c r="A57" s="0" t="inlineStr">
        <is>
          <t xml:space="preserve">2122-34-LE26</t>
        </is>
      </c>
      <c r="B57" s="4" t="inlineStr">
        <is>
          <t xml:space="preserve">SOLUCIONES DE INTELIGENCIA ARTIFICIAL</t>
        </is>
      </c>
      <c r="C57" s="0" t="inlineStr">
        <is>
          <t xml:space="preserve">Publicada</t>
        </is>
      </c>
      <c r="D57" s="0" t="inlineStr">
        <is>
          <t xml:space="preserve">SUBSECRETARIA DE SALUD PUBLICA</t>
        </is>
      </c>
      <c r="E57" s="0" t="inlineStr">
        <is>
          <t xml:space="preserve">Seremi de Salud II Región</t>
        </is>
      </c>
      <c r="F57" s="0" t="inlineStr">
        <is>
          <t xml:space="preserve">Región de Antofagasta </t>
        </is>
      </c>
      <c r="G57" s="0" t="inlineStr">
        <is>
          <t xml:space="preserve">Antofagasta</t>
        </is>
      </c>
      <c r="H57" s="2">
        <v>46302.7125</v>
      </c>
      <c r="I57" s="2">
        <v>46315.625</v>
      </c>
      <c r="J57" s="0">
        <v>9</v>
      </c>
      <c r="K57" s="3"/>
      <c r="L57" s="0" t="inlineStr">
        <is>
          <t xml:space="preserve">CLP</t>
        </is>
      </c>
      <c r="M57" s="0" t="inlineStr">
        <is>
          <t xml:space="preserve">LE</t>
        </is>
      </c>
      <c r="N57" s="4" t="inlineStr">
        <is>
          <t xml:space="preserve">Servicios profesionales, administrativos y consultorías de gestión empresarial / Servicios de recursos humanos / Contratación de personal</t>
        </is>
      </c>
      <c r="O57" s="4" t="inlineStr">
        <is>
          <t xml:space="preserve">1 Unidad · Desarrolladores de software</t>
        </is>
      </c>
      <c r="P57" s="2"/>
      <c r="Q57" s="2"/>
      <c r="R57" s="0" t="inlineStr">
        <is>
          <t xml:space="preserve">100 días</t>
        </is>
      </c>
      <c r="S57" s="0" t="inlineStr">
        <is>
          <t xml:space="preserve">No</t>
        </is>
      </c>
      <c r="T57" s="4"/>
      <c r="U57" s="0" t="inlineStr">
        <is>
          <t xml:space="preserve">Crishna Erices</t>
        </is>
      </c>
      <c r="V57" s="4" t="inlineStr">
        <is>
          <t xml:space="preserve">Diseñar e implementar soluciones de inteligencia artificial IA que permitan automatizar procesos de lectura y estandarización de informes de anatomía patológica, fichas clínicas y certificados de defunción y la codificación de casos incidentes de cáncer para la SEREMI de Salud de Antofagasta.</t>
        </is>
      </c>
      <c r="W57" s="5" t="str">
        <f>HYPERLINK("https://www.mercadopublico.cl/Procurement/Modules/Attachment/ViewAttachment.aspx?enc=XFGkjk7m5j5LqtOD7N0nQitEV4LOQck27WVQ5nI70swmoxyIpkQt4RapuKENIrJFa2cfMDojsMNy2LzhqhwxCz0BZBZku53r7JG3U9LEL4D05CiOhhtARvMrC8M3If%2fyn6Awj%2bNxFrPVtmlCPQl2gU0xYjl57194CvptO2hx%2biMmcQ%2bPDY%2b%2bgupp8D8No5pIHAhgbGM%2fIBXjqj0%2beZHvdVzwLMW%2fdb37mI%2f8P8DKU1DNuFhuZxHrIjBVAc6PoNvxWs09f5EgsWurSvp%2bGmyGu%2bvY1nC4oHqQnNKmoyMFHt95W3mrg13thyUMctZI2agP","descargar bases")</f>
      </c>
    </row>
    <row r="58">
      <c r="A58" s="0" t="inlineStr">
        <is>
          <t xml:space="preserve">2981-293-LE26</t>
        </is>
      </c>
      <c r="B58" s="4" t="inlineStr">
        <is>
          <t xml:space="preserve">ADQUISICIÓN DE 100 GPS TRACKER CON PLATAFORMA INTEGRADA GEOESPACIAL Y DE TRAZABILIDAD Y SU RESPECTIVO EQUIPAMIENTO EJECUCIÓN DEL PLAN CALLE SIN VIOLENCIA</t>
        </is>
      </c>
      <c r="C58" s="0" t="inlineStr">
        <is>
          <t xml:space="preserve">Publicada</t>
        </is>
      </c>
      <c r="D58" s="0" t="inlineStr">
        <is>
          <t xml:space="preserve">POLICIA DE INVESTIGACIONES DE CHILE</t>
        </is>
      </c>
      <c r="E58" s="0" t="inlineStr">
        <is>
          <t xml:space="preserve">DEPARTAMENTO ADMINISTRATIVO</t>
        </is>
      </c>
      <c r="F58" s="0" t="inlineStr">
        <is>
          <t xml:space="preserve">Región Metropolitana de Santiago</t>
        </is>
      </c>
      <c r="G58" s="0" t="inlineStr">
        <is>
          <t xml:space="preserve">Santiago Centro</t>
        </is>
      </c>
      <c r="H58" s="2">
        <v>46304.491053</v>
      </c>
      <c r="I58" s="2">
        <v>46315.625</v>
      </c>
      <c r="J58" s="0">
        <v>9</v>
      </c>
      <c r="K58" s="3"/>
      <c r="L58" s="0" t="inlineStr">
        <is>
          <t xml:space="preserve">CLP</t>
        </is>
      </c>
      <c r="M58" s="0" t="inlineStr">
        <is>
          <t xml:space="preserve">LE</t>
        </is>
      </c>
      <c r="N58" s="4" t="inlineStr">
        <is>
          <t xml:space="preserve">Muebles, accesorios, electrodomésticos y productos electrónicos / Equipos y accesorios audiovisuales / Equipos audiovisuales y de electrónica menor</t>
        </is>
      </c>
      <c r="O58" s="4" t="inlineStr">
        <is>
          <t xml:space="preserve">100 Unidad · Receptores GPS</t>
        </is>
      </c>
      <c r="P58" s="2"/>
      <c r="Q58" s="2"/>
      <c r="R58" s="0"/>
      <c r="S58" s="0" t="inlineStr">
        <is>
          <t xml:space="preserve">No</t>
        </is>
      </c>
      <c r="T58" s="4" t="inlineStr">
        <is>
          <t xml:space="preserve">SEGÚN ART. 51 DE RESOLEX N°851 DE 08.OCT.026, DEPADM</t>
        </is>
      </c>
      <c r="U58" s="0" t="inlineStr">
        <is>
          <t xml:space="preserve">DAYANA MORI GONZALEZ</t>
        </is>
      </c>
      <c r="V58" s="4" t="inlineStr">
        <is>
          <t xml:space="preserve">ADQUISICIÓN DE 100 GPS TRACKER CON PLATAFORMA INTEGRADA GEOESPACIAL Y DE TRAZABILIDAD Y SU RESPECTIVO EQUIPAMIENTO EJECUCIÓN DEL PLAN CALLE SIN VIOLENCIA</t>
        </is>
      </c>
      <c r="W58" s="5" t="str">
        <f>HYPERLINK("https://www.mercadopublico.cl/Procurement/Modules/Attachment/ViewAttachment.aspx?enc=azhNuhEMWzwLFz4D%2bDheJayhigumJOH%2brAN0xmQyYGBZCYxNWir92T%2fkzHZrVQKgueNcAXrvKGAbtaGSJx8N36BoPiI0V1oLDE2HZUGqBPM6vFwmPoLHi2YgzyLd%2bgbW87gezO1zcCbq2saWqnaSxbWeEjdgjPiq32J7m82cGNK8uq3HyPOSBYRqZinNQZafalGCKfV%2blcH5l4oTMFFrKDekpJi26fCo8jbUn13Aq155nw3WAmdrQ7rby0iQNHy6dWYeCvhsX423VQxsh46X4Jj%2fq8O%2fM1nU9E29q8uBc7lWgz%2bFN1mrOpEqFvLNQ0ji","descargar bases")</f>
      </c>
    </row>
    <row r="59">
      <c r="A59" s="0" t="inlineStr">
        <is>
          <t xml:space="preserve">1107281-6-LE26</t>
        </is>
      </c>
      <c r="B59" s="4" t="inlineStr">
        <is>
          <t xml:space="preserve">COMPRA SOFTWARE COMPATIBLE CON EQUIPO HPLC AGILENT</t>
        </is>
      </c>
      <c r="C59" s="0" t="inlineStr">
        <is>
          <t xml:space="preserve">Publicada</t>
        </is>
      </c>
      <c r="D59" s="0" t="inlineStr">
        <is>
          <t xml:space="preserve">INIA</t>
        </is>
      </c>
      <c r="E59" s="0" t="inlineStr">
        <is>
          <t xml:space="preserve">CARILLANCA</t>
        </is>
      </c>
      <c r="F59" s="0" t="inlineStr">
        <is>
          <t xml:space="preserve">Región de la Araucanía </t>
        </is>
      </c>
      <c r="G59" s="0" t="inlineStr">
        <is>
          <t xml:space="preserve">Vilcún</t>
        </is>
      </c>
      <c r="H59" s="2">
        <v>46304.465972</v>
      </c>
      <c r="I59" s="2">
        <v>46315.629861</v>
      </c>
      <c r="J59" s="0">
        <v>9</v>
      </c>
      <c r="K59" s="3">
        <v>10400000.0</v>
      </c>
      <c r="L59" s="0" t="inlineStr">
        <is>
          <t xml:space="preserve">CLP</t>
        </is>
      </c>
      <c r="M59" s="0" t="inlineStr">
        <is>
          <t xml:space="preserve">LE</t>
        </is>
      </c>
      <c r="N59" s="4" t="inlineStr">
        <is>
          <t xml:space="preserve">Tecnologías de la información, telecomunicaciones y radiodifusión / Software / Programas de desarrollo</t>
        </is>
      </c>
      <c r="O59" s="4" t="inlineStr">
        <is>
          <t xml:space="preserve">1 Unidad · Software de desarrollo de interfaz gráfica de usuario</t>
        </is>
      </c>
      <c r="P59" s="2"/>
      <c r="Q59" s="2"/>
      <c r="R59" s="0"/>
      <c r="S59" s="0" t="inlineStr">
        <is>
          <t xml:space="preserve">No</t>
        </is>
      </c>
      <c r="T59" s="4"/>
      <c r="U59" s="0" t="inlineStr">
        <is>
          <t xml:space="preserve">ALDO MARCELO ARRIAGADA RÍOS</t>
        </is>
      </c>
      <c r="V59" s="4" t="inlineStr">
        <is>
          <t xml:space="preserve">Se requiere la adquisición de un (1) software compatible de control cromatográfico para su equipo HPLC Agilent existente, incluyendo un computador apto para su instalación y operación. El oferente debe incluir la capacitación al encargado del equipo en INIA, con el fin de realizar análisis de metabolitos secundarios, proteínas, pigmentos y otros compuestos necesarios para una adecuada caracterización de los materiales editados derivados del proyecto Plataforma de edición génica en arveja y trigo</t>
        </is>
      </c>
      <c r="W59" s="5" t="str">
        <f>HYPERLINK("https://www.mercadopublico.cl/Procurement/Modules/Attachment/ViewAttachment.aspx?enc=k6QFz75sAdr85vIX4bPchJ6xLN513ByzHrMpkI7%2bwLaBZ3wdIWp6Eqrzw8CDNkSMcIVUq0LP%2fK4a%2fIzOQ9g5RSV1xzfCsVQR1wjTGHX1VpsqWqGbVSpUXGrKDvVjSjPyXf76q9y7kAe7glUivcVxOJWNTu9ANDLeRFeH1qeXJYPlEetzwlFNOd7akKKRy4OnQ8E2R43yu%2fidpH9TvfSba4t6B%2fcaGMkFJ05P0yIn7cJLGzmc3gFcBkv6Cktyv1KONbvwjyGCieCZvADi%2fuIFIV2vQHxMSzDPW%2f6WnX%2f0NEkC32hwfRwoLBQEUPdx8Lrf","descargar bases")</f>
      </c>
    </row>
    <row r="60">
      <c r="A60" s="0" t="inlineStr">
        <is>
          <t xml:space="preserve">1005498-23-LE26</t>
        </is>
      </c>
      <c r="B60" s="4" t="inlineStr">
        <is>
          <t xml:space="preserve">Servicio de enlace de datos punto a punto alameda-</t>
        </is>
      </c>
      <c r="C60" s="0" t="inlineStr">
        <is>
          <t xml:space="preserve">Publicada</t>
        </is>
      </c>
      <c r="D60" s="0" t="inlineStr">
        <is>
          <t xml:space="preserve">COMISION PARA EL MERCADO FINANCIERO</t>
        </is>
      </c>
      <c r="E60" s="0" t="inlineStr">
        <is>
          <t xml:space="preserve">COMISION PARA EL MERCADO FINANCIERO</t>
        </is>
      </c>
      <c r="F60" s="0" t="inlineStr">
        <is>
          <t xml:space="preserve">Región Metropolitana de Santiago</t>
        </is>
      </c>
      <c r="G60" s="0" t="inlineStr">
        <is>
          <t xml:space="preserve">Santiago Centro</t>
        </is>
      </c>
      <c r="H60" s="2">
        <v>46300.470093</v>
      </c>
      <c r="I60" s="2">
        <v>46315.666667</v>
      </c>
      <c r="J60" s="0">
        <v>9</v>
      </c>
      <c r="K60" s="3">
        <v>16100000.0</v>
      </c>
      <c r="L60" s="0" t="inlineStr">
        <is>
          <t xml:space="preserve">CLP</t>
        </is>
      </c>
      <c r="M60" s="0" t="inlineStr">
        <is>
          <t xml:space="preserve">LE</t>
        </is>
      </c>
      <c r="N60" s="4" t="inlineStr">
        <is>
          <t xml:space="preserve">Servicios básicos y de información pública / Telecomunicaciones / Servicios de telecomunicaciones por circuitos de líneas selectivas y líneas dedicadas arrendadas</t>
        </is>
      </c>
      <c r="O60" s="4" t="inlineStr">
        <is>
          <t xml:space="preserve">1 Unidad · Circuitos de telecomunicaciones digitales punto a punto</t>
        </is>
      </c>
      <c r="P60" s="2"/>
      <c r="Q60" s="2"/>
      <c r="R60" s="0" t="inlineStr">
        <is>
          <t xml:space="preserve">24 meses</t>
        </is>
      </c>
      <c r="S60" s="0" t="inlineStr">
        <is>
          <t xml:space="preserve">No</t>
        </is>
      </c>
      <c r="T60" s="4" t="inlineStr">
        <is>
          <t xml:space="preserve">No se permite.</t>
        </is>
      </c>
      <c r="U60" s="0" t="inlineStr">
        <is>
          <t xml:space="preserve">Jefatura del Departamento de Ingeniería de Sistema</t>
        </is>
      </c>
      <c r="V60" s="4" t="inlineStr">
        <is>
          <t xml:space="preserve">La CMF llama a presentar ofertas en la licitación pública para la contratación del servicio de enlace de datos punto a punto alameda-moneda, según las especificaciones que se han definido en las presentes bases administrativas, técnicas y sus anexos.</t>
        </is>
      </c>
      <c r="W60" s="5" t="str">
        <f>HYPERLINK("https://www.mercadopublico.cl/Procurement/Modules/Attachment/ViewAttachment.aspx?enc=HqOsHJLqrPnURVFamRnTyvc2KPM%2b3bo1GNv8NDI%2b%2bRUbWat46siCMhMhVWKYFSL2zJfcJob%2fjlfAFe8vnYdAF7wYnJP888X97Ri54mgZ1VGfkmnmM8fo%2barsi3RwBBk0GLsrCLcMaxpA0iot8bryrz53JbQl4dLyJU0ujHlpjApUzmXqh7CeiMg4h4xa3BBbogbzNL6lQMlxR9R%2fMzrbJWJA6IumzdYBhkmg05otcd1sX5hJ%2bmbQUumJ9Llk4l%2fGCN%2b9Ab6i9cIJU%2bBFUxUslnSR1dph09it68c5Zb3jdmj3UbFaCBHX70qKMf6JqR%2by","descargar bases")</f>
      </c>
    </row>
    <row r="61">
      <c r="A61" s="0" t="inlineStr">
        <is>
          <t xml:space="preserve">4469-213-L126</t>
        </is>
      </c>
      <c r="B61" s="4" t="inlineStr">
        <is>
          <t xml:space="preserve">S.C. N° 40675(U.F.), LICENCIA WI FI MERAKI MR ENTERPRISE POR 12 MESES. INFORMÁTICA UPLA. AIUE 2655.</t>
        </is>
      </c>
      <c r="C61" s="0" t="inlineStr">
        <is>
          <t xml:space="preserve">Publicada</t>
        </is>
      </c>
      <c r="D61" s="0" t="inlineStr">
        <is>
          <t xml:space="preserve">UNIVERSIDAD DE PLAYA ANCHA DE CIENCIAS DE LA EDUCACION</t>
        </is>
      </c>
      <c r="E61" s="0" t="inlineStr">
        <is>
          <t xml:space="preserve">ADQUISICIONES</t>
        </is>
      </c>
      <c r="F61" s="0" t="inlineStr">
        <is>
          <t xml:space="preserve">Región Metropolitana de Santiago</t>
        </is>
      </c>
      <c r="G61" s="0" t="inlineStr">
        <is>
          <t xml:space="preserve">Santiago</t>
        </is>
      </c>
      <c r="H61" s="2">
        <v>46303.69044</v>
      </c>
      <c r="I61" s="2">
        <v>46315.666667</v>
      </c>
      <c r="J61" s="0">
        <v>9</v>
      </c>
      <c r="K61" s="3">
        <v>4353541.0</v>
      </c>
      <c r="L61" s="0" t="inlineStr">
        <is>
          <t xml:space="preserve">CLP</t>
        </is>
      </c>
      <c r="M61" s="0" t="inlineStr">
        <is>
          <t xml:space="preserve">L1</t>
        </is>
      </c>
      <c r="N61" s="4" t="inlineStr">
        <is>
          <t xml:space="preserve">Tecnologías de la información, telecomunicaciones y radiodifusión / Software / Software de gestión</t>
        </is>
      </c>
      <c r="O61" s="4" t="inlineStr">
        <is>
          <t xml:space="preserve">49 Unidad · Software de sistema experto</t>
        </is>
      </c>
      <c r="P61" s="2"/>
      <c r="Q61" s="2"/>
      <c r="R61" s="0"/>
      <c r="S61" s="0" t="inlineStr">
        <is>
          <t xml:space="preserve">No</t>
        </is>
      </c>
      <c r="T61" s="4"/>
      <c r="U61" s="0"/>
      <c r="V61" s="4" t="inlineStr">
        <is>
          <t xml:space="preserve">S.C. N° 40675(U.F.), LICENCIA WI FI MERAKI MR ENTERPRISE POR 12 MESES. INFORMÁTICA UPLA. AIUE 2655.</t>
        </is>
      </c>
      <c r="W61" s="5" t="str">
        <f>HYPERLINK("https://www.mercadopublico.cl/Procurement/Modules/Attachment/ViewAttachment.aspx?enc=Tr5MK7hPnmZLjLXZwDp%2bOWPele%2f6jL7Dr2W63CktFIsaZBaRCd7FE%2f5D%2fQGXG6iLgmBhzZKJap%2bhb494%2bRyqLhjGhqubT8YQSYRwZo0fqM%2bsLHq4IFsVC9fRVV9iTGl9TYSABFS3kbzx2%2bUMfHULMhkboe%2bAgeUgF%2fp%2fYgKEUn%2bPAlBwoTEJXfF2s7t6XHdHOrRSfL0RRXmjeYR2EX40C3cBRCPsjj0DnPu%2b0iHyEgKhdyhR%2f9i6i5RPRkYLoXFfhDq25uGMr3ZjN8ZFIP9obR3SyiB1KRdm0TZwA8mCFXg3cADtpc9aVMIN5G%2bI2hgd","descargar bases")</f>
      </c>
    </row>
    <row r="62">
      <c r="A62" s="0" t="inlineStr">
        <is>
          <t xml:space="preserve">1643-91-LP26</t>
        </is>
      </c>
      <c r="B62" s="4" t="inlineStr">
        <is>
          <t xml:space="preserve">SISTEMA INFORMÁTICO ERP</t>
        </is>
      </c>
      <c r="C62" s="0" t="inlineStr">
        <is>
          <t xml:space="preserve">Publicada</t>
        </is>
      </c>
      <c r="D62" s="0" t="inlineStr">
        <is>
          <t xml:space="preserve">SERVICIO NACIONAL DE SALUD HOSPITAL DE T</t>
        </is>
      </c>
      <c r="E62" s="0" t="inlineStr">
        <is>
          <t xml:space="preserve">Hospital de Talagante</t>
        </is>
      </c>
      <c r="F62" s="0" t="inlineStr">
        <is>
          <t xml:space="preserve">Región Metropolitana de Santiago</t>
        </is>
      </c>
      <c r="G62" s="0" t="inlineStr">
        <is>
          <t xml:space="preserve">Talagante</t>
        </is>
      </c>
      <c r="H62" s="2">
        <v>46290.538194</v>
      </c>
      <c r="I62" s="2">
        <v>46315.708333</v>
      </c>
      <c r="J62" s="0">
        <v>9</v>
      </c>
      <c r="K62" s="3">
        <v>320000000.0</v>
      </c>
      <c r="L62" s="0" t="inlineStr">
        <is>
          <t xml:space="preserve">CLP</t>
        </is>
      </c>
      <c r="M62" s="0" t="inlineStr">
        <is>
          <t xml:space="preserve">LP</t>
        </is>
      </c>
      <c r="N62" s="4" t="inlineStr">
        <is>
          <t xml:space="preserve">Tecnologías de la información, telecomunicaciones y radiodifusión / Software / Software de planificación de recursos empresariales (ERP) y contabilidad financiera</t>
        </is>
      </c>
      <c r="O62" s="4" t="inlineStr">
        <is>
          <t xml:space="preserve">1 Unidad · Software de planificación de recursos empresariales (ERP)</t>
        </is>
      </c>
      <c r="P62" s="2"/>
      <c r="Q62" s="2"/>
      <c r="R62" s="0" t="inlineStr">
        <is>
          <t xml:space="preserve">24 meses</t>
        </is>
      </c>
      <c r="S62" s="0" t="inlineStr">
        <is>
          <t xml:space="preserve">No</t>
        </is>
      </c>
      <c r="T62" s="4"/>
      <c r="U62" s="0" t="inlineStr">
        <is>
          <t xml:space="preserve">Paulina Montenegro Aguilera</t>
        </is>
      </c>
      <c r="V62" s="4" t="inlineStr">
        <is>
          <t xml:space="preserve">EL HOSPITAL DE TALAGANTE REQUIERE LA CONTRATACIÓN DEL SERVICIO DE IMPLEMENTACIÓN, MIGRACIÓN, PUESTA EN MARCHA Y EJECUCIÓN DE UN SISTEMA INFORMÁTICO DE GESTIÓN ERP POR 24 MESES.</t>
        </is>
      </c>
      <c r="W62" s="5" t="str">
        <f>HYPERLINK("https://www.mercadopublico.cl/Procurement/Modules/Attachment/ViewAttachment.aspx?enc=FuF3dhpoT8h4CSxA66SVBeHppZ%2bRMVf2SBIJD4c%2bv%2fttbNfsFLY7spYLEmlq3dKK01XmOvIcmR%2b4YnQ%2bPjBfPeiSG5SruwObJfJG58VloiAnQ5zlKPeu5lSLO6I0oSGtQOoAa%2byPi3z3dnaIsvRBKVZQ3p8IYxj%2bGjXF9JLuWXW%2fD%2bZWcQc1QMNFjLVGeZtbVfzUeY%2bUn5%2bFdI%2fJsx2qRuL2OebHfqd8389w1BzIEzFxLTk9ewMfh2FI7zTF3nFazHtx%2b7%2fixlpPx8y2TEApRo0aJkncPcxowpu8op3CepjPtadK1dt9wGhEv9ZVRLfw","descargar bases")</f>
      </c>
    </row>
    <row r="63">
      <c r="A63" s="0" t="inlineStr">
        <is>
          <t xml:space="preserve">5482-94-LP26</t>
        </is>
      </c>
      <c r="B63" s="4" t="inlineStr">
        <is>
          <t xml:space="preserve">SERVICIO DE ARRIENDO MANTENCIÓN Y SOPORTE DE PLATAFORMA DOM</t>
        </is>
      </c>
      <c r="C63" s="0" t="inlineStr">
        <is>
          <t xml:space="preserve">Publicada</t>
        </is>
      </c>
      <c r="D63" s="0" t="inlineStr">
        <is>
          <t xml:space="preserve">I MUNICIPALIDAD DE NUNOA</t>
        </is>
      </c>
      <c r="E63" s="0" t="inlineStr">
        <is>
          <t xml:space="preserve">SECPLANUNOA</t>
        </is>
      </c>
      <c r="F63" s="0" t="inlineStr">
        <is>
          <t xml:space="preserve">Región Metropolitana de Santiago</t>
        </is>
      </c>
      <c r="G63" s="0" t="inlineStr">
        <is>
          <t xml:space="preserve">Ñuñoa</t>
        </is>
      </c>
      <c r="H63" s="2">
        <v>46300.418843</v>
      </c>
      <c r="I63" s="2">
        <v>46315.775</v>
      </c>
      <c r="J63" s="0">
        <v>9</v>
      </c>
      <c r="K63" s="3"/>
      <c r="L63" s="0" t="inlineStr">
        <is>
          <t xml:space="preserve">CLP</t>
        </is>
      </c>
      <c r="M63" s="0" t="inlineStr">
        <is>
          <t xml:space="preserve">LP</t>
        </is>
      </c>
      <c r="N63" s="4" t="inlineStr">
        <is>
          <t xml:space="preserve">Tecnologías de la información, telecomunicaciones y radiodifusión / Software / Programas de desarrollo</t>
        </is>
      </c>
      <c r="O63" s="4" t="inlineStr">
        <is>
          <t xml:space="preserve">1 Unidad · Software de desarrollo de plataforma Web</t>
        </is>
      </c>
      <c r="P63" s="2"/>
      <c r="Q63" s="2"/>
      <c r="R63" s="0" t="inlineStr">
        <is>
          <t xml:space="preserve">36 meses</t>
        </is>
      </c>
      <c r="S63" s="0" t="inlineStr">
        <is>
          <t xml:space="preserve">No</t>
        </is>
      </c>
      <c r="T63" s="4"/>
      <c r="U63" s="0" t="inlineStr">
        <is>
          <t xml:space="preserve">Katherine Ayala</t>
        </is>
      </c>
      <c r="V63"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c r="W63" s="5" t="str">
        <f>HYPERLINK("https://www.mercadopublico.cl/Procurement/Modules/Attachment/ViewAttachment.aspx?enc=E60dXOQhgFcreGQHamV2uk%2fte4v%2f%2bUUtUyMjWeGRTcgn5mni9SkO%2b8GDQd%2bUWc8XBP8R6DFfO%2fZ4nt8dJfAjhmjjwtKMCaC%2f%2bocuetZf9mvTbFYPvBsHD3UuCIRytm6zYCOULdFSBgDat5W5qPbHbD0zqmuF6tSo4S6I72NXM3xZSvBzFO%2bXD9QodRtwa9gQCEZSf4FP4jreamz0OuZLW90fU7w57EjDrOvhlHUNGfE6FahjW5Z8MfDx%2blMsicHWQ7I3KqaZIX%2fjxBDwHS4rlTumxP9ex6NuyMx%2feYH5erK3bujMSiVfKabiJ7cNZM6i","descargar bases")</f>
      </c>
    </row>
    <row r="64">
      <c r="A64" s="0" t="inlineStr">
        <is>
          <t xml:space="preserve">1080094-17-L126</t>
        </is>
      </c>
      <c r="B64" s="4" t="inlineStr">
        <is>
          <t xml:space="preserve">RADIO PORTÁTIL DIGITAL VHF PARA SAMU</t>
        </is>
      </c>
      <c r="C64" s="0" t="inlineStr">
        <is>
          <t xml:space="preserve">Publicada</t>
        </is>
      </c>
      <c r="D64" s="0" t="inlineStr">
        <is>
          <t xml:space="preserve">SERVICIO DE SALUD MAGALLANES</t>
        </is>
      </c>
      <c r="E64" s="0" t="inlineStr">
        <is>
          <t xml:space="preserve">Bienes y servicios - SAMU</t>
        </is>
      </c>
      <c r="F64" s="0" t="inlineStr">
        <is>
          <t xml:space="preserve">Región de Magallanes y de la Antártica</t>
        </is>
      </c>
      <c r="G64" s="0" t="inlineStr">
        <is>
          <t xml:space="preserve">Punta Arenas</t>
        </is>
      </c>
      <c r="H64" s="2">
        <v>46300.674248</v>
      </c>
      <c r="I64" s="2">
        <v>46315.833333</v>
      </c>
      <c r="J64" s="0">
        <v>9</v>
      </c>
      <c r="K64" s="3">
        <v>2707075.0</v>
      </c>
      <c r="L64" s="0" t="inlineStr">
        <is>
          <t xml:space="preserve">CLP</t>
        </is>
      </c>
      <c r="M64" s="0" t="inlineStr">
        <is>
          <t xml:space="preserve">L1</t>
        </is>
      </c>
      <c r="N64" s="4" t="inlineStr">
        <is>
          <t xml:space="preserve">Muebles, accesorios, electrodomésticos y productos electrónicos / Equipos y accesorios audiovisuales / Equipos audiovisuales y de electrónica menor</t>
        </is>
      </c>
      <c r="O64" s="4" t="inlineStr">
        <is>
          <t xml:space="preserve">20 Unidad · Receptores o transmisores de radiofrecuencia</t>
        </is>
      </c>
      <c r="P64" s="2"/>
      <c r="Q64" s="2"/>
      <c r="R64" s="0"/>
      <c r="S64" s="0" t="inlineStr">
        <is>
          <t xml:space="preserve">No</t>
        </is>
      </c>
      <c r="T64" s="4"/>
      <c r="U64" s="0"/>
      <c r="V64" s="4" t="inlineStr">
        <is>
          <t xml:space="preserve">Se requiere adquirir radios portátiles profesionales para reforzar la disponibilidad de equipos de radiocomunicación del SAMU Magallanes y mantener la continuidad de las comunicaciones operativas entre el Centro Regulador, las bases, las ambulancias y los demás puntos de la red institucional.
Los equipos deberán ser compatibles con la infraestructura radial existente, permitir su utilización en canales analógicos y digitales e interoperar con las radios Motorola actualmente utilizadas por el SAM</t>
        </is>
      </c>
      <c r="W64" s="5" t="str">
        <f>HYPERLINK("https://www.mercadopublico.cl/Procurement/Modules/Attachment/ViewAttachment.aspx?enc=IW0m3Wc4gIh7nsy50YFRQte0p4Z%2bgR5k%2f0Ilm9qItcus4tN%2bZJ7VfFaMgR4AwNujGknV8adI%2fyn843Tk105xaaShxHXBdfbS5ut6sCydDYY%2b5lquVHnym568nzeV6PWYYcsCLystAilzQq0mKOjBiP5Ldiq7Xe5qmqNuJGLuVaUPc0iw2Ycl9exaSdmCQ%2bXxp5SOtf3jZ%2bBvrvQUM8V5zuOZXeh9VFhke5XukuFwflKZVHdfs2fyFeEWHplQ8OV8mywj0KLXSc9JpIRvQWYpqRLzV4XMxg4F4sp49wt6yGOCRc6UHbWYakgaWRCrOpxg","descargar bases")</f>
      </c>
    </row>
    <row r="65">
      <c r="A65" s="0" t="inlineStr">
        <is>
          <t xml:space="preserve">1602-20-LE26</t>
        </is>
      </c>
      <c r="B65" s="4" t="inlineStr">
        <is>
          <t xml:space="preserve">ADQUISICIÓN DE LICENCIAS PARA EQUIPOS DE COMUNICACIONES DE LA RED DE DATOS DE LA DGAC 122 dgv</t>
        </is>
      </c>
      <c r="C65" s="0" t="inlineStr">
        <is>
          <t xml:space="preserve">Publicada</t>
        </is>
      </c>
      <c r="D65" s="0" t="inlineStr">
        <is>
          <t xml:space="preserve">DIRECCION GENERAL DE AERONAUTICA CIVIL</t>
        </is>
      </c>
      <c r="E65" s="0" t="inlineStr">
        <is>
          <t xml:space="preserve">UNIDAD DE COMPRA SERVICIOS GENERALES</t>
        </is>
      </c>
      <c r="F65" s="0" t="inlineStr">
        <is>
          <t xml:space="preserve">Región Metropolitana de Santiago</t>
        </is>
      </c>
      <c r="G65" s="0" t="inlineStr">
        <is>
          <t xml:space="preserve">Providencia</t>
        </is>
      </c>
      <c r="H65" s="2">
        <v>46302.409664</v>
      </c>
      <c r="I65" s="2">
        <v>46316.583333</v>
      </c>
      <c r="J65" s="0">
        <v>10</v>
      </c>
      <c r="K65" s="3">
        <v>50755889.0</v>
      </c>
      <c r="L65" s="0" t="inlineStr">
        <is>
          <t xml:space="preserve">CLP</t>
        </is>
      </c>
      <c r="M65" s="0" t="inlineStr">
        <is>
          <t xml:space="preserve">LE</t>
        </is>
      </c>
      <c r="N65" s="4" t="inlineStr">
        <is>
          <t xml:space="preserve">Tecnologías de la información, telecomunicaciones y radiodifusión / Software / Software de gestión</t>
        </is>
      </c>
      <c r="O65" s="4" t="inlineStr">
        <is>
          <t xml:space="preserve">70 Unidad · Software de gestión de licencias · 70 Unidad · Software de gestión de licencias · 2 Unidad · Software de gestión de licencias</t>
        </is>
      </c>
      <c r="P65" s="2"/>
      <c r="Q65" s="2"/>
      <c r="R65" s="0"/>
      <c r="S65" s="0" t="inlineStr">
        <is>
          <t xml:space="preserve">No</t>
        </is>
      </c>
      <c r="T65" s="4" t="inlineStr">
        <is>
          <t xml:space="preserve">No permite subcontratación
DIRIGIRSE PUNTO: XX DE LA RESOLUCIÓN QUE SE ADJUNTA</t>
        </is>
      </c>
      <c r="U65" s="0" t="inlineStr">
        <is>
          <t xml:space="preserve">Jaime Leighton</t>
        </is>
      </c>
      <c r="V65" s="4" t="inlineStr">
        <is>
          <t xml:space="preserve">Asegurar la continuidad operacional y adecuada administración de la infraestructura de conectividad inalámbrica Aruba actualmente implementada en la Institución, mediante la adquisición del licenciamiento requerido para su operación</t>
        </is>
      </c>
      <c r="W65" s="5" t="str">
        <f>HYPERLINK("https://www.mercadopublico.cl/Procurement/Modules/Attachment/ViewAttachment.aspx?enc=kBDg%2fg4FiSMttPqF3Rl5l8nMZNOHKjXtGbP8V9eAHCNG9Y4gELYUAcBrnV4ZZjDBVp4f3i0Q2GvrlwMJsNmLFSNo2%2f%2bdiCGdimbgwgt9IBBtROxW9VneU0Wt7JPNhKKmzl2J5k%2b5%2fpFvUp7pAHVDLtTdnr0FfIjVNJvXuYq041Befoajo8wODV%2buO7XSaE%2bIUeNntzmvA1z3STc3OONU227t%2bEiVezDyptt5x9NZLrDVkHTOwhiJfo6UsKO74c05LWl9JT0ETIUuC4v%2fUskVob8kSsR1zuItfBjnDNg9ChjTQd8fPGHcj048kgjQzq3J","descargar bases")</f>
      </c>
    </row>
    <row r="66">
      <c r="A66" s="0" t="inlineStr">
        <is>
          <t xml:space="preserve">1153624-24-L126</t>
        </is>
      </c>
      <c r="B66" s="4" t="inlineStr">
        <is>
          <t xml:space="preserve">Servicio de Ordenamiento de Cableado de Datos y Eléctrico en Datacenter y Rack de Comunicaciones</t>
        </is>
      </c>
      <c r="C66" s="0" t="inlineStr">
        <is>
          <t xml:space="preserve">Publicada</t>
        </is>
      </c>
      <c r="D66" s="0" t="inlineStr">
        <is>
          <t xml:space="preserve">SUBSECRETARIA DE RELACIONES ECONOMICAS INTERNACIONALES</t>
        </is>
      </c>
      <c r="E66" s="0" t="inlineStr">
        <is>
          <t xml:space="preserve">Departamento Adquisiciones MN</t>
        </is>
      </c>
      <c r="F66" s="0" t="inlineStr">
        <is>
          <t xml:space="preserve">Región Metropolitana de Santiago</t>
        </is>
      </c>
      <c r="G66" s="0" t="inlineStr">
        <is>
          <t xml:space="preserve">Santiago</t>
        </is>
      </c>
      <c r="H66" s="2">
        <v>46303.678692</v>
      </c>
      <c r="I66" s="2">
        <v>46316.625</v>
      </c>
      <c r="J66" s="0">
        <v>10</v>
      </c>
      <c r="K66" s="3">
        <v>900000.0</v>
      </c>
      <c r="L66" s="0" t="inlineStr">
        <is>
          <t xml:space="preserve">CLP</t>
        </is>
      </c>
      <c r="M66" s="0" t="inlineStr">
        <is>
          <t xml:space="preserve">L1</t>
        </is>
      </c>
      <c r="N66" s="4" t="inlineStr">
        <is>
          <t xml:space="preserve">Tecnologías de la información, telecomunicaciones y radiodifusión / Componentes para tecnología de la información, difusión o telecomunicaciones / Subconjuntos para dispositivos electrónicos</t>
        </is>
      </c>
      <c r="O66" s="4" t="inlineStr">
        <is>
          <t xml:space="preserve">1 Unidad · Conjuntos de cableado</t>
        </is>
      </c>
      <c r="P66" s="2"/>
      <c r="Q66" s="2"/>
      <c r="R66" s="0"/>
      <c r="S66" s="0" t="inlineStr">
        <is>
          <t xml:space="preserve">No</t>
        </is>
      </c>
      <c r="T66" s="4"/>
      <c r="U66" s="0"/>
      <c r="V66" s="4" t="inlineStr">
        <is>
          <t xml:space="preserve">La Subsecretaría de Relaciones Económicas Internacionales invita a participar en el proceso de contratación del servicio de ordenamiento de cableado de datos y eléctrico en   datacenter y rack en el edificio ubicado en San Martín 88.</t>
        </is>
      </c>
      <c r="W66" s="5" t="str">
        <f>HYPERLINK("https://www.mercadopublico.cl/Procurement/Modules/Attachment/ViewAttachment.aspx?enc=rBrBwolzfhGrAsUnAG2ymkmmBnSPGTQTmiiAitRnGOWhf%2fgGIjCS94fJOPzdlb9rcUwQU4o%2fnsPponV9wUOwgLRK7Yy8Afftap%2fYNGYrBMiiknW7iw6PWJQ5jES3RlK5OdktcJ%2bCSwbhVQPeJtZqsDyprNWO0NagZo0KYJL0TJseyYKMy6L4D%2bEbDX68KFKTbjxrCIKs%2b6qhBu0z4cHUz0tMTUHJeqn1NENXuNWD4oLxEIufRPH27byLT664Hb%2bHw%2fZYWP0mtm164Opzh1MJDpP1vq2c8g9St0Czmb11sP4Oo79envjYD%2fJgiJysZCKH","descargar bases")</f>
      </c>
    </row>
    <row r="67">
      <c r="A67" s="0" t="inlineStr">
        <is>
          <t xml:space="preserve">608897-61-LP26</t>
        </is>
      </c>
      <c r="B67" s="4" t="inlineStr">
        <is>
          <t xml:space="preserve">SOPORTE PLATAFORMAS DE INFORMACIÓN AMBIENTAL BIANUAL</t>
        </is>
      </c>
      <c r="C67" s="0" t="inlineStr">
        <is>
          <t xml:space="preserve">Publicada</t>
        </is>
      </c>
      <c r="D67" s="0" t="inlineStr">
        <is>
          <t xml:space="preserve">SUBSECRETARIA DEL MEDIO AMBIENTE</t>
        </is>
      </c>
      <c r="E67" s="0" t="inlineStr">
        <is>
          <t xml:space="preserve">Subsecretaría del Medio Ambiente</t>
        </is>
      </c>
      <c r="F67" s="0" t="inlineStr">
        <is>
          <t xml:space="preserve">Región Metropolitana de Santiago</t>
        </is>
      </c>
      <c r="G67" s="0" t="inlineStr">
        <is>
          <t xml:space="preserve">Santiago</t>
        </is>
      </c>
      <c r="H67" s="2">
        <v>46296.78</v>
      </c>
      <c r="I67" s="2">
        <v>46316.645833</v>
      </c>
      <c r="J67" s="0">
        <v>10</v>
      </c>
      <c r="K67" s="3">
        <v>100000000.0</v>
      </c>
      <c r="L67" s="0" t="inlineStr">
        <is>
          <t xml:space="preserve">CLP</t>
        </is>
      </c>
      <c r="M67" s="0" t="inlineStr">
        <is>
          <t xml:space="preserve">LP</t>
        </is>
      </c>
      <c r="N67" s="4" t="inlineStr">
        <is>
          <t xml:space="preserve">Servicios medioambientales / Gestión medioambiental / Servicios de asesoría medioambiental</t>
        </is>
      </c>
      <c r="O67" s="4" t="inlineStr">
        <is>
          <t xml:space="preserve">1 Unidad · Servicios de asesoría de tecnología medioambiental</t>
        </is>
      </c>
      <c r="P67" s="2"/>
      <c r="Q67" s="2"/>
      <c r="R67" s="0" t="inlineStr">
        <is>
          <t xml:space="preserve">14 meses</t>
        </is>
      </c>
      <c r="S67" s="0" t="inlineStr">
        <is>
          <t xml:space="preserve">No</t>
        </is>
      </c>
      <c r="T67" s="4" t="inlineStr">
        <is>
          <t xml:space="preserve">De acuerdo a lo indicado en punto 27 de bases de licitación</t>
        </is>
      </c>
      <c r="U67" s="0" t="inlineStr">
        <is>
          <t xml:space="preserve">FERNANDO DIAZ</t>
        </is>
      </c>
      <c r="V67" s="4" t="inlineStr">
        <is>
          <t xml:space="preserve">realizar servicios de mantención, actualización, soporte y diseño de los sistemas asociados a la construcción de la información ambiental administrados por el Departamento de Información Ambiental del Ministerio del Medio Ambiente</t>
        </is>
      </c>
      <c r="W67" s="5" t="str">
        <f>HYPERLINK("https://www.mercadopublico.cl/Procurement/Modules/Attachment/ViewAttachment.aspx?enc=XXH3jlxemZE1iKm3bnPgvtig7FcL%2b7pRMn%2bROmGCVM6y1SxFWLY%2bgLfYiD0aM67hGKBhNKweC3QddPOwlyqH5YREjSGbfOLzMM%2fy80P5U6X%2f6zMFW0RhPRWiQRVzvqpf3S9bFZVhdwLdoQHa%2b%2fHMoGXZHpiB%2flMhiYOKI8kGYLWjxSkaBqwBhS5V6fZLmm1R7zTm9WzZgjX%2f2i8HZAkkh3jyJkWEBER21AqBpvnaRuGQpUSFCHqQdbUCFAVDM5m8cwfsLqMhZizFV7lUHdHehxpn4s5zsDBFvbDccb1eJzdRmHdz7dQa4vqUC7ICHXrc","descargar bases")</f>
      </c>
    </row>
    <row r="68">
      <c r="A68" s="0" t="inlineStr">
        <is>
          <t xml:space="preserve">1422051-29-LE26</t>
        </is>
      </c>
      <c r="B68" s="4" t="inlineStr">
        <is>
          <t xml:space="preserve">Contratación Servicio Plataforma de Gestión RRHH</t>
        </is>
      </c>
      <c r="C68" s="0" t="inlineStr">
        <is>
          <t xml:space="preserve">Publicada</t>
        </is>
      </c>
      <c r="D68" s="0" t="inlineStr">
        <is>
          <t xml:space="preserve">JUNTA DE ALCALDES PROVIDENCIA LAS CONDES LA REINA</t>
        </is>
      </c>
      <c r="E68" s="0" t="inlineStr">
        <is>
          <t xml:space="preserve">JUNTA DE ALCALDES PROVIDENCIA LAS CONDES LA REINA</t>
        </is>
      </c>
      <c r="F68" s="0" t="inlineStr">
        <is>
          <t xml:space="preserve">Región Metropolitana de Santiago</t>
        </is>
      </c>
      <c r="G68" s="0"/>
      <c r="H68" s="2">
        <v>46301.50103</v>
      </c>
      <c r="I68" s="2">
        <v>46316.729167</v>
      </c>
      <c r="J68" s="0">
        <v>10</v>
      </c>
      <c r="K68" s="3">
        <v>28000000.0</v>
      </c>
      <c r="L68" s="0" t="inlineStr">
        <is>
          <t xml:space="preserve">CLP</t>
        </is>
      </c>
      <c r="M68" s="0" t="inlineStr">
        <is>
          <t xml:space="preserve">LE</t>
        </is>
      </c>
      <c r="N68" s="4" t="inlineStr">
        <is>
          <t xml:space="preserve">Tecnologías de la información, telecomunicaciones y radiodifusión / Software / Software de gestión</t>
        </is>
      </c>
      <c r="O68" s="4" t="inlineStr">
        <is>
          <t xml:space="preserve">1 Unidad · Software de gestión de recursos humanos</t>
        </is>
      </c>
      <c r="P68" s="2"/>
      <c r="Q68" s="2"/>
      <c r="R68" s="0" t="inlineStr">
        <is>
          <t xml:space="preserve">24 meses</t>
        </is>
      </c>
      <c r="S68" s="0" t="inlineStr">
        <is>
          <t xml:space="preserve">No</t>
        </is>
      </c>
      <c r="T68" s="4"/>
      <c r="U68" s="0" t="inlineStr">
        <is>
          <t xml:space="preserve">Hector Fuentealba Riquelme</t>
        </is>
      </c>
      <c r="V68" s="4" t="inlineStr">
        <is>
          <t xml:space="preserve">Implementar una plataforma integral de gestión de personas para la Junta de Alcaldes, orientada a dar solución a los requerimientos derivados de las funciones comunes y diarias de la institución.</t>
        </is>
      </c>
      <c r="W68" s="5" t="str">
        <f>HYPERLINK("https://www.mercadopublico.cl/Procurement/Modules/Attachment/ViewAttachment.aspx?enc=2UY%2bBrxTn7c8Z7nNcMlF%2b1rH5lKVPFv6%2bGVNj0%2biVFmIwtYrs%2fngK6dQrmY4%2fwxpfZVRmBbEZFBWsQAFf0NsTrG%2fqC6eqTKvGxKZSRUg4bc5p%2bU3qxg6cYM4eEKhQ8rqlIibg%2bi7chcyuMM%2b1TCJ1%2fC75BnpQngmNLqRqK%2bqC3p4Sst21q%2fdOen248Hb64lD%2fGtN02OKbfda5SYIHNYjqdvIFnrEUpd%2fFmZ8vIHe72ykKwiEmCxUtDPqaZEDWYYqdmI6a%2fx1%2f%2bjBAOMMiPTY7vhl%2f3z%2f41Nf9X69ccEAZYWoH%2fYj18N%2bB4odLCVlLm3y","descargar bases")</f>
      </c>
    </row>
    <row r="69">
      <c r="A69" s="0" t="inlineStr">
        <is>
          <t xml:space="preserve">4086-48-LP26</t>
        </is>
      </c>
      <c r="B69" s="4" t="inlineStr">
        <is>
          <t xml:space="preserve">SERVICIO DE SISTEMA DE INFORMACIÓN DE LA GESTIÓN</t>
        </is>
      </c>
      <c r="C69" s="0" t="inlineStr">
        <is>
          <t xml:space="preserve">Publicada</t>
        </is>
      </c>
      <c r="D69" s="0" t="inlineStr">
        <is>
          <t xml:space="preserve">I MUNICIPALIDAD DE MAULLIN</t>
        </is>
      </c>
      <c r="E69" s="0" t="inlineStr">
        <is>
          <t xml:space="preserve">Administracion y Finanzas</t>
        </is>
      </c>
      <c r="F69" s="0" t="inlineStr">
        <is>
          <t xml:space="preserve">Región de los Lagos </t>
        </is>
      </c>
      <c r="G69" s="0" t="inlineStr">
        <is>
          <t xml:space="preserve">Maullín</t>
        </is>
      </c>
      <c r="H69" s="2">
        <v>46295.670671</v>
      </c>
      <c r="I69" s="2">
        <v>46317.416667</v>
      </c>
      <c r="J69" s="0">
        <v>11</v>
      </c>
      <c r="K69" s="3">
        <v>202800000.0</v>
      </c>
      <c r="L69" s="0" t="inlineStr">
        <is>
          <t xml:space="preserve">CLP</t>
        </is>
      </c>
      <c r="M69" s="0" t="inlineStr">
        <is>
          <t xml:space="preserve">LP</t>
        </is>
      </c>
      <c r="N69" s="4" t="inlineStr">
        <is>
          <t xml:space="preserve">Tecnologías de la información, telecomunicaciones y radiodifusión / Software / Programas de desarrollo</t>
        </is>
      </c>
      <c r="O69" s="4" t="inlineStr">
        <is>
          <t xml:space="preserve">1 Unidad · Programas de gestión de configuración</t>
        </is>
      </c>
      <c r="P69" s="2"/>
      <c r="Q69" s="2"/>
      <c r="R69" s="0" t="inlineStr">
        <is>
          <t xml:space="preserve">60 meses</t>
        </is>
      </c>
      <c r="S69" s="0" t="inlineStr">
        <is>
          <t xml:space="preserve">No</t>
        </is>
      </c>
      <c r="T69" s="4"/>
      <c r="U69" s="0" t="inlineStr">
        <is>
          <t xml:space="preserve">XIMENA OJEDA</t>
        </is>
      </c>
      <c r="V69" s="4" t="inlineStr">
        <is>
          <t xml:space="preserve">SERVICIO DE MANTENCIÓN, ARRIENDO Y PROVISIÓN DE SISTEMA DE INFORMACIÓN DE LA GESTIÓN MUNICIPAL Y SOPORTE COMPUTACIONAL SEGÚN BASES, ESPECIFICACIONES TÉCNICAS, ANEXOS E ITEM ADJUNTOS.</t>
        </is>
      </c>
      <c r="W69" s="5" t="str">
        <f>HYPERLINK("https://www.mercadopublico.cl/Procurement/Modules/Attachment/ViewAttachment.aspx?enc=xt9BjzoolyUdVmA%2b3U9y%2fwOAp7z3u1YmUcWhqet4FiGv1FiWHMyLlsggxe2YFw%2fDKZIbGhCcU2yJJ%2baPLmyJ7K7Vq8c2WMQOtZlNR5tnyIuC0R%2fGAphiRxYruRJxAx0HmCNPsPTdOWqRxirm5Y1uy2%2bK%2b4iXr%2fqz8V%2bGIjrkUQqP8PJ2oCD99gQA2jTCORCdQnn%2b5QbU4c%2fFs8cN8ltQgL6SPlsjNB%2fif8ZkG6QH%2fb%2b%2bCS8Mdxf5kEeXxN3h0kHceSUCreqTHlrOI7CfpMDosGSLI%2fnVfQeC9RhZ7sFX4x%2fMyYcPnL42KB7hSOhie81D","descargar bases")</f>
      </c>
    </row>
    <row r="70">
      <c r="A70" s="0" t="inlineStr">
        <is>
          <t xml:space="preserve">1469-267-L126</t>
        </is>
      </c>
      <c r="B70" s="4" t="inlineStr">
        <is>
          <t xml:space="preserve">Servicio de Mantenimiento UPS del Centro de Datos en Campus Talca de la Universidad de Talca</t>
        </is>
      </c>
      <c r="C70" s="0" t="inlineStr">
        <is>
          <t xml:space="preserve">Publicada</t>
        </is>
      </c>
      <c r="D70" s="0" t="inlineStr">
        <is>
          <t xml:space="preserve">UNIVERSIDAD DE TALCA</t>
        </is>
      </c>
      <c r="E70" s="0" t="inlineStr">
        <is>
          <t xml:space="preserve">Universidad de Talca</t>
        </is>
      </c>
      <c r="F70" s="0" t="inlineStr">
        <is>
          <t xml:space="preserve">Región del Maule </t>
        </is>
      </c>
      <c r="G70" s="0" t="inlineStr">
        <is>
          <t xml:space="preserve">Talca</t>
        </is>
      </c>
      <c r="H70" s="2">
        <v>46303.7375</v>
      </c>
      <c r="I70" s="2">
        <v>46317.5</v>
      </c>
      <c r="J70" s="0">
        <v>11</v>
      </c>
      <c r="K70" s="3">
        <v>6975100.0</v>
      </c>
      <c r="L70" s="0" t="inlineStr">
        <is>
          <t xml:space="preserve">CLP</t>
        </is>
      </c>
      <c r="M70" s="0" t="inlineStr">
        <is>
          <t xml:space="preserve">L1</t>
        </is>
      </c>
      <c r="N70" s="4" t="inlineStr">
        <is>
          <t xml:space="preserve">Servicios de construcción y mantenimiento / Servicios de atención, mantenimiento y reparaciones de edificios / Servicios eléctricos</t>
        </is>
      </c>
      <c r="O70" s="4" t="inlineStr">
        <is>
          <t xml:space="preserve">1 Unidad · Instalación o servicio de sistemas de energía eléctrica</t>
        </is>
      </c>
      <c r="P70" s="2"/>
      <c r="Q70" s="2"/>
      <c r="R70" s="0"/>
      <c r="S70" s="0" t="inlineStr">
        <is>
          <t xml:space="preserve">No</t>
        </is>
      </c>
      <c r="T70" s="4"/>
      <c r="U70" s="0"/>
      <c r="V70" s="4" t="inlineStr">
        <is>
          <t xml:space="preserve">La Universidad de Talca requiere la realización del servicio de mantenimiento preventivo para la UPS marca Liebert, modelo APM 150K, ubicada en el Centro de Datos, del Campus Talca (Lircay) de la Universidad de Talca.</t>
        </is>
      </c>
      <c r="W70" s="5" t="str">
        <f>HYPERLINK("https://www.mercadopublico.cl/Procurement/Modules/Attachment/ViewAttachment.aspx?enc=kOe2Shp%2fzOUZIDkR%2b%2fqgaymb%2bGTLTUQx6xipGs07CRhdqXtFfDLFmNW8k9ESgHitXVGl%2bWS61k%2buA41qiJRKvlCtKsLtyyh45hGvu%2fqHZ5nmbNWPePuJ5LFEajryrgRTs0GlBnX2SIIjX%2fzN16AFYEbLPNBAA%2fV1zwcdSUDY8dGVewP0HaPd74ny5%2fRunJKhEYAvXbNP3yEx35AWGfrxlaAkAlWZSMK6f8r79FZD7AbQUcxDDcn%2fDmJM%2fMN7%2bSQMm6z1JPiEknaysBn7Xk58%2bRLyXZN2FCS0JcTWrXnOco%2bacBy34Gki936pQKQvE7Uz","descargar bases")</f>
      </c>
    </row>
    <row r="71">
      <c r="A71" s="0" t="inlineStr">
        <is>
          <t xml:space="preserve">1606-34-LE26</t>
        </is>
      </c>
      <c r="B71" s="4" t="inlineStr">
        <is>
          <t xml:space="preserve">Consultoría para la digitalización de rutas de taxis colectivos. Proyecto Apoyo a la estrategia Chilena de transporte sostenible - CLETS Financiado por la GEF e implementado por CAF</t>
        </is>
      </c>
      <c r="C71" s="0" t="inlineStr">
        <is>
          <t xml:space="preserve">Publicada</t>
        </is>
      </c>
      <c r="D71" s="0" t="inlineStr">
        <is>
          <t xml:space="preserve">AGENCIA CHILENA DE COOPERACION INTERNACIONAL PARA EL DESARROLLO</t>
        </is>
      </c>
      <c r="E71" s="0" t="inlineStr">
        <is>
          <t xml:space="preserve">AGCID</t>
        </is>
      </c>
      <c r="F71" s="0" t="inlineStr">
        <is>
          <t xml:space="preserve">Región Metropolitana de Santiago</t>
        </is>
      </c>
      <c r="G71" s="0" t="inlineStr">
        <is>
          <t xml:space="preserve">Santiago</t>
        </is>
      </c>
      <c r="H71" s="2">
        <v>46303.531296</v>
      </c>
      <c r="I71" s="2">
        <v>46317.625</v>
      </c>
      <c r="J71" s="0">
        <v>11</v>
      </c>
      <c r="K71" s="3">
        <v>20000.0</v>
      </c>
      <c r="L71" s="0" t="inlineStr">
        <is>
          <t xml:space="preserve">USD</t>
        </is>
      </c>
      <c r="M71" s="0" t="inlineStr">
        <is>
          <t xml:space="preserve">LE</t>
        </is>
      </c>
      <c r="N71" s="4" t="inlineStr">
        <is>
          <t xml:space="preserve">Servicios profesionales, administrativos y consultorías de gestión empresarial / Consultorías o asesorías en gestión empresarial / Servicios de consultoría en gestión de empresas</t>
        </is>
      </c>
      <c r="O71" s="4" t="inlineStr">
        <is>
          <t xml:space="preserve">1 Unidad · Asesorías en planificación estratégica</t>
        </is>
      </c>
      <c r="P71" s="2"/>
      <c r="Q71" s="2"/>
      <c r="R71" s="0" t="inlineStr">
        <is>
          <t xml:space="preserve">7 meses</t>
        </is>
      </c>
      <c r="S71" s="0" t="inlineStr">
        <is>
          <t xml:space="preserve">No</t>
        </is>
      </c>
      <c r="T71" s="4" t="inlineStr">
        <is>
          <t xml:space="preserve">Según numeral 11.8 de Cesión y subcontratación de la Resolución Exenta de AGCID 305, de fecha 07 de octubre del 2026</t>
        </is>
      </c>
      <c r="U71" s="0" t="inlineStr">
        <is>
          <t xml:space="preserve">Paula Krautz Vargas</t>
        </is>
      </c>
      <c r="V71" s="4" t="inlineStr">
        <is>
          <t xml:space="preserve">Diseñar, desarrollar, probar, sistematizar e implementar una plataforma digital interoperable, compuesta por un Módulo Operador y un Módulo Ministerio, que permita administrar el ciclo completo de registro, revisión, validación y actualización de digitalización de recorridos y atributos operacionales de los servicios de taxis colectivos, integrándose con las plataformas institucionales existentes y validando su funcionamiento mediante una implementación piloto.</t>
        </is>
      </c>
      <c r="W71" s="5" t="str">
        <f>HYPERLINK("https://www.mercadopublico.cl/Procurement/Modules/Attachment/ViewAttachment.aspx?enc=KTl5d0daxUBrDcZO51k3bd6xLKoX2AJq7WSpWjF1xOSKGpL6P7pdQMmXbSObOSPz9g9sbvJf6AmbD43c2oqIHLqcl8MPtwXfv7EvZckGFX%2fzpmkVESzvxuPhNROxfsjXjBzDaxBcGduaAHzdSFdKPHU%2bzVwthJH8AkiwRgH3WNJPzYe0LpltQhcyHDO%2bCSgIpQJZWLjBCw83SxS81EmE5VJXYPltbzjtAWlZjRSjsRdeiaso%2bwaL8DjVbbvCu%2bKaLsr0gd8x7kWkHTHA%2b9RA7dRBuoz2mwMXfSBcivIMpfy8AInFaafY%2fZugyoFfIBJv","descargar bases")</f>
      </c>
    </row>
    <row r="72">
      <c r="A72" s="0" t="inlineStr">
        <is>
          <t xml:space="preserve">617807-79-B226</t>
        </is>
      </c>
      <c r="B72" s="4" t="inlineStr">
        <is>
          <t xml:space="preserve">SERVICIO DE MANTENCIÓN PREVENTIVA Y REPARATIVA DE EQUIPOS DE RAYOS X DIGITAL ARCO C PARA EL HOSPITAL SAN JUAN DE DIOS DE LOS ANDES</t>
        </is>
      </c>
      <c r="C72" s="0" t="inlineStr">
        <is>
          <t xml:space="preserve">Publicada</t>
        </is>
      </c>
      <c r="D72" s="0" t="inlineStr">
        <is>
          <t xml:space="preserve">SERV NAC SALUD HOSPITAL DE LOS ANDES</t>
        </is>
      </c>
      <c r="E72" s="0" t="inlineStr">
        <is>
          <t xml:space="preserve">Hospital San Juan de Dios de Los Andes</t>
        </is>
      </c>
      <c r="F72" s="0" t="inlineStr">
        <is>
          <t xml:space="preserve">Región de Valparaíso </t>
        </is>
      </c>
      <c r="G72" s="0" t="inlineStr">
        <is>
          <t xml:space="preserve">Los Andes</t>
        </is>
      </c>
      <c r="H72" s="2">
        <v>46297.633194</v>
      </c>
      <c r="I72" s="2">
        <v>46317.625</v>
      </c>
      <c r="J72" s="0">
        <v>11</v>
      </c>
      <c r="K72" s="3"/>
      <c r="L72" s="0" t="inlineStr">
        <is>
          <t xml:space="preserve">CLP</t>
        </is>
      </c>
      <c r="M72" s="0" t="inlineStr">
        <is>
          <t xml:space="preserve">B2</t>
        </is>
      </c>
      <c r="N72" s="4" t="inlineStr">
        <is>
          <t xml:space="preserve">Servicios de producción y fabricación industrial / Servicios de apoyo o soporte a la fabricación / Servicios de mantenimiento y reparación de equipo de fabricación</t>
        </is>
      </c>
      <c r="O72" s="4" t="inlineStr">
        <is>
          <t xml:space="preserve">1 Unidad · Servicio de mantenimiento de equipo de fabricación</t>
        </is>
      </c>
      <c r="P72" s="2"/>
      <c r="Q72" s="2"/>
      <c r="R72" s="0" t="inlineStr">
        <is>
          <t xml:space="preserve">36 meses</t>
        </is>
      </c>
      <c r="S72" s="0" t="inlineStr">
        <is>
          <t xml:space="preserve">No</t>
        </is>
      </c>
      <c r="T72" s="4"/>
      <c r="U72" s="0" t="inlineStr">
        <is>
          <t xml:space="preserve">MARCIA MANDIOLA GOMEZ</t>
        </is>
      </c>
      <c r="V72" s="4" t="inlineStr">
        <is>
          <t xml:space="preserve">Seleccionar un Proveedor reconocido, experto, calificado en el mercado por los servicios solicitados, de manera que entregue seguridad y confianza en la ejecución de los servicios de mantención de equipos y en el “CONVENIO DE MANTENCIÓN DE EQUIPOS RX ARCO C DEL HOSPITAL SAN JUAN DE DIOS DE LOS ANDES”.  Contar con el servicio solicitado por Unidad de Equipos Médicos del Establecimiento de manera que cuenten con los requerimientos técnicos estipulados en las presentes bases, y así garantizar el correcto funcionamiento en las prestaciones de salud.</t>
        </is>
      </c>
      <c r="W72" s="5" t="str">
        <f>HYPERLINK("https://www.mercadopublico.cl/Procurement/Modules/Attachment/ViewAttachment.aspx?enc=7ildoFlahh2EjBc7GSeBdwIbKsQ%2frtP00Yw1%2fqAv%2bUopAgN%2bGHgTDkrvjs4IzmaOUWPc%2fNT54B13AW4K6Gz8XyvMqCOD6Jsz6VDc583%2fbuQnowRIUX6j2uNteVaXYSAlFoIrdD2tcUVmTpTIKNF2f5e54wRSw5XVpIDPuKhUwJSq7dXFT%2fJoRj6MhpC%2bSLNdxNTlpMY4FQdm6r0aEj8sU2rq6bqmPsQ%2bA2E5HVDjRBIdFD2VdDhRjL4TyjC6DEtmje4iKZiko5W15y6nm3pdxXdzPfX1VOPGYdQwd9HHN%2fcqLQ%2bz%2bZkUAvENgzH0q2ir","descargar bases")</f>
      </c>
    </row>
    <row r="73">
      <c r="A73" s="0" t="inlineStr">
        <is>
          <t xml:space="preserve">1461054-45-LP26</t>
        </is>
      </c>
      <c r="B73" s="4" t="inlineStr">
        <is>
          <t xml:space="preserve">PLATAFORMA DE GESTIÓN EDUCACIONAL PARA 77 E.E</t>
        </is>
      </c>
      <c r="C73" s="0" t="inlineStr">
        <is>
          <t xml:space="preserve">Publicada</t>
        </is>
      </c>
      <c r="D73" s="0" t="inlineStr">
        <is>
          <t xml:space="preserve">SERVICIO LOCAL DE EDUCACIÓN PÚBLICA DEL ELQUI</t>
        </is>
      </c>
      <c r="E73" s="0" t="inlineStr">
        <is>
          <t xml:space="preserve">P02 Establecimientos Educacionales</t>
        </is>
      </c>
      <c r="F73" s="0" t="inlineStr">
        <is>
          <t xml:space="preserve">Región de Coquimbo </t>
        </is>
      </c>
      <c r="G73" s="0" t="inlineStr">
        <is>
          <t xml:space="preserve">La Serena</t>
        </is>
      </c>
      <c r="H73" s="2">
        <v>46288.638889</v>
      </c>
      <c r="I73" s="2">
        <v>46317.645833</v>
      </c>
      <c r="J73" s="0">
        <v>11</v>
      </c>
      <c r="K73" s="3">
        <v>290234736.0</v>
      </c>
      <c r="L73" s="0" t="inlineStr">
        <is>
          <t xml:space="preserve">CLP</t>
        </is>
      </c>
      <c r="M73" s="0" t="inlineStr">
        <is>
          <t xml:space="preserve">LP</t>
        </is>
      </c>
      <c r="N73" s="4" t="inlineStr">
        <is>
          <t xml:space="preserve">Tecnologías de la información, telecomunicaciones y radiodifusión / Software / Software de consultas y gestión de datos</t>
        </is>
      </c>
      <c r="O73" s="4" t="inlineStr">
        <is>
          <t xml:space="preserve">1 Unidad · Software del sistema de administración de bases de datos</t>
        </is>
      </c>
      <c r="P73" s="2"/>
      <c r="Q73" s="2"/>
      <c r="R73" s="0" t="inlineStr">
        <is>
          <t xml:space="preserve">36 meses</t>
        </is>
      </c>
      <c r="S73" s="0" t="inlineStr">
        <is>
          <t xml:space="preserve">No</t>
        </is>
      </c>
      <c r="T73"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73" s="0" t="inlineStr">
        <is>
          <t xml:space="preserve">Francisca Pérez García</t>
        </is>
      </c>
      <c r="V73"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73" s="5" t="str">
        <f>HYPERLINK("https://www.mercadopublico.cl/Procurement/Modules/Attachment/ViewAttachment.aspx?enc=6mn8cfeA4EpGzVzcXx%2fufj29Zagl%2bMo2T8q4j6LHHawOIJhrnj6fW%2fLsPL8j02705qviCxLIKAP6ikZ04fKNY9NnFMHTmQ58S241mhDZ9tS2cj%2buX4RdHCKbVkf%2fMKJLwJWzaOyYhGR4A3ZvvyqMNjapo%2be13SuaAqva7KYU1sYr7tfhceWDQEHX7wQRp3vRiEyphPnFUfMrHgpw5lTpB76p3JGWOE%2fE%2bBxPDdea03u1yUpJks793YkVzVPLkLCNkSHmJVLpHdro7kCg3fhzdBMCeoI0rqmnsRMMNEcAU1d9%2brlat%2bH4GHCyL1KYARKj","descargar bases")</f>
      </c>
    </row>
    <row r="74">
      <c r="A74" s="0" t="inlineStr">
        <is>
          <t xml:space="preserve">3348-9-LE26</t>
        </is>
      </c>
      <c r="B74" s="4" t="inlineStr">
        <is>
          <t xml:space="preserve">Servicio de Arriendo de Tótem Gestor de Filas</t>
        </is>
      </c>
      <c r="C74" s="0" t="inlineStr">
        <is>
          <t xml:space="preserve">Publicada</t>
        </is>
      </c>
      <c r="D74" s="0" t="inlineStr">
        <is>
          <t xml:space="preserve">DIVISION LOGISTICA DEL EJERCITO</t>
        </is>
      </c>
      <c r="E74" s="0" t="inlineStr">
        <is>
          <t xml:space="preserve">Centro Clínico Militar "Arica"</t>
        </is>
      </c>
      <c r="F74" s="0" t="inlineStr">
        <is>
          <t xml:space="preserve">Región de Arica y Parinacota</t>
        </is>
      </c>
      <c r="G74" s="0" t="inlineStr">
        <is>
          <t xml:space="preserve">Arica</t>
        </is>
      </c>
      <c r="H74" s="2">
        <v>46302.699063</v>
      </c>
      <c r="I74" s="2">
        <v>46317.666667</v>
      </c>
      <c r="J74" s="0">
        <v>11</v>
      </c>
      <c r="K74" s="3">
        <v>7200000.0</v>
      </c>
      <c r="L74" s="0" t="inlineStr">
        <is>
          <t xml:space="preserve">CLP</t>
        </is>
      </c>
      <c r="M74" s="0" t="inlineStr">
        <is>
          <t xml:space="preserve">LE</t>
        </is>
      </c>
      <c r="N74" s="4" t="inlineStr">
        <is>
          <t xml:space="preserve">Tecnologías de la información, telecomunicaciones y radiodifusión / Equipos informáticos y accesorios / Pantallas o monitores de computador</t>
        </is>
      </c>
      <c r="O74" s="4" t="inlineStr">
        <is>
          <t xml:space="preserve">1 Unidad · Monitores de pantalla táctil</t>
        </is>
      </c>
      <c r="P74" s="2"/>
      <c r="Q74" s="2"/>
      <c r="R74" s="0" t="inlineStr">
        <is>
          <t xml:space="preserve">24 meses</t>
        </is>
      </c>
      <c r="S74" s="0" t="inlineStr">
        <is>
          <t xml:space="preserve">No</t>
        </is>
      </c>
      <c r="T74" s="4" t="inlineStr">
        <is>
          <t xml:space="preserve">a.El adjudicatario no podrá ceder ni transferir en forma alguna, sea total o parcialmente, los derechos y obligaciones que nacen con ocasión de la presente Licitación y del contrato que en definitiva se suscriba, salvo que sea posible una norma legal e</t>
        </is>
      </c>
      <c r="U74" s="0" t="inlineStr">
        <is>
          <t xml:space="preserve">Victor Gomez Vuch</t>
        </is>
      </c>
      <c r="V74" s="4" t="inlineStr">
        <is>
          <t xml:space="preserve">Contratar el “Servicio de arriendo de tótem gestor de filas” a 24 meses de duración, para la gestión de filas de atención del hall del servicio de medicina de esta Instalación de Salud.</t>
        </is>
      </c>
      <c r="W74" s="5" t="str">
        <f>HYPERLINK("https://www.mercadopublico.cl/Procurement/Modules/Attachment/ViewAttachment.aspx?enc=JBzvwbVJ5FmQvc%2fxNs4f0d30xOPNycKduFgqY93AgcX5gMoW8%2bi3%2fOYm%2bRuYvEo1IISSoHM4YWh0aDa6Q%2fHIe39D%2bDhyGGfJZa%2follvjvBpQBRtzuTh1LKCOmyWnnOuiry1B8WIYSNIvwqprZ7kNF7NgqgvP1%2f7PGyWKPFEUyYYVVPb4BMUi1z0IviiTqjgW2oAVV%2bIsjEoapiHIja1IUoHdoeMjfB9hV9BCFUinWxXDnc18nGmvbUfJ9Blv1C%2bZYMzuDxIgJgF0enIrjXgsAkIqZnsIayTojw5IOLIp7iSJNYnPyI327iyu1Msg2vIW","descargar bases")</f>
      </c>
    </row>
    <row r="75">
      <c r="A75" s="0" t="inlineStr">
        <is>
          <t xml:space="preserve">948354-140-LR26</t>
        </is>
      </c>
      <c r="B75" s="4" t="inlineStr">
        <is>
          <t xml:space="preserve">CONTRATACIÓN DE UNA SOLUCIÓN INTEGRAL RIS-PACS INCLUYENDO LA PROVISIÓN DE SERVICIOS SOFTWARE HARDWARE E INFRAESTRUCTURA TECNOLÓGICA PARA EL SERVICIO DE IMAGENOLOGÍA DEL HOSPITAL DIPRECA</t>
        </is>
      </c>
      <c r="C75" s="0" t="inlineStr">
        <is>
          <t xml:space="preserve">Publicada</t>
        </is>
      </c>
      <c r="D75" s="0" t="inlineStr">
        <is>
          <t xml:space="preserve">FONDO HOSPITAL DE LA DIRECCION DE PREVISION DE CARABINEROS DE CHILE</t>
        </is>
      </c>
      <c r="E75" s="0" t="inlineStr">
        <is>
          <t xml:space="preserve">Unidad de Compra de Bienes y Servicios</t>
        </is>
      </c>
      <c r="F75" s="0" t="inlineStr">
        <is>
          <t xml:space="preserve">Región Metropolitana de Santiago</t>
        </is>
      </c>
      <c r="G75" s="0" t="inlineStr">
        <is>
          <t xml:space="preserve">Las Condes</t>
        </is>
      </c>
      <c r="H75" s="2">
        <v>46287.400255</v>
      </c>
      <c r="I75" s="2">
        <v>46317.666667</v>
      </c>
      <c r="J75" s="0">
        <v>11</v>
      </c>
      <c r="K75" s="3">
        <v>3310000000.0</v>
      </c>
      <c r="L75" s="0" t="inlineStr">
        <is>
          <t xml:space="preserve">CLP</t>
        </is>
      </c>
      <c r="M75" s="0" t="inlineStr">
        <is>
          <t xml:space="preserve">LR</t>
        </is>
      </c>
      <c r="N75" s="4" t="inlineStr">
        <is>
          <t xml:space="preserve">Equipamiento y suministros médicos / Productos para imágenes y de medicina nuclear / Artículos para archivar información e imágenes radiológicas</t>
        </is>
      </c>
      <c r="O75" s="4" t="inlineStr">
        <is>
          <t xml:space="preserve">60 Mes · Sistemas informatizados de archivado de imágenes (PACS) médicos</t>
        </is>
      </c>
      <c r="P75" s="2"/>
      <c r="Q75" s="2"/>
      <c r="R75" s="0" t="inlineStr">
        <is>
          <t xml:space="preserve">60 meses</t>
        </is>
      </c>
      <c r="S75" s="0" t="inlineStr">
        <is>
          <t xml:space="preserve">No</t>
        </is>
      </c>
      <c r="T75" s="4"/>
      <c r="U75" s="0" t="inlineStr">
        <is>
          <t xml:space="preserve">Dra. Constanza Damm Araneda</t>
        </is>
      </c>
      <c r="V75"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75" s="5" t="str">
        <f>HYPERLINK("https://www.mercadopublico.cl/Procurement/Modules/Attachment/ViewAttachment.aspx?enc=ipN%2bRkRtDdvNL4BAeYhh2qNXvn3CIFYg2CFhwvuCZugb0ymI3Kf7hoGzCSXprATAW%2bUSEg2CcEUdOFsRszJxswvcO5BPWkfQizU3jOs6WqZnR4eVqkKy4wB5jxIXEgEhhDVTlfR6UoDj4PsvXnq87mkwCc8f7VaaWBJFvfXu4is6GQuYoEi8VUXu76vd0WTCa6st5FNpNf7echCGAm8%2bVpAXRyUYbe8Qp%2bnJBqTM2irkMib2yYVavw%2fknzmUz7UsqTIrqqBdZnzEsMdYK5Ws0gYoUvghOVnXt120HNMRumzzfNN3ghJxZbK5dgh%2bHty4","descargar bases")</f>
      </c>
    </row>
    <row r="76">
      <c r="A76" s="0" t="inlineStr">
        <is>
          <t xml:space="preserve">5148-13-LP26</t>
        </is>
      </c>
      <c r="B76" s="4" t="inlineStr">
        <is>
          <t xml:space="preserve">ADQUISICIÓN SERVIDORES PARA PLATAFORMA IA DEL MP</t>
        </is>
      </c>
      <c r="C76" s="0" t="inlineStr">
        <is>
          <t xml:space="preserve">Publicada</t>
        </is>
      </c>
      <c r="D76" s="0" t="inlineStr">
        <is>
          <t xml:space="preserve">MINISTERIO PUBLICO</t>
        </is>
      </c>
      <c r="E76" s="0" t="inlineStr">
        <is>
          <t xml:space="preserve">Fiscalía Nacional</t>
        </is>
      </c>
      <c r="F76" s="0" t="inlineStr">
        <is>
          <t xml:space="preserve">Región Metropolitana de Santiago</t>
        </is>
      </c>
      <c r="G76" s="0" t="inlineStr">
        <is>
          <t xml:space="preserve">Santiago Centro</t>
        </is>
      </c>
      <c r="H76" s="2">
        <v>46301.729387</v>
      </c>
      <c r="I76" s="2">
        <v>46317.708333</v>
      </c>
      <c r="J76" s="0">
        <v>11</v>
      </c>
      <c r="K76" s="3"/>
      <c r="L76" s="0" t="inlineStr">
        <is>
          <t xml:space="preserve">USD</t>
        </is>
      </c>
      <c r="M76" s="0" t="inlineStr">
        <is>
          <t xml:space="preserve">LP</t>
        </is>
      </c>
      <c r="N76" s="4" t="inlineStr">
        <is>
          <t xml:space="preserve">Tecnologías de la información, telecomunicaciones y radiodifusión / Equipos informáticos y accesorios / Computadores</t>
        </is>
      </c>
      <c r="O76" s="4" t="inlineStr">
        <is>
          <t xml:space="preserve">1 Unidad · Servidores · 1 Unidad · Servidores</t>
        </is>
      </c>
      <c r="P76" s="2"/>
      <c r="Q76" s="2"/>
      <c r="R76" s="0"/>
      <c r="S76" s="0" t="inlineStr">
        <is>
          <t xml:space="preserve">No</t>
        </is>
      </c>
      <c r="T76" s="4" t="inlineStr">
        <is>
          <t xml:space="preserve">Los derechos y obligaciones que nacen con ocasión del desarrollo de esta licitación serán intransferibles. El contratante no podrá concertar con terceros la ejecución parcial del contrato. Por lo anterior, no procederá la subcontratación de servicios.</t>
        </is>
      </c>
      <c r="U76" s="0" t="inlineStr">
        <is>
          <t xml:space="preserve">RICHARD ROJAS CASTEX</t>
        </is>
      </c>
      <c r="V76" s="4" t="inlineStr">
        <is>
          <t xml:space="preserve">El MINISTERIO PÚBLICO necesita adquirir dos (2) servidores para su Plataforma de Inteligencia Artificial, con soporte incluido por 36 meses, para permitir el normal y eficiente desarrollo de las actividades propias de la División de Informática del Ministerio Público.</t>
        </is>
      </c>
      <c r="W76" s="5" t="str">
        <f>HYPERLINK("https://www.mercadopublico.cl/Procurement/Modules/Attachment/ViewAttachment.aspx?enc=f3USrq6lPq11rnJiNY41qs2uup6VOZcG0tN0lcGilEeJpLIwqz1912ViUMbhlDJe3wkWYAR1DH8fYXZRsvhkAm%2fMMHJiwZEPabxMajeWfWMX1IBGxCo1b7eMCKC%2fR1IUfWstFLtFW7n26hA8N2FOtShKlFsyECn9vw%2br9i4SNwAYFQWH8UQTyqo9T473vZAbokT3HYCzpOY7I0zR%2f4pEJGim1LV2dCvHX6Cxyedna78cwPlJER%2bFSMZSzGOvR6RpCVBpKrA8wXnUI7gyp%2fjrAIyjFGkuuYZYdR4qvK02hRCjaflHcWr2IIrXGv1VQJPF","descargar bases")</f>
      </c>
    </row>
    <row r="77">
      <c r="A77" s="0" t="inlineStr">
        <is>
          <t xml:space="preserve">598-26-LE26</t>
        </is>
      </c>
      <c r="B77" s="4" t="inlineStr">
        <is>
          <t xml:space="preserve">Licencia Automatización de Procesos IFM por 36 mes</t>
        </is>
      </c>
      <c r="C77" s="0" t="inlineStr">
        <is>
          <t xml:space="preserve">Publicada</t>
        </is>
      </c>
      <c r="D77" s="0" t="inlineStr">
        <is>
          <t xml:space="preserve">DIRECCION PREVISION DE CARABINEROS DE CHILE</t>
        </is>
      </c>
      <c r="E77" s="0" t="inlineStr">
        <is>
          <t xml:space="preserve">Unidad de Abastecimiento DIPRECA</t>
        </is>
      </c>
      <c r="F77" s="0" t="inlineStr">
        <is>
          <t xml:space="preserve">Región Metropolitana de Santiago</t>
        </is>
      </c>
      <c r="G77" s="0" t="inlineStr">
        <is>
          <t xml:space="preserve">Santiago</t>
        </is>
      </c>
      <c r="H77" s="2">
        <v>46304.477535</v>
      </c>
      <c r="I77" s="2">
        <v>46318.395833</v>
      </c>
      <c r="J77" s="0">
        <v>12</v>
      </c>
      <c r="K77" s="3">
        <v>24000000.0</v>
      </c>
      <c r="L77" s="0" t="inlineStr">
        <is>
          <t xml:space="preserve">CLP</t>
        </is>
      </c>
      <c r="M77" s="0" t="inlineStr">
        <is>
          <t xml:space="preserve">LE</t>
        </is>
      </c>
      <c r="N77" s="4" t="inlineStr">
        <is>
          <t xml:space="preserve">Tecnologías de la información, telecomunicaciones y radiodifusión / Software / Software de gestión</t>
        </is>
      </c>
      <c r="O77" s="4" t="inlineStr">
        <is>
          <t xml:space="preserve">1 Unidad · Software de gestión de licencias</t>
        </is>
      </c>
      <c r="P77" s="2"/>
      <c r="Q77" s="2"/>
      <c r="R77" s="0"/>
      <c r="S77" s="0" t="inlineStr">
        <is>
          <t xml:space="preserve">No</t>
        </is>
      </c>
      <c r="T77" s="4"/>
      <c r="U77" s="0" t="inlineStr">
        <is>
          <t xml:space="preserve">Alex Saavedra</t>
        </is>
      </c>
      <c r="V77" s="4" t="inlineStr">
        <is>
          <t xml:space="preserve">Se requiere contratar el servicio de suscripción y licenciamiento de la plataforma de
Automatización de Procesos IFM por un período de 36 meses, destinada a gestionar y ejecutar
de forma automatizada el envío masivo de correos electrónicos con las boletas de pago de
pensiones adjuntas para los beneficiarios de la Dirección de Previsión de Carabineros de Chile.</t>
        </is>
      </c>
      <c r="W77" s="5" t="str">
        <f>HYPERLINK("https://www.mercadopublico.cl/Procurement/Modules/Attachment/ViewAttachment.aspx?enc=kCvF2ZjOUFWLja5i66bmrnNphOjb6sgBNdC5ZUrUMSt1Dfx4DXNkxlODF8vczpnWUN19LAfmPndHIU23Yo21zcVCbCBnojqbTaYWtgJOhyfuzDRZ%2fyXRh2QrVlEcd63UgTzitychrBbVDnfMLo4wGAirUn6vgPMFywL1piSuFoCw6IWh%2bnXruHSLLn%2bXEICiihuFt2QfWId6eOszXMZPSbrckh2Z1Z5qrfRNTSZd%2fzPkMfL4ik4CUhpl5T07vFEhc5%2bN0ne%2b4kgRtKaBXdYxDpdTm4JFSD3bpq5SuM9qVPkNgFHu6bzDglmzCV0VU8HD","descargar bases")</f>
      </c>
    </row>
    <row r="78">
      <c r="A78" s="0" t="inlineStr">
        <is>
          <t xml:space="preserve">976-15-O126</t>
        </is>
      </c>
      <c r="B78" s="4" t="inlineStr">
        <is>
          <t xml:space="preserve">Ampliación Plataformas Comercial y General Ad. El Loa</t>
        </is>
      </c>
      <c r="C78" s="0" t="inlineStr">
        <is>
          <t xml:space="preserve">Publicada</t>
        </is>
      </c>
      <c r="D78" s="0" t="inlineStr">
        <is>
          <t xml:space="preserve">MINISTERIO DE OBRAS PUBLICAS DIREC CION GRAL DE OO PP DCYF</t>
        </is>
      </c>
      <c r="E78" s="0" t="inlineStr">
        <is>
          <t xml:space="preserve">Dirección de Aeropuertos - MOPTT</t>
        </is>
      </c>
      <c r="F78" s="0" t="inlineStr">
        <is>
          <t xml:space="preserve">Región de Antofagasta </t>
        </is>
      </c>
      <c r="G78" s="0" t="inlineStr">
        <is>
          <t xml:space="preserve">Santiago</t>
        </is>
      </c>
      <c r="H78" s="2">
        <v>46265.341667</v>
      </c>
      <c r="I78" s="2">
        <v>46318.458333</v>
      </c>
      <c r="J78" s="0">
        <v>12</v>
      </c>
      <c r="K78" s="3"/>
      <c r="L78" s="0" t="inlineStr">
        <is>
          <t xml:space="preserve">CLP</t>
        </is>
      </c>
      <c r="M78" s="0" t="inlineStr">
        <is>
          <t xml:space="preserve">O1</t>
        </is>
      </c>
      <c r="N78" s="4" t="inlineStr">
        <is>
          <t xml:space="preserve">Consultoria / Consultoria / Planificación y Factibilidad</t>
        </is>
      </c>
      <c r="O78" s="4" t="inlineStr">
        <is>
          <t xml:space="preserve">1 Unidad · Licitación Pública de Obra</t>
        </is>
      </c>
      <c r="P78" s="2"/>
      <c r="Q78" s="2"/>
      <c r="R78" s="0"/>
      <c r="S78" s="0" t="inlineStr">
        <is>
          <t xml:space="preserve">No</t>
        </is>
      </c>
      <c r="T78" s="4"/>
      <c r="U78" s="0"/>
      <c r="V78" s="4" t="inlineStr">
        <is>
          <t xml:space="preserve">Esta Dirección necesita llamar a licitación para contratar la obra Ampliación Plataformas Comercial y General Aeródromo El Loa.</t>
        </is>
      </c>
      <c r="W78" s="5" t="str">
        <f>HYPERLINK("https://www.mercadopublico.cl/Procurement/Modules/Attachment/ViewAttachment.aspx?enc=rUZqkEbGo%2fFR1LIRxTx%2fAejv2opY8d4L0w36MoPzu642hpqcSRVIs2xeutgMEyhCrJt2kG9ofGoUXE8q1Xd%2fxMrD7bCPY6vX5TPCfEGQTgpPb8vsgorXxJksGQTsszue7vuwnXSeHE30lXQ8i0tF9I0MfNE%2fXUEg%2bA2MvUDw3Ig%2bsDPdVukHuGrXU0gv8FzxwqXbyMIhDRBwUc%2fDbww%2bdHF9zPJz6H7w3nTqdajoDMk1BQqbPf7PCovnyabkN7u4xjpPm8XOizIVs8xMX7ZHuXqUQS2nrjfetuPbq7W22iwgS%2fUs2W3tVk6EHw3kheww","descargar bases")</f>
      </c>
    </row>
    <row r="79">
      <c r="A79" s="0" t="inlineStr">
        <is>
          <t xml:space="preserve">2667-71-LR26</t>
        </is>
      </c>
      <c r="B79" s="4" t="inlineStr">
        <is>
          <t xml:space="preserve">ARRIENDO SOPORTE Y MANTENCIÓN DE CENTRAL TELEFONICA IP TELEFONOS IP Y PLATAFORMA DE CONTACT CENTER</t>
        </is>
      </c>
      <c r="C79" s="0" t="inlineStr">
        <is>
          <t xml:space="preserve">Publicada</t>
        </is>
      </c>
      <c r="D79" s="0" t="inlineStr">
        <is>
          <t xml:space="preserve">I MUNICIPALIDAD DE VITACURA</t>
        </is>
      </c>
      <c r="E79" s="0" t="inlineStr">
        <is>
          <t xml:space="preserve">SECPLA</t>
        </is>
      </c>
      <c r="F79" s="0" t="inlineStr">
        <is>
          <t xml:space="preserve">Región Metropolitana de Santiago</t>
        </is>
      </c>
      <c r="G79" s="0" t="inlineStr">
        <is>
          <t xml:space="preserve">Vitacura</t>
        </is>
      </c>
      <c r="H79" s="2">
        <v>46282.54353</v>
      </c>
      <c r="I79" s="2">
        <v>46318.625</v>
      </c>
      <c r="J79" s="0">
        <v>12</v>
      </c>
      <c r="K79" s="3"/>
      <c r="L79" s="0" t="inlineStr">
        <is>
          <t xml:space="preserve">CLF</t>
        </is>
      </c>
      <c r="M79" s="0" t="inlineStr">
        <is>
          <t xml:space="preserve">LR</t>
        </is>
      </c>
      <c r="N79" s="4" t="inlineStr">
        <is>
          <t xml:space="preserve">Equipos y suministros de defensa, orden público, protección y seguridad / Seguridad, vigilancia y detección / Equipo de vigilancia y detección</t>
        </is>
      </c>
      <c r="O79" s="4" t="inlineStr">
        <is>
          <t xml:space="preserve">1 Global · Sistemas de alarma</t>
        </is>
      </c>
      <c r="P79" s="2"/>
      <c r="Q79" s="2"/>
      <c r="R79" s="0" t="inlineStr">
        <is>
          <t xml:space="preserve">48 meses</t>
        </is>
      </c>
      <c r="S79" s="0" t="inlineStr">
        <is>
          <t xml:space="preserve">No</t>
        </is>
      </c>
      <c r="T79" s="4"/>
      <c r="U79" s="0" t="inlineStr">
        <is>
          <t xml:space="preserve">Gonzalo Fuentes Osses</t>
        </is>
      </c>
      <c r="V79"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79" s="5" t="str">
        <f>HYPERLINK("https://www.mercadopublico.cl/Procurement/Modules/Attachment/ViewAttachment.aspx?enc=ZI9eYkswbJQjt0YpAQLRT4ijfxRRr3LLZ5j%2fLgMEf9U%2bY3aHdRolo1vrBiZhYh%2fAlCBLMPwrx%2fPNwYk1s3ClqIUiJ3D8XGOHmXNLGiFLNFnHFgVu2AE0TgJScyFnBE17fwigJGF0dzfenLd8H6iMIwlkuuW%2fN5OaZzU1bdWFWPjJBCgG7BgpA37oxKSs1Yx6Z3h60fbi359BXIWx59RQLE92rJi1DjXTaRxs3VpHTPvwrKe5NMZIxfb6uViTsHEP4WqsmGMkOYILzSIkOGBuiWe%2byF8rzUh9VpkbWZpdsKzJD7oiXYiMcQkZuxbSEe%2fK","descargar bases")</f>
      </c>
    </row>
    <row r="80">
      <c r="A80" s="0" t="inlineStr">
        <is>
          <t xml:space="preserve">608-197-LR26</t>
        </is>
      </c>
      <c r="B80" s="4" t="inlineStr">
        <is>
          <t xml:space="preserve">SERVICIO DE OPERACIÓN MANTENIMIENTO Y ACTUALIZACIÓN DE PLATAFORMAS TECNOLÓGICAS DE LA SALA DE CONTROL CENTRALIZADO DEL HOSPITAL DR. GUSTAVO FRICKE</t>
        </is>
      </c>
      <c r="C80" s="0" t="inlineStr">
        <is>
          <t xml:space="preserve">Publicada</t>
        </is>
      </c>
      <c r="D80" s="0" t="inlineStr">
        <is>
          <t xml:space="preserve">HOSPITAL DR GUSTAVO FRICKE DE VINA DEL MAR</t>
        </is>
      </c>
      <c r="E80" s="0" t="inlineStr">
        <is>
          <t xml:space="preserve">Hospital Dr. Gustavo Fricke</t>
        </is>
      </c>
      <c r="F80" s="0" t="inlineStr">
        <is>
          <t xml:space="preserve">Región de Valparaíso </t>
        </is>
      </c>
      <c r="G80" s="0"/>
      <c r="H80" s="2">
        <v>46279.504861</v>
      </c>
      <c r="I80" s="2">
        <v>46318.686806</v>
      </c>
      <c r="J80" s="0">
        <v>12</v>
      </c>
      <c r="K80" s="3">
        <v>675433201.0</v>
      </c>
      <c r="L80" s="0" t="inlineStr">
        <is>
          <t xml:space="preserve">CLP</t>
        </is>
      </c>
      <c r="M80" s="0" t="inlineStr">
        <is>
          <t xml:space="preserve">LR</t>
        </is>
      </c>
      <c r="N80" s="4" t="inlineStr">
        <is>
          <t xml:space="preserve">Servicios basados en ingeniería, ciencias sociales y tecnología de la información / Servicios informáticos / Ingeniería en computación e informática</t>
        </is>
      </c>
      <c r="O80" s="4" t="inlineStr">
        <is>
          <t xml:space="preserve">1 Unidad · Integración de sistemas</t>
        </is>
      </c>
      <c r="P80" s="2"/>
      <c r="Q80" s="2"/>
      <c r="R80" s="0" t="inlineStr">
        <is>
          <t xml:space="preserve">17 meses</t>
        </is>
      </c>
      <c r="S80" s="0" t="inlineStr">
        <is>
          <t xml:space="preserve">No</t>
        </is>
      </c>
      <c r="T80" s="4"/>
      <c r="U80" s="0" t="inlineStr">
        <is>
          <t xml:space="preserve">SE DEFINIRÁ AL MOMENTO DE ADJUDICAR PROCESO</t>
        </is>
      </c>
      <c r="V80" s="4" t="inlineStr">
        <is>
          <t xml:space="preserve">Que la unidad de control centralizado integra plataformas tecnológicas y de comunicación complejas que
permiten el monitoreo constante y reacción inmediata ante incidentes y respuesta en tiempo real frente a
emergencias.</t>
        </is>
      </c>
      <c r="W80" s="5" t="str">
        <f>HYPERLINK("https://www.mercadopublico.cl/Procurement/Modules/Attachment/ViewAttachment.aspx?enc=1Dxe7ej4lLMnOXQq4qomt%2bV42Y70HN%2b0t0m%2bhSZ4Akl2Aa4jwj6SOFN7YSVOIcgLBPT%2f%2fVbU%2beRLwiCcurbQagDKc%2bAFp9umNLLHGpT%2bsT2L84ry%2fvzbAbVnPuAWTwgIIwcISJEYEExDGlQkXCiHBLDn6bpccFP8cDtyFrNUGSeV8DHvGCPj3s57cgrfVb%2b3MWT0C37%2fZ%2bF43%2bBZAD9hjIGIi5v6ijlyYeuJAGPtKJOWWkRCQsdZ5M%2bAVwjQgrnfr80sWfdBVhltZfUquRj0F0a69hB9fKeDPG3V0xEO9TpkSatk8umIvvCy4oyV1WR7","descargar bases")</f>
      </c>
    </row>
    <row r="81">
      <c r="A81" s="0" t="inlineStr">
        <is>
          <t xml:space="preserve">3047-60-LE26</t>
        </is>
      </c>
      <c r="B81" s="4" t="inlineStr">
        <is>
          <t xml:space="preserve">EQUIPAMIENTO INFORMÁTICO PARA IMPLEMENTAR SERVIDOR EN EL CENTRO DE INNOVACIÓN TECNOLÓGICA DE LA ARMADA</t>
        </is>
      </c>
      <c r="C81" s="0" t="inlineStr">
        <is>
          <t xml:space="preserve">Publicada</t>
        </is>
      </c>
      <c r="D81" s="0" t="inlineStr">
        <is>
          <t xml:space="preserve">DIRECCION DE ABASTECIMIENTO DE LA ARMADA</t>
        </is>
      </c>
      <c r="E81" s="0" t="inlineStr">
        <is>
          <t xml:space="preserve">ACADEMIA POLITECNICA NAVAL</t>
        </is>
      </c>
      <c r="F81" s="0" t="inlineStr">
        <is>
          <t xml:space="preserve">Región de Valparaíso </t>
        </is>
      </c>
      <c r="G81" s="0"/>
      <c r="H81" s="2">
        <v>46303.664468</v>
      </c>
      <c r="I81" s="2">
        <v>46321.625</v>
      </c>
      <c r="J81" s="0">
        <v>15</v>
      </c>
      <c r="K81" s="3">
        <v>60000000.0</v>
      </c>
      <c r="L81" s="0" t="inlineStr">
        <is>
          <t xml:space="preserve">CLP</t>
        </is>
      </c>
      <c r="M81" s="0" t="inlineStr">
        <is>
          <t xml:space="preserve">LE</t>
        </is>
      </c>
      <c r="N81" s="4" t="inlineStr">
        <is>
          <t xml:space="preserve">Tecnologías de la información, telecomunicaciones y radiodifusión / Equipos informáticos y accesorios / Computadores</t>
        </is>
      </c>
      <c r="O81" s="4" t="inlineStr">
        <is>
          <t xml:space="preserve">1 Unidad · Servidores</t>
        </is>
      </c>
      <c r="P81" s="2"/>
      <c r="Q81" s="2"/>
      <c r="R81" s="0"/>
      <c r="S81" s="0" t="inlineStr">
        <is>
          <t xml:space="preserve">No</t>
        </is>
      </c>
      <c r="T81" s="4"/>
      <c r="U81" s="0" t="inlineStr">
        <is>
          <t xml:space="preserve">FRANCISCO LAYMUNS HEILMAIER</t>
        </is>
      </c>
      <c r="V81" s="4" t="inlineStr">
        <is>
          <t xml:space="preserve">EQUIPAMIENTO INFORMÁTICO PARA IMPLEMENTAR SERVIDOR EN EL CENTRO DE INNOVACIÓN TECNOLÓGICA DE LA ARMADA</t>
        </is>
      </c>
      <c r="W81" s="5" t="str">
        <f>HYPERLINK("https://www.mercadopublico.cl/Procurement/Modules/Attachment/ViewAttachment.aspx?enc=B4P8ozZG6cdXE1StYulUo75ToJNSg59N7bHn8qiOnxfbHbLxCF3RSmDGUdUeC4xd2lWnlab9ron8va1jM%2f%2bAQxgE%2bvtozkhMymDEkI%2fO2oN2NQQeACSiVmPwuzeIIcqGnKTEkGUbp9vYOnzmgd%2fGSuX6FeHnPg3d%2f2yKRNhrJaDWAzDGgAyrZHmepmRdtQT3YA94nKasOclTwgJvUfJh4FNcBuwZWk8c%2fSdLidqt2UIvyfNtthppNzNB%2bDsUHNcAxulXEMBeZXCzVcg4cMzsVYAsKmSP1s5BaP8vNM55Pf8K6dMF99j7F1JOJMP9tWH2","descargar bases")</f>
      </c>
    </row>
    <row r="82">
      <c r="A82" s="0" t="inlineStr">
        <is>
          <t xml:space="preserve">3671-80-LE26</t>
        </is>
      </c>
      <c r="B82" s="4" t="inlineStr">
        <is>
          <t xml:space="preserve">“HABILITACIÓN DE NUEVAS DEPENDENCIAS DE SEGURIDAD MUNICIPAL E INFORMÁTICA DE LA MUNICIPALIDAD DE CHILLÁN VIEJO”</t>
        </is>
      </c>
      <c r="C82" s="0" t="inlineStr">
        <is>
          <t xml:space="preserve">Publicada</t>
        </is>
      </c>
      <c r="D82" s="0" t="inlineStr">
        <is>
          <t xml:space="preserve">ILUSTRE MUNICIPALIDAD DE CHILLAN VIEJO</t>
        </is>
      </c>
      <c r="E82" s="0" t="inlineStr">
        <is>
          <t xml:space="preserve">Secplan</t>
        </is>
      </c>
      <c r="F82" s="0" t="inlineStr">
        <is>
          <t xml:space="preserve">Región del Ñuble</t>
        </is>
      </c>
      <c r="G82" s="0" t="inlineStr">
        <is>
          <t xml:space="preserve">Chillán Viejo</t>
        </is>
      </c>
      <c r="H82" s="2">
        <v>46304.695428</v>
      </c>
      <c r="I82" s="2">
        <v>46321.625</v>
      </c>
      <c r="J82" s="0">
        <v>15</v>
      </c>
      <c r="K82" s="3"/>
      <c r="L82" s="0" t="inlineStr">
        <is>
          <t xml:space="preserve">CLP</t>
        </is>
      </c>
      <c r="M82" s="0" t="inlineStr">
        <is>
          <t xml:space="preserve">LE</t>
        </is>
      </c>
      <c r="N82" s="4" t="inlineStr">
        <is>
          <t xml:space="preserve">Servicios de construcción y mantenimiento / Construcción de edificios en general / Construcción de obras civiles y infraestructuras</t>
        </is>
      </c>
      <c r="O82" s="4" t="inlineStr">
        <is>
          <t xml:space="preserve">1 Unidad · Construcción de obras civiles</t>
        </is>
      </c>
      <c r="P82" s="2"/>
      <c r="Q82" s="2"/>
      <c r="R82" s="0"/>
      <c r="S82" s="0" t="inlineStr">
        <is>
          <t xml:space="preserve">No</t>
        </is>
      </c>
      <c r="T82" s="4"/>
      <c r="U82" s="0" t="inlineStr">
        <is>
          <t xml:space="preserve">MARIA PAZ VASQUEZ RAMIREZ</t>
        </is>
      </c>
      <c r="V82"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82" s="5" t="str">
        <f>HYPERLINK("https://www.mercadopublico.cl/Procurement/Modules/Attachment/ViewAttachment.aspx?enc=aoabWIZQCDOpzYdlMmHCIdTCZ9kTMNhtrdoUwRhlyZklbKyj1WSKwQRRmGYykkkVaIsF9zuh1EdiuiPitBqqxMrCeoeOeofate0Pcz%2fn%2bRxBs0%2bxyYiI3htLc9nST0DVGCjzJw0uyY90bDza1colZnFitUHPOVxXkjumBcB3vFiET5XKRwH06LyJ4Hnv2KpclGoLcozVwRpzMQUKp3tjpM1XIJ1p0PjlcQE1Nd1YH3vuh3oGVD%2f65MD78urCJfdYUZlj7V%2fGpIzlbwauGaVmQB6uS6WlATP8MVUwUZw3xFA4JyG54xHAtxFcYFwgl8rF","descargar bases")</f>
      </c>
    </row>
    <row r="83">
      <c r="A83" s="0" t="inlineStr">
        <is>
          <t xml:space="preserve">577290-4-LP26</t>
        </is>
      </c>
      <c r="B83" s="4" t="inlineStr">
        <is>
          <t xml:space="preserve">RENOVACIÓN Y ADQUISICIÓN DE LICENCIAS DE SOFTWARE</t>
        </is>
      </c>
      <c r="C83" s="0" t="inlineStr">
        <is>
          <t xml:space="preserve">Publicada</t>
        </is>
      </c>
      <c r="D83" s="0" t="inlineStr">
        <is>
          <t xml:space="preserve">SUBSECRETARIA DE TRANSPORTES</t>
        </is>
      </c>
      <c r="E83" s="0" t="inlineStr">
        <is>
          <t xml:space="preserve">Subsidio Nacional Transporte Publico</t>
        </is>
      </c>
      <c r="F83" s="0" t="inlineStr">
        <is>
          <t xml:space="preserve">Región Metropolitana de Santiago</t>
        </is>
      </c>
      <c r="G83" s="0" t="inlineStr">
        <is>
          <t xml:space="preserve">Santiago Centro</t>
        </is>
      </c>
      <c r="H83" s="2">
        <v>46301.443924</v>
      </c>
      <c r="I83" s="2">
        <v>46321.625</v>
      </c>
      <c r="J83" s="0">
        <v>15</v>
      </c>
      <c r="K83" s="3">
        <v>74076010.0</v>
      </c>
      <c r="L83" s="0" t="inlineStr">
        <is>
          <t xml:space="preserve">CLP</t>
        </is>
      </c>
      <c r="M83" s="0" t="inlineStr">
        <is>
          <t xml:space="preserve">LP</t>
        </is>
      </c>
      <c r="N83" s="4" t="inlineStr">
        <is>
          <t xml:space="preserve">Tecnologías de la información, telecomunicaciones y radiodifusión / Software / Software de gestión</t>
        </is>
      </c>
      <c r="O83" s="4" t="inlineStr">
        <is>
          <t xml:space="preserve">4 Unidad · Software de gestión de licencias · 1 Unidad · Software de gestión de licencias · 4 Unidad · Software de gestión de licencias · y 3 más</t>
        </is>
      </c>
      <c r="P83" s="2"/>
      <c r="Q83" s="2"/>
      <c r="R83" s="0"/>
      <c r="S83" s="0" t="inlineStr">
        <is>
          <t xml:space="preserve">No</t>
        </is>
      </c>
      <c r="T83" s="4" t="inlineStr">
        <is>
          <t xml:space="preserve">VER NUMERAL 2.34 SUBCONTRATACIÓN</t>
        </is>
      </c>
      <c r="U83" s="0" t="inlineStr">
        <is>
          <t xml:space="preserve">Mauricio Segovia Briceño</t>
        </is>
      </c>
      <c r="V83" s="4" t="inlineStr">
        <is>
          <t xml:space="preserve">La Subsecretaría de Transportes llama a participar en esta licitación a personas naturales y jurídicas, chilenas o extranjeras, con el objeto de renovar las licencias de software Toad y Adobe o equivalentes, y adquirir las licencias de software Devexpress y PowerDesigner o equivalentes, para la División de Transporte Público Regional. 
VER NUMERAL 1.2 OBJETIVO Y REQUERIMIENTOS</t>
        </is>
      </c>
      <c r="W83" s="5" t="str">
        <f>HYPERLINK("https://www.mercadopublico.cl/Procurement/Modules/Attachment/ViewAttachment.aspx?enc=JFhbUvzY7yrDYAdStj8l9CIpXLhN1CsSYUZKoo1zeK2ABWyOshYJ8Q28%2fHZBOIFa%2fKwEgTeZgQhmaRC68j5PiRTjESD%2f0WrVteNorzc1KuiQnZFFce8CxmHR3jnGc1PXw3z3GxAg0BWOXvntZq2JexN5dY9d5DoHFxyo5w6bXr2IFfWqZ2m97SyxR%2f6de9yVAMQJHFqqFuDuTBxk50bpJs%2fnBIKXTWKCGY5lXe2Fz3a8kfBlPWROA5okrVqKWC0bUHS59IQjCaN6AgSKDWFfi9zLwx3NJbc7NHger0ibB2NQT06AYBGLzr4VWQHXpK7z","descargar bases")</f>
      </c>
    </row>
    <row r="84">
      <c r="A84" s="0" t="inlineStr">
        <is>
          <t xml:space="preserve">1020-38-LP26</t>
        </is>
      </c>
      <c r="B84" s="4" t="inlineStr">
        <is>
          <t xml:space="preserve">Adquisición de Plataforma Next Generation Firewall</t>
        </is>
      </c>
      <c r="C84" s="0" t="inlineStr">
        <is>
          <t xml:space="preserve">Publicada</t>
        </is>
      </c>
      <c r="D84" s="0" t="inlineStr">
        <is>
          <t xml:space="preserve">MINISTERIO DE OBRAS PUBLICAS DIREC CION GRAL DE OO PP DCYF</t>
        </is>
      </c>
      <c r="E84" s="0" t="inlineStr">
        <is>
          <t xml:space="preserve">MOP Subsecretaría </t>
        </is>
      </c>
      <c r="F84" s="0" t="inlineStr">
        <is>
          <t xml:space="preserve">Región Metropolitana de Santiago</t>
        </is>
      </c>
      <c r="G84" s="0"/>
      <c r="H84" s="2">
        <v>46252.442361</v>
      </c>
      <c r="I84" s="2">
        <v>46321.625</v>
      </c>
      <c r="J84" s="0">
        <v>15</v>
      </c>
      <c r="K84" s="3">
        <v>240000000.0</v>
      </c>
      <c r="L84" s="0" t="inlineStr">
        <is>
          <t xml:space="preserve">CLP</t>
        </is>
      </c>
      <c r="M84" s="0" t="inlineStr">
        <is>
          <t xml:space="preserve">LP</t>
        </is>
      </c>
      <c r="N84"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84" s="4" t="inlineStr">
        <is>
          <t xml:space="preserve">2 Unidad · Equipo de seguridad de red de firewall · 1 Unidad · Software de vigilancia de redes</t>
        </is>
      </c>
      <c r="P84" s="2"/>
      <c r="Q84" s="2"/>
      <c r="R84" s="0" t="inlineStr">
        <is>
          <t xml:space="preserve">16 meses</t>
        </is>
      </c>
      <c r="S84" s="0" t="inlineStr">
        <is>
          <t xml:space="preserve">No</t>
        </is>
      </c>
      <c r="T84" s="4" t="inlineStr">
        <is>
          <t xml:space="preserve">Conforme al punto 10.5 de las Bases Administrativas, el oferente adjudicado no podrá subcontratar los servicios derivados de la ejecución del Contrato</t>
        </is>
      </c>
      <c r="U84" s="0" t="inlineStr">
        <is>
          <t xml:space="preserve">Francisco Borques</t>
        </is>
      </c>
      <c r="V84"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84" s="5" t="str">
        <f>HYPERLINK("https://www.mercadopublico.cl/Procurement/Modules/Attachment/ViewAttachment.aspx?enc=qfk2LTQ13IFGFStuUTjIrCVJF0GTHYtLU8HRUlyZwG9Gz7PX%2f4nFDInLMpsx6p%2fsRjJEQ3pcQEp7fO3GKUiP4sVPk1Qe7oaW3%2fyK1qjc3drDDZDPUU1yijj0h3hGDEo6stb6slWCpK1uspbHzZv75MlCDepqkuC1Pr6O3GL1EqdteAY%2bU285USpTXRvZLvwcH8BYvM3c%2bJAucX6QZ%2byqZff4lhMJ3TlXNXU3OuBbkXm4PGAgA%2bKCobWUpN9S2hZWS8%2bHnOil9kI2dcyzC9BOoCrHX3vdD4Kw83yD8GQLxGMMXBVVHdm3DiHHiLsDCEYV","descargar bases")</f>
      </c>
    </row>
    <row r="85">
      <c r="A85" s="0" t="inlineStr">
        <is>
          <t xml:space="preserve">2342-36-LR26</t>
        </is>
      </c>
      <c r="B85" s="4" t="inlineStr">
        <is>
          <t xml:space="preserve">CONCESIÓN DE ESTACIONAMIENTOS EN CALLES DE LA ZONA CENTRO DE LA COMUNA DE SAN BERNARDO APLICANDO SISTEMA DE CONTROL DE TIEMPO DE USO CAPTADORES DE DATOS</t>
        </is>
      </c>
      <c r="C85" s="0" t="inlineStr">
        <is>
          <t xml:space="preserve">Publicada</t>
        </is>
      </c>
      <c r="D85" s="0" t="inlineStr">
        <is>
          <t xml:space="preserve">I MUNICIPALIDAD DE SAN BERNARDO</t>
        </is>
      </c>
      <c r="E85" s="0" t="inlineStr">
        <is>
          <t xml:space="preserve">SECRETARIA COMUNAL DE PLANIFICACION</t>
        </is>
      </c>
      <c r="F85" s="0" t="inlineStr">
        <is>
          <t xml:space="preserve">Región Metropolitana de Santiago</t>
        </is>
      </c>
      <c r="G85" s="0" t="inlineStr">
        <is>
          <t xml:space="preserve">San Bernardo</t>
        </is>
      </c>
      <c r="H85" s="2">
        <v>46289.68978</v>
      </c>
      <c r="I85" s="2">
        <v>46321.625694</v>
      </c>
      <c r="J85" s="0">
        <v>15</v>
      </c>
      <c r="K85" s="3"/>
      <c r="L85" s="0" t="inlineStr">
        <is>
          <t xml:space="preserve">UTM</t>
        </is>
      </c>
      <c r="M85" s="0" t="inlineStr">
        <is>
          <t xml:space="preserve">LR</t>
        </is>
      </c>
      <c r="N85" s="4" t="inlineStr">
        <is>
          <t xml:space="preserve">Servicios de transporte, almacenaje y correo / Servicios de mantención o reparaciones de transportes / Combustible para vehículos de transporte, estacionamiento y otros servicios de apoyo</t>
        </is>
      </c>
      <c r="O85" s="4" t="inlineStr">
        <is>
          <t xml:space="preserve">1 Unidad · Estacionamientos</t>
        </is>
      </c>
      <c r="P85" s="2"/>
      <c r="Q85" s="2"/>
      <c r="R85" s="0" t="inlineStr">
        <is>
          <t xml:space="preserve">36 meses</t>
        </is>
      </c>
      <c r="S85" s="0" t="inlineStr">
        <is>
          <t xml:space="preserve">No</t>
        </is>
      </c>
      <c r="T85" s="4"/>
      <c r="U85" s="0" t="inlineStr">
        <is>
          <t xml:space="preserve">JUAN CARLOS CABRERA CAMPOS</t>
        </is>
      </c>
      <c r="V85" s="4" t="inlineStr">
        <is>
          <t xml:space="preserve">CONCESIÓN DE ESTACIONAMIENTOS EN CALLES DE LA ZONA CENTRO DE LA COMUNA DE SAN BERNARDO, APLICANDO SISTEMA DE CONTROL DE TIEMPO DE USO CAPTADORES DE DATOS</t>
        </is>
      </c>
      <c r="W85" s="5" t="str">
        <f>HYPERLINK("https://www.mercadopublico.cl/Procurement/Modules/Attachment/ViewAttachment.aspx?enc=Whtlki9zmrDySe3YAwOSGFuMw3Q46u8SMvb6g8viGlSu40OEcGaPbZkWX%2bRF1BNIzmrQDrS27gx77lMcFZlweV%2f%2fHQQtblBVxtTP5DFnudNXT77NpnFFEn1FhnSdM%2fGX6VxbFfIXHGCXtnbOjFphx0UIj6six2lyPmv8sZR%2fT%2fdq7beGLsyExv8VX6R6Gfx9%2bNdch6Mw3Hw%2fP2FnNadlsFt630ZxW4za%2bodR%2f5X1mqx%2fKoIyoLPXbJ2hj6fznzUIh8dF1qd138HD6Gy%2fUKIzM8Uc695xZJMvzSAfvmvYjB5VDgtQqCcK8Bim5%2bMNHBGV","descargar bases")</f>
      </c>
    </row>
    <row r="86">
      <c r="A86" s="0" t="inlineStr">
        <is>
          <t xml:space="preserve">5482-101-LR26</t>
        </is>
      </c>
      <c r="B86" s="4" t="inlineStr">
        <is>
          <t xml:space="preserve">Plataforma IA para video y seguridad urbana</t>
        </is>
      </c>
      <c r="C86" s="0" t="inlineStr">
        <is>
          <t xml:space="preserve">Publicada</t>
        </is>
      </c>
      <c r="D86" s="0" t="inlineStr">
        <is>
          <t xml:space="preserve">I MUNICIPALIDAD DE NUNOA</t>
        </is>
      </c>
      <c r="E86" s="0" t="inlineStr">
        <is>
          <t xml:space="preserve">SECPLANUNOA</t>
        </is>
      </c>
      <c r="F86" s="0" t="inlineStr">
        <is>
          <t xml:space="preserve">Región Metropolitana de Santiago</t>
        </is>
      </c>
      <c r="G86" s="0" t="inlineStr">
        <is>
          <t xml:space="preserve">Ñuñoa</t>
        </is>
      </c>
      <c r="H86" s="2">
        <v>46275.729861</v>
      </c>
      <c r="I86" s="2">
        <v>46321.625694</v>
      </c>
      <c r="J86" s="0">
        <v>15</v>
      </c>
      <c r="K86" s="3"/>
      <c r="L86" s="0" t="inlineStr">
        <is>
          <t xml:space="preserve">CLF</t>
        </is>
      </c>
      <c r="M86" s="0" t="inlineStr">
        <is>
          <t xml:space="preserve">LR</t>
        </is>
      </c>
      <c r="N86" s="4" t="inlineStr">
        <is>
          <t xml:space="preserve">Tecnologías de la información, telecomunicaciones y radiodifusión / Software / Programas de desarrollo</t>
        </is>
      </c>
      <c r="O86" s="4" t="inlineStr">
        <is>
          <t xml:space="preserve">1 Global · Software de desarrollo de plataforma Web · 26 Mes · Software de desarrollo de plataforma Web</t>
        </is>
      </c>
      <c r="P86" s="2"/>
      <c r="Q86" s="2"/>
      <c r="R86" s="0" t="inlineStr">
        <is>
          <t xml:space="preserve">26 meses</t>
        </is>
      </c>
      <c r="S86" s="0" t="inlineStr">
        <is>
          <t xml:space="preserve">No</t>
        </is>
      </c>
      <c r="T86" s="4"/>
      <c r="U86" s="0" t="inlineStr">
        <is>
          <t xml:space="preserve">Katherinne Ayala</t>
        </is>
      </c>
      <c r="V86"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86" s="5" t="str">
        <f>HYPERLINK("https://www.mercadopublico.cl/Procurement/Modules/Attachment/ViewAttachment.aspx?enc=3hpoZFhN%2fIW6mWQL82lnb2foC4%2bCDH6zKPq%2bhY4bHF5uDRrq1Y2UxHItvd6TFP1Xcu1K%2bknWid858botVH8Z%2fNo4o6qr0lr8tTTzH69OBeGBF%2fOi5aRFhLHPKItdOiABHv24JRQOW%2b8GlybeRZNuZzBk9Q4sJe2jP0Q3NsGyqGKNFQC73ReQ%2fLul%2bG7LFHz6iAgZUiXsC5MyhM4PpZjCLtOfXsgsEJg7GTnBPb4RPBWgeLFhtQyNgJTcXaqAgpNWfkhF6wyflqU8zyRA9FeyMUbdlqAViemsyyvepffClNfmfJBOFQVJCkDwBa%2fWAN%2f7","descargar bases")</f>
      </c>
    </row>
    <row r="87">
      <c r="A87" s="0" t="inlineStr">
        <is>
          <t xml:space="preserve">1622-22-LP26</t>
        </is>
      </c>
      <c r="B87" s="4" t="inlineStr">
        <is>
          <t xml:space="preserve">ARRIENDO SISTEMA DE INFORMACIÓN DE LABORATORIO HSV</t>
        </is>
      </c>
      <c r="C87" s="0" t="inlineStr">
        <is>
          <t xml:space="preserve">Publicada</t>
        </is>
      </c>
      <c r="D87" s="0" t="inlineStr">
        <is>
          <t xml:space="preserve">SERVICIO DE SALUD HOSPITAL DE SAN VICENTE DE TAGUA TAGUA</t>
        </is>
      </c>
      <c r="E87" s="0" t="inlineStr">
        <is>
          <t xml:space="preserve">Hospital de San Vicente de Tagua Tagua</t>
        </is>
      </c>
      <c r="F87" s="0" t="inlineStr">
        <is>
          <t xml:space="preserve">Región del Libertador General Bernardo O´Higgins</t>
        </is>
      </c>
      <c r="G87" s="0" t="inlineStr">
        <is>
          <t xml:space="preserve">San Vicente de Tagua Tagua</t>
        </is>
      </c>
      <c r="H87" s="2">
        <v>46301.633356</v>
      </c>
      <c r="I87" s="2">
        <v>46321.645833</v>
      </c>
      <c r="J87" s="0">
        <v>15</v>
      </c>
      <c r="K87" s="3"/>
      <c r="L87" s="0" t="inlineStr">
        <is>
          <t xml:space="preserve">CLP</t>
        </is>
      </c>
      <c r="M87" s="0" t="inlineStr">
        <is>
          <t xml:space="preserve">LP</t>
        </is>
      </c>
      <c r="N87" s="4" t="inlineStr">
        <is>
          <t xml:space="preserve">Tecnologías de la información, telecomunicaciones y radiodifusión / Software / Software de consultas y gestión de datos</t>
        </is>
      </c>
      <c r="O87" s="4" t="inlineStr">
        <is>
          <t xml:space="preserve">1 Unidad · Software del sistema de administración de bases de datos</t>
        </is>
      </c>
      <c r="P87" s="2"/>
      <c r="Q87" s="2"/>
      <c r="R87" s="0" t="inlineStr">
        <is>
          <t xml:space="preserve">36 meses</t>
        </is>
      </c>
      <c r="S87" s="0" t="inlineStr">
        <is>
          <t xml:space="preserve">No</t>
        </is>
      </c>
      <c r="T87" s="4"/>
      <c r="U87" s="0" t="inlineStr">
        <is>
          <t xml:space="preserve">ANIBAL DONOSO MARTIN</t>
        </is>
      </c>
      <c r="V87" s="4" t="inlineStr">
        <is>
          <t xml:space="preserve">El Hospital San Vicente requiere contratar un Sistema de Información de Laboratorio Clínico LIS, incluyendo su implementación, configuración, parametrización, integración, soporte técnico, mantención y actualización, por un período de 36 meses, de acuerdo con las condiciones establecidas en las presentes Bases de Licitación.
El Sistema de Información de Laboratorio Clínico deberá permitir administrar y gestionar de manera integral la información asociada a los procesos realizados por el Servicio de Laboratorio Clínico del Hospital San Vicente.</t>
        </is>
      </c>
      <c r="W87" s="5" t="str">
        <f>HYPERLINK("https://www.mercadopublico.cl/Procurement/Modules/Attachment/ViewAttachment.aspx?enc=3uhJTboAIF0eO9o9Q5DqFX1T3ju6qwKTlKKkR23%2bSWyzaRWeHyghr%2f%2f74n1Yx5s5xyvYUECbZvmnSqKG5BG0rErEVFntmUMxe%2fwfEUB12nolzYNlmiL943nHeTCKTld5wds2Y9sHqc8YsVVsoq8YnDucTP8hL2zQoKgyE0o1gUqXx4BIKsLpsYXMNsFBjDKtlzUMN%2bvXa6NYsKbpiWIpGc1IQ05DkKXLW5eExiFycFUkJIkTYdvIDsEd5KUlwy%2f0%2bwyN%2bGLnr5mfTpfGUVZAznKjA%2b0IRqqoMKfQ3iIQ8OAvUbaDkAkbetzYqkmZOK84","descargar bases")</f>
      </c>
    </row>
    <row r="88">
      <c r="A88" s="0" t="inlineStr">
        <is>
          <t xml:space="preserve">2403-73-LR26</t>
        </is>
      </c>
      <c r="B88" s="4" t="inlineStr">
        <is>
          <t xml:space="preserve">Servicios de conectividad telecomunicaciones operación de infraestructura y gestión de ciberseguridad.</t>
        </is>
      </c>
      <c r="C88" s="0" t="inlineStr">
        <is>
          <t xml:space="preserve">Publicada</t>
        </is>
      </c>
      <c r="D88" s="0" t="inlineStr">
        <is>
          <t xml:space="preserve">I MUNICIPALIDAD DE PENALOLEN</t>
        </is>
      </c>
      <c r="E88" s="0" t="inlineStr">
        <is>
          <t xml:space="preserve">I.MUNICIPALIDAD DE PEÑALOLEN</t>
        </is>
      </c>
      <c r="F88" s="0" t="inlineStr">
        <is>
          <t xml:space="preserve">Región Metropolitana de Santiago</t>
        </is>
      </c>
      <c r="G88" s="0" t="inlineStr">
        <is>
          <t xml:space="preserve">Peñalolén</t>
        </is>
      </c>
      <c r="H88" s="2">
        <v>46288.605347</v>
      </c>
      <c r="I88" s="2">
        <v>46321.645833</v>
      </c>
      <c r="J88" s="0">
        <v>15</v>
      </c>
      <c r="K88" s="3">
        <v>1910656000.0</v>
      </c>
      <c r="L88" s="0" t="inlineStr">
        <is>
          <t xml:space="preserve">CLP</t>
        </is>
      </c>
      <c r="M88" s="0" t="inlineStr">
        <is>
          <t xml:space="preserve">LR</t>
        </is>
      </c>
      <c r="N88" s="4" t="inlineStr">
        <is>
          <t xml:space="preserve">Servicios de construcción y mantenimiento / Servicios de atención, mantenimiento y reparaciones de edificios / Servicios eléctricos</t>
        </is>
      </c>
      <c r="O88" s="4" t="inlineStr">
        <is>
          <t xml:space="preserve">1 Global · Instalación de sistemas de seguridad</t>
        </is>
      </c>
      <c r="P88" s="2"/>
      <c r="Q88" s="2"/>
      <c r="R88" s="0" t="inlineStr">
        <is>
          <t xml:space="preserve">51 meses</t>
        </is>
      </c>
      <c r="S88" s="0" t="inlineStr">
        <is>
          <t xml:space="preserve">No</t>
        </is>
      </c>
      <c r="T88" s="4" t="inlineStr">
        <is>
          <t xml:space="preserve">Previa autorización de la inspección técnica, y siempre que no supere el 30% del precio total de la contratación.</t>
        </is>
      </c>
      <c r="U88" s="0" t="inlineStr">
        <is>
          <t xml:space="preserve">Matías Allende Contreras</t>
        </is>
      </c>
      <c r="V88"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88" s="5" t="str">
        <f>HYPERLINK("https://www.mercadopublico.cl/Procurement/Modules/Attachment/ViewAttachment.aspx?enc=1kYbXboxfdi4PH%2f%2fkrTChTZEGqBdBkwxXfB99UBhnIXTRoF7w9CbejvS2Urzpbyn1KKjuAAhXKaE1soAyMu%2bwgs8ifpXITQaF1VR5mfwu60Lnsr2L%2fJJCFSPeO4I4ZdT6x420dPLZDOcZRfcVLPLGdSF%2bI92cxeGKpxI7oABSZez2KVOvknT%2firMhDrtOHo0jzjTqa9d9SorCsqidrG2yN3KltSbG3PfWz6VJQcYc6H%2fCuT6pwVPOkPyr893aScX741FU38VMDVjuRgXeptRTciDd0SFJ1taHNhG5JlJkzB%2bfwjMcmTajw2tlSJBPQ1o","descargar bases")</f>
      </c>
    </row>
    <row r="89">
      <c r="A89" s="0" t="inlineStr">
        <is>
          <t xml:space="preserve">634-92-LE26</t>
        </is>
      </c>
      <c r="B89" s="4" t="inlineStr">
        <is>
          <t xml:space="preserve">SISTEMA RADIOGRÁFICO ODONTOLÓGICO DIGITAL</t>
        </is>
      </c>
      <c r="C89" s="0" t="inlineStr">
        <is>
          <t xml:space="preserve">Publicada</t>
        </is>
      </c>
      <c r="D89" s="0" t="inlineStr">
        <is>
          <t xml:space="preserve">DIRECCION GENERAL DE GENDARMERIA DE CHIL</t>
        </is>
      </c>
      <c r="E89" s="0" t="inlineStr">
        <is>
          <t xml:space="preserve">Dirección Nacional</t>
        </is>
      </c>
      <c r="F89" s="0" t="inlineStr">
        <is>
          <t xml:space="preserve">Región Metropolitana de Santiago</t>
        </is>
      </c>
      <c r="G89" s="0" t="inlineStr">
        <is>
          <t xml:space="preserve">Santiago</t>
        </is>
      </c>
      <c r="H89" s="2">
        <v>46297.655498</v>
      </c>
      <c r="I89" s="2">
        <v>46321.645833</v>
      </c>
      <c r="J89" s="0">
        <v>15</v>
      </c>
      <c r="K89" s="3">
        <v>35009800.0</v>
      </c>
      <c r="L89" s="0" t="inlineStr">
        <is>
          <t xml:space="preserve">CLP</t>
        </is>
      </c>
      <c r="M89" s="0" t="inlineStr">
        <is>
          <t xml:space="preserve">LE</t>
        </is>
      </c>
      <c r="N89" s="4" t="inlineStr">
        <is>
          <t xml:space="preserve">Equipamiento y suministros médicos / Equipos y suministros odontológicos / Equipo y suministros para imágenes dentales</t>
        </is>
      </c>
      <c r="O89" s="4" t="inlineStr">
        <is>
          <t xml:space="preserve">1 Unidad · Unidades de Rayos X dentales</t>
        </is>
      </c>
      <c r="P89" s="2"/>
      <c r="Q89" s="2"/>
      <c r="R89" s="0"/>
      <c r="S89" s="0" t="inlineStr">
        <is>
          <t xml:space="preserve">No</t>
        </is>
      </c>
      <c r="T89" s="4"/>
      <c r="U89" s="0" t="inlineStr">
        <is>
          <t xml:space="preserve">José Silva Díaz</t>
        </is>
      </c>
      <c r="V89" s="4" t="inlineStr">
        <is>
          <t xml:space="preserve">DISPONE LLAMADO A LICITACIÓN PÚBLICA Y APRUEBA BASES ADMINISTRATIVAS, TÉCNICAS Y FORMULARIOS DESTINADOS A LA “ADQUISICIÓN, INSTALACIÓN, PUESTA EN MARCHA Y CAPACITACIÓN DE SISTEMA RADIOGRÁFICO ODONTOLÓGICO DIGITAL TIPO ORTOPANTOMÓGRAFO CON TECNOLOGÍA CBCT PARA EL SERVICIO DENTAL DEL HOSPITAL PENITENCIARIO”. E102RT9</t>
        </is>
      </c>
      <c r="W89" s="5" t="str">
        <f>HYPERLINK("https://www.mercadopublico.cl/Procurement/Modules/Attachment/ViewAttachment.aspx?enc=1thAsuB0r2fQe66B%2bM%2fhQp0QJNiLGDDRcICtDsIY%2bmrYz6QmcygWBjNwj9oOETC5%2fsDH3QGZk%2bAi2gJuVkc%2fCrqAXSbOeVKcm8OM7db0WeU2CxituGDUTm%2br0uVCOrdEBk6fQeZEPQyQ%2bI79Y4vC47Y0XHyRNriSMkaOzhHDr1mwiPjEqmgbQgJiqiyXdskPG8aN6v8VbwpJMuldjxxfgFkTDFL7VYC9SdOgFFxSm5PuILm0AWYuFqCL8IxM36UiQy650gSkBpVPBKuzrDmnzabO4Gw9O7KDEqYSKgDxJg2B7XhYKJPMcXpEgjpg7KKV","descargar bases")</f>
      </c>
    </row>
    <row r="90">
      <c r="A90" s="0" t="inlineStr">
        <is>
          <t xml:space="preserve">3755-6-LP26</t>
        </is>
      </c>
      <c r="B90" s="4" t="inlineStr">
        <is>
          <t xml:space="preserve">Serv datos de tránsito y tráfico de dispositivos</t>
        </is>
      </c>
      <c r="C90" s="0" t="inlineStr">
        <is>
          <t xml:space="preserve">Publicada</t>
        </is>
      </c>
      <c r="D90" s="0" t="inlineStr">
        <is>
          <t xml:space="preserve">SUBSECRETARIA DE TRANSPORTES</t>
        </is>
      </c>
      <c r="E90" s="0" t="inlineStr">
        <is>
          <t xml:space="preserve">Fiscalización y Control</t>
        </is>
      </c>
      <c r="F90" s="0" t="inlineStr">
        <is>
          <t xml:space="preserve">Región Metropolitana de Santiago</t>
        </is>
      </c>
      <c r="G90" s="0" t="inlineStr">
        <is>
          <t xml:space="preserve">Santiago</t>
        </is>
      </c>
      <c r="H90" s="2">
        <v>46301.501343</v>
      </c>
      <c r="I90" s="2">
        <v>46321.666667</v>
      </c>
      <c r="J90" s="0">
        <v>15</v>
      </c>
      <c r="K90" s="3"/>
      <c r="L90" s="0" t="inlineStr">
        <is>
          <t xml:space="preserve">CLP</t>
        </is>
      </c>
      <c r="M90" s="0" t="inlineStr">
        <is>
          <t xml:space="preserve">LP</t>
        </is>
      </c>
      <c r="N90" s="4" t="inlineStr">
        <is>
          <t xml:space="preserve">Tecnologías de la información, telecomunicaciones y radiodifusión / Software / Software de consultas y gestión de datos</t>
        </is>
      </c>
      <c r="O90" s="4" t="inlineStr">
        <is>
          <t xml:space="preserve">1 Global · Software de extracción de datos</t>
        </is>
      </c>
      <c r="P90" s="2"/>
      <c r="Q90" s="2"/>
      <c r="R90" s="0" t="inlineStr">
        <is>
          <t xml:space="preserve">12 meses</t>
        </is>
      </c>
      <c r="S90" s="0" t="inlineStr">
        <is>
          <t xml:space="preserve">No</t>
        </is>
      </c>
      <c r="T90" s="4"/>
      <c r="U90" s="0" t="inlineStr">
        <is>
          <t xml:space="preserve">CARLOS TORO ARAYA</t>
        </is>
      </c>
      <c r="V90" s="4" t="inlineStr">
        <is>
          <t xml:space="preserve">Se requiere contratar el servicio de suscripción o acceso a una plataforma de datos, servicios web o bases de datos que entregue información sobre la velocidad de circulación, volúmenes o cantidad de vehículos, con cobertura para la red vial terrestre urbana y rural de Chile en que exista la disponibilidad de los datos.</t>
        </is>
      </c>
      <c r="W90" s="5" t="str">
        <f>HYPERLINK("https://www.mercadopublico.cl/Procurement/Modules/Attachment/ViewAttachment.aspx?enc=OA4RGZFZUjD2JBxUNqMeq3V%2fufafcoj1T%2f9ZRrep1oSbeeJInMdSuHp8rTqDvZ%2b%2bgoOhLepA1irPkOYzag3bDtlAdRc0blqlZtVEQ8Z9wJO0rN9V3bheHGDznASUytRrU5QvchYRZu7rvQ278bC%2f8W6%2bjLJUGBX%2bLaYUL7youHaDtyNCpRv992ABCK0KeLet1Y1nqMb6Jn663YRnh3eq6et4WRWPAaCTXUrJE2R6DJwC0Pv0BTUraT7elyIi5BxpeQsOg3ZKDYWli4diOmz86RIWwBitMU3oVy%2b3YPGWakAsBwIPrY2vpkuw9SKM8OUf","descargar bases")</f>
      </c>
    </row>
    <row r="91">
      <c r="A91" s="0" t="inlineStr">
        <is>
          <t xml:space="preserve">799595-5-LP26</t>
        </is>
      </c>
      <c r="B91" s="4" t="inlineStr">
        <is>
          <t xml:space="preserve">Servicio de Cloud Computing MINDEP</t>
        </is>
      </c>
      <c r="C91" s="0" t="inlineStr">
        <is>
          <t xml:space="preserve">Publicada</t>
        </is>
      </c>
      <c r="D91" s="0" t="inlineStr">
        <is>
          <t xml:space="preserve">SUBSECRETARIA DEL DEPORTE</t>
        </is>
      </c>
      <c r="E91" s="0" t="inlineStr">
        <is>
          <t xml:space="preserve">Subsecretaría del Deporte</t>
        </is>
      </c>
      <c r="F91" s="0" t="inlineStr">
        <is>
          <t xml:space="preserve">Región Metropolitana de Santiago</t>
        </is>
      </c>
      <c r="G91" s="0" t="inlineStr">
        <is>
          <t xml:space="preserve">Providencia</t>
        </is>
      </c>
      <c r="H91" s="2">
        <v>46301.788206</v>
      </c>
      <c r="I91" s="2">
        <v>46321.708333</v>
      </c>
      <c r="J91" s="0">
        <v>15</v>
      </c>
      <c r="K91" s="3">
        <v>106618.0</v>
      </c>
      <c r="L91" s="0" t="inlineStr">
        <is>
          <t xml:space="preserve">USD</t>
        </is>
      </c>
      <c r="M91" s="0" t="inlineStr">
        <is>
          <t xml:space="preserve">LP</t>
        </is>
      </c>
      <c r="N91" s="4" t="inlineStr">
        <is>
          <t xml:space="preserve">Servicios basados en ingeniería, ciencias sociales y tecnología de la información / Servicios informáticos / Servicios de datos</t>
        </is>
      </c>
      <c r="O91" s="4" t="inlineStr">
        <is>
          <t xml:space="preserve">1 Unidad · Centro de servicios de datos</t>
        </is>
      </c>
      <c r="P91" s="2"/>
      <c r="Q91" s="2"/>
      <c r="R91" s="0" t="inlineStr">
        <is>
          <t xml:space="preserve">36 meses</t>
        </is>
      </c>
      <c r="S91" s="0" t="inlineStr">
        <is>
          <t xml:space="preserve">No</t>
        </is>
      </c>
      <c r="T91" s="4"/>
      <c r="U91" s="0" t="inlineStr">
        <is>
          <t xml:space="preserve">Ignacio Sáez</t>
        </is>
      </c>
      <c r="V91" s="4" t="inlineStr">
        <is>
          <t xml:space="preserve">Servicio de Cloud Computing y Servicios Asociados para la Subsecretaría del Deporte</t>
        </is>
      </c>
      <c r="W91" s="5" t="str">
        <f>HYPERLINK("https://www.mercadopublico.cl/Procurement/Modules/Attachment/ViewAttachment.aspx?enc=7bFdwA%2fnkYfW5MsDwNEy9dPdm4aY0HUFXZhDS0tmM7V3kF%2bTTDVdh3l2k99aJ3HFSd1ZB%2bDdF%2b1HsYqYcdGY6j7PDy75E1Yb6x4oRdDQ%2b3Q75wKNXNfI8Xy8gpDNXWD0y9C6tgtPu1xoqUlU0K8j2ncii6NRVsxAXPRC31l4sXeS3s1vdbFS%2bwMoJCiDDP8zM5O5rk%2fXlC3psaKv9l%2fYcnVSoToX3aLJSa4IMFjf%2bVjBcRZSesh1nIRQcCm68%2bBwTlUbOhkpiPog01F76yj9FxvmUNgtoEuCpbRsSw%2bTBe8z69%2fi8BlpS1MmdNtZ30CN","descargar bases")</f>
      </c>
    </row>
    <row r="92">
      <c r="A92" s="0" t="inlineStr">
        <is>
          <t xml:space="preserve">434-110-LP26</t>
        </is>
      </c>
      <c r="B92" s="4" t="inlineStr">
        <is>
          <t xml:space="preserve">SISTEMA DE GESTIÓN DOCUMENTAL SEGÚN LEY N°21.180</t>
        </is>
      </c>
      <c r="C92" s="0" t="inlineStr">
        <is>
          <t xml:space="preserve">Publicada</t>
        </is>
      </c>
      <c r="D92" s="0" t="inlineStr">
        <is>
          <t xml:space="preserve">I MUNICIPALIDAD DE CAUQUENES</t>
        </is>
      </c>
      <c r="E92" s="0" t="inlineStr">
        <is>
          <t xml:space="preserve">Adquisiciones</t>
        </is>
      </c>
      <c r="F92" s="0" t="inlineStr">
        <is>
          <t xml:space="preserve">Región del Maule </t>
        </is>
      </c>
      <c r="G92" s="0" t="inlineStr">
        <is>
          <t xml:space="preserve">Cauquenes</t>
        </is>
      </c>
      <c r="H92" s="2">
        <v>46302.681944</v>
      </c>
      <c r="I92" s="2">
        <v>46322.375</v>
      </c>
      <c r="J92" s="0">
        <v>16</v>
      </c>
      <c r="K92" s="3">
        <v>75000000.0</v>
      </c>
      <c r="L92" s="0" t="inlineStr">
        <is>
          <t xml:space="preserve">CLP</t>
        </is>
      </c>
      <c r="M92" s="0" t="inlineStr">
        <is>
          <t xml:space="preserve">LP</t>
        </is>
      </c>
      <c r="N92" s="4" t="inlineStr">
        <is>
          <t xml:space="preserve">Artículos para estructuras, obras y construcciones / Construcciones permanentes / Construcciones para educación e investigación</t>
        </is>
      </c>
      <c r="O92" s="4" t="inlineStr">
        <is>
          <t xml:space="preserve">1 Unidad · Servicios de investigación o medición · 1 Unidad · Servicios de investigación o medición</t>
        </is>
      </c>
      <c r="P92" s="2"/>
      <c r="Q92" s="2"/>
      <c r="R92" s="0" t="inlineStr">
        <is>
          <t xml:space="preserve">36 meses</t>
        </is>
      </c>
      <c r="S92" s="0" t="inlineStr">
        <is>
          <t xml:space="preserve">No</t>
        </is>
      </c>
      <c r="T92" s="4"/>
      <c r="U92" s="0" t="inlineStr">
        <is>
          <t xml:space="preserve">CHRISTIAN AGUILERA LETELIER</t>
        </is>
      </c>
      <c r="V92" s="4" t="inlineStr">
        <is>
          <t xml:space="preserve">TENER UN SISTEMA PARA ACOMPAÑAMIENTO EN LA IMPLEMENTACIÓN DE LA LEY DE TRANSFORMACIÓN DIGITAL DEL ESTADO.</t>
        </is>
      </c>
      <c r="W92" s="5" t="str">
        <f>HYPERLINK("https://www.mercadopublico.cl/Procurement/Modules/Attachment/ViewAttachment.aspx?enc=ChmKNlu7NyE29UtdDkZ5fDJT%2blhlWAaJSSrjq%2fKaqldi3DHb55GpxVI09QXxjp4Gtx%2btkArc8RPNQn9nw3B58En9Oas6Zq%2bLMdMqsnZT12tVSh3Xx4tbyx1pW%2f2L73bGf8bNqtgu96oQ7MPL4T3eEVc9MtdaNZ25gtclMLJ6ZmczFMJ4ToQhAZ1D76Jh7LHN9uwyCLPOdOTlLB%2b8XKZGxysBODRakvd7H8aqWxpxoowtfjP8OiSrsDiKZ1L5An7%2bfn9sDC3nVlPyZmRJTkcu8BkynV9T%2bSzy6%2bszX1mMFiyoAmBSM1ekAFlJTtr%2f77Dv","descargar bases")</f>
      </c>
    </row>
    <row r="93">
      <c r="A93" s="0" t="inlineStr">
        <is>
          <t xml:space="preserve">2308-90-LE26</t>
        </is>
      </c>
      <c r="B93" s="4" t="inlineStr">
        <is>
          <t xml:space="preserve">REPARACIÓN MODERNIZACIÓN PUESTA EN MARCHA Y CERTIFICACIÓN DEL ASCENSOR DEL EDIFICIO CONSISTORIAL OSORNO</t>
        </is>
      </c>
      <c r="C93" s="0" t="inlineStr">
        <is>
          <t xml:space="preserve">Publicada</t>
        </is>
      </c>
      <c r="D93" s="0" t="inlineStr">
        <is>
          <t xml:space="preserve">I MUNICIPALIDAD DE OSORNO</t>
        </is>
      </c>
      <c r="E93" s="0" t="inlineStr">
        <is>
          <t xml:space="preserve">SECRETARIA DE PLANIFICACION</t>
        </is>
      </c>
      <c r="F93" s="0" t="inlineStr">
        <is>
          <t xml:space="preserve">Región de los Lagos </t>
        </is>
      </c>
      <c r="G93" s="0" t="inlineStr">
        <is>
          <t xml:space="preserve">Osorno</t>
        </is>
      </c>
      <c r="H93" s="2">
        <v>46303.685648</v>
      </c>
      <c r="I93" s="2">
        <v>46322.416667</v>
      </c>
      <c r="J93" s="0">
        <v>16</v>
      </c>
      <c r="K93" s="3"/>
      <c r="L93" s="0" t="inlineStr">
        <is>
          <t xml:space="preserve">CLP</t>
        </is>
      </c>
      <c r="M93" s="0" t="inlineStr">
        <is>
          <t xml:space="preserve">LE</t>
        </is>
      </c>
      <c r="N93" s="4" t="inlineStr">
        <is>
          <t xml:space="preserve">Servicios de construcción y mantenimiento / Servicios de atención, mantenimiento y reparaciones de edificios / Servicios de apoyo para la construcción</t>
        </is>
      </c>
      <c r="O93" s="4" t="inlineStr">
        <is>
          <t xml:space="preserve">1 Unidad · Servicios de mantenimiento de ascensores</t>
        </is>
      </c>
      <c r="P93" s="2"/>
      <c r="Q93" s="2"/>
      <c r="R93" s="0"/>
      <c r="S93" s="0" t="inlineStr">
        <is>
          <t xml:space="preserve">No</t>
        </is>
      </c>
      <c r="T93" s="4"/>
      <c r="U93" s="0" t="inlineStr">
        <is>
          <t xml:space="preserve">I.MUNICIPALIDAD DE OSORNO</t>
        </is>
      </c>
      <c r="V93" s="4" t="inlineStr">
        <is>
          <t xml:space="preserve">La iniciativa tiene por objeto la contratación de un servicio técnico especializado para ejecutar las obras de reparación, pruebas, puesta en marcha y certificación del sistema de tracción y componentes críticos de Ascensor del Edificio Consistorial, garantizando la total seguridad y continuidad operativa del edificio., el cual se deberá ejecutar conforme a los requerimientos establecidos en las presentes bases administrativas y bases técnicas adjuntas.</t>
        </is>
      </c>
      <c r="W93" s="5" t="str">
        <f>HYPERLINK("https://www.mercadopublico.cl/Procurement/Modules/Attachment/ViewAttachment.aspx?enc=zPnfgd0dtMgnfJ0v93HVMTkoJp8otUs5yme2qxH10S%2f9S5SgrsNm3CfL%2fZIoBxgtg%2bAFqdKYdgOO1q2Xl%2fsTk283yu%2fDJK%2frjQsjkTQkOcclfyEtyj4Nft%2bBUWe2gBSoQzJCdppBe1wpx5tsQfwSGXzqr1H7cfSoz3S2ppGOyGwIOU5cn3BOd%2fFpDckCFZYXFt3AmD4m%2fzGW0y2%2f%2f8qA%2fOIKSzLclvF%2bOsEbwCPrpJUi3W9Hh4fyUzTVx9RbNbO9iJd21IgXKbI0NC%2fvZKtmco%2fa%2fnXd9AZzsmMSelNLZdxGvlu0FtC%2fhGbej3viEzZT","descargar bases")</f>
      </c>
    </row>
    <row r="94">
      <c r="A94" s="0" t="inlineStr">
        <is>
          <t xml:space="preserve">622-64-L126</t>
        </is>
      </c>
      <c r="B94" s="4" t="inlineStr">
        <is>
          <t xml:space="preserve">CONTRATACIÓN DEL CURSO INTELIGENCIA ARTIFICIAL APLICADA A LA GESTIÓN GREMIAL Y LA FUNCIÓN PÚBLICA</t>
        </is>
      </c>
      <c r="C94" s="0" t="inlineStr">
        <is>
          <t xml:space="preserve">Publicada</t>
        </is>
      </c>
      <c r="D94" s="0" t="inlineStr">
        <is>
          <t xml:space="preserve">TESORERIA GENERAL DE LA REPUBLICA</t>
        </is>
      </c>
      <c r="E94" s="0" t="inlineStr">
        <is>
          <t xml:space="preserve">Tesorería General de la República</t>
        </is>
      </c>
      <c r="F94" s="0" t="inlineStr">
        <is>
          <t xml:space="preserve">Región Metropolitana de Santiago</t>
        </is>
      </c>
      <c r="G94" s="0" t="inlineStr">
        <is>
          <t xml:space="preserve">Ñuñoa</t>
        </is>
      </c>
      <c r="H94" s="2">
        <v>46304.640752</v>
      </c>
      <c r="I94" s="2">
        <v>46322.625</v>
      </c>
      <c r="J94" s="0">
        <v>16</v>
      </c>
      <c r="K94" s="3">
        <v>5000000.0</v>
      </c>
      <c r="L94" s="0" t="inlineStr">
        <is>
          <t xml:space="preserve">CLP</t>
        </is>
      </c>
      <c r="M94" s="0" t="inlineStr">
        <is>
          <t xml:space="preserve">L1</t>
        </is>
      </c>
      <c r="N94" s="4" t="inlineStr">
        <is>
          <t xml:space="preserve">Educación, formación, entrenamiento y capacitación / Sistemas educativos complementarios / Educación de adultos</t>
        </is>
      </c>
      <c r="O94" s="4" t="inlineStr">
        <is>
          <t xml:space="preserve">1 Unidad · Capacitación a empleados</t>
        </is>
      </c>
      <c r="P94" s="2"/>
      <c r="Q94" s="2"/>
      <c r="R94" s="0"/>
      <c r="S94" s="0" t="inlineStr">
        <is>
          <t xml:space="preserve">No</t>
        </is>
      </c>
      <c r="T94" s="4"/>
      <c r="U94" s="0"/>
      <c r="V94" s="4" t="inlineStr">
        <is>
          <t xml:space="preserve">Contratar a un Organismo Técnico de Capacitación (OTEC) o empresa consultora para la ejecución del curso de capacitación “Inteligencia Artificial aplicada a la Gestión Gremial y la Función Pública”, de 16 horas cronológicas, dirigido a las y los dirigentes de la Asociación de Funcionarios de la Tesorería General de la República (AET). El propósito es capacitar a los participantes en el uso práctico de herramientas de Inteligencia Artificial (IA) generativa para optimizar la redacción de document</t>
        </is>
      </c>
      <c r="W94" s="5" t="str">
        <f>HYPERLINK("https://www.mercadopublico.cl/Procurement/Modules/Attachment/ViewAttachment.aspx?enc=NoETPtlX4fzxz07xRajTR%2fMWHPHCs%2f8vEzhDFT40e1CkDeLjlRdSqPvGEoCeYNnZpUgSQ%2fgVTdnaWOQxiNEDj%2fz3c2hG7Ogg%2fIH%2bjh0vtkfA4QTTYP5WHoU2%2fjN3VvppgpiuvKgDSyvILi2%2b40v%2f5WEk%2fxMMxCyGoGzao2JRhP6DUPFHT%2fd6mlfKbU6wMTVz1DVhoBmo%2bdfpeiUG3cc0jTiyJVhTPflmzppGNEnOVLnt57g8QxesO11aNG7UEtnxzcX%2bnTOvHEd%2bJBKd%2b37HxFF6q2CypFfqueG8%2bCEsKFcaULHzCom4wac%2f%2b%2fQ0C9r%2b","descargar bases")</f>
      </c>
    </row>
    <row r="95">
      <c r="A95" s="0" t="inlineStr">
        <is>
          <t xml:space="preserve">5360-5-LP26</t>
        </is>
      </c>
      <c r="B95" s="4" t="inlineStr">
        <is>
          <t xml:space="preserve">SERVICIOS DE ELECTRICIDAD Y DATOS UTA - ARICA</t>
        </is>
      </c>
      <c r="C95" s="0" t="inlineStr">
        <is>
          <t xml:space="preserve">Publicada</t>
        </is>
      </c>
      <c r="D95" s="0" t="inlineStr">
        <is>
          <t xml:space="preserve">UNIVERSIDAD DE TARAPACA</t>
        </is>
      </c>
      <c r="E95" s="0" t="inlineStr">
        <is>
          <t xml:space="preserve">DIRECCIÓN DE SERVICIOS Y  LOGÍSTICA</t>
        </is>
      </c>
      <c r="F95" s="0" t="inlineStr">
        <is>
          <t xml:space="preserve">Región de Arica y Parinacota</t>
        </is>
      </c>
      <c r="G95" s="0" t="inlineStr">
        <is>
          <t xml:space="preserve">Arica</t>
        </is>
      </c>
      <c r="H95" s="2">
        <v>46302.721933</v>
      </c>
      <c r="I95" s="2">
        <v>46322.666667</v>
      </c>
      <c r="J95" s="0">
        <v>16</v>
      </c>
      <c r="K95" s="3"/>
      <c r="L95" s="0" t="inlineStr">
        <is>
          <t xml:space="preserve">CLP</t>
        </is>
      </c>
      <c r="M95" s="0" t="inlineStr">
        <is>
          <t xml:space="preserve">LP</t>
        </is>
      </c>
      <c r="N95" s="4" t="inlineStr">
        <is>
          <t xml:space="preserve">Servicios de construcción y mantenimiento / Servicios de atención, mantenimiento y reparaciones de edificios / Servicios eléctricos</t>
        </is>
      </c>
      <c r="O95" s="4" t="inlineStr">
        <is>
          <t xml:space="preserve">1 Unidad · Instalación o servicio de sistemas de energía eléctrica</t>
        </is>
      </c>
      <c r="P95" s="2"/>
      <c r="Q95" s="2"/>
      <c r="R95" s="0" t="inlineStr">
        <is>
          <t xml:space="preserve">24 meses</t>
        </is>
      </c>
      <c r="S95" s="0" t="inlineStr">
        <is>
          <t xml:space="preserve">No</t>
        </is>
      </c>
      <c r="T95" s="4" t="inlineStr">
        <is>
          <t xml:space="preserve">No permite subcontratación. De acuerdo al Capítulo VIII Contrato de suministro
y servicio, párrafo 4 Cesión y subcontratación, Artículo 128 reglamento.
Subcontratación del reglamento de Ley Nº 19.886 sobre compras Públicas.</t>
        </is>
      </c>
      <c r="U95" s="0" t="inlineStr">
        <is>
          <t xml:space="preserve">Armando Villalobos</t>
        </is>
      </c>
      <c r="V95" s="4" t="inlineStr">
        <is>
          <t xml:space="preserve">Proveer el suministro servicios de electricidad y datos en dependencias de la Universidad de Tarapacá en la Comuna de Arica. La presente licitación dará origen a un contrato de servicios por un periodo de 24 meses. Con cargo al
Centro de Costo 188 Unidad de Servicios y Logística.</t>
        </is>
      </c>
      <c r="W95" s="5" t="str">
        <f>HYPERLINK("https://www.mercadopublico.cl/Procurement/Modules/Attachment/ViewAttachment.aspx?enc=5oMp%2b6gSwqWFIb2q4i7VSoPhByPOl3tcNSECY75ATpBJRUO%2bg%2fzrsemQtfHaUCz%2b5F%2bmDjMiBsXqUXs%2f6kD9JscaDvLyJapdJTnRztFQlU%2fQemqAjTCM6C7Gvm22%2by0vGPMVnekdpocQKz8SewMog8AMSKtkKJlsHyMDylRuXRmu6eqvs5yaTN2gFB7TUhWKjeBmr%2fdG8AcHVRAs3KVSRJ3eXLX4yn3KPnfjQ3mgtVyLQxZnU2sY8Fvcdum%2f8w2JnpLnd0LJAqGCJjtYZdURTpwVjXxJa4kZMOZAs8VDDmSBi3s1TFaiiN1cABcKJF%2fy","descargar bases")</f>
      </c>
    </row>
    <row r="96">
      <c r="A96" s="0" t="inlineStr">
        <is>
          <t xml:space="preserve">2981-287-LP26</t>
        </is>
      </c>
      <c r="B96" s="4" t="inlineStr">
        <is>
          <t xml:space="preserve">CIBERSEGURIDAD- CONSULTORIA</t>
        </is>
      </c>
      <c r="C96" s="0" t="inlineStr">
        <is>
          <t xml:space="preserve">Publicada</t>
        </is>
      </c>
      <c r="D96" s="0" t="inlineStr">
        <is>
          <t xml:space="preserve">POLICIA DE INVESTIGACIONES DE CHILE</t>
        </is>
      </c>
      <c r="E96" s="0" t="inlineStr">
        <is>
          <t xml:space="preserve">DEPARTAMENTO ADMINISTRATIVO</t>
        </is>
      </c>
      <c r="F96" s="0" t="inlineStr">
        <is>
          <t xml:space="preserve">Región Metropolitana de Santiago</t>
        </is>
      </c>
      <c r="G96" s="0" t="inlineStr">
        <is>
          <t xml:space="preserve">Santiago Centro</t>
        </is>
      </c>
      <c r="H96" s="2">
        <v>46303.658333</v>
      </c>
      <c r="I96" s="2">
        <v>46323.625</v>
      </c>
      <c r="J96" s="0">
        <v>17</v>
      </c>
      <c r="K96" s="3">
        <v>80000000.0</v>
      </c>
      <c r="L96" s="0" t="inlineStr">
        <is>
          <t xml:space="preserve">CLP</t>
        </is>
      </c>
      <c r="M96" s="0" t="inlineStr">
        <is>
          <t xml:space="preserve">LP</t>
        </is>
      </c>
      <c r="N96" s="4" t="inlineStr">
        <is>
          <t xml:space="preserve">Servicios profesionales, administrativos y consultorías de gestión empresarial / Consultorías o asesorías en gestión empresarial / Servicios de consultoría en gestión de empresas</t>
        </is>
      </c>
      <c r="O96" s="4" t="inlineStr">
        <is>
          <t xml:space="preserve">1 Unidad · Asesorías en gestión estratégica</t>
        </is>
      </c>
      <c r="P96" s="2"/>
      <c r="Q96" s="2"/>
      <c r="R96" s="0" t="inlineStr">
        <is>
          <t xml:space="preserve">12 meses</t>
        </is>
      </c>
      <c r="S96" s="0" t="inlineStr">
        <is>
          <t xml:space="preserve">No</t>
        </is>
      </c>
      <c r="T96" s="4" t="inlineStr">
        <is>
          <t xml:space="preserve">No permite subcontratacion, Art 53 de las bases</t>
        </is>
      </c>
      <c r="U96" s="0" t="inlineStr">
        <is>
          <t xml:space="preserve">CRISTOPHER SILVA GUZMAN</t>
        </is>
      </c>
      <c r="V96" s="4" t="inlineStr">
        <is>
          <t xml:space="preserve">SE REQUIERE CONTRATAR LOS SERVICIOS DE CONSULTORIA SEGUN BASES ADMINISTRATIVAS, TECNICAS Y ANEXOS ADJUNTOS.</t>
        </is>
      </c>
      <c r="W96" s="5" t="str">
        <f>HYPERLINK("https://www.mercadopublico.cl/Procurement/Modules/Attachment/ViewAttachment.aspx?enc=fXkScA4CaENK8LdO1Hv1Q9WuLLxChygNMvfEtJwanj5QB8hrlNxnvuy%2bXYIjJCC1n9jM7QBBkzNW1TaV0iN%2bmjqGSQ5ZCkdRM4PeiMK06UWuIawyg9xIU64W3ELcW%2fXaIkUDUdlKmkrgLbx%2fOCVRvKmtN%2fei8ofHyB0ulnmDN9VBbgaoFg%2fb%2fTA8pNLDJf%2f3FCO2ZHJftoLgxvl4kFwcGKsAgjbwDg1o6usVu89krdm13Sdv3%2bCU132E1G6J63cq2hcpkoz7FgZeunIAPcrQ4Mef2aRC59wH%2bYRsRJ8YdAgg3TofNrLc1VauXWw7erY3","descargar bases")</f>
      </c>
    </row>
    <row r="97">
      <c r="A97" s="0" t="inlineStr">
        <is>
          <t xml:space="preserve">622-66-LE26</t>
        </is>
      </c>
      <c r="B97" s="4" t="inlineStr">
        <is>
          <t xml:space="preserve">ADQUISICIÓN DE LICENCIAS PARA SOFTWARE DLP</t>
        </is>
      </c>
      <c r="C97" s="0" t="inlineStr">
        <is>
          <t xml:space="preserve">Publicada</t>
        </is>
      </c>
      <c r="D97" s="0" t="inlineStr">
        <is>
          <t xml:space="preserve">TESORERIA GENERAL DE LA REPUBLICA</t>
        </is>
      </c>
      <c r="E97" s="0" t="inlineStr">
        <is>
          <t xml:space="preserve">Tesorería General de la República</t>
        </is>
      </c>
      <c r="F97" s="0" t="inlineStr">
        <is>
          <t xml:space="preserve">Región Metropolitana de Santiago</t>
        </is>
      </c>
      <c r="G97" s="0" t="inlineStr">
        <is>
          <t xml:space="preserve">Santiago</t>
        </is>
      </c>
      <c r="H97" s="2">
        <v>46303.43956</v>
      </c>
      <c r="I97" s="2">
        <v>46323.625</v>
      </c>
      <c r="J97" s="0">
        <v>17</v>
      </c>
      <c r="K97" s="3">
        <v>69700000.0</v>
      </c>
      <c r="L97" s="0" t="inlineStr">
        <is>
          <t xml:space="preserve">CLP</t>
        </is>
      </c>
      <c r="M97" s="0" t="inlineStr">
        <is>
          <t xml:space="preserve">LE</t>
        </is>
      </c>
      <c r="N97" s="4" t="inlineStr">
        <is>
          <t xml:space="preserve">Tecnologías de la información, telecomunicaciones y radiodifusión / Software / Software de gestión</t>
        </is>
      </c>
      <c r="O97" s="4" t="inlineStr">
        <is>
          <t xml:space="preserve">1 Unidad · Software de gestión de licencias</t>
        </is>
      </c>
      <c r="P97" s="2"/>
      <c r="Q97" s="2"/>
      <c r="R97" s="0" t="inlineStr">
        <is>
          <t xml:space="preserve">24 meses</t>
        </is>
      </c>
      <c r="S97" s="0" t="inlineStr">
        <is>
          <t xml:space="preserve">No</t>
        </is>
      </c>
      <c r="T97" s="4" t="inlineStr">
        <is>
          <t xml:space="preserve">SUBCONTRATACIÓN.
En esta licitación pública no se permitirá la subcontratación, por lo que el oferente no podrá entregar todo o parte de la ejecución del contrato a subcontratistas, atendida la naturaleza de la contratación y la necesidad de contar con</t>
        </is>
      </c>
      <c r="U97" s="0" t="inlineStr">
        <is>
          <t xml:space="preserve">Será indicado en el contrato a suscribir.</t>
        </is>
      </c>
      <c r="V97" s="4" t="inlineStr">
        <is>
          <t xml:space="preserve">Adquisición e implementación integral de la suscripción y licenciamiento de una solución de Prevención de Pérdida de Datos en el Endpoint Endpoint Data Loss Prevention - DLP, tipo Trellix DLP Endpoint Complete o equivalente técnico, orientada a proteger la información crítica del Servicio frente a fugas accidentales o exfiltración maliciosa, para lo cual el adjudicatario contará con la información entregada en las Bases Técnicas, y respuestas a las aclaraciones, si las hubiere.</t>
        </is>
      </c>
      <c r="W97" s="5" t="str">
        <f>HYPERLINK("https://www.mercadopublico.cl/Procurement/Modules/Attachment/ViewAttachment.aspx?enc=INE5njSFzGstomb3EQzqHWqo%2fDiOluDnXPDVZ1Yv5HMBgRCJxhp8NYvPmEeNbbJi%2biQDvuC5Ssz6NU4NvLJE23xGnSP7mh16oPnqFmLvgx3csOcgsr28VraeIen4pRWglQMqPATuyKCKZvO85zWILO%2fFeP14%2bsGhTebTUpGmKbdM5evgGWe%2baVE6ulmYUxbpVPZIT5besI0%2bLDpnOVsbdITCUVczEsGozZNItxzebubi3MPBXr7LnO4Urib20d4E%2f96fdYRwEiukrfALueleX4SCrqB3f8dPGNL%2fJfOYf7eIfTWqMNd5Yse4mHlnqAGe","descargar bases")</f>
      </c>
    </row>
    <row r="98">
      <c r="A98" s="0" t="inlineStr">
        <is>
          <t xml:space="preserve">1057049-376-LP26</t>
        </is>
      </c>
      <c r="B98" s="4" t="inlineStr">
        <is>
          <t xml:space="preserve">PROV E INSTALACIÓN DE PLATAFORMAS DE SEGURIDAD PARA SHAFTS DEL HOSPITAL CLÍNICO SAN BORJA ARRIARÁN</t>
        </is>
      </c>
      <c r="C98" s="0" t="inlineStr">
        <is>
          <t xml:space="preserve">Publicada</t>
        </is>
      </c>
      <c r="D98" s="0" t="inlineStr">
        <is>
          <t xml:space="preserve">SERV SALUD METROPOLITANO CENTRAL HOSPITAL CLINICO SAN BORJA ARRIARAN</t>
        </is>
      </c>
      <c r="E98" s="0" t="inlineStr">
        <is>
          <t xml:space="preserve">Bienes y Servicios</t>
        </is>
      </c>
      <c r="F98" s="0" t="inlineStr">
        <is>
          <t xml:space="preserve">Región Metropolitana de Santiago</t>
        </is>
      </c>
      <c r="G98" s="0" t="inlineStr">
        <is>
          <t xml:space="preserve">Santiago</t>
        </is>
      </c>
      <c r="H98" s="2">
        <v>46303.592002</v>
      </c>
      <c r="I98" s="2">
        <v>46323.645833</v>
      </c>
      <c r="J98" s="0">
        <v>17</v>
      </c>
      <c r="K98" s="3"/>
      <c r="L98" s="0" t="inlineStr">
        <is>
          <t xml:space="preserve">CLP</t>
        </is>
      </c>
      <c r="M98" s="0" t="inlineStr">
        <is>
          <t xml:space="preserve">LP</t>
        </is>
      </c>
      <c r="N98" s="4" t="inlineStr">
        <is>
          <t xml:space="preserve">Maquinaria para construcción y edificación / Maquinaria pesada de construcción / Elevadores</t>
        </is>
      </c>
      <c r="O98" s="4" t="inlineStr">
        <is>
          <t xml:space="preserve">1 Global · Plataforma elevadora</t>
        </is>
      </c>
      <c r="P98" s="2"/>
      <c r="Q98" s="2"/>
      <c r="R98" s="0"/>
      <c r="S98" s="0" t="inlineStr">
        <is>
          <t xml:space="preserve">No</t>
        </is>
      </c>
      <c r="T98" s="4"/>
      <c r="U98" s="0" t="inlineStr">
        <is>
          <t xml:space="preserve">Andres Muñoz</t>
        </is>
      </c>
      <c r="V98" s="4" t="inlineStr">
        <is>
          <t xml:space="preserve">El objetivo de la Propuesta es la contratación de PROVISIÓN E INSTALACIÓN DE PLATAFORMAS DE SEGURIDAD PARA SHAFTS DEL HOSPITAL CLÍNICO SAN BORJA ARRIARÁN, solicitados en las especificaciones técnicas, en concordancia con las Bases Administrativas, Técnicas, Formularios, aclaraciones y otros documentos que pudieran formularse en el transcurso de la licitación.
Se entenderá que todo proveedor conoce y acepta irrevocablemente el contenido de las Bases de licitación, por el solo hecho de presentar ofertas en este proceso de licitación.</t>
        </is>
      </c>
      <c r="W98" s="5" t="str">
        <f>HYPERLINK("https://www.mercadopublico.cl/Procurement/Modules/Attachment/ViewAttachment.aspx?enc=DVmeyWgV3pypSr%2fpCVtpVXV455l7aX9pdtQ4EYlnVQD2MwQ2GT9pagPH7ebFb%2benDMIYazLy3gzqY3k%2bfSdl8nVNZGngkfIWPHKL%2fGvX0dbVwoNMHW%2fElnuSU6l9TZ%2b7%2bAQwvD8BzSHKLxBtpGe%2f2OnNr%2fjnauVQBk9CDDzpHwvz8dFQKhA%2bVY%2fB6DMx8z9rcsQmFCRvmVRo9lYbfpYfYOFJ%2flh5p2afVZlybK2Md4aAHXbrnTlFjxzwMHefMVSZDcXDwOYrcNdCElm7W3jmo2giA0D9Z2vSr4lku7kL8G1AQaZHgn4I9OgKGzoVpmqD","descargar bases")</f>
      </c>
    </row>
    <row r="99">
      <c r="A99" s="0" t="inlineStr">
        <is>
          <t xml:space="preserve">1005498-24-LP26</t>
        </is>
      </c>
      <c r="B99" s="4" t="inlineStr">
        <is>
          <t xml:space="preserve">SUSCRIPCIÓN DE LICENCIAS EN MODALIDAD CLOUD</t>
        </is>
      </c>
      <c r="C99" s="0" t="inlineStr">
        <is>
          <t xml:space="preserve">Publicada</t>
        </is>
      </c>
      <c r="D99" s="0" t="inlineStr">
        <is>
          <t xml:space="preserve">COMISION PARA EL MERCADO FINANCIERO</t>
        </is>
      </c>
      <c r="E99" s="0" t="inlineStr">
        <is>
          <t xml:space="preserve">COMISION PARA EL MERCADO FINANCIERO</t>
        </is>
      </c>
      <c r="F99" s="0" t="inlineStr">
        <is>
          <t xml:space="preserve">Región Metropolitana de Santiago</t>
        </is>
      </c>
      <c r="G99" s="0" t="inlineStr">
        <is>
          <t xml:space="preserve">Santiago Centro</t>
        </is>
      </c>
      <c r="H99" s="2">
        <v>46303.688009</v>
      </c>
      <c r="I99" s="2">
        <v>46323.666667</v>
      </c>
      <c r="J99" s="0">
        <v>17</v>
      </c>
      <c r="K99" s="3">
        <v>196000.0</v>
      </c>
      <c r="L99" s="0" t="inlineStr">
        <is>
          <t xml:space="preserve">USD</t>
        </is>
      </c>
      <c r="M99" s="0" t="inlineStr">
        <is>
          <t xml:space="preserve">LP</t>
        </is>
      </c>
      <c r="N99" s="4" t="inlineStr">
        <is>
          <t xml:space="preserve">Servicios basados en ingeniería, ciencias sociales y tecnología de la información / Servicios informáticos / Mantenimiento y soporte de software</t>
        </is>
      </c>
      <c r="O99" s="4" t="inlineStr">
        <is>
          <t xml:space="preserve">1 Global · Up grade de software</t>
        </is>
      </c>
      <c r="P99" s="2"/>
      <c r="Q99" s="2"/>
      <c r="R99" s="0" t="inlineStr">
        <is>
          <t xml:space="preserve">36 meses</t>
        </is>
      </c>
      <c r="S99" s="0" t="inlineStr">
        <is>
          <t xml:space="preserve">No</t>
        </is>
      </c>
      <c r="T99" s="4" t="inlineStr">
        <is>
          <t xml:space="preserve">No se permite según Art.13.2.2 de Bases de licitación</t>
        </is>
      </c>
      <c r="U99" s="0" t="inlineStr">
        <is>
          <t xml:space="preserve">CHRISTIAN METCALFE</t>
        </is>
      </c>
      <c r="V99" s="4" t="inlineStr">
        <is>
          <t xml:space="preserve">La CMF llama a presentar ofertas en la licitación pública para contratar la “Suscripción de Licencias en modalidad Cloud Computing SaaS con soporte local y mantención” para la CMF, de acuerdo con las características que se han definido en las presentes bases administrativas, bases técnicas y sus anexos.</t>
        </is>
      </c>
      <c r="W99" s="5" t="str">
        <f>HYPERLINK("https://www.mercadopublico.cl/Procurement/Modules/Attachment/ViewAttachment.aspx?enc=rJcnbYKdURC3FyuvUjiJoFPQMfLiL2AOZndazf0R%2fJzFzM6753kBPAKXnwLV%2fLP3FFeJOW1GuUYVzI6UQ%2bIjjSVzUXqKXMx380VvXX%2fR7GardKg7zlZmG6gdvUQvXXqUCQcyBuwA%2bxL4nEPXZVAVomXKeNV30WPOOavFvJcipGJckC4e33UsNoCAdT71GlW9oPxXGZKvn41EDqJK%2bAqar4tffTHAWaU5bX9ZZxxZAymWlxiVjPzRdOfWnYC%2bFvOSfQq%2bPO6avRil1byd9SSVrjk5eUxr0SHwwcg2V9htYZVzZOkcT4%2fNl7ZetHDtIurT","descargar bases")</f>
      </c>
    </row>
    <row r="100">
      <c r="A100" s="0" t="inlineStr">
        <is>
          <t xml:space="preserve">5512-18-LE26</t>
        </is>
      </c>
      <c r="B100" s="4" t="inlineStr">
        <is>
          <t xml:space="preserve">ADQUISICIÓN DE MINICOMPUTADORES PARA IA PROYECTO UTA 22991</t>
        </is>
      </c>
      <c r="C100" s="0" t="inlineStr">
        <is>
          <t xml:space="preserve">Publicada</t>
        </is>
      </c>
      <c r="D100" s="0" t="inlineStr">
        <is>
          <t xml:space="preserve">UNIVERSIDAD DE TARAPACA</t>
        </is>
      </c>
      <c r="E100" s="0" t="inlineStr">
        <is>
          <t xml:space="preserve">Convenio de Desempeño</t>
        </is>
      </c>
      <c r="F100" s="0" t="inlineStr">
        <is>
          <t xml:space="preserve">Región de Arica y Parinacota</t>
        </is>
      </c>
      <c r="G100" s="0" t="inlineStr">
        <is>
          <t xml:space="preserve">Iquique</t>
        </is>
      </c>
      <c r="H100" s="2">
        <v>46304.456655</v>
      </c>
      <c r="I100" s="2">
        <v>46323.666667</v>
      </c>
      <c r="J100" s="0">
        <v>17</v>
      </c>
      <c r="K100" s="3">
        <v>30000000.0</v>
      </c>
      <c r="L100" s="0" t="inlineStr">
        <is>
          <t xml:space="preserve">CLP</t>
        </is>
      </c>
      <c r="M100" s="0" t="inlineStr">
        <is>
          <t xml:space="preserve">LE</t>
        </is>
      </c>
      <c r="N100" s="4" t="inlineStr">
        <is>
          <t xml:space="preserve">Tecnologías de la información, telecomunicaciones y radiodifusión / Equipos informáticos y accesorios / Computadores</t>
        </is>
      </c>
      <c r="O100" s="4" t="inlineStr">
        <is>
          <t xml:space="preserve">3 Unidad · Computadores de escritorio</t>
        </is>
      </c>
      <c r="P100" s="2"/>
      <c r="Q100" s="2"/>
      <c r="R100" s="0"/>
      <c r="S100" s="0" t="inlineStr">
        <is>
          <t xml:space="preserve">No</t>
        </is>
      </c>
      <c r="T100" s="4" t="inlineStr">
        <is>
          <t xml:space="preserve">No permite subcontratación De acuerdo al Capítulo IX Contrato de suministro y servicio, párrafo 4 Cesión y subcontratación, Artículo 128. Subcontratación del reglamento de Ley Nº 19.886 sobre compras Públicas.</t>
        </is>
      </c>
      <c r="U100" s="0" t="inlineStr">
        <is>
          <t xml:space="preserve">Jefe de Proyecto, UTA 22991</t>
        </is>
      </c>
      <c r="V100" s="4" t="inlineStr">
        <is>
          <t xml:space="preserve">La Universidad de Tarapacá requiere la adquisición de tres (3) minicomputadores o nodos de cómputo especializados para Inteligencia Artificial, junto con tres (3) cables de interconexión directa tipo QSFP. A través del Proyecto UTA22991, enmarcado en el Plan de Fortalecimiento institucional 2030, según las especoficaciones técnicas descritas en el Anexo N°2. SC 2026090341.</t>
        </is>
      </c>
      <c r="W100" s="5" t="str">
        <f>HYPERLINK("https://www.mercadopublico.cl/Procurement/Modules/Attachment/ViewAttachment.aspx?enc=oVQF4Wod9VagdsGIsTywBOACZ09hAMAsD56%2fD2V%2f85Fl5g5FI%2b%2fFzx8xG4EhSfrkJWZNfQ5aqK2zo7WyygfcVBeq%2b%2b2vlLNZjG8vLA33sTEsgJm1%2bCc8ub%2fKyPDatVseqA7N9NrIcfnu2UpUKqJhW%2bj%2br2xMHOsxvF8ynfkf8Ei%2bpV8po2OoEQysj7DQfR26Dw%2fRNeE%2f9lynsyJ3pqExLeD4wqinmoUAf1YCn8TxVVllorToxwxa8Y30NPIw2PIIaqYoulAwSnyxFNMsKXApLIu3q10nBWUVUTN4IKNjyJ0kO83Ad3%2bGNec4BpMPPscD","descargar bases")</f>
      </c>
    </row>
    <row r="101">
      <c r="A101" s="0" t="inlineStr">
        <is>
          <t xml:space="preserve">1067778-4-LP26</t>
        </is>
      </c>
      <c r="B101" s="4" t="inlineStr">
        <is>
          <t xml:space="preserve">ARRIENDO CON OPCION DE COMPRA  DE SERVIDOR PARA IA</t>
        </is>
      </c>
      <c r="C101" s="0" t="inlineStr">
        <is>
          <t xml:space="preserve">Publicada</t>
        </is>
      </c>
      <c r="D101" s="0" t="inlineStr">
        <is>
          <t xml:space="preserve">FISCALIA NACIONAL ECONOMICA</t>
        </is>
      </c>
      <c r="E101" s="0" t="inlineStr">
        <is>
          <t xml:space="preserve">Tecnologías de Información</t>
        </is>
      </c>
      <c r="F101" s="0" t="inlineStr">
        <is>
          <t xml:space="preserve">Región Metropolitana de Santiago</t>
        </is>
      </c>
      <c r="G101" s="0" t="inlineStr">
        <is>
          <t xml:space="preserve">Santiago Centro</t>
        </is>
      </c>
      <c r="H101" s="2">
        <v>46302.538113</v>
      </c>
      <c r="I101" s="2">
        <v>46324.625</v>
      </c>
      <c r="J101" s="0">
        <v>18</v>
      </c>
      <c r="K101" s="3">
        <v>75203.0</v>
      </c>
      <c r="L101" s="0" t="inlineStr">
        <is>
          <t xml:space="preserve">USD</t>
        </is>
      </c>
      <c r="M101" s="0" t="inlineStr">
        <is>
          <t xml:space="preserve">LP</t>
        </is>
      </c>
      <c r="N101" s="4" t="inlineStr">
        <is>
          <t xml:space="preserve">Tecnologías de la información, telecomunicaciones y radiodifusión / Equipos informáticos y accesorios / Computadores</t>
        </is>
      </c>
      <c r="O101" s="4" t="inlineStr">
        <is>
          <t xml:space="preserve">60 Mes · Servidores</t>
        </is>
      </c>
      <c r="P101" s="2"/>
      <c r="Q101" s="2"/>
      <c r="R101" s="0" t="inlineStr">
        <is>
          <t xml:space="preserve">60 meses</t>
        </is>
      </c>
      <c r="S101" s="0" t="inlineStr">
        <is>
          <t xml:space="preserve">No</t>
        </is>
      </c>
      <c r="T101" s="4" t="inlineStr">
        <is>
          <t xml:space="preserve">No permite subcontratación. En razón de la naturaleza del servicio que se contrata. Durante la ejecución del contrato, el adjudicatario no podrá subcontratar todo o parte de sus obligaciones. La FNE contratará directamente con la empresa que preste el s</t>
        </is>
      </c>
      <c r="U101" s="0" t="inlineStr">
        <is>
          <t xml:space="preserve">Cristian Mella Cisterna</t>
        </is>
      </c>
      <c r="V101" s="4" t="inlineStr">
        <is>
          <t xml:space="preserve">Contar con una infraestructura tecnológica robusta, segura y escalable que permita alojar y soportar los desarrollos tecnológicos actuales y futuros de la Fiscalía Nacional Económica.</t>
        </is>
      </c>
      <c r="W101" s="5" t="str">
        <f>HYPERLINK("https://www.mercadopublico.cl/Procurement/Modules/Attachment/ViewAttachment.aspx?enc=pLV8yHHnGrbPgBlGryL0nqpbGvK9YQvGVk9mJlS%2faZgIO1T0fPPWJ5aD3cInEWXgutvIfnFcFWP9YdnnUJ9fXwz%2bNZsa69uIrZ5MdfpZ1ie8oPrp59VL%2bRJF3jSJ%2fOP%2flvSKG%2bG46Z%2bwi6XQ9SoA923cyGbac31fPu7WkPeZJ64trZcutNuFbmPjTqjqgkfkqvcXKw9o3U5a52z%2bNpygfHkhSIRrIbyg09VIjJ3vp1go8dwanGDn36qcpq%2fSseKtZhljpYFL07GSATRxoYt0dR9xZbvcC93HbvEPk0D84JwoYKarBAB0GqbKe3aa0iod","descargar bases")</f>
      </c>
    </row>
    <row r="102">
      <c r="A102" s="0" t="inlineStr">
        <is>
          <t xml:space="preserve">2656-77-LP26</t>
        </is>
      </c>
      <c r="B102" s="4" t="inlineStr">
        <is>
          <t xml:space="preserve">ARRIENDO SISTEMAS MUNICIPALES Y CLOUD COMPUTING</t>
        </is>
      </c>
      <c r="C102" s="0" t="inlineStr">
        <is>
          <t xml:space="preserve">Publicada</t>
        </is>
      </c>
      <c r="D102" s="0" t="inlineStr">
        <is>
          <t xml:space="preserve">I MUNICIPALIDAD DE TOME</t>
        </is>
      </c>
      <c r="E102" s="0" t="inlineStr">
        <is>
          <t xml:space="preserve">Dirección de Administración y Finanzas</t>
        </is>
      </c>
      <c r="F102" s="0" t="inlineStr">
        <is>
          <t xml:space="preserve">Región del Biobío </t>
        </is>
      </c>
      <c r="G102" s="0" t="inlineStr">
        <is>
          <t xml:space="preserve">Tomé</t>
        </is>
      </c>
      <c r="H102" s="2">
        <v>46304.85662</v>
      </c>
      <c r="I102" s="2">
        <v>46324.625694</v>
      </c>
      <c r="J102" s="0">
        <v>18</v>
      </c>
      <c r="K102" s="3">
        <v>3907.0</v>
      </c>
      <c r="L102" s="0" t="inlineStr">
        <is>
          <t xml:space="preserve">CLF</t>
        </is>
      </c>
      <c r="M102" s="0" t="inlineStr">
        <is>
          <t xml:space="preserve">LP</t>
        </is>
      </c>
      <c r="N102" s="4" t="inlineStr">
        <is>
          <t xml:space="preserve">Tecnologías de la información, telecomunicaciones y radiodifusión / Software / Software de entorno operativo</t>
        </is>
      </c>
      <c r="O102" s="4" t="inlineStr">
        <is>
          <t xml:space="preserve">1 Pack · Software de sistema de archivos</t>
        </is>
      </c>
      <c r="P102" s="2"/>
      <c r="Q102" s="2"/>
      <c r="R102" s="0"/>
      <c r="S102" s="0" t="inlineStr">
        <is>
          <t xml:space="preserve">No</t>
        </is>
      </c>
      <c r="T102" s="4"/>
      <c r="U102" s="0" t="inlineStr">
        <is>
          <t xml:space="preserve">patricio parra</t>
        </is>
      </c>
      <c r="V102" s="4" t="inlineStr">
        <is>
          <t xml:space="preserve">La Ilustre Municipalidad de Tomé requiere contratar servicios de Cloud Computing y arriendo de sistemas computacionales de aplicación municipal, destinados a garantizar la continuidad operativa y eficiencia de la gestión municipal, incluyendo implementación, configuración, migración de datos, integración, capacitación, soporte técnico y mantención, conforme a las bases y especificaciones técnicas.</t>
        </is>
      </c>
      <c r="W102" s="5" t="str">
        <f>HYPERLINK("https://www.mercadopublico.cl/Procurement/Modules/Attachment/ViewAttachment.aspx?enc=Khq0FBWMfIPZ1XjRbmTagkBaFUkNVgMuuvjTML8yp44txmosaK7p1%2fEDFGPG4z03WFhEohBp7ANGo1qnnWrz0OMxRV1IZMABb9UzXO2%2fTHVohvmrF9XnnqQ5sy%2bh1bbR6eHNi19qi6uEA35oJRkKbbvqhbdrmCsBIbzK2AwLpNXzHc%2bcEjBnANZcbZBW4MqWfkHTEbErRF09IQ995BYlPmpIpTBd1tYQ1GjUolI6PaHusQrq6fpvNunGU1VcBU2Pt7nwx%2f0lDl4uQbiRqpDZFdCEQAwCoc3mMTkxWm5FMd%2fMj5zZDMSXj9t%2f5Jj8Z5K6","descargar bases")</f>
      </c>
    </row>
    <row r="103">
      <c r="A103" s="0" t="inlineStr">
        <is>
          <t xml:space="preserve">976-18-O126</t>
        </is>
      </c>
      <c r="B103" s="4" t="inlineStr">
        <is>
          <t xml:space="preserve">ATIF Ampliación Plataformas Comercial y General Ad. El Loa</t>
        </is>
      </c>
      <c r="C103" s="0" t="inlineStr">
        <is>
          <t xml:space="preserve">Publicada</t>
        </is>
      </c>
      <c r="D103" s="0" t="inlineStr">
        <is>
          <t xml:space="preserve">MINISTERIO DE OBRAS PUBLICAS DIREC CION GRAL DE OO PP DCYF</t>
        </is>
      </c>
      <c r="E103" s="0" t="inlineStr">
        <is>
          <t xml:space="preserve">Dirección de Aeropuertos - MOPTT</t>
        </is>
      </c>
      <c r="F103" s="0" t="inlineStr">
        <is>
          <t xml:space="preserve">Región de Antofagasta </t>
        </is>
      </c>
      <c r="G103" s="0" t="inlineStr">
        <is>
          <t xml:space="preserve">Santiago</t>
        </is>
      </c>
      <c r="H103" s="2">
        <v>46290.38125</v>
      </c>
      <c r="I103" s="2">
        <v>46325.375</v>
      </c>
      <c r="J103" s="0">
        <v>19</v>
      </c>
      <c r="K103" s="3"/>
      <c r="L103" s="0" t="inlineStr">
        <is>
          <t xml:space="preserve">CLP</t>
        </is>
      </c>
      <c r="M103" s="0" t="inlineStr">
        <is>
          <t xml:space="preserve">O1</t>
        </is>
      </c>
      <c r="N103" s="4" t="inlineStr">
        <is>
          <t xml:space="preserve">Consultoria / Consultoria / Planificación y Factibilidad</t>
        </is>
      </c>
      <c r="O103" s="4" t="inlineStr">
        <is>
          <t xml:space="preserve">1 Unidad · Licitación Pública de Consultoria</t>
        </is>
      </c>
      <c r="P103" s="2"/>
      <c r="Q103" s="2"/>
      <c r="R103" s="0"/>
      <c r="S103" s="0" t="inlineStr">
        <is>
          <t xml:space="preserve">No</t>
        </is>
      </c>
      <c r="T103" s="4"/>
      <c r="U103" s="0"/>
      <c r="V103" s="4" t="inlineStr">
        <is>
          <t xml:space="preserve">ESTA DIRECCIÓN NECESITA CONTRATAR ASESORÍA TECNICA DE INSPECCIÓN FISCAL PARA EL CONTRATO DE OBRA AMPLICACION PLATAFORMAS COMERCIAL Y GENERAL AERÓDROMO EL LOA</t>
        </is>
      </c>
      <c r="W103" s="5" t="str">
        <f>HYPERLINK("https://www.mercadopublico.cl/Procurement/Modules/Attachment/ViewAttachment.aspx?enc=cLVhMCSkSTUqABMhWvmMRjbr%2bxgSZDAr%2bIZ96%2fSwx8TshpsoKQQtbfgbhQPigPLxjy8Y3RTiE7NiBFXZlhPolb9NDgKkqAjkQ6uHsa2U%2b1c6D1%2f1iSwPzOL5Ms9KfRIUfBHfrO5hX6%2brCKdwozGiHatt9UU9ALV7OgIBVMfFAJfce3Bu78Gx%2brmMGoQqfxk3gw5WctAbias8JlsF1cQ%2f63kPpkhdM6fZeZimnTJzxf2MtZOmdkyq4Fw431s1x7IB1PicGuYcqC4YdlnY%2fLm528f5nZBWdBNfKnwac8SN9XQZ4JDwSz018hrbHNex9boJ","descargar bases")</f>
      </c>
    </row>
    <row r="104">
      <c r="A104" s="0" t="inlineStr">
        <is>
          <t xml:space="preserve">2490-91-LP26</t>
        </is>
      </c>
      <c r="B104" s="4" t="inlineStr">
        <is>
          <t xml:space="preserve">ARRIENDO SOPORTE Y MANTENCIÓN DE GABINETES PSICOSENSOMÉTRICOS Y EQUIPOS COMPUTACIONALES CON SOFTWARE SPI INTEGRADO 2027-2031</t>
        </is>
      </c>
      <c r="C104" s="0" t="inlineStr">
        <is>
          <t xml:space="preserve">Publicada</t>
        </is>
      </c>
      <c r="D104" s="0" t="inlineStr">
        <is>
          <t xml:space="preserve">I MUNICIPALIDAD DE PROVIDENCIA</t>
        </is>
      </c>
      <c r="E104" s="0" t="inlineStr">
        <is>
          <t xml:space="preserve">Dirección de Secpla</t>
        </is>
      </c>
      <c r="F104" s="0" t="inlineStr">
        <is>
          <t xml:space="preserve">Región Metropolitana de Santiago</t>
        </is>
      </c>
      <c r="G104" s="0" t="inlineStr">
        <is>
          <t xml:space="preserve">Providencia</t>
        </is>
      </c>
      <c r="H104" s="2">
        <v>46296.700741</v>
      </c>
      <c r="I104" s="2">
        <v>46325.541667</v>
      </c>
      <c r="J104" s="0">
        <v>19</v>
      </c>
      <c r="K104" s="3">
        <v>190000000.0</v>
      </c>
      <c r="L104" s="0" t="inlineStr">
        <is>
          <t xml:space="preserve">CLP</t>
        </is>
      </c>
      <c r="M104" s="0" t="inlineStr">
        <is>
          <t xml:space="preserve">LP</t>
        </is>
      </c>
      <c r="N104" s="4" t="inlineStr">
        <is>
          <t xml:space="preserve">Equipos y suministros de defensa, orden público, protección y seguridad / Seguridad y control público / Control de tráfico</t>
        </is>
      </c>
      <c r="O104" s="4" t="inlineStr">
        <is>
          <t xml:space="preserve">1 Global · Señales de tránsito</t>
        </is>
      </c>
      <c r="P104" s="2"/>
      <c r="Q104" s="2"/>
      <c r="R104" s="0" t="inlineStr">
        <is>
          <t xml:space="preserve">48 meses</t>
        </is>
      </c>
      <c r="S104" s="0" t="inlineStr">
        <is>
          <t xml:space="preserve">No</t>
        </is>
      </c>
      <c r="T104" s="4"/>
      <c r="U104" s="0" t="inlineStr">
        <is>
          <t xml:space="preserve">Luis Barrientos Echavarría</t>
        </is>
      </c>
      <c r="V104"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104" s="5" t="str">
        <f>HYPERLINK("https://www.mercadopublico.cl/Procurement/Modules/Attachment/ViewAttachment.aspx?enc=7X4g%2fjQrQgV%2fn9bOBDajidIzSAYRLfIBccyLBbwhjKpHTWfvEK0wawH9ZJL%2fXSuKTnHbeiOzGHaExTrkpEI6GD3TASVR3qTaoHI%2blWm8D8KQwp2jQtQilVpC3fd8CgYmaViI2GaRr%2bmy6a9LngEnwE8n83%2bTlnOSaPG6bZj97gkPsISnKdB%2f4iJgd3Tk5wyeZn8d7%2bePMaNNY11auF3obd6r34yqScQHPMNBZHka%2bqJAUSKti4azM6T1ZvshuJwlowHZ3zKb5%2fU50GSO3ifDx%2bv4D4DkFf%2fbAG6J1s2IjfPvJ3sggswrLnqW5WPCMJfu","descargar bases")</f>
      </c>
    </row>
    <row r="105">
      <c r="A105" s="0" t="inlineStr">
        <is>
          <t xml:space="preserve">2982-48-LE26</t>
        </is>
      </c>
      <c r="B105" s="4" t="inlineStr">
        <is>
          <t xml:space="preserve">SERVICIO DE RENOVACIÓN Y ADQUISICIÓN DE LICENCIAS SOFTWARE DETEP - JENAED</t>
        </is>
      </c>
      <c r="C105" s="0" t="inlineStr">
        <is>
          <t xml:space="preserve">Publicada</t>
        </is>
      </c>
      <c r="D105" s="0" t="inlineStr">
        <is>
          <t xml:space="preserve">POLICIA DE INVESTIGACIONES DE CHILE</t>
        </is>
      </c>
      <c r="E105" s="0" t="inlineStr">
        <is>
          <t xml:space="preserve">JEFATURA NACIONAL DE EDUCACIÓN Y DOCTRINA (JENAED)</t>
        </is>
      </c>
      <c r="F105" s="0" t="inlineStr">
        <is>
          <t xml:space="preserve">Región Metropolitana de Santiago</t>
        </is>
      </c>
      <c r="G105" s="0" t="inlineStr">
        <is>
          <t xml:space="preserve">Estación Central</t>
        </is>
      </c>
      <c r="H105" s="2">
        <v>46303.729861</v>
      </c>
      <c r="I105" s="2">
        <v>46325.625</v>
      </c>
      <c r="J105" s="0">
        <v>19</v>
      </c>
      <c r="K105" s="3">
        <v>18063000.0</v>
      </c>
      <c r="L105" s="0" t="inlineStr">
        <is>
          <t xml:space="preserve">CLP</t>
        </is>
      </c>
      <c r="M105" s="0" t="inlineStr">
        <is>
          <t xml:space="preserve">LE</t>
        </is>
      </c>
      <c r="N105" s="4" t="inlineStr">
        <is>
          <t xml:space="preserve">Tecnologías de la información, telecomunicaciones y radiodifusión / Software / Software de gestión</t>
        </is>
      </c>
      <c r="O105" s="4" t="inlineStr">
        <is>
          <t xml:space="preserve">1 Kit · Software de gestión de licencias</t>
        </is>
      </c>
      <c r="P105" s="2"/>
      <c r="Q105" s="2"/>
      <c r="R105" s="0"/>
      <c r="S105" s="0" t="inlineStr">
        <is>
          <t xml:space="preserve">No</t>
        </is>
      </c>
      <c r="T105" s="4" t="inlineStr">
        <is>
          <t xml:space="preserve">Subcontratación permitida solo en servicios accesorios y despacho.</t>
        </is>
      </c>
      <c r="U105" s="0" t="inlineStr">
        <is>
          <t xml:space="preserve">LUIS ROJAS CASTRO</t>
        </is>
      </c>
      <c r="V105" s="4" t="inlineStr">
        <is>
          <t xml:space="preserve">Contar con las últimas actualizaciones de software, permitiendo cumplir con la alta demanda de requerimientos de capacitaciones y cursos en formato online que se llevan a cabo en término de desarrollo de aplicativos, como también permitiendo la administración y mantención proactiva de los distintos sistemas, bases de datos y plataforma de educación a distancia.</t>
        </is>
      </c>
      <c r="W105" s="5" t="str">
        <f>HYPERLINK("https://www.mercadopublico.cl/Procurement/Modules/Attachment/ViewAttachment.aspx?enc=ACr4NEhrHLrvXseS%2fUddyCXcaU5pK84kFA%2bG4MnCno4qL2cKXVsO73QyWie4mKbbBcc8XVuv7YXU31W91AR%2bzbtONKj42aA0CYkh%2fzDEUBy%2bXoccNqSFLQDqCyjGl6TmFW9HaJ2ECGAdMkfN%2b9JZapMQYOJwnKR7cbcWsohdJgk6zIpf98qU4riHfCHYN06Ymgx3jPFLTW8WraUNibhNrAjsj3H5BkTsUk3nHriFgr4Yw4MaDlXf1ZRk8qs6gCWYtI3mQAjqyVe%2fgZz%2fwDOjKqdcdISXdiEfqxF7JQejxGLwdluDSS0R3A231Gc2LY8e","descargar bases")</f>
      </c>
    </row>
    <row r="106">
      <c r="A106" s="0" t="inlineStr">
        <is>
          <t xml:space="preserve">5441-12-LP26</t>
        </is>
      </c>
      <c r="B106" s="4" t="inlineStr">
        <is>
          <t xml:space="preserve">Generador 500 kVA y Tablero de Transf. Autom. 800A</t>
        </is>
      </c>
      <c r="C106" s="0" t="inlineStr">
        <is>
          <t xml:space="preserve">Publicada</t>
        </is>
      </c>
      <c r="D106" s="0" t="inlineStr">
        <is>
          <t xml:space="preserve">UNIVERSIDAD DE CHILE</t>
        </is>
      </c>
      <c r="E106" s="0" t="inlineStr">
        <is>
          <t xml:space="preserve">UCHILE Facultad Cs.Veterinarias</t>
        </is>
      </c>
      <c r="F106" s="0" t="inlineStr">
        <is>
          <t xml:space="preserve">Región Metropolitana de Santiago</t>
        </is>
      </c>
      <c r="G106" s="0" t="inlineStr">
        <is>
          <t xml:space="preserve">La Pintana</t>
        </is>
      </c>
      <c r="H106" s="2">
        <v>46302.464919</v>
      </c>
      <c r="I106" s="2">
        <v>46328.625694</v>
      </c>
      <c r="J106" s="0">
        <v>22</v>
      </c>
      <c r="K106" s="3"/>
      <c r="L106" s="0" t="inlineStr">
        <is>
          <t xml:space="preserve">CLP</t>
        </is>
      </c>
      <c r="M106" s="0" t="inlineStr">
        <is>
          <t xml:space="preserve">LP</t>
        </is>
      </c>
      <c r="N106" s="4" t="inlineStr">
        <is>
          <t xml:space="preserve">Maquinaria para generación y distribución de energía / Generación de energía / Equipo para control de producción de energía, Maquinaria para generación y distribución de energía / Transmisión de energía eléctrica, mecánica y cinética / Grupos electrógenos</t>
        </is>
      </c>
      <c r="O106" s="4" t="inlineStr">
        <is>
          <t xml:space="preserve">1 Unidad · Generadores diesel · 1 Unidad · Paneles de control eléctrico para generadores</t>
        </is>
      </c>
      <c r="P106" s="2"/>
      <c r="Q106" s="2"/>
      <c r="R106" s="0"/>
      <c r="S106" s="0" t="inlineStr">
        <is>
          <t xml:space="preserve">No</t>
        </is>
      </c>
      <c r="T106" s="4"/>
      <c r="U106" s="0" t="inlineStr">
        <is>
          <t xml:space="preserve">Carlos Miranda</t>
        </is>
      </c>
      <c r="V106" s="4" t="inlineStr">
        <is>
          <t xml:space="preserve">Se requiere la adquisición de un generador de 500 kVA y un Tablero de Transferencia Automática de 800A, para ser instalado en la subestación N°1 de la FAVET, el que cubrirá todos los recintos que conectan de ella, con el fin de respaldar la energía de los equipos que se encuentran ubicados en el Hospital de Animales Pequeños, Cirugía Pequeños, Laboratorios, Canil, UMAs, entre otros.</t>
        </is>
      </c>
      <c r="W106" s="5" t="str">
        <f>HYPERLINK("https://www.mercadopublico.cl/Procurement/Modules/Attachment/ViewAttachment.aspx?enc=gYqNVOF5ALeh3BtFRHe45esYfd0buoeSmzwEVw4bXLOZv9nlZtPTW0OnRLtflB0kyLw8aWtKmVnlEfGgnyKNBYF73H07JjnnVivAMj7j5zjLEZ%2f5q6O9A9mJU8inJfIitV25tSaArX4UcLkVRdQxlzXQY1f%2fwB9xyaon8XeyhPK5n%2bkaneLyvwZD%2bhk%2bJUY3PULH%2bnAdFwXXMuskDGtJUvbfOHzkVvjo6%2fVZkaAtk6QDx7gvr%2bUkJ1zG%2fRujNZbkMv2Tx%2bP1zgNt54QUfPuU2NnMfEhlbOYX1Qjc1EMdf0aK7wqBSVdS2NgF1b0iJ5tn","descargar bases")</f>
      </c>
    </row>
    <row r="107">
      <c r="A107" s="0" t="inlineStr">
        <is>
          <t xml:space="preserve">587-47-LE26</t>
        </is>
      </c>
      <c r="B107" s="4" t="inlineStr">
        <is>
          <t xml:space="preserve">RENOVACIÓN DE LICENCIAS DE SOFTWARE</t>
        </is>
      </c>
      <c r="C107" s="0" t="inlineStr">
        <is>
          <t xml:space="preserve">Publicada</t>
        </is>
      </c>
      <c r="D107" s="0" t="inlineStr">
        <is>
          <t xml:space="preserve">SUBSECRETARIA DEL MINISTERIO DE LA VIVIENDA Y URBANISMO</t>
        </is>
      </c>
      <c r="E107" s="0" t="inlineStr">
        <is>
          <t xml:space="preserve">Ministerio de Vivienda y Urbanismo(766)</t>
        </is>
      </c>
      <c r="F107" s="0" t="inlineStr">
        <is>
          <t xml:space="preserve">Región Metropolitana de Santiago</t>
        </is>
      </c>
      <c r="G107" s="0"/>
      <c r="H107" s="2">
        <v>46302.47669</v>
      </c>
      <c r="I107" s="2">
        <v>46328.631944</v>
      </c>
      <c r="J107" s="0">
        <v>22</v>
      </c>
      <c r="K107" s="3">
        <v>52000.0</v>
      </c>
      <c r="L107" s="0" t="inlineStr">
        <is>
          <t xml:space="preserve">USD</t>
        </is>
      </c>
      <c r="M107" s="0" t="inlineStr">
        <is>
          <t xml:space="preserve">LE</t>
        </is>
      </c>
      <c r="N107" s="4" t="inlineStr">
        <is>
          <t xml:space="preserve">Tecnologías de la información, telecomunicaciones y radiodifusión / Software / Software de gestión</t>
        </is>
      </c>
      <c r="O107" s="4" t="inlineStr">
        <is>
          <t xml:space="preserve">12 Unidad · Software de gestión de licencias</t>
        </is>
      </c>
      <c r="P107" s="2"/>
      <c r="Q107" s="2"/>
      <c r="R107" s="0" t="inlineStr">
        <is>
          <t xml:space="preserve">12 meses</t>
        </is>
      </c>
      <c r="S107" s="0" t="inlineStr">
        <is>
          <t xml:space="preserve">No</t>
        </is>
      </c>
      <c r="T107" s="4" t="inlineStr">
        <is>
          <t xml:space="preserve">NO PERMITE SUBCONTRATACIÓN VER PUNTO 1.13.5.7. “SUBCONTRATACIÓN” DE LAS BASES ADMINISTRATIVAS.</t>
        </is>
      </c>
      <c r="U107" s="0" t="inlineStr">
        <is>
          <t xml:space="preserve">Adrian Muñoz Brevis</t>
        </is>
      </c>
      <c r="V107" s="4" t="inlineStr">
        <is>
          <t xml:space="preserve">Renovar licencias de software por el período comprendido entre el 31 de diciembre 2026 al 30 de diciembre del 2027, de cinco 05 Licencias de Software FORTINET o equivalentes, por un período de doce 12 meses, divididos de la siguiente manera: dos 02 Firewalls FORTINET WAF400E, dos 02 Firewalls FORTINET 600E y un 01 Firewall FORTINET FortiAnalyzer 1000F”.</t>
        </is>
      </c>
      <c r="W107" s="5" t="str">
        <f>HYPERLINK("https://www.mercadopublico.cl/Procurement/Modules/Attachment/ViewAttachment.aspx?enc=J08URmxw8kj1pLIBPSsVHuO%2biPBazrfXqWWuhZH4NZpCyFLK6e%2fBebQuPEoAwRNbXQVecCSy7UuVKYqItd0nRKQZziC6QMrAnS6Og8n1gUWqO%2fxIdfOaSqBYx7w6VNVhXnegT18QirYw8XPlio1fsb4bDK%2bnerE5LCBdHihcymVRYwqWda2spneJFlrlEtQenVQDsZr%2b9PWyQa%2b27OJQ5UGnvFFZzXWaM6lOjlzHtp19A9xQg4rwl%2bvrSDzVMgNQxHmLfzPT1JLSJfJnwj4VrVSAPbXA8XS%2b2Bu8aYC%2fjV4BetrxEOTmZRHtFyGLz6mT","descargar bases")</f>
      </c>
    </row>
    <row r="108">
      <c r="A108" s="0" t="inlineStr">
        <is>
          <t xml:space="preserve">2735-149-LR26</t>
        </is>
      </c>
      <c r="B108" s="4" t="inlineStr">
        <is>
          <t xml:space="preserve">Servicio de Software de Gestión y Registro Clinico</t>
        </is>
      </c>
      <c r="C108" s="0" t="inlineStr">
        <is>
          <t xml:space="preserve">Publicada</t>
        </is>
      </c>
      <c r="D108" s="0" t="inlineStr">
        <is>
          <t xml:space="preserve">I MUNICIPALIDAD LO BARNECHEA</t>
        </is>
      </c>
      <c r="E108" s="0" t="inlineStr">
        <is>
          <t xml:space="preserve">Municipalidad de lo Barnechea - Adquisiciones - Consistorial</t>
        </is>
      </c>
      <c r="F108" s="0" t="inlineStr">
        <is>
          <t xml:space="preserve">Región Metropolitana de Santiago</t>
        </is>
      </c>
      <c r="G108" s="0" t="inlineStr">
        <is>
          <t xml:space="preserve">Lo Barnechea</t>
        </is>
      </c>
      <c r="H108" s="2">
        <v>46296.503356</v>
      </c>
      <c r="I108" s="2">
        <v>46328.645833</v>
      </c>
      <c r="J108" s="0">
        <v>22</v>
      </c>
      <c r="K108" s="3"/>
      <c r="L108" s="0" t="inlineStr">
        <is>
          <t xml:space="preserve">CLF</t>
        </is>
      </c>
      <c r="M108" s="0" t="inlineStr">
        <is>
          <t xml:space="preserve">LR</t>
        </is>
      </c>
      <c r="N108" s="4" t="inlineStr">
        <is>
          <t xml:space="preserve">Tecnologías de la información, telecomunicaciones y radiodifusión / Software / Software específico para la industria</t>
        </is>
      </c>
      <c r="O108" s="4" t="inlineStr">
        <is>
          <t xml:space="preserve">1 Unidad · Software médico</t>
        </is>
      </c>
      <c r="P108" s="2"/>
      <c r="Q108" s="2"/>
      <c r="R108" s="0" t="inlineStr">
        <is>
          <t xml:space="preserve">63 meses</t>
        </is>
      </c>
      <c r="S108" s="0" t="inlineStr">
        <is>
          <t xml:space="preserve">No</t>
        </is>
      </c>
      <c r="T108" s="4" t="inlineStr">
        <is>
          <t xml:space="preserve">Conforme a lo establecido en el numeral 16.6 de las bases administrativas</t>
        </is>
      </c>
      <c r="U108" s="0" t="inlineStr">
        <is>
          <t xml:space="preserve">Angelica Parra</t>
        </is>
      </c>
      <c r="V108"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108" s="5" t="str">
        <f>HYPERLINK("https://www.mercadopublico.cl/Procurement/Modules/Attachment/ViewAttachment.aspx?enc=jNwDvNGOZvvI6xwvzLMNzhdp1vbFWtBCbJ97yNoMkHu1nrX2%2f%2bnFCdxUkoU0Hj%2fjMcryreZ0X4f5fEzjrQOr21HVyp8bzMzR6onUCyY95lVk0fkm6x%2ftq2VqC1%2bKojyHUu%2fQApjHnAUt9ZdJHF9WZykDp7w4qX0OkIcvsvr4PQttly59VRU5wyN4wmBcnlVfl817ZwrixDDNhaXpNK8c5PZQpVSEtf7wzPW9ILRoxshhdvWHWZVk9ao1Bqg%2b4V6dWgIZrqlwcTrdaK8aidm9B4iy1jnsuFj2ao24eJjtpAPzt6sHa0%2fi%2ftJsxvTjbFim","descargar bases")</f>
      </c>
    </row>
    <row r="109">
      <c r="A109" s="0" t="inlineStr">
        <is>
          <t xml:space="preserve">519302-9-LE26</t>
        </is>
      </c>
      <c r="B109" s="4" t="inlineStr">
        <is>
          <t xml:space="preserve">DISEÑO IMPLEMENTACIÓN MEDICION MARKETING DIGITAL</t>
        </is>
      </c>
      <c r="C109" s="0" t="inlineStr">
        <is>
          <t xml:space="preserve">Publicada</t>
        </is>
      </c>
      <c r="D109" s="0" t="inlineStr">
        <is>
          <t xml:space="preserve">INSTITUTO NACIONAL DE PROPIEDAD INDUSTRIAL</t>
        </is>
      </c>
      <c r="E109" s="0" t="inlineStr">
        <is>
          <t xml:space="preserve">Servicios Generales</t>
        </is>
      </c>
      <c r="F109" s="0" t="inlineStr">
        <is>
          <t xml:space="preserve">Región Metropolitana de Santiago</t>
        </is>
      </c>
      <c r="G109" s="0" t="inlineStr">
        <is>
          <t xml:space="preserve">Santiago</t>
        </is>
      </c>
      <c r="H109" s="2">
        <v>46304.665139</v>
      </c>
      <c r="I109" s="2">
        <v>46328.666667</v>
      </c>
      <c r="J109" s="0">
        <v>22</v>
      </c>
      <c r="K109" s="3"/>
      <c r="L109" s="0" t="inlineStr">
        <is>
          <t xml:space="preserve">CLP</t>
        </is>
      </c>
      <c r="M109" s="0" t="inlineStr">
        <is>
          <t xml:space="preserve">LE</t>
        </is>
      </c>
      <c r="N109" s="4" t="inlineStr">
        <is>
          <t xml:space="preserve">Servicios profesionales, administrativos y consultorías de gestión empresarial / Servicios para la comercialización y distribución / Ventas y marketing</t>
        </is>
      </c>
      <c r="O109" s="4" t="inlineStr">
        <is>
          <t xml:space="preserve">1 Unidad · Campañas publicitarias o de marketing</t>
        </is>
      </c>
      <c r="P109" s="2"/>
      <c r="Q109" s="2"/>
      <c r="R109" s="0" t="inlineStr">
        <is>
          <t xml:space="preserve">3 meses</t>
        </is>
      </c>
      <c r="S109" s="0" t="inlineStr">
        <is>
          <t xml:space="preserve">No</t>
        </is>
      </c>
      <c r="T109" s="4"/>
      <c r="U109" s="0" t="inlineStr">
        <is>
          <t xml:space="preserve">Francisco Carrasco Ramírez</t>
        </is>
      </c>
      <c r="V109" s="4" t="inlineStr">
        <is>
          <t xml:space="preserve">El Instituto Nacional de Propiedad Industrial, requiere contratar el “DISEÑO, PLANIFICACIÓN, IMPLEMENTACIÓN, ADMINISTRACIÓN, OPTIMIZACIÓN Y MEDICIÓN DE CAMPAÑAS DE MARKETING DIGITAL PARA LA DIFUSIÓN DE ACTIVIDADES, CONTENIDOS Y HERRAMIENTAS ONLINE”.</t>
        </is>
      </c>
      <c r="W109" s="5" t="str">
        <f>HYPERLINK("https://www.mercadopublico.cl/Procurement/Modules/Attachment/ViewAttachment.aspx?enc=4nfDA%2b4Ick1VCKCCWG4kjKTlkTYrcHOvn5%2f9gdU%2beagoEbyi9w%2fVzn%2fsrySrCoxywOb5Kmp4hFfiX8lWMcXrxsSVG66qQ%2frCQJH4B%2fkYGezEkZkoPMaxYEysmwkth2rH8elfMD9WyV4XYMw4e8czbyRpf0HQ7JTnukvSfEZa11FT3TZZchlR9fv4Da2eXYyxDQfiTm5JsdfTvXU8ryXzLZzJA8DgqOx%2bg5jNMFiB%2bb5QdRUbd%2fwh4SBMtualB%2bMS6qh0LtNbERcusbC7f6hdkMvNqQMlLIId9Cv%2fSeULXYbG8PKvrWSWQQtVPYFpW6re","descargar bases")</f>
      </c>
    </row>
    <row r="110">
      <c r="A110" s="0" t="inlineStr">
        <is>
          <t xml:space="preserve">621-909-LR26</t>
        </is>
      </c>
      <c r="B110" s="4" t="inlineStr">
        <is>
          <t xml:space="preserve">TERMOGRAFO DIGITAL MONITOREO TEMPERATURA 1000023277</t>
        </is>
      </c>
      <c r="C110" s="0" t="inlineStr">
        <is>
          <t xml:space="preserve">Publicada</t>
        </is>
      </c>
      <c r="D110" s="0" t="inlineStr">
        <is>
          <t xml:space="preserve">CENTRAL DE ABASTECIMIENTO DEL SISTEMA NACIONAL DE SERVICIO DE SALUD</t>
        </is>
      </c>
      <c r="E110" s="0" t="inlineStr">
        <is>
          <t xml:space="preserve">Compras del Giro 621</t>
        </is>
      </c>
      <c r="F110" s="0" t="inlineStr">
        <is>
          <t xml:space="preserve">Región Metropolitana de Santiago</t>
        </is>
      </c>
      <c r="G110" s="0" t="inlineStr">
        <is>
          <t xml:space="preserve">Santiago Centro</t>
        </is>
      </c>
      <c r="H110" s="2">
        <v>46297.536181</v>
      </c>
      <c r="I110" s="2">
        <v>46328.666667</v>
      </c>
      <c r="J110" s="0">
        <v>22</v>
      </c>
      <c r="K110" s="3">
        <v>533715000.0</v>
      </c>
      <c r="L110" s="0" t="inlineStr">
        <is>
          <t xml:space="preserve">CLP</t>
        </is>
      </c>
      <c r="M110" s="0" t="inlineStr">
        <is>
          <t xml:space="preserve">LR</t>
        </is>
      </c>
      <c r="N110" s="4" t="inlineStr">
        <is>
          <t xml:space="preserve">Equipamiento para laboratorios / Instrumentos de medida y experimentación / Instrumentos para medir temperatura y calor</t>
        </is>
      </c>
      <c r="O110" s="4" t="inlineStr">
        <is>
          <t xml:space="preserve">3000 Unidad · Termómetros de tele indicación</t>
        </is>
      </c>
      <c r="P110" s="2"/>
      <c r="Q110" s="2"/>
      <c r="R110" s="0" t="inlineStr">
        <is>
          <t xml:space="preserve">14 meses</t>
        </is>
      </c>
      <c r="S110" s="0" t="inlineStr">
        <is>
          <t xml:space="preserve">No</t>
        </is>
      </c>
      <c r="T110" s="4"/>
      <c r="U110" s="0" t="inlineStr">
        <is>
          <t xml:space="preserve">Gisela Teresa Castro Gomez</t>
        </is>
      </c>
      <c r="V110"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110" s="5" t="str">
        <f>HYPERLINK("https://www.mercadopublico.cl/Procurement/Modules/Attachment/ViewAttachment.aspx?enc=%2f19UWxxKOwkmLc1GrWtY7kwibAvu9FagOrka8o%2fpkQOoNrZ8hCYWU2gooNdUXytqfhE7pPhz8KnU4DRHl1rcgvDblbRw4QMNWC%2fzfVFkopZ%2fdQRL4%2bo%2fUEtGWqi9Dsr4OwMj1hGItNcS74CggXZ5cmj4gRG0zcgdn5X2%2fnxboOgAShuJyPhqW%2bWiI9myzfwLiI3wgfsvnHgEUW5BpIBaeZkdrWo89OeAowRlJ%2fVsZQgD1eo%2bRv6jLs6lN%2fAGRkRlx5d316NCVXsln%2fSazwFJzE6e2medcsXdBuF%2flHzNubeB3Su4R7rJ6fvQlaDbyTRE","descargar bases")</f>
      </c>
    </row>
    <row r="111">
      <c r="A111" s="0" t="inlineStr">
        <is>
          <t xml:space="preserve">2426-52-LR26</t>
        </is>
      </c>
      <c r="B111" s="4" t="inlineStr">
        <is>
          <t xml:space="preserve">DATACENTER ENLACES DE DATOS TELEFONIA E INTERNET</t>
        </is>
      </c>
      <c r="C111" s="0" t="inlineStr">
        <is>
          <t xml:space="preserve">Publicada</t>
        </is>
      </c>
      <c r="D111" s="0" t="inlineStr">
        <is>
          <t xml:space="preserve">I MUNICIPALIDAD DE VALPARAISO</t>
        </is>
      </c>
      <c r="E111" s="0" t="inlineStr">
        <is>
          <t xml:space="preserve">ADQUISICIONES MAYORES</t>
        </is>
      </c>
      <c r="F111" s="0" t="inlineStr">
        <is>
          <t xml:space="preserve">Región de Valparaíso </t>
        </is>
      </c>
      <c r="G111" s="0" t="inlineStr">
        <is>
          <t xml:space="preserve">Valparaíso</t>
        </is>
      </c>
      <c r="H111" s="2">
        <v>46297.658079</v>
      </c>
      <c r="I111" s="2">
        <v>46328.708333</v>
      </c>
      <c r="J111" s="0">
        <v>22</v>
      </c>
      <c r="K111" s="3">
        <v>40719.0</v>
      </c>
      <c r="L111" s="0" t="inlineStr">
        <is>
          <t xml:space="preserve">CLF</t>
        </is>
      </c>
      <c r="M111" s="0" t="inlineStr">
        <is>
          <t xml:space="preserve">LR</t>
        </is>
      </c>
      <c r="N111" s="4" t="inlineStr">
        <is>
          <t xml:space="preserve">Servicios basados en ingeniería, ciencias sociales y tecnología de la información / Servicios informáticos / Servicios de datos</t>
        </is>
      </c>
      <c r="O111" s="4" t="inlineStr">
        <is>
          <t xml:space="preserve">1 Unidad · Centro de servicios de datos</t>
        </is>
      </c>
      <c r="P111" s="2"/>
      <c r="Q111" s="2"/>
      <c r="R111" s="0" t="inlineStr">
        <is>
          <t xml:space="preserve">48 meses</t>
        </is>
      </c>
      <c r="S111" s="0" t="inlineStr">
        <is>
          <t xml:space="preserve">No</t>
        </is>
      </c>
      <c r="T111" s="4"/>
      <c r="U111" s="0" t="inlineStr">
        <is>
          <t xml:space="preserve">Juan Carlos Tempine</t>
        </is>
      </c>
      <c r="V111" s="4" t="inlineStr">
        <is>
          <t xml:space="preserve">SERVICIOS DE DATA CENTER, ENLACES DE DATOS, TELEFONÍA E INTERNET PARA LA MUNICIPALIDAD DE VALPARAÍSO</t>
        </is>
      </c>
      <c r="W111" s="5" t="str">
        <f>HYPERLINK("https://www.mercadopublico.cl/Procurement/Modules/Attachment/ViewAttachment.aspx?enc=npu5viboKLJO67QcPsTzaeThxpqmtb3sUusXsN8D12Hz7urnHRTd43O2lE5L22e0dSKOBS1Gc5flSbN8F6AECyWOordSq%2fjGm6nr%2bla%2b4oVMBG9KH5HPFhSTuTRlaL7OE4a7%2bnfGjrhT%2bmTNy67OMY3NFrg1Q%2bfj14s13DioUFgdwiQWqSd1S2eMDuED3zuf3aIB7MLzJjovGX2kujddwAzFO1uoK4urmw6sLzhWl9I%2bYe5Zo3xrdM5Hf4iBVln52CznFM92dl8iHbP4TudY26dPo%2fCcMFRg2XF%2b6sJPsPvu9OzYaG0V8rGicsL0M%2fp9","descargar bases")</f>
      </c>
    </row>
    <row r="112">
      <c r="A112" s="0" t="inlineStr">
        <is>
          <t xml:space="preserve">4127-51-LR26</t>
        </is>
      </c>
      <c r="B112" s="4" t="inlineStr">
        <is>
          <t xml:space="preserve">[DIGEDEP]Cursos M-Learning Plataforma SIAD 26-27</t>
        </is>
      </c>
      <c r="C112" s="0" t="inlineStr">
        <is>
          <t xml:space="preserve">Publicada</t>
        </is>
      </c>
      <c r="D112" s="0" t="inlineStr">
        <is>
          <t xml:space="preserve">SUBSECRETARIA DE SALUD PUBLICA</t>
        </is>
      </c>
      <c r="E112" s="0" t="inlineStr">
        <is>
          <t xml:space="preserve">Subsecretaria de Redes Asistenciales</t>
        </is>
      </c>
      <c r="F112" s="0" t="inlineStr">
        <is>
          <t xml:space="preserve">Región Metropolitana de Santiago</t>
        </is>
      </c>
      <c r="G112" s="0" t="inlineStr">
        <is>
          <t xml:space="preserve">Santiago</t>
        </is>
      </c>
      <c r="H112" s="2">
        <v>46300.445336</v>
      </c>
      <c r="I112" s="2">
        <v>46330.625</v>
      </c>
      <c r="J112" s="0">
        <v>24</v>
      </c>
      <c r="K112" s="3"/>
      <c r="L112" s="0" t="inlineStr">
        <is>
          <t xml:space="preserve">CLP</t>
        </is>
      </c>
      <c r="M112" s="0" t="inlineStr">
        <is>
          <t xml:space="preserve">LR</t>
        </is>
      </c>
      <c r="N112" s="4" t="inlineStr">
        <is>
          <t xml:space="preserve">Educación, formación, entrenamiento y capacitación / Sistemas educativos complementarios / Educación de adultos</t>
        </is>
      </c>
      <c r="O112" s="4" t="inlineStr">
        <is>
          <t xml:space="preserve">1 Unidad · Capacitación a empleados</t>
        </is>
      </c>
      <c r="P112" s="2"/>
      <c r="Q112" s="2"/>
      <c r="R112" s="0" t="inlineStr">
        <is>
          <t xml:space="preserve">12 meses</t>
        </is>
      </c>
      <c r="S112" s="0" t="inlineStr">
        <is>
          <t xml:space="preserve">No</t>
        </is>
      </c>
      <c r="T112" s="4"/>
      <c r="U112" s="0" t="inlineStr">
        <is>
          <t xml:space="preserve">Ana Osorio Yeuto</t>
        </is>
      </c>
      <c r="V112" s="4" t="inlineStr">
        <is>
          <t xml:space="preserve">Los servicios que considera este programa Sistema de Aprendizaje a Distancia SIAD son Despliegue de Cursos M- Learning, Desarrollo de Cursos Moodle, Actualizaciones Cursos Moodle Bacoffice para platafoma SIAD 2026 - 2027.</t>
        </is>
      </c>
      <c r="W112" s="5" t="str">
        <f>HYPERLINK("https://www.mercadopublico.cl/Procurement/Modules/Attachment/ViewAttachment.aspx?enc=AvddI3O7khz2YUO3wkev8i%2b1as9ACajW6%2bkhHWqsjxFX3Q7c%2fZKjS3UZCI7DLRu885ROsg3Rz1nAf940ZY9g9vHGjApIdP%2bzWQ8oc8Hzm2mNTF12pHb3SN219zSVaz6UKtll%2bs3eXXzy29wd5sPbEJLgtBvX9p4OGmyAtUoinSVghjoSffYYgqbVSQhI00%2fZqs%2bb5257a3kJhUcxgE4y9JwyjxtT9ZKMKeEI1nwguxw49ytuqEMnRKg5LotCdpMbIDoezcizgvkc4i17wCCL7ZsHkMabUvAPsStCb6VL5CUwqplLJdbbcm6vMMBTx9GR","descargar bases")</f>
      </c>
    </row>
    <row r="113">
      <c r="A113" s="0" t="inlineStr">
        <is>
          <t xml:space="preserve">1020-54-LP26</t>
        </is>
      </c>
      <c r="B113" s="4" t="inlineStr">
        <is>
          <t xml:space="preserve">Administración y Mantención de Bases de Datos MOP</t>
        </is>
      </c>
      <c r="C113" s="0" t="inlineStr">
        <is>
          <t xml:space="preserve">Publicada</t>
        </is>
      </c>
      <c r="D113" s="0" t="inlineStr">
        <is>
          <t xml:space="preserve">MINISTERIO DE OBRAS PUBLICAS DIREC CION GRAL DE OO PP DCYF</t>
        </is>
      </c>
      <c r="E113" s="0" t="inlineStr">
        <is>
          <t xml:space="preserve">MOP Subsecretaría </t>
        </is>
      </c>
      <c r="F113" s="0" t="inlineStr">
        <is>
          <t xml:space="preserve">Región Metropolitana de Santiago</t>
        </is>
      </c>
      <c r="G113" s="0"/>
      <c r="H113" s="2">
        <v>46303.478727</v>
      </c>
      <c r="I113" s="2">
        <v>46332.625</v>
      </c>
      <c r="J113" s="0">
        <v>26</v>
      </c>
      <c r="K113" s="3">
        <v>174000000.0</v>
      </c>
      <c r="L113" s="0" t="inlineStr">
        <is>
          <t xml:space="preserve">CLP</t>
        </is>
      </c>
      <c r="M113" s="0" t="inlineStr">
        <is>
          <t xml:space="preserve">LP</t>
        </is>
      </c>
      <c r="N113" s="4" t="inlineStr">
        <is>
          <t xml:space="preserve">Servicios profesionales, administrativos y consultorías de gestión empresarial / Servicios de recursos humanos / Contratación de personal</t>
        </is>
      </c>
      <c r="O113" s="4" t="inlineStr">
        <is>
          <t xml:space="preserve">24 Mes · Administradores de bases de datos</t>
        </is>
      </c>
      <c r="P113" s="2"/>
      <c r="Q113" s="2"/>
      <c r="R113" s="0" t="inlineStr">
        <is>
          <t xml:space="preserve">25 meses</t>
        </is>
      </c>
      <c r="S113" s="0" t="inlineStr">
        <is>
          <t xml:space="preserve">No</t>
        </is>
      </c>
      <c r="T113" s="4" t="inlineStr">
        <is>
          <t xml:space="preserve">Según 10.5 de las BA El oferente adjudicado no podrá subcontratar los servicios derivados de la ejecución del Contrato</t>
        </is>
      </c>
      <c r="U113" s="0" t="inlineStr">
        <is>
          <t xml:space="preserve">Francisco Borquez</t>
        </is>
      </c>
      <c r="V113" s="4" t="inlineStr">
        <is>
          <t xml:space="preserve">Dado que toda la información generada y recolectada por los servicios y sistemas ministeriales se almacena en algún tipo de base de datos, el objetivo de la contratación solicitada, es disponer de un servicio de administración de bases de datos con dos modalidades de atención, remota y presencial, que permita garantizar la Administración, Mantención, Monitoreo y Continuidad operacional de las bases de datos Oracle, MS SQL Server y PostgreSQL, y MySQL, y cumplir con las Políticas de Seguridad de la Información del Ministerio de Obras Públicas. Además, entregar niveles de servicio SLA acordes a las exigencias del MOP y a las mejores prácticas de la industria.
El Adjudicatario deberá  asegurar, mediante la conformación indicada en el punto 4.12 de las presentes BT, un equipo de trabajo que cuente con todas y cada una de las certificaciones técnicas, que permitan tener una plataforma de bases de datos: estable, controlada, disponible y documentada.</t>
        </is>
      </c>
      <c r="W113" s="5" t="str">
        <f>HYPERLINK("https://www.mercadopublico.cl/Procurement/Modules/Attachment/ViewAttachment.aspx?enc=91ZlK2Fe5j4kG%2bUWhNi9V1YkgS7NCafrmprFFBFfn7%2bj7oAFVzPhcur96ZTUDdfgVE8ZBpbFMBT1LnA8eoyDycxHxboFy68gZS5p0q0T4OASmaEE5HB9QyAbTwFwAeIXIzwKlvCYFl2KMFAz5JRru1A6zLIcf14t5g0lvtXbEeOigi%2fDnReG%2bORJXoeePCaHcedaG15JbedBqAnBsWKKgPzt3Ttqna6taH5QDHa0HyigyiA3zwICl6geWkbUsk5PwzOiOoU%2bM9sPDrDRIHyN7yTm5PD5hD71yOhqZa1qnCj03px7rV3nr%2bDCGfwrZdGn","descargar bases")</f>
      </c>
    </row>
    <row r="114">
      <c r="A114" s="0" t="inlineStr">
        <is>
          <t xml:space="preserve">605-17-LP26</t>
        </is>
      </c>
      <c r="B114" s="4" t="inlineStr">
        <is>
          <t xml:space="preserve">TELEFONÍA FIJA Y RED PRIVADA DE DATOS</t>
        </is>
      </c>
      <c r="C114" s="0" t="inlineStr">
        <is>
          <t xml:space="preserve">Publicada</t>
        </is>
      </c>
      <c r="D114" s="0" t="inlineStr">
        <is>
          <t xml:space="preserve">Consejo de Defensa del Estado</t>
        </is>
      </c>
      <c r="E114" s="0" t="inlineStr">
        <is>
          <t xml:space="preserve">Consejo de Defensa del Estado</t>
        </is>
      </c>
      <c r="F114" s="0" t="inlineStr">
        <is>
          <t xml:space="preserve">Región Metropolitana de Santiago</t>
        </is>
      </c>
      <c r="G114" s="0" t="inlineStr">
        <is>
          <t xml:space="preserve">Santiago</t>
        </is>
      </c>
      <c r="H114" s="2">
        <v>46267.454861</v>
      </c>
      <c r="I114" s="2">
        <v>46332.625</v>
      </c>
      <c r="J114" s="0">
        <v>26</v>
      </c>
      <c r="K114" s="3">
        <v>8500.0</v>
      </c>
      <c r="L114" s="0" t="inlineStr">
        <is>
          <t xml:space="preserve">CLF</t>
        </is>
      </c>
      <c r="M114" s="0" t="inlineStr">
        <is>
          <t xml:space="preserve">LP</t>
        </is>
      </c>
      <c r="N114" s="4" t="inlineStr">
        <is>
          <t xml:space="preserve">Servicios básicos y de información pública / Telecomunicaciones / Telefonía local y de larga distancia</t>
        </is>
      </c>
      <c r="O114" s="4" t="inlineStr">
        <is>
          <t xml:space="preserve">1 Unidad · Servicio telefónico local · 1 Unidad · Servicio de comunicación IP</t>
        </is>
      </c>
      <c r="P114" s="2"/>
      <c r="Q114" s="2"/>
      <c r="R114" s="0" t="inlineStr">
        <is>
          <t xml:space="preserve">24 meses</t>
        </is>
      </c>
      <c r="S114" s="0" t="inlineStr">
        <is>
          <t xml:space="preserve">No</t>
        </is>
      </c>
      <c r="T114"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14" s="0" t="inlineStr">
        <is>
          <t xml:space="preserve">IVANHOE AGUIRRE RIVERA</t>
        </is>
      </c>
      <c r="V114"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14" s="5" t="str">
        <f>HYPERLINK("https://www.mercadopublico.cl/Procurement/Modules/Attachment/ViewAttachment.aspx?enc=JElIO7aJr139IcASrDCyCiDVpCrcqkp%2bMzyf3trbfVF3Stp4RhTI%2bcKz4UDF9vOz4AvUjTk5LE3QoDQWfnmIka0LtoFULB%2fBoAvxe92gmbrIXga8z9%2bKyA0FW6iuDTegJXuHScMQTmH2jS3MD6mOfrfr3qfh4t15GTG2Mci0j4ziv7Rg6lhsNxW6OeMjfGwg152rEAg4xgxFOUWsttA0p7XWYegSLJ%2bm5CjKuGrnHFT2gb6B7woh3Mxs1JSH4MmHwJ3%2b0ICWZQG6jUF4It9Z3329Of2bVnKh3rnKccIn6iewcVNX5h3pEqR4GXc6axbg","descargar bases")</f>
      </c>
    </row>
    <row r="115">
      <c r="A115" s="0" t="inlineStr">
        <is>
          <t xml:space="preserve">2421-52-LR26</t>
        </is>
      </c>
      <c r="B115" s="4" t="inlineStr">
        <is>
          <t xml:space="preserve">SUMINISTRO SERVICIO DE TELECOMUNICACIONES DATOS Y VOZ</t>
        </is>
      </c>
      <c r="C115" s="0" t="inlineStr">
        <is>
          <t xml:space="preserve">Publicada</t>
        </is>
      </c>
      <c r="D115" s="0" t="inlineStr">
        <is>
          <t xml:space="preserve">I MUNICIPALIDAD DE CONCEPCION</t>
        </is>
      </c>
      <c r="E115" s="0" t="inlineStr">
        <is>
          <t xml:space="preserve">DIRECCION DE SALUD MUNICIPAL DE CONCEPCION</t>
        </is>
      </c>
      <c r="F115" s="0" t="inlineStr">
        <is>
          <t xml:space="preserve">Región del Biobío </t>
        </is>
      </c>
      <c r="G115" s="0" t="inlineStr">
        <is>
          <t xml:space="preserve">Concepción</t>
        </is>
      </c>
      <c r="H115" s="2">
        <v>46303.407569</v>
      </c>
      <c r="I115" s="2">
        <v>46335.625</v>
      </c>
      <c r="J115" s="0">
        <v>29</v>
      </c>
      <c r="K115" s="3"/>
      <c r="L115" s="0" t="inlineStr">
        <is>
          <t xml:space="preserve">CLP</t>
        </is>
      </c>
      <c r="M115" s="0" t="inlineStr">
        <is>
          <t xml:space="preserve">LR</t>
        </is>
      </c>
      <c r="N115" s="4" t="inlineStr">
        <is>
          <t xml:space="preserve">Servicios básicos y de información pública / Telecomunicaciones / Telefonía local y de larga distancia</t>
        </is>
      </c>
      <c r="O115" s="4" t="inlineStr">
        <is>
          <t xml:space="preserve">1 Unidad · Servicio telefónico local · 1 Unidad · Servicio telefónico local</t>
        </is>
      </c>
      <c r="P115" s="2"/>
      <c r="Q115" s="2"/>
      <c r="R115" s="0" t="inlineStr">
        <is>
          <t xml:space="preserve">60 meses</t>
        </is>
      </c>
      <c r="S115" s="0" t="inlineStr">
        <is>
          <t xml:space="preserve">No</t>
        </is>
      </c>
      <c r="T115" s="4"/>
      <c r="U115" s="0" t="inlineStr">
        <is>
          <t xml:space="preserve">MARCELO SEPULVEDA</t>
        </is>
      </c>
      <c r="V115" s="4" t="inlineStr">
        <is>
          <t xml:space="preserve">LA DIRECCION DE SALUD DE CONCEPCION SOLICITA LA ADQUISICION DE SUMINISTRO DE SERVICIO DE TELECOMUNICACIONES DE DATOS Y VOZ POR UN PLAZO DE 60 MESES.</t>
        </is>
      </c>
      <c r="W115" s="5" t="str">
        <f>HYPERLINK("https://www.mercadopublico.cl/Procurement/Modules/Attachment/ViewAttachment.aspx?enc=9zVriscYtoafjHiKHThb%2fAscR%2btBIrF2xmmJt3UnJCuvI9j3uW%2f48XYkO64aT%2flD1ACkQkcOyG9Qe57l4%2bAMhVXiHOORMytK8J46%2fh4NDVIVeXi%2bRFFFOOPQh6FXbdZljbOTIOjkCd%2b5p6Ct3MNlpOpmnQkQ5U35hrbyvNJKeh19RgRI9gvnlMa8taHq0%2fIj1oLMdGfKNOz7Q4A9yEl3jAOMDKTacD5h9L5Z6gDOz4TiKfkcCIkYhuhV0bgtEv1xscrq6MIS1DXF2eg0%2bhymLUaUpHF%2b7O%2fAwmBa6FncqRdOPa1cX8u5KdVbGf2Sx6U%2f","descargar bases")</f>
      </c>
    </row>
    <row r="116">
      <c r="A116" s="0" t="inlineStr">
        <is>
          <t xml:space="preserve">1057390-21-LR26</t>
        </is>
      </c>
      <c r="B116" s="4" t="inlineStr">
        <is>
          <t xml:space="preserve">PLATAFORMA CLOUD COMPUTING Y SERVICIOS ASOCIADOS ESISSAN</t>
        </is>
      </c>
      <c r="C116" s="0" t="inlineStr">
        <is>
          <t xml:space="preserve">Publicada</t>
        </is>
      </c>
      <c r="D116" s="0" t="inlineStr">
        <is>
          <t xml:space="preserve">SERVICIO DE SALUD ARAUCANIA NORTE</t>
        </is>
      </c>
      <c r="E116" s="0" t="inlineStr">
        <is>
          <t xml:space="preserve">Bienes y Servicios</t>
        </is>
      </c>
      <c r="F116" s="0" t="inlineStr">
        <is>
          <t xml:space="preserve">Región de la Araucanía </t>
        </is>
      </c>
      <c r="G116" s="0" t="inlineStr">
        <is>
          <t xml:space="preserve">Angol</t>
        </is>
      </c>
      <c r="H116" s="2">
        <v>46304.689398</v>
      </c>
      <c r="I116" s="2">
        <v>46335.645833</v>
      </c>
      <c r="J116" s="0">
        <v>29</v>
      </c>
      <c r="K116" s="3">
        <v>487000000.0</v>
      </c>
      <c r="L116" s="0" t="inlineStr">
        <is>
          <t xml:space="preserve">CLP</t>
        </is>
      </c>
      <c r="M116" s="0" t="inlineStr">
        <is>
          <t xml:space="preserve">LR</t>
        </is>
      </c>
      <c r="N116" s="4" t="inlineStr">
        <is>
          <t xml:space="preserve">Tecnologías de la información, telecomunicaciones y radiodifusión / Software / Software para trabajo en redes</t>
        </is>
      </c>
      <c r="O116" s="4" t="inlineStr">
        <is>
          <t xml:space="preserve">1 Unidad · Software de interconectividad de plataformas</t>
        </is>
      </c>
      <c r="P116" s="2"/>
      <c r="Q116" s="2"/>
      <c r="R116" s="0" t="inlineStr">
        <is>
          <t xml:space="preserve">36 meses</t>
        </is>
      </c>
      <c r="S116" s="0" t="inlineStr">
        <is>
          <t xml:space="preserve">No</t>
        </is>
      </c>
      <c r="T116" s="4"/>
      <c r="U116" s="0" t="inlineStr">
        <is>
          <t xml:space="preserve">Jorge Mora Bustamante</t>
        </is>
      </c>
      <c r="V116" s="4" t="inlineStr">
        <is>
          <t xml:space="preserve">La presente licitación tiene como contratación de Servicios Plataforma Cloud Computing y Servicios Asociados Aplicativo ESISSAN del Servicio De Salud Araucanía Norte a 36 meses, todo ello según especificaciones técnicas (Formulario No 5).</t>
        </is>
      </c>
      <c r="W116" s="5" t="str">
        <f>HYPERLINK("https://www.mercadopublico.cl/Procurement/Modules/Attachment/ViewAttachment.aspx?enc=qnGgSEsOpQ2pErIAPp7rCzdKzA0vPoaKNSnZyNPuLGKDNWDwXFkM%2fVnXGBTP%2bAh3Ipo5zbAyQrbfeU50WWyk5Yl67NjFYFgsUX80iTF%2f0YBRy0D1En0yz4%2bhmZHs3JW0uLnxoQ18EvrAhJF7qB5Qn81GNediXssV%2ff5TKYzMJSpadLb88ECrqRIoHxSliZePqa%2fUOuIZbz%2f%2fadxvDhxH7wHYfd8K7nXmFh6p2bm7rnZXKU8HNv2yD6l5dP9jUX0R2CBtyKE%2bSXpIPDcCibBcdwEh66mwJ6xAJW5eufPrKN9dnTy863X%2bx9AVZ8UscxPz","descargar bases")</f>
      </c>
    </row>
    <row r="117">
      <c r="A117" s="0" t="inlineStr">
        <is>
          <t xml:space="preserve">1260-17-LP26</t>
        </is>
      </c>
      <c r="B117" s="4" t="inlineStr">
        <is>
          <t xml:space="preserve">NARRATIVAS DIGITALES Y PRODUCCION CONTENIDOS</t>
        </is>
      </c>
      <c r="C117" s="0" t="inlineStr">
        <is>
          <t xml:space="preserve">Publicada</t>
        </is>
      </c>
      <c r="D117" s="0" t="inlineStr">
        <is>
          <t xml:space="preserve">GOBIERNO REGIONAL REGION METROPOLITANA</t>
        </is>
      </c>
      <c r="E117" s="0" t="inlineStr">
        <is>
          <t xml:space="preserve">ADQUISICIONES - PROGRAMA 01</t>
        </is>
      </c>
      <c r="F117" s="0" t="inlineStr">
        <is>
          <t xml:space="preserve">Región Metropolitana de Santiago</t>
        </is>
      </c>
      <c r="G117" s="0"/>
      <c r="H117" s="2">
        <v>46303.472778</v>
      </c>
      <c r="I117" s="2">
        <v>46335.645833</v>
      </c>
      <c r="J117" s="0">
        <v>29</v>
      </c>
      <c r="K117" s="3">
        <v>160650000.0</v>
      </c>
      <c r="L117" s="0" t="inlineStr">
        <is>
          <t xml:space="preserve">CLP</t>
        </is>
      </c>
      <c r="M117" s="0" t="inlineStr">
        <is>
          <t xml:space="preserve">LP</t>
        </is>
      </c>
      <c r="N117" s="4" t="inlineStr">
        <is>
          <t xml:space="preserve">Servicios profesionales, administrativos y consultorías de gestión empresarial / Servicios para la comercialización y distribución / Ventas y marketing</t>
        </is>
      </c>
      <c r="O117" s="4" t="inlineStr">
        <is>
          <t xml:space="preserve">1 Unidad · Agencias de marketing de ventas, incluidas las impresiones</t>
        </is>
      </c>
      <c r="P117" s="2"/>
      <c r="Q117" s="2"/>
      <c r="R117" s="0" t="inlineStr">
        <is>
          <t xml:space="preserve">365 días</t>
        </is>
      </c>
      <c r="S117" s="0" t="inlineStr">
        <is>
          <t xml:space="preserve">No</t>
        </is>
      </c>
      <c r="T117" s="4"/>
      <c r="U117" s="0" t="inlineStr">
        <is>
          <t xml:space="preserve">Joaquín Orellana Calderón</t>
        </is>
      </c>
      <c r="V117" s="4" t="inlineStr">
        <is>
          <t xml:space="preserve">Contratar un servicio experto de análisis de narrativas digitales y producción de contenidos creativos que permita al Gobierno de Santiago monitorear y comprender las conversaciones relevantes para su gestión institucional, identificar riesgos y oportunidades comunicacionales, y generar contenidos gráficos y audiovisuales alineados con sus objetivos estratégicos y territoriales.</t>
        </is>
      </c>
      <c r="W117" s="5" t="str">
        <f>HYPERLINK("https://www.mercadopublico.cl/Procurement/Modules/Attachment/ViewAttachment.aspx?enc=3awQI2fafPimum3h7r5MPcMrH6Czulz%2bheSZdmUe4ALVUjM1%2fpzxu0oYLzaPMZ9OFew31yLqkQ5RBUm3J0p3BxWsY3kvOJS%2fHrpLemlMOM35rdfNev5xC3sAtgORJDSlJFxloQZWuBL4g32qQFtkAgvr1ov6zvIwR5fwQ7Y8Jo0BgL8zmh4hr53%2bh%2bmqzfRzz3QU%2fPRS9RtfHWxE%2ftSrnbXe7ahZ6n08WAW3ATuItLouvyb1jb%2fI2Me%2bu3MYo%2fBhHFCGwyMvxTtijW8fkwHtV7jfNgMdzsRYKW7kyibIvRjdVesxL5CVHpvn5kbKDu1%2b","descargar bases")</f>
      </c>
    </row>
    <row r="118">
      <c r="A118" s="0" t="inlineStr">
        <is>
          <t xml:space="preserve">425-73-LP26</t>
        </is>
      </c>
      <c r="B118" s="4" t="inlineStr">
        <is>
          <t xml:space="preserve">Renovación de licencias de software CISCO</t>
        </is>
      </c>
      <c r="C118" s="0" t="inlineStr">
        <is>
          <t xml:space="preserve">Publicada</t>
        </is>
      </c>
      <c r="D118" s="0" t="inlineStr">
        <is>
          <t xml:space="preserve">CORP ADMINISTRATIVA DEL PODER JUDICIAL</t>
        </is>
      </c>
      <c r="E118" s="0" t="inlineStr">
        <is>
          <t xml:space="preserve">Servicios</t>
        </is>
      </c>
      <c r="F118" s="0" t="inlineStr">
        <is>
          <t xml:space="preserve">Región Metropolitana de Santiago</t>
        </is>
      </c>
      <c r="G118" s="0" t="inlineStr">
        <is>
          <t xml:space="preserve">Santiago Centro</t>
        </is>
      </c>
      <c r="H118" s="2">
        <v>46304.698588</v>
      </c>
      <c r="I118" s="2">
        <v>46335.666667</v>
      </c>
      <c r="J118" s="0">
        <v>29</v>
      </c>
      <c r="K118" s="3"/>
      <c r="L118" s="0" t="inlineStr">
        <is>
          <t xml:space="preserve">USD</t>
        </is>
      </c>
      <c r="M118" s="0" t="inlineStr">
        <is>
          <t xml:space="preserve">LP</t>
        </is>
      </c>
      <c r="N118" s="4" t="inlineStr">
        <is>
          <t xml:space="preserve">Tecnologías de la información, telecomunicaciones y radiodifusión / Software / Software de gestión</t>
        </is>
      </c>
      <c r="O118" s="4" t="inlineStr">
        <is>
          <t xml:space="preserve">5000 Unidad · Software de gestión de licencias · 20000 Unidad · Software de gestión de licencias · 11000 Unidad · Software de gestión de licencias · y 7 más</t>
        </is>
      </c>
      <c r="P118" s="2"/>
      <c r="Q118" s="2"/>
      <c r="R118" s="0" t="inlineStr">
        <is>
          <t xml:space="preserve">12 meses</t>
        </is>
      </c>
      <c r="S118" s="0" t="inlineStr">
        <is>
          <t xml:space="preserve">No</t>
        </is>
      </c>
      <c r="T118" s="4" t="inlineStr">
        <is>
          <t xml:space="preserve">Remítase a lo indicado en el numeral 15 de las bases administrativas especiales</t>
        </is>
      </c>
      <c r="U118" s="0" t="inlineStr">
        <is>
          <t xml:space="preserve">César Herrera Mejías</t>
        </is>
      </c>
      <c r="V118" s="4" t="inlineStr">
        <is>
          <t xml:space="preserve">UR (1804), Renovación de licencias de software CISCO</t>
        </is>
      </c>
      <c r="W118" s="5" t="str">
        <f>HYPERLINK("https://www.mercadopublico.cl/Procurement/Modules/Attachment/ViewAttachment.aspx?enc=UDyw5xlHvLG1Vq6jG%2fIUFgbuJdxOyn%2bphfIT1VSmY8jIcOi2QpE7vr7wABy47IxnqyTnPfzytGLJSJSolChzWCsIwhgvXUkAKfKzJFNQQE3tUjQntf2UTQIzljfQTXwZ0T%2fAn6ZlXXhrnfXKMrEeNvpZTRF08buHhdbk40jsagYJR4eExwDuP9bVI4gLgD%2bwjAPcMA9ZPTUXJCm3XlwAEXrb1sZ21Dp4u%2f7DTk%2fvEmMbOY1jiVHzqVV9LNILjl1PoKU4y5Xgpd8%2fao9tDVF6%2f7O3r2mMFabL66FLfciPGaWYWJH88bwslllURtzpeo2f","descargar bases")</f>
      </c>
    </row>
    <row r="119">
      <c r="A119" s="0" t="inlineStr">
        <is>
          <t xml:space="preserve">1057898-85-LR26</t>
        </is>
      </c>
      <c r="B119" s="4" t="inlineStr">
        <is>
          <t xml:space="preserve">ADQUISICIÓN DE SOFTWARES HIS-ESB-BI Y ERP PARA EL NUEVO HOSPITAL REGIONAL DE ÑUBLE</t>
        </is>
      </c>
      <c r="C119" s="0" t="inlineStr">
        <is>
          <t xml:space="preserve">Publicada</t>
        </is>
      </c>
      <c r="D119" s="0" t="inlineStr">
        <is>
          <t xml:space="preserve">SERVICIO DE SALUD NUBLE</t>
        </is>
      </c>
      <c r="E119" s="0" t="inlineStr">
        <is>
          <t xml:space="preserve">Activos Fijos</t>
        </is>
      </c>
      <c r="F119" s="0" t="inlineStr">
        <is>
          <t xml:space="preserve">Región del Ñuble</t>
        </is>
      </c>
      <c r="G119" s="0" t="inlineStr">
        <is>
          <t xml:space="preserve">Chillán</t>
        </is>
      </c>
      <c r="H119" s="2">
        <v>46304.500741</v>
      </c>
      <c r="I119" s="2">
        <v>46349.708333</v>
      </c>
      <c r="J119" s="0">
        <v>43</v>
      </c>
      <c r="K119" s="3">
        <v>19373825000.0</v>
      </c>
      <c r="L119" s="0" t="inlineStr">
        <is>
          <t xml:space="preserve">CLP</t>
        </is>
      </c>
      <c r="M119" s="0" t="inlineStr">
        <is>
          <t xml:space="preserve">LR</t>
        </is>
      </c>
      <c r="N119" s="4" t="inlineStr">
        <is>
          <t xml:space="preserve">Tecnologías de la información, telecomunicaciones y radiodifusión / Software / Software de administración de redes</t>
        </is>
      </c>
      <c r="O119" s="4" t="inlineStr">
        <is>
          <t xml:space="preserve">1 Global · Software de administración · 1 Global · Software de administración</t>
        </is>
      </c>
      <c r="P119" s="2"/>
      <c r="Q119" s="2"/>
      <c r="R119" s="0" t="inlineStr">
        <is>
          <t xml:space="preserve">96 meses</t>
        </is>
      </c>
      <c r="S119" s="0" t="inlineStr">
        <is>
          <t xml:space="preserve">No</t>
        </is>
      </c>
      <c r="T119" s="4"/>
      <c r="U119" s="0" t="inlineStr">
        <is>
          <t xml:space="preserve">RODOLFO JIMENEZ</t>
        </is>
      </c>
      <c r="V119" s="4" t="inlineStr">
        <is>
          <t xml:space="preserve">El Servicio de Salud Ñuble requiere efectuar la ADQUISICIÓN DE SOFTWARES HIS-ESB-BI Y ERP PARA EL NUEVO HOSPITAL REGIONAL DE ÑUBLE, de acuerdo a las Bases Administrativas adjuntas y sus respectivos Anexos.</t>
        </is>
      </c>
      <c r="W119" s="5" t="str">
        <f>HYPERLINK("https://www.mercadopublico.cl/Procurement/Modules/Attachment/ViewAttachment.aspx?enc=8TRwsDLltpdT7u3c6j52QCbcB0EQgiTXqetTGi1lIX5w4PwKiXidbOhiNzZMJDASbvVcED8wgH4fpwIaIc2geZdgYKGoTbbgsZfp%2fOArRhY4tQeC4lhecs%2b8aNvMuXDEFXBoEHPjuGPtm0veswIJSmin7YR7paFy3fSxS4BGBtj2ToFlDE7VBIyOMLxS62NiHvCK05SWlZp0KCclcB6CE%2b%2fAspqQbY4SX8LEbtCA5BzQi%2f%2fUc7vlkCAV1gtQgQ4FxBOgTi634DRYnsKMUmmHsGC%2b%2b0JNd7yk1R35fLG%2fqUfR52ZzqKV18ABrCqXsHXiH","descargar bases")</f>
      </c>
    </row>
    <row r="120">
      <c r="A120" s="0" t="inlineStr">
        <is>
          <t xml:space="preserve">1969-34-LS19</t>
        </is>
      </c>
      <c r="B120" s="4" t="inlineStr">
        <is>
          <t xml:space="preserve">AUTOMATIZACIÓN PORTÓN ACCESO A LINEA DE FUEGO</t>
        </is>
      </c>
      <c r="C120" s="0" t="inlineStr">
        <is>
          <t xml:space="preserve">Publicada</t>
        </is>
      </c>
      <c r="D120" s="0" t="inlineStr">
        <is>
          <t xml:space="preserve">DIRECCION GENERAL DE GENDARMERIA DE CHIL</t>
        </is>
      </c>
      <c r="E120" s="0" t="inlineStr">
        <is>
          <t xml:space="preserve">Región del Bio Bío</t>
        </is>
      </c>
      <c r="F120" s="0" t="inlineStr">
        <is>
          <t xml:space="preserve">Región del Biobío </t>
        </is>
      </c>
      <c r="G120" s="0" t="inlineStr">
        <is>
          <t xml:space="preserve">Concepción</t>
        </is>
      </c>
      <c r="H120" s="2">
        <v>43588.74809</v>
      </c>
      <c r="I120" s="2"/>
      <c r="J120" s="0"/>
      <c r="K120" s="3"/>
      <c r="L120" s="0" t="inlineStr">
        <is>
          <t xml:space="preserve">CLP</t>
        </is>
      </c>
      <c r="M120" s="0" t="inlineStr">
        <is>
          <t xml:space="preserve">LS</t>
        </is>
      </c>
      <c r="N120" s="4" t="inlineStr">
        <is>
          <t xml:space="preserve">Artículos para estructuras, obras y construcciones / Puertas, ventanas y vidrios / Puertas</t>
        </is>
      </c>
      <c r="O120" s="4" t="inlineStr">
        <is>
          <t xml:space="preserve">1 Unidad · Puertas de metal</t>
        </is>
      </c>
      <c r="P120" s="2"/>
      <c r="Q120" s="2"/>
      <c r="R120" s="0"/>
      <c r="S120" s="0" t="inlineStr">
        <is>
          <t xml:space="preserve">No</t>
        </is>
      </c>
      <c r="T120" s="4"/>
      <c r="U120" s="0" t="inlineStr">
        <is>
          <t xml:space="preserve">Héctor Polma Lillo</t>
        </is>
      </c>
      <c r="V120" s="4" t="inlineStr">
        <is>
          <t xml:space="preserve">AUTOMATIZACIÓN DE PORTÓN ACCESO A LINEA DE FUEGO C.P. CONCEPCIÓN</t>
        </is>
      </c>
      <c r="W120" s="5" t="str">
        <f>HYPERLINK("https://www.mercadopublico.cl/Procurement/Modules/Attachment/ViewAttachment.aspx?enc=SsSd1Rm8N4bLPrnWuZEjiZD3WAo%2bAx3WhYaV7LIjiZpXj3ECvK%2f3N98jMf18bKOLG40nXvrO9TTuR7Yv7XCdsJfjpqtG8fcBXlf3ryjosC55QTAdgj%2bQG3aBY9EfuslQquZJ3ozDJ%2bcoN3uZG1yXxbq8pEnJeNBw1y%2fmxdMN1D3r1RMBOACinIxqY37PW4E%2btlJY9QEvmxFYpGZ%2bwEXs6CI8TY%2bW60oHZv1vGvKJQbuusjjsRtEnUjrnHoYUKjdXAi4cD6ZecGqLnNhnawBfDlWRr72NQhLHcAoZBVT0Qw8QT0hFK2FeNXS1eVfFKuaS","descargar bases")</f>
      </c>
    </row>
  </sheetData>
  <autoFilter ref="A1:W120"/>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728-13-LE26</t>
        </is>
      </c>
      <c r="B2" s="4" t="inlineStr">
        <is>
          <t xml:space="preserve">Servicio de automatización de Banco de Calibracion</t>
        </is>
      </c>
      <c r="C2" s="0">
        <v>1</v>
      </c>
      <c r="D2" s="4" t="inlineStr">
        <is>
          <t xml:space="preserve">Artículo de calibración</t>
        </is>
      </c>
      <c r="E2" s="4" t="inlineStr">
        <is>
          <t xml:space="preserve">Maquinaria para fabricación y transformación industrial / Maquinaria y suministros de procesos industriales / Dispositivos de guía, posicionamiento y sujeción</t>
        </is>
      </c>
      <c r="F2" s="0">
        <v>1.0</v>
      </c>
      <c r="G2" s="0" t="inlineStr">
        <is>
          <t xml:space="preserve">Unidad</t>
        </is>
      </c>
      <c r="H2" s="4" t="inlineStr">
        <is>
          <t xml:space="preserve">Servicio de Automatización de Banco de Calibraciones (ver adjunto)</t>
        </is>
      </c>
    </row>
    <row r="3">
      <c r="A3" s="0" t="inlineStr">
        <is>
          <t xml:space="preserve">1469-251-L126</t>
        </is>
      </c>
      <c r="B3" s="4" t="inlineStr">
        <is>
          <t xml:space="preserve">“Servicio suministro de puntos de datos para la Universidad de Talca, Dirección de Tecnologías de información, nueva Oficina Servicios TI”</t>
        </is>
      </c>
      <c r="C3" s="0">
        <v>1</v>
      </c>
      <c r="D3" s="4" t="inlineStr">
        <is>
          <t xml:space="preserve">Servicios relacionados con Internet</t>
        </is>
      </c>
      <c r="E3" s="4" t="inlineStr">
        <is>
          <t xml:space="preserve">Servicios básicos y de información pública / Bibliotecas y otros centros de información pública / Comunicación social y de masas</t>
        </is>
      </c>
      <c r="F3" s="0">
        <v>1.0</v>
      </c>
      <c r="G3" s="0" t="inlineStr">
        <is>
          <t xml:space="preserve">Unidad</t>
        </is>
      </c>
      <c r="H3" s="4" t="inlineStr">
        <is>
          <t xml:space="preserve">La Universidad de Talca requiere la contratación del servicio de instalación de puntos de red Categoría 6, incluyendo la totalidad de los accesorios y componentes necesarios para habilitar la conectividad de datos.</t>
        </is>
      </c>
    </row>
    <row r="4">
      <c r="A4" s="0" t="inlineStr">
        <is>
          <t xml:space="preserve">2107-153-LP26</t>
        </is>
      </c>
      <c r="B4" s="4" t="inlineStr">
        <is>
          <t xml:space="preserve">ARRIENDO DE INFRAESTRUCTURA FÍSICA ENTERPRISE PARA PLATAFORMA TECNOLÓGICA INSTITUCIONAL</t>
        </is>
      </c>
      <c r="C4" s="0">
        <v>1</v>
      </c>
      <c r="D4" s="4" t="inlineStr">
        <is>
          <t xml:space="preserve">Componentes de dispositivo de entrada o unidad de almacenamiento</t>
        </is>
      </c>
      <c r="E4" s="4" t="inlineStr">
        <is>
          <t xml:space="preserve">Tecnologías de la información, telecomunicaciones y radiodifusión / Componentes para tecnología de la información, difusión o telecomunicaciones / Subconjuntos para dispositivos electrónicos</t>
        </is>
      </c>
      <c r="F4" s="0">
        <v>1.0</v>
      </c>
      <c r="G4" s="0" t="inlineStr">
        <is>
          <t xml:space="preserve">Unidad</t>
        </is>
      </c>
      <c r="H4" s="4" t="inlineStr">
        <is>
          <t xml:space="preserve">ARRIENDO DE INFRAESTRUCTURA FÍSICA ENTERPRISE PARA PLATAFORMA TECNOLÓGICA INSTITUCIONAL (según bases)</t>
        </is>
      </c>
    </row>
    <row r="5">
      <c r="A5" s="0" t="inlineStr">
        <is>
          <t xml:space="preserve">3928-62-LE26</t>
        </is>
      </c>
      <c r="B5" s="4" t="inlineStr">
        <is>
          <t xml:space="preserve">ADQUISICION DE SOFTWARE Y EQUIPAMIENTO TECNOLOGICO PARA ESCUELA DE CAHUIL</t>
        </is>
      </c>
      <c r="C5" s="0">
        <v>1</v>
      </c>
      <c r="D5" s="4" t="inlineStr">
        <is>
          <t xml:space="preserve">Contadores de tabletas</t>
        </is>
      </c>
      <c r="E5" s="4" t="inlineStr">
        <is>
          <t xml:space="preserve">Maquinaria para fabricación y transformación industrial / Maquinaria y suministros de procesos industriales / Maquinaria para la industria farmacéutica</t>
        </is>
      </c>
      <c r="F5" s="0">
        <v>1.0</v>
      </c>
      <c r="G5" s="0" t="inlineStr">
        <is>
          <t xml:space="preserve">Global</t>
        </is>
      </c>
      <c r="H5" s="4" t="inlineStr">
        <is>
          <t xml:space="preserve">MALETA CONTENEDORA PARA TABLET, LINEA 2.
VER DETALLE EN BASES ADMINISTATIVAS Y ESPECIFICACIONES TECNICAS ADJUNTAS</t>
        </is>
      </c>
    </row>
    <row r="6">
      <c r="A6" s="0" t="inlineStr">
        <is>
          <t xml:space="preserve">3928-62-LE26</t>
        </is>
      </c>
      <c r="B6" s="4" t="inlineStr">
        <is>
          <t xml:space="preserve">ADQUISICION DE SOFTWARE Y EQUIPAMIENTO TECNOLOGICO PARA ESCUELA DE CAHUIL</t>
        </is>
      </c>
      <c r="C6" s="0">
        <v>2</v>
      </c>
      <c r="D6" s="4" t="inlineStr">
        <is>
          <t xml:space="preserve">Software doméstico</t>
        </is>
      </c>
      <c r="E6" s="4" t="inlineStr">
        <is>
          <t xml:space="preserve">Tecnologías de la información, telecomunicaciones y radiodifusión / Software / Software de ocio o juegos de computador</t>
        </is>
      </c>
      <c r="F6" s="0">
        <v>1.0</v>
      </c>
      <c r="G6" s="0" t="inlineStr">
        <is>
          <t xml:space="preserve">Global</t>
        </is>
      </c>
      <c r="H6" s="4" t="inlineStr">
        <is>
          <t xml:space="preserve">SOFTWARE DE ADMINISTRACION Y CONTROL PARA TABLETS CON OS ANDROID, LICENCIA PERPETUA, CLASDRIVE O SIMILAR. LINEA 1.
REVISAR DETALLES TECNICOS EN LAS ADMINISTRATIVAS Y ESPECIFICACIONALES TECNICAS ADJUNTAS</t>
        </is>
      </c>
    </row>
    <row r="7">
      <c r="A7" s="0" t="inlineStr">
        <is>
          <t xml:space="preserve">591-34-LE26</t>
        </is>
      </c>
      <c r="B7" s="4" t="inlineStr">
        <is>
          <t xml:space="preserve">CURSO IA EN INGENIERÍA DE SOFTWARE Y ANALÍTICA  A</t>
        </is>
      </c>
      <c r="C7" s="0">
        <v>1</v>
      </c>
      <c r="D7" s="4" t="inlineStr">
        <is>
          <t xml:space="preserve">Programas o cursos no diplomados a distancia</t>
        </is>
      </c>
      <c r="E7" s="4" t="inlineStr">
        <is>
          <t xml:space="preserve">Educación, formación, entrenamiento y capacitación / Sistemas educativos complementarios / Aprendizaje a distancia</t>
        </is>
      </c>
      <c r="F7" s="0">
        <v>1.0</v>
      </c>
      <c r="G7" s="0" t="inlineStr">
        <is>
          <t xml:space="preserve">Unidad</t>
        </is>
      </c>
      <c r="H7" s="4" t="inlineStr">
        <is>
          <t xml:space="preserve">CURSO IA EN INGENIERÍA DE SOFTWARE Y ANALÍTICA  AVANZADA</t>
        </is>
      </c>
    </row>
    <row r="8">
      <c r="A8" s="0" t="inlineStr">
        <is>
          <t xml:space="preserve">2078-47-LE26</t>
        </is>
      </c>
      <c r="B8" s="4" t="inlineStr">
        <is>
          <t xml:space="preserve">“SERVICIO DE DIFUSIÓN MULTIMEDIAL REGIONAL EN MEDIOS DE COMUNICACIÓN Y PLATAFORMAS DIGITALES” LA SEREMI DE SALUD REGIÓN DEL BIOBÍO  S.C. N° 464 465 466 467 472 474 475 476 477 478</t>
        </is>
      </c>
      <c r="C8" s="0">
        <v>1</v>
      </c>
      <c r="D8" s="4" t="inlineStr">
        <is>
          <t xml:space="preserve">Publicidad en radio</t>
        </is>
      </c>
      <c r="E8" s="4" t="inlineStr">
        <is>
          <t xml:space="preserve">Servicios editoriales, de diseño, publicidad, gráficos y artistas / Publicidad / Publicidad en medios no impresos</t>
        </is>
      </c>
      <c r="F8" s="0">
        <v>1.0</v>
      </c>
      <c r="G8" s="0" t="inlineStr">
        <is>
          <t xml:space="preserve">Unidad</t>
        </is>
      </c>
      <c r="H8" s="4" t="inlineStr">
        <is>
          <t xml:space="preserve">1 radio con cobertura regional y/o provincial Concepción, considerando la difusión de 01 frase radial, con 5 reproducciones diarias, 5 días a la semana, un mes; + difusión en web y redes sociales SC 464</t>
        </is>
      </c>
    </row>
    <row r="9">
      <c r="A9" s="0" t="inlineStr">
        <is>
          <t xml:space="preserve">2078-47-LE26</t>
        </is>
      </c>
      <c r="B9" s="4" t="inlineStr">
        <is>
          <t xml:space="preserve">“SERVICIO DE DIFUSIÓN MULTIMEDIAL REGIONAL EN MEDIOS DE COMUNICACIÓN Y PLATAFORMAS DIGITALES” LA SEREMI DE SALUD REGIÓN DEL BIOBÍO  S.C. N° 464 465 466 467 472 474 475 476 477 478</t>
        </is>
      </c>
      <c r="C9" s="0">
        <v>2</v>
      </c>
      <c r="D9" s="4" t="inlineStr">
        <is>
          <t xml:space="preserve">Publicidad en radio</t>
        </is>
      </c>
      <c r="E9" s="4" t="inlineStr">
        <is>
          <t xml:space="preserve">Servicios editoriales, de diseño, publicidad, gráficos y artistas / Publicidad / Publicidad en medios no impresos</t>
        </is>
      </c>
      <c r="F9" s="0">
        <v>1.0</v>
      </c>
      <c r="G9" s="0" t="inlineStr">
        <is>
          <t xml:space="preserve">Unidad</t>
        </is>
      </c>
      <c r="H9" s="4" t="inlineStr">
        <is>
          <t xml:space="preserve">1 radio con cobertura en la provincia de Biobío, considerando la difusión de 01 frase radial, con 6 reproducciones diarias, 5 días a la semana, un mes; + difusión en web y redes sociales SC 465</t>
        </is>
      </c>
    </row>
    <row r="10">
      <c r="A10" s="0" t="inlineStr">
        <is>
          <t xml:space="preserve">2078-47-LE26</t>
        </is>
      </c>
      <c r="B10" s="4" t="inlineStr">
        <is>
          <t xml:space="preserve">“SERVICIO DE DIFUSIÓN MULTIMEDIAL REGIONAL EN MEDIOS DE COMUNICACIÓN Y PLATAFORMAS DIGITALES” LA SEREMI DE SALUD REGIÓN DEL BIOBÍO  S.C. N° 464 465 466 467 472 474 475 476 477 478</t>
        </is>
      </c>
      <c r="C10" s="0">
        <v>3</v>
      </c>
      <c r="D10" s="4" t="inlineStr">
        <is>
          <t xml:space="preserve">Avisos en televisión</t>
        </is>
      </c>
      <c r="E10" s="4" t="inlineStr">
        <is>
          <t xml:space="preserve">Servicios editoriales, de diseño, publicidad, gráficos y artistas / Publicidad / Inserciones publicitarias en medios</t>
        </is>
      </c>
      <c r="F10" s="0">
        <v>1.0</v>
      </c>
      <c r="G10" s="0" t="inlineStr">
        <is>
          <t xml:space="preserve">Unidad</t>
        </is>
      </c>
      <c r="H10" s="4" t="inlineStr">
        <is>
          <t xml:space="preserve">1 canal de TV con cobertura regional y/o provincial Concepción, considerando la difusión de 01 spot de TV regional y/o provincial Concepción, con 1 reproducción diaria, 5 días a la semana, un mes; +difusión en web y redes sociales SC 466</t>
        </is>
      </c>
    </row>
    <row r="11">
      <c r="A11" s="0" t="inlineStr">
        <is>
          <t xml:space="preserve">2078-47-LE26</t>
        </is>
      </c>
      <c r="B11" s="4" t="inlineStr">
        <is>
          <t xml:space="preserve">“SERVICIO DE DIFUSIÓN MULTIMEDIAL REGIONAL EN MEDIOS DE COMUNICACIÓN Y PLATAFORMAS DIGITALES” LA SEREMI DE SALUD REGIÓN DEL BIOBÍO  S.C. N° 464 465 466 467 472 474 475 476 477 478</t>
        </is>
      </c>
      <c r="C11" s="0">
        <v>4</v>
      </c>
      <c r="D11" s="4" t="inlineStr">
        <is>
          <t xml:space="preserve">Campañas publicitarias</t>
        </is>
      </c>
      <c r="E11" s="4" t="inlineStr">
        <is>
          <t xml:space="preserve">Servicios editoriales, de diseño, publicidad, gráficos y artistas / Publicidad / Agencias de publicidad</t>
        </is>
      </c>
      <c r="F11" s="0">
        <v>1.0</v>
      </c>
      <c r="G11" s="0" t="inlineStr">
        <is>
          <t xml:space="preserve">Unidad</t>
        </is>
      </c>
      <c r="H11" s="4" t="inlineStr">
        <is>
          <t xml:space="preserve">1 agencia de publicidad, que permita pagar reproducción de contenidos en redes sociales institucionales, específicamente de Instagram, de la SEREMI de Salud del Biobío, al objeto de incrementar el alcance de la publicación. SC 467
Utilidad máxima de la a</t>
        </is>
      </c>
    </row>
    <row r="12">
      <c r="A12" s="0" t="inlineStr">
        <is>
          <t xml:space="preserve">2078-47-LE26</t>
        </is>
      </c>
      <c r="B12" s="4" t="inlineStr">
        <is>
          <t xml:space="preserve">“SERVICIO DE DIFUSIÓN MULTIMEDIAL REGIONAL EN MEDIOS DE COMUNICACIÓN Y PLATAFORMAS DIGITALES” LA SEREMI DE SALUD REGIÓN DEL BIOBÍO  S.C. N° 464 465 466 467 472 474 475 476 477 478</t>
        </is>
      </c>
      <c r="C12" s="0">
        <v>5</v>
      </c>
      <c r="D12" s="4" t="inlineStr">
        <is>
          <t xml:space="preserve">Publicidad en radio</t>
        </is>
      </c>
      <c r="E12" s="4" t="inlineStr">
        <is>
          <t xml:space="preserve">Servicios editoriales, de diseño, publicidad, gráficos y artistas / Publicidad / Publicidad en medios no impresos</t>
        </is>
      </c>
      <c r="F12" s="0">
        <v>1.0</v>
      </c>
      <c r="G12" s="0" t="inlineStr">
        <is>
          <t xml:space="preserve">Unidad</t>
        </is>
      </c>
      <c r="H12" s="4" t="inlineStr">
        <is>
          <t xml:space="preserve">1 radio con cobertura en la provincia de Arauco, considerando la difusión de 01 frase radial, con 6 reproducciones diarias, 5 días a la semana, un mes; + difusión en web y redes sociales 472</t>
        </is>
      </c>
    </row>
    <row r="13">
      <c r="A13" s="0" t="inlineStr">
        <is>
          <t xml:space="preserve">2078-47-LE26</t>
        </is>
      </c>
      <c r="B13" s="4" t="inlineStr">
        <is>
          <t xml:space="preserve">“SERVICIO DE DIFUSIÓN MULTIMEDIAL REGIONAL EN MEDIOS DE COMUNICACIÓN Y PLATAFORMAS DIGITALES” LA SEREMI DE SALUD REGIÓN DEL BIOBÍO  S.C. N° 464 465 466 467 472 474 475 476 477 478</t>
        </is>
      </c>
      <c r="C13" s="0">
        <v>6</v>
      </c>
      <c r="D13" s="4" t="inlineStr">
        <is>
          <t xml:space="preserve">Publicidad en Internet</t>
        </is>
      </c>
      <c r="E13" s="4" t="inlineStr">
        <is>
          <t xml:space="preserve">Servicios editoriales, de diseño, publicidad, gráficos y artistas / Publicidad / Publicidad en medios no impresos</t>
        </is>
      </c>
      <c r="F13" s="0">
        <v>1.0</v>
      </c>
      <c r="G13" s="0" t="inlineStr">
        <is>
          <t xml:space="preserve">Unidad</t>
        </is>
      </c>
      <c r="H13" s="4" t="inlineStr">
        <is>
          <t xml:space="preserve">1 medio de comunicación regional multiplataforma, considerando la difusión de banner, 01 spot en web, nota de prensa, publicación en redes sociales SC 474</t>
        </is>
      </c>
    </row>
    <row r="14">
      <c r="A14" s="0" t="inlineStr">
        <is>
          <t xml:space="preserve">2078-47-LE26</t>
        </is>
      </c>
      <c r="B14" s="4" t="inlineStr">
        <is>
          <t xml:space="preserve">“SERVICIO DE DIFUSIÓN MULTIMEDIAL REGIONAL EN MEDIOS DE COMUNICACIÓN Y PLATAFORMAS DIGITALES” LA SEREMI DE SALUD REGIÓN DEL BIOBÍO  S.C. N° 464 465 466 467 472 474 475 476 477 478</t>
        </is>
      </c>
      <c r="C14" s="0">
        <v>7</v>
      </c>
      <c r="D14" s="4" t="inlineStr">
        <is>
          <t xml:space="preserve">Publicidad en radio</t>
        </is>
      </c>
      <c r="E14" s="4" t="inlineStr">
        <is>
          <t xml:space="preserve">Servicios editoriales, de diseño, publicidad, gráficos y artistas / Publicidad / Publicidad en medios no impresos</t>
        </is>
      </c>
      <c r="F14" s="0">
        <v>1.0</v>
      </c>
      <c r="G14" s="0" t="inlineStr">
        <is>
          <t xml:space="preserve">Unidad</t>
        </is>
      </c>
      <c r="H14" s="4" t="inlineStr">
        <is>
          <t xml:space="preserve">1 radio con cobertura regional y/o provincial Concepción, considerando la difusión de 01 frase radial, con 5 reproducciones diarias, 5 días a la semana, un mes; + difusión en web y redes sociales SC 475</t>
        </is>
      </c>
    </row>
    <row r="15">
      <c r="A15" s="0" t="inlineStr">
        <is>
          <t xml:space="preserve">2078-47-LE26</t>
        </is>
      </c>
      <c r="B15" s="4" t="inlineStr">
        <is>
          <t xml:space="preserve">“SERVICIO DE DIFUSIÓN MULTIMEDIAL REGIONAL EN MEDIOS DE COMUNICACIÓN Y PLATAFORMAS DIGITALES” LA SEREMI DE SALUD REGIÓN DEL BIOBÍO  S.C. N° 464 465 466 467 472 474 475 476 477 478</t>
        </is>
      </c>
      <c r="C15" s="0">
        <v>8</v>
      </c>
      <c r="D15" s="4" t="inlineStr">
        <is>
          <t xml:space="preserve">Publicidad en radio</t>
        </is>
      </c>
      <c r="E15" s="4" t="inlineStr">
        <is>
          <t xml:space="preserve">Servicios editoriales, de diseño, publicidad, gráficos y artistas / Publicidad / Publicidad en medios no impresos</t>
        </is>
      </c>
      <c r="F15" s="0">
        <v>1.0</v>
      </c>
      <c r="G15" s="0" t="inlineStr">
        <is>
          <t xml:space="preserve">Unidad</t>
        </is>
      </c>
      <c r="H15" s="4" t="inlineStr">
        <is>
          <t xml:space="preserve">1 radio con cobertura en la provincia de Biobío, considerando la difusión de 01 frase radial, con 6 reproducciones diarias, 5 días a la semana, un mes; + difusión en web y redes sociales SC 476</t>
        </is>
      </c>
    </row>
    <row r="16">
      <c r="A16" s="0" t="inlineStr">
        <is>
          <t xml:space="preserve">2078-47-LE26</t>
        </is>
      </c>
      <c r="B16" s="4" t="inlineStr">
        <is>
          <t xml:space="preserve">“SERVICIO DE DIFUSIÓN MULTIMEDIAL REGIONAL EN MEDIOS DE COMUNICACIÓN Y PLATAFORMAS DIGITALES” LA SEREMI DE SALUD REGIÓN DEL BIOBÍO  S.C. N° 464 465 466 467 472 474 475 476 477 478</t>
        </is>
      </c>
      <c r="C16" s="0">
        <v>9</v>
      </c>
      <c r="D16" s="4" t="inlineStr">
        <is>
          <t xml:space="preserve">Publicidad en radio</t>
        </is>
      </c>
      <c r="E16" s="4" t="inlineStr">
        <is>
          <t xml:space="preserve">Servicios editoriales, de diseño, publicidad, gráficos y artistas / Publicidad / Publicidad en medios no impresos</t>
        </is>
      </c>
      <c r="F16" s="0">
        <v>1.0</v>
      </c>
      <c r="G16" s="0" t="inlineStr">
        <is>
          <t xml:space="preserve">Unidad</t>
        </is>
      </c>
      <c r="H16" s="4" t="inlineStr">
        <is>
          <t xml:space="preserve">1 radio con cobertura en la provincia de Arauco, considerando la difusión de 01 frase radial, con 6 reproducciones diarias, 5 días a la semana, un mes; + difusión en web y redes sociales SC 477</t>
        </is>
      </c>
    </row>
    <row r="17">
      <c r="A17" s="0" t="inlineStr">
        <is>
          <t xml:space="preserve">2078-47-LE26</t>
        </is>
      </c>
      <c r="B17" s="4" t="inlineStr">
        <is>
          <t xml:space="preserve">“SERVICIO DE DIFUSIÓN MULTIMEDIAL REGIONAL EN MEDIOS DE COMUNICACIÓN Y PLATAFORMAS DIGITALES” LA SEREMI DE SALUD REGIÓN DEL BIOBÍO  S.C. N° 464 465 466 467 472 474 475 476 477 478</t>
        </is>
      </c>
      <c r="C17" s="0">
        <v>10</v>
      </c>
      <c r="D17" s="4" t="inlineStr">
        <is>
          <t xml:space="preserve">Campañas publicitarias</t>
        </is>
      </c>
      <c r="E17" s="4" t="inlineStr">
        <is>
          <t xml:space="preserve">Servicios editoriales, de diseño, publicidad, gráficos y artistas / Publicidad / Agencias de publicidad</t>
        </is>
      </c>
      <c r="F17" s="0">
        <v>1.0</v>
      </c>
      <c r="G17" s="0" t="inlineStr">
        <is>
          <t xml:space="preserve">Unidad</t>
        </is>
      </c>
      <c r="H17" s="4" t="inlineStr">
        <is>
          <t xml:space="preserve">1 agencia de publicidad, que permita pagar reproducción de contenidos en redes sociales institucionales, específicamente de Instagram, de la SEREMI de Salud del Biobío, al objeto de incrementar el alcance de la publicación SC 478
Utilidad máxima de la ag</t>
        </is>
      </c>
    </row>
    <row r="18">
      <c r="A18" s="0" t="inlineStr">
        <is>
          <t xml:space="preserve">1208129-10-LP26</t>
        </is>
      </c>
      <c r="B18" s="4" t="inlineStr">
        <is>
          <t xml:space="preserve">Giftcards digitales nominativas para las RR.FF A.D</t>
        </is>
      </c>
      <c r="C18" s="0">
        <v>1</v>
      </c>
      <c r="D18" s="4" t="inlineStr">
        <is>
          <t xml:space="preserve">Planificación de compensaciones o beneficios</t>
        </is>
      </c>
      <c r="E18" s="4" t="inlineStr">
        <is>
          <t xml:space="preserve">Servicios profesionales, administrativos y consultorías de gestión empresarial / Servicios de recursos humanos / Consultorías para el desarrollo de recursos humanos</t>
        </is>
      </c>
      <c r="F18" s="0">
        <v>1.0</v>
      </c>
      <c r="G18" s="0" t="inlineStr">
        <is>
          <t xml:space="preserve">Global</t>
        </is>
      </c>
      <c r="H18" s="4" t="inlineStr">
        <is>
          <t xml:space="preserve">servicios de administración y provisión de beneficios mediante giftcards digitales nominativas, destinadas a atender necesidades de alimentación de las Residencias Familiares de AA.DD del SPE Región del Biobio.</t>
        </is>
      </c>
    </row>
    <row r="19">
      <c r="A19" s="0" t="inlineStr">
        <is>
          <t xml:space="preserve">1208129-10-LP26</t>
        </is>
      </c>
      <c r="B19" s="4" t="inlineStr">
        <is>
          <t xml:space="preserve">Giftcards digitales nominativas para las RR.FF A.D</t>
        </is>
      </c>
      <c r="C19" s="0">
        <v>2</v>
      </c>
      <c r="D19" s="4" t="inlineStr">
        <is>
          <t xml:space="preserve">Planificación de compensaciones o beneficios</t>
        </is>
      </c>
      <c r="E19" s="4" t="inlineStr">
        <is>
          <t xml:space="preserve">Servicios profesionales, administrativos y consultorías de gestión empresarial / Servicios de recursos humanos / Consultorías para el desarrollo de recursos humanos</t>
        </is>
      </c>
      <c r="F19" s="0">
        <v>1.0</v>
      </c>
      <c r="G19" s="0" t="inlineStr">
        <is>
          <t xml:space="preserve">Global</t>
        </is>
      </c>
      <c r="H19" s="4" t="inlineStr">
        <is>
          <t xml:space="preserve">servicios de administración y provisión de beneficios mediante giftcards digitales nominativas, destinadas a atender necesidades de vestuario de las Residencias Familiares de AA.DD del SPE Región del Biobio.</t>
        </is>
      </c>
    </row>
    <row r="20">
      <c r="A20" s="0" t="inlineStr">
        <is>
          <t xml:space="preserve">1208129-10-LP26</t>
        </is>
      </c>
      <c r="B20" s="4" t="inlineStr">
        <is>
          <t xml:space="preserve">Giftcards digitales nominativas para las RR.FF A.D</t>
        </is>
      </c>
      <c r="C20" s="0">
        <v>3</v>
      </c>
      <c r="D20" s="4" t="inlineStr">
        <is>
          <t xml:space="preserve">Planificación de compensaciones o beneficios</t>
        </is>
      </c>
      <c r="E20" s="4" t="inlineStr">
        <is>
          <t xml:space="preserve">Servicios profesionales, administrativos y consultorías de gestión empresarial / Servicios de recursos humanos / Consultorías para el desarrollo de recursos humanos</t>
        </is>
      </c>
      <c r="F20" s="0">
        <v>1.0</v>
      </c>
      <c r="G20" s="0" t="inlineStr">
        <is>
          <t xml:space="preserve">Global</t>
        </is>
      </c>
      <c r="H20" s="4" t="inlineStr">
        <is>
          <t xml:space="preserve">servicios de administración y provisión de beneficios mediante giftcards digitales nominativas, destinadas a atender necesidades de calzado para las Residencias Familiares de AA.DD del SPE Región del Biobio.</t>
        </is>
      </c>
    </row>
    <row r="21">
      <c r="A21" s="0" t="inlineStr">
        <is>
          <t xml:space="preserve">1562-75-LE26</t>
        </is>
      </c>
      <c r="B21" s="4" t="inlineStr">
        <is>
          <t xml:space="preserve">ADQUISICIÓN DE SOFTWARE AGISOFT METASHAPE PROFESSI</t>
        </is>
      </c>
      <c r="C21" s="0">
        <v>1</v>
      </c>
      <c r="D21" s="4" t="inlineStr">
        <is>
          <t xml:space="preserve">Software de gestión de licencias</t>
        </is>
      </c>
      <c r="E21" s="4" t="inlineStr">
        <is>
          <t xml:space="preserve">Tecnologías de la información, telecomunicaciones y radiodifusión / Software / Software de gestión</t>
        </is>
      </c>
      <c r="F21" s="0">
        <v>1.0</v>
      </c>
      <c r="G21" s="0" t="inlineStr">
        <is>
          <t xml:space="preserve">Unidad</t>
        </is>
      </c>
      <c r="H21" s="4" t="inlineStr">
        <is>
          <t xml:space="preserve">La presente licitación tiene por objetivo dotar al Subdepartamento de Analítica Territorial de SERNAGEOMIN de un paquete de tres licencias fijas del software Agisoft Metashape Professional o equivalente, que permita fortalecer las capacidades instituciona</t>
        </is>
      </c>
    </row>
    <row r="22">
      <c r="A22" s="0" t="inlineStr">
        <is>
          <t xml:space="preserve">2563-34-LR26</t>
        </is>
      </c>
      <c r="B22" s="4" t="inlineStr">
        <is>
          <t xml:space="preserve">EQUIPOS PARA REDES INFORMÁTICAS Y LICENCIAS</t>
        </is>
      </c>
      <c r="C22" s="0">
        <v>1</v>
      </c>
      <c r="D22" s="4" t="inlineStr">
        <is>
          <t xml:space="preserve">Cajas de conmutación de computadores</t>
        </is>
      </c>
      <c r="E22" s="4" t="inlineStr">
        <is>
          <t xml:space="preserve">Tecnologías de la información, telecomunicaciones y radiodifusión / Equipos informáticos y accesorios / Accesorios de computador</t>
        </is>
      </c>
      <c r="F22" s="0">
        <v>10.0</v>
      </c>
      <c r="G22" s="0" t="inlineStr">
        <is>
          <t xml:space="preserve">Unidad</t>
        </is>
      </c>
      <c r="H22" s="4" t="inlineStr">
        <is>
          <t xml:space="preserve">Switch 48G PoE 4SFP+ (equivalente al modelo JL727B) / Control de Acceso</t>
        </is>
      </c>
    </row>
    <row r="23">
      <c r="A23" s="0" t="inlineStr">
        <is>
          <t xml:space="preserve">2563-34-LR26</t>
        </is>
      </c>
      <c r="B23" s="4" t="inlineStr">
        <is>
          <t xml:space="preserve">EQUIPOS PARA REDES INFORMÁTICAS Y LICENCIAS</t>
        </is>
      </c>
      <c r="C23" s="0">
        <v>2</v>
      </c>
      <c r="D23" s="4" t="inlineStr">
        <is>
          <t xml:space="preserve">Cajas de conmutación de computadores</t>
        </is>
      </c>
      <c r="E23" s="4" t="inlineStr">
        <is>
          <t xml:space="preserve">Tecnologías de la información, telecomunicaciones y radiodifusión / Equipos informáticos y accesorios / Accesorios de computador</t>
        </is>
      </c>
      <c r="F23" s="0">
        <v>11.0</v>
      </c>
      <c r="G23" s="0" t="inlineStr">
        <is>
          <t xml:space="preserve">Unidad</t>
        </is>
      </c>
      <c r="H23" s="4" t="inlineStr">
        <is>
          <t xml:space="preserve">Switch 48G PoE 4SFP+ (equivalente al modelo JL727B) /Aeroportuarios</t>
        </is>
      </c>
    </row>
    <row r="24">
      <c r="A24" s="0" t="inlineStr">
        <is>
          <t xml:space="preserve">2563-34-LR26</t>
        </is>
      </c>
      <c r="B24" s="4" t="inlineStr">
        <is>
          <t xml:space="preserve">EQUIPOS PARA REDES INFORMÁTICAS Y LICENCIAS</t>
        </is>
      </c>
      <c r="C24" s="0">
        <v>3</v>
      </c>
      <c r="D24" s="4" t="inlineStr">
        <is>
          <t xml:space="preserve">Cajas de conmutación de computadores</t>
        </is>
      </c>
      <c r="E24" s="4" t="inlineStr">
        <is>
          <t xml:space="preserve">Tecnologías de la información, telecomunicaciones y radiodifusión / Equipos informáticos y accesorios / Accesorios de computador</t>
        </is>
      </c>
      <c r="F24" s="0">
        <v>1.0</v>
      </c>
      <c r="G24" s="0" t="inlineStr">
        <is>
          <t xml:space="preserve">Unidad</t>
        </is>
      </c>
      <c r="H24" s="4" t="inlineStr">
        <is>
          <t xml:space="preserve">Switch 24G PoE 4SFP+(equivalente al modelo JL261A) /Aeroportuario</t>
        </is>
      </c>
    </row>
    <row r="25">
      <c r="A25" s="0" t="inlineStr">
        <is>
          <t xml:space="preserve">2563-34-LR26</t>
        </is>
      </c>
      <c r="B25" s="4" t="inlineStr">
        <is>
          <t xml:space="preserve">EQUIPOS PARA REDES INFORMÁTICAS Y LICENCIAS</t>
        </is>
      </c>
      <c r="C25" s="0">
        <v>4</v>
      </c>
      <c r="D25" s="4" t="inlineStr">
        <is>
          <t xml:space="preserve">Cajas de conmutación de computadores</t>
        </is>
      </c>
      <c r="E25" s="4" t="inlineStr">
        <is>
          <t xml:space="preserve">Tecnologías de la información, telecomunicaciones y radiodifusión / Equipos informáticos y accesorios / Accesorios de computador</t>
        </is>
      </c>
      <c r="F25" s="0">
        <v>7.0</v>
      </c>
      <c r="G25" s="0" t="inlineStr">
        <is>
          <t xml:space="preserve">Unidad</t>
        </is>
      </c>
      <c r="H25" s="4" t="inlineStr">
        <is>
          <t xml:space="preserve">Switch 12G PoE 2SFP+ (equivalente al modelo R8Q72A) /Aeroportuario</t>
        </is>
      </c>
    </row>
    <row r="26">
      <c r="A26" s="0" t="inlineStr">
        <is>
          <t xml:space="preserve">2563-34-LR26</t>
        </is>
      </c>
      <c r="B26" s="4" t="inlineStr">
        <is>
          <t xml:space="preserve">EQUIPOS PARA REDES INFORMÁTICAS Y LICENCIAS</t>
        </is>
      </c>
      <c r="C26" s="0">
        <v>5</v>
      </c>
      <c r="D26" s="4" t="inlineStr">
        <is>
          <t xml:space="preserve">Cajas de conmutación de computadores</t>
        </is>
      </c>
      <c r="E26" s="4" t="inlineStr">
        <is>
          <t xml:space="preserve">Tecnologías de la información, telecomunicaciones y radiodifusión / Equipos informáticos y accesorios / Accesorios de computador</t>
        </is>
      </c>
      <c r="F26" s="0">
        <v>4.0</v>
      </c>
      <c r="G26" s="0" t="inlineStr">
        <is>
          <t xml:space="preserve">Unidad</t>
        </is>
      </c>
      <c r="H26" s="4" t="inlineStr">
        <is>
          <t xml:space="preserve">Access Point Desktop (equivalente al modelo R3V46A) /Control de acceso</t>
        </is>
      </c>
    </row>
    <row r="27">
      <c r="A27" s="0" t="inlineStr">
        <is>
          <t xml:space="preserve">2563-34-LR26</t>
        </is>
      </c>
      <c r="B27" s="4" t="inlineStr">
        <is>
          <t xml:space="preserve">EQUIPOS PARA REDES INFORMÁTICAS Y LICENCIAS</t>
        </is>
      </c>
      <c r="C27" s="0">
        <v>6</v>
      </c>
      <c r="D27" s="4" t="inlineStr">
        <is>
          <t xml:space="preserve">Cajas de conmutación de computadores</t>
        </is>
      </c>
      <c r="E27" s="4" t="inlineStr">
        <is>
          <t xml:space="preserve">Tecnologías de la información, telecomunicaciones y radiodifusión / Equipos informáticos y accesorios / Accesorios de computador</t>
        </is>
      </c>
      <c r="F27" s="0">
        <v>20.0</v>
      </c>
      <c r="G27" s="0" t="inlineStr">
        <is>
          <t xml:space="preserve">Unidad</t>
        </is>
      </c>
      <c r="H27" s="4" t="inlineStr">
        <is>
          <t xml:space="preserve">Access Point
(equivalente al modelo JZ336A) /Control de Acceso</t>
        </is>
      </c>
    </row>
    <row r="28">
      <c r="A28" s="0" t="inlineStr">
        <is>
          <t xml:space="preserve">2563-34-LR26</t>
        </is>
      </c>
      <c r="B28" s="4" t="inlineStr">
        <is>
          <t xml:space="preserve">EQUIPOS PARA REDES INFORMÁTICAS Y LICENCIAS</t>
        </is>
      </c>
      <c r="C28" s="0">
        <v>7</v>
      </c>
      <c r="D28" s="4" t="inlineStr">
        <is>
          <t xml:space="preserve">Cajas de conmutación de computadores</t>
        </is>
      </c>
      <c r="E28" s="4" t="inlineStr">
        <is>
          <t xml:space="preserve">Tecnologías de la información, telecomunicaciones y radiodifusión / Equipos informáticos y accesorios / Accesorios de computador</t>
        </is>
      </c>
      <c r="F28" s="0">
        <v>11.0</v>
      </c>
      <c r="G28" s="0" t="inlineStr">
        <is>
          <t xml:space="preserve">Unidad</t>
        </is>
      </c>
      <c r="H28" s="4" t="inlineStr">
        <is>
          <t xml:space="preserve">Access Point
(equivalente al modelo JZ336A) /Aeroportuarios</t>
        </is>
      </c>
    </row>
    <row r="29">
      <c r="A29" s="0" t="inlineStr">
        <is>
          <t xml:space="preserve">2563-34-LR26</t>
        </is>
      </c>
      <c r="B29" s="4" t="inlineStr">
        <is>
          <t xml:space="preserve">EQUIPOS PARA REDES INFORMÁTICAS Y LICENCIAS</t>
        </is>
      </c>
      <c r="C29" s="0">
        <v>8</v>
      </c>
      <c r="D29" s="4" t="inlineStr">
        <is>
          <t xml:space="preserve">Cajas de conmutación de computadores</t>
        </is>
      </c>
      <c r="E29" s="4" t="inlineStr">
        <is>
          <t xml:space="preserve">Tecnologías de la información, telecomunicaciones y radiodifusión / Equipos informáticos y accesorios / Accesorios de computador</t>
        </is>
      </c>
      <c r="F29" s="0">
        <v>6.0</v>
      </c>
      <c r="G29" s="0" t="inlineStr">
        <is>
          <t xml:space="preserve">Unidad</t>
        </is>
      </c>
      <c r="H29" s="4" t="inlineStr">
        <is>
          <t xml:space="preserve">Access Point Exterior
(equivalente al modelo R7T05A) /Control de Acceso</t>
        </is>
      </c>
    </row>
    <row r="30">
      <c r="A30" s="0" t="inlineStr">
        <is>
          <t xml:space="preserve">2563-34-LR26</t>
        </is>
      </c>
      <c r="B30" s="4" t="inlineStr">
        <is>
          <t xml:space="preserve">EQUIPOS PARA REDES INFORMÁTICAS Y LICENCIAS</t>
        </is>
      </c>
      <c r="C30" s="0">
        <v>9</v>
      </c>
      <c r="D30" s="4" t="inlineStr">
        <is>
          <t xml:space="preserve">Cajas de conmutación de computadores</t>
        </is>
      </c>
      <c r="E30" s="4" t="inlineStr">
        <is>
          <t xml:space="preserve">Tecnologías de la información, telecomunicaciones y radiodifusión / Equipos informáticos y accesorios / Accesorios de computador</t>
        </is>
      </c>
      <c r="F30" s="0">
        <v>3.0</v>
      </c>
      <c r="G30" s="0" t="inlineStr">
        <is>
          <t xml:space="preserve">Unidad</t>
        </is>
      </c>
      <c r="H30" s="4" t="inlineStr">
        <is>
          <t xml:space="preserve">Soporte anclaje para riel cielo falso plano 9/16'' Pack 10 unidades. /Aeroportuarios</t>
        </is>
      </c>
    </row>
    <row r="31">
      <c r="A31" s="0" t="inlineStr">
        <is>
          <t xml:space="preserve">2563-34-LR26</t>
        </is>
      </c>
      <c r="B31" s="4" t="inlineStr">
        <is>
          <t xml:space="preserve">EQUIPOS PARA REDES INFORMÁTICAS Y LICENCIAS</t>
        </is>
      </c>
      <c r="C31" s="0">
        <v>10</v>
      </c>
      <c r="D31" s="4" t="inlineStr">
        <is>
          <t xml:space="preserve">Cajas de conmutación de computadores</t>
        </is>
      </c>
      <c r="E31" s="4" t="inlineStr">
        <is>
          <t xml:space="preserve">Tecnologías de la información, telecomunicaciones y radiodifusión / Equipos informáticos y accesorios / Accesorios de computador</t>
        </is>
      </c>
      <c r="F31" s="0">
        <v>3.0</v>
      </c>
      <c r="G31" s="0" t="inlineStr">
        <is>
          <t xml:space="preserve">Unidad</t>
        </is>
      </c>
      <c r="H31" s="4" t="inlineStr">
        <is>
          <t xml:space="preserve">Soporte anclaje para superficie sólida Pack 10 unidades. /Aeroportuarios</t>
        </is>
      </c>
    </row>
    <row r="32">
      <c r="A32" s="0" t="inlineStr">
        <is>
          <t xml:space="preserve">2563-34-LR26</t>
        </is>
      </c>
      <c r="B32" s="4" t="inlineStr">
        <is>
          <t xml:space="preserve">EQUIPOS PARA REDES INFORMÁTICAS Y LICENCIAS</t>
        </is>
      </c>
      <c r="C32" s="0">
        <v>11</v>
      </c>
      <c r="D32" s="4" t="inlineStr">
        <is>
          <t xml:space="preserve">Cajas de conmutación de computadores</t>
        </is>
      </c>
      <c r="E32" s="4" t="inlineStr">
        <is>
          <t xml:space="preserve">Tecnologías de la información, telecomunicaciones y radiodifusión / Equipos informáticos y accesorios / Accesorios de computador</t>
        </is>
      </c>
      <c r="F32" s="0">
        <v>10.0</v>
      </c>
      <c r="G32" s="0" t="inlineStr">
        <is>
          <t xml:space="preserve">Unidad</t>
        </is>
      </c>
      <c r="H32" s="4" t="inlineStr">
        <is>
          <t xml:space="preserve">Módulo 10G SFP+ LC LR 10km
(equivalente al modelo J9151E) /Control de Acceso</t>
        </is>
      </c>
    </row>
    <row r="33">
      <c r="A33" s="0" t="inlineStr">
        <is>
          <t xml:space="preserve">2563-34-LR26</t>
        </is>
      </c>
      <c r="B33" s="4" t="inlineStr">
        <is>
          <t xml:space="preserve">EQUIPOS PARA REDES INFORMÁTICAS Y LICENCIAS</t>
        </is>
      </c>
      <c r="C33" s="0">
        <v>12</v>
      </c>
      <c r="D33" s="4" t="inlineStr">
        <is>
          <t xml:space="preserve">Cajas de conmutación de computadores</t>
        </is>
      </c>
      <c r="E33" s="4" t="inlineStr">
        <is>
          <t xml:space="preserve">Tecnologías de la información, telecomunicaciones y radiodifusión / Equipos informáticos y accesorios / Accesorios de computador</t>
        </is>
      </c>
      <c r="F33" s="0">
        <v>10.0</v>
      </c>
      <c r="G33" s="0" t="inlineStr">
        <is>
          <t xml:space="preserve">Unidad</t>
        </is>
      </c>
      <c r="H33" s="4" t="inlineStr">
        <is>
          <t xml:space="preserve">Módulo FO (SM) 1G SFP LC LX 10km
(equivalente al modelo J4859D) /Control de Acceso</t>
        </is>
      </c>
    </row>
    <row r="34">
      <c r="A34" s="0" t="inlineStr">
        <is>
          <t xml:space="preserve">2563-34-LR26</t>
        </is>
      </c>
      <c r="B34" s="4" t="inlineStr">
        <is>
          <t xml:space="preserve">EQUIPOS PARA REDES INFORMÁTICAS Y LICENCIAS</t>
        </is>
      </c>
      <c r="C34" s="0">
        <v>13</v>
      </c>
      <c r="D34" s="4" t="inlineStr">
        <is>
          <t xml:space="preserve">Cajas de conmutación de computadores</t>
        </is>
      </c>
      <c r="E34" s="4" t="inlineStr">
        <is>
          <t xml:space="preserve">Tecnologías de la información, telecomunicaciones y radiodifusión / Equipos informáticos y accesorios / Accesorios de computador</t>
        </is>
      </c>
      <c r="F34" s="0">
        <v>24.0</v>
      </c>
      <c r="G34" s="0" t="inlineStr">
        <is>
          <t xml:space="preserve">Unidad</t>
        </is>
      </c>
      <c r="H34" s="4" t="inlineStr">
        <is>
          <t xml:space="preserve">Módulo FO (SM) 1G SFP LC LX 10km (equivalente al modelo J4859D) /Aeroportuarios</t>
        </is>
      </c>
    </row>
    <row r="35">
      <c r="A35" s="0" t="inlineStr">
        <is>
          <t xml:space="preserve">2563-34-LR26</t>
        </is>
      </c>
      <c r="B35" s="4" t="inlineStr">
        <is>
          <t xml:space="preserve">EQUIPOS PARA REDES INFORMÁTICAS Y LICENCIAS</t>
        </is>
      </c>
      <c r="C35" s="0">
        <v>14</v>
      </c>
      <c r="D35" s="4" t="inlineStr">
        <is>
          <t xml:space="preserve">Cajas de conmutación de computadores</t>
        </is>
      </c>
      <c r="E35" s="4" t="inlineStr">
        <is>
          <t xml:space="preserve">Tecnologías de la información, telecomunicaciones y radiodifusión / Equipos informáticos y accesorios / Accesorios de computador</t>
        </is>
      </c>
      <c r="F35" s="0">
        <v>1.0</v>
      </c>
      <c r="G35" s="0" t="inlineStr">
        <is>
          <t xml:space="preserve">Unidad</t>
        </is>
      </c>
      <c r="H35" s="4" t="inlineStr">
        <is>
          <t xml:space="preserve">Equipo de protección de enlaces de red frente a ataques DDoS y amenazas avanzadas, actuando directamente en el borde de la red (edge), donde se conectan los enlaces de Internet principal y de respaldo. /Control de Acceso</t>
        </is>
      </c>
    </row>
    <row r="36">
      <c r="A36" s="0" t="inlineStr">
        <is>
          <t xml:space="preserve">2563-34-LR26</t>
        </is>
      </c>
      <c r="B36" s="4" t="inlineStr">
        <is>
          <t xml:space="preserve">EQUIPOS PARA REDES INFORMÁTICAS Y LICENCIAS</t>
        </is>
      </c>
      <c r="C36" s="0">
        <v>15</v>
      </c>
      <c r="D36" s="4" t="inlineStr">
        <is>
          <t xml:space="preserve">Cajas de conmutación de computadores</t>
        </is>
      </c>
      <c r="E36" s="4" t="inlineStr">
        <is>
          <t xml:space="preserve">Tecnologías de la información, telecomunicaciones y radiodifusión / Equipos informáticos y accesorios / Accesorios de computador</t>
        </is>
      </c>
      <c r="F36" s="0">
        <v>1.0</v>
      </c>
      <c r="G36" s="0" t="inlineStr">
        <is>
          <t xml:space="preserve">Unidad</t>
        </is>
      </c>
      <c r="H36" s="4" t="inlineStr">
        <is>
          <t xml:space="preserve">Licencia para el funcionamiento del equipo de protección de enlaces de red frente a ataques DDoS y amenazas avanzadas. /Control de Acceso</t>
        </is>
      </c>
    </row>
    <row r="37">
      <c r="A37" s="0" t="inlineStr">
        <is>
          <t xml:space="preserve">2760-118-LR26</t>
        </is>
      </c>
      <c r="B37" s="4" t="inlineStr">
        <is>
          <t xml:space="preserve">SERVICIOS DE TELECOMUNICACIONES Y OTROS SERVICIOS INFORMÁTICOS PARA LA MUNICIPALIDAD DE CORONEL</t>
        </is>
      </c>
      <c r="C37" s="0">
        <v>1</v>
      </c>
      <c r="D37" s="4" t="inlineStr">
        <is>
          <t xml:space="preserve">Soporte y mantenimiento de red de área local (LAN)</t>
        </is>
      </c>
      <c r="E37" s="4" t="inlineStr">
        <is>
          <t xml:space="preserve">Servicios basados en ingeniería, ciencias sociales y tecnología de la información / Servicios informáticos / Administración de sistemas</t>
        </is>
      </c>
      <c r="F37" s="0">
        <v>1.0</v>
      </c>
      <c r="G37" s="0" t="inlineStr">
        <is>
          <t xml:space="preserve">Global</t>
        </is>
      </c>
      <c r="H37" s="4" t="inlineStr">
        <is>
          <t xml:space="preserve">Servicios de Telecomunicaciones y Otros Servicios Informáticos para la Municipalidad de Coronel</t>
        </is>
      </c>
    </row>
    <row r="38">
      <c r="A38" s="0" t="inlineStr">
        <is>
          <t xml:space="preserve">548874-78-LR26</t>
        </is>
      </c>
      <c r="B38" s="4" t="inlineStr">
        <is>
          <t xml:space="preserve">SERVICIO DE LICENCIAS CLOUD SUCCESSFACTORS</t>
        </is>
      </c>
      <c r="C38" s="0">
        <v>1</v>
      </c>
      <c r="D38" s="4" t="inlineStr">
        <is>
          <t xml:space="preserve">Software de gestión de licencias</t>
        </is>
      </c>
      <c r="E38" s="4" t="inlineStr">
        <is>
          <t xml:space="preserve">Tecnologías de la información, telecomunicaciones y radiodifusión / Software / Software de gestión</t>
        </is>
      </c>
      <c r="F38" s="0">
        <v>1.0</v>
      </c>
      <c r="G38" s="0" t="inlineStr">
        <is>
          <t xml:space="preserve">Global</t>
        </is>
      </c>
      <c r="H38" s="4" t="inlineStr">
        <is>
          <t xml:space="preserve">SERVICIO DE LICENCIAS CLOUD SUCCESSFACTORS
EN MODALIDAD SAAS.</t>
        </is>
      </c>
    </row>
    <row r="39">
      <c r="A39" s="0" t="inlineStr">
        <is>
          <t xml:space="preserve">5574-13-LE26</t>
        </is>
      </c>
      <c r="B39" s="4" t="inlineStr">
        <is>
          <t xml:space="preserve">Licencias Adobe Creative Cloud y Acrobat Pro DC.</t>
        </is>
      </c>
      <c r="C39" s="0">
        <v>1</v>
      </c>
      <c r="D39" s="4" t="inlineStr">
        <is>
          <t xml:space="preserve">Software de gestión de licencias</t>
        </is>
      </c>
      <c r="E39" s="4" t="inlineStr">
        <is>
          <t xml:space="preserve">Tecnologías de la información, telecomunicaciones y radiodifusión / Software / Software de gestión</t>
        </is>
      </c>
      <c r="F39" s="0">
        <v>100.0</v>
      </c>
      <c r="G39" s="0" t="inlineStr">
        <is>
          <t xml:space="preserve">Unidad</t>
        </is>
      </c>
      <c r="H39" s="4" t="inlineStr">
        <is>
          <t xml:space="preserve">Creative Cloud para equipos All Apps.</t>
        </is>
      </c>
    </row>
    <row r="40">
      <c r="A40" s="0" t="inlineStr">
        <is>
          <t xml:space="preserve">5574-13-LE26</t>
        </is>
      </c>
      <c r="B40" s="4" t="inlineStr">
        <is>
          <t xml:space="preserve">Licencias Adobe Creative Cloud y Acrobat Pro DC.</t>
        </is>
      </c>
      <c r="C40" s="0">
        <v>2</v>
      </c>
      <c r="D40" s="4" t="inlineStr">
        <is>
          <t xml:space="preserve">Software de gestión de licencias</t>
        </is>
      </c>
      <c r="E40" s="4" t="inlineStr">
        <is>
          <t xml:space="preserve">Tecnologías de la información, telecomunicaciones y radiodifusión / Software / Software de gestión</t>
        </is>
      </c>
      <c r="F40" s="0">
        <v>80.0</v>
      </c>
      <c r="G40" s="0" t="inlineStr">
        <is>
          <t xml:space="preserve">Unidad</t>
        </is>
      </c>
      <c r="H40" s="4" t="inlineStr">
        <is>
          <t xml:space="preserve">Adobe Acrobat Pro para equipos All.</t>
        </is>
      </c>
    </row>
    <row r="41">
      <c r="A41" s="0" t="inlineStr">
        <is>
          <t xml:space="preserve">558869-62-LE26</t>
        </is>
      </c>
      <c r="B41" s="4" t="inlineStr">
        <is>
          <t xml:space="preserve">CAPACITACIÓN EN INTELIGENCIA ARTIFICIAL</t>
        </is>
      </c>
      <c r="C41" s="0">
        <v>1</v>
      </c>
      <c r="D41" s="4" t="inlineStr">
        <is>
          <t xml:space="preserve">Capacitación a empleados</t>
        </is>
      </c>
      <c r="E41" s="4" t="inlineStr">
        <is>
          <t xml:space="preserve">Educación, formación, entrenamiento y capacitación / Sistemas educativos complementarios / Educación de adultos</t>
        </is>
      </c>
      <c r="F41" s="0">
        <v>1.0</v>
      </c>
      <c r="G41" s="0" t="inlineStr">
        <is>
          <t xml:space="preserve">Unidad</t>
        </is>
      </c>
      <c r="H41" s="4"/>
    </row>
    <row r="42">
      <c r="A42" s="0" t="inlineStr">
        <is>
          <t xml:space="preserve">1305532-14-LP26</t>
        </is>
      </c>
      <c r="B42" s="4" t="inlineStr">
        <is>
          <t xml:space="preserve">VALORIZACION ACTIVO FIJO Y SOFTWARE INVENTARIO</t>
        </is>
      </c>
      <c r="C42" s="0">
        <v>1</v>
      </c>
      <c r="D42" s="4" t="inlineStr">
        <is>
          <t xml:space="preserve">Contabilidad de inventario</t>
        </is>
      </c>
      <c r="E42" s="4" t="inlineStr">
        <is>
          <t xml:space="preserve">Servicios financieros, pensiones y seguros / Contabilidad y auditorías / Servicios contables</t>
        </is>
      </c>
      <c r="F42" s="0">
        <v>1.0</v>
      </c>
      <c r="G42" s="0" t="inlineStr">
        <is>
          <t xml:space="preserve">Unidad</t>
        </is>
      </c>
      <c r="H42" s="4" t="inlineStr">
        <is>
          <t xml:space="preserve">SERVICIO DE LEVANTAMIENTO, VALORIZACIÓN DE ACTIVO FIJO Y PLATAFORMA DE GESTION DE INVENTARIO PARA EL SLEP ELQUI</t>
        </is>
      </c>
    </row>
    <row r="43">
      <c r="A43" s="0" t="inlineStr">
        <is>
          <t xml:space="preserve">1305532-16-LP26</t>
        </is>
      </c>
      <c r="B43" s="4" t="inlineStr">
        <is>
          <t xml:space="preserve">LICENCIAMIENTO SOFTWARE CONCILIACIONES BANCARIAS</t>
        </is>
      </c>
      <c r="C43" s="0">
        <v>1</v>
      </c>
      <c r="D43" s="4" t="inlineStr">
        <is>
          <t xml:space="preserve">Programas de contabilidad</t>
        </is>
      </c>
      <c r="E43" s="4" t="inlineStr">
        <is>
          <t xml:space="preserve">Tecnologías de la información, telecomunicaciones y radiodifusión / Software / Software de planificación de recursos empresariales (ERP) y contabilidad financiera</t>
        </is>
      </c>
      <c r="F43" s="0">
        <v>1.0</v>
      </c>
      <c r="G43" s="0" t="inlineStr">
        <is>
          <t xml:space="preserve">Unidad</t>
        </is>
      </c>
      <c r="H43" s="4" t="inlineStr">
        <is>
          <t xml:space="preserve">LICENCIAMIENTO SOFTWARE O SISTEMA DE CONCILIACIONES BANCARIAS PARA EL SERVICIO LOCAL DE EDUCACIÓN PÚBLICA ELQUI</t>
        </is>
      </c>
    </row>
    <row r="44">
      <c r="A44" s="0" t="inlineStr">
        <is>
          <t xml:space="preserve">1658-233-LE26</t>
        </is>
      </c>
      <c r="B44" s="4" t="inlineStr">
        <is>
          <t xml:space="preserve">P.280-2026 SUSCRIPCIÓN DE LICENCIAS DE SOFTWARE DE</t>
        </is>
      </c>
      <c r="C44" s="0">
        <v>1</v>
      </c>
      <c r="D44" s="4" t="inlineStr">
        <is>
          <t xml:space="preserve">Edición</t>
        </is>
      </c>
      <c r="E44" s="4" t="inlineStr">
        <is>
          <t xml:space="preserve">Servicios editoriales, de diseño, publicidad, gráficos y artistas / Escritura y traducciones / Servicios editoriales y de apoyo</t>
        </is>
      </c>
      <c r="F44" s="0">
        <v>1.0</v>
      </c>
      <c r="G44" s="0" t="inlineStr">
        <is>
          <t xml:space="preserve">Global</t>
        </is>
      </c>
      <c r="H44" s="4" t="inlineStr">
        <is>
          <t xml:space="preserve">“SUSCRIPCIÓN DE LICENCIAS DE SOFTWARE DE EDICIÓN MULTIMEDIA”</t>
        </is>
      </c>
    </row>
    <row r="45">
      <c r="A45" s="0" t="inlineStr">
        <is>
          <t xml:space="preserve">2403-72-LP26</t>
        </is>
      </c>
      <c r="B45" s="4" t="inlineStr">
        <is>
          <t xml:space="preserve">Servicios Cloud</t>
        </is>
      </c>
      <c r="C45" s="0">
        <v>1</v>
      </c>
      <c r="D45" s="4" t="inlineStr">
        <is>
          <t xml:space="preserve">Centro de servicios de datos</t>
        </is>
      </c>
      <c r="E45" s="4" t="inlineStr">
        <is>
          <t xml:space="preserve">Servicios basados en ingeniería, ciencias sociales y tecnología de la información / Servicios informáticos / Servicios de datos</t>
        </is>
      </c>
      <c r="F45" s="0">
        <v>1.0</v>
      </c>
      <c r="G45" s="0" t="inlineStr">
        <is>
          <t xml:space="preserve">Global</t>
        </is>
      </c>
      <c r="H45" s="4" t="inlineStr">
        <is>
          <t xml:space="preserve">Servicios cloud, según bases de licitación</t>
        </is>
      </c>
    </row>
    <row r="46">
      <c r="A46" s="0" t="inlineStr">
        <is>
          <t xml:space="preserve">5190-21-LE26</t>
        </is>
      </c>
      <c r="B46" s="4" t="inlineStr">
        <is>
          <t xml:space="preserve">JENABIEN - SOFTWARE FINANCIERO DE EMISION DTE</t>
        </is>
      </c>
      <c r="C46" s="0">
        <v>1</v>
      </c>
      <c r="D46" s="4" t="inlineStr">
        <is>
          <t xml:space="preserve">Programas de contabilidad</t>
        </is>
      </c>
      <c r="E46" s="4" t="inlineStr">
        <is>
          <t xml:space="preserve">Tecnologías de la información, telecomunicaciones y radiodifusión / Software / Software de planificación de recursos empresariales (ERP) y contabilidad financiera</t>
        </is>
      </c>
      <c r="F46" s="0">
        <v>1.0</v>
      </c>
      <c r="G46" s="0" t="inlineStr">
        <is>
          <t xml:space="preserve">Unidad no definida</t>
        </is>
      </c>
      <c r="H46" s="4" t="inlineStr">
        <is>
          <t xml:space="preserve">SERVICIO DE SOFTWARE FINANCIERO DE EMOSIÓN DE DOCUMENTOS TRIBUTARIOS ELECTRONICOS SEGUN ESPECIFICACIONES EN CUADRO DE POSTULACION ADJUNTO</t>
        </is>
      </c>
    </row>
    <row r="47">
      <c r="A47" s="0" t="inlineStr">
        <is>
          <t xml:space="preserve">1057503-146-LE26</t>
        </is>
      </c>
      <c r="B47" s="4" t="inlineStr">
        <is>
          <t xml:space="preserve">Contratación de Solución Tecnológica Bajo Modalidad SaaS para Automatizar Procesos de Gestión Estratégica Institucional para el Hospital Padre Alberto Hurtado</t>
        </is>
      </c>
      <c r="C47" s="0">
        <v>1</v>
      </c>
      <c r="D47" s="4" t="inlineStr">
        <is>
          <t xml:space="preserve">Software de administración</t>
        </is>
      </c>
      <c r="E47" s="4" t="inlineStr">
        <is>
          <t xml:space="preserve">Tecnologías de la información, telecomunicaciones y radiodifusión / Software / Software de administración de redes</t>
        </is>
      </c>
      <c r="F47" s="0">
        <v>1.0</v>
      </c>
      <c r="G47" s="0" t="inlineStr">
        <is>
          <t xml:space="preserve">Unidad</t>
        </is>
      </c>
      <c r="H47" s="4" t="inlineStr">
        <is>
          <t xml:space="preserve">Plataforma Tecnológica en Modalidad SaaS destinada a Automatizar y Fortalecer los Procesos de Gestión Estratégica Institucional, Según Formulario N° 1.</t>
        </is>
      </c>
    </row>
    <row r="48">
      <c r="A48" s="0" t="inlineStr">
        <is>
          <t xml:space="preserve">425-67-LE26</t>
        </is>
      </c>
      <c r="B48" s="4" t="inlineStr">
        <is>
          <t xml:space="preserve">Software de seguridad extendida y Ciberdefensa</t>
        </is>
      </c>
      <c r="C48" s="0">
        <v>1</v>
      </c>
      <c r="D48" s="4" t="inlineStr">
        <is>
          <t xml:space="preserve">Software de equipos de red privada virtual (VPN) o de seguridad de red</t>
        </is>
      </c>
      <c r="E48" s="4" t="inlineStr">
        <is>
          <t xml:space="preserve">Tecnologías de la información, telecomunicaciones y radiodifusión / Software / Software de seguridad y protección</t>
        </is>
      </c>
      <c r="F48" s="0">
        <v>1.0</v>
      </c>
      <c r="G48" s="0" t="inlineStr">
        <is>
          <t xml:space="preserve">Unidad</t>
        </is>
      </c>
      <c r="H48" s="4" t="inlineStr">
        <is>
          <t xml:space="preserve">Software de seguridad extendida y protección de cadena de suministros para la Ciberdefensa de Poder Judicial Ingresar valor total neto según formulario económico N°1</t>
        </is>
      </c>
    </row>
    <row r="49">
      <c r="A49" s="0" t="inlineStr">
        <is>
          <t xml:space="preserve">948354-150-LP26</t>
        </is>
      </c>
      <c r="B49" s="4" t="inlineStr">
        <is>
          <t xml:space="preserve">CONTRATACIÓN DEL SERVICIO DE SISTEMA INFORMÁTICO PARA GESTIÓN DE DATOS DE BANCO DE SANGRE DEL HOSPITAL DIPRECA</t>
        </is>
      </c>
      <c r="C49" s="0">
        <v>1</v>
      </c>
      <c r="D49" s="4" t="inlineStr">
        <is>
          <t xml:space="preserve">Software de desarrollo orientado a objetos o componentes</t>
        </is>
      </c>
      <c r="E49" s="4" t="inlineStr">
        <is>
          <t xml:space="preserve">Tecnologías de la información, telecomunicaciones y radiodifusión / Software / Programas de desarrollo</t>
        </is>
      </c>
      <c r="F49" s="0">
        <v>24.0</v>
      </c>
      <c r="G49" s="0" t="inlineStr">
        <is>
          <t xml:space="preserve">Mes</t>
        </is>
      </c>
      <c r="H49" s="4" t="inlineStr">
        <is>
          <t xml:space="preserve">SERVICIO DE SISTEMA INFORMÁTICO PARA GESTIÓN DE DATOS DE BANCO DE SANGRE (según bases técnicas)</t>
        </is>
      </c>
    </row>
    <row r="50">
      <c r="A50" s="0" t="inlineStr">
        <is>
          <t xml:space="preserve">847-55-LE26</t>
        </is>
      </c>
      <c r="B50" s="4" t="inlineStr">
        <is>
          <t xml:space="preserve">PLANI-ADQ. DE ACCESORIOS INFORMÁTICOS P04-SC61.307</t>
        </is>
      </c>
      <c r="C50" s="0">
        <v>1</v>
      </c>
      <c r="D50" s="4" t="inlineStr">
        <is>
          <t xml:space="preserve">Teclados</t>
        </is>
      </c>
      <c r="E50" s="4" t="inlineStr">
        <is>
          <t xml:space="preserve">Tecnologías de la información, telecomunicaciones y radiodifusión / Equipos informáticos y accesorios / Dispositivos informáticos de entrada de datos</t>
        </is>
      </c>
      <c r="F50" s="0">
        <v>75.0</v>
      </c>
      <c r="G50" s="0" t="inlineStr">
        <is>
          <t xml:space="preserve">Unidad</t>
        </is>
      </c>
      <c r="H50" s="4" t="inlineStr">
        <is>
          <t xml:space="preserve">Teclados USB negro tipo QWERTY, en 
español 
Símil a Genius KB11</t>
        </is>
      </c>
    </row>
    <row r="51">
      <c r="A51" s="0" t="inlineStr">
        <is>
          <t xml:space="preserve">847-55-LE26</t>
        </is>
      </c>
      <c r="B51" s="4" t="inlineStr">
        <is>
          <t xml:space="preserve">PLANI-ADQ. DE ACCESORIOS INFORMÁTICOS P04-SC61.307</t>
        </is>
      </c>
      <c r="C51" s="0">
        <v>2</v>
      </c>
      <c r="D51" s="4" t="inlineStr">
        <is>
          <t xml:space="preserve">Trackballs y mouse de computador</t>
        </is>
      </c>
      <c r="E51" s="4" t="inlineStr">
        <is>
          <t xml:space="preserve">Tecnologías de la información, telecomunicaciones y radiodifusión / Equipos informáticos y accesorios / Dispositivos informáticos de entrada de datos</t>
        </is>
      </c>
      <c r="F51" s="0">
        <v>75.0</v>
      </c>
      <c r="G51" s="0" t="inlineStr">
        <is>
          <t xml:space="preserve">Unidad</t>
        </is>
      </c>
      <c r="H51" s="4" t="inlineStr">
        <is>
          <t xml:space="preserve">Mouse USB Negros, 3 botones, res. 
1000ppp, para Win10 + 
Símil a Genius DX-120</t>
        </is>
      </c>
    </row>
    <row r="52">
      <c r="A52" s="0" t="inlineStr">
        <is>
          <t xml:space="preserve">847-55-LE26</t>
        </is>
      </c>
      <c r="B52" s="4" t="inlineStr">
        <is>
          <t xml:space="preserve">PLANI-ADQ. DE ACCESORIOS INFORMÁTICOS P04-SC61.307</t>
        </is>
      </c>
      <c r="C52" s="0">
        <v>3</v>
      </c>
      <c r="D52" s="4" t="inlineStr">
        <is>
          <t xml:space="preserve">Trackballs y mouse de computador</t>
        </is>
      </c>
      <c r="E52" s="4" t="inlineStr">
        <is>
          <t xml:space="preserve">Tecnologías de la información, telecomunicaciones y radiodifusión / Equipos informáticos y accesorios / Dispositivos informáticos de entrada de datos</t>
        </is>
      </c>
      <c r="F52" s="0">
        <v>10.0</v>
      </c>
      <c r="G52" s="0" t="inlineStr">
        <is>
          <t xml:space="preserve">Unidad</t>
        </is>
      </c>
      <c r="H52" s="4" t="inlineStr">
        <is>
          <t xml:space="preserve">Mouse Ergonómico Vertical Wireless al 
menos 5 botones
Símil a Kensington K75575WW</t>
        </is>
      </c>
    </row>
    <row r="53">
      <c r="A53" s="0" t="inlineStr">
        <is>
          <t xml:space="preserve">847-55-LE26</t>
        </is>
      </c>
      <c r="B53" s="4" t="inlineStr">
        <is>
          <t xml:space="preserve">PLANI-ADQ. DE ACCESORIOS INFORMÁTICOS P04-SC61.307</t>
        </is>
      </c>
      <c r="C53" s="0">
        <v>4</v>
      </c>
      <c r="D53" s="4" t="inlineStr">
        <is>
          <t xml:space="preserve">Audífonos</t>
        </is>
      </c>
      <c r="E53" s="4" t="inlineStr">
        <is>
          <t xml:space="preserve">Muebles, accesorios, electrodomésticos y productos electrónicos / Equipos y accesorios audiovisuales / Equipos audiovisuales y de electrónica menor</t>
        </is>
      </c>
      <c r="F53" s="0">
        <v>50.0</v>
      </c>
      <c r="G53" s="0" t="inlineStr">
        <is>
          <t xml:space="preserve">Unidad</t>
        </is>
      </c>
      <c r="H53" s="4" t="inlineStr">
        <is>
          <t xml:space="preserve">Audífonos tipo gamer, con cancelación de 
ruido 
Símil a HP220S</t>
        </is>
      </c>
    </row>
    <row r="54">
      <c r="A54" s="0" t="inlineStr">
        <is>
          <t xml:space="preserve">847-55-LE26</t>
        </is>
      </c>
      <c r="B54" s="4" t="inlineStr">
        <is>
          <t xml:space="preserve">PLANI-ADQ. DE ACCESORIOS INFORMÁTICOS P04-SC61.307</t>
        </is>
      </c>
      <c r="C54" s="0">
        <v>5</v>
      </c>
      <c r="D54" s="4" t="inlineStr">
        <is>
          <t xml:space="preserve">Hilos o cables de conexión</t>
        </is>
      </c>
      <c r="E54" s="4" t="inlineStr">
        <is>
          <t xml:space="preserve">Artículos eléctricos y de iluminación / Equipamiento y artículos eléctricos / Conectores, enchufes y terminales</t>
        </is>
      </c>
      <c r="F54" s="0">
        <v>60.0</v>
      </c>
      <c r="G54" s="0" t="inlineStr">
        <is>
          <t xml:space="preserve">Unidad</t>
        </is>
      </c>
      <c r="H54" s="4" t="inlineStr">
        <is>
          <t xml:space="preserve">HUB USB 4 puertos USB-A. Entrada USB-AC 
Símil a XTC-390</t>
        </is>
      </c>
    </row>
    <row r="55">
      <c r="A55" s="0" t="inlineStr">
        <is>
          <t xml:space="preserve">847-55-LE26</t>
        </is>
      </c>
      <c r="B55" s="4" t="inlineStr">
        <is>
          <t xml:space="preserve">PLANI-ADQ. DE ACCESORIOS INFORMÁTICOS P04-SC61.307</t>
        </is>
      </c>
      <c r="C55" s="0">
        <v>6</v>
      </c>
      <c r="D55" s="4" t="inlineStr">
        <is>
          <t xml:space="preserve">Hilos o cables de conexión</t>
        </is>
      </c>
      <c r="E55" s="4" t="inlineStr">
        <is>
          <t xml:space="preserve">Artículos eléctricos y de iluminación / Equipamiento y artículos eléctricos / Conectores, enchufes y terminales</t>
        </is>
      </c>
      <c r="F55" s="0">
        <v>45.0</v>
      </c>
      <c r="G55" s="0" t="inlineStr">
        <is>
          <t xml:space="preserve">Unidad</t>
        </is>
      </c>
      <c r="H55" s="4" t="inlineStr">
        <is>
          <t xml:space="preserve">Cables HDMI a HDMI 1,4 4K de 1,5 a 2,0 
mts</t>
        </is>
      </c>
    </row>
    <row r="56">
      <c r="A56" s="0" t="inlineStr">
        <is>
          <t xml:space="preserve">847-55-LE26</t>
        </is>
      </c>
      <c r="B56" s="4" t="inlineStr">
        <is>
          <t xml:space="preserve">PLANI-ADQ. DE ACCESORIOS INFORMÁTICOS P04-SC61.307</t>
        </is>
      </c>
      <c r="C56" s="0">
        <v>7</v>
      </c>
      <c r="D56" s="4" t="inlineStr">
        <is>
          <t xml:space="preserve">Discos duros</t>
        </is>
      </c>
      <c r="E56" s="4" t="inlineStr">
        <is>
          <t xml:space="preserve">Tecnologías de la información, telecomunicaciones y radiodifusión / Componentes para tecnología de la información, difusión o telecomunicaciones / Dispositivos de soporte de almacenamiento</t>
        </is>
      </c>
      <c r="F56" s="0">
        <v>40.0</v>
      </c>
      <c r="G56" s="0" t="inlineStr">
        <is>
          <t xml:space="preserve">Unidad</t>
        </is>
      </c>
      <c r="H56" s="4" t="inlineStr">
        <is>
          <t xml:space="preserve">Discos SSD de 480/500 GB, formato 2.5”, 
Interfaz Sata III de 6 GB/s 
Símil a Kingston A400</t>
        </is>
      </c>
    </row>
    <row r="57">
      <c r="A57" s="0" t="inlineStr">
        <is>
          <t xml:space="preserve">847-55-LE26</t>
        </is>
      </c>
      <c r="B57" s="4" t="inlineStr">
        <is>
          <t xml:space="preserve">PLANI-ADQ. DE ACCESORIOS INFORMÁTICOS P04-SC61.307</t>
        </is>
      </c>
      <c r="C57" s="0">
        <v>8</v>
      </c>
      <c r="D57" s="4" t="inlineStr">
        <is>
          <t xml:space="preserve">Discos duros</t>
        </is>
      </c>
      <c r="E57" s="4" t="inlineStr">
        <is>
          <t xml:space="preserve">Tecnologías de la información, telecomunicaciones y radiodifusión / Componentes para tecnología de la información, difusión o telecomunicaciones / Dispositivos de soporte de almacenamiento</t>
        </is>
      </c>
      <c r="F57" s="0">
        <v>3.0</v>
      </c>
      <c r="G57" s="0" t="inlineStr">
        <is>
          <t xml:space="preserve">Unidad</t>
        </is>
      </c>
      <c r="H57" s="4" t="inlineStr">
        <is>
          <t xml:space="preserve">Discos SSD Externo USB-C mínimo Lectura 
1000 MB/s, Escritura 1000 MB/s 
Símil a Kingston XS1000</t>
        </is>
      </c>
    </row>
    <row r="58">
      <c r="A58" s="0" t="inlineStr">
        <is>
          <t xml:space="preserve">847-55-LE26</t>
        </is>
      </c>
      <c r="B58" s="4" t="inlineStr">
        <is>
          <t xml:space="preserve">PLANI-ADQ. DE ACCESORIOS INFORMÁTICOS P04-SC61.307</t>
        </is>
      </c>
      <c r="C58" s="0">
        <v>9</v>
      </c>
      <c r="D58" s="4" t="inlineStr">
        <is>
          <t xml:space="preserve">Hilos o cables de conexión</t>
        </is>
      </c>
      <c r="E58" s="4" t="inlineStr">
        <is>
          <t xml:space="preserve">Artículos eléctricos y de iluminación / Equipamiento y artículos eléctricos / Conectores, enchufes y terminales</t>
        </is>
      </c>
      <c r="F58" s="0">
        <v>5.0</v>
      </c>
      <c r="G58" s="0" t="inlineStr">
        <is>
          <t xml:space="preserve">Unidad</t>
        </is>
      </c>
      <c r="H58" s="4" t="inlineStr">
        <is>
          <t xml:space="preserve">Cargador USB-C 65W 20V/3,25A 
compatible con Lenovo K14 
Símil al original</t>
        </is>
      </c>
    </row>
    <row r="59">
      <c r="A59" s="0" t="inlineStr">
        <is>
          <t xml:space="preserve">1375761-51-LP26</t>
        </is>
      </c>
      <c r="B59" s="4" t="inlineStr">
        <is>
          <t xml:space="preserve">SIST. INF PLATAFORMA DE GESTION ESCOLAR SLEP V.D</t>
        </is>
      </c>
      <c r="C59" s="0">
        <v>1</v>
      </c>
      <c r="D59" s="4" t="inlineStr">
        <is>
          <t xml:space="preserve">Software del sistema de administración de bases de datos</t>
        </is>
      </c>
      <c r="E59" s="4" t="inlineStr">
        <is>
          <t xml:space="preserve">Tecnologías de la información, telecomunicaciones y radiodifusión / Software / Software de consultas y gestión de datos</t>
        </is>
      </c>
      <c r="F59" s="0">
        <v>1.0</v>
      </c>
      <c r="G59" s="0" t="inlineStr">
        <is>
          <t xml:space="preserve">Unidad</t>
        </is>
      </c>
      <c r="H59" s="4" t="inlineStr">
        <is>
          <t xml:space="preserve">Software del sistema de administración de bases de datos Especificaciones del Comprador: SERVICIO DE PLATAFORMA DE GESTION ESCOLAR PARA LOS ESTABLECIMIENTOS EDUCACIONALES DEPENDIENTES DEL SERVICIO LOCAL DE EDUCACIÓN PÚBLICA VALLE DIGUILLIN</t>
        </is>
      </c>
    </row>
    <row r="60">
      <c r="A60" s="0" t="inlineStr">
        <is>
          <t xml:space="preserve">1660-150-L126</t>
        </is>
      </c>
      <c r="B60" s="4" t="inlineStr">
        <is>
          <t xml:space="preserve">COMPRA DE SERVICIO TONS/TENS BODEGA DENTAL DE FARMACIA Y GESTIÓN DOCUMENTAL PARA EL HOSPITAL DE SALAMANCA</t>
        </is>
      </c>
      <c r="C60" s="0">
        <v>1</v>
      </c>
      <c r="D60" s="4" t="inlineStr">
        <is>
          <t xml:space="preserve">Personal técnico</t>
        </is>
      </c>
      <c r="E60" s="4" t="inlineStr">
        <is>
          <t xml:space="preserve">Servicios profesionales, administrativos y consultorías de gestión empresarial / Servicios de recursos humanos / Contratación de personal</t>
        </is>
      </c>
      <c r="F60" s="0">
        <v>1.0</v>
      </c>
      <c r="G60" s="0" t="inlineStr">
        <is>
          <t xml:space="preserve">Unidad</t>
        </is>
      </c>
      <c r="H60" s="4" t="inlineStr">
        <is>
          <t xml:space="preserve">COMPRA DE SERVICIO TONS/TENS BODEGA DENTAL DE FARMACIA Y GESTIÓN DOCUMENTAL PARA EL HOSPITAL DE SALAMANCA</t>
        </is>
      </c>
    </row>
    <row r="61">
      <c r="A61" s="0" t="inlineStr">
        <is>
          <t xml:space="preserve">2852-59-LP26</t>
        </is>
      </c>
      <c r="B61" s="4" t="inlineStr">
        <is>
          <t xml:space="preserve">ADQUISICION DE LICENCIAS DE SOFTWARE</t>
        </is>
      </c>
      <c r="C61" s="0">
        <v>1</v>
      </c>
      <c r="D61" s="4" t="inlineStr">
        <is>
          <t xml:space="preserve">Software de gestión de licencias</t>
        </is>
      </c>
      <c r="E61" s="4" t="inlineStr">
        <is>
          <t xml:space="preserve">Tecnologías de la información, telecomunicaciones y radiodifusión / Software / Software de gestión</t>
        </is>
      </c>
      <c r="F61" s="0">
        <v>1.0</v>
      </c>
      <c r="G61" s="0" t="inlineStr">
        <is>
          <t xml:space="preserve">Unidad</t>
        </is>
      </c>
      <c r="H61" s="4" t="inlineStr">
        <is>
          <t xml:space="preserve">L1:Software CAD Profesional</t>
        </is>
      </c>
    </row>
    <row r="62">
      <c r="A62" s="0" t="inlineStr">
        <is>
          <t xml:space="preserve">2852-59-LP26</t>
        </is>
      </c>
      <c r="B62" s="4" t="inlineStr">
        <is>
          <t xml:space="preserve">ADQUISICION DE LICENCIAS DE SOFTWARE</t>
        </is>
      </c>
      <c r="C62" s="0">
        <v>2</v>
      </c>
      <c r="D62" s="4" t="inlineStr">
        <is>
          <t xml:space="preserve">Software de gestión de licencias</t>
        </is>
      </c>
      <c r="E62" s="4" t="inlineStr">
        <is>
          <t xml:space="preserve">Tecnologías de la información, telecomunicaciones y radiodifusión / Software / Software de gestión</t>
        </is>
      </c>
      <c r="F62" s="0">
        <v>1.0</v>
      </c>
      <c r="G62" s="0" t="inlineStr">
        <is>
          <t xml:space="preserve">Unidad</t>
        </is>
      </c>
      <c r="H62" s="4" t="inlineStr">
        <is>
          <t xml:space="preserve">L2:Software de Producción Digital</t>
        </is>
      </c>
    </row>
    <row r="63">
      <c r="A63" s="0" t="inlineStr">
        <is>
          <t xml:space="preserve">2852-59-LP26</t>
        </is>
      </c>
      <c r="B63" s="4" t="inlineStr">
        <is>
          <t xml:space="preserve">ADQUISICION DE LICENCIAS DE SOFTWARE</t>
        </is>
      </c>
      <c r="C63" s="0">
        <v>3</v>
      </c>
      <c r="D63" s="4" t="inlineStr">
        <is>
          <t xml:space="preserve">Software de gestión de licencias</t>
        </is>
      </c>
      <c r="E63" s="4" t="inlineStr">
        <is>
          <t xml:space="preserve">Tecnologías de la información, telecomunicaciones y radiodifusión / Software / Software de gestión</t>
        </is>
      </c>
      <c r="F63" s="0">
        <v>1.0</v>
      </c>
      <c r="G63" s="0" t="inlineStr">
        <is>
          <t xml:space="preserve">Unidad</t>
        </is>
      </c>
      <c r="H63" s="4" t="inlineStr">
        <is>
          <t xml:space="preserve">L3:Software de BIM Multidisciplinario</t>
        </is>
      </c>
    </row>
    <row r="64">
      <c r="A64" s="0" t="inlineStr">
        <is>
          <t xml:space="preserve">2852-59-LP26</t>
        </is>
      </c>
      <c r="B64" s="4" t="inlineStr">
        <is>
          <t xml:space="preserve">ADQUISICION DE LICENCIAS DE SOFTWARE</t>
        </is>
      </c>
      <c r="C64" s="0">
        <v>4</v>
      </c>
      <c r="D64" s="4" t="inlineStr">
        <is>
          <t xml:space="preserve">Software de gestión de licencias</t>
        </is>
      </c>
      <c r="E64" s="4" t="inlineStr">
        <is>
          <t xml:space="preserve">Tecnologías de la información, telecomunicaciones y radiodifusión / Software / Software de gestión</t>
        </is>
      </c>
      <c r="F64" s="0">
        <v>1.0</v>
      </c>
      <c r="G64" s="0" t="inlineStr">
        <is>
          <t xml:space="preserve">Unidad</t>
        </is>
      </c>
      <c r="H64" s="4" t="inlineStr">
        <is>
          <t xml:space="preserve">L4:Software de Modelado 3D</t>
        </is>
      </c>
    </row>
    <row r="65">
      <c r="A65" s="0" t="inlineStr">
        <is>
          <t xml:space="preserve">2852-59-LP26</t>
        </is>
      </c>
      <c r="B65" s="4" t="inlineStr">
        <is>
          <t xml:space="preserve">ADQUISICION DE LICENCIAS DE SOFTWARE</t>
        </is>
      </c>
      <c r="C65" s="0">
        <v>5</v>
      </c>
      <c r="D65" s="4" t="inlineStr">
        <is>
          <t xml:space="preserve">Software de gestión de licencias</t>
        </is>
      </c>
      <c r="E65" s="4" t="inlineStr">
        <is>
          <t xml:space="preserve">Tecnologías de la información, telecomunicaciones y radiodifusión / Software / Software de gestión</t>
        </is>
      </c>
      <c r="F65" s="0">
        <v>1.0</v>
      </c>
      <c r="G65" s="0" t="inlineStr">
        <is>
          <t xml:space="preserve">Unidad</t>
        </is>
      </c>
      <c r="H65" s="4" t="inlineStr">
        <is>
          <t xml:space="preserve">L5:Software para Video Institucional</t>
        </is>
      </c>
    </row>
    <row r="66">
      <c r="A66" s="0" t="inlineStr">
        <is>
          <t xml:space="preserve">2852-59-LP26</t>
        </is>
      </c>
      <c r="B66" s="4" t="inlineStr">
        <is>
          <t xml:space="preserve">ADQUISICION DE LICENCIAS DE SOFTWARE</t>
        </is>
      </c>
      <c r="C66" s="0">
        <v>6</v>
      </c>
      <c r="D66" s="4" t="inlineStr">
        <is>
          <t xml:space="preserve">Software de gestión de licencias</t>
        </is>
      </c>
      <c r="E66" s="4" t="inlineStr">
        <is>
          <t xml:space="preserve">Tecnologías de la información, telecomunicaciones y radiodifusión / Software / Software de gestión</t>
        </is>
      </c>
      <c r="F66" s="0">
        <v>1.0</v>
      </c>
      <c r="G66" s="0" t="inlineStr">
        <is>
          <t xml:space="preserve">Unidad</t>
        </is>
      </c>
      <c r="H66" s="4" t="inlineStr">
        <is>
          <t xml:space="preserve">L6:Software de BIM Arquitectura</t>
        </is>
      </c>
    </row>
    <row r="67">
      <c r="A67" s="0" t="inlineStr">
        <is>
          <t xml:space="preserve">2852-59-LP26</t>
        </is>
      </c>
      <c r="B67" s="4" t="inlineStr">
        <is>
          <t xml:space="preserve">ADQUISICION DE LICENCIAS DE SOFTWARE</t>
        </is>
      </c>
      <c r="C67" s="0">
        <v>7</v>
      </c>
      <c r="D67" s="4" t="inlineStr">
        <is>
          <t xml:space="preserve">Software de gestión de licencias</t>
        </is>
      </c>
      <c r="E67" s="4" t="inlineStr">
        <is>
          <t xml:space="preserve">Tecnologías de la información, telecomunicaciones y radiodifusión / Software / Software de gestión</t>
        </is>
      </c>
      <c r="F67" s="0">
        <v>1.0</v>
      </c>
      <c r="G67" s="0" t="inlineStr">
        <is>
          <t xml:space="preserve">Unidad</t>
        </is>
      </c>
      <c r="H67" s="4" t="inlineStr">
        <is>
          <t xml:space="preserve">L7:Software de Gestión de Redes Sociales</t>
        </is>
      </c>
    </row>
    <row r="68">
      <c r="A68" s="0" t="inlineStr">
        <is>
          <t xml:space="preserve">2852-59-LP26</t>
        </is>
      </c>
      <c r="B68" s="4" t="inlineStr">
        <is>
          <t xml:space="preserve">ADQUISICION DE LICENCIAS DE SOFTWARE</t>
        </is>
      </c>
      <c r="C68" s="0">
        <v>8</v>
      </c>
      <c r="D68" s="4" t="inlineStr">
        <is>
          <t xml:space="preserve">Software de gestión de adquisiciones</t>
        </is>
      </c>
      <c r="E68" s="4" t="inlineStr">
        <is>
          <t xml:space="preserve">Tecnologías de la información, telecomunicaciones y radiodifusión / Software / Software de gestión</t>
        </is>
      </c>
      <c r="F68" s="0">
        <v>1.0</v>
      </c>
      <c r="G68" s="0" t="inlineStr">
        <is>
          <t xml:space="preserve">Unidad</t>
        </is>
      </c>
      <c r="H68" s="4" t="inlineStr">
        <is>
          <t xml:space="preserve">L8:Software de Inteligencia Artificial</t>
        </is>
      </c>
    </row>
    <row r="69">
      <c r="A69" s="0" t="inlineStr">
        <is>
          <t xml:space="preserve">2852-59-LP26</t>
        </is>
      </c>
      <c r="B69" s="4" t="inlineStr">
        <is>
          <t xml:space="preserve">ADQUISICION DE LICENCIAS DE SOFTWARE</t>
        </is>
      </c>
      <c r="C69" s="0">
        <v>9</v>
      </c>
      <c r="D69" s="4" t="inlineStr">
        <is>
          <t xml:space="preserve">Software de gestión de recursos humanos</t>
        </is>
      </c>
      <c r="E69" s="4" t="inlineStr">
        <is>
          <t xml:space="preserve">Tecnologías de la información, telecomunicaciones y radiodifusión / Software / Software de gestión</t>
        </is>
      </c>
      <c r="F69" s="0">
        <v>1.0</v>
      </c>
      <c r="G69" s="0" t="inlineStr">
        <is>
          <t xml:space="preserve">Unidad</t>
        </is>
      </c>
      <c r="H69" s="4" t="inlineStr">
        <is>
          <t xml:space="preserve">L9:Software Antivirus</t>
        </is>
      </c>
    </row>
    <row r="70">
      <c r="A70" s="0" t="inlineStr">
        <is>
          <t xml:space="preserve">2852-59-LP26</t>
        </is>
      </c>
      <c r="B70" s="4" t="inlineStr">
        <is>
          <t xml:space="preserve">ADQUISICION DE LICENCIAS DE SOFTWARE</t>
        </is>
      </c>
      <c r="C70" s="0">
        <v>10</v>
      </c>
      <c r="D70" s="4" t="inlineStr">
        <is>
          <t xml:space="preserve">Software de contabilidad temporal</t>
        </is>
      </c>
      <c r="E70" s="4" t="inlineStr">
        <is>
          <t xml:space="preserve">Tecnologías de la información, telecomunicaciones y radiodifusión / Software / Software de planificación de recursos empresariales (ERP) y contabilidad financiera</t>
        </is>
      </c>
      <c r="F70" s="0">
        <v>1.0</v>
      </c>
      <c r="G70" s="0" t="inlineStr">
        <is>
          <t xml:space="preserve">Unidad</t>
        </is>
      </c>
      <c r="H70" s="4" t="inlineStr">
        <is>
          <t xml:space="preserve">L10:Software de gestión de Videocámaras</t>
        </is>
      </c>
    </row>
    <row r="71">
      <c r="A71" s="0" t="inlineStr">
        <is>
          <t xml:space="preserve">2852-59-LP26</t>
        </is>
      </c>
      <c r="B71" s="4" t="inlineStr">
        <is>
          <t xml:space="preserve">ADQUISICION DE LICENCIAS DE SOFTWARE</t>
        </is>
      </c>
      <c r="C71" s="0">
        <v>11</v>
      </c>
      <c r="D71" s="4" t="inlineStr">
        <is>
          <t xml:space="preserve">Software de gestión de relaciones con el cliente (CRM)</t>
        </is>
      </c>
      <c r="E71" s="4" t="inlineStr">
        <is>
          <t xml:space="preserve">Tecnologías de la información, telecomunicaciones y radiodifusión / Software / Software de consultas y gestión de datos</t>
        </is>
      </c>
      <c r="F71" s="0">
        <v>1.0</v>
      </c>
      <c r="G71" s="0" t="inlineStr">
        <is>
          <t xml:space="preserve">Unidad</t>
        </is>
      </c>
      <c r="H71" s="4" t="inlineStr">
        <is>
          <t xml:space="preserve">L11:Software de Fotogrametría</t>
        </is>
      </c>
    </row>
    <row r="72">
      <c r="A72" s="0" t="inlineStr">
        <is>
          <t xml:space="preserve">2343-33-LE26</t>
        </is>
      </c>
      <c r="B72" s="4" t="inlineStr">
        <is>
          <t xml:space="preserve">ADQUISICION DE PLATAFORMA TECNOLOGICA UAS</t>
        </is>
      </c>
      <c r="C72" s="0">
        <v>1</v>
      </c>
      <c r="D72" s="4" t="inlineStr">
        <is>
          <t xml:space="preserve">Cámaras de seguridad</t>
        </is>
      </c>
      <c r="E72" s="4" t="inlineStr">
        <is>
          <t xml:space="preserve">Equipos y suministros de defensa, orden público, protección y seguridad / Seguridad, vigilancia y detección / Equipo de vigilancia y detección</t>
        </is>
      </c>
      <c r="F72" s="0">
        <v>1.0</v>
      </c>
      <c r="G72" s="0" t="inlineStr">
        <is>
          <t xml:space="preserve">Unidad</t>
        </is>
      </c>
      <c r="H72" s="4" t="inlineStr">
        <is>
          <t xml:space="preserve">ADQUISICION DE PLATAFORMA TECNOLOGICA UAS</t>
        </is>
      </c>
    </row>
    <row r="73">
      <c r="A73" s="0" t="inlineStr">
        <is>
          <t xml:space="preserve">1079639-23-LE26</t>
        </is>
      </c>
      <c r="B73" s="4" t="inlineStr">
        <is>
          <t xml:space="preserve">RENOVACIÓN SOFTWARE INSEYETS PRO POR 12 MESES</t>
        </is>
      </c>
      <c r="C73" s="0">
        <v>1</v>
      </c>
      <c r="D73" s="4" t="inlineStr">
        <is>
          <t xml:space="preserve">Software de sistema experto</t>
        </is>
      </c>
      <c r="E73" s="4" t="inlineStr">
        <is>
          <t xml:space="preserve">Tecnologías de la información, telecomunicaciones y radiodifusión / Software / Software de gestión</t>
        </is>
      </c>
      <c r="F73" s="0">
        <v>1.0</v>
      </c>
      <c r="G73" s="0" t="inlineStr">
        <is>
          <t xml:space="preserve">Unidad</t>
        </is>
      </c>
      <c r="H73" s="4" t="inlineStr">
        <is>
          <t xml:space="preserve">RENOVACION INSEYETS PRO POR 12 MESES PARA
LA SECCIÓN OS9 LOS LAGOS</t>
        </is>
      </c>
    </row>
    <row r="74">
      <c r="A74" s="0" t="inlineStr">
        <is>
          <t xml:space="preserve">3712-70-LE26</t>
        </is>
      </c>
      <c r="B74" s="4" t="inlineStr">
        <is>
          <t xml:space="preserve">ADQUISICION DE TOTEM DE AUTOATENCION CHILEATIENDE</t>
        </is>
      </c>
      <c r="C74" s="0">
        <v>1</v>
      </c>
      <c r="D74" s="4" t="inlineStr">
        <is>
          <t xml:space="preserve">Monitores de pantalla táctil</t>
        </is>
      </c>
      <c r="E74" s="4" t="inlineStr">
        <is>
          <t xml:space="preserve">Tecnologías de la información, telecomunicaciones y radiodifusión / Equipos informáticos y accesorios / Pantallas o monitores de computador</t>
        </is>
      </c>
      <c r="F74" s="0">
        <v>1.0</v>
      </c>
      <c r="G74" s="0" t="inlineStr">
        <is>
          <t xml:space="preserve">Unidad</t>
        </is>
      </c>
      <c r="H74" s="4" t="inlineStr">
        <is>
          <t xml:space="preserve">DE ACUERDO A LAS BASES</t>
        </is>
      </c>
    </row>
    <row r="75">
      <c r="A75" s="0" t="inlineStr">
        <is>
          <t xml:space="preserve">4459-23-LP26</t>
        </is>
      </c>
      <c r="B75" s="4" t="inlineStr">
        <is>
          <t xml:space="preserve">Plataforma de Sistemas Informáticos de Gestión Municipal para la Ilustre Municipalidad de Pichilemu</t>
        </is>
      </c>
      <c r="C75" s="0">
        <v>1</v>
      </c>
      <c r="D75" s="4" t="inlineStr">
        <is>
          <t xml:space="preserve">Software de mejora de sistemas operativos de redes</t>
        </is>
      </c>
      <c r="E75" s="4" t="inlineStr">
        <is>
          <t xml:space="preserve">Tecnologías de la información, telecomunicaciones y radiodifusión / Software / Software de administración de redes</t>
        </is>
      </c>
      <c r="F75" s="0">
        <v>1.0</v>
      </c>
      <c r="G75" s="0" t="inlineStr">
        <is>
          <t xml:space="preserve">Unidad</t>
        </is>
      </c>
      <c r="H75"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t>
        </is>
      </c>
    </row>
    <row r="76">
      <c r="A76" s="0" t="inlineStr">
        <is>
          <t xml:space="preserve">4511-58-LE26</t>
        </is>
      </c>
      <c r="B76" s="4" t="inlineStr">
        <is>
          <t xml:space="preserve">Contratación de software trámites en línea Dirección de Obras Municipales I. Municipalidad de Retiro</t>
        </is>
      </c>
      <c r="C76" s="0">
        <v>1</v>
      </c>
      <c r="D76" s="4" t="inlineStr">
        <is>
          <t xml:space="preserve">Software de creación de informes de bases de datos</t>
        </is>
      </c>
      <c r="E76" s="4" t="inlineStr">
        <is>
          <t xml:space="preserve">Tecnologías de la información, telecomunicaciones y radiodifusión / Software / Software de consultas y gestión de datos</t>
        </is>
      </c>
      <c r="F76" s="0">
        <v>1.0</v>
      </c>
      <c r="G76" s="0" t="inlineStr">
        <is>
          <t xml:space="preserve">Global</t>
        </is>
      </c>
      <c r="H76" s="4" t="inlineStr">
        <is>
          <t xml:space="preserve">contratación del Software Trámites en Línea DOM, Retiro</t>
        </is>
      </c>
    </row>
    <row r="77">
      <c r="A77" s="0" t="inlineStr">
        <is>
          <t xml:space="preserve">976-20-LE26</t>
        </is>
      </c>
      <c r="B77" s="4" t="inlineStr">
        <is>
          <t xml:space="preserve">Equipos computacionales e informáticos</t>
        </is>
      </c>
      <c r="C77" s="0">
        <v>1</v>
      </c>
      <c r="D77" s="4" t="inlineStr">
        <is>
          <t xml:space="preserve">Trazadoras de gráficos</t>
        </is>
      </c>
      <c r="E77" s="4" t="inlineStr">
        <is>
          <t xml:space="preserve">Tecnologías de la información, telecomunicaciones y radiodifusión / Equipos informáticos y accesorios / Impresoras</t>
        </is>
      </c>
      <c r="F77" s="0">
        <v>1.0</v>
      </c>
      <c r="G77" s="0" t="inlineStr">
        <is>
          <t xml:space="preserve">Unidad</t>
        </is>
      </c>
      <c r="H77" s="4" t="inlineStr">
        <is>
          <t xml:space="preserve">plotter de 44"</t>
        </is>
      </c>
    </row>
    <row r="78">
      <c r="A78" s="0" t="inlineStr">
        <is>
          <t xml:space="preserve">976-20-LE26</t>
        </is>
      </c>
      <c r="B78" s="4" t="inlineStr">
        <is>
          <t xml:space="preserve">Equipos computacionales e informáticos</t>
        </is>
      </c>
      <c r="C78" s="0">
        <v>2</v>
      </c>
      <c r="D78" s="4" t="inlineStr">
        <is>
          <t xml:space="preserve">Computadores de escritorio</t>
        </is>
      </c>
      <c r="E78" s="4" t="inlineStr">
        <is>
          <t xml:space="preserve">Tecnologías de la información, telecomunicaciones y radiodifusión / Equipos informáticos y accesorios / Computadores</t>
        </is>
      </c>
      <c r="F78" s="0">
        <v>15.0</v>
      </c>
      <c r="G78" s="0" t="inlineStr">
        <is>
          <t xml:space="preserve">Unidad</t>
        </is>
      </c>
      <c r="H78" s="4" t="inlineStr">
        <is>
          <t xml:space="preserve">desktop / CPU sin monitor</t>
        </is>
      </c>
    </row>
    <row r="79">
      <c r="A79" s="0" t="inlineStr">
        <is>
          <t xml:space="preserve">976-20-LE26</t>
        </is>
      </c>
      <c r="B79" s="4" t="inlineStr">
        <is>
          <t xml:space="preserve">Equipos computacionales e informáticos</t>
        </is>
      </c>
      <c r="C79" s="0">
        <v>3</v>
      </c>
      <c r="D79" s="4" t="inlineStr">
        <is>
          <t xml:space="preserve">Notebook, laptop o computador portátil excepto Tablet PC</t>
        </is>
      </c>
      <c r="E79" s="4" t="inlineStr">
        <is>
          <t xml:space="preserve">Tecnologías de la información, telecomunicaciones y radiodifusión / Equipos informáticos y accesorios / Computadores</t>
        </is>
      </c>
      <c r="F79" s="0">
        <v>41.0</v>
      </c>
      <c r="G79" s="0" t="inlineStr">
        <is>
          <t xml:space="preserve">Unidad</t>
        </is>
      </c>
      <c r="H79" s="4" t="inlineStr">
        <is>
          <t xml:space="preserve">notebook 16GB - 1TB</t>
        </is>
      </c>
    </row>
    <row r="80">
      <c r="A80" s="0" t="inlineStr">
        <is>
          <t xml:space="preserve">976-20-LE26</t>
        </is>
      </c>
      <c r="B80" s="4" t="inlineStr">
        <is>
          <t xml:space="preserve">Equipos computacionales e informáticos</t>
        </is>
      </c>
      <c r="C80" s="0">
        <v>4</v>
      </c>
      <c r="D80" s="4" t="inlineStr">
        <is>
          <t xml:space="preserve">Computadores de escritorio</t>
        </is>
      </c>
      <c r="E80" s="4" t="inlineStr">
        <is>
          <t xml:space="preserve">Tecnologías de la información, telecomunicaciones y radiodifusión / Equipos informáticos y accesorios / Computadores</t>
        </is>
      </c>
      <c r="F80" s="0">
        <v>2.0</v>
      </c>
      <c r="G80" s="0" t="inlineStr">
        <is>
          <t xml:space="preserve">Unidad</t>
        </is>
      </c>
      <c r="H80" s="4" t="inlineStr">
        <is>
          <t xml:space="preserve">workstation de escritorio</t>
        </is>
      </c>
    </row>
    <row r="81">
      <c r="A81" s="0" t="inlineStr">
        <is>
          <t xml:space="preserve">976-20-LE26</t>
        </is>
      </c>
      <c r="B81" s="4" t="inlineStr">
        <is>
          <t xml:space="preserve">Equipos computacionales e informáticos</t>
        </is>
      </c>
      <c r="C81" s="0">
        <v>5</v>
      </c>
      <c r="D81" s="4" t="inlineStr">
        <is>
          <t xml:space="preserve">Notebook, laptop o computador portátil excepto Tablet PC</t>
        </is>
      </c>
      <c r="E81" s="4" t="inlineStr">
        <is>
          <t xml:space="preserve">Tecnologías de la información, telecomunicaciones y radiodifusión / Equipos informáticos y accesorios / Computadores</t>
        </is>
      </c>
      <c r="F81" s="0">
        <v>5.0</v>
      </c>
      <c r="G81" s="0" t="inlineStr">
        <is>
          <t xml:space="preserve">Unidad</t>
        </is>
      </c>
      <c r="H81" s="4" t="inlineStr">
        <is>
          <t xml:space="preserve">notebook 32GB - 2TB</t>
        </is>
      </c>
    </row>
    <row r="82">
      <c r="A82" s="0" t="inlineStr">
        <is>
          <t xml:space="preserve">948354-139-LR26</t>
        </is>
      </c>
      <c r="B82" s="4" t="inlineStr">
        <is>
          <t xml:space="preserve">CONTRATACIÓN DE SERVICIO DE SOFTWARE DE RECURSOS HUMANOS PARA EL HOSPITAL DIPRECA</t>
        </is>
      </c>
      <c r="C82" s="0">
        <v>1</v>
      </c>
      <c r="D82" s="4" t="inlineStr">
        <is>
          <t xml:space="preserve">Software de gestión de recursos humanos</t>
        </is>
      </c>
      <c r="E82" s="4" t="inlineStr">
        <is>
          <t xml:space="preserve">Tecnologías de la información, telecomunicaciones y radiodifusión / Software / Software de gestión</t>
        </is>
      </c>
      <c r="F82" s="0">
        <v>1.0</v>
      </c>
      <c r="G82" s="0" t="inlineStr">
        <is>
          <t xml:space="preserve">Unidad</t>
        </is>
      </c>
      <c r="H82" s="4" t="inlineStr">
        <is>
          <t xml:space="preserve">CONTRATACIÓN DE SERVICIO DE SOFTWARE DE RECURSOS HUMANOS</t>
        </is>
      </c>
    </row>
    <row r="83">
      <c r="A83" s="0" t="inlineStr">
        <is>
          <t xml:space="preserve">3090-11-L126</t>
        </is>
      </c>
      <c r="B83" s="4" t="inlineStr">
        <is>
          <t xml:space="preserve">RETIRO, PROVISIÓN E INSTALACIÓN DE TABLERO Y EMPALME ELECTRICO</t>
        </is>
      </c>
      <c r="C83" s="0">
        <v>1</v>
      </c>
      <c r="D83" s="4" t="inlineStr">
        <is>
          <t xml:space="preserve">Instalación o servicio de sistemas de energía eléctrica</t>
        </is>
      </c>
      <c r="E83" s="4" t="inlineStr">
        <is>
          <t xml:space="preserve">Servicios de construcción y mantenimiento / Servicios de atención, mantenimiento y reparaciones de edificios / Servicios eléctricos</t>
        </is>
      </c>
      <c r="F83" s="0">
        <v>1.0</v>
      </c>
      <c r="G83" s="0" t="inlineStr">
        <is>
          <t xml:space="preserve">Unidad no definida</t>
        </is>
      </c>
      <c r="H83" s="4" t="inlineStr">
        <is>
          <t xml:space="preserve">Servicio de retiro, provisión e instalación de tablero y empalme eléctrico de la Central Odontológica de la Segunda Zona Naval.</t>
        </is>
      </c>
    </row>
    <row r="84">
      <c r="A84" s="0" t="inlineStr">
        <is>
          <t xml:space="preserve">1494906-9-LE26</t>
        </is>
      </c>
      <c r="B84" s="4" t="inlineStr">
        <is>
          <t xml:space="preserve">SEGUNDO LLAMADO ADQUISICIÓN DE EQUIPOS ESPECIALIZADOS PARA DIGITALIZACIÓN Y ALMACENAMIENTO</t>
        </is>
      </c>
      <c r="C84" s="0">
        <v>1</v>
      </c>
      <c r="D84" s="4" t="inlineStr">
        <is>
          <t xml:space="preserve">Computadores personales</t>
        </is>
      </c>
      <c r="E84" s="4" t="inlineStr">
        <is>
          <t xml:space="preserve">Tecnologías de la información, telecomunicaciones y radiodifusión / Equipos informáticos y accesorios / Computadores</t>
        </is>
      </c>
      <c r="F84" s="0">
        <v>1.0</v>
      </c>
      <c r="G84" s="0" t="inlineStr">
        <is>
          <t xml:space="preserve">Unidad</t>
        </is>
      </c>
      <c r="H84" s="4" t="inlineStr">
        <is>
          <t xml:space="preserve">Computador, estación de trabajo (Workstation), o equivalente técnico a HP Z8 Fury G5 de alto rendimiento.</t>
        </is>
      </c>
    </row>
    <row r="85">
      <c r="A85" s="0" t="inlineStr">
        <is>
          <t xml:space="preserve">1494906-9-LE26</t>
        </is>
      </c>
      <c r="B85" s="4" t="inlineStr">
        <is>
          <t xml:space="preserve">SEGUNDO LLAMADO ADQUISICIÓN DE EQUIPOS ESPECIALIZADOS PARA DIGITALIZACIÓN Y ALMACENAMIENTO</t>
        </is>
      </c>
      <c r="C85" s="0">
        <v>2</v>
      </c>
      <c r="D85" s="4" t="inlineStr">
        <is>
          <t xml:space="preserve">Unidades de medios desmontables de gran capacidad</t>
        </is>
      </c>
      <c r="E85" s="4" t="inlineStr">
        <is>
          <t xml:space="preserve">Tecnologías de la información, telecomunicaciones y radiodifusión / Componentes para tecnología de la información, difusión o telecomunicaciones / Dispositivos de soporte de almacenamiento</t>
        </is>
      </c>
      <c r="F85" s="0">
        <v>8.0</v>
      </c>
      <c r="G85" s="0" t="inlineStr">
        <is>
          <t xml:space="preserve">Unidad</t>
        </is>
      </c>
      <c r="H85" s="4" t="inlineStr">
        <is>
          <t xml:space="preserve">Cintas de datos LTO 8 (Linear Tape-Open) Ultrium RW Hewlett Packard o superior, de uso profesional para respaldo y conservación de archivos digitales.</t>
        </is>
      </c>
    </row>
    <row r="86">
      <c r="A86" s="0" t="inlineStr">
        <is>
          <t xml:space="preserve">1494906-9-LE26</t>
        </is>
      </c>
      <c r="B86" s="4" t="inlineStr">
        <is>
          <t xml:space="preserve">SEGUNDO LLAMADO ADQUISICIÓN DE EQUIPOS ESPECIALIZADOS PARA DIGITALIZACIÓN Y ALMACENAMIENTO</t>
        </is>
      </c>
      <c r="C86" s="0">
        <v>3</v>
      </c>
      <c r="D86" s="4" t="inlineStr">
        <is>
          <t xml:space="preserve">Tarjetas aceleradoras de video o gráficos</t>
        </is>
      </c>
      <c r="E86" s="4" t="inlineStr">
        <is>
          <t xml:space="preserve">Tecnologías de la información, telecomunicaciones y radiodifusión / Componentes para tecnología de la información, difusión o telecomunicaciones / Tarjetas de sistema</t>
        </is>
      </c>
      <c r="F86" s="0">
        <v>1.0</v>
      </c>
      <c r="G86" s="0" t="inlineStr">
        <is>
          <t xml:space="preserve">Unidad</t>
        </is>
      </c>
      <c r="H86" s="4" t="inlineStr">
        <is>
          <t xml:space="preserve">Tarjeta de video (GPU), equivalente técnico a NVIDIA GeForce GT 730 o superior.</t>
        </is>
      </c>
    </row>
    <row r="87">
      <c r="A87" s="0" t="inlineStr">
        <is>
          <t xml:space="preserve">1153624-22-LE26</t>
        </is>
      </c>
      <c r="B87" s="4" t="inlineStr">
        <is>
          <t xml:space="preserve">Servicio enlace de datos de internet</t>
        </is>
      </c>
      <c r="C87" s="0">
        <v>1</v>
      </c>
      <c r="D87" s="4" t="inlineStr">
        <is>
          <t xml:space="preserve">Servicios de almacenamiento de datos</t>
        </is>
      </c>
      <c r="E87" s="4" t="inlineStr">
        <is>
          <t xml:space="preserve">Servicios basados en ingeniería, ciencias sociales y tecnología de la información / Servicios informáticos / Servicios de datos</t>
        </is>
      </c>
      <c r="F87" s="0">
        <v>1.0</v>
      </c>
      <c r="G87" s="0" t="inlineStr">
        <is>
          <t xml:space="preserve">Unidad</t>
        </is>
      </c>
      <c r="H87" s="4" t="inlineStr">
        <is>
          <t xml:space="preserve">Servicio enlace de datos de internet</t>
        </is>
      </c>
    </row>
    <row r="88">
      <c r="A88" s="0" t="inlineStr">
        <is>
          <t xml:space="preserve">2563-43-LP26</t>
        </is>
      </c>
      <c r="B88" s="4" t="inlineStr">
        <is>
          <t xml:space="preserve">Adquisición de cámaras IA y radares de seguridad</t>
        </is>
      </c>
      <c r="C88" s="0">
        <v>1</v>
      </c>
      <c r="D88" s="4" t="inlineStr">
        <is>
          <t xml:space="preserve">Cámaras de seguridad</t>
        </is>
      </c>
      <c r="E88" s="4" t="inlineStr">
        <is>
          <t xml:space="preserve">Equipos y suministros de defensa, orden público, protección y seguridad / Seguridad, vigilancia y detección / Equipo de vigilancia y detección</t>
        </is>
      </c>
      <c r="F88" s="0">
        <v>2.0</v>
      </c>
      <c r="G88" s="0" t="inlineStr">
        <is>
          <t xml:space="preserve">Unidad</t>
        </is>
      </c>
      <c r="H88"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89">
      <c r="A89" s="0" t="inlineStr">
        <is>
          <t xml:space="preserve">2563-43-LP26</t>
        </is>
      </c>
      <c r="B89" s="4" t="inlineStr">
        <is>
          <t xml:space="preserve">Adquisición de cámaras IA y radares de seguridad</t>
        </is>
      </c>
      <c r="C89" s="0">
        <v>2</v>
      </c>
      <c r="D89" s="4" t="inlineStr">
        <is>
          <t xml:space="preserve">Cámaras de seguridad</t>
        </is>
      </c>
      <c r="E89" s="4" t="inlineStr">
        <is>
          <t xml:space="preserve">Equipos y suministros de defensa, orden público, protección y seguridad / Seguridad, vigilancia y detección / Equipo de vigilancia y detección</t>
        </is>
      </c>
      <c r="F89" s="0">
        <v>2.0</v>
      </c>
      <c r="G89" s="0" t="inlineStr">
        <is>
          <t xml:space="preserve">Unidad</t>
        </is>
      </c>
      <c r="H89"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90">
      <c r="A90" s="0" t="inlineStr">
        <is>
          <t xml:space="preserve">2563-43-LP26</t>
        </is>
      </c>
      <c r="B90" s="4" t="inlineStr">
        <is>
          <t xml:space="preserve">Adquisición de cámaras IA y radares de seguridad</t>
        </is>
      </c>
      <c r="C90" s="0">
        <v>3</v>
      </c>
      <c r="D90" s="4" t="inlineStr">
        <is>
          <t xml:space="preserve">Cámaras de seguridad</t>
        </is>
      </c>
      <c r="E90" s="4" t="inlineStr">
        <is>
          <t xml:space="preserve">Equipos y suministros de defensa, orden público, protección y seguridad / Seguridad, vigilancia y detección / Equipo de vigilancia y detección</t>
        </is>
      </c>
      <c r="F90" s="0">
        <v>1.0</v>
      </c>
      <c r="G90" s="0" t="inlineStr">
        <is>
          <t xml:space="preserve">Unidad</t>
        </is>
      </c>
      <c r="H90" s="4" t="inlineStr">
        <is>
          <t xml:space="preserve">ítem 2: Servidor de gestión de video.</t>
        </is>
      </c>
    </row>
    <row r="91">
      <c r="A91" s="0" t="inlineStr">
        <is>
          <t xml:space="preserve">2563-43-LP26</t>
        </is>
      </c>
      <c r="B91" s="4" t="inlineStr">
        <is>
          <t xml:space="preserve">Adquisición de cámaras IA y radares de seguridad</t>
        </is>
      </c>
      <c r="C91" s="0">
        <v>4</v>
      </c>
      <c r="D91" s="4" t="inlineStr">
        <is>
          <t xml:space="preserve">Cámaras de seguridad</t>
        </is>
      </c>
      <c r="E91" s="4" t="inlineStr">
        <is>
          <t xml:space="preserve">Equipos y suministros de defensa, orden público, protección y seguridad / Seguridad, vigilancia y detección / Equipo de vigilancia y detección</t>
        </is>
      </c>
      <c r="F91" s="0">
        <v>2.0</v>
      </c>
      <c r="G91" s="0" t="inlineStr">
        <is>
          <t xml:space="preserve">Unidad</t>
        </is>
      </c>
      <c r="H91"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92">
      <c r="A92" s="0" t="inlineStr">
        <is>
          <t xml:space="preserve">2563-43-LP26</t>
        </is>
      </c>
      <c r="B92" s="4" t="inlineStr">
        <is>
          <t xml:space="preserve">Adquisición de cámaras IA y radares de seguridad</t>
        </is>
      </c>
      <c r="C92" s="0">
        <v>5</v>
      </c>
      <c r="D92" s="4" t="inlineStr">
        <is>
          <t xml:space="preserve">Cámaras de seguridad</t>
        </is>
      </c>
      <c r="E92" s="4" t="inlineStr">
        <is>
          <t xml:space="preserve">Equipos y suministros de defensa, orden público, protección y seguridad / Seguridad, vigilancia y detección / Equipo de vigilancia y detección</t>
        </is>
      </c>
      <c r="F92" s="0">
        <v>2.0</v>
      </c>
      <c r="G92" s="0" t="inlineStr">
        <is>
          <t xml:space="preserve">Unidad</t>
        </is>
      </c>
      <c r="H92"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93">
      <c r="A93" s="0" t="inlineStr">
        <is>
          <t xml:space="preserve">2563-43-LP26</t>
        </is>
      </c>
      <c r="B93" s="4" t="inlineStr">
        <is>
          <t xml:space="preserve">Adquisición de cámaras IA y radares de seguridad</t>
        </is>
      </c>
      <c r="C93" s="0">
        <v>6</v>
      </c>
      <c r="D93" s="4" t="inlineStr">
        <is>
          <t xml:space="preserve">Cámaras de seguridad</t>
        </is>
      </c>
      <c r="E93" s="4" t="inlineStr">
        <is>
          <t xml:space="preserve">Equipos y suministros de defensa, orden público, protección y seguridad / Seguridad, vigilancia y detección / Equipo de vigilancia y detección</t>
        </is>
      </c>
      <c r="F93" s="0">
        <v>6.0</v>
      </c>
      <c r="G93" s="0" t="inlineStr">
        <is>
          <t xml:space="preserve">Unidad</t>
        </is>
      </c>
      <c r="H93"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94">
      <c r="A94" s="0" t="inlineStr">
        <is>
          <t xml:space="preserve">2563-43-LP26</t>
        </is>
      </c>
      <c r="B94" s="4" t="inlineStr">
        <is>
          <t xml:space="preserve">Adquisición de cámaras IA y radares de seguridad</t>
        </is>
      </c>
      <c r="C94" s="0">
        <v>7</v>
      </c>
      <c r="D94" s="4" t="inlineStr">
        <is>
          <t xml:space="preserve">Cámaras de seguridad</t>
        </is>
      </c>
      <c r="E94" s="4" t="inlineStr">
        <is>
          <t xml:space="preserve">Equipos y suministros de defensa, orden público, protección y seguridad / Seguridad, vigilancia y detección / Equipo de vigilancia y detección</t>
        </is>
      </c>
      <c r="F94" s="0">
        <v>6.0</v>
      </c>
      <c r="G94" s="0" t="inlineStr">
        <is>
          <t xml:space="preserve">Unidad</t>
        </is>
      </c>
      <c r="H94"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95">
      <c r="A95" s="0" t="inlineStr">
        <is>
          <t xml:space="preserve">2563-43-LP26</t>
        </is>
      </c>
      <c r="B95" s="4" t="inlineStr">
        <is>
          <t xml:space="preserve">Adquisición de cámaras IA y radares de seguridad</t>
        </is>
      </c>
      <c r="C95" s="0">
        <v>8</v>
      </c>
      <c r="D95" s="4" t="inlineStr">
        <is>
          <t xml:space="preserve">Cámaras de seguridad</t>
        </is>
      </c>
      <c r="E95" s="4" t="inlineStr">
        <is>
          <t xml:space="preserve">Equipos y suministros de defensa, orden público, protección y seguridad / Seguridad, vigilancia y detección / Equipo de vigilancia y detección</t>
        </is>
      </c>
      <c r="F95" s="0">
        <v>1.0</v>
      </c>
      <c r="G95" s="0" t="inlineStr">
        <is>
          <t xml:space="preserve">Unidad</t>
        </is>
      </c>
      <c r="H95"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96">
      <c r="A96" s="0" t="inlineStr">
        <is>
          <t xml:space="preserve">2563-43-LP26</t>
        </is>
      </c>
      <c r="B96" s="4" t="inlineStr">
        <is>
          <t xml:space="preserve">Adquisición de cámaras IA y radares de seguridad</t>
        </is>
      </c>
      <c r="C96" s="0">
        <v>9</v>
      </c>
      <c r="D96" s="4" t="inlineStr">
        <is>
          <t xml:space="preserve">Cámaras de seguridad</t>
        </is>
      </c>
      <c r="E96" s="4" t="inlineStr">
        <is>
          <t xml:space="preserve">Equipos y suministros de defensa, orden público, protección y seguridad / Seguridad, vigilancia y detección / Equipo de vigilancia y detección</t>
        </is>
      </c>
      <c r="F96" s="0">
        <v>8.0</v>
      </c>
      <c r="G96" s="0" t="inlineStr">
        <is>
          <t xml:space="preserve">Unidad</t>
        </is>
      </c>
      <c r="H96"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97">
      <c r="A97" s="0" t="inlineStr">
        <is>
          <t xml:space="preserve">2563-43-LP26</t>
        </is>
      </c>
      <c r="B97" s="4" t="inlineStr">
        <is>
          <t xml:space="preserve">Adquisición de cámaras IA y radares de seguridad</t>
        </is>
      </c>
      <c r="C97" s="0">
        <v>10</v>
      </c>
      <c r="D97" s="4" t="inlineStr">
        <is>
          <t xml:space="preserve">Cámaras de seguridad</t>
        </is>
      </c>
      <c r="E97" s="4" t="inlineStr">
        <is>
          <t xml:space="preserve">Equipos y suministros de defensa, orden público, protección y seguridad / Seguridad, vigilancia y detección / Equipo de vigilancia y detección</t>
        </is>
      </c>
      <c r="F97" s="0">
        <v>1.0</v>
      </c>
      <c r="G97" s="0" t="inlineStr">
        <is>
          <t xml:space="preserve">Unidad</t>
        </is>
      </c>
      <c r="H97"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98">
      <c r="A98" s="0" t="inlineStr">
        <is>
          <t xml:space="preserve">2563-43-LP26</t>
        </is>
      </c>
      <c r="B98" s="4" t="inlineStr">
        <is>
          <t xml:space="preserve">Adquisición de cámaras IA y radares de seguridad</t>
        </is>
      </c>
      <c r="C98" s="0">
        <v>11</v>
      </c>
      <c r="D98" s="4" t="inlineStr">
        <is>
          <t xml:space="preserve">Cámaras de seguridad</t>
        </is>
      </c>
      <c r="E98" s="4" t="inlineStr">
        <is>
          <t xml:space="preserve">Equipos y suministros de defensa, orden público, protección y seguridad / Seguridad, vigilancia y detección / Equipo de vigilancia y detección</t>
        </is>
      </c>
      <c r="F98" s="0">
        <v>1.0</v>
      </c>
      <c r="G98" s="0" t="inlineStr">
        <is>
          <t xml:space="preserve">Unidad</t>
        </is>
      </c>
      <c r="H98"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99">
      <c r="A99" s="0" t="inlineStr">
        <is>
          <t xml:space="preserve">2563-43-LP26</t>
        </is>
      </c>
      <c r="B99" s="4" t="inlineStr">
        <is>
          <t xml:space="preserve">Adquisición de cámaras IA y radares de seguridad</t>
        </is>
      </c>
      <c r="C99" s="0">
        <v>12</v>
      </c>
      <c r="D99" s="4" t="inlineStr">
        <is>
          <t xml:space="preserve">Cámaras de seguridad</t>
        </is>
      </c>
      <c r="E99" s="4" t="inlineStr">
        <is>
          <t xml:space="preserve">Equipos y suministros de defensa, orden público, protección y seguridad / Seguridad, vigilancia y detección / Equipo de vigilancia y detección</t>
        </is>
      </c>
      <c r="F99" s="0">
        <v>2.0</v>
      </c>
      <c r="G99" s="0" t="inlineStr">
        <is>
          <t xml:space="preserve">Unidad</t>
        </is>
      </c>
      <c r="H99"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100">
      <c r="A100" s="0" t="inlineStr">
        <is>
          <t xml:space="preserve">2563-43-LP26</t>
        </is>
      </c>
      <c r="B100" s="4" t="inlineStr">
        <is>
          <t xml:space="preserve">Adquisición de cámaras IA y radares de seguridad</t>
        </is>
      </c>
      <c r="C100" s="0">
        <v>13</v>
      </c>
      <c r="D100" s="4" t="inlineStr">
        <is>
          <t xml:space="preserve">Cámaras de seguridad</t>
        </is>
      </c>
      <c r="E100" s="4" t="inlineStr">
        <is>
          <t xml:space="preserve">Equipos y suministros de defensa, orden público, protección y seguridad / Seguridad, vigilancia y detección / Equipo de vigilancia y detección</t>
        </is>
      </c>
      <c r="F100" s="0">
        <v>2.0</v>
      </c>
      <c r="G100" s="0" t="inlineStr">
        <is>
          <t xml:space="preserve">Unidad</t>
        </is>
      </c>
      <c r="H100"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101">
      <c r="A101" s="0" t="inlineStr">
        <is>
          <t xml:space="preserve">2563-43-LP26</t>
        </is>
      </c>
      <c r="B101" s="4" t="inlineStr">
        <is>
          <t xml:space="preserve">Adquisición de cámaras IA y radares de seguridad</t>
        </is>
      </c>
      <c r="C101" s="0">
        <v>14</v>
      </c>
      <c r="D101" s="4" t="inlineStr">
        <is>
          <t xml:space="preserve">Cámaras de seguridad</t>
        </is>
      </c>
      <c r="E101" s="4" t="inlineStr">
        <is>
          <t xml:space="preserve">Equipos y suministros de defensa, orden público, protección y seguridad / Seguridad, vigilancia y detección / Equipo de vigilancia y detección</t>
        </is>
      </c>
      <c r="F101" s="0">
        <v>2.0</v>
      </c>
      <c r="G101" s="0" t="inlineStr">
        <is>
          <t xml:space="preserve">Unidad</t>
        </is>
      </c>
      <c r="H101"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102">
      <c r="A102" s="0" t="inlineStr">
        <is>
          <t xml:space="preserve">2563-43-LP26</t>
        </is>
      </c>
      <c r="B102" s="4" t="inlineStr">
        <is>
          <t xml:space="preserve">Adquisición de cámaras IA y radares de seguridad</t>
        </is>
      </c>
      <c r="C102" s="0">
        <v>15</v>
      </c>
      <c r="D102" s="4" t="inlineStr">
        <is>
          <t xml:space="preserve">Cámaras de seguridad</t>
        </is>
      </c>
      <c r="E102" s="4" t="inlineStr">
        <is>
          <t xml:space="preserve">Equipos y suministros de defensa, orden público, protección y seguridad / Seguridad, vigilancia y detección / Equipo de vigilancia y detección</t>
        </is>
      </c>
      <c r="F102" s="0">
        <v>1.0</v>
      </c>
      <c r="G102" s="0" t="inlineStr">
        <is>
          <t xml:space="preserve">Unidad</t>
        </is>
      </c>
      <c r="H102"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103">
      <c r="A103" s="0" t="inlineStr">
        <is>
          <t xml:space="preserve">3000-34-LE26</t>
        </is>
      </c>
      <c r="B103" s="4" t="inlineStr">
        <is>
          <t xml:space="preserve">Relojes Control de Asistencia Software de Gestión</t>
        </is>
      </c>
      <c r="C103" s="0">
        <v>1</v>
      </c>
      <c r="D103" s="4" t="inlineStr">
        <is>
          <t xml:space="preserve">Reloj de control</t>
        </is>
      </c>
      <c r="E103" s="4" t="inlineStr">
        <is>
          <t xml:space="preserve">Equipos, accesorios y suministros de oficina / Maquinarias, suministros y accesorios de oficina / Máquinas y accesorios para registro de hora y asistencia en la oficina</t>
        </is>
      </c>
      <c r="F103" s="0">
        <v>20.0</v>
      </c>
      <c r="G103" s="0" t="inlineStr">
        <is>
          <t xml:space="preserve">Unidad</t>
        </is>
      </c>
      <c r="H103" s="4" t="inlineStr">
        <is>
          <t xml:space="preserve">Reloj Control de Asistencia Municipal, según lo indicado en Bases y TTR e Licitación</t>
        </is>
      </c>
    </row>
    <row r="104">
      <c r="A104" s="0" t="inlineStr">
        <is>
          <t xml:space="preserve">3000-34-LE26</t>
        </is>
      </c>
      <c r="B104" s="4" t="inlineStr">
        <is>
          <t xml:space="preserve">Relojes Control de Asistencia Software de Gestión</t>
        </is>
      </c>
      <c r="C104" s="0">
        <v>2</v>
      </c>
      <c r="D104" s="4" t="inlineStr">
        <is>
          <t xml:space="preserve">Reloj de control</t>
        </is>
      </c>
      <c r="E104" s="4" t="inlineStr">
        <is>
          <t xml:space="preserve">Equipos, accesorios y suministros de oficina / Maquinarias, suministros y accesorios de oficina / Máquinas y accesorios para registro de hora y asistencia en la oficina</t>
        </is>
      </c>
      <c r="F104" s="0">
        <v>1.0</v>
      </c>
      <c r="G104" s="0" t="inlineStr">
        <is>
          <t xml:space="preserve">Global</t>
        </is>
      </c>
      <c r="H104" s="4" t="inlineStr">
        <is>
          <t xml:space="preserve">Software de Reloj Control de Asistencia Municipal, según lo indicado en Bases y TTR e Licitación</t>
        </is>
      </c>
    </row>
    <row r="105">
      <c r="A105" s="0" t="inlineStr">
        <is>
          <t xml:space="preserve">3000-34-LE26</t>
        </is>
      </c>
      <c r="B105" s="4" t="inlineStr">
        <is>
          <t xml:space="preserve">Relojes Control de Asistencia Software de Gestión</t>
        </is>
      </c>
      <c r="C105" s="0">
        <v>3</v>
      </c>
      <c r="D105" s="4" t="inlineStr">
        <is>
          <t xml:space="preserve">Reloj de control</t>
        </is>
      </c>
      <c r="E105" s="4" t="inlineStr">
        <is>
          <t xml:space="preserve">Equipos, accesorios y suministros de oficina / Maquinarias, suministros y accesorios de oficina / Máquinas y accesorios para registro de hora y asistencia en la oficina</t>
        </is>
      </c>
      <c r="F105" s="0">
        <v>1.0</v>
      </c>
      <c r="G105" s="0" t="inlineStr">
        <is>
          <t xml:space="preserve">Unidad</t>
        </is>
      </c>
      <c r="H105" s="4" t="inlineStr">
        <is>
          <t xml:space="preserve">Capacitación Software y Reloj Control de Asistencia Municipal, según lo indicado en Bases y TTR e Licitación</t>
        </is>
      </c>
    </row>
    <row r="106">
      <c r="A106" s="0" t="inlineStr">
        <is>
          <t xml:space="preserve">3000-34-LE26</t>
        </is>
      </c>
      <c r="B106" s="4" t="inlineStr">
        <is>
          <t xml:space="preserve">Relojes Control de Asistencia Software de Gestión</t>
        </is>
      </c>
      <c r="C106" s="0">
        <v>4</v>
      </c>
      <c r="D106" s="4" t="inlineStr">
        <is>
          <t xml:space="preserve">Reloj de control</t>
        </is>
      </c>
      <c r="E106" s="4" t="inlineStr">
        <is>
          <t xml:space="preserve">Equipos, accesorios y suministros de oficina / Maquinarias, suministros y accesorios de oficina / Máquinas y accesorios para registro de hora y asistencia en la oficina</t>
        </is>
      </c>
      <c r="F106" s="0">
        <v>6.0</v>
      </c>
      <c r="G106" s="0" t="inlineStr">
        <is>
          <t xml:space="preserve">Unidad</t>
        </is>
      </c>
      <c r="H106" s="4" t="inlineStr">
        <is>
          <t xml:space="preserve">Reloj Control de Asistencia Dpto. Salud, según lo indicado en Bases y TTR e Licitación</t>
        </is>
      </c>
    </row>
    <row r="107">
      <c r="A107" s="0" t="inlineStr">
        <is>
          <t xml:space="preserve">3000-34-LE26</t>
        </is>
      </c>
      <c r="B107" s="4" t="inlineStr">
        <is>
          <t xml:space="preserve">Relojes Control de Asistencia Software de Gestión</t>
        </is>
      </c>
      <c r="C107" s="0">
        <v>5</v>
      </c>
      <c r="D107" s="4" t="inlineStr">
        <is>
          <t xml:space="preserve">Reloj de control</t>
        </is>
      </c>
      <c r="E107" s="4" t="inlineStr">
        <is>
          <t xml:space="preserve">Equipos, accesorios y suministros de oficina / Maquinarias, suministros y accesorios de oficina / Máquinas y accesorios para registro de hora y asistencia en la oficina</t>
        </is>
      </c>
      <c r="F107" s="0">
        <v>1.0</v>
      </c>
      <c r="G107" s="0" t="inlineStr">
        <is>
          <t xml:space="preserve">Global</t>
        </is>
      </c>
      <c r="H107" s="4" t="inlineStr">
        <is>
          <t xml:space="preserve">Software de Reloj Control de Asistencia Dpto. Salud, según lo indicado en Bases y TTR e Licitación</t>
        </is>
      </c>
    </row>
    <row r="108">
      <c r="A108" s="0" t="inlineStr">
        <is>
          <t xml:space="preserve">3000-34-LE26</t>
        </is>
      </c>
      <c r="B108" s="4" t="inlineStr">
        <is>
          <t xml:space="preserve">Relojes Control de Asistencia Software de Gestión</t>
        </is>
      </c>
      <c r="C108" s="0">
        <v>6</v>
      </c>
      <c r="D108" s="4" t="inlineStr">
        <is>
          <t xml:space="preserve">Reloj de control</t>
        </is>
      </c>
      <c r="E108" s="4" t="inlineStr">
        <is>
          <t xml:space="preserve">Equipos, accesorios y suministros de oficina / Maquinarias, suministros y accesorios de oficina / Máquinas y accesorios para registro de hora y asistencia en la oficina</t>
        </is>
      </c>
      <c r="F108" s="0">
        <v>1.0</v>
      </c>
      <c r="G108" s="0" t="inlineStr">
        <is>
          <t xml:space="preserve">Unidad</t>
        </is>
      </c>
      <c r="H108" s="4" t="inlineStr">
        <is>
          <t xml:space="preserve">Capacitación Software y Reloj Control de Asistencia Dpto. Salud, según lo indicado en Bases y TTR e Licitación</t>
        </is>
      </c>
    </row>
    <row r="109">
      <c r="A109" s="0" t="inlineStr">
        <is>
          <t xml:space="preserve">514862-125-LR26</t>
        </is>
      </c>
      <c r="B109" s="4" t="inlineStr">
        <is>
          <t xml:space="preserve">10032938 PLATAFORMA DE AGENDAMIENTO TELECONSULTAS</t>
        </is>
      </c>
      <c r="C109" s="0">
        <v>1</v>
      </c>
      <c r="D109" s="4" t="inlineStr">
        <is>
          <t xml:space="preserve">Servicios de transformación de datos</t>
        </is>
      </c>
      <c r="E109" s="4" t="inlineStr">
        <is>
          <t xml:space="preserve">Servicios basados en ingeniería, ciencias sociales y tecnología de la información / Servicios informáticos / Servicios de datos</t>
        </is>
      </c>
      <c r="F109" s="0">
        <v>1.0</v>
      </c>
      <c r="G109" s="0" t="inlineStr">
        <is>
          <t xml:space="preserve">Unidad</t>
        </is>
      </c>
      <c r="H109" s="4" t="inlineStr">
        <is>
          <t xml:space="preserve">PLATAFORMA INTEGRAL DE AGENDAMIENTO, TELECONSULTAS Y GESTIÓN DE FILAS PARA LA ATENCIÓN</t>
        </is>
      </c>
    </row>
    <row r="110">
      <c r="A110" s="0" t="inlineStr">
        <is>
          <t xml:space="preserve">869591-12-LP26</t>
        </is>
      </c>
      <c r="B110" s="4" t="inlineStr">
        <is>
          <t xml:space="preserve">CONTRATACIÓN DE PLATAFORMA DE GESTIÓN DOCUMENTAL EXPEDIENTE ELECTRÓNICO Y GESTIÓN DE PROCESOS</t>
        </is>
      </c>
      <c r="C110" s="0">
        <v>1</v>
      </c>
      <c r="D110" s="4" t="inlineStr">
        <is>
          <t xml:space="preserve">Programas de gestión de documentos</t>
        </is>
      </c>
      <c r="E110" s="4" t="inlineStr">
        <is>
          <t xml:space="preserve">Tecnologías de la información, telecomunicaciones y radiodifusión / Software / Software de gestión de contenidos</t>
        </is>
      </c>
      <c r="F110" s="0">
        <v>1.0</v>
      </c>
      <c r="G110" s="0" t="inlineStr">
        <is>
          <t xml:space="preserve">Unidad</t>
        </is>
      </c>
      <c r="H110" s="4" t="inlineStr">
        <is>
          <t xml:space="preserve">CONTRATACIÓN DE PLATAFORMA DE GESTIÓN DOCUMENTAL, EXPEDIENTE ELECTRÓNICO Y GESTIÓN DE PROCESOS PARA LA DIRECCIÓN DE COMPRAS Y CONTRATACIÓN PÚBLICA</t>
        </is>
      </c>
    </row>
    <row r="111">
      <c r="A111" s="0" t="inlineStr">
        <is>
          <t xml:space="preserve">1057549-8-LE26</t>
        </is>
      </c>
      <c r="B111" s="4" t="inlineStr">
        <is>
          <t xml:space="preserve">CONVENIO FOTOCOPIADO IMPRESIÓN Y DIGITALIZACIÓN</t>
        </is>
      </c>
      <c r="C111" s="0">
        <v>1</v>
      </c>
      <c r="D111" s="4" t="inlineStr">
        <is>
          <t xml:space="preserve">Impresión digital</t>
        </is>
      </c>
      <c r="E111" s="4" t="inlineStr">
        <is>
          <t xml:space="preserve">Servicios editoriales, de diseño, publicidad, gráficos y artistas / Servicios de impresión y reproducción / Impresión</t>
        </is>
      </c>
      <c r="F111" s="0">
        <v>1.0</v>
      </c>
      <c r="G111" s="0" t="inlineStr">
        <is>
          <t xml:space="preserve">Unidad</t>
        </is>
      </c>
      <c r="H111" s="4" t="inlineStr">
        <is>
          <t xml:space="preserve">Servicio de Fotocopiado, Impresión y Digitalización con entrega de Equipos</t>
        </is>
      </c>
    </row>
    <row r="112">
      <c r="A112" s="0" t="inlineStr">
        <is>
          <t xml:space="preserve">1218393-49-LE26</t>
        </is>
      </c>
      <c r="B112" s="4" t="inlineStr">
        <is>
          <t xml:space="preserve">Convenio suministro de servicios de fotocopiado impresión y digitalización con arriendo de equipos para CESFAM Externo Valdivia</t>
        </is>
      </c>
      <c r="C112" s="0">
        <v>1</v>
      </c>
      <c r="D112" s="4" t="inlineStr">
        <is>
          <t xml:space="preserve">Servicios de copias en blanco y negro</t>
        </is>
      </c>
      <c r="E112" s="4" t="inlineStr">
        <is>
          <t xml:space="preserve">Servicios editoriales, de diseño, publicidad, gráficos y artistas / Servicios de impresión y reproducción / Fotocopiado</t>
        </is>
      </c>
      <c r="F112" s="0">
        <v>1.0</v>
      </c>
      <c r="G112" s="0" t="inlineStr">
        <is>
          <t xml:space="preserve">Unidad</t>
        </is>
      </c>
      <c r="H112" s="4" t="inlineStr">
        <is>
          <t xml:space="preserve">Servicio de fotocopiado, impresión y digitalización con arriendo de equipos para el establecimiento y sus dependencia por 12 meses según requerimiento en Resolución exenta n°894 del 08.10.2026
Indicar valor mensual.</t>
        </is>
      </c>
    </row>
    <row r="113">
      <c r="A113" s="0" t="inlineStr">
        <is>
          <t xml:space="preserve">4589-20-LE26</t>
        </is>
      </c>
      <c r="B113" s="4" t="inlineStr">
        <is>
          <t xml:space="preserve">CONTRATACION PARA SOPORTE DE MANTENCION Y CAPACITACION DE PLATAFORMA SIFIM PARA ILUSTRE MUNICIPALIDAD DE TORRES DEL PAINE GESTION AREA MUNICIPAL Y SALUD</t>
        </is>
      </c>
      <c r="C113" s="0">
        <v>1</v>
      </c>
      <c r="D113" s="4" t="inlineStr">
        <is>
          <t xml:space="preserve">Programas de análisis financiero</t>
        </is>
      </c>
      <c r="E113" s="4" t="inlineStr">
        <is>
          <t xml:space="preserve">Tecnologías de la información, telecomunicaciones y radiodifusión / Software / Software de planificación de recursos empresariales (ERP) y contabilidad financiera</t>
        </is>
      </c>
      <c r="F113" s="0">
        <v>1.0</v>
      </c>
      <c r="G113" s="0" t="inlineStr">
        <is>
          <t xml:space="preserve">Unidad</t>
        </is>
      </c>
      <c r="H113" s="4" t="inlineStr">
        <is>
          <t xml:space="preserve">CONTRATACION PARA SOPORTE DE MANTENCION Y CAPACITACION DE PLATAFORMA SIFIM PARA ILUSTRE MUNICIPALIDAD DE TORRES DEL PAINE, GESTION AREA MUNICIPAL Y SALUD. Los servicios requeridos se describen detalladamente en las Especificaciones Técnicas, las que se ac</t>
        </is>
      </c>
    </row>
    <row r="114">
      <c r="A114" s="0" t="inlineStr">
        <is>
          <t xml:space="preserve">425-65-LR26</t>
        </is>
      </c>
      <c r="B114" s="4" t="inlineStr">
        <is>
          <t xml:space="preserve">Renovación de licencias y servicio de administración de software Falcon Crowdstrike EDR para el Poder Judicial</t>
        </is>
      </c>
      <c r="C114" s="0">
        <v>1</v>
      </c>
      <c r="D114" s="4" t="inlineStr">
        <is>
          <t xml:space="preserve">Software de gestión de licencias</t>
        </is>
      </c>
      <c r="E114" s="4" t="inlineStr">
        <is>
          <t xml:space="preserve">Tecnologías de la información, telecomunicaciones y radiodifusión / Software / Software de gestión</t>
        </is>
      </c>
      <c r="F114" s="0">
        <v>1.0</v>
      </c>
      <c r="G114" s="0" t="inlineStr">
        <is>
          <t xml:space="preserve">Global</t>
        </is>
      </c>
      <c r="H114" s="4" t="inlineStr">
        <is>
          <t xml:space="preserve">Ítem 4 LICENCIAS FALCON CROWDSTRIKE EDR. Valor total neto del ítem según Formulario Económico N°1 (en caso de discrepancia entre el valor del portal y el formulario primará este último).</t>
        </is>
      </c>
    </row>
    <row r="115">
      <c r="A115" s="0" t="inlineStr">
        <is>
          <t xml:space="preserve">425-65-LR26</t>
        </is>
      </c>
      <c r="B115" s="4" t="inlineStr">
        <is>
          <t xml:space="preserve">Renovación de licencias y servicio de administración de software Falcon Crowdstrike EDR para el Poder Judicial</t>
        </is>
      </c>
      <c r="C115" s="0">
        <v>2</v>
      </c>
      <c r="D115" s="4" t="inlineStr">
        <is>
          <t xml:space="preserve">Software de gestión de licencias</t>
        </is>
      </c>
      <c r="E115" s="4" t="inlineStr">
        <is>
          <t xml:space="preserve">Tecnologías de la información, telecomunicaciones y radiodifusión / Software / Software de gestión</t>
        </is>
      </c>
      <c r="F115" s="0">
        <v>1.0</v>
      </c>
      <c r="G115" s="0" t="inlineStr">
        <is>
          <t xml:space="preserve">Global</t>
        </is>
      </c>
      <c r="H115" s="4" t="inlineStr">
        <is>
          <t xml:space="preserve">Ítem 1 LICENCIAS FALCON CROWDSTRIKE EDR. Valor total neto del ítem según Formulario Económico N°1 (en caso de discrepancia entre el valor del portal y el formulario primará este último).</t>
        </is>
      </c>
    </row>
    <row r="116">
      <c r="A116" s="0" t="inlineStr">
        <is>
          <t xml:space="preserve">425-65-LR26</t>
        </is>
      </c>
      <c r="B116" s="4" t="inlineStr">
        <is>
          <t xml:space="preserve">Renovación de licencias y servicio de administración de software Falcon Crowdstrike EDR para el Poder Judicial</t>
        </is>
      </c>
      <c r="C116" s="0">
        <v>3</v>
      </c>
      <c r="D116" s="4" t="inlineStr">
        <is>
          <t xml:space="preserve">Software de gestión de licencias</t>
        </is>
      </c>
      <c r="E116" s="4" t="inlineStr">
        <is>
          <t xml:space="preserve">Tecnologías de la información, telecomunicaciones y radiodifusión / Software / Software de gestión</t>
        </is>
      </c>
      <c r="F116" s="0">
        <v>1.0</v>
      </c>
      <c r="G116" s="0" t="inlineStr">
        <is>
          <t xml:space="preserve">Global</t>
        </is>
      </c>
      <c r="H116" s="4" t="inlineStr">
        <is>
          <t xml:space="preserve">Ítem 2 LICENCIAS FALCON CROWDSTRIKE EDR. Valor total neto del ítem según Formulario Económico N°1 (en caso de discrepancia entre el valor del portal y el formulario primará este último).</t>
        </is>
      </c>
    </row>
    <row r="117">
      <c r="A117" s="0" t="inlineStr">
        <is>
          <t xml:space="preserve">425-65-LR26</t>
        </is>
      </c>
      <c r="B117" s="4" t="inlineStr">
        <is>
          <t xml:space="preserve">Renovación de licencias y servicio de administración de software Falcon Crowdstrike EDR para el Poder Judicial</t>
        </is>
      </c>
      <c r="C117" s="0">
        <v>4</v>
      </c>
      <c r="D117" s="4" t="inlineStr">
        <is>
          <t xml:space="preserve">Software de gestión de licencias</t>
        </is>
      </c>
      <c r="E117" s="4" t="inlineStr">
        <is>
          <t xml:space="preserve">Tecnologías de la información, telecomunicaciones y radiodifusión / Software / Software de gestión</t>
        </is>
      </c>
      <c r="F117" s="0">
        <v>1.0</v>
      </c>
      <c r="G117" s="0" t="inlineStr">
        <is>
          <t xml:space="preserve">Global</t>
        </is>
      </c>
      <c r="H117" s="4" t="inlineStr">
        <is>
          <t xml:space="preserve">Ítem 3 LICENCIAS FALCON CROWDSTRIKE EDR. Valor total neto del ítem según Formulario Económico N°1 (en caso de discrepancia entre el valor del portal y el formulario primará este último).</t>
        </is>
      </c>
    </row>
    <row r="118">
      <c r="A118" s="0" t="inlineStr">
        <is>
          <t xml:space="preserve">425-65-LR26</t>
        </is>
      </c>
      <c r="B118" s="4" t="inlineStr">
        <is>
          <t xml:space="preserve">Renovación de licencias y servicio de administración de software Falcon Crowdstrike EDR para el Poder Judicial</t>
        </is>
      </c>
      <c r="C118" s="0">
        <v>5</v>
      </c>
      <c r="D118" s="4" t="inlineStr">
        <is>
          <t xml:space="preserve">Software de gestión de licencias</t>
        </is>
      </c>
      <c r="E118" s="4" t="inlineStr">
        <is>
          <t xml:space="preserve">Tecnologías de la información, telecomunicaciones y radiodifusión / Software / Software de gestión</t>
        </is>
      </c>
      <c r="F118" s="0">
        <v>1.0</v>
      </c>
      <c r="G118" s="0" t="inlineStr">
        <is>
          <t xml:space="preserve">Global</t>
        </is>
      </c>
      <c r="H118" s="4" t="inlineStr">
        <is>
          <t xml:space="preserve">Ítem 5 Servicios de Administración
Falcon Crowdstrike. Valor total neto del ítem según Formulario Económico N°1 (en caso de discrepancia entre el valor del portal y el formulario primará este último).</t>
        </is>
      </c>
    </row>
    <row r="119">
      <c r="A119" s="0" t="inlineStr">
        <is>
          <t xml:space="preserve">1375758-7-LE26</t>
        </is>
      </c>
      <c r="B119" s="4" t="inlineStr">
        <is>
          <t xml:space="preserve">PLATAFORMA INTEGRAL PARA LA PLANIFICACIÓN CONTROL DE DOTACIÓN ESCOLAR Y GESTIÓN DE SOLICITUDES DE CONTRATACIÓN</t>
        </is>
      </c>
      <c r="C119" s="0">
        <v>1</v>
      </c>
      <c r="D119" s="4" t="inlineStr">
        <is>
          <t xml:space="preserve">Desarrollo de Aplicaciones de Recursos Empresariales (ERP)</t>
        </is>
      </c>
      <c r="E119" s="4" t="inlineStr">
        <is>
          <t xml:space="preserve">Servicios basados en ingeniería, ciencias sociales y tecnología de la información / Servicios informáticos / Ingeniería en computación e informática</t>
        </is>
      </c>
      <c r="F119" s="0">
        <v>24.0</v>
      </c>
      <c r="G119" s="0" t="inlineStr">
        <is>
          <t xml:space="preserve">Mes</t>
        </is>
      </c>
      <c r="H119" s="4" t="inlineStr">
        <is>
          <t xml:space="preserve">CONTRATACIÓN DE “PLATAFORMA INTEGRAL PARA LA PLANIFICACIÓN, CONTROL DE DOTACIÓN ESCOLAR Y GESTIÓN DE SOLICITUDES DE CONTRATACIÓN DEL SLEP SANTIAGO CENTRO”</t>
        </is>
      </c>
    </row>
    <row r="120">
      <c r="A120" s="0" t="inlineStr">
        <is>
          <t xml:space="preserve">2548-94-CO26</t>
        </is>
      </c>
      <c r="B120" s="4" t="inlineStr">
        <is>
          <t xml:space="preserve">PROVISIÓN DE AUDÍFONOS RETROAURICULARES DIGITALES</t>
        </is>
      </c>
      <c r="C120" s="0">
        <v>1</v>
      </c>
      <c r="D120" s="4" t="inlineStr">
        <is>
          <t xml:space="preserve">Audífonos para personas con discapacidad física</t>
        </is>
      </c>
      <c r="E120" s="4" t="inlineStr">
        <is>
          <t xml:space="preserve">Equipamiento y suministros médicos / Ayuda para personas con discapacidad / Artículos de ayuda para la comunicación de discapacitados</t>
        </is>
      </c>
      <c r="F120" s="0">
        <v>1.0</v>
      </c>
      <c r="G120" s="0" t="inlineStr">
        <is>
          <t xml:space="preserve">Unidad</t>
        </is>
      </c>
      <c r="H120" s="4" t="inlineStr">
        <is>
          <t xml:space="preserve">AUDÍFONOS RETROAURICULARES DIGITALES</t>
        </is>
      </c>
    </row>
    <row r="121">
      <c r="A121" s="0" t="inlineStr">
        <is>
          <t xml:space="preserve">1375757-32-LP26</t>
        </is>
      </c>
      <c r="B121" s="4" t="inlineStr">
        <is>
          <t xml:space="preserve">LICENCIAS DE SOFTWARE PARA SLEP DE PUELCHE</t>
        </is>
      </c>
      <c r="C121" s="0">
        <v>1</v>
      </c>
      <c r="D121" s="4" t="inlineStr">
        <is>
          <t xml:space="preserve">Software de gestión de licencias</t>
        </is>
      </c>
      <c r="E121" s="4" t="inlineStr">
        <is>
          <t xml:space="preserve">Tecnologías de la información, telecomunicaciones y radiodifusión / Software / Software de gestión</t>
        </is>
      </c>
      <c r="F121" s="0">
        <v>1.0</v>
      </c>
      <c r="G121" s="0" t="inlineStr">
        <is>
          <t xml:space="preserve">Global</t>
        </is>
      </c>
      <c r="H121" s="4" t="inlineStr">
        <is>
          <t xml:space="preserve">Autodesk AutoCAD LT</t>
        </is>
      </c>
    </row>
    <row r="122">
      <c r="A122" s="0" t="inlineStr">
        <is>
          <t xml:space="preserve">1375757-32-LP26</t>
        </is>
      </c>
      <c r="B122" s="4" t="inlineStr">
        <is>
          <t xml:space="preserve">LICENCIAS DE SOFTWARE PARA SLEP DE PUELCHE</t>
        </is>
      </c>
      <c r="C122" s="0">
        <v>2</v>
      </c>
      <c r="D122" s="4" t="inlineStr">
        <is>
          <t xml:space="preserve">Software de gestión de licencias</t>
        </is>
      </c>
      <c r="E122" s="4" t="inlineStr">
        <is>
          <t xml:space="preserve">Tecnologías de la información, telecomunicaciones y radiodifusión / Software / Software de gestión</t>
        </is>
      </c>
      <c r="F122" s="0">
        <v>1.0</v>
      </c>
      <c r="G122" s="0" t="inlineStr">
        <is>
          <t xml:space="preserve">Global</t>
        </is>
      </c>
      <c r="H122" s="4" t="inlineStr">
        <is>
          <t xml:space="preserve">AutoCAD - including specialized toolsets (versión completa)</t>
        </is>
      </c>
    </row>
    <row r="123">
      <c r="A123" s="0" t="inlineStr">
        <is>
          <t xml:space="preserve">1375757-32-LP26</t>
        </is>
      </c>
      <c r="B123" s="4" t="inlineStr">
        <is>
          <t xml:space="preserve">LICENCIAS DE SOFTWARE PARA SLEP DE PUELCHE</t>
        </is>
      </c>
      <c r="C123" s="0">
        <v>3</v>
      </c>
      <c r="D123" s="4" t="inlineStr">
        <is>
          <t xml:space="preserve">Software de gestión de licencias</t>
        </is>
      </c>
      <c r="E123" s="4" t="inlineStr">
        <is>
          <t xml:space="preserve">Tecnologías de la información, telecomunicaciones y radiodifusión / Software / Software de gestión</t>
        </is>
      </c>
      <c r="F123" s="0">
        <v>1.0</v>
      </c>
      <c r="G123" s="0" t="inlineStr">
        <is>
          <t xml:space="preserve">Global</t>
        </is>
      </c>
      <c r="H123" s="4" t="inlineStr">
        <is>
          <t xml:space="preserve">Autodesk Revit o similar o superior</t>
        </is>
      </c>
    </row>
    <row r="124">
      <c r="A124" s="0" t="inlineStr">
        <is>
          <t xml:space="preserve">1375757-32-LP26</t>
        </is>
      </c>
      <c r="B124" s="4" t="inlineStr">
        <is>
          <t xml:space="preserve">LICENCIAS DE SOFTWARE PARA SLEP DE PUELCHE</t>
        </is>
      </c>
      <c r="C124" s="0">
        <v>4</v>
      </c>
      <c r="D124" s="4" t="inlineStr">
        <is>
          <t xml:space="preserve">Software de gestión de licencias</t>
        </is>
      </c>
      <c r="E124" s="4" t="inlineStr">
        <is>
          <t xml:space="preserve">Tecnologías de la información, telecomunicaciones y radiodifusión / Software / Software de gestión</t>
        </is>
      </c>
      <c r="F124" s="0">
        <v>1.0</v>
      </c>
      <c r="G124" s="0" t="inlineStr">
        <is>
          <t xml:space="preserve">Global</t>
        </is>
      </c>
      <c r="H124" s="4" t="inlineStr">
        <is>
          <t xml:space="preserve">SketchUp Pro o similar o superior</t>
        </is>
      </c>
    </row>
    <row r="125">
      <c r="A125" s="0" t="inlineStr">
        <is>
          <t xml:space="preserve">1375757-32-LP26</t>
        </is>
      </c>
      <c r="B125" s="4" t="inlineStr">
        <is>
          <t xml:space="preserve">LICENCIAS DE SOFTWARE PARA SLEP DE PUELCHE</t>
        </is>
      </c>
      <c r="C125" s="0">
        <v>5</v>
      </c>
      <c r="D125" s="4" t="inlineStr">
        <is>
          <t xml:space="preserve">Software de gestión de licencias</t>
        </is>
      </c>
      <c r="E125" s="4" t="inlineStr">
        <is>
          <t xml:space="preserve">Tecnologías de la información, telecomunicaciones y radiodifusión / Software / Software de gestión</t>
        </is>
      </c>
      <c r="F125" s="0">
        <v>1.0</v>
      </c>
      <c r="G125" s="0" t="inlineStr">
        <is>
          <t xml:space="preserve">Global</t>
        </is>
      </c>
      <c r="H125" s="4" t="inlineStr">
        <is>
          <t xml:space="preserve">AnyDesk (mínimo 2 conexiones simultáneas)</t>
        </is>
      </c>
    </row>
    <row r="126">
      <c r="A126" s="0" t="inlineStr">
        <is>
          <t xml:space="preserve">1375757-32-LP26</t>
        </is>
      </c>
      <c r="B126" s="4" t="inlineStr">
        <is>
          <t xml:space="preserve">LICENCIAS DE SOFTWARE PARA SLEP DE PUELCHE</t>
        </is>
      </c>
      <c r="C126" s="0">
        <v>6</v>
      </c>
      <c r="D126" s="4" t="inlineStr">
        <is>
          <t xml:space="preserve">Software de gestión de licencias</t>
        </is>
      </c>
      <c r="E126" s="4" t="inlineStr">
        <is>
          <t xml:space="preserve">Tecnologías de la información, telecomunicaciones y radiodifusión / Software / Software de gestión</t>
        </is>
      </c>
      <c r="F126" s="0">
        <v>1.0</v>
      </c>
      <c r="G126" s="0" t="inlineStr">
        <is>
          <t xml:space="preserve">Global</t>
        </is>
      </c>
      <c r="H126" s="4" t="inlineStr">
        <is>
          <t xml:space="preserve">Adobe Creative Cloud Pro</t>
        </is>
      </c>
    </row>
    <row r="127">
      <c r="A127" s="0" t="inlineStr">
        <is>
          <t xml:space="preserve">1375757-32-LP26</t>
        </is>
      </c>
      <c r="B127" s="4" t="inlineStr">
        <is>
          <t xml:space="preserve">LICENCIAS DE SOFTWARE PARA SLEP DE PUELCHE</t>
        </is>
      </c>
      <c r="C127" s="0">
        <v>7</v>
      </c>
      <c r="D127" s="4" t="inlineStr">
        <is>
          <t xml:space="preserve">Software de gestión de licencias</t>
        </is>
      </c>
      <c r="E127" s="4" t="inlineStr">
        <is>
          <t xml:space="preserve">Tecnologías de la información, telecomunicaciones y radiodifusión / Software / Software de gestión</t>
        </is>
      </c>
      <c r="F127" s="0">
        <v>1.0</v>
      </c>
      <c r="G127" s="0" t="inlineStr">
        <is>
          <t xml:space="preserve">Global</t>
        </is>
      </c>
      <c r="H127" s="4" t="inlineStr">
        <is>
          <t xml:space="preserve">Planner and Project Plan 3 for faculty</t>
        </is>
      </c>
    </row>
    <row r="128">
      <c r="A128" s="0" t="inlineStr">
        <is>
          <t xml:space="preserve">1375757-32-LP26</t>
        </is>
      </c>
      <c r="B128" s="4" t="inlineStr">
        <is>
          <t xml:space="preserve">LICENCIAS DE SOFTWARE PARA SLEP DE PUELCHE</t>
        </is>
      </c>
      <c r="C128" s="0">
        <v>8</v>
      </c>
      <c r="D128" s="4" t="inlineStr">
        <is>
          <t xml:space="preserve">Software de gestión de licencias</t>
        </is>
      </c>
      <c r="E128" s="4" t="inlineStr">
        <is>
          <t xml:space="preserve">Tecnologías de la información, telecomunicaciones y radiodifusión / Software / Software de gestión</t>
        </is>
      </c>
      <c r="F128" s="0">
        <v>1.0</v>
      </c>
      <c r="G128" s="0" t="inlineStr">
        <is>
          <t xml:space="preserve">Global</t>
        </is>
      </c>
      <c r="H128" s="4" t="inlineStr">
        <is>
          <t xml:space="preserve">Freshworks (Mesa de Ayuda TI)</t>
        </is>
      </c>
    </row>
    <row r="129">
      <c r="A129" s="0" t="inlineStr">
        <is>
          <t xml:space="preserve">1375757-32-LP26</t>
        </is>
      </c>
      <c r="B129" s="4" t="inlineStr">
        <is>
          <t xml:space="preserve">LICENCIAS DE SOFTWARE PARA SLEP DE PUELCHE</t>
        </is>
      </c>
      <c r="C129" s="0">
        <v>9</v>
      </c>
      <c r="D129" s="4" t="inlineStr">
        <is>
          <t xml:space="preserve">Software de gestión de licencias</t>
        </is>
      </c>
      <c r="E129" s="4" t="inlineStr">
        <is>
          <t xml:space="preserve">Tecnologías de la información, telecomunicaciones y radiodifusión / Software / Software de gestión</t>
        </is>
      </c>
      <c r="F129" s="0">
        <v>1.0</v>
      </c>
      <c r="G129" s="0" t="inlineStr">
        <is>
          <t xml:space="preserve">Global</t>
        </is>
      </c>
      <c r="H129" s="4" t="inlineStr">
        <is>
          <t xml:space="preserve">Vectorworks o similar o superior</t>
        </is>
      </c>
    </row>
    <row r="130">
      <c r="A130" s="0" t="inlineStr">
        <is>
          <t xml:space="preserve">1375757-32-LP26</t>
        </is>
      </c>
      <c r="B130" s="4" t="inlineStr">
        <is>
          <t xml:space="preserve">LICENCIAS DE SOFTWARE PARA SLEP DE PUELCHE</t>
        </is>
      </c>
      <c r="C130" s="0">
        <v>10</v>
      </c>
      <c r="D130" s="4" t="inlineStr">
        <is>
          <t xml:space="preserve">Software de gestión de licencias</t>
        </is>
      </c>
      <c r="E130" s="4" t="inlineStr">
        <is>
          <t xml:space="preserve">Tecnologías de la información, telecomunicaciones y radiodifusión / Software / Software de gestión</t>
        </is>
      </c>
      <c r="F130" s="0">
        <v>1.0</v>
      </c>
      <c r="G130" s="0" t="inlineStr">
        <is>
          <t xml:space="preserve">Global</t>
        </is>
      </c>
      <c r="H130" s="4" t="inlineStr">
        <is>
          <t xml:space="preserve">Claude Max 20x o similar o superior</t>
        </is>
      </c>
    </row>
    <row r="131">
      <c r="A131" s="0" t="inlineStr">
        <is>
          <t xml:space="preserve">1375757-32-LP26</t>
        </is>
      </c>
      <c r="B131" s="4" t="inlineStr">
        <is>
          <t xml:space="preserve">LICENCIAS DE SOFTWARE PARA SLEP DE PUELCHE</t>
        </is>
      </c>
      <c r="C131" s="0">
        <v>11</v>
      </c>
      <c r="D131" s="4" t="inlineStr">
        <is>
          <t xml:space="preserve">Software de gestión de licencias</t>
        </is>
      </c>
      <c r="E131" s="4" t="inlineStr">
        <is>
          <t xml:space="preserve">Tecnologías de la información, telecomunicaciones y radiodifusión / Software / Software de gestión</t>
        </is>
      </c>
      <c r="F131" s="0">
        <v>1.0</v>
      </c>
      <c r="G131" s="0" t="inlineStr">
        <is>
          <t xml:space="preserve">Global</t>
        </is>
      </c>
      <c r="H131" s="4" t="inlineStr">
        <is>
          <t xml:space="preserve">ChatGPT Business</t>
        </is>
      </c>
    </row>
    <row r="132">
      <c r="A132" s="0" t="inlineStr">
        <is>
          <t xml:space="preserve">1375757-32-LP26</t>
        </is>
      </c>
      <c r="B132" s="4" t="inlineStr">
        <is>
          <t xml:space="preserve">LICENCIAS DE SOFTWARE PARA SLEP DE PUELCHE</t>
        </is>
      </c>
      <c r="C132" s="0">
        <v>12</v>
      </c>
      <c r="D132" s="4" t="inlineStr">
        <is>
          <t xml:space="preserve">Software de gestión de licencias</t>
        </is>
      </c>
      <c r="E132" s="4" t="inlineStr">
        <is>
          <t xml:space="preserve">Tecnologías de la información, telecomunicaciones y radiodifusión / Software / Software de gestión</t>
        </is>
      </c>
      <c r="F132" s="0">
        <v>1.0</v>
      </c>
      <c r="G132" s="0" t="inlineStr">
        <is>
          <t xml:space="preserve">Global</t>
        </is>
      </c>
      <c r="H132" s="4" t="inlineStr">
        <is>
          <t xml:space="preserve">ClickUp Business</t>
        </is>
      </c>
    </row>
    <row r="133">
      <c r="A133" s="0" t="inlineStr">
        <is>
          <t xml:space="preserve">1375757-32-LP26</t>
        </is>
      </c>
      <c r="B133" s="4" t="inlineStr">
        <is>
          <t xml:space="preserve">LICENCIAS DE SOFTWARE PARA SLEP DE PUELCHE</t>
        </is>
      </c>
      <c r="C133" s="0">
        <v>13</v>
      </c>
      <c r="D133" s="4" t="inlineStr">
        <is>
          <t xml:space="preserve">Software de gestión de licencias</t>
        </is>
      </c>
      <c r="E133" s="4" t="inlineStr">
        <is>
          <t xml:space="preserve">Tecnologías de la información, telecomunicaciones y radiodifusión / Software / Software de gestión</t>
        </is>
      </c>
      <c r="F133" s="0">
        <v>1.0</v>
      </c>
      <c r="G133" s="0" t="inlineStr">
        <is>
          <t xml:space="preserve">Global</t>
        </is>
      </c>
      <c r="H133" s="4" t="inlineStr">
        <is>
          <t xml:space="preserve">Microsoft Office LTSC Professional Plus 2024 o similar o superior (perpetua)</t>
        </is>
      </c>
    </row>
    <row r="134">
      <c r="A134" s="0" t="inlineStr">
        <is>
          <t xml:space="preserve">1389183-71-LE26</t>
        </is>
      </c>
      <c r="B134" s="4" t="inlineStr">
        <is>
          <t xml:space="preserve">PROGRAMAS INFORMATICOS PARA LICEOS TP</t>
        </is>
      </c>
      <c r="C134" s="0">
        <v>1</v>
      </c>
      <c r="D134" s="4" t="inlineStr">
        <is>
          <t xml:space="preserve">Programas de contabilidad</t>
        </is>
      </c>
      <c r="E134" s="4" t="inlineStr">
        <is>
          <t xml:space="preserve">Tecnologías de la información, telecomunicaciones y radiodifusión / Software / Software de planificación de recursos empresariales (ERP) y contabilidad financiera</t>
        </is>
      </c>
      <c r="F134" s="0">
        <v>1.0</v>
      </c>
      <c r="G134" s="0" t="inlineStr">
        <is>
          <t xml:space="preserve">Unidad</t>
        </is>
      </c>
      <c r="H134" s="4" t="inlineStr">
        <is>
          <t xml:space="preserve">PROGRAMAS INFORMATICOS PARA LICEO COMERCIAL ANDRES BELLO</t>
        </is>
      </c>
    </row>
    <row r="135">
      <c r="A135" s="0" t="inlineStr">
        <is>
          <t xml:space="preserve">1389183-71-LE26</t>
        </is>
      </c>
      <c r="B135" s="4" t="inlineStr">
        <is>
          <t xml:space="preserve">PROGRAMAS INFORMATICOS PARA LICEOS TP</t>
        </is>
      </c>
      <c r="C135" s="0">
        <v>2</v>
      </c>
      <c r="D135" s="4" t="inlineStr">
        <is>
          <t xml:space="preserve">Software de gestión de recursos humanos</t>
        </is>
      </c>
      <c r="E135" s="4" t="inlineStr">
        <is>
          <t xml:space="preserve">Tecnologías de la información, telecomunicaciones y radiodifusión / Software / Software de gestión</t>
        </is>
      </c>
      <c r="F135" s="0">
        <v>1.0</v>
      </c>
      <c r="G135" s="0" t="inlineStr">
        <is>
          <t xml:space="preserve">Unidad</t>
        </is>
      </c>
      <c r="H135" s="4" t="inlineStr">
        <is>
          <t xml:space="preserve">PROGRAMAS INFORMATICOS PARA LICEO EDUARDO FREI</t>
        </is>
      </c>
    </row>
    <row r="136">
      <c r="A136" s="0" t="inlineStr">
        <is>
          <t xml:space="preserve">4455-53-LE26</t>
        </is>
      </c>
      <c r="B136" s="4" t="inlineStr">
        <is>
          <t xml:space="preserve">SERVICIO ARRIENDO DE SOFWARE DE ASISTENCIA CLOUD</t>
        </is>
      </c>
      <c r="C136" s="0">
        <v>1</v>
      </c>
      <c r="D136" s="4" t="inlineStr">
        <is>
          <t xml:space="preserve">Reloj de control</t>
        </is>
      </c>
      <c r="E136" s="4" t="inlineStr">
        <is>
          <t xml:space="preserve">Equipos, accesorios y suministros de oficina / Maquinarias, suministros y accesorios de oficina / Máquinas y accesorios para registro de hora y asistencia en la oficina</t>
        </is>
      </c>
      <c r="F136" s="0">
        <v>1.0</v>
      </c>
      <c r="G136" s="0" t="inlineStr">
        <is>
          <t xml:space="preserve">Unidad</t>
        </is>
      </c>
      <c r="H136" s="4" t="inlineStr">
        <is>
          <t xml:space="preserve">Servicio Arriendo de SOFTWARE de Asistencia Cloud para Establecimientos Educacionales, Jardines, Salas Cunas de la Comuna y Departamento de Educación Municipal, por 14 meses</t>
        </is>
      </c>
    </row>
    <row r="137">
      <c r="A137" s="0" t="inlineStr">
        <is>
          <t xml:space="preserve">1230869-7-LE26</t>
        </is>
      </c>
      <c r="B137" s="4" t="inlineStr">
        <is>
          <t xml:space="preserve">SERVICIO DE SOFTWARE DE CONTABILIDAD GUBERNAMENTAL</t>
        </is>
      </c>
      <c r="C137" s="0">
        <v>1</v>
      </c>
      <c r="D137" s="4" t="inlineStr">
        <is>
          <t xml:space="preserve">Programas de contabilidad</t>
        </is>
      </c>
      <c r="E137" s="4" t="inlineStr">
        <is>
          <t xml:space="preserve">Tecnologías de la información, telecomunicaciones y radiodifusión / Software / Software de planificación de recursos empresariales (ERP) y contabilidad financiera</t>
        </is>
      </c>
      <c r="F137" s="0">
        <v>1.0</v>
      </c>
      <c r="G137" s="0" t="inlineStr">
        <is>
          <t xml:space="preserve">Unidad</t>
        </is>
      </c>
      <c r="H137" s="4" t="inlineStr">
        <is>
          <t xml:space="preserve">SERVICIO DE SOFTWARE DE CONTABILIDAD GUBERNAMENTAL PARA LA CORPORACIÓN CULTURAL DE LA FLORIDA</t>
        </is>
      </c>
    </row>
    <row r="138">
      <c r="A138" s="0" t="inlineStr">
        <is>
          <t xml:space="preserve">1191449-19-LP26</t>
        </is>
      </c>
      <c r="B138" s="4" t="inlineStr">
        <is>
          <t xml:space="preserve">SERVICIOS  DE ADMINIS DE INFRAES CLOUD Y MANTEN AN</t>
        </is>
      </c>
      <c r="C138" s="0">
        <v>1</v>
      </c>
      <c r="D138" s="4" t="inlineStr">
        <is>
          <t xml:space="preserve">Profesionales</t>
        </is>
      </c>
      <c r="E138" s="4" t="inlineStr">
        <is>
          <t xml:space="preserve">Servicios profesionales, administrativos y consultorías de gestión empresarial / Servicios de recursos humanos / Contratación de personal</t>
        </is>
      </c>
      <c r="F138" s="0">
        <v>1.0</v>
      </c>
      <c r="G138" s="0" t="inlineStr">
        <is>
          <t xml:space="preserve">Unidad</t>
        </is>
      </c>
      <c r="H138" s="4" t="inlineStr">
        <is>
          <t xml:space="preserve">Servicio profesional de administración de infraestructura Cloud</t>
        </is>
      </c>
    </row>
    <row r="139">
      <c r="A139" s="0" t="inlineStr">
        <is>
          <t xml:space="preserve">1191449-19-LP26</t>
        </is>
      </c>
      <c r="B139" s="4" t="inlineStr">
        <is>
          <t xml:space="preserve">SERVICIOS  DE ADMINIS DE INFRAES CLOUD Y MANTEN AN</t>
        </is>
      </c>
      <c r="C139" s="0">
        <v>2</v>
      </c>
      <c r="D139" s="4" t="inlineStr">
        <is>
          <t xml:space="preserve">Profesionales</t>
        </is>
      </c>
      <c r="E139" s="4" t="inlineStr">
        <is>
          <t xml:space="preserve">Servicios profesionales, administrativos y consultorías de gestión empresarial / Servicios de recursos humanos / Contratación de personal</t>
        </is>
      </c>
      <c r="F139" s="0">
        <v>1.0</v>
      </c>
      <c r="G139" s="0" t="inlineStr">
        <is>
          <t xml:space="preserve">Unidad</t>
        </is>
      </c>
      <c r="H139" s="4" t="inlineStr">
        <is>
          <t xml:space="preserve">Servicio profesional de mantención de sistemas</t>
        </is>
      </c>
    </row>
    <row r="140">
      <c r="A140" s="0" t="inlineStr">
        <is>
          <t xml:space="preserve">1409-15-LE26</t>
        </is>
      </c>
      <c r="B140" s="4" t="inlineStr">
        <is>
          <t xml:space="preserve">Servicio arriendo red de datos e internet</t>
        </is>
      </c>
      <c r="C140" s="0">
        <v>1</v>
      </c>
      <c r="D140" s="4" t="inlineStr">
        <is>
          <t xml:space="preserve">Proveedores de servicio de Internet (ISP)</t>
        </is>
      </c>
      <c r="E140" s="4" t="inlineStr">
        <is>
          <t xml:space="preserve">Servicios basados en ingeniería, ciencias sociales y tecnología de la información / Servicios informáticos / Servicios para internet</t>
        </is>
      </c>
      <c r="F140" s="0">
        <v>36.0</v>
      </c>
      <c r="G140" s="0" t="inlineStr">
        <is>
          <t xml:space="preserve">Mes</t>
        </is>
      </c>
      <c r="H140" s="4" t="inlineStr">
        <is>
          <t xml:space="preserve">Servicio de arriendo red de datos e internet para el aeropuerto el Tepual de Puerto Montt.</t>
        </is>
      </c>
    </row>
    <row r="141">
      <c r="A141" s="0" t="inlineStr">
        <is>
          <t xml:space="preserve">630-29-LE26</t>
        </is>
      </c>
      <c r="B141" s="4" t="inlineStr">
        <is>
          <t xml:space="preserve">SERVICIO DE GESTIÓN DOCUMENTAL EN MODALIDAD SAAS</t>
        </is>
      </c>
      <c r="C141" s="0">
        <v>1</v>
      </c>
      <c r="D141" s="4" t="inlineStr">
        <is>
          <t xml:space="preserve">Programas de gestión de documentos</t>
        </is>
      </c>
      <c r="E141" s="4" t="inlineStr">
        <is>
          <t xml:space="preserve">Tecnologías de la información, telecomunicaciones y radiodifusión / Software / Software de gestión de contenidos</t>
        </is>
      </c>
      <c r="F141" s="0">
        <v>1.0</v>
      </c>
      <c r="G141" s="0" t="inlineStr">
        <is>
          <t xml:space="preserve">Unidad</t>
        </is>
      </c>
      <c r="H141" s="4" t="inlineStr">
        <is>
          <t xml:space="preserve">CONTRATACIÓN DEL SERVICIO DE GESTIÓN DOCUMENTAL EN MODALIDAD SAAS (SOFTWARE AS A SERVICE) PARA LA SUBSECRETARÍA DEL TRABAJO</t>
        </is>
      </c>
    </row>
    <row r="142">
      <c r="A142" s="0" t="inlineStr">
        <is>
          <t xml:space="preserve">29-81-LP26</t>
        </is>
      </c>
      <c r="B142" s="4" t="inlineStr">
        <is>
          <t xml:space="preserve">AGF - PLATAFORMA INGLES</t>
        </is>
      </c>
      <c r="C142" s="0">
        <v>1</v>
      </c>
      <c r="D142" s="4" t="inlineStr">
        <is>
          <t xml:space="preserve">Enseñanza conversacional de idiomas extranjeros</t>
        </is>
      </c>
      <c r="E142" s="4" t="inlineStr">
        <is>
          <t xml:space="preserve">Educación, formación, entrenamiento y capacitación / Sistemas educativos complementarios / Escuelas de idiomas</t>
        </is>
      </c>
      <c r="F142" s="0">
        <v>1.0</v>
      </c>
      <c r="G142" s="0" t="inlineStr">
        <is>
          <t xml:space="preserve">Global</t>
        </is>
      </c>
      <c r="H142" s="4" t="inlineStr">
        <is>
          <t xml:space="preserve">CONTRATACIÓN DE SERVICIO DE PLATAFORMA INTEGRAL DE CAPACITACIÓN EN IDIOMA INGLÉS (MODALIDAD E-LEARNING CON TUTORIA)</t>
        </is>
      </c>
    </row>
    <row r="143">
      <c r="A143" s="0" t="inlineStr">
        <is>
          <t xml:space="preserve">4160-15-LP26</t>
        </is>
      </c>
      <c r="B143" s="4" t="inlineStr">
        <is>
          <t xml:space="preserve">SERV MANTENIMIENTO TRANSMISION DE DATOS CAMARAS</t>
        </is>
      </c>
      <c r="C143" s="0">
        <v>1</v>
      </c>
      <c r="D143" s="4" t="inlineStr">
        <is>
          <t xml:space="preserve">Cámaras de seguridad</t>
        </is>
      </c>
      <c r="E143" s="4" t="inlineStr">
        <is>
          <t xml:space="preserve">Equipos y suministros de defensa, orden público, protección y seguridad / Seguridad, vigilancia y detección / Equipo de vigilancia y detección</t>
        </is>
      </c>
      <c r="F143" s="0">
        <v>48.0</v>
      </c>
      <c r="G143" s="0" t="inlineStr">
        <is>
          <t xml:space="preserve">Mes</t>
        </is>
      </c>
      <c r="H143" s="4" t="inlineStr">
        <is>
          <t xml:space="preserve">contratación del “SERVICIO DE MANTENIMIENTO, TRANSMISION DE DATOS CAMARAS DE TELEVIGILANCIA HUALPÉN”, para lo cual se deberá considerar un plazo de prestación del servicio de 48 meses corridos.</t>
        </is>
      </c>
    </row>
    <row r="144">
      <c r="A144" s="0" t="inlineStr">
        <is>
          <t xml:space="preserve">1469-268-L126</t>
        </is>
      </c>
      <c r="B144" s="4" t="inlineStr">
        <is>
          <t xml:space="preserve">Servicios de Difusión Publicitaria en Plataforma Digital Informativa Nacional</t>
        </is>
      </c>
      <c r="C144" s="0">
        <v>1</v>
      </c>
      <c r="D144" s="4" t="inlineStr">
        <is>
          <t xml:space="preserve">Publicidad en Internet</t>
        </is>
      </c>
      <c r="E144" s="4" t="inlineStr">
        <is>
          <t xml:space="preserve">Servicios editoriales, de diseño, publicidad, gráficos y artistas / Publicidad / Publicidad en medios no impresos</t>
        </is>
      </c>
      <c r="F144" s="0">
        <v>1.0</v>
      </c>
      <c r="G144" s="0" t="inlineStr">
        <is>
          <t xml:space="preserve">Unidad</t>
        </is>
      </c>
      <c r="H144" s="4" t="inlineStr">
        <is>
          <t xml:space="preserve">La Universidad de Talca, requiere contratar un servicio de difusión en medio digital  con presencia nacional. El objetivo es comunicar información acerca de esta casa de estudios mediante la publicación de banner en el home del sitio web.</t>
        </is>
      </c>
    </row>
    <row r="145">
      <c r="A145" s="0" t="inlineStr">
        <is>
          <t xml:space="preserve">2122-34-LE26</t>
        </is>
      </c>
      <c r="B145" s="4" t="inlineStr">
        <is>
          <t xml:space="preserve">SOLUCIONES DE INTELIGENCIA ARTIFICIAL</t>
        </is>
      </c>
      <c r="C145" s="0">
        <v>1</v>
      </c>
      <c r="D145" s="4" t="inlineStr">
        <is>
          <t xml:space="preserve">Desarrolladores de software</t>
        </is>
      </c>
      <c r="E145" s="4" t="inlineStr">
        <is>
          <t xml:space="preserve">Servicios profesionales, administrativos y consultorías de gestión empresarial / Servicios de recursos humanos / Contratación de personal</t>
        </is>
      </c>
      <c r="F145" s="0">
        <v>1.0</v>
      </c>
      <c r="G145" s="0" t="inlineStr">
        <is>
          <t xml:space="preserve">Unidad</t>
        </is>
      </c>
      <c r="H145" s="4" t="inlineStr">
        <is>
          <t xml:space="preserve">Diseñar e implementar soluciones de inteligencia artificial (IA) que permitan automatizar procesos de lectura y estandarización de informes de anatomía patológica, fichas clínicas y certificados de defunción y la codificación de casos incidentes.</t>
        </is>
      </c>
    </row>
    <row r="146">
      <c r="A146" s="0" t="inlineStr">
        <is>
          <t xml:space="preserve">2981-293-LE26</t>
        </is>
      </c>
      <c r="B146" s="4" t="inlineStr">
        <is>
          <t xml:space="preserve">ADQUISICIÓN DE 100 GPS TRACKER CON PLATAFORMA INTEGRADA GEOESPACIAL Y DE TRAZABILIDAD Y SU RESPECTIVO EQUIPAMIENTO EJECUCIÓN DEL PLAN CALLE SIN VIOLENCIA</t>
        </is>
      </c>
      <c r="C146" s="0">
        <v>1</v>
      </c>
      <c r="D146" s="4" t="inlineStr">
        <is>
          <t xml:space="preserve">Receptores GPS</t>
        </is>
      </c>
      <c r="E146" s="4" t="inlineStr">
        <is>
          <t xml:space="preserve">Muebles, accesorios, electrodomésticos y productos electrónicos / Equipos y accesorios audiovisuales / Equipos audiovisuales y de electrónica menor</t>
        </is>
      </c>
      <c r="F146" s="0">
        <v>100.0</v>
      </c>
      <c r="G146" s="0" t="inlineStr">
        <is>
          <t xml:space="preserve">Unidad</t>
        </is>
      </c>
      <c r="H146" s="4" t="inlineStr">
        <is>
          <t xml:space="preserve">64 GPS Tracker, Capacidad de Batería mínima 10.000 mAh con autonomía referencial de hasta 120 días en modo stand by y entre 15 y 30 días en operación activa; 29 GPS Tracker Capacidad de Batería mínima 5.000 mAh con autonomía referencial de hasta 60 días m</t>
        </is>
      </c>
    </row>
    <row r="147">
      <c r="A147" s="0" t="inlineStr">
        <is>
          <t xml:space="preserve">1107281-6-LE26</t>
        </is>
      </c>
      <c r="B147" s="4" t="inlineStr">
        <is>
          <t xml:space="preserve">COMPRA SOFTWARE COMPATIBLE CON EQUIPO HPLC AGILENT</t>
        </is>
      </c>
      <c r="C147" s="0">
        <v>1</v>
      </c>
      <c r="D147" s="4" t="inlineStr">
        <is>
          <t xml:space="preserve">Software de desarrollo de interfaz gráfica de usuario</t>
        </is>
      </c>
      <c r="E147" s="4" t="inlineStr">
        <is>
          <t xml:space="preserve">Tecnologías de la información, telecomunicaciones y radiodifusión / Software / Programas de desarrollo</t>
        </is>
      </c>
      <c r="F147" s="0">
        <v>1.0</v>
      </c>
      <c r="G147" s="0" t="inlineStr">
        <is>
          <t xml:space="preserve">Unidad</t>
        </is>
      </c>
      <c r="H147" s="4" t="inlineStr">
        <is>
          <t xml:space="preserve">requiere de la adquisición de un (1) software de control cromatográfico para su equipo HPLC Agilent existente, incluyendo un computador apto para su operación, instalación y capacitación con el fin de realizar análisis de metabolitos secundarios, proteína</t>
        </is>
      </c>
    </row>
    <row r="148">
      <c r="A148" s="0" t="inlineStr">
        <is>
          <t xml:space="preserve">1005498-23-LE26</t>
        </is>
      </c>
      <c r="B148" s="4" t="inlineStr">
        <is>
          <t xml:space="preserve">Servicio de enlace de datos punto a punto alameda-</t>
        </is>
      </c>
      <c r="C148" s="0">
        <v>1</v>
      </c>
      <c r="D148" s="4" t="inlineStr">
        <is>
          <t xml:space="preserve">Circuitos de telecomunicaciones digitales punto a punto</t>
        </is>
      </c>
      <c r="E148" s="4" t="inlineStr">
        <is>
          <t xml:space="preserve">Servicios básicos y de información pública / Telecomunicaciones / Servicios de telecomunicaciones por circuitos de líneas selectivas y líneas dedicadas arrendadas</t>
        </is>
      </c>
      <c r="F148" s="0">
        <v>1.0</v>
      </c>
      <c r="G148" s="0" t="inlineStr">
        <is>
          <t xml:space="preserve">Unidad</t>
        </is>
      </c>
      <c r="H148" s="4" t="inlineStr">
        <is>
          <t xml:space="preserve">servicio de enlace de datos punto a punto alameda-moneda por un periodo de 24 meses, en pesos chilenos (sin impuesto)</t>
        </is>
      </c>
    </row>
    <row r="149">
      <c r="A149" s="0" t="inlineStr">
        <is>
          <t xml:space="preserve">4469-213-L126</t>
        </is>
      </c>
      <c r="B149" s="4" t="inlineStr">
        <is>
          <t xml:space="preserve">S.C. N° 40675(U.F.), LICENCIA WI FI MERAKI MR ENTERPRISE POR 12 MESES. INFORMÁTICA UPLA. AIUE 2655.</t>
        </is>
      </c>
      <c r="C149" s="0">
        <v>1</v>
      </c>
      <c r="D149" s="4" t="inlineStr">
        <is>
          <t xml:space="preserve">Software de sistema experto</t>
        </is>
      </c>
      <c r="E149" s="4" t="inlineStr">
        <is>
          <t xml:space="preserve">Tecnologías de la información, telecomunicaciones y radiodifusión / Software / Software de gestión</t>
        </is>
      </c>
      <c r="F149" s="0">
        <v>49.0</v>
      </c>
      <c r="G149" s="0" t="inlineStr">
        <is>
          <t xml:space="preserve">Unidad</t>
        </is>
      </c>
      <c r="H149" s="4" t="inlineStr">
        <is>
          <t xml:space="preserve">LICENCIAS MERAKI MR ENTERPRISE POR 12 MESES. SEGÚN ANEXO ADJUNTO.</t>
        </is>
      </c>
    </row>
    <row r="150">
      <c r="A150" s="0" t="inlineStr">
        <is>
          <t xml:space="preserve">1643-91-LP26</t>
        </is>
      </c>
      <c r="B150" s="4" t="inlineStr">
        <is>
          <t xml:space="preserve">SISTEMA INFORMÁTICO ERP</t>
        </is>
      </c>
      <c r="C150" s="0">
        <v>1</v>
      </c>
      <c r="D150" s="4" t="inlineStr">
        <is>
          <t xml:space="preserve">Software de planificación de recursos empresariales (ERP)</t>
        </is>
      </c>
      <c r="E150" s="4" t="inlineStr">
        <is>
          <t xml:space="preserve">Tecnologías de la información, telecomunicaciones y radiodifusión / Software / Software de planificación de recursos empresariales (ERP) y contabilidad financiera</t>
        </is>
      </c>
      <c r="F150" s="0">
        <v>1.0</v>
      </c>
      <c r="G150" s="0" t="inlineStr">
        <is>
          <t xml:space="preserve">Unidad</t>
        </is>
      </c>
      <c r="H150" s="4" t="inlineStr">
        <is>
          <t xml:space="preserve">CONTRATACIÓN DE SISTEMA INFORMÁTICO (ERP)</t>
        </is>
      </c>
    </row>
    <row r="151">
      <c r="A151" s="0" t="inlineStr">
        <is>
          <t xml:space="preserve">5482-94-LP26</t>
        </is>
      </c>
      <c r="B151" s="4" t="inlineStr">
        <is>
          <t xml:space="preserve">SERVICIO DE ARRIENDO MANTENCIÓN Y SOPORTE DE PLATAFORMA DOM</t>
        </is>
      </c>
      <c r="C151" s="0">
        <v>1</v>
      </c>
      <c r="D151" s="4" t="inlineStr">
        <is>
          <t xml:space="preserve">Software de desarrollo de plataforma Web</t>
        </is>
      </c>
      <c r="E151" s="4" t="inlineStr">
        <is>
          <t xml:space="preserve">Tecnologías de la información, telecomunicaciones y radiodifusión / Software / Programas de desarrollo</t>
        </is>
      </c>
      <c r="F151" s="0">
        <v>1.0</v>
      </c>
      <c r="G151" s="0" t="inlineStr">
        <is>
          <t xml:space="preserve">Unidad</t>
        </is>
      </c>
      <c r="H151"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row>
    <row r="152">
      <c r="A152" s="0" t="inlineStr">
        <is>
          <t xml:space="preserve">1080094-17-L126</t>
        </is>
      </c>
      <c r="B152" s="4" t="inlineStr">
        <is>
          <t xml:space="preserve">RADIO PORTÁTIL DIGITAL VHF PARA SAMU</t>
        </is>
      </c>
      <c r="C152" s="0">
        <v>1</v>
      </c>
      <c r="D152" s="4" t="inlineStr">
        <is>
          <t xml:space="preserve">Receptores o transmisores de radiofrecuencia</t>
        </is>
      </c>
      <c r="E152" s="4" t="inlineStr">
        <is>
          <t xml:space="preserve">Muebles, accesorios, electrodomésticos y productos electrónicos / Equipos y accesorios audiovisuales / Equipos audiovisuales y de electrónica menor</t>
        </is>
      </c>
      <c r="F152" s="0">
        <v>20.0</v>
      </c>
      <c r="G152" s="0" t="inlineStr">
        <is>
          <t xml:space="preserve">Unidad</t>
        </is>
      </c>
      <c r="H152" s="4" t="inlineStr">
        <is>
          <t xml:space="preserve">RADIO PORTÁTIL DIGITAL VHF</t>
        </is>
      </c>
    </row>
    <row r="153">
      <c r="A153" s="0" t="inlineStr">
        <is>
          <t xml:space="preserve">1602-20-LE26</t>
        </is>
      </c>
      <c r="B153" s="4" t="inlineStr">
        <is>
          <t xml:space="preserve">ADQUISICIÓN DE LICENCIAS PARA EQUIPOS DE COMUNICACIONES DE LA RED DE DATOS DE LA DGAC 122 dgv</t>
        </is>
      </c>
      <c r="C153" s="0">
        <v>1</v>
      </c>
      <c r="D153" s="4" t="inlineStr">
        <is>
          <t xml:space="preserve">Software de gestión de licencias</t>
        </is>
      </c>
      <c r="E153" s="4" t="inlineStr">
        <is>
          <t xml:space="preserve">Tecnologías de la información, telecomunicaciones y radiodifusión / Software / Software de gestión</t>
        </is>
      </c>
      <c r="F153" s="0">
        <v>70.0</v>
      </c>
      <c r="G153" s="0" t="inlineStr">
        <is>
          <t xml:space="preserve">Unidad</t>
        </is>
      </c>
      <c r="H153" s="4" t="inlineStr">
        <is>
          <t xml:space="preserve">Licenciamiento por Punto de Acceso (AP) - (Referencia JW471AAE)
Licencia para habilitar y mantener la administración de los puntos de acceso inalámbricos mediante la plataforma de control y gestión actualmente implementada en DGAC, permitiendo su configu</t>
        </is>
      </c>
    </row>
    <row r="154">
      <c r="A154" s="0" t="inlineStr">
        <is>
          <t xml:space="preserve">1602-20-LE26</t>
        </is>
      </c>
      <c r="B154" s="4" t="inlineStr">
        <is>
          <t xml:space="preserve">ADQUISICIÓN DE LICENCIAS PARA EQUIPOS DE COMUNICACIONES DE LA RED DE DATOS DE LA DGAC 122 dgv</t>
        </is>
      </c>
      <c r="C154" s="0">
        <v>2</v>
      </c>
      <c r="D154" s="4" t="inlineStr">
        <is>
          <t xml:space="preserve">Software de gestión de licencias</t>
        </is>
      </c>
      <c r="E154" s="4" t="inlineStr">
        <is>
          <t xml:space="preserve">Tecnologías de la información, telecomunicaciones y radiodifusión / Software / Software de gestión</t>
        </is>
      </c>
      <c r="F154" s="0">
        <v>70.0</v>
      </c>
      <c r="G154" s="0" t="inlineStr">
        <is>
          <t xml:space="preserve">Unidad</t>
        </is>
      </c>
      <c r="H154" s="4" t="inlineStr">
        <is>
          <t xml:space="preserve">Licenciamiento por Punto de Acceso (AP) para soporte del fabricante. (Referencia H2XW3E) 
Licencia por Punto de Acceso para soporte y mantenimiento por un período de 12 meses, asociado a la plataforma de administración inalámbrica, que permita disponer d</t>
        </is>
      </c>
    </row>
    <row r="155">
      <c r="A155" s="0" t="inlineStr">
        <is>
          <t xml:space="preserve">1602-20-LE26</t>
        </is>
      </c>
      <c r="B155" s="4" t="inlineStr">
        <is>
          <t xml:space="preserve">ADQUISICIÓN DE LICENCIAS PARA EQUIPOS DE COMUNICACIONES DE LA RED DE DATOS DE LA DGAC 122 dgv</t>
        </is>
      </c>
      <c r="C155" s="0">
        <v>3</v>
      </c>
      <c r="D155" s="4" t="inlineStr">
        <is>
          <t xml:space="preserve">Software de gestión de licencias</t>
        </is>
      </c>
      <c r="E155" s="4" t="inlineStr">
        <is>
          <t xml:space="preserve">Tecnologías de la información, telecomunicaciones y radiodifusión / Software / Software de gestión</t>
        </is>
      </c>
      <c r="F155" s="0">
        <v>2.0</v>
      </c>
      <c r="G155" s="0" t="inlineStr">
        <is>
          <t xml:space="preserve">Unidad</t>
        </is>
      </c>
      <c r="H155" s="4" t="inlineStr">
        <is>
          <t xml:space="preserve">Licencia Aruba Campus Gateway (Referencia JZ196AAE)
Licencia correspondiente a las funcionalidades requeridas para la operación y gestión de los servicios asociados a Campus Gateway, de acuerdo con la arquitectura de red institucional actualmente impleme</t>
        </is>
      </c>
    </row>
    <row r="156">
      <c r="A156" s="0" t="inlineStr">
        <is>
          <t xml:space="preserve">1153624-24-L126</t>
        </is>
      </c>
      <c r="B156" s="4" t="inlineStr">
        <is>
          <t xml:space="preserve">Servicio de Ordenamiento de Cableado de Datos y Eléctrico en Datacenter y Rack de Comunicaciones</t>
        </is>
      </c>
      <c r="C156" s="0">
        <v>1</v>
      </c>
      <c r="D156" s="4" t="inlineStr">
        <is>
          <t xml:space="preserve">Conjuntos de cableado</t>
        </is>
      </c>
      <c r="E156" s="4" t="inlineStr">
        <is>
          <t xml:space="preserve">Tecnologías de la información, telecomunicaciones y radiodifusión / Componentes para tecnología de la información, difusión o telecomunicaciones / Subconjuntos para dispositivos electrónicos</t>
        </is>
      </c>
      <c r="F156" s="0">
        <v>1.0</v>
      </c>
      <c r="G156" s="0" t="inlineStr">
        <is>
          <t xml:space="preserve">Unidad</t>
        </is>
      </c>
      <c r="H156" s="4" t="inlineStr">
        <is>
          <t xml:space="preserve">Servicio para ordenar cables en Datacenter y en rack en el edificio ubicado en San Martín 88.</t>
        </is>
      </c>
    </row>
    <row r="157">
      <c r="A157" s="0" t="inlineStr">
        <is>
          <t xml:space="preserve">608897-61-LP26</t>
        </is>
      </c>
      <c r="B157" s="4" t="inlineStr">
        <is>
          <t xml:space="preserve">SOPORTE PLATAFORMAS DE INFORMACIÓN AMBIENTAL BIANUAL</t>
        </is>
      </c>
      <c r="C157" s="0">
        <v>1</v>
      </c>
      <c r="D157" s="4" t="inlineStr">
        <is>
          <t xml:space="preserve">Servicios de asesoría de tecnología medioambiental</t>
        </is>
      </c>
      <c r="E157" s="4" t="inlineStr">
        <is>
          <t xml:space="preserve">Servicios medioambientales / Gestión medioambiental / Servicios de asesoría medioambiental</t>
        </is>
      </c>
      <c r="F157" s="0">
        <v>1.0</v>
      </c>
      <c r="G157" s="0" t="inlineStr">
        <is>
          <t xml:space="preserve">Unidad</t>
        </is>
      </c>
      <c r="H157" s="4" t="inlineStr">
        <is>
          <t xml:space="preserve">realizar servicios de mantención, actualización, soporte y diseño de los sistemas asociados a la construcción de la información ambiental administrados por el Departamento de Información Ambiental del Ministerio del Medio Ambiente</t>
        </is>
      </c>
    </row>
    <row r="158">
      <c r="A158" s="0" t="inlineStr">
        <is>
          <t xml:space="preserve">1422051-29-LE26</t>
        </is>
      </c>
      <c r="B158" s="4" t="inlineStr">
        <is>
          <t xml:space="preserve">Contratación Servicio Plataforma de Gestión RRHH</t>
        </is>
      </c>
      <c r="C158" s="0">
        <v>1</v>
      </c>
      <c r="D158" s="4" t="inlineStr">
        <is>
          <t xml:space="preserve">Software de gestión de recursos humanos</t>
        </is>
      </c>
      <c r="E158" s="4" t="inlineStr">
        <is>
          <t xml:space="preserve">Tecnologías de la información, telecomunicaciones y radiodifusión / Software / Software de gestión</t>
        </is>
      </c>
      <c r="F158" s="0">
        <v>1.0</v>
      </c>
      <c r="G158" s="0" t="inlineStr">
        <is>
          <t xml:space="preserve">Unidad</t>
        </is>
      </c>
      <c r="H158" s="4" t="inlineStr">
        <is>
          <t xml:space="preserve">Servicio de plataforma de gestión de persona.</t>
        </is>
      </c>
    </row>
    <row r="159">
      <c r="A159" s="0" t="inlineStr">
        <is>
          <t xml:space="preserve">4086-48-LP26</t>
        </is>
      </c>
      <c r="B159" s="4" t="inlineStr">
        <is>
          <t xml:space="preserve">SERVICIO DE SISTEMA DE INFORMACIÓN DE LA GESTIÓN</t>
        </is>
      </c>
      <c r="C159" s="0">
        <v>1</v>
      </c>
      <c r="D159" s="4" t="inlineStr">
        <is>
          <t xml:space="preserve">Programas de gestión de configuración</t>
        </is>
      </c>
      <c r="E159" s="4" t="inlineStr">
        <is>
          <t xml:space="preserve">Tecnologías de la información, telecomunicaciones y radiodifusión / Software / Programas de desarrollo</t>
        </is>
      </c>
      <c r="F159" s="0">
        <v>1.0</v>
      </c>
      <c r="G159" s="0" t="inlineStr">
        <is>
          <t xml:space="preserve">Unidad</t>
        </is>
      </c>
      <c r="H159" s="4" t="inlineStr">
        <is>
          <t xml:space="preserve">SERVICIO DE MANTENCIÓN, ARRIENDO Y PROVISIÓN DE SISTEMA DE INFORMACIÓN DE LA GESTIÓN MUNICIPAL Y SOPORTE COMPUTACIONAL SEGÚN BASES, , ESPECIFICACIONES TÉCNICAS, ANEXOS E ITEM ADJUNTOS.</t>
        </is>
      </c>
    </row>
    <row r="160">
      <c r="A160" s="0" t="inlineStr">
        <is>
          <t xml:space="preserve">1469-267-L126</t>
        </is>
      </c>
      <c r="B160" s="4" t="inlineStr">
        <is>
          <t xml:space="preserve">Servicio de Mantenimiento UPS del Centro de Datos en Campus Talca de la Universidad de Talca</t>
        </is>
      </c>
      <c r="C160" s="0">
        <v>1</v>
      </c>
      <c r="D160" s="4" t="inlineStr">
        <is>
          <t xml:space="preserve">Instalación o servicio de sistemas de energía eléctrica</t>
        </is>
      </c>
      <c r="E160" s="4" t="inlineStr">
        <is>
          <t xml:space="preserve">Servicios de construcción y mantenimiento / Servicios de atención, mantenimiento y reparaciones de edificios / Servicios eléctricos</t>
        </is>
      </c>
      <c r="F160" s="0">
        <v>1.0</v>
      </c>
      <c r="G160" s="0" t="inlineStr">
        <is>
          <t xml:space="preserve">Unidad</t>
        </is>
      </c>
      <c r="H160" s="4" t="inlineStr">
        <is>
          <t xml:space="preserve">Servicio de Mantenimiento UPS del Centro de Datos en Campus Talca de la Universidad de Talca</t>
        </is>
      </c>
    </row>
    <row r="161">
      <c r="A161" s="0" t="inlineStr">
        <is>
          <t xml:space="preserve">1606-34-LE26</t>
        </is>
      </c>
      <c r="B161" s="4" t="inlineStr">
        <is>
          <t xml:space="preserve">Consultoría para la digitalización de rutas de taxis colectivos. Proyecto Apoyo a la estrategia Chilena de transporte sostenible - CLETS Financiado por la GEF e implementado por CAF</t>
        </is>
      </c>
      <c r="C161" s="0">
        <v>1</v>
      </c>
      <c r="D161" s="4" t="inlineStr">
        <is>
          <t xml:space="preserve">Asesorías en planificación estratégica</t>
        </is>
      </c>
      <c r="E161" s="4" t="inlineStr">
        <is>
          <t xml:space="preserve">Servicios profesionales, administrativos y consultorías de gestión empresarial / Consultorías o asesorías en gestión empresarial / Servicios de consultoría en gestión de empresas</t>
        </is>
      </c>
      <c r="F161" s="0">
        <v>1.0</v>
      </c>
      <c r="G161" s="0" t="inlineStr">
        <is>
          <t xml:space="preserve">Unidad</t>
        </is>
      </c>
      <c r="H161" s="4" t="inlineStr">
        <is>
          <t xml:space="preserve">Servicio de consultoría para la digitalización de rutas de taxis colectivos para el Proyecto CLETS, financiado por la GEF e Implementado por CAF, según bases administrativas adjuntas.</t>
        </is>
      </c>
    </row>
    <row r="162">
      <c r="A162" s="0" t="inlineStr">
        <is>
          <t xml:space="preserve">617807-79-B226</t>
        </is>
      </c>
      <c r="B162" s="4" t="inlineStr">
        <is>
          <t xml:space="preserve">SERVICIO DE MANTENCIÓN PREVENTIVA Y REPARATIVA DE EQUIPOS DE RAYOS X DIGITAL ARCO C PARA EL HOSPITAL SAN JUAN DE DIOS DE LOS ANDES</t>
        </is>
      </c>
      <c r="C162" s="0">
        <v>1</v>
      </c>
      <c r="D162" s="4" t="inlineStr">
        <is>
          <t xml:space="preserve">Servicio de mantenimiento de equipo de fabricación</t>
        </is>
      </c>
      <c r="E162" s="4" t="inlineStr">
        <is>
          <t xml:space="preserve">Servicios de producción y fabricación industrial / Servicios de apoyo o soporte a la fabricación / Servicios de mantenimiento y reparación de equipo de fabricación</t>
        </is>
      </c>
      <c r="F162" s="0">
        <v>1.0</v>
      </c>
      <c r="G162" s="0" t="inlineStr">
        <is>
          <t xml:space="preserve">Unidad</t>
        </is>
      </c>
      <c r="H162" s="4" t="inlineStr">
        <is>
          <t xml:space="preserve">SERVICIO DE MANTENCION PREVENTIVA Y REPARATIVO  DE EQUIPOS DE RAYOS X DIGITAL ARCO C (SEGUN TERMINOS DE REFERENCIA)</t>
        </is>
      </c>
    </row>
    <row r="163">
      <c r="A163" s="0" t="inlineStr">
        <is>
          <t xml:space="preserve">1461054-45-LP26</t>
        </is>
      </c>
      <c r="B163" s="4" t="inlineStr">
        <is>
          <t xml:space="preserve">PLATAFORMA DE GESTIÓN EDUCACIONAL PARA 77 E.E</t>
        </is>
      </c>
      <c r="C163" s="0">
        <v>1</v>
      </c>
      <c r="D163" s="4" t="inlineStr">
        <is>
          <t xml:space="preserve">Software del sistema de administración de bases de datos</t>
        </is>
      </c>
      <c r="E163" s="4" t="inlineStr">
        <is>
          <t xml:space="preserve">Tecnologías de la información, telecomunicaciones y radiodifusión / Software / Software de consultas y gestión de datos</t>
        </is>
      </c>
      <c r="F163" s="0">
        <v>1.0</v>
      </c>
      <c r="G163" s="0" t="inlineStr">
        <is>
          <t xml:space="preserve">Unidad</t>
        </is>
      </c>
      <c r="H163" s="4" t="inlineStr">
        <is>
          <t xml:space="preserve">PLATAFORMA DE GESTIÓN EDUCACIONAL PARA 77 ESTABLECIMIENTOS EDUCACIONALES DEPENDIENTES DEL SERVICIO LOCAL DE EDUCACIÓN PÚBLICA ELQUI</t>
        </is>
      </c>
    </row>
    <row r="164">
      <c r="A164" s="0" t="inlineStr">
        <is>
          <t xml:space="preserve">3348-9-LE26</t>
        </is>
      </c>
      <c r="B164" s="4" t="inlineStr">
        <is>
          <t xml:space="preserve">Servicio de Arriendo de Tótem Gestor de Filas</t>
        </is>
      </c>
      <c r="C164" s="0">
        <v>1</v>
      </c>
      <c r="D164" s="4" t="inlineStr">
        <is>
          <t xml:space="preserve">Monitores de pantalla táctil</t>
        </is>
      </c>
      <c r="E164" s="4" t="inlineStr">
        <is>
          <t xml:space="preserve">Tecnologías de la información, telecomunicaciones y radiodifusión / Equipos informáticos y accesorios / Pantallas o monitores de computador</t>
        </is>
      </c>
      <c r="F164" s="0">
        <v>1.0</v>
      </c>
      <c r="G164" s="0" t="inlineStr">
        <is>
          <t xml:space="preserve">Unidad</t>
        </is>
      </c>
      <c r="H164" s="4" t="inlineStr">
        <is>
          <t xml:space="preserve">Primera instancia
1)Un (1) tótem gestor de filas, con pantalla táctil e impresora térmica que emita voucher de número de atención que contenga 4 botones (Reserva de Horas Médicas, Emisión de Boletas, Programas Preventivos y SOME)
2)Ocho (8) estaci</t>
        </is>
      </c>
    </row>
    <row r="165">
      <c r="A165" s="0" t="inlineStr">
        <is>
          <t xml:space="preserve">948354-140-LR26</t>
        </is>
      </c>
      <c r="B165" s="4" t="inlineStr">
        <is>
          <t xml:space="preserve">CONTRATACIÓN DE UNA SOLUCIÓN INTEGRAL RIS-PACS INCLUYENDO LA PROVISIÓN DE SERVICIOS SOFTWARE HARDWARE E INFRAESTRUCTURA TECNOLÓGICA PARA EL SERVICIO DE IMAGENOLOGÍA DEL HOSPITAL DIPRECA</t>
        </is>
      </c>
      <c r="C165" s="0">
        <v>1</v>
      </c>
      <c r="D165" s="4" t="inlineStr">
        <is>
          <t xml:space="preserve">Sistemas informatizados de archivado de imágenes (PACS) médicos</t>
        </is>
      </c>
      <c r="E165" s="4" t="inlineStr">
        <is>
          <t xml:space="preserve">Equipamiento y suministros médicos / Productos para imágenes y de medicina nuclear / Artículos para archivar información e imágenes radiológicas</t>
        </is>
      </c>
      <c r="F165" s="0">
        <v>60.0</v>
      </c>
      <c r="G165" s="0" t="inlineStr">
        <is>
          <t xml:space="preserve">Mes</t>
        </is>
      </c>
      <c r="H165" s="4" t="inlineStr">
        <is>
          <t xml:space="preserve">SERVICIO DE RIS-PACS PARA EL SERVICIO DE IMAGENOLOGÍA DEL HOSPITAL DIPRECA (De acuerdo a las Bases Técnicas).</t>
        </is>
      </c>
    </row>
    <row r="166">
      <c r="A166" s="0" t="inlineStr">
        <is>
          <t xml:space="preserve">5148-13-LP26</t>
        </is>
      </c>
      <c r="B166" s="4" t="inlineStr">
        <is>
          <t xml:space="preserve">ADQUISICIÓN SERVIDORES PARA PLATAFORMA IA DEL MP</t>
        </is>
      </c>
      <c r="C166" s="0">
        <v>1</v>
      </c>
      <c r="D166" s="4" t="inlineStr">
        <is>
          <t xml:space="preserve">Servidores</t>
        </is>
      </c>
      <c r="E166" s="4" t="inlineStr">
        <is>
          <t xml:space="preserve">Tecnologías de la información, telecomunicaciones y radiodifusión / Equipos informáticos y accesorios / Computadores</t>
        </is>
      </c>
      <c r="F166" s="0">
        <v>1.0</v>
      </c>
      <c r="G166" s="0" t="inlineStr">
        <is>
          <t xml:space="preserve">Unidad</t>
        </is>
      </c>
      <c r="H166" s="4" t="inlineStr">
        <is>
          <t xml:space="preserve">SERVIDOR PARA LA PLATAFORMA DE INTELIGENCIA ARTIFICIAL (IA) Y MACHINE LEARNING (ML), CON SOPORTE POR 36 MESES, PARA AMBIENTE PRODUCTIVO</t>
        </is>
      </c>
    </row>
    <row r="167">
      <c r="A167" s="0" t="inlineStr">
        <is>
          <t xml:space="preserve">5148-13-LP26</t>
        </is>
      </c>
      <c r="B167" s="4" t="inlineStr">
        <is>
          <t xml:space="preserve">ADQUISICIÓN SERVIDORES PARA PLATAFORMA IA DEL MP</t>
        </is>
      </c>
      <c r="C167" s="0">
        <v>2</v>
      </c>
      <c r="D167" s="4" t="inlineStr">
        <is>
          <t xml:space="preserve">Servidores</t>
        </is>
      </c>
      <c r="E167" s="4" t="inlineStr">
        <is>
          <t xml:space="preserve">Tecnologías de la información, telecomunicaciones y radiodifusión / Equipos informáticos y accesorios / Computadores</t>
        </is>
      </c>
      <c r="F167" s="0">
        <v>1.0</v>
      </c>
      <c r="G167" s="0" t="inlineStr">
        <is>
          <t xml:space="preserve">Unidad</t>
        </is>
      </c>
      <c r="H167" s="4" t="inlineStr">
        <is>
          <t xml:space="preserve">SERVIDOR PARA LA PLATAFORMA DE INTELIGENCIA ARTIFICIAL (IA) Y MACHINE LEARNING (ML), CON SOPORTE POR 36 MESES, PARA AMBIENTE DESARROLLO</t>
        </is>
      </c>
    </row>
    <row r="168">
      <c r="A168" s="0" t="inlineStr">
        <is>
          <t xml:space="preserve">598-26-LE26</t>
        </is>
      </c>
      <c r="B168" s="4" t="inlineStr">
        <is>
          <t xml:space="preserve">Licencia Automatización de Procesos IFM por 36 mes</t>
        </is>
      </c>
      <c r="C168" s="0">
        <v>1</v>
      </c>
      <c r="D168" s="4" t="inlineStr">
        <is>
          <t xml:space="preserve">Software de gestión de licencias</t>
        </is>
      </c>
      <c r="E168" s="4" t="inlineStr">
        <is>
          <t xml:space="preserve">Tecnologías de la información, telecomunicaciones y radiodifusión / Software / Software de gestión</t>
        </is>
      </c>
      <c r="F168" s="0">
        <v>1.0</v>
      </c>
      <c r="G168" s="0" t="inlineStr">
        <is>
          <t xml:space="preserve">Unidad</t>
        </is>
      </c>
      <c r="H168" s="4" t="inlineStr">
        <is>
          <t xml:space="preserve">Licencia IFM POR 36 MESES, SEGÚN BASES DE LICITACIÓN.</t>
        </is>
      </c>
    </row>
    <row r="169">
      <c r="A169" s="0" t="inlineStr">
        <is>
          <t xml:space="preserve">976-15-O126</t>
        </is>
      </c>
      <c r="B169" s="4" t="inlineStr">
        <is>
          <t xml:space="preserve">Ampliación Plataformas Comercial y General Ad. El Loa</t>
        </is>
      </c>
      <c r="C169" s="0">
        <v>1</v>
      </c>
      <c r="D169" s="4" t="inlineStr">
        <is>
          <t xml:space="preserve">Licitación Pública de Obra</t>
        </is>
      </c>
      <c r="E169" s="4" t="inlineStr">
        <is>
          <t xml:space="preserve">Consultoria / Consultoria / Planificación y Factibilidad</t>
        </is>
      </c>
      <c r="F169" s="0">
        <v>1.0</v>
      </c>
      <c r="G169" s="0" t="inlineStr">
        <is>
          <t xml:space="preserve">Unidad</t>
        </is>
      </c>
      <c r="H169" s="4" t="inlineStr">
        <is>
          <t xml:space="preserve">Licitación Pública de Obra</t>
        </is>
      </c>
    </row>
    <row r="170">
      <c r="A170" s="0" t="inlineStr">
        <is>
          <t xml:space="preserve">2667-71-LR26</t>
        </is>
      </c>
      <c r="B170" s="4" t="inlineStr">
        <is>
          <t xml:space="preserve">ARRIENDO SOPORTE Y MANTENCIÓN DE CENTRAL TELEFONICA IP TELEFONOS IP Y PLATAFORMA DE CONTACT CENTER</t>
        </is>
      </c>
      <c r="C170" s="0">
        <v>1</v>
      </c>
      <c r="D170" s="4" t="inlineStr">
        <is>
          <t xml:space="preserve">Sistemas de alarma</t>
        </is>
      </c>
      <c r="E170" s="4" t="inlineStr">
        <is>
          <t xml:space="preserve">Equipos y suministros de defensa, orden público, protección y seguridad / Seguridad, vigilancia y detección / Equipo de vigilancia y detección</t>
        </is>
      </c>
      <c r="F170" s="0">
        <v>1.0</v>
      </c>
      <c r="G170" s="0" t="inlineStr">
        <is>
          <t xml:space="preserve">Global</t>
        </is>
      </c>
      <c r="H170" s="4" t="inlineStr">
        <is>
          <t xml:space="preserve">ARRIENDO, INSTALACIÓN, SOPORTE Y MANTENCIÓN DE CENTRAL TELEFÓNICA, EQUIPOS TELEFÓNICOS Y PLATAFORMA DE ATENCIÓN TELEFÓNICA</t>
        </is>
      </c>
    </row>
    <row r="171">
      <c r="A171" s="0" t="inlineStr">
        <is>
          <t xml:space="preserve">608-197-LR26</t>
        </is>
      </c>
      <c r="B171" s="4" t="inlineStr">
        <is>
          <t xml:space="preserve">SERVICIO DE OPERACIÓN MANTENIMIENTO Y ACTUALIZACIÓN DE PLATAFORMAS TECNOLÓGICAS DE LA SALA DE CONTROL CENTRALIZADO DEL HOSPITAL DR. GUSTAVO FRICKE</t>
        </is>
      </c>
      <c r="C171" s="0">
        <v>1</v>
      </c>
      <c r="D171" s="4" t="inlineStr">
        <is>
          <t xml:space="preserve">Integración de sistemas</t>
        </is>
      </c>
      <c r="E171" s="4" t="inlineStr">
        <is>
          <t xml:space="preserve">Servicios basados en ingeniería, ciencias sociales y tecnología de la información / Servicios informáticos / Ingeniería en computación e informática</t>
        </is>
      </c>
      <c r="F171" s="0">
        <v>1.0</v>
      </c>
      <c r="G171" s="0" t="inlineStr">
        <is>
          <t xml:space="preserve">Unidad</t>
        </is>
      </c>
      <c r="H171" s="4" t="inlineStr">
        <is>
          <t xml:space="preserve">SERVICIO
DE OPERACIÓN, MANTENIMIENTO Y ACTUALIZACIÓN
DE PLATAFORMAS TECNOLÓGICAS DE LA SALA DE
CONTROL CENTRALIZADO DEL HOSPITAL DR.
GUSTAVO FRICKE (favor desglosar valores en anexo económico N°6)</t>
        </is>
      </c>
    </row>
    <row r="172">
      <c r="A172" s="0" t="inlineStr">
        <is>
          <t xml:space="preserve">3047-60-LE26</t>
        </is>
      </c>
      <c r="B172" s="4" t="inlineStr">
        <is>
          <t xml:space="preserve">EQUIPAMIENTO INFORMÁTICO PARA IMPLEMENTAR SERVIDOR EN EL CENTRO DE INNOVACIÓN TECNOLÓGICA DE LA ARMADA</t>
        </is>
      </c>
      <c r="C172" s="0">
        <v>1</v>
      </c>
      <c r="D172" s="4" t="inlineStr">
        <is>
          <t xml:space="preserve">Servidores</t>
        </is>
      </c>
      <c r="E172" s="4" t="inlineStr">
        <is>
          <t xml:space="preserve">Tecnologías de la información, telecomunicaciones y radiodifusión / Equipos informáticos y accesorios / Computadores</t>
        </is>
      </c>
      <c r="F172" s="0">
        <v>1.0</v>
      </c>
      <c r="G172" s="0" t="inlineStr">
        <is>
          <t xml:space="preserve">Unidad</t>
        </is>
      </c>
      <c r="H172" s="4" t="inlineStr">
        <is>
          <t xml:space="preserve">EQUIPAMIENTO INFORMATICO PARA IMPLEMENTAR UN SERVIDOR IA ON PREMISE DE ACUERDO A ESPECIFICACIONES ADMINISTRATIVAS,TÉCNICAS Y ANEXOS ADJUNTOS.</t>
        </is>
      </c>
    </row>
    <row r="173">
      <c r="A173" s="0" t="inlineStr">
        <is>
          <t xml:space="preserve">3671-80-LE26</t>
        </is>
      </c>
      <c r="B173" s="4" t="inlineStr">
        <is>
          <t xml:space="preserve">“HABILITACIÓN DE NUEVAS DEPENDENCIAS DE SEGURIDAD MUNICIPAL E INFORMÁTICA DE LA MUNICIPALIDAD DE CHILLÁN VIEJO”</t>
        </is>
      </c>
      <c r="C173" s="0">
        <v>1</v>
      </c>
      <c r="D173" s="4" t="inlineStr">
        <is>
          <t xml:space="preserve">Construcción de obras civiles</t>
        </is>
      </c>
      <c r="E173" s="4" t="inlineStr">
        <is>
          <t xml:space="preserve">Servicios de construcción y mantenimiento / Construcción de edificios en general / Construcción de obras civiles y infraestructuras</t>
        </is>
      </c>
      <c r="F173" s="0">
        <v>1.0</v>
      </c>
      <c r="G173" s="0" t="inlineStr">
        <is>
          <t xml:space="preserve">Unidad</t>
        </is>
      </c>
      <c r="H173" s="4" t="inlineStr">
        <is>
          <t xml:space="preserve">HABILITACION DE NUEVAS DEPENDENCIAS DE SEGURIDAD MUNICIPAL E INFORMATICA DE LA MUNICIPALIDAD DE CHILLAN VIEJO</t>
        </is>
      </c>
    </row>
    <row r="174">
      <c r="A174" s="0" t="inlineStr">
        <is>
          <t xml:space="preserve">577290-4-LP26</t>
        </is>
      </c>
      <c r="B174" s="4" t="inlineStr">
        <is>
          <t xml:space="preserve">RENOVACIÓN Y ADQUISICIÓN DE LICENCIAS DE SOFTWARE</t>
        </is>
      </c>
      <c r="C174" s="0">
        <v>1</v>
      </c>
      <c r="D174" s="4" t="inlineStr">
        <is>
          <t xml:space="preserve">Software de gestión de licencias</t>
        </is>
      </c>
      <c r="E174" s="4" t="inlineStr">
        <is>
          <t xml:space="preserve">Tecnologías de la información, telecomunicaciones y radiodifusión / Software / Software de gestión</t>
        </is>
      </c>
      <c r="F174" s="0">
        <v>4.0</v>
      </c>
      <c r="G174" s="0" t="inlineStr">
        <is>
          <t xml:space="preserve">Unidad</t>
        </is>
      </c>
      <c r="H174" s="4" t="inlineStr">
        <is>
          <t xml:space="preserve">DEVEXPRESS UNIVERSAL (o equivalente). Suscripción. 12 meses</t>
        </is>
      </c>
    </row>
    <row r="175">
      <c r="A175" s="0" t="inlineStr">
        <is>
          <t xml:space="preserve">577290-4-LP26</t>
        </is>
      </c>
      <c r="B175" s="4" t="inlineStr">
        <is>
          <t xml:space="preserve">RENOVACIÓN Y ADQUISICIÓN DE LICENCIAS DE SOFTWARE</t>
        </is>
      </c>
      <c r="C175" s="0">
        <v>2</v>
      </c>
      <c r="D175" s="4" t="inlineStr">
        <is>
          <t xml:space="preserve">Software de gestión de licencias</t>
        </is>
      </c>
      <c r="E175" s="4" t="inlineStr">
        <is>
          <t xml:space="preserve">Tecnologías de la información, telecomunicaciones y radiodifusión / Software / Software de gestión</t>
        </is>
      </c>
      <c r="F175" s="0">
        <v>1.0</v>
      </c>
      <c r="G175" s="0" t="inlineStr">
        <is>
          <t xml:space="preserve">Unidad</t>
        </is>
      </c>
      <c r="H175" s="4" t="inlineStr">
        <is>
          <t xml:space="preserve">PowerDesigner Enterprise Architect (o equivalente). Perpetua</t>
        </is>
      </c>
    </row>
    <row r="176">
      <c r="A176" s="0" t="inlineStr">
        <is>
          <t xml:space="preserve">577290-4-LP26</t>
        </is>
      </c>
      <c r="B176" s="4" t="inlineStr">
        <is>
          <t xml:space="preserve">RENOVACIÓN Y ADQUISICIÓN DE LICENCIAS DE SOFTWARE</t>
        </is>
      </c>
      <c r="C176" s="0">
        <v>3</v>
      </c>
      <c r="D176" s="4" t="inlineStr">
        <is>
          <t xml:space="preserve">Software de gestión de licencias</t>
        </is>
      </c>
      <c r="E176" s="4" t="inlineStr">
        <is>
          <t xml:space="preserve">Tecnologías de la información, telecomunicaciones y radiodifusión / Software / Software de gestión</t>
        </is>
      </c>
      <c r="F176" s="0">
        <v>4.0</v>
      </c>
      <c r="G176" s="0" t="inlineStr">
        <is>
          <t xml:space="preserve">Unidad</t>
        </is>
      </c>
      <c r="H176" s="4" t="inlineStr">
        <is>
          <t xml:space="preserve">TOAD FOR ORACLE DBA Edition (o equivalente). Suscripción. 12 meses</t>
        </is>
      </c>
    </row>
    <row r="177">
      <c r="A177" s="0" t="inlineStr">
        <is>
          <t xml:space="preserve">577290-4-LP26</t>
        </is>
      </c>
      <c r="B177" s="4" t="inlineStr">
        <is>
          <t xml:space="preserve">RENOVACIÓN Y ADQUISICIÓN DE LICENCIAS DE SOFTWARE</t>
        </is>
      </c>
      <c r="C177" s="0">
        <v>4</v>
      </c>
      <c r="D177" s="4" t="inlineStr">
        <is>
          <t xml:space="preserve">Software de gestión de licencias</t>
        </is>
      </c>
      <c r="E177" s="4" t="inlineStr">
        <is>
          <t xml:space="preserve">Tecnologías de la información, telecomunicaciones y radiodifusión / Software / Software de gestión</t>
        </is>
      </c>
      <c r="F177" s="0">
        <v>1.0</v>
      </c>
      <c r="G177" s="0" t="inlineStr">
        <is>
          <t xml:space="preserve">Unidad</t>
        </is>
      </c>
      <c r="H177" s="4" t="inlineStr">
        <is>
          <t xml:space="preserve">TOAD DATA STUDIO (o equivalente). Suscripción. 12 meses.</t>
        </is>
      </c>
    </row>
    <row r="178">
      <c r="A178" s="0" t="inlineStr">
        <is>
          <t xml:space="preserve">577290-4-LP26</t>
        </is>
      </c>
      <c r="B178" s="4" t="inlineStr">
        <is>
          <t xml:space="preserve">RENOVACIÓN Y ADQUISICIÓN DE LICENCIAS DE SOFTWARE</t>
        </is>
      </c>
      <c r="C178" s="0">
        <v>5</v>
      </c>
      <c r="D178" s="4" t="inlineStr">
        <is>
          <t xml:space="preserve">Software de gestión de licencias</t>
        </is>
      </c>
      <c r="E178" s="4" t="inlineStr">
        <is>
          <t xml:space="preserve">Tecnologías de la información, telecomunicaciones y radiodifusión / Software / Software de gestión</t>
        </is>
      </c>
      <c r="F178" s="0">
        <v>60.0</v>
      </c>
      <c r="G178" s="0" t="inlineStr">
        <is>
          <t xml:space="preserve">Unidad</t>
        </is>
      </c>
      <c r="H178" s="4" t="inlineStr">
        <is>
          <t xml:space="preserve">ADOBE ACROBAT PRO DC (o equivalente). Suscripción. 12 meses</t>
        </is>
      </c>
    </row>
    <row r="179">
      <c r="A179" s="0" t="inlineStr">
        <is>
          <t xml:space="preserve">577290-4-LP26</t>
        </is>
      </c>
      <c r="B179" s="4" t="inlineStr">
        <is>
          <t xml:space="preserve">RENOVACIÓN Y ADQUISICIÓN DE LICENCIAS DE SOFTWARE</t>
        </is>
      </c>
      <c r="C179" s="0">
        <v>6</v>
      </c>
      <c r="D179" s="4" t="inlineStr">
        <is>
          <t xml:space="preserve">Software de gestión de licencias</t>
        </is>
      </c>
      <c r="E179" s="4" t="inlineStr">
        <is>
          <t xml:space="preserve">Tecnologías de la información, telecomunicaciones y radiodifusión / Software / Software de gestión</t>
        </is>
      </c>
      <c r="F179" s="0">
        <v>8.0</v>
      </c>
      <c r="G179" s="0" t="inlineStr">
        <is>
          <t xml:space="preserve">Unidad</t>
        </is>
      </c>
      <c r="H179" s="4" t="inlineStr">
        <is>
          <t xml:space="preserve">ADOBE CREATIVE CLOUD (o equivalente). Suscripción. 12 meses</t>
        </is>
      </c>
    </row>
    <row r="180">
      <c r="A180" s="0" t="inlineStr">
        <is>
          <t xml:space="preserve">1020-38-LP26</t>
        </is>
      </c>
      <c r="B180" s="4" t="inlineStr">
        <is>
          <t xml:space="preserve">Adquisición de Plataforma Next Generation Firewall</t>
        </is>
      </c>
      <c r="C180" s="0">
        <v>1</v>
      </c>
      <c r="D180" s="4" t="inlineStr">
        <is>
          <t xml:space="preserve">Equipo de seguridad de red de firewall</t>
        </is>
      </c>
      <c r="E180" s="4" t="inlineStr">
        <is>
          <t xml:space="preserve">Tecnologías de la información, telecomunicaciones y radiodifusión / Equipos, plataformas y accesorios de redes multimedia, voz y datos / Equipos de seguridad de red</t>
        </is>
      </c>
      <c r="F180" s="0">
        <v>2.0</v>
      </c>
      <c r="G180" s="0" t="inlineStr">
        <is>
          <t xml:space="preserve">Unidad</t>
        </is>
      </c>
      <c r="H180" s="4" t="inlineStr">
        <is>
          <t xml:space="preserve">Equipos.</t>
        </is>
      </c>
    </row>
    <row r="181">
      <c r="A181" s="0" t="inlineStr">
        <is>
          <t xml:space="preserve">1020-38-LP26</t>
        </is>
      </c>
      <c r="B181" s="4" t="inlineStr">
        <is>
          <t xml:space="preserve">Adquisición de Plataforma Next Generation Firewall</t>
        </is>
      </c>
      <c r="C181" s="0">
        <v>2</v>
      </c>
      <c r="D181" s="4" t="inlineStr">
        <is>
          <t xml:space="preserve">Software de vigilancia de redes</t>
        </is>
      </c>
      <c r="E181" s="4" t="inlineStr">
        <is>
          <t xml:space="preserve">Tecnologías de la información, telecomunicaciones y radiodifusión / Software / Software de administración de redes</t>
        </is>
      </c>
      <c r="F181" s="0">
        <v>1.0</v>
      </c>
      <c r="G181" s="0" t="inlineStr">
        <is>
          <t xml:space="preserve">Unidad</t>
        </is>
      </c>
      <c r="H181" s="4" t="inlineStr">
        <is>
          <t xml:space="preserve">Licenciamiento de software para la Plataforma Next Generation Firewall (NGFW)</t>
        </is>
      </c>
    </row>
    <row r="182">
      <c r="A182" s="0" t="inlineStr">
        <is>
          <t xml:space="preserve">2342-36-LR26</t>
        </is>
      </c>
      <c r="B182" s="4" t="inlineStr">
        <is>
          <t xml:space="preserve">CONCESIÓN DE ESTACIONAMIENTOS EN CALLES DE LA ZONA CENTRO DE LA COMUNA DE SAN BERNARDO APLICANDO SISTEMA DE CONTROL DE TIEMPO DE USO CAPTADORES DE DATOS</t>
        </is>
      </c>
      <c r="C182" s="0">
        <v>1</v>
      </c>
      <c r="D182" s="4" t="inlineStr">
        <is>
          <t xml:space="preserve">Estacionamientos</t>
        </is>
      </c>
      <c r="E182" s="4" t="inlineStr">
        <is>
          <t xml:space="preserve">Servicios de transporte, almacenaje y correo / Servicios de mantención o reparaciones de transportes / Combustible para vehículos de transporte, estacionamiento y otros servicios de apoyo</t>
        </is>
      </c>
      <c r="F182" s="0">
        <v>1.0</v>
      </c>
      <c r="G182" s="0" t="inlineStr">
        <is>
          <t xml:space="preserve">Unidad</t>
        </is>
      </c>
      <c r="H182" s="4" t="inlineStr">
        <is>
          <t xml:space="preserve">De acuerdo a lo indicado en Especificaciones Técnicas</t>
        </is>
      </c>
    </row>
    <row r="183">
      <c r="A183" s="0" t="inlineStr">
        <is>
          <t xml:space="preserve">5482-101-LR26</t>
        </is>
      </c>
      <c r="B183" s="4" t="inlineStr">
        <is>
          <t xml:space="preserve">Plataforma IA para video y seguridad urbana</t>
        </is>
      </c>
      <c r="C183" s="0">
        <v>1</v>
      </c>
      <c r="D183" s="4" t="inlineStr">
        <is>
          <t xml:space="preserve">Software de desarrollo de plataforma Web</t>
        </is>
      </c>
      <c r="E183" s="4" t="inlineStr">
        <is>
          <t xml:space="preserve">Tecnologías de la información, telecomunicaciones y radiodifusión / Software / Programas de desarrollo</t>
        </is>
      </c>
      <c r="F183" s="0">
        <v>1.0</v>
      </c>
      <c r="G183" s="0" t="inlineStr">
        <is>
          <t xml:space="preserve">Global</t>
        </is>
      </c>
      <c r="H183" s="4" t="inlineStr">
        <is>
          <t xml:space="preserve">Setup o configuración inicial del servicio e instalación</t>
        </is>
      </c>
    </row>
    <row r="184">
      <c r="A184" s="0" t="inlineStr">
        <is>
          <t xml:space="preserve">5482-101-LR26</t>
        </is>
      </c>
      <c r="B184" s="4" t="inlineStr">
        <is>
          <t xml:space="preserve">Plataforma IA para video y seguridad urbana</t>
        </is>
      </c>
      <c r="C184" s="0">
        <v>2</v>
      </c>
      <c r="D184" s="4" t="inlineStr">
        <is>
          <t xml:space="preserve">Software de desarrollo de plataforma Web</t>
        </is>
      </c>
      <c r="E184" s="4" t="inlineStr">
        <is>
          <t xml:space="preserve">Tecnologías de la información, telecomunicaciones y radiodifusión / Software / Programas de desarrollo</t>
        </is>
      </c>
      <c r="F184" s="0">
        <v>26.0</v>
      </c>
      <c r="G184" s="0" t="inlineStr">
        <is>
          <t xml:space="preserve">Mes</t>
        </is>
      </c>
      <c r="H184" s="4" t="inlineStr">
        <is>
          <t xml:space="preserve">Servicio mensual (Operación)</t>
        </is>
      </c>
    </row>
    <row r="185">
      <c r="A185" s="0" t="inlineStr">
        <is>
          <t xml:space="preserve">1622-22-LP26</t>
        </is>
      </c>
      <c r="B185" s="4" t="inlineStr">
        <is>
          <t xml:space="preserve">ARRIENDO SISTEMA DE INFORMACIÓN DE LABORATORIO HSV</t>
        </is>
      </c>
      <c r="C185" s="0">
        <v>1</v>
      </c>
      <c r="D185" s="4" t="inlineStr">
        <is>
          <t xml:space="preserve">Software del sistema de administración de bases de datos</t>
        </is>
      </c>
      <c r="E185" s="4" t="inlineStr">
        <is>
          <t xml:space="preserve">Tecnologías de la información, telecomunicaciones y radiodifusión / Software / Software de consultas y gestión de datos</t>
        </is>
      </c>
      <c r="F185" s="0">
        <v>1.0</v>
      </c>
      <c r="G185" s="0" t="inlineStr">
        <is>
          <t xml:space="preserve">Unidad</t>
        </is>
      </c>
      <c r="H185" s="4" t="inlineStr">
        <is>
          <t xml:space="preserve">ARRIENDO DE SISTEMA DE INFORMACIÓN DE LABORATORIO CLÍNICO (LIS) POR 36 MESES</t>
        </is>
      </c>
    </row>
    <row r="186">
      <c r="A186" s="0" t="inlineStr">
        <is>
          <t xml:space="preserve">2403-73-LR26</t>
        </is>
      </c>
      <c r="B186" s="4" t="inlineStr">
        <is>
          <t xml:space="preserve">Servicios de conectividad telecomunicaciones operación de infraestructura y gestión de ciberseguridad.</t>
        </is>
      </c>
      <c r="C186" s="0">
        <v>1</v>
      </c>
      <c r="D186" s="4" t="inlineStr">
        <is>
          <t xml:space="preserve">Instalación de sistemas de seguridad</t>
        </is>
      </c>
      <c r="E186" s="4" t="inlineStr">
        <is>
          <t xml:space="preserve">Servicios de construcción y mantenimiento / Servicios de atención, mantenimiento y reparaciones de edificios / Servicios eléctricos</t>
        </is>
      </c>
      <c r="F186" s="0">
        <v>1.0</v>
      </c>
      <c r="G186" s="0" t="inlineStr">
        <is>
          <t xml:space="preserve">Global</t>
        </is>
      </c>
      <c r="H186"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187">
      <c r="A187" s="0" t="inlineStr">
        <is>
          <t xml:space="preserve">634-92-LE26</t>
        </is>
      </c>
      <c r="B187" s="4" t="inlineStr">
        <is>
          <t xml:space="preserve">SISTEMA RADIOGRÁFICO ODONTOLÓGICO DIGITAL</t>
        </is>
      </c>
      <c r="C187" s="0">
        <v>1</v>
      </c>
      <c r="D187" s="4" t="inlineStr">
        <is>
          <t xml:space="preserve">Unidades de Rayos X dentales</t>
        </is>
      </c>
      <c r="E187" s="4" t="inlineStr">
        <is>
          <t xml:space="preserve">Equipamiento y suministros médicos / Equipos y suministros odontológicos / Equipo y suministros para imágenes dentales</t>
        </is>
      </c>
      <c r="F187" s="0">
        <v>1.0</v>
      </c>
      <c r="G187" s="0" t="inlineStr">
        <is>
          <t xml:space="preserve">Unidad</t>
        </is>
      </c>
      <c r="H187" s="4" t="inlineStr">
        <is>
          <t xml:space="preserve">Adquisición sistema radiográfico odontológico digital tipo Ortopantomógrafo con tecnología CBCT para el Servicio Dental del Hospital Penitenciario</t>
        </is>
      </c>
    </row>
    <row r="188">
      <c r="A188" s="0" t="inlineStr">
        <is>
          <t xml:space="preserve">3755-6-LP26</t>
        </is>
      </c>
      <c r="B188" s="4" t="inlineStr">
        <is>
          <t xml:space="preserve">Serv datos de tránsito y tráfico de dispositivos</t>
        </is>
      </c>
      <c r="C188" s="0">
        <v>1</v>
      </c>
      <c r="D188" s="4" t="inlineStr">
        <is>
          <t xml:space="preserve">Software de extracción de datos</t>
        </is>
      </c>
      <c r="E188" s="4" t="inlineStr">
        <is>
          <t xml:space="preserve">Tecnologías de la información, telecomunicaciones y radiodifusión / Software / Software de consultas y gestión de datos</t>
        </is>
      </c>
      <c r="F188" s="0">
        <v>1.0</v>
      </c>
      <c r="G188" s="0" t="inlineStr">
        <is>
          <t xml:space="preserve">Global</t>
        </is>
      </c>
      <c r="H188" s="4" t="inlineStr">
        <is>
          <t xml:space="preserve">SERVICIO DE DATOS DE TRÁNSITO Y TRÁFICO PROVISTOS DESDE LA NAVEGACIÓN DE DISPOSITIVOS QUE CUENTEN CON GPS</t>
        </is>
      </c>
    </row>
    <row r="189">
      <c r="A189" s="0" t="inlineStr">
        <is>
          <t xml:space="preserve">799595-5-LP26</t>
        </is>
      </c>
      <c r="B189" s="4" t="inlineStr">
        <is>
          <t xml:space="preserve">Servicio de Cloud Computing MINDEP</t>
        </is>
      </c>
      <c r="C189" s="0">
        <v>1</v>
      </c>
      <c r="D189" s="4" t="inlineStr">
        <is>
          <t xml:space="preserve">Centro de servicios de datos</t>
        </is>
      </c>
      <c r="E189" s="4" t="inlineStr">
        <is>
          <t xml:space="preserve">Servicios basados en ingeniería, ciencias sociales y tecnología de la información / Servicios informáticos / Servicios de datos</t>
        </is>
      </c>
      <c r="F189" s="0">
        <v>1.0</v>
      </c>
      <c r="G189" s="0" t="inlineStr">
        <is>
          <t xml:space="preserve">Unidad</t>
        </is>
      </c>
      <c r="H189" s="4" t="inlineStr">
        <is>
          <t xml:space="preserve">SERVICIO DE CLOUD COMPUTING Y SERVICIOS ASOCIADOS, PARA LA SUBSECRETARÍA DEL DEPORTE</t>
        </is>
      </c>
    </row>
    <row r="190">
      <c r="A190" s="0" t="inlineStr">
        <is>
          <t xml:space="preserve">434-110-LP26</t>
        </is>
      </c>
      <c r="B190" s="4" t="inlineStr">
        <is>
          <t xml:space="preserve">SISTEMA DE GESTIÓN DOCUMENTAL SEGÚN LEY N°21.180</t>
        </is>
      </c>
      <c r="C190" s="0">
        <v>1</v>
      </c>
      <c r="D190" s="4" t="inlineStr">
        <is>
          <t xml:space="preserve">Servicios de investigación o medición</t>
        </is>
      </c>
      <c r="E190" s="4" t="inlineStr">
        <is>
          <t xml:space="preserve">Artículos para estructuras, obras y construcciones / Construcciones permanentes / Construcciones para educación e investigación</t>
        </is>
      </c>
      <c r="F190" s="0">
        <v>1.0</v>
      </c>
      <c r="G190" s="0" t="inlineStr">
        <is>
          <t xml:space="preserve">Unidad</t>
        </is>
      </c>
      <c r="H190" s="4" t="inlineStr">
        <is>
          <t xml:space="preserve">SERVICIO INTEGRADO DE BRANDING ESTRATEGICO, SOCIAL LISTENING Y ESTRATEGIA CREATIVA APLICADA, SEGUN BASES TECNICAS ADJUNTAS</t>
        </is>
      </c>
    </row>
    <row r="191">
      <c r="A191" s="0" t="inlineStr">
        <is>
          <t xml:space="preserve">434-110-LP26</t>
        </is>
      </c>
      <c r="B191" s="4" t="inlineStr">
        <is>
          <t xml:space="preserve">SISTEMA DE GESTIÓN DOCUMENTAL SEGÚN LEY N°21.180</t>
        </is>
      </c>
      <c r="C191" s="0">
        <v>2</v>
      </c>
      <c r="D191" s="4" t="inlineStr">
        <is>
          <t xml:space="preserve">Servicios de investigación o medición</t>
        </is>
      </c>
      <c r="E191" s="4" t="inlineStr">
        <is>
          <t xml:space="preserve">Artículos para estructuras, obras y construcciones / Construcciones permanentes / Construcciones para educación e investigación</t>
        </is>
      </c>
      <c r="F191" s="0">
        <v>1.0</v>
      </c>
      <c r="G191" s="0" t="inlineStr">
        <is>
          <t xml:space="preserve">Unidad</t>
        </is>
      </c>
      <c r="H191" s="4" t="inlineStr">
        <is>
          <t xml:space="preserve">SISTEMA DE GESTIÓN DOCUMENTAL Y ACOMPAÑAMIENTO EN LA IMPLEMENTACIÓN DE LA LEY N°21.180 DE TRANSFORMACIÓN DIGITAL DEL ESTADO SEGÚN BASES TÉCNICAS ADJUNTAS (IGNORAR SERVICIO ANTERIOR).</t>
        </is>
      </c>
    </row>
    <row r="192">
      <c r="A192" s="0" t="inlineStr">
        <is>
          <t xml:space="preserve">2308-90-LE26</t>
        </is>
      </c>
      <c r="B192" s="4" t="inlineStr">
        <is>
          <t xml:space="preserve">REPARACIÓN MODERNIZACIÓN PUESTA EN MARCHA Y CERTIFICACIÓN DEL ASCENSOR DEL EDIFICIO CONSISTORIAL OSORNO</t>
        </is>
      </c>
      <c r="C192" s="0">
        <v>1</v>
      </c>
      <c r="D192" s="4" t="inlineStr">
        <is>
          <t xml:space="preserve">Servicios de mantenimiento de ascensores</t>
        </is>
      </c>
      <c r="E192" s="4" t="inlineStr">
        <is>
          <t xml:space="preserve">Servicios de construcción y mantenimiento / Servicios de atención, mantenimiento y reparaciones de edificios / Servicios de apoyo para la construcción</t>
        </is>
      </c>
      <c r="F192" s="0">
        <v>1.0</v>
      </c>
      <c r="G192" s="0" t="inlineStr">
        <is>
          <t xml:space="preserve">Unidad</t>
        </is>
      </c>
      <c r="H192" s="4" t="inlineStr">
        <is>
          <t xml:space="preserve">Reparación, Modernización, Puesta en Marcha y Certificación del Ascensor del Edificio Consistorial, Osorno.</t>
        </is>
      </c>
    </row>
    <row r="193">
      <c r="A193" s="0" t="inlineStr">
        <is>
          <t xml:space="preserve">622-64-L126</t>
        </is>
      </c>
      <c r="B193" s="4" t="inlineStr">
        <is>
          <t xml:space="preserve">CONTRATACIÓN DEL CURSO INTELIGENCIA ARTIFICIAL APLICADA A LA GESTIÓN GREMIAL Y LA FUNCIÓN PÚBLICA</t>
        </is>
      </c>
      <c r="C193" s="0">
        <v>1</v>
      </c>
      <c r="D193" s="4" t="inlineStr">
        <is>
          <t xml:space="preserve">Capacitación a empleados</t>
        </is>
      </c>
      <c r="E193" s="4" t="inlineStr">
        <is>
          <t xml:space="preserve">Educación, formación, entrenamiento y capacitación / Sistemas educativos complementarios / Educación de adultos</t>
        </is>
      </c>
      <c r="F193" s="0">
        <v>1.0</v>
      </c>
      <c r="G193" s="0" t="inlineStr">
        <is>
          <t xml:space="preserve">Unidad</t>
        </is>
      </c>
      <c r="H193" s="4" t="inlineStr">
        <is>
          <t xml:space="preserve">CURSO INTELIGENCIA ARTIFICIAL APLICADA A LA GESTIÓN GREMIAL Y LA FUNCIÓN PÚBLICA</t>
        </is>
      </c>
    </row>
    <row r="194">
      <c r="A194" s="0" t="inlineStr">
        <is>
          <t xml:space="preserve">5360-5-LP26</t>
        </is>
      </c>
      <c r="B194" s="4" t="inlineStr">
        <is>
          <t xml:space="preserve">SERVICIOS DE ELECTRICIDAD Y DATOS UTA - ARICA</t>
        </is>
      </c>
      <c r="C194" s="0">
        <v>1</v>
      </c>
      <c r="D194" s="4" t="inlineStr">
        <is>
          <t xml:space="preserve">Instalación o servicio de sistemas de energía eléctrica</t>
        </is>
      </c>
      <c r="E194" s="4" t="inlineStr">
        <is>
          <t xml:space="preserve">Servicios de construcción y mantenimiento / Servicios de atención, mantenimiento y reparaciones de edificios / Servicios eléctricos</t>
        </is>
      </c>
      <c r="F194" s="0">
        <v>1.0</v>
      </c>
      <c r="G194" s="0" t="inlineStr">
        <is>
          <t xml:space="preserve">Unidad</t>
        </is>
      </c>
      <c r="H194" s="4" t="inlineStr">
        <is>
          <t xml:space="preserve">Servicios de electricidad y datos, para dependencias de la Universidad de Tarapacá en Arica, según anexo N°6.</t>
        </is>
      </c>
    </row>
    <row r="195">
      <c r="A195" s="0" t="inlineStr">
        <is>
          <t xml:space="preserve">2981-287-LP26</t>
        </is>
      </c>
      <c r="B195" s="4" t="inlineStr">
        <is>
          <t xml:space="preserve">CIBERSEGURIDAD- CONSULTORIA</t>
        </is>
      </c>
      <c r="C195" s="0">
        <v>1</v>
      </c>
      <c r="D195" s="4" t="inlineStr">
        <is>
          <t xml:space="preserve">Asesorías en gestión estratégica</t>
        </is>
      </c>
      <c r="E195" s="4" t="inlineStr">
        <is>
          <t xml:space="preserve">Servicios profesionales, administrativos y consultorías de gestión empresarial / Consultorías o asesorías en gestión empresarial / Servicios de consultoría en gestión de empresas</t>
        </is>
      </c>
      <c r="F195" s="0">
        <v>1.0</v>
      </c>
      <c r="G195" s="0" t="inlineStr">
        <is>
          <t xml:space="preserve">Unidad</t>
        </is>
      </c>
      <c r="H195" s="4" t="inlineStr">
        <is>
          <t xml:space="preserve">CONTRATACION  DEL SERVICIO DE CONSULTORIA PARA LA IMPLEMENTACION DE UN SISTEMA DE SEGURIDAD DE LA INFORMACION PARA LA PDI.</t>
        </is>
      </c>
    </row>
    <row r="196">
      <c r="A196" s="0" t="inlineStr">
        <is>
          <t xml:space="preserve">622-66-LE26</t>
        </is>
      </c>
      <c r="B196" s="4" t="inlineStr">
        <is>
          <t xml:space="preserve">ADQUISICIÓN DE LICENCIAS PARA SOFTWARE DLP</t>
        </is>
      </c>
      <c r="C196" s="0">
        <v>1</v>
      </c>
      <c r="D196" s="4" t="inlineStr">
        <is>
          <t xml:space="preserve">Software de gestión de licencias</t>
        </is>
      </c>
      <c r="E196" s="4" t="inlineStr">
        <is>
          <t xml:space="preserve">Tecnologías de la información, telecomunicaciones y radiodifusión / Software / Software de gestión</t>
        </is>
      </c>
      <c r="F196" s="0">
        <v>1.0</v>
      </c>
      <c r="G196" s="0" t="inlineStr">
        <is>
          <t xml:space="preserve">Unidad</t>
        </is>
      </c>
      <c r="H196" s="4" t="inlineStr">
        <is>
          <t xml:space="preserve">Suscripción de Licenciamiento Endpoint DLP (Trellix DLP Endpoint Complete o equivalente), incluyendo implementación (revisar anexo 1 de las bases)</t>
        </is>
      </c>
    </row>
    <row r="197">
      <c r="A197" s="0" t="inlineStr">
        <is>
          <t xml:space="preserve">1057049-376-LP26</t>
        </is>
      </c>
      <c r="B197" s="4" t="inlineStr">
        <is>
          <t xml:space="preserve">PROV E INSTALACIÓN DE PLATAFORMAS DE SEGURIDAD PARA SHAFTS DEL HOSPITAL CLÍNICO SAN BORJA ARRIARÁN</t>
        </is>
      </c>
      <c r="C197" s="0">
        <v>1</v>
      </c>
      <c r="D197" s="4" t="inlineStr">
        <is>
          <t xml:space="preserve">Plataforma elevadora</t>
        </is>
      </c>
      <c r="E197" s="4" t="inlineStr">
        <is>
          <t xml:space="preserve">Maquinaria para construcción y edificación / Maquinaria pesada de construcción / Elevadores</t>
        </is>
      </c>
      <c r="F197" s="0">
        <v>1.0</v>
      </c>
      <c r="G197" s="0" t="inlineStr">
        <is>
          <t xml:space="preserve">Global</t>
        </is>
      </c>
      <c r="H197" s="4" t="inlineStr">
        <is>
          <t xml:space="preserve">Servicio de Provisión e Instalación de Plataformas de Seguridad para Shafts del Hospital Clínico San Borja Arriarán</t>
        </is>
      </c>
    </row>
    <row r="198">
      <c r="A198" s="0" t="inlineStr">
        <is>
          <t xml:space="preserve">1005498-24-LP26</t>
        </is>
      </c>
      <c r="B198" s="4" t="inlineStr">
        <is>
          <t xml:space="preserve">SUSCRIPCIÓN DE LICENCIAS EN MODALIDAD CLOUD</t>
        </is>
      </c>
      <c r="C198" s="0">
        <v>1</v>
      </c>
      <c r="D198" s="4" t="inlineStr">
        <is>
          <t xml:space="preserve">Up grade de software</t>
        </is>
      </c>
      <c r="E198" s="4" t="inlineStr">
        <is>
          <t xml:space="preserve">Servicios basados en ingeniería, ciencias sociales y tecnología de la información / Servicios informáticos / Mantenimiento y soporte de software</t>
        </is>
      </c>
      <c r="F198" s="0">
        <v>1.0</v>
      </c>
      <c r="G198" s="0" t="inlineStr">
        <is>
          <t xml:space="preserve">Global</t>
        </is>
      </c>
      <c r="H198" s="4" t="inlineStr">
        <is>
          <t xml:space="preserve">SUSCRIPCIÓN DE LICENCIAS EN MODALIDAD CLOUD COMPUTING SaaS CON SOPORTE LOCAL Y MANTENCIÓN</t>
        </is>
      </c>
    </row>
    <row r="199">
      <c r="A199" s="0" t="inlineStr">
        <is>
          <t xml:space="preserve">5512-18-LE26</t>
        </is>
      </c>
      <c r="B199" s="4" t="inlineStr">
        <is>
          <t xml:space="preserve">ADQUISICIÓN DE MINICOMPUTADORES PARA IA PROYECTO UTA 22991</t>
        </is>
      </c>
      <c r="C199" s="0">
        <v>1</v>
      </c>
      <c r="D199" s="4" t="inlineStr">
        <is>
          <t xml:space="preserve">Computadores de escritorio</t>
        </is>
      </c>
      <c r="E199" s="4" t="inlineStr">
        <is>
          <t xml:space="preserve">Tecnologías de la información, telecomunicaciones y radiodifusión / Equipos informáticos y accesorios / Computadores</t>
        </is>
      </c>
      <c r="F199" s="0">
        <v>3.0</v>
      </c>
      <c r="G199" s="0" t="inlineStr">
        <is>
          <t xml:space="preserve">Unidad</t>
        </is>
      </c>
      <c r="H199" s="4" t="inlineStr">
        <is>
          <t xml:space="preserve">Adquisición de minicomputadores/nodos de cómputo para IA con cables de interconexión directa QSFP, destinados a la conformación de un clúster en topología en anillo (ring topology) para transmisión de datos de alta velocidad punto a punto entre nodos.</t>
        </is>
      </c>
    </row>
    <row r="200">
      <c r="A200" s="0" t="inlineStr">
        <is>
          <t xml:space="preserve">1067778-4-LP26</t>
        </is>
      </c>
      <c r="B200" s="4" t="inlineStr">
        <is>
          <t xml:space="preserve">ARRIENDO CON OPCION DE COMPRA  DE SERVIDOR PARA IA</t>
        </is>
      </c>
      <c r="C200" s="0">
        <v>1</v>
      </c>
      <c r="D200" s="4" t="inlineStr">
        <is>
          <t xml:space="preserve">Servidores</t>
        </is>
      </c>
      <c r="E200" s="4" t="inlineStr">
        <is>
          <t xml:space="preserve">Tecnologías de la información, telecomunicaciones y radiodifusión / Equipos informáticos y accesorios / Computadores</t>
        </is>
      </c>
      <c r="F200" s="0">
        <v>60.0</v>
      </c>
      <c r="G200" s="0" t="inlineStr">
        <is>
          <t xml:space="preserve">Mes</t>
        </is>
      </c>
      <c r="H200" s="4" t="inlineStr">
        <is>
          <t xml:space="preserve">ARRIENDO CON OPCION DE COMPRA DE SERVIDOR PARA IA. VER BASES PARA MAYOR DETALLE</t>
        </is>
      </c>
    </row>
    <row r="201">
      <c r="A201" s="0" t="inlineStr">
        <is>
          <t xml:space="preserve">2656-77-LP26</t>
        </is>
      </c>
      <c r="B201" s="4" t="inlineStr">
        <is>
          <t xml:space="preserve">ARRIENDO SISTEMAS MUNICIPALES Y CLOUD COMPUTING</t>
        </is>
      </c>
      <c r="C201" s="0">
        <v>1</v>
      </c>
      <c r="D201" s="4" t="inlineStr">
        <is>
          <t xml:space="preserve">Software de sistema de archivos</t>
        </is>
      </c>
      <c r="E201" s="4" t="inlineStr">
        <is>
          <t xml:space="preserve">Tecnologías de la información, telecomunicaciones y radiodifusión / Software / Software de entorno operativo</t>
        </is>
      </c>
      <c r="F201" s="0">
        <v>1.0</v>
      </c>
      <c r="G201" s="0" t="inlineStr">
        <is>
          <t xml:space="preserve">Pack</t>
        </is>
      </c>
      <c r="H201" s="4" t="inlineStr">
        <is>
          <t xml:space="preserve">Contratación de servicios de Cloud Computing y arriendo de sistemas computacionales de aplicación municipal, incluyendo implementación, configuración, migración de datos, integración, capacitación, soporte técnico y mantención, conforme a Bases Administra</t>
        </is>
      </c>
    </row>
    <row r="202">
      <c r="A202" s="0" t="inlineStr">
        <is>
          <t xml:space="preserve">976-18-O126</t>
        </is>
      </c>
      <c r="B202" s="4" t="inlineStr">
        <is>
          <t xml:space="preserve">ATIF Ampliación Plataformas Comercial y General Ad. El Loa</t>
        </is>
      </c>
      <c r="C202" s="0">
        <v>1</v>
      </c>
      <c r="D202" s="4" t="inlineStr">
        <is>
          <t xml:space="preserve">Licitación Pública de Consultoria</t>
        </is>
      </c>
      <c r="E202" s="4" t="inlineStr">
        <is>
          <t xml:space="preserve">Consultoria / Consultoria / Planificación y Factibilidad</t>
        </is>
      </c>
      <c r="F202" s="0">
        <v>1.0</v>
      </c>
      <c r="G202" s="0" t="inlineStr">
        <is>
          <t xml:space="preserve">Unidad</t>
        </is>
      </c>
      <c r="H202" s="4" t="inlineStr">
        <is>
          <t xml:space="preserve">Licitación Pública de Consultoria</t>
        </is>
      </c>
    </row>
    <row r="203">
      <c r="A203" s="0" t="inlineStr">
        <is>
          <t xml:space="preserve">2490-91-LP26</t>
        </is>
      </c>
      <c r="B203" s="4" t="inlineStr">
        <is>
          <t xml:space="preserve">ARRIENDO SOPORTE Y MANTENCIÓN DE GABINETES PSICOSENSOMÉTRICOS Y EQUIPOS COMPUTACIONALES CON SOFTWARE SPI INTEGRADO 2027-2031</t>
        </is>
      </c>
      <c r="C203" s="0">
        <v>1</v>
      </c>
      <c r="D203" s="4" t="inlineStr">
        <is>
          <t xml:space="preserve">Señales de tránsito</t>
        </is>
      </c>
      <c r="E203" s="4" t="inlineStr">
        <is>
          <t xml:space="preserve">Equipos y suministros de defensa, orden público, protección y seguridad / Seguridad y control público / Control de tráfico</t>
        </is>
      </c>
      <c r="F203" s="0">
        <v>1.0</v>
      </c>
      <c r="G203" s="0" t="inlineStr">
        <is>
          <t xml:space="preserve">Global</t>
        </is>
      </c>
      <c r="H203" s="4" t="inlineStr">
        <is>
          <t xml:space="preserve">“ARRIENDO, SOPORTE Y MANTENCIÓN DE GABINETES PSICOSENSOMÉTRICOS Y EQUIPOS COMPUTACIONALES CON SOFTWARE SPI INTEGRADO 2027-2031”</t>
        </is>
      </c>
    </row>
    <row r="204">
      <c r="A204" s="0" t="inlineStr">
        <is>
          <t xml:space="preserve">2982-48-LE26</t>
        </is>
      </c>
      <c r="B204" s="4" t="inlineStr">
        <is>
          <t xml:space="preserve">SERVICIO DE RENOVACIÓN Y ADQUISICIÓN DE LICENCIAS SOFTWARE DETEP - JENAED</t>
        </is>
      </c>
      <c r="C204" s="0">
        <v>1</v>
      </c>
      <c r="D204" s="4" t="inlineStr">
        <is>
          <t xml:space="preserve">Software de gestión de licencias</t>
        </is>
      </c>
      <c r="E204" s="4" t="inlineStr">
        <is>
          <t xml:space="preserve">Tecnologías de la información, telecomunicaciones y radiodifusión / Software / Software de gestión</t>
        </is>
      </c>
      <c r="F204" s="0">
        <v>1.0</v>
      </c>
      <c r="G204" s="0" t="inlineStr">
        <is>
          <t xml:space="preserve">Kit</t>
        </is>
      </c>
      <c r="H204" s="4" t="inlineStr">
        <is>
          <t xml:space="preserve">SEGÚN LISTADO DETALLADO EN BASES DE LICITACIÓN</t>
        </is>
      </c>
    </row>
    <row r="205">
      <c r="A205" s="0" t="inlineStr">
        <is>
          <t xml:space="preserve">5441-12-LP26</t>
        </is>
      </c>
      <c r="B205" s="4" t="inlineStr">
        <is>
          <t xml:space="preserve">Generador 500 kVA y Tablero de Transf. Autom. 800A</t>
        </is>
      </c>
      <c r="C205" s="0">
        <v>1</v>
      </c>
      <c r="D205" s="4" t="inlineStr">
        <is>
          <t xml:space="preserve">Generadores diesel</t>
        </is>
      </c>
      <c r="E205" s="4" t="inlineStr">
        <is>
          <t xml:space="preserve">Maquinaria para generación y distribución de energía / Transmisión de energía eléctrica, mecánica y cinética / Grupos electrógenos</t>
        </is>
      </c>
      <c r="F205" s="0">
        <v>1.0</v>
      </c>
      <c r="G205" s="0" t="inlineStr">
        <is>
          <t xml:space="preserve">Unidad</t>
        </is>
      </c>
      <c r="H205" s="4" t="inlineStr">
        <is>
          <t xml:space="preserve">GENERADOR DE 500 kVA, SEGÚN BASES ADMINISTRATIVAS Y TÉCNICAS.</t>
        </is>
      </c>
    </row>
    <row r="206">
      <c r="A206" s="0" t="inlineStr">
        <is>
          <t xml:space="preserve">5441-12-LP26</t>
        </is>
      </c>
      <c r="B206" s="4" t="inlineStr">
        <is>
          <t xml:space="preserve">Generador 500 kVA y Tablero de Transf. Autom. 800A</t>
        </is>
      </c>
      <c r="C206" s="0">
        <v>2</v>
      </c>
      <c r="D206" s="4" t="inlineStr">
        <is>
          <t xml:space="preserve">Paneles de control eléctrico para generadores</t>
        </is>
      </c>
      <c r="E206" s="4" t="inlineStr">
        <is>
          <t xml:space="preserve">Maquinaria para generación y distribución de energía / Generación de energía / Equipo para control de producción de energía</t>
        </is>
      </c>
      <c r="F206" s="0">
        <v>1.0</v>
      </c>
      <c r="G206" s="0" t="inlineStr">
        <is>
          <t xml:space="preserve">Unidad</t>
        </is>
      </c>
      <c r="H206" s="4" t="inlineStr">
        <is>
          <t xml:space="preserve">TABLERO DE TRANSFERENCIA AUTOMÁTICA, SEGÚN BASES ADMINISTRATIVAS Y TÉCNICAS.</t>
        </is>
      </c>
    </row>
    <row r="207">
      <c r="A207" s="0" t="inlineStr">
        <is>
          <t xml:space="preserve">587-47-LE26</t>
        </is>
      </c>
      <c r="B207" s="4" t="inlineStr">
        <is>
          <t xml:space="preserve">RENOVACIÓN DE LICENCIAS DE SOFTWARE</t>
        </is>
      </c>
      <c r="C207" s="0">
        <v>1</v>
      </c>
      <c r="D207" s="4" t="inlineStr">
        <is>
          <t xml:space="preserve">Software de gestión de licencias</t>
        </is>
      </c>
      <c r="E207" s="4" t="inlineStr">
        <is>
          <t xml:space="preserve">Tecnologías de la información, telecomunicaciones y radiodifusión / Software / Software de gestión</t>
        </is>
      </c>
      <c r="F207" s="0">
        <v>12.0</v>
      </c>
      <c r="G207" s="0" t="inlineStr">
        <is>
          <t xml:space="preserve">Unidad</t>
        </is>
      </c>
      <c r="H207" s="4" t="inlineStr">
        <is>
          <t xml:space="preserve">Contratar la renovación de software de cinco (05) Licencias de Software FORTINET (o equivalentes), por doce (12) meses, divididos en: dos (02) Firewalls FORTINET WAF400E, dos (02) Firewalls FORTINET 600E y un (01) Firewall FORTINET FortiAnalyzer 1000F”</t>
        </is>
      </c>
    </row>
    <row r="208">
      <c r="A208" s="0" t="inlineStr">
        <is>
          <t xml:space="preserve">2735-149-LR26</t>
        </is>
      </c>
      <c r="B208" s="4" t="inlineStr">
        <is>
          <t xml:space="preserve">Servicio de Software de Gestión y Registro Clinico</t>
        </is>
      </c>
      <c r="C208" s="0">
        <v>1</v>
      </c>
      <c r="D208" s="4" t="inlineStr">
        <is>
          <t xml:space="preserve">Software médico</t>
        </is>
      </c>
      <c r="E208" s="4" t="inlineStr">
        <is>
          <t xml:space="preserve">Tecnologías de la información, telecomunicaciones y radiodifusión / Software / Software específico para la industria</t>
        </is>
      </c>
      <c r="F208" s="0">
        <v>1.0</v>
      </c>
      <c r="G208" s="0" t="inlineStr">
        <is>
          <t xml:space="preserve">Unidad</t>
        </is>
      </c>
      <c r="H208"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209">
      <c r="A209" s="0" t="inlineStr">
        <is>
          <t xml:space="preserve">519302-9-LE26</t>
        </is>
      </c>
      <c r="B209" s="4" t="inlineStr">
        <is>
          <t xml:space="preserve">DISEÑO IMPLEMENTACIÓN MEDICION MARKETING DIGITAL</t>
        </is>
      </c>
      <c r="C209" s="0">
        <v>1</v>
      </c>
      <c r="D209" s="4" t="inlineStr">
        <is>
          <t xml:space="preserve">Campañas publicitarias o de marketing</t>
        </is>
      </c>
      <c r="E209" s="4" t="inlineStr">
        <is>
          <t xml:space="preserve">Servicios profesionales, administrativos y consultorías de gestión empresarial / Servicios para la comercialización y distribución / Ventas y marketing</t>
        </is>
      </c>
      <c r="F209" s="0">
        <v>1.0</v>
      </c>
      <c r="G209" s="0" t="inlineStr">
        <is>
          <t xml:space="preserve">Unidad</t>
        </is>
      </c>
      <c r="H209" s="4" t="inlineStr">
        <is>
          <t xml:space="preserve">DISEÑO, PLANIFICACIÓN, IMPLEMENTACIÓN, ADMINISTRACIÓN, OPTIMIZACIÓN Y MEDICIÓN DE CAMPAÑAS DE MARKETING DIGITAL</t>
        </is>
      </c>
    </row>
    <row r="210">
      <c r="A210" s="0" t="inlineStr">
        <is>
          <t xml:space="preserve">621-909-LR26</t>
        </is>
      </c>
      <c r="B210" s="4" t="inlineStr">
        <is>
          <t xml:space="preserve">TERMOGRAFO DIGITAL MONITOREO TEMPERATURA 1000023277</t>
        </is>
      </c>
      <c r="C210" s="0">
        <v>1</v>
      </c>
      <c r="D210" s="4" t="inlineStr">
        <is>
          <t xml:space="preserve">Termómetros de tele indicación</t>
        </is>
      </c>
      <c r="E210" s="4" t="inlineStr">
        <is>
          <t xml:space="preserve">Equipamiento para laboratorios / Instrumentos de medida y experimentación / Instrumentos para medir temperatura y calor</t>
        </is>
      </c>
      <c r="F210" s="0">
        <v>3000.0</v>
      </c>
      <c r="G210" s="0" t="inlineStr">
        <is>
          <t xml:space="preserve">Unidad</t>
        </is>
      </c>
      <c r="H210" s="4" t="inlineStr">
        <is>
          <t xml:space="preserve">TERMOGRAFO DIGITAL MONITOREO TEMPERATURA; 100005575</t>
        </is>
      </c>
    </row>
    <row r="211">
      <c r="A211" s="0" t="inlineStr">
        <is>
          <t xml:space="preserve">2426-52-LR26</t>
        </is>
      </c>
      <c r="B211" s="4" t="inlineStr">
        <is>
          <t xml:space="preserve">DATACENTER ENLACES DE DATOS TELEFONIA E INTERNET</t>
        </is>
      </c>
      <c r="C211" s="0">
        <v>1</v>
      </c>
      <c r="D211" s="4" t="inlineStr">
        <is>
          <t xml:space="preserve">Centro de servicios de datos</t>
        </is>
      </c>
      <c r="E211" s="4" t="inlineStr">
        <is>
          <t xml:space="preserve">Servicios basados en ingeniería, ciencias sociales y tecnología de la información / Servicios informáticos / Servicios de datos</t>
        </is>
      </c>
      <c r="F211" s="0">
        <v>1.0</v>
      </c>
      <c r="G211" s="0" t="inlineStr">
        <is>
          <t xml:space="preserve">Unidad</t>
        </is>
      </c>
      <c r="H211" s="4"/>
    </row>
    <row r="212">
      <c r="A212" s="0" t="inlineStr">
        <is>
          <t xml:space="preserve">4127-51-LR26</t>
        </is>
      </c>
      <c r="B212" s="4" t="inlineStr">
        <is>
          <t xml:space="preserve">[DIGEDEP]Cursos M-Learning Plataforma SIAD 26-27</t>
        </is>
      </c>
      <c r="C212" s="0">
        <v>1</v>
      </c>
      <c r="D212" s="4" t="inlineStr">
        <is>
          <t xml:space="preserve">Capacitación a empleados</t>
        </is>
      </c>
      <c r="E212" s="4" t="inlineStr">
        <is>
          <t xml:space="preserve">Educación, formación, entrenamiento y capacitación / Sistemas educativos complementarios / Educación de adultos</t>
        </is>
      </c>
      <c r="F212" s="0">
        <v>1.0</v>
      </c>
      <c r="G212" s="0" t="inlineStr">
        <is>
          <t xml:space="preserve">Unidad</t>
        </is>
      </c>
      <c r="H212" s="4"/>
    </row>
    <row r="213">
      <c r="A213" s="0" t="inlineStr">
        <is>
          <t xml:space="preserve">1020-54-LP26</t>
        </is>
      </c>
      <c r="B213" s="4" t="inlineStr">
        <is>
          <t xml:space="preserve">Administración y Mantención de Bases de Datos MOP</t>
        </is>
      </c>
      <c r="C213" s="0">
        <v>1</v>
      </c>
      <c r="D213" s="4" t="inlineStr">
        <is>
          <t xml:space="preserve">Administradores de bases de datos</t>
        </is>
      </c>
      <c r="E213" s="4" t="inlineStr">
        <is>
          <t xml:space="preserve">Servicios profesionales, administrativos y consultorías de gestión empresarial / Servicios de recursos humanos / Contratación de personal</t>
        </is>
      </c>
      <c r="F213" s="0">
        <v>24.0</v>
      </c>
      <c r="G213" s="0" t="inlineStr">
        <is>
          <t xml:space="preserve">Mes</t>
        </is>
      </c>
      <c r="H213" s="4" t="inlineStr">
        <is>
          <t xml:space="preserve">SERVICIO DE ADMINISTRACIÓN  Y  MANTENCION DE BASES DE DATOS  ORACLE, MS SQL SERVER, POSTGRESQL y MySQL (24 meses)</t>
        </is>
      </c>
    </row>
    <row r="214">
      <c r="A214" s="0" t="inlineStr">
        <is>
          <t xml:space="preserve">605-17-LP26</t>
        </is>
      </c>
      <c r="B214" s="4" t="inlineStr">
        <is>
          <t xml:space="preserve">TELEFONÍA FIJA Y RED PRIVADA DE DATOS</t>
        </is>
      </c>
      <c r="C214" s="0">
        <v>1</v>
      </c>
      <c r="D214" s="4" t="inlineStr">
        <is>
          <t xml:space="preserve">Servicio telefónico local</t>
        </is>
      </c>
      <c r="E214" s="4" t="inlineStr">
        <is>
          <t xml:space="preserve">Servicios básicos y de información pública / Telecomunicaciones / Telefonía local y de larga distancia</t>
        </is>
      </c>
      <c r="F214" s="0">
        <v>1.0</v>
      </c>
      <c r="G214" s="0" t="inlineStr">
        <is>
          <t xml:space="preserve">Unidad</t>
        </is>
      </c>
      <c r="H214"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15">
      <c r="A215" s="0" t="inlineStr">
        <is>
          <t xml:space="preserve">605-17-LP26</t>
        </is>
      </c>
      <c r="B215" s="4" t="inlineStr">
        <is>
          <t xml:space="preserve">TELEFONÍA FIJA Y RED PRIVADA DE DATOS</t>
        </is>
      </c>
      <c r="C215" s="0">
        <v>2</v>
      </c>
      <c r="D215" s="4" t="inlineStr">
        <is>
          <t xml:space="preserve">Servicio de comunicación IP</t>
        </is>
      </c>
      <c r="E215" s="4" t="inlineStr">
        <is>
          <t xml:space="preserve">Servicios básicos y de información pública / Telecomunicaciones / Telefonía local y de larga distancia</t>
        </is>
      </c>
      <c r="F215" s="0">
        <v>1.0</v>
      </c>
      <c r="G215" s="0" t="inlineStr">
        <is>
          <t xml:space="preserve">Unidad</t>
        </is>
      </c>
      <c r="H215"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16">
      <c r="A216" s="0" t="inlineStr">
        <is>
          <t xml:space="preserve">2421-52-LR26</t>
        </is>
      </c>
      <c r="B216" s="4" t="inlineStr">
        <is>
          <t xml:space="preserve">SUMINISTRO SERVICIO DE TELECOMUNICACIONES DATOS Y VOZ</t>
        </is>
      </c>
      <c r="C216" s="0">
        <v>1</v>
      </c>
      <c r="D216" s="4" t="inlineStr">
        <is>
          <t xml:space="preserve">Servicio telefónico local</t>
        </is>
      </c>
      <c r="E216" s="4" t="inlineStr">
        <is>
          <t xml:space="preserve">Servicios básicos y de información pública / Telecomunicaciones / Telefonía local y de larga distancia</t>
        </is>
      </c>
      <c r="F216" s="0">
        <v>1.0</v>
      </c>
      <c r="G216" s="0" t="inlineStr">
        <is>
          <t xml:space="preserve">Unidad</t>
        </is>
      </c>
      <c r="H216" s="4" t="inlineStr">
        <is>
          <t xml:space="preserve">Valor total neto mensual (sin impuesto) por los servicios de red de datos, Internet en red de datos, sistema de comunicación de voz y otros, según especificaciones técnicas adjuntas (Anexo Nº8). VER FORMATO ANEXO Nº4.</t>
        </is>
      </c>
    </row>
    <row r="217">
      <c r="A217" s="0" t="inlineStr">
        <is>
          <t xml:space="preserve">2421-52-LR26</t>
        </is>
      </c>
      <c r="B217" s="4" t="inlineStr">
        <is>
          <t xml:space="preserve">SUMINISTRO SERVICIO DE TELECOMUNICACIONES DATOS Y VOZ</t>
        </is>
      </c>
      <c r="C217" s="0">
        <v>2</v>
      </c>
      <c r="D217" s="4" t="inlineStr">
        <is>
          <t xml:space="preserve">Servicio telefónico local</t>
        </is>
      </c>
      <c r="E217" s="4" t="inlineStr">
        <is>
          <t xml:space="preserve">Servicios básicos y de información pública / Telecomunicaciones / Telefonía local y de larga distancia</t>
        </is>
      </c>
      <c r="F217" s="0">
        <v>1.0</v>
      </c>
      <c r="G217" s="0" t="inlineStr">
        <is>
          <t xml:space="preserve">Unidad</t>
        </is>
      </c>
      <c r="H217" s="4" t="inlineStr">
        <is>
          <t xml:space="preserve">Valor Total Neto Cobro Inicial correspondiente a la habilitación y puesta en marcha de los Servicios, cobro aplicado por única vez.</t>
        </is>
      </c>
    </row>
    <row r="218">
      <c r="A218" s="0" t="inlineStr">
        <is>
          <t xml:space="preserve">1057390-21-LR26</t>
        </is>
      </c>
      <c r="B218" s="4" t="inlineStr">
        <is>
          <t xml:space="preserve">PLATAFORMA CLOUD COMPUTING Y SERVICIOS ASOCIADOS ESISSAN</t>
        </is>
      </c>
      <c r="C218" s="0">
        <v>1</v>
      </c>
      <c r="D218" s="4" t="inlineStr">
        <is>
          <t xml:space="preserve">Software de interconectividad de plataformas</t>
        </is>
      </c>
      <c r="E218" s="4" t="inlineStr">
        <is>
          <t xml:space="preserve">Tecnologías de la información, telecomunicaciones y radiodifusión / Software / Software para trabajo en redes</t>
        </is>
      </c>
      <c r="F218" s="0">
        <v>1.0</v>
      </c>
      <c r="G218" s="0" t="inlineStr">
        <is>
          <t xml:space="preserve">Unidad</t>
        </is>
      </c>
      <c r="H218" s="4" t="inlineStr">
        <is>
          <t xml:space="preserve">PLATAFORMA CLOUD COMPUTING Y SERVICIOS ASOCIADOS ESISSAN  Total proyecto neto según Anexo 4 Oferta Económica.   (OC se emitiran de acuerdo a la programación)</t>
        </is>
      </c>
    </row>
    <row r="219">
      <c r="A219" s="0" t="inlineStr">
        <is>
          <t xml:space="preserve">1260-17-LP26</t>
        </is>
      </c>
      <c r="B219" s="4" t="inlineStr">
        <is>
          <t xml:space="preserve">NARRATIVAS DIGITALES Y PRODUCCION CONTENIDOS</t>
        </is>
      </c>
      <c r="C219" s="0">
        <v>1</v>
      </c>
      <c r="D219" s="4" t="inlineStr">
        <is>
          <t xml:space="preserve">Agencias de marketing de ventas, incluidas las impresiones</t>
        </is>
      </c>
      <c r="E219" s="4" t="inlineStr">
        <is>
          <t xml:space="preserve">Servicios profesionales, administrativos y consultorías de gestión empresarial / Servicios para la comercialización y distribución / Ventas y marketing</t>
        </is>
      </c>
      <c r="F219" s="0">
        <v>1.0</v>
      </c>
      <c r="G219" s="0" t="inlineStr">
        <is>
          <t xml:space="preserve">Unidad</t>
        </is>
      </c>
      <c r="H219" s="4" t="inlineStr">
        <is>
          <t xml:space="preserve">SERVICIO DE ANÁLISIS DE NARRATIVAS DIGITALES Y PRODUCCIÓN DE CONTENIDOS CREATIVOS. Ver archivos adjuntos RES_EXENTA_N°1419(11-08-2026)_Aprueba Bases.pdf y RESOLUCION_EXENTA_N°1745(06-10-2026)_Modifica REX 1419.pdf</t>
        </is>
      </c>
    </row>
    <row r="220">
      <c r="A220" s="0" t="inlineStr">
        <is>
          <t xml:space="preserve">425-73-LP26</t>
        </is>
      </c>
      <c r="B220" s="4" t="inlineStr">
        <is>
          <t xml:space="preserve">Renovación de licencias de software CISCO</t>
        </is>
      </c>
      <c r="C220" s="0">
        <v>1</v>
      </c>
      <c r="D220" s="4" t="inlineStr">
        <is>
          <t xml:space="preserve">Software de gestión de licencias</t>
        </is>
      </c>
      <c r="E220" s="4" t="inlineStr">
        <is>
          <t xml:space="preserve">Tecnologías de la información, telecomunicaciones y radiodifusión / Software / Software de gestión</t>
        </is>
      </c>
      <c r="F220" s="0">
        <v>5000.0</v>
      </c>
      <c r="G220" s="0" t="inlineStr">
        <is>
          <t xml:space="preserve">Unidad</t>
        </is>
      </c>
      <c r="H220" s="4" t="inlineStr">
        <is>
          <t xml:space="preserve">CISCO ISE Essentials, Valor neto según Formulario Económico N°1 (en caso de discrepancia entre el valor y el Formulario Económico N° 1 primará este último)</t>
        </is>
      </c>
    </row>
    <row r="221">
      <c r="A221" s="0" t="inlineStr">
        <is>
          <t xml:space="preserve">425-73-LP26</t>
        </is>
      </c>
      <c r="B221" s="4" t="inlineStr">
        <is>
          <t xml:space="preserve">Renovación de licencias de software CISCO</t>
        </is>
      </c>
      <c r="C221" s="0">
        <v>2</v>
      </c>
      <c r="D221" s="4" t="inlineStr">
        <is>
          <t xml:space="preserve">Software de gestión de licencias</t>
        </is>
      </c>
      <c r="E221" s="4" t="inlineStr">
        <is>
          <t xml:space="preserve">Tecnologías de la información, telecomunicaciones y radiodifusión / Software / Software de gestión</t>
        </is>
      </c>
      <c r="F221" s="0">
        <v>20000.0</v>
      </c>
      <c r="G221" s="0" t="inlineStr">
        <is>
          <t xml:space="preserve">Unidad</t>
        </is>
      </c>
      <c r="H221" s="4" t="inlineStr">
        <is>
          <t xml:space="preserve">Cisco Secure Network Analytics, Valor neto según Formulario Económico N°1 (en caso de discrepancia entre el valor y el Formulario Económico N° 1 primará este último)</t>
        </is>
      </c>
    </row>
    <row r="222">
      <c r="A222" s="0" t="inlineStr">
        <is>
          <t xml:space="preserve">425-73-LP26</t>
        </is>
      </c>
      <c r="B222" s="4" t="inlineStr">
        <is>
          <t xml:space="preserve">Renovación de licencias de software CISCO</t>
        </is>
      </c>
      <c r="C222" s="0">
        <v>3</v>
      </c>
      <c r="D222" s="4" t="inlineStr">
        <is>
          <t xml:space="preserve">Software de gestión de licencias</t>
        </is>
      </c>
      <c r="E222" s="4" t="inlineStr">
        <is>
          <t xml:space="preserve">Tecnologías de la información, telecomunicaciones y radiodifusión / Software / Software de gestión</t>
        </is>
      </c>
      <c r="F222" s="0">
        <v>11000.0</v>
      </c>
      <c r="G222" s="0" t="inlineStr">
        <is>
          <t xml:space="preserve">Unidad</t>
        </is>
      </c>
      <c r="H222" s="4" t="inlineStr">
        <is>
          <t xml:space="preserve">CISCO ISE Advantage, Valor neto según Formulario Económico N°1 (en caso de discrepancia entre el valor y el Formulario Económico N° 1 primará este último)</t>
        </is>
      </c>
    </row>
    <row r="223">
      <c r="A223" s="0" t="inlineStr">
        <is>
          <t xml:space="preserve">425-73-LP26</t>
        </is>
      </c>
      <c r="B223" s="4" t="inlineStr">
        <is>
          <t xml:space="preserve">Renovación de licencias de software CISCO</t>
        </is>
      </c>
      <c r="C223" s="0">
        <v>4</v>
      </c>
      <c r="D223" s="4" t="inlineStr">
        <is>
          <t xml:space="preserve">Software de gestión de licencias</t>
        </is>
      </c>
      <c r="E223" s="4" t="inlineStr">
        <is>
          <t xml:space="preserve">Tecnologías de la información, telecomunicaciones y radiodifusión / Software / Software de gestión</t>
        </is>
      </c>
      <c r="F223" s="0">
        <v>1.0</v>
      </c>
      <c r="G223" s="0" t="inlineStr">
        <is>
          <t xml:space="preserve">Unidad</t>
        </is>
      </c>
      <c r="H223" s="4" t="inlineStr">
        <is>
          <t xml:space="preserve">Threat Intelligence, Valor neto según Formulario Económico N°1 (en caso de discrepancia entre el valor y el Formulario Económico N° 1 primará este último)</t>
        </is>
      </c>
    </row>
    <row r="224">
      <c r="A224" s="0" t="inlineStr">
        <is>
          <t xml:space="preserve">425-73-LP26</t>
        </is>
      </c>
      <c r="B224" s="4" t="inlineStr">
        <is>
          <t xml:space="preserve">Renovación de licencias de software CISCO</t>
        </is>
      </c>
      <c r="C224" s="0">
        <v>5</v>
      </c>
      <c r="D224" s="4" t="inlineStr">
        <is>
          <t xml:space="preserve">Software de gestión de licencias</t>
        </is>
      </c>
      <c r="E224" s="4" t="inlineStr">
        <is>
          <t xml:space="preserve">Tecnologías de la información, telecomunicaciones y radiodifusión / Software / Software de gestión</t>
        </is>
      </c>
      <c r="F224" s="0">
        <v>3000.0</v>
      </c>
      <c r="G224" s="0" t="inlineStr">
        <is>
          <t xml:space="preserve">Unidad</t>
        </is>
      </c>
      <c r="H224" s="4" t="inlineStr">
        <is>
          <t xml:space="preserve">CISCO ISE Premier, Valor neto según Formulario Económico N°1 (en caso de discrepancia entre el valor y el Formulario Económico N° 1 primará este último)</t>
        </is>
      </c>
    </row>
    <row r="225">
      <c r="A225" s="0" t="inlineStr">
        <is>
          <t xml:space="preserve">425-73-LP26</t>
        </is>
      </c>
      <c r="B225" s="4" t="inlineStr">
        <is>
          <t xml:space="preserve">Renovación de licencias de software CISCO</t>
        </is>
      </c>
      <c r="C225" s="0">
        <v>6</v>
      </c>
      <c r="D225" s="4" t="inlineStr">
        <is>
          <t xml:space="preserve">Software de gestión de licencias</t>
        </is>
      </c>
      <c r="E225" s="4" t="inlineStr">
        <is>
          <t xml:space="preserve">Tecnologías de la información, telecomunicaciones y radiodifusión / Software / Software de gestión</t>
        </is>
      </c>
      <c r="F225" s="0">
        <v>2.0</v>
      </c>
      <c r="G225" s="0" t="inlineStr">
        <is>
          <t xml:space="preserve">Unidad</t>
        </is>
      </c>
      <c r="H225" s="4" t="inlineStr">
        <is>
          <t xml:space="preserve">CISCO ISE VM, Valor neto según Formulario Económico N°1 (en caso de discrepancia entre el valor y el Formulario Económico N° 1 primará este último)</t>
        </is>
      </c>
    </row>
    <row r="226">
      <c r="A226" s="0" t="inlineStr">
        <is>
          <t xml:space="preserve">425-73-LP26</t>
        </is>
      </c>
      <c r="B226" s="4" t="inlineStr">
        <is>
          <t xml:space="preserve">Renovación de licencias de software CISCO</t>
        </is>
      </c>
      <c r="C226" s="0">
        <v>7</v>
      </c>
      <c r="D226" s="4" t="inlineStr">
        <is>
          <t xml:space="preserve">Software de gestión de licencias</t>
        </is>
      </c>
      <c r="E226" s="4" t="inlineStr">
        <is>
          <t xml:space="preserve">Tecnologías de la información, telecomunicaciones y radiodifusión / Software / Software de gestión</t>
        </is>
      </c>
      <c r="F226" s="0">
        <v>2700.0</v>
      </c>
      <c r="G226" s="0" t="inlineStr">
        <is>
          <t xml:space="preserve">Unidad</t>
        </is>
      </c>
      <c r="H226" s="4" t="inlineStr">
        <is>
          <t xml:space="preserve">Umbrella SIG Essentials, Valor neto según Formulario Económico N°1 (en caso de discrepancia entre el valor y el Formulario Económico N° 1 primará este último)</t>
        </is>
      </c>
    </row>
    <row r="227">
      <c r="A227" s="0" t="inlineStr">
        <is>
          <t xml:space="preserve">425-73-LP26</t>
        </is>
      </c>
      <c r="B227" s="4" t="inlineStr">
        <is>
          <t xml:space="preserve">Renovación de licencias de software CISCO</t>
        </is>
      </c>
      <c r="C227" s="0">
        <v>8</v>
      </c>
      <c r="D227" s="4" t="inlineStr">
        <is>
          <t xml:space="preserve">Software de gestión de licencias</t>
        </is>
      </c>
      <c r="E227" s="4" t="inlineStr">
        <is>
          <t xml:space="preserve">Tecnologías de la información, telecomunicaciones y radiodifusión / Software / Software de gestión</t>
        </is>
      </c>
      <c r="F227" s="0">
        <v>1.0</v>
      </c>
      <c r="G227" s="0" t="inlineStr">
        <is>
          <t xml:space="preserve">Unidad</t>
        </is>
      </c>
      <c r="H227" s="4" t="inlineStr">
        <is>
          <t xml:space="preserve">FMC v300, Valor neto según Formulario Económico N°1 (en caso de discrepancia entre el valor y el Formulario Económico N° 1 primará este último)</t>
        </is>
      </c>
    </row>
    <row r="228">
      <c r="A228" s="0" t="inlineStr">
        <is>
          <t xml:space="preserve">425-73-LP26</t>
        </is>
      </c>
      <c r="B228" s="4" t="inlineStr">
        <is>
          <t xml:space="preserve">Renovación de licencias de software CISCO</t>
        </is>
      </c>
      <c r="C228" s="0">
        <v>9</v>
      </c>
      <c r="D228" s="4" t="inlineStr">
        <is>
          <t xml:space="preserve">Software de gestión de licencias</t>
        </is>
      </c>
      <c r="E228" s="4" t="inlineStr">
        <is>
          <t xml:space="preserve">Tecnologías de la información, telecomunicaciones y radiodifusión / Software / Software de gestión</t>
        </is>
      </c>
      <c r="F228" s="0">
        <v>2.0</v>
      </c>
      <c r="G228" s="0" t="inlineStr">
        <is>
          <t xml:space="preserve">Unidad</t>
        </is>
      </c>
      <c r="H228" s="4" t="inlineStr">
        <is>
          <t xml:space="preserve">Firepower 4115, Valor neto según Formulario Económico N°1 (en caso de discrepancia entre el valor y el Formulario Económico N° 1 primará este último)</t>
        </is>
      </c>
    </row>
    <row r="229">
      <c r="A229" s="0" t="inlineStr">
        <is>
          <t xml:space="preserve">425-73-LP26</t>
        </is>
      </c>
      <c r="B229" s="4" t="inlineStr">
        <is>
          <t xml:space="preserve">Renovación de licencias de software CISCO</t>
        </is>
      </c>
      <c r="C229" s="0">
        <v>10</v>
      </c>
      <c r="D229" s="4" t="inlineStr">
        <is>
          <t xml:space="preserve">Software de gestión de licencias</t>
        </is>
      </c>
      <c r="E229" s="4" t="inlineStr">
        <is>
          <t xml:space="preserve">Tecnologías de la información, telecomunicaciones y radiodifusión / Software / Software de gestión</t>
        </is>
      </c>
      <c r="F229" s="0">
        <v>3000.0</v>
      </c>
      <c r="G229" s="0" t="inlineStr">
        <is>
          <t xml:space="preserve">Unidad</t>
        </is>
      </c>
      <c r="H229" s="4" t="inlineStr">
        <is>
          <t xml:space="preserve">Cisco Secure Client Premier, Valor neto según Formulario Económico N°1 (en caso de discrepancia entre el valor y el Formulario Económico N° 1 primará este último)</t>
        </is>
      </c>
    </row>
    <row r="230">
      <c r="A230" s="0" t="inlineStr">
        <is>
          <t xml:space="preserve">1057898-85-LR26</t>
        </is>
      </c>
      <c r="B230" s="4" t="inlineStr">
        <is>
          <t xml:space="preserve">ADQUISICIÓN DE SOFTWARES HIS-ESB-BI Y ERP PARA EL NUEVO HOSPITAL REGIONAL DE ÑUBLE</t>
        </is>
      </c>
      <c r="C230" s="0">
        <v>1</v>
      </c>
      <c r="D230" s="4" t="inlineStr">
        <is>
          <t xml:space="preserve">Software de administración</t>
        </is>
      </c>
      <c r="E230" s="4" t="inlineStr">
        <is>
          <t xml:space="preserve">Tecnologías de la información, telecomunicaciones y radiodifusión / Software / Software de administración de redes</t>
        </is>
      </c>
      <c r="F230" s="0">
        <v>1.0</v>
      </c>
      <c r="G230" s="0" t="inlineStr">
        <is>
          <t xml:space="preserve">Global</t>
        </is>
      </c>
      <c r="H230" s="4" t="inlineStr">
        <is>
          <t xml:space="preserve">FAMILIA N°1: SISTEMAS 1 PAQUETIZADO SOFTWARE PRINCIPAL(SOFTWARE COMO SERVICIO)</t>
        </is>
      </c>
    </row>
    <row r="231">
      <c r="A231" s="0" t="inlineStr">
        <is>
          <t xml:space="preserve">1057898-85-LR26</t>
        </is>
      </c>
      <c r="B231" s="4" t="inlineStr">
        <is>
          <t xml:space="preserve">ADQUISICIÓN DE SOFTWARES HIS-ESB-BI Y ERP PARA EL NUEVO HOSPITAL REGIONAL DE ÑUBLE</t>
        </is>
      </c>
      <c r="C231" s="0">
        <v>2</v>
      </c>
      <c r="D231" s="4" t="inlineStr">
        <is>
          <t xml:space="preserve">Software de administración</t>
        </is>
      </c>
      <c r="E231" s="4" t="inlineStr">
        <is>
          <t xml:space="preserve">Tecnologías de la información, telecomunicaciones y radiodifusión / Software / Software de administración de redes</t>
        </is>
      </c>
      <c r="F231" s="0">
        <v>1.0</v>
      </c>
      <c r="G231" s="0" t="inlineStr">
        <is>
          <t xml:space="preserve">Global</t>
        </is>
      </c>
      <c r="H231" s="4" t="inlineStr">
        <is>
          <t xml:space="preserve">FAMILIA N°2: SISTEMAS 2 SISTEMA ERP (SOFTWARE COMO SERVICIO)</t>
        </is>
      </c>
    </row>
    <row r="232">
      <c r="A232" s="0" t="inlineStr">
        <is>
          <t xml:space="preserve">1969-34-LS19</t>
        </is>
      </c>
      <c r="B232" s="4" t="inlineStr">
        <is>
          <t xml:space="preserve">AUTOMATIZACIÓN PORTÓN ACCESO A LINEA DE FUEGO</t>
        </is>
      </c>
      <c r="C232" s="0">
        <v>1</v>
      </c>
      <c r="D232" s="4" t="inlineStr">
        <is>
          <t xml:space="preserve">Puertas de metal</t>
        </is>
      </c>
      <c r="E232" s="4" t="inlineStr">
        <is>
          <t xml:space="preserve">Artículos para estructuras, obras y construcciones / Puertas, ventanas y vidrios / Puertas</t>
        </is>
      </c>
      <c r="F232" s="0">
        <v>1.0</v>
      </c>
      <c r="G232" s="0" t="inlineStr">
        <is>
          <t xml:space="preserve">Unidad</t>
        </is>
      </c>
      <c r="H232" s="4" t="inlineStr">
        <is>
          <t xml:space="preserve">AUTOMATIZACIÓN DE PORTÓN ACCESO A LINEA DE FUEGO C.P. CONCEPCIÓN</t>
        </is>
      </c>
    </row>
  </sheetData>
  <autoFilter ref="A1:H232"/>
</worksheet>
</file>